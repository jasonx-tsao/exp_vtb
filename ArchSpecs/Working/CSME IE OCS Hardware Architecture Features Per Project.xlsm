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13_ncr:1_{FEA8F050-2B60-43C1-97EC-BD2E8B6E5D8B}" xr6:coauthVersionLast="47" xr6:coauthVersionMax="47" xr10:uidLastSave="{00000000-0000-0000-0000-000000000000}"/>
  <bookViews>
    <workbookView xWindow="-108" yWindow="-108" windowWidth="23256" windowHeight="1272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BS22" i="10" a="1"/>
  <c r="U18" i="10" a="1"/>
  <c r="AD30" i="10" a="1"/>
  <c r="Y22" i="10" a="1"/>
  <c r="Z25" i="10" a="1"/>
  <c r="AC17" i="10" a="1"/>
  <c r="AE25" i="10" a="1"/>
  <c r="S31" i="10" a="1"/>
  <c r="AU32" i="10" a="1"/>
  <c r="U27" i="10" a="1"/>
  <c r="AD31" i="10" a="1"/>
  <c r="BQ24" i="10" a="1"/>
  <c r="M32" i="10" a="1"/>
  <c r="P28" i="10" a="1"/>
  <c r="AT25" i="10" a="1"/>
  <c r="J21" i="10" a="1"/>
  <c r="Q29" i="10" a="1"/>
  <c r="AE28" i="10" a="1"/>
  <c r="T26" i="10" a="1"/>
  <c r="AI30" i="10" a="1"/>
  <c r="BC29" i="10" a="1"/>
  <c r="BK18" i="10" a="1"/>
  <c r="AP16" i="10" a="1"/>
  <c r="AE19" i="10" a="1"/>
  <c r="AL30" i="10" a="1"/>
  <c r="P32" i="10" a="1"/>
  <c r="BF25" i="10" a="1"/>
  <c r="BG18" i="10" a="1"/>
  <c r="K24" i="10" a="1"/>
  <c r="AM24" i="10" a="1"/>
  <c r="E16" i="10" a="1"/>
  <c r="AW21" i="10" a="1"/>
  <c r="G16" i="10" a="1"/>
  <c r="V32" i="10" a="1"/>
  <c r="BI30" i="10" a="1"/>
  <c r="BE19" i="10" a="1"/>
  <c r="AK16" i="10" a="1"/>
  <c r="AK10" i="10" a="1"/>
  <c r="S26" i="10" a="1"/>
  <c r="AL29" i="10" a="1"/>
  <c r="BJ23" i="10" a="1"/>
  <c r="AO25" i="10" a="1"/>
  <c r="BI23" i="10" a="1"/>
  <c r="E28" i="10" a="1"/>
  <c r="AX22" i="10" a="1"/>
  <c r="AQ27" i="10" a="1"/>
  <c r="U24" i="10" a="1"/>
  <c r="Q16" i="10" a="1"/>
  <c r="BF18" i="10" a="1"/>
  <c r="D31" i="10" a="1"/>
  <c r="BM18" i="10" a="1"/>
  <c r="AQ19" i="10" a="1"/>
  <c r="AM26" i="10" a="1"/>
  <c r="AY27" i="10" a="1"/>
  <c r="AY24" i="10" a="1"/>
  <c r="AQ24" i="10" a="1"/>
  <c r="M24" i="10" a="1"/>
  <c r="BI16" i="10" a="1"/>
  <c r="L27" i="10" a="1"/>
  <c r="AX21" i="10" a="1"/>
  <c r="S29" i="10" a="1"/>
  <c r="S17" i="10" a="1"/>
  <c r="BK20" i="10" a="1"/>
  <c r="BG29" i="10" a="1"/>
  <c r="BF30" i="10" a="1"/>
  <c r="BO30" i="10" a="1"/>
  <c r="AA26" i="10" a="1"/>
  <c r="J25" i="10" a="1"/>
  <c r="H20" i="10" a="1"/>
  <c r="L25" i="10" a="1"/>
  <c r="AL19" i="10" a="1"/>
  <c r="M25" i="10" a="1"/>
  <c r="BA23" i="10" a="1"/>
  <c r="AU29" i="10" a="1"/>
  <c r="BB26" i="10" a="1"/>
  <c r="BN25" i="10" a="1"/>
  <c r="AP21" i="10" a="1"/>
  <c r="V29" i="10" a="1"/>
  <c r="BS21" i="10" a="1"/>
  <c r="W25" i="10" a="1"/>
  <c r="U25" i="10" a="1"/>
  <c r="U26" i="10" a="1"/>
  <c r="T21" i="10" a="1"/>
  <c r="BK21" i="10" a="1"/>
  <c r="W19" i="10" a="1"/>
  <c r="Y28" i="10" a="1"/>
  <c r="AP23" i="10" a="1"/>
  <c r="Y25" i="10" a="1"/>
  <c r="Y27" i="10" a="1"/>
  <c r="AP28" i="10" a="1"/>
  <c r="BF27" i="10" a="1"/>
  <c r="O17" i="10" a="1"/>
  <c r="H30" i="10" a="1"/>
  <c r="BN24" i="10" a="1"/>
  <c r="BJ24" i="10" a="1"/>
  <c r="BO25" i="10" a="1"/>
  <c r="BM27" i="10" a="1"/>
  <c r="O31" i="10" a="1"/>
  <c r="AG31" i="10" a="1"/>
  <c r="T30" i="10" a="1"/>
  <c r="BF26" i="10" a="1"/>
  <c r="E23" i="10" a="1"/>
  <c r="J30" i="10" a="1"/>
  <c r="AD18" i="10" a="1"/>
  <c r="K20" i="10" a="1"/>
  <c r="G20" i="10" a="1"/>
  <c r="O10" i="10" a="1"/>
  <c r="Y18" i="10" a="1"/>
  <c r="F17" i="10" a="1"/>
  <c r="P22" i="10" a="1"/>
  <c r="AO31" i="10" a="1"/>
  <c r="AX27" i="10" a="1"/>
  <c r="BQ27" i="10" a="1"/>
  <c r="F19" i="10" a="1"/>
  <c r="D23" i="10" a="1"/>
  <c r="Z18" i="10" a="1"/>
  <c r="BB21" i="10" a="1"/>
  <c r="U31" i="10" a="1"/>
  <c r="E24" i="10" a="1"/>
  <c r="U29" i="10" a="1"/>
  <c r="F28" i="10" a="1"/>
  <c r="D29" i="10" a="1"/>
  <c r="AU19" i="10" a="1"/>
  <c r="D25" i="10" a="1"/>
  <c r="BA18" i="10" a="1"/>
  <c r="AW26" i="10" a="1"/>
  <c r="D32" i="10" a="1"/>
  <c r="K17" i="10" a="1"/>
  <c r="AG23" i="10" a="1"/>
  <c r="BR28" i="10" a="1"/>
  <c r="O16" i="10" a="1"/>
  <c r="Z28" i="10" a="1"/>
  <c r="H24" i="10" a="1"/>
  <c r="H27" i="10" a="1"/>
  <c r="AO22" i="10" a="1"/>
  <c r="L19" i="10" a="1"/>
  <c r="AH25" i="10" a="1"/>
  <c r="AG21" i="10" a="1"/>
  <c r="S23" i="10" a="1"/>
  <c r="BQ23" i="10" a="1"/>
  <c r="BC27" i="10" a="1"/>
  <c r="AI26" i="10" a="1"/>
  <c r="BK25" i="10" a="1"/>
  <c r="AA18" i="10" a="1"/>
  <c r="BG23" i="10" a="1"/>
  <c r="AH28" i="10" a="1"/>
  <c r="BO28" i="10" a="1"/>
  <c r="Z19" i="10" a="1"/>
  <c r="AK28" i="10" a="1"/>
  <c r="BJ25" i="10" a="1"/>
  <c r="BM32" i="10" a="1"/>
  <c r="G27" i="10" a="1"/>
  <c r="Q28" i="10" a="1"/>
  <c r="AG18" i="10" a="1"/>
  <c r="AS29" i="10" a="1"/>
  <c r="P31" i="10" a="1"/>
  <c r="AY26" i="10" a="1"/>
  <c r="D19" i="10" a="1"/>
  <c r="AC19" i="10" a="1"/>
  <c r="Q30" i="10" a="1"/>
  <c r="AT18" i="10" a="1"/>
  <c r="AI20" i="10" a="1"/>
  <c r="AH19" i="10" a="1"/>
  <c r="K21" i="10" a="1"/>
  <c r="E32" i="10" a="1"/>
  <c r="G30" i="10" a="1"/>
  <c r="U32" i="10" a="1"/>
  <c r="AM23" i="10" a="1"/>
  <c r="I32" i="10" a="1"/>
  <c r="F18" i="10" a="1"/>
  <c r="BA24" i="10" a="1"/>
  <c r="Y30" i="10" a="1"/>
  <c r="D10" i="10" a="1"/>
  <c r="K30" i="10" a="1"/>
  <c r="AL17" i="10" a="1"/>
  <c r="J18" i="10" a="1"/>
  <c r="AE32" i="10" a="1"/>
  <c r="E25" i="10" a="1"/>
  <c r="AT23" i="10" a="1"/>
  <c r="AH20" i="10" a="1"/>
  <c r="AU31" i="10" a="1"/>
  <c r="BF31" i="10" a="1"/>
  <c r="AS20" i="10" a="1"/>
  <c r="AW16" i="10" a="1"/>
  <c r="BA25" i="10" a="1"/>
  <c r="BO32" i="10" a="1"/>
  <c r="Z32" i="10" a="1"/>
  <c r="D18" i="10" a="1"/>
  <c r="U21" i="10" a="1"/>
  <c r="AC18" i="10" a="1"/>
  <c r="AS27" i="10" a="1"/>
  <c r="AQ21" i="10" a="1"/>
  <c r="AX20" i="10" a="1"/>
  <c r="BO24" i="10" a="1"/>
  <c r="BA26" i="10" a="1"/>
  <c r="E17" i="10" a="1"/>
  <c r="AL16" i="10" a="1"/>
  <c r="U19" i="10" a="1"/>
  <c r="AA29" i="10" a="1"/>
  <c r="AT19" i="10" a="1"/>
  <c r="BF29" i="10" a="1"/>
  <c r="H19" i="10" a="1"/>
  <c r="U17" i="10" a="1"/>
  <c r="BM25" i="10" a="1"/>
  <c r="BG16" i="10" a="1"/>
  <c r="BQ26" i="10" a="1"/>
  <c r="AT16" i="10" a="1"/>
  <c r="AS26" i="10" a="1"/>
  <c r="AA20" i="10" a="1"/>
  <c r="AY25" i="10" a="1"/>
  <c r="O19" i="10" a="1"/>
  <c r="AM21" i="10" a="1"/>
  <c r="AH30" i="10" a="1"/>
  <c r="BJ19" i="10" a="1"/>
  <c r="AE31" i="10" a="1"/>
  <c r="BA19" i="10" a="1"/>
  <c r="AO19" i="10" a="1"/>
  <c r="AO30" i="10" a="1"/>
  <c r="AC32" i="10" a="1"/>
  <c r="AX19" i="10" a="1"/>
  <c r="BQ29" i="10" a="1"/>
  <c r="AI27" i="10" a="1"/>
  <c r="I17" i="10" a="1"/>
  <c r="BQ31" i="10" a="1"/>
  <c r="AX32" i="10" a="1"/>
  <c r="AK19" i="10" a="1"/>
  <c r="BK19" i="10" a="1"/>
  <c r="W30" i="10" a="1"/>
  <c r="P25" i="10" a="1"/>
  <c r="AK32" i="10" a="1"/>
  <c r="AO17" i="10" a="1"/>
  <c r="AK26" i="10" a="1"/>
  <c r="L23" i="10" a="1"/>
  <c r="K18" i="10" a="1"/>
  <c r="BJ20" i="10" a="1"/>
  <c r="BR16" i="10" a="1"/>
  <c r="BA16" i="10" a="1"/>
  <c r="AS23" i="10" a="1"/>
  <c r="BR23" i="10" a="1"/>
  <c r="BA21" i="10" a="1"/>
  <c r="Z17" i="10" a="1"/>
  <c r="BS23" i="10" a="1"/>
  <c r="BS31" i="10" a="1"/>
  <c r="BF20" i="10" a="1"/>
  <c r="AA30" i="10" a="1"/>
  <c r="BK32" i="10" a="1"/>
  <c r="P24" i="10" a="1"/>
  <c r="T19" i="10" a="1"/>
  <c r="AX25" i="10" a="1"/>
  <c r="G23" i="10" a="1"/>
  <c r="G26" i="10" a="1"/>
  <c r="BA29" i="10" a="1"/>
  <c r="AW27" i="10" a="1"/>
  <c r="AQ22" i="10" a="1"/>
  <c r="AK17" i="10" a="1"/>
  <c r="AH23" i="10" a="1"/>
  <c r="T17" i="10" a="1"/>
  <c r="AO26" i="10" a="1"/>
  <c r="AI32" i="10" a="1"/>
  <c r="AH29" i="10" a="1"/>
  <c r="L22" i="10" a="1"/>
  <c r="BN23" i="10" a="1"/>
  <c r="BK29" i="10" a="1"/>
  <c r="BS29" i="10" a="1"/>
  <c r="AQ18" i="10" a="1"/>
  <c r="E21" i="10" a="1"/>
  <c r="D20" i="10" a="1"/>
  <c r="I22" i="10" a="1"/>
  <c r="AY32" i="10" a="1"/>
  <c r="AD17" i="10" a="1"/>
  <c r="I18" i="10" a="1"/>
  <c r="BR21" i="10" a="1"/>
  <c r="AI31" i="10" a="1"/>
  <c r="S18" i="10" a="1"/>
  <c r="AW10" i="10" a="1"/>
  <c r="BK17" i="10" a="1"/>
  <c r="Y29" i="10" a="1"/>
  <c r="V18" i="10" a="1"/>
  <c r="AT28" i="10" a="1"/>
  <c r="AE21" i="10" a="1"/>
  <c r="I27" i="10" a="1"/>
  <c r="G18" i="10" a="1"/>
  <c r="H18" i="10" a="1"/>
  <c r="BC19" i="10" a="1"/>
  <c r="O29" i="10" a="1"/>
  <c r="AC30" i="10" a="1"/>
  <c r="AG28" i="10" a="1"/>
  <c r="BG25" i="10" a="1"/>
  <c r="BS30" i="10" a="1"/>
  <c r="D24" i="10" a="1"/>
  <c r="AC26" i="10" a="1"/>
  <c r="BK30" i="10" a="1"/>
  <c r="AI24" i="10" a="1"/>
  <c r="AQ30" i="10" a="1"/>
  <c r="BA32" i="10" a="1"/>
  <c r="AU16" i="10" a="1"/>
  <c r="AG30" i="10" a="1"/>
  <c r="W16" i="10" a="1"/>
  <c r="AO20" i="10" a="1"/>
  <c r="Q27" i="10" a="1"/>
  <c r="L32" i="10" a="1"/>
  <c r="BI17" i="10" a="1"/>
  <c r="AQ16" i="10" a="1"/>
  <c r="AA21" i="10" a="1"/>
  <c r="BQ18" i="10" a="1"/>
  <c r="AX24" i="10" a="1"/>
  <c r="BF28" i="10" a="1"/>
  <c r="S27" i="10" a="1"/>
  <c r="AM25" i="10" a="1"/>
  <c r="AI17" i="10" a="1"/>
  <c r="AU17" i="10" a="1"/>
  <c r="M26" i="10" a="1"/>
  <c r="BB18" i="10" a="1"/>
  <c r="BE23" i="10" a="1"/>
  <c r="AE24" i="10" a="1"/>
  <c r="AQ25" i="10" a="1"/>
  <c r="AM28" i="10" a="1"/>
  <c r="AY16" i="10" a="1"/>
  <c r="AL18" i="10" a="1"/>
  <c r="BA28" i="10" a="1"/>
  <c r="AX30" i="10" a="1"/>
  <c r="D16" i="10" a="1"/>
  <c r="AQ17" i="10" a="1"/>
  <c r="BK28" i="10" a="1"/>
  <c r="AE27" i="10" a="1"/>
  <c r="BE32" i="10" a="1"/>
  <c r="AG29" i="10" a="1"/>
  <c r="AC29" i="10" a="1"/>
  <c r="BO29" i="10" a="1"/>
  <c r="Y17" i="10" a="1"/>
  <c r="Y10" i="10" a="1"/>
  <c r="BG19" i="10" a="1"/>
  <c r="AP26" i="10" a="1"/>
  <c r="BI20" i="10" a="1"/>
  <c r="BS20" i="10" a="1"/>
  <c r="AD16" i="10" a="1"/>
  <c r="J27" i="10" a="1"/>
  <c r="AD23" i="10" a="1"/>
  <c r="AO24" i="10" a="1"/>
  <c r="T29" i="10" a="1"/>
  <c r="BM22" i="10" a="1"/>
  <c r="AS30" i="10" a="1"/>
  <c r="BN27" i="10" a="1"/>
  <c r="AD27" i="10" a="1"/>
  <c r="AL22" i="10" a="1"/>
  <c r="AU25" i="10" a="1"/>
  <c r="BA30" i="10" a="1"/>
  <c r="Z23" i="10" a="1"/>
  <c r="BI25" i="10" a="1"/>
  <c r="AC21" i="10" a="1"/>
  <c r="AW28" i="10" a="1"/>
  <c r="AT29" i="10" a="1"/>
  <c r="AQ28" i="10" a="1"/>
  <c r="BI22" i="10" a="1"/>
  <c r="T24" i="10" a="1"/>
  <c r="AS16" i="10" a="1"/>
  <c r="AK31" i="10" a="1"/>
  <c r="AW17" i="10" a="1"/>
  <c r="P27" i="10" a="1"/>
  <c r="BS26" i="10" a="1"/>
  <c r="AK20" i="10" a="1"/>
  <c r="AT17" i="10" a="1"/>
  <c r="Y20" i="10" a="1"/>
  <c r="H29" i="10" a="1"/>
  <c r="AX17" i="10" a="1"/>
  <c r="M31" i="10" a="1"/>
  <c r="Y32" i="10" a="1"/>
  <c r="O18" i="10" a="1"/>
  <c r="BF32" i="10" a="1"/>
  <c r="O32" i="10" a="1"/>
  <c r="P16" i="10" a="1"/>
  <c r="P19" i="10" a="1"/>
  <c r="BF21" i="10" a="1"/>
  <c r="BI18" i="10" a="1"/>
  <c r="AK21" i="10" a="1"/>
  <c r="O23" i="10" a="1"/>
  <c r="E19" i="10" a="1"/>
  <c r="AM19" i="10" a="1"/>
  <c r="D28" i="10" a="1"/>
  <c r="BC24" i="10" a="1"/>
  <c r="AD19" i="10" a="1"/>
  <c r="BJ16" i="10" a="1"/>
  <c r="T23" i="10" a="1"/>
  <c r="AD29" i="10" a="1"/>
  <c r="BR20" i="10" a="1"/>
  <c r="AA32" i="10" a="1"/>
  <c r="AO29" i="10" a="1"/>
  <c r="BO16" i="10" a="1"/>
  <c r="BN28" i="10" a="1"/>
  <c r="F21" i="10" a="1"/>
  <c r="V20" i="10" a="1"/>
  <c r="AC27" i="10" a="1"/>
  <c r="S21" i="10" a="1"/>
  <c r="O24" i="10" a="1"/>
  <c r="G25" i="10" a="1"/>
  <c r="AY17" i="10" a="1"/>
  <c r="Q17" i="10" a="1"/>
  <c r="AP30" i="10" a="1"/>
  <c r="Y26" i="10" a="1"/>
  <c r="BQ20" i="10" a="1"/>
  <c r="BE26" i="10" a="1"/>
  <c r="T32" i="10" a="1"/>
  <c r="AY21" i="10" a="1"/>
  <c r="L21" i="10" a="1"/>
  <c r="AP25" i="10" a="1"/>
  <c r="V19" i="10" a="1"/>
  <c r="H26" i="10" a="1"/>
  <c r="BE22" i="10" a="1"/>
  <c r="Y31" i="10" a="1"/>
  <c r="K19" i="10" a="1"/>
  <c r="BC30" i="10" a="1"/>
  <c r="W28" i="10" a="1"/>
  <c r="AW22" i="10" a="1"/>
  <c r="BE21" i="10" a="1"/>
  <c r="AT21" i="10" a="1"/>
  <c r="BJ30" i="10" a="1"/>
  <c r="BO22" i="10" a="1"/>
  <c r="T20" i="10" a="1"/>
  <c r="AG26" i="10" a="1"/>
  <c r="D26" i="10" a="1"/>
  <c r="S28" i="10" a="1"/>
  <c r="W32" i="10" a="1"/>
  <c r="BS28" i="10" a="1"/>
  <c r="BE17" i="10" a="1"/>
  <c r="BS24" i="10" a="1"/>
  <c r="J31" i="10" a="1"/>
  <c r="BE29" i="10" a="1"/>
  <c r="BC20" i="10" a="1"/>
  <c r="AY28" i="10" a="1"/>
  <c r="V25" i="10" a="1"/>
  <c r="BF19" i="10" a="1"/>
  <c r="BG28" i="10" a="1"/>
  <c r="S10" i="10" a="1"/>
  <c r="Q32" i="10" a="1"/>
  <c r="W26" i="10" a="1"/>
  <c r="F16" i="10" a="1"/>
  <c r="AL27" i="10" a="1"/>
  <c r="AS28" i="10" a="1"/>
  <c r="BB24" i="10" a="1"/>
  <c r="BI24" i="10" a="1"/>
  <c r="G31" i="10" a="1"/>
  <c r="BO31" i="10" a="1"/>
  <c r="J29" i="10" a="1"/>
  <c r="AD21" i="10" a="1"/>
  <c r="BF23" i="10" a="1"/>
  <c r="AH16" i="10" a="1"/>
  <c r="BK22" i="10" a="1"/>
  <c r="AI25" i="10" a="1"/>
  <c r="Y23" i="10" a="1"/>
  <c r="AQ20" i="10" a="1"/>
  <c r="BC21" i="10" a="1"/>
  <c r="BE16" i="10" a="1"/>
  <c r="Z31" i="10" a="1"/>
  <c r="BM16" i="10" a="1"/>
  <c r="BQ30" i="10" a="1"/>
  <c r="J23" i="10" a="1"/>
  <c r="Z20" i="10" a="1"/>
  <c r="AS24" i="10" a="1"/>
  <c r="I29" i="10" a="1"/>
  <c r="AP27" i="10" a="1"/>
  <c r="AW19" i="10" a="1"/>
  <c r="S16" i="10" a="1"/>
  <c r="H31" i="10" a="1"/>
  <c r="I31" i="10" a="1"/>
  <c r="BG30" i="10" a="1"/>
  <c r="J28" i="10" a="1"/>
  <c r="AK25" i="10" a="1"/>
  <c r="BM10" i="10" a="1"/>
  <c r="BJ21" i="10" a="1"/>
  <c r="E18" i="10" a="1"/>
  <c r="AQ23" i="10" a="1"/>
  <c r="BE10" i="10" a="1"/>
  <c r="AL25" i="10" a="1"/>
  <c r="V17" i="10" a="1"/>
  <c r="AC16" i="10" a="1"/>
  <c r="Z30" i="10" a="1"/>
  <c r="BK27" i="10" a="1"/>
  <c r="V16" i="10" a="1"/>
  <c r="AK29" i="10" a="1"/>
  <c r="BB23" i="10" a="1"/>
  <c r="AG20" i="10" a="1"/>
  <c r="BG32" i="10" a="1"/>
  <c r="AG32" i="10" a="1"/>
  <c r="V31" i="10" a="1"/>
  <c r="Y21" i="10" a="1"/>
  <c r="BR30" i="10" a="1"/>
  <c r="L24" i="10" a="1"/>
  <c r="BM24" i="10" a="1"/>
  <c r="AS25" i="10" a="1"/>
  <c r="O25" i="10" a="1"/>
  <c r="Y16" i="10" a="1"/>
  <c r="I28" i="10" a="1"/>
  <c r="BM26" i="10" a="1"/>
  <c r="M19" i="10" a="1"/>
  <c r="BJ22" i="10" a="1"/>
  <c r="AK27" i="10" a="1"/>
  <c r="BI31" i="10" a="1"/>
  <c r="AY18" i="10" a="1"/>
  <c r="AL31" i="10" a="1"/>
  <c r="AO23" i="10" a="1"/>
  <c r="BQ25" i="10" a="1"/>
  <c r="BE27" i="10" a="1"/>
  <c r="AU28" i="10" a="1"/>
  <c r="AD26" i="10" a="1"/>
  <c r="BM31" i="10" a="1"/>
  <c r="AA19" i="10" a="1"/>
  <c r="BB22" i="10" a="1"/>
  <c r="AG16" i="10" a="1"/>
  <c r="BJ28" i="10" a="1"/>
  <c r="BC28" i="10" a="1"/>
  <c r="Z26" i="10" a="1"/>
  <c r="BK16" i="10" a="1"/>
  <c r="BB20" i="10" a="1"/>
  <c r="AA22" i="10" a="1"/>
  <c r="AG24" i="10" a="1"/>
  <c r="E22" i="10" a="1"/>
  <c r="AP31" i="10" a="1"/>
  <c r="BR17" i="10" a="1"/>
  <c r="BB17" i="10" a="1"/>
  <c r="BM29" i="10" a="1"/>
  <c r="K16" i="10" a="1"/>
  <c r="Z22" i="10" a="1"/>
  <c r="K25" i="10" a="1"/>
  <c r="AU27" i="10" a="1"/>
  <c r="BR26" i="10" a="1"/>
  <c r="P18" i="10" a="1"/>
  <c r="K28" i="10" a="1"/>
  <c r="AT32" i="10" a="1"/>
  <c r="U28" i="10" a="1"/>
  <c r="BO27" i="10" a="1"/>
  <c r="AG10" i="10" a="1"/>
  <c r="BS18" i="10" a="1"/>
  <c r="V21" i="10" a="1"/>
  <c r="AP32" i="10" a="1"/>
  <c r="Y19" i="10" a="1"/>
  <c r="AL23" i="10" a="1"/>
  <c r="AU21" i="10" a="1"/>
  <c r="P21" i="10" a="1"/>
  <c r="Q31" i="10" a="1"/>
  <c r="BN32" i="10" a="1"/>
  <c r="BS25" i="10" a="1"/>
  <c r="AW23" i="10" a="1"/>
  <c r="D30" i="10" a="1"/>
  <c r="AW31" i="10" a="1"/>
  <c r="AT20" i="10" a="1"/>
  <c r="AM20" i="10" a="1"/>
  <c r="AH24" i="10" a="1"/>
  <c r="J26" i="10" a="1"/>
  <c r="AY30" i="10" a="1"/>
  <c r="BN16" i="10" a="1"/>
  <c r="AK30" i="10" a="1"/>
  <c r="BI32" i="10" a="1"/>
  <c r="AD32" i="10" a="1"/>
  <c r="AE30" i="10" a="1"/>
  <c r="O21" i="10" a="1"/>
  <c r="H21" i="10" a="1"/>
  <c r="BJ27" i="10" a="1"/>
  <c r="AX26" i="10" a="1"/>
  <c r="BQ19" i="10" a="1"/>
  <c r="BB31" i="10" a="1"/>
  <c r="Q18" i="10" a="1"/>
  <c r="BA17" i="10" a="1"/>
  <c r="AS17" i="10" a="1"/>
  <c r="AA27" i="10" a="1"/>
  <c r="BC26" i="10" a="1"/>
  <c r="BA31" i="10" a="1"/>
  <c r="BJ26" i="10" a="1"/>
  <c r="AA23" i="10" a="1"/>
  <c r="V26" i="10" a="1"/>
  <c r="L29" i="10" a="1"/>
  <c r="BI10" i="10" a="1"/>
  <c r="AI28" i="10" a="1"/>
  <c r="T28" i="10" a="1"/>
  <c r="AX23" i="10" a="1"/>
  <c r="AH27" i="10" a="1"/>
  <c r="W18" i="10" a="1"/>
  <c r="G21" i="10" a="1"/>
  <c r="BR31" i="10" a="1"/>
  <c r="AT22" i="10" a="1"/>
  <c r="AS18" i="10" a="1"/>
  <c r="Z16" i="10" a="1"/>
  <c r="M23" i="10" a="1"/>
  <c r="BI29" i="10" a="1"/>
  <c r="P17" i="10" a="1"/>
  <c r="BA27" i="10" a="1"/>
  <c r="AA16" i="10" a="1"/>
  <c r="J20" i="10" a="1"/>
  <c r="K26" i="10" a="1"/>
  <c r="BJ17" i="10" a="1"/>
  <c r="L20" i="10" a="1"/>
  <c r="AA25" i="10" a="1"/>
  <c r="V24" i="10" a="1"/>
  <c r="AS10" i="10" a="1"/>
  <c r="F23" i="10" a="1"/>
  <c r="M17" i="10" a="1"/>
  <c r="BG26" i="10" a="1"/>
  <c r="BR29" i="10" a="1"/>
  <c r="AU30" i="10" a="1"/>
  <c r="W17" i="10" a="1"/>
  <c r="BI28" i="10" a="1"/>
  <c r="AE22" i="10" a="1"/>
  <c r="AO18" i="10" a="1"/>
  <c r="AE29" i="10" a="1"/>
  <c r="J22" i="10" a="1"/>
  <c r="AX28" i="10" a="1"/>
  <c r="Q24" i="10" a="1"/>
  <c r="S22" i="10" a="1"/>
  <c r="BG27" i="10" a="1"/>
  <c r="BC23" i="10" a="1"/>
  <c r="M21" i="10" a="1"/>
  <c r="AL28" i="10" a="1"/>
  <c r="T25" i="10" a="1"/>
  <c r="AI19" i="10" a="1"/>
  <c r="S30" i="10" a="1"/>
  <c r="V27" i="10" a="1"/>
  <c r="I26" i="10" a="1"/>
  <c r="AS31" i="10" a="1"/>
  <c r="BE24" i="10" a="1"/>
  <c r="H23" i="10" a="1"/>
  <c r="BG17" i="10" a="1"/>
  <c r="T16" i="10" a="1"/>
  <c r="AS32" i="10" a="1"/>
  <c r="BM20" i="10" a="1"/>
  <c r="AC31" i="10" a="1"/>
  <c r="AQ29" i="10" a="1"/>
  <c r="BA20" i="10" a="1"/>
  <c r="AY20" i="10" a="1"/>
  <c r="AL26" i="10" a="1"/>
  <c r="BA10" i="10" a="1"/>
  <c r="BC25" i="10" a="1"/>
  <c r="D17" i="10" a="1"/>
  <c r="AY22" i="10" a="1"/>
  <c r="BG22" i="10" a="1"/>
  <c r="AM30" i="10" a="1"/>
  <c r="BR19" i="10" a="1"/>
  <c r="AE20" i="10" a="1"/>
  <c r="T22" i="10" a="1"/>
  <c r="BI21" i="10" a="1"/>
  <c r="BN17" i="10" a="1"/>
  <c r="O27" i="10" a="1"/>
  <c r="AD25" i="10" a="1"/>
  <c r="BN31" i="10" a="1"/>
  <c r="BJ29" i="10" a="1"/>
  <c r="H17" i="10" a="1"/>
  <c r="BO19" i="10" a="1"/>
  <c r="AW29" i="10" a="1"/>
  <c r="AT30" i="10" a="1"/>
  <c r="Q25" i="10" a="1"/>
  <c r="O20" i="10" a="1"/>
  <c r="W27" i="10" a="1"/>
  <c r="E20" i="10" a="1"/>
  <c r="BM30" i="10" a="1"/>
  <c r="BB19" i="10" a="1"/>
  <c r="Z24" i="10" a="1"/>
  <c r="AY31" i="10" a="1"/>
  <c r="AO21" i="10" a="1"/>
  <c r="I21" i="10" a="1"/>
  <c r="F20" i="10" a="1"/>
  <c r="BQ22" i="10" a="1"/>
  <c r="BG31" i="10" a="1"/>
  <c r="AY29" i="10" a="1"/>
  <c r="BN29" i="10" a="1"/>
  <c r="G24" i="10" a="1"/>
  <c r="H32" i="10" a="1"/>
  <c r="AM16" i="10" a="1"/>
  <c r="V23" i="10" a="1"/>
  <c r="BI26" i="10" a="1"/>
  <c r="P29" i="10" a="1"/>
  <c r="AI29" i="10" a="1"/>
  <c r="AO28" i="10" a="1"/>
  <c r="T31" i="10" a="1"/>
  <c r="F24" i="10" a="1"/>
  <c r="BR25" i="10" a="1"/>
  <c r="BG24" i="10" a="1"/>
  <c r="BM19" i="10" a="1"/>
  <c r="H25" i="10" a="1"/>
  <c r="L26" i="10" a="1"/>
  <c r="AK18" i="10" a="1"/>
  <c r="AK24" i="10" a="1"/>
  <c r="BE30" i="10" a="1"/>
  <c r="AM32" i="10" a="1"/>
  <c r="BK31" i="10" a="1"/>
  <c r="Z21" i="10" a="1"/>
  <c r="AU22" i="10" a="1"/>
  <c r="U23" i="10" a="1"/>
  <c r="F29" i="10" a="1"/>
  <c r="BS17" i="10" a="1"/>
  <c r="O28" i="10" a="1"/>
  <c r="BR18" i="10" a="1"/>
  <c r="AC10" i="10" a="1"/>
  <c r="BA22" i="10" a="1"/>
  <c r="U30" i="10" a="1"/>
  <c r="BQ28" i="10" a="1"/>
  <c r="O26" i="10" a="1"/>
  <c r="J19" i="10" a="1"/>
  <c r="AC24" i="10" a="1"/>
  <c r="G19" i="10" a="1"/>
  <c r="Q19" i="10" a="1"/>
  <c r="L28" i="10" a="1"/>
  <c r="AS22" i="10" a="1"/>
  <c r="BB30" i="10" a="1"/>
  <c r="BN21" i="10" a="1"/>
  <c r="AS19" i="10" a="1"/>
  <c r="M28" i="10" a="1"/>
  <c r="AW25" i="10" a="1"/>
  <c r="I20" i="10" a="1"/>
  <c r="AU23" i="10" a="1"/>
  <c r="M18" i="10" a="1"/>
  <c r="S24" i="10" a="1"/>
  <c r="BN26" i="10" a="1"/>
  <c r="J24" i="10" a="1"/>
  <c r="AQ32" i="10" a="1"/>
  <c r="BS19" i="10" a="1"/>
  <c r="AX31" i="10" a="1"/>
  <c r="BB29" i="10" a="1"/>
  <c r="AH17" i="10" a="1"/>
  <c r="BF22" i="10" a="1"/>
  <c r="K27" i="10" a="1"/>
  <c r="AW32" i="10" a="1"/>
  <c r="D21" i="10" a="1"/>
  <c r="AP19" i="10" a="1"/>
  <c r="Q20" i="10" a="1"/>
  <c r="E27" i="10" a="1"/>
  <c r="G17" i="10" a="1"/>
  <c r="M27" i="10" a="1"/>
  <c r="BE20" i="10" a="1"/>
  <c r="D22" i="10" a="1"/>
  <c r="AE16" i="10" a="1"/>
  <c r="AP17" i="10" a="1"/>
  <c r="V22" i="10" a="1"/>
  <c r="W22" i="10" a="1"/>
  <c r="BC17" i="10" a="1"/>
  <c r="BE25" i="10" a="1"/>
  <c r="Z29" i="10" a="1"/>
  <c r="BE31" i="10" a="1"/>
  <c r="H16" i="10" a="1"/>
  <c r="AM17" i="10" a="1"/>
  <c r="BQ32" i="10" a="1"/>
  <c r="BI27" i="10" a="1"/>
  <c r="AL24" i="10" a="1"/>
  <c r="AD28" i="10" a="1"/>
  <c r="BQ17" i="10" a="1"/>
  <c r="G28" i="10" a="1"/>
  <c r="BR27" i="10" a="1"/>
  <c r="D27" i="10" a="1"/>
  <c r="AU26" i="10" a="1"/>
  <c r="AM22" i="10" a="1"/>
  <c r="AY19" i="10" a="1"/>
  <c r="AL32" i="10" a="1"/>
  <c r="AP18" i="10" a="1"/>
  <c r="Q22" i="10" a="1"/>
  <c r="L31" i="10" a="1"/>
  <c r="BB27" i="10" a="1"/>
  <c r="BG20" i="10" a="1"/>
  <c r="AH32" i="10" a="1"/>
  <c r="BS27" i="10" a="1"/>
  <c r="Q21" i="10" a="1"/>
  <c r="BM23" i="10" a="1"/>
  <c r="BQ16" i="10" a="1"/>
  <c r="BM21" i="10" a="1"/>
  <c r="W23" i="10" a="1"/>
  <c r="I30" i="10" a="1"/>
  <c r="AU24" i="10" a="1"/>
  <c r="BM17" i="10" a="1"/>
  <c r="P20" i="10" a="1"/>
  <c r="AH26" i="10" a="1"/>
  <c r="AO16" i="10" a="1"/>
  <c r="G32" i="10" a="1"/>
  <c r="P23" i="10" a="1"/>
  <c r="AC28" i="10" a="1"/>
  <c r="AA17" i="10" a="1"/>
  <c r="T18" i="10" a="1"/>
  <c r="AL21" i="10" a="1"/>
  <c r="AO27" i="10" a="1"/>
  <c r="AK22" i="10" a="1"/>
  <c r="BN20" i="10" a="1"/>
  <c r="BK23" i="10" a="1"/>
  <c r="Y24" i="10" a="1"/>
  <c r="AY23" i="10" a="1"/>
  <c r="BO18" i="10" a="1"/>
  <c r="AH18" i="10" a="1"/>
  <c r="BM28" i="10" a="1"/>
  <c r="BJ18" i="10" a="1"/>
  <c r="M22" i="10" a="1"/>
  <c r="AX29" i="10" a="1"/>
  <c r="AP22" i="10" a="1"/>
  <c r="AC20" i="10" a="1"/>
  <c r="AA31" i="10" a="1"/>
  <c r="AG22" i="10" a="1"/>
  <c r="BR24" i="10" a="1"/>
  <c r="W21" i="10" a="1"/>
  <c r="G22" i="10" a="1"/>
  <c r="AM18" i="10" a="1"/>
  <c r="AI23" i="10" a="1"/>
  <c r="AM27" i="10" a="1"/>
  <c r="BE28" i="10" a="1"/>
  <c r="F26" i="10" a="1"/>
  <c r="AM29" i="10" a="1"/>
  <c r="AI22" i="10" a="1"/>
  <c r="W24" i="10" a="1"/>
  <c r="I24" i="10" a="1"/>
  <c r="AE18" i="10" a="1"/>
  <c r="J17" i="10" a="1"/>
  <c r="AC25" i="10" a="1"/>
  <c r="AQ26" i="10" a="1"/>
  <c r="AI21" i="10" a="1"/>
  <c r="AE23" i="10" a="1"/>
  <c r="L16" i="10" a="1"/>
  <c r="F27" i="10" a="1"/>
  <c r="BF17" i="10" a="1"/>
  <c r="P26" i="10" a="1"/>
  <c r="AW24" i="10" a="1"/>
  <c r="S32" i="10" a="1"/>
  <c r="BO23" i="10" a="1"/>
  <c r="M16" i="10" a="1"/>
  <c r="BB25" i="10" a="1"/>
  <c r="F25" i="10" a="1"/>
  <c r="BN19" i="10" a="1"/>
  <c r="AW18" i="10" a="1"/>
  <c r="BO21" i="10" a="1"/>
  <c r="BJ31" i="10" a="1"/>
  <c r="AG25" i="10" a="1"/>
  <c r="AP24" i="10" a="1"/>
  <c r="Z27" i="10" a="1"/>
  <c r="BO20" i="10" a="1"/>
  <c r="M30" i="10" a="1"/>
  <c r="BB28" i="10" a="1"/>
  <c r="F22" i="10" a="1"/>
  <c r="AP29" i="10" a="1"/>
  <c r="AT26" i="10" a="1"/>
  <c r="BO26" i="10" a="1"/>
  <c r="BC31" i="10" a="1"/>
  <c r="BI19" i="10" a="1"/>
  <c r="M20" i="10" a="1"/>
  <c r="S25" i="10" a="1"/>
  <c r="Q26" i="10" a="1"/>
  <c r="I25" i="10" a="1"/>
  <c r="F32" i="10" a="1"/>
  <c r="AE17" i="10" a="1"/>
  <c r="AT27" i="10" a="1"/>
  <c r="E29" i="10" a="1"/>
  <c r="BC22" i="10" a="1"/>
  <c r="I16" i="10" a="1"/>
  <c r="BC32" i="10" a="1"/>
  <c r="U20" i="10" a="1"/>
  <c r="AH21" i="10" a="1"/>
  <c r="U22" i="10" a="1"/>
  <c r="AL20" i="10" a="1"/>
  <c r="U16" i="10" a="1"/>
  <c r="I19" i="10" a="1"/>
  <c r="E31" i="10" a="1"/>
  <c r="P30" i="10" a="1"/>
  <c r="AW30" i="10" a="1"/>
  <c r="J32" i="10" a="1"/>
  <c r="W29" i="10" a="1"/>
  <c r="V30" i="10" a="1"/>
  <c r="BO17" i="10" a="1"/>
  <c r="S19" i="10" a="1"/>
  <c r="AI18" i="10" a="1"/>
  <c r="K29" i="10" a="1"/>
  <c r="AS21" i="10" a="1"/>
  <c r="AO32" i="10" a="1"/>
  <c r="E30" i="10" a="1"/>
  <c r="AK23" i="10" a="1"/>
  <c r="BQ21" i="10" a="1"/>
  <c r="H28" i="10" a="1"/>
  <c r="L30" i="10" a="1"/>
  <c r="L18" i="10" a="1"/>
  <c r="W31" i="10" a="1"/>
  <c r="AO10" i="10" a="1"/>
  <c r="AI16" i="10" a="1"/>
  <c r="F30" i="10" a="1"/>
  <c r="BK24" i="10" a="1"/>
  <c r="AX16" i="10" a="1"/>
  <c r="BS32" i="10" a="1"/>
  <c r="AH31" i="10" a="1"/>
  <c r="AD22" i="10" a="1"/>
  <c r="J16" i="10" a="1"/>
  <c r="K31" i="10" a="1"/>
  <c r="BN18" i="10" a="1"/>
  <c r="F31" i="10" a="1"/>
  <c r="AU20" i="10" a="1"/>
  <c r="W20" i="10" a="1"/>
  <c r="BK26" i="10" a="1"/>
  <c r="AP20" i="10" a="1"/>
  <c r="BR22" i="10" a="1"/>
  <c r="BE18" i="10" a="1"/>
  <c r="V28" i="10" a="1"/>
  <c r="AD20" i="10" a="1"/>
  <c r="O22" i="10" a="1"/>
  <c r="BN22" i="10" a="1"/>
  <c r="BN30" i="10" a="1"/>
  <c r="AH22" i="10" a="1"/>
  <c r="T27" i="10" a="1"/>
  <c r="AC22" i="10" a="1"/>
  <c r="AG19" i="10" a="1"/>
  <c r="Q23" i="10" a="1"/>
  <c r="K23" i="10" a="1"/>
  <c r="BF16" i="10" a="1"/>
  <c r="AW20" i="10" a="1"/>
  <c r="AG17" i="10" a="1"/>
  <c r="BB16" i="10" a="1"/>
  <c r="BS16" i="10" a="1"/>
  <c r="AU18" i="10" a="1"/>
  <c r="AT31" i="10" a="1"/>
  <c r="AA24" i="10" a="1"/>
  <c r="AG27" i="10" a="1"/>
  <c r="AM31" i="10" a="1"/>
  <c r="M29" i="10" a="1"/>
  <c r="S20" i="10" a="1"/>
  <c r="K22" i="10" a="1"/>
  <c r="K32" i="10" a="1"/>
  <c r="BC18" i="10" a="1"/>
  <c r="BF24" i="10" a="1"/>
  <c r="E26" i="10" a="1"/>
  <c r="AE26" i="10" a="1"/>
  <c r="BG21" i="10" a="1"/>
  <c r="AT24" i="10" a="1"/>
  <c r="BC16" i="10" a="1"/>
  <c r="BJ32" i="10" a="1"/>
  <c r="AX18" i="10" a="1"/>
  <c r="O30" i="10" a="1"/>
  <c r="L17" i="10" a="1"/>
  <c r="AD24" i="10" a="1"/>
  <c r="AC23" i="10" a="1"/>
  <c r="I23" i="10" a="1"/>
  <c r="H22" i="10" a="1"/>
  <c r="AQ31" i="10" a="1"/>
  <c r="BQ10" i="10" a="1"/>
  <c r="G29" i="10" a="1"/>
  <c r="AA28" i="10" a="1"/>
  <c r="BB32" i="10" a="1"/>
  <c r="BR32" i="10" a="1"/>
  <c r="BR32" i="10" l="1"/>
  <c r="BB32" i="10"/>
  <c r="AA28" i="10"/>
  <c r="G29" i="10"/>
  <c r="BQ10" i="10"/>
  <c r="AQ31" i="10"/>
  <c r="H22" i="10"/>
  <c r="I23" i="10"/>
  <c r="AC23" i="10"/>
  <c r="AD24" i="10"/>
  <c r="L17" i="10"/>
  <c r="O30" i="10"/>
  <c r="AX18" i="10"/>
  <c r="BJ32" i="10"/>
  <c r="BC16" i="10"/>
  <c r="AT24" i="10"/>
  <c r="BG21" i="10"/>
  <c r="AE26" i="10"/>
  <c r="E26" i="10"/>
  <c r="BF24" i="10"/>
  <c r="BC18" i="10"/>
  <c r="K32" i="10"/>
  <c r="K22" i="10"/>
  <c r="S20" i="10"/>
  <c r="M29" i="10"/>
  <c r="AM31" i="10"/>
  <c r="AG27" i="10"/>
  <c r="AA24" i="10"/>
  <c r="AT31" i="10"/>
  <c r="AU18" i="10"/>
  <c r="BS16" i="10"/>
  <c r="BB16" i="10"/>
  <c r="AG17" i="10"/>
  <c r="AW20" i="10"/>
  <c r="BF16" i="10"/>
  <c r="K23" i="10"/>
  <c r="Q23" i="10"/>
  <c r="AG19" i="10"/>
  <c r="AC22" i="10"/>
  <c r="T27" i="10"/>
  <c r="AH22" i="10"/>
  <c r="BN30" i="10"/>
  <c r="BN22" i="10"/>
  <c r="O22" i="10"/>
  <c r="AD20" i="10"/>
  <c r="V28" i="10"/>
  <c r="BE18" i="10"/>
  <c r="BR22" i="10"/>
  <c r="AP20" i="10"/>
  <c r="BK26" i="10"/>
  <c r="W20" i="10"/>
  <c r="AU20" i="10"/>
  <c r="F31" i="10"/>
  <c r="BN18" i="10"/>
  <c r="K31" i="10"/>
  <c r="J16" i="10"/>
  <c r="AD22" i="10"/>
  <c r="AH31" i="10"/>
  <c r="BS32" i="10"/>
  <c r="AX16" i="10"/>
  <c r="BK24" i="10"/>
  <c r="F30" i="10"/>
  <c r="AI16" i="10"/>
  <c r="AO10" i="10"/>
  <c r="W31" i="10"/>
  <c r="L18" i="10"/>
  <c r="L30" i="10"/>
  <c r="H28" i="10"/>
  <c r="BQ21" i="10"/>
  <c r="AK23" i="10"/>
  <c r="E30" i="10"/>
  <c r="AO32" i="10"/>
  <c r="AS21" i="10"/>
  <c r="K29" i="10"/>
  <c r="AI18" i="10"/>
  <c r="S19" i="10"/>
  <c r="BO17" i="10"/>
  <c r="V30" i="10"/>
  <c r="W29" i="10"/>
  <c r="J32" i="10"/>
  <c r="AW30" i="10"/>
  <c r="P30" i="10"/>
  <c r="E31" i="10"/>
  <c r="I19" i="10"/>
  <c r="U16" i="10"/>
  <c r="AL20" i="10"/>
  <c r="U22" i="10"/>
  <c r="AH21" i="10"/>
  <c r="U20" i="10"/>
  <c r="BC32" i="10"/>
  <c r="I16" i="10"/>
  <c r="BC22" i="10"/>
  <c r="E29" i="10"/>
  <c r="AT27" i="10"/>
  <c r="AE17" i="10"/>
  <c r="F32" i="10"/>
  <c r="I25" i="10"/>
  <c r="Q26" i="10"/>
  <c r="S25" i="10"/>
  <c r="M20" i="10"/>
  <c r="BI19" i="10"/>
  <c r="BC31" i="10"/>
  <c r="BO26" i="10"/>
  <c r="AT26" i="10"/>
  <c r="AP29" i="10"/>
  <c r="F22" i="10"/>
  <c r="BB28" i="10"/>
  <c r="M30" i="10"/>
  <c r="BO20" i="10"/>
  <c r="Z27" i="10"/>
  <c r="AP24" i="10"/>
  <c r="AG25" i="10"/>
  <c r="BJ31" i="10"/>
  <c r="BO21" i="10"/>
  <c r="AW18" i="10"/>
  <c r="BN19" i="10"/>
  <c r="F25" i="10"/>
  <c r="BB25" i="10"/>
  <c r="M16" i="10"/>
  <c r="BO23" i="10"/>
  <c r="S32" i="10"/>
  <c r="AW24" i="10"/>
  <c r="P26" i="10"/>
  <c r="BF17" i="10"/>
  <c r="F27" i="10"/>
  <c r="L16" i="10"/>
  <c r="AE23" i="10"/>
  <c r="AI21" i="10"/>
  <c r="AQ26" i="10"/>
  <c r="AC25" i="10"/>
  <c r="J17" i="10"/>
  <c r="AE18" i="10"/>
  <c r="I24" i="10"/>
  <c r="W24" i="10"/>
  <c r="AI22" i="10"/>
  <c r="AM29" i="10"/>
  <c r="F26" i="10"/>
  <c r="BE28" i="10"/>
  <c r="AM27" i="10"/>
  <c r="AI23" i="10"/>
  <c r="AM18" i="10"/>
  <c r="G22" i="10"/>
  <c r="W21" i="10"/>
  <c r="BR24" i="10"/>
  <c r="AG22" i="10"/>
  <c r="AA31" i="10"/>
  <c r="AC20" i="10"/>
  <c r="AP22" i="10"/>
  <c r="AX29" i="10"/>
  <c r="M22" i="10"/>
  <c r="BJ18" i="10"/>
  <c r="BM28" i="10"/>
  <c r="AH18" i="10"/>
  <c r="BO18" i="10"/>
  <c r="AY23" i="10"/>
  <c r="Y24" i="10"/>
  <c r="BK23" i="10"/>
  <c r="BN20" i="10"/>
  <c r="AK22" i="10"/>
  <c r="AO27" i="10"/>
  <c r="AL21" i="10"/>
  <c r="T18" i="10"/>
  <c r="AA17" i="10"/>
  <c r="AC28" i="10"/>
  <c r="P23" i="10"/>
  <c r="G32" i="10"/>
  <c r="AO16" i="10"/>
  <c r="AH26" i="10"/>
  <c r="P20" i="10"/>
  <c r="BM17" i="10"/>
  <c r="AU24" i="10"/>
  <c r="I30" i="10"/>
  <c r="W23" i="10"/>
  <c r="BM21" i="10"/>
  <c r="BQ16" i="10"/>
  <c r="BM23" i="10"/>
  <c r="Q21" i="10"/>
  <c r="BS27" i="10"/>
  <c r="AH32" i="10"/>
  <c r="BG20" i="10"/>
  <c r="BB27" i="10"/>
  <c r="L31" i="10"/>
  <c r="Q22" i="10"/>
  <c r="AP18" i="10"/>
  <c r="AL32" i="10"/>
  <c r="AY19" i="10"/>
  <c r="AM22" i="10"/>
  <c r="AU26" i="10"/>
  <c r="D27" i="10"/>
  <c r="BR27" i="10"/>
  <c r="G28" i="10"/>
  <c r="BQ17" i="10"/>
  <c r="AD28" i="10"/>
  <c r="AL24" i="10"/>
  <c r="BI27" i="10"/>
  <c r="BQ32" i="10"/>
  <c r="AM17" i="10"/>
  <c r="H16" i="10"/>
  <c r="BE31" i="10"/>
  <c r="Z29" i="10"/>
  <c r="BE25" i="10"/>
  <c r="BC17" i="10"/>
  <c r="W22" i="10"/>
  <c r="V22" i="10"/>
  <c r="AP17" i="10"/>
  <c r="AE16" i="10"/>
  <c r="D22" i="10"/>
  <c r="BE20" i="10"/>
  <c r="M27" i="10"/>
  <c r="G17" i="10"/>
  <c r="E27" i="10"/>
  <c r="Q20" i="10"/>
  <c r="AP19" i="10"/>
  <c r="D21" i="10"/>
  <c r="AW32" i="10"/>
  <c r="K27" i="10"/>
  <c r="BF22" i="10"/>
  <c r="AH17" i="10"/>
  <c r="BB29" i="10"/>
  <c r="AX31" i="10"/>
  <c r="BS19" i="10"/>
  <c r="AQ32" i="10"/>
  <c r="J24" i="10"/>
  <c r="BN26" i="10"/>
  <c r="S24" i="10"/>
  <c r="M18" i="10"/>
  <c r="AU23" i="10"/>
  <c r="I20" i="10"/>
  <c r="AW25" i="10"/>
  <c r="M28" i="10"/>
  <c r="AS19" i="10"/>
  <c r="BN21" i="10"/>
  <c r="BB30" i="10"/>
  <c r="AS22" i="10"/>
  <c r="L28" i="10"/>
  <c r="Q19" i="10"/>
  <c r="G19" i="10"/>
  <c r="AC24" i="10"/>
  <c r="J19" i="10"/>
  <c r="O26" i="10"/>
  <c r="BQ28" i="10"/>
  <c r="U30" i="10"/>
  <c r="BA22" i="10"/>
  <c r="AC10" i="10"/>
  <c r="BR18" i="10"/>
  <c r="O28" i="10"/>
  <c r="BS17" i="10"/>
  <c r="F29" i="10"/>
  <c r="U23" i="10"/>
  <c r="AU22" i="10"/>
  <c r="Z21" i="10"/>
  <c r="BK31" i="10"/>
  <c r="AM32" i="10"/>
  <c r="BE30" i="10"/>
  <c r="AK24" i="10"/>
  <c r="AK18" i="10"/>
  <c r="L26" i="10"/>
  <c r="H25" i="10"/>
  <c r="BM19" i="10"/>
  <c r="BG24" i="10"/>
  <c r="BR25" i="10"/>
  <c r="F24" i="10"/>
  <c r="T31" i="10"/>
  <c r="AO28" i="10"/>
  <c r="AI29" i="10"/>
  <c r="P29" i="10"/>
  <c r="BI26" i="10"/>
  <c r="V23" i="10"/>
  <c r="AM16" i="10"/>
  <c r="H32" i="10"/>
  <c r="G24" i="10"/>
  <c r="BN29" i="10"/>
  <c r="AY29" i="10"/>
  <c r="BG31" i="10"/>
  <c r="BQ22" i="10"/>
  <c r="F20" i="10"/>
  <c r="I21" i="10"/>
  <c r="AO21" i="10"/>
  <c r="AY31" i="10"/>
  <c r="Z24" i="10"/>
  <c r="BB19" i="10"/>
  <c r="BM30" i="10"/>
  <c r="E20" i="10"/>
  <c r="W27" i="10"/>
  <c r="O20" i="10"/>
  <c r="Q25" i="10"/>
  <c r="AT30" i="10"/>
  <c r="AW29" i="10"/>
  <c r="BO19" i="10"/>
  <c r="H17" i="10"/>
  <c r="BJ29" i="10"/>
  <c r="BN31" i="10"/>
  <c r="AD25" i="10"/>
  <c r="O27" i="10"/>
  <c r="BN17" i="10"/>
  <c r="BI21" i="10"/>
  <c r="T22" i="10"/>
  <c r="AE20" i="10"/>
  <c r="BR19" i="10"/>
  <c r="AM30" i="10"/>
  <c r="BG22" i="10"/>
  <c r="AY22" i="10"/>
  <c r="D17" i="10"/>
  <c r="BC25" i="10"/>
  <c r="BA10" i="10"/>
  <c r="AL26" i="10"/>
  <c r="AY20" i="10"/>
  <c r="BA20" i="10"/>
  <c r="AQ29" i="10"/>
  <c r="AC31" i="10"/>
  <c r="BM20" i="10"/>
  <c r="AS32" i="10"/>
  <c r="T16" i="10"/>
  <c r="BG17" i="10"/>
  <c r="H23" i="10"/>
  <c r="BE24" i="10"/>
  <c r="AS31" i="10"/>
  <c r="I26" i="10"/>
  <c r="V27" i="10"/>
  <c r="S30" i="10"/>
  <c r="AI19" i="10"/>
  <c r="T25" i="10"/>
  <c r="AL28" i="10"/>
  <c r="M21" i="10"/>
  <c r="BC23" i="10"/>
  <c r="BG27" i="10"/>
  <c r="S22" i="10"/>
  <c r="Q24" i="10"/>
  <c r="AX28" i="10"/>
  <c r="J22" i="10"/>
  <c r="AE29" i="10"/>
  <c r="AO18" i="10"/>
  <c r="AE22" i="10"/>
  <c r="BI28" i="10"/>
  <c r="W17" i="10"/>
  <c r="AU30" i="10"/>
  <c r="BR29" i="10"/>
  <c r="BG26" i="10"/>
  <c r="M17" i="10"/>
  <c r="F23" i="10"/>
  <c r="AS10" i="10"/>
  <c r="V24" i="10"/>
  <c r="AA25" i="10"/>
  <c r="L20" i="10"/>
  <c r="BJ17" i="10"/>
  <c r="K26" i="10"/>
  <c r="J20" i="10"/>
  <c r="AA16" i="10"/>
  <c r="BA27" i="10"/>
  <c r="P17" i="10"/>
  <c r="BI29" i="10"/>
  <c r="M23" i="10"/>
  <c r="Z16" i="10"/>
  <c r="AS18" i="10"/>
  <c r="AT22" i="10"/>
  <c r="BR31" i="10"/>
  <c r="G21" i="10"/>
  <c r="W18" i="10"/>
  <c r="AH27" i="10"/>
  <c r="AX23" i="10"/>
  <c r="T28" i="10"/>
  <c r="AI28" i="10"/>
  <c r="BI10" i="10"/>
  <c r="L29" i="10"/>
  <c r="V26" i="10"/>
  <c r="AA23" i="10"/>
  <c r="BJ26" i="10"/>
  <c r="BA31" i="10"/>
  <c r="BC26" i="10"/>
  <c r="AA27" i="10"/>
  <c r="AS17" i="10"/>
  <c r="BA17" i="10"/>
  <c r="Q18" i="10"/>
  <c r="BB31" i="10"/>
  <c r="BQ19" i="10"/>
  <c r="AX26" i="10"/>
  <c r="BJ27" i="10"/>
  <c r="H21" i="10"/>
  <c r="O21" i="10"/>
  <c r="AE30" i="10"/>
  <c r="AD32" i="10"/>
  <c r="BI32" i="10"/>
  <c r="AK30" i="10"/>
  <c r="BN16" i="10"/>
  <c r="AY30" i="10"/>
  <c r="J26" i="10"/>
  <c r="AH24" i="10"/>
  <c r="AM20" i="10"/>
  <c r="AT20" i="10"/>
  <c r="AW31" i="10"/>
  <c r="D30" i="10"/>
  <c r="AW23" i="10"/>
  <c r="BS25" i="10"/>
  <c r="BN32" i="10"/>
  <c r="Q31" i="10"/>
  <c r="P21" i="10"/>
  <c r="AU21" i="10"/>
  <c r="AL23" i="10"/>
  <c r="Y19" i="10"/>
  <c r="AP32" i="10"/>
  <c r="V21" i="10"/>
  <c r="BS18" i="10"/>
  <c r="AG10" i="10"/>
  <c r="BO27" i="10"/>
  <c r="U28" i="10"/>
  <c r="AT32" i="10"/>
  <c r="K28" i="10"/>
  <c r="P18" i="10"/>
  <c r="BR26" i="10"/>
  <c r="AU27" i="10"/>
  <c r="K25" i="10"/>
  <c r="Z22" i="10"/>
  <c r="K16" i="10"/>
  <c r="BM29" i="10"/>
  <c r="BB17" i="10"/>
  <c r="BR17" i="10"/>
  <c r="AP31" i="10"/>
  <c r="E22" i="10"/>
  <c r="AG24" i="10"/>
  <c r="AA22" i="10"/>
  <c r="BB20" i="10"/>
  <c r="BK16" i="10"/>
  <c r="Z26" i="10"/>
  <c r="BC28" i="10"/>
  <c r="BJ28" i="10"/>
  <c r="AG16" i="10"/>
  <c r="BB22" i="10"/>
  <c r="AA19" i="10"/>
  <c r="BM31" i="10"/>
  <c r="AD26" i="10"/>
  <c r="AU28" i="10"/>
  <c r="BE27" i="10"/>
  <c r="BQ25" i="10"/>
  <c r="AO23" i="10"/>
  <c r="AL31" i="10"/>
  <c r="AY18" i="10"/>
  <c r="BI31" i="10"/>
  <c r="AK27" i="10"/>
  <c r="BJ22" i="10"/>
  <c r="M19" i="10"/>
  <c r="BM26" i="10"/>
  <c r="I28" i="10"/>
  <c r="Y16" i="10"/>
  <c r="O25" i="10"/>
  <c r="AS25" i="10"/>
  <c r="BM24" i="10"/>
  <c r="L24" i="10"/>
  <c r="BR30" i="10"/>
  <c r="Y21" i="10"/>
  <c r="V31" i="10"/>
  <c r="AG32" i="10"/>
  <c r="BG32" i="10"/>
  <c r="AG20" i="10"/>
  <c r="BB23" i="10"/>
  <c r="AK29" i="10"/>
  <c r="V16" i="10"/>
  <c r="BK27" i="10"/>
  <c r="Z30" i="10"/>
  <c r="AC16" i="10"/>
  <c r="V17" i="10"/>
  <c r="AL25" i="10"/>
  <c r="BE10" i="10"/>
  <c r="AQ23" i="10"/>
  <c r="E18" i="10"/>
  <c r="BJ21" i="10"/>
  <c r="BM10" i="10"/>
  <c r="AK25" i="10"/>
  <c r="J28" i="10"/>
  <c r="BG30" i="10"/>
  <c r="I31" i="10"/>
  <c r="H31" i="10"/>
  <c r="S16" i="10"/>
  <c r="AW19" i="10"/>
  <c r="AP27" i="10"/>
  <c r="I29" i="10"/>
  <c r="AS24" i="10"/>
  <c r="Z20" i="10"/>
  <c r="J23" i="10"/>
  <c r="BQ30" i="10"/>
  <c r="BM16" i="10"/>
  <c r="Z31" i="10"/>
  <c r="BE16" i="10"/>
  <c r="BC21" i="10"/>
  <c r="AQ20" i="10"/>
  <c r="Y23" i="10"/>
  <c r="AI25" i="10"/>
  <c r="BK22" i="10"/>
  <c r="AH16" i="10"/>
  <c r="BF23" i="10"/>
  <c r="AD21" i="10"/>
  <c r="J29" i="10"/>
  <c r="BO31" i="10"/>
  <c r="G31" i="10"/>
  <c r="BI24" i="10"/>
  <c r="BB24" i="10"/>
  <c r="AS28" i="10"/>
  <c r="AL27" i="10"/>
  <c r="F16" i="10"/>
  <c r="W26" i="10"/>
  <c r="Q32" i="10"/>
  <c r="S10" i="10"/>
  <c r="BG28" i="10"/>
  <c r="BF19" i="10"/>
  <c r="V25" i="10"/>
  <c r="AY28" i="10"/>
  <c r="BC20" i="10"/>
  <c r="BE29" i="10"/>
  <c r="J31" i="10"/>
  <c r="BS24" i="10"/>
  <c r="BE17" i="10"/>
  <c r="BS28" i="10"/>
  <c r="W32" i="10"/>
  <c r="S28" i="10"/>
  <c r="D26" i="10"/>
  <c r="AG26" i="10"/>
  <c r="T20" i="10"/>
  <c r="BO22" i="10"/>
  <c r="BJ30" i="10"/>
  <c r="AT21" i="10"/>
  <c r="BE21" i="10"/>
  <c r="AW22" i="10"/>
  <c r="W28" i="10"/>
  <c r="BC30" i="10"/>
  <c r="K19" i="10"/>
  <c r="Y31" i="10"/>
  <c r="BE22" i="10"/>
  <c r="H26" i="10"/>
  <c r="V19" i="10"/>
  <c r="AP25" i="10"/>
  <c r="L21" i="10"/>
  <c r="AY21" i="10"/>
  <c r="T32" i="10"/>
  <c r="BE26" i="10"/>
  <c r="BQ20" i="10"/>
  <c r="Y26" i="10"/>
  <c r="AP30" i="10"/>
  <c r="Q17" i="10"/>
  <c r="AY17" i="10"/>
  <c r="G25" i="10"/>
  <c r="O24" i="10"/>
  <c r="S21" i="10"/>
  <c r="AC27" i="10"/>
  <c r="V20" i="10"/>
  <c r="F21" i="10"/>
  <c r="BN28" i="10"/>
  <c r="BO16" i="10"/>
  <c r="AO29" i="10"/>
  <c r="AA32" i="10"/>
  <c r="BR20" i="10"/>
  <c r="AD29" i="10"/>
  <c r="T23" i="10"/>
  <c r="BJ16" i="10"/>
  <c r="AD19" i="10"/>
  <c r="BC24" i="10"/>
  <c r="D28" i="10"/>
  <c r="AM19" i="10"/>
  <c r="E19" i="10"/>
  <c r="O23" i="10"/>
  <c r="AK21" i="10"/>
  <c r="BI18" i="10"/>
  <c r="BF21" i="10"/>
  <c r="P19" i="10"/>
  <c r="P16" i="10"/>
  <c r="O32" i="10"/>
  <c r="BF32" i="10"/>
  <c r="O18" i="10"/>
  <c r="Y32" i="10"/>
  <c r="M31" i="10"/>
  <c r="AX17" i="10"/>
  <c r="H29" i="10"/>
  <c r="Y20" i="10"/>
  <c r="AT17" i="10"/>
  <c r="AK20" i="10"/>
  <c r="BS26" i="10"/>
  <c r="P27" i="10"/>
  <c r="AW17" i="10"/>
  <c r="AK31" i="10"/>
  <c r="AS16" i="10"/>
  <c r="T24" i="10"/>
  <c r="BI22" i="10"/>
  <c r="AQ28" i="10"/>
  <c r="AT29" i="10"/>
  <c r="AW28" i="10"/>
  <c r="AC21" i="10"/>
  <c r="BI25" i="10"/>
  <c r="Z23" i="10"/>
  <c r="BA30" i="10"/>
  <c r="AU25" i="10"/>
  <c r="AL22" i="10"/>
  <c r="AD27" i="10"/>
  <c r="BN27" i="10"/>
  <c r="AS30" i="10"/>
  <c r="BM22" i="10"/>
  <c r="T29" i="10"/>
  <c r="AO24" i="10"/>
  <c r="AD23" i="10"/>
  <c r="J27" i="10"/>
  <c r="AD16" i="10"/>
  <c r="BS20" i="10"/>
  <c r="BI20" i="10"/>
  <c r="AP26" i="10"/>
  <c r="BG19" i="10"/>
  <c r="Y10" i="10"/>
  <c r="Y17" i="10"/>
  <c r="BO29" i="10"/>
  <c r="AC29" i="10"/>
  <c r="AG29" i="10"/>
  <c r="BE32" i="10"/>
  <c r="AE27" i="10"/>
  <c r="BK28" i="10"/>
  <c r="AQ17" i="10"/>
  <c r="D16" i="10"/>
  <c r="AX30" i="10"/>
  <c r="BA28" i="10"/>
  <c r="AL18" i="10"/>
  <c r="AY16" i="10"/>
  <c r="AM28" i="10"/>
  <c r="AQ25" i="10"/>
  <c r="AE24" i="10"/>
  <c r="BE23" i="10"/>
  <c r="BB18" i="10"/>
  <c r="M26" i="10"/>
  <c r="AU17" i="10"/>
  <c r="AI17" i="10"/>
  <c r="AM25" i="10"/>
  <c r="S27" i="10"/>
  <c r="BF28" i="10"/>
  <c r="AX24" i="10"/>
  <c r="BQ18" i="10"/>
  <c r="AA21" i="10"/>
  <c r="AQ16" i="10"/>
  <c r="BI17" i="10"/>
  <c r="L32" i="10"/>
  <c r="Q27" i="10"/>
  <c r="AO20" i="10"/>
  <c r="W16" i="10"/>
  <c r="AG30" i="10"/>
  <c r="AU16" i="10"/>
  <c r="BA32" i="10"/>
  <c r="AQ30" i="10"/>
  <c r="AI24" i="10"/>
  <c r="BK30" i="10"/>
  <c r="AC26" i="10"/>
  <c r="D24" i="10"/>
  <c r="BS30" i="10"/>
  <c r="BG25" i="10"/>
  <c r="AG28" i="10"/>
  <c r="AC30" i="10"/>
  <c r="O29" i="10"/>
  <c r="BC19" i="10"/>
  <c r="H18" i="10"/>
  <c r="G18" i="10"/>
  <c r="I27" i="10"/>
  <c r="AE21" i="10"/>
  <c r="AT28" i="10"/>
  <c r="V18" i="10"/>
  <c r="Y29" i="10"/>
  <c r="BK17" i="10"/>
  <c r="AW10" i="10"/>
  <c r="S18" i="10"/>
  <c r="AI31" i="10"/>
  <c r="BR21" i="10"/>
  <c r="I18" i="10"/>
  <c r="AD17" i="10"/>
  <c r="AY32" i="10"/>
  <c r="I22" i="10"/>
  <c r="D20" i="10"/>
  <c r="E21" i="10"/>
  <c r="AQ18" i="10"/>
  <c r="BS29" i="10"/>
  <c r="BK29" i="10"/>
  <c r="BN23" i="10"/>
  <c r="L22" i="10"/>
  <c r="AH29" i="10"/>
  <c r="AI32" i="10"/>
  <c r="AO26" i="10"/>
  <c r="T17" i="10"/>
  <c r="AH23" i="10"/>
  <c r="AK17" i="10"/>
  <c r="AQ22" i="10"/>
  <c r="AW27" i="10"/>
  <c r="BA29" i="10"/>
  <c r="G26" i="10"/>
  <c r="G23" i="10"/>
  <c r="AX25" i="10"/>
  <c r="T19" i="10"/>
  <c r="P24" i="10"/>
  <c r="BK32" i="10"/>
  <c r="AA30" i="10"/>
  <c r="BF20" i="10"/>
  <c r="BS31" i="10"/>
  <c r="BS23" i="10"/>
  <c r="Z17" i="10"/>
  <c r="BA21" i="10"/>
  <c r="BR23" i="10"/>
  <c r="AS23" i="10"/>
  <c r="BA16" i="10"/>
  <c r="BR16" i="10"/>
  <c r="BJ20" i="10"/>
  <c r="K18" i="10"/>
  <c r="L23" i="10"/>
  <c r="AK26" i="10"/>
  <c r="AO17" i="10"/>
  <c r="AK32" i="10"/>
  <c r="P25" i="10"/>
  <c r="W30" i="10"/>
  <c r="BK19" i="10"/>
  <c r="AK19" i="10"/>
  <c r="AX32" i="10"/>
  <c r="BQ31" i="10"/>
  <c r="I17" i="10"/>
  <c r="AI27" i="10"/>
  <c r="BQ29" i="10"/>
  <c r="AX19" i="10"/>
  <c r="AC32" i="10"/>
  <c r="AO30" i="10"/>
  <c r="AO19" i="10"/>
  <c r="BA19" i="10"/>
  <c r="AE31" i="10"/>
  <c r="BJ19" i="10"/>
  <c r="AH30" i="10"/>
  <c r="AM21" i="10"/>
  <c r="O19" i="10"/>
  <c r="AY25" i="10"/>
  <c r="AA20" i="10"/>
  <c r="AS26" i="10"/>
  <c r="AT16" i="10"/>
  <c r="BQ26" i="10"/>
  <c r="BG16" i="10"/>
  <c r="BM25" i="10"/>
  <c r="U17" i="10"/>
  <c r="H19" i="10"/>
  <c r="BF29" i="10"/>
  <c r="AT19" i="10"/>
  <c r="AA29" i="10"/>
  <c r="U19" i="10"/>
  <c r="AL16" i="10"/>
  <c r="E17" i="10"/>
  <c r="BA26" i="10"/>
  <c r="BO24" i="10"/>
  <c r="AX20" i="10"/>
  <c r="AQ21" i="10"/>
  <c r="AS27" i="10"/>
  <c r="AC18" i="10"/>
  <c r="U21" i="10"/>
  <c r="D18" i="10"/>
  <c r="Z32" i="10"/>
  <c r="BO32" i="10"/>
  <c r="BA25" i="10"/>
  <c r="AW16" i="10"/>
  <c r="AS20" i="10"/>
  <c r="BF31" i="10"/>
  <c r="AU31" i="10"/>
  <c r="AH20" i="10"/>
  <c r="AT23" i="10"/>
  <c r="E25" i="10"/>
  <c r="AE32" i="10"/>
  <c r="J18" i="10"/>
  <c r="AL17" i="10"/>
  <c r="K30" i="10"/>
  <c r="D10" i="10"/>
  <c r="Y30" i="10"/>
  <c r="BA24" i="10"/>
  <c r="F18" i="10"/>
  <c r="I32" i="10"/>
  <c r="AM23" i="10"/>
  <c r="U32" i="10"/>
  <c r="G30" i="10"/>
  <c r="E32" i="10"/>
  <c r="K21" i="10"/>
  <c r="AH19" i="10"/>
  <c r="AI20" i="10"/>
  <c r="AT18" i="10"/>
  <c r="Q30" i="10"/>
  <c r="AC19" i="10"/>
  <c r="D19" i="10"/>
  <c r="AY26" i="10"/>
  <c r="P31" i="10"/>
  <c r="AS29" i="10"/>
  <c r="AG18" i="10"/>
  <c r="Q28" i="10"/>
  <c r="G27" i="10"/>
  <c r="BM32" i="10"/>
  <c r="BJ25" i="10"/>
  <c r="AK28" i="10"/>
  <c r="Z19" i="10"/>
  <c r="BO28" i="10"/>
  <c r="AH28" i="10"/>
  <c r="BG23" i="10"/>
  <c r="AA18" i="10"/>
  <c r="BK25" i="10"/>
  <c r="AI26" i="10"/>
  <c r="BC27" i="10"/>
  <c r="BQ23" i="10"/>
  <c r="S23" i="10"/>
  <c r="AG21" i="10"/>
  <c r="AH25" i="10"/>
  <c r="L19" i="10"/>
  <c r="AO22" i="10"/>
  <c r="H27" i="10"/>
  <c r="H24" i="10"/>
  <c r="Z28" i="10"/>
  <c r="O16" i="10"/>
  <c r="BR28" i="10"/>
  <c r="AG23" i="10"/>
  <c r="K17" i="10"/>
  <c r="D32" i="10"/>
  <c r="AW26" i="10"/>
  <c r="BA18" i="10"/>
  <c r="D25" i="10"/>
  <c r="AU19" i="10"/>
  <c r="D29" i="10"/>
  <c r="F28" i="10"/>
  <c r="U29" i="10"/>
  <c r="E24" i="10"/>
  <c r="U31" i="10"/>
  <c r="BB21" i="10"/>
  <c r="Z18" i="10"/>
  <c r="D23" i="10"/>
  <c r="F19" i="10"/>
  <c r="BQ27" i="10"/>
  <c r="AX27" i="10"/>
  <c r="AO31" i="10"/>
  <c r="P22" i="10"/>
  <c r="F17" i="10"/>
  <c r="Y18" i="10"/>
  <c r="O10" i="10"/>
  <c r="G20" i="10"/>
  <c r="K20" i="10"/>
  <c r="AD18" i="10"/>
  <c r="J30" i="10"/>
  <c r="E23" i="10"/>
  <c r="BF26" i="10"/>
  <c r="T30" i="10"/>
  <c r="AG31" i="10"/>
  <c r="O31" i="10"/>
  <c r="BM27" i="10"/>
  <c r="BO25" i="10"/>
  <c r="BJ24" i="10"/>
  <c r="BN24" i="10"/>
  <c r="H30" i="10"/>
  <c r="O17" i="10"/>
  <c r="BF27" i="10"/>
  <c r="AP28" i="10"/>
  <c r="Y27" i="10"/>
  <c r="Y25" i="10"/>
  <c r="AP23" i="10"/>
  <c r="Y28" i="10"/>
  <c r="W19" i="10"/>
  <c r="BK21" i="10"/>
  <c r="T21" i="10"/>
  <c r="U26" i="10"/>
  <c r="U25" i="10"/>
  <c r="W25" i="10"/>
  <c r="BS21" i="10"/>
  <c r="V29" i="10"/>
  <c r="AP21" i="10"/>
  <c r="BN25" i="10"/>
  <c r="BB26" i="10"/>
  <c r="AU29" i="10"/>
  <c r="BA23" i="10"/>
  <c r="M25" i="10"/>
  <c r="AL19" i="10"/>
  <c r="L25" i="10"/>
  <c r="H20" i="10"/>
  <c r="J25" i="10"/>
  <c r="AA26" i="10"/>
  <c r="BO30" i="10"/>
  <c r="BF30" i="10"/>
  <c r="BG29" i="10"/>
  <c r="BK20" i="10"/>
  <c r="S17" i="10"/>
  <c r="S29" i="10"/>
  <c r="AX21" i="10"/>
  <c r="L27" i="10"/>
  <c r="BI16" i="10"/>
  <c r="M24" i="10"/>
  <c r="AQ24" i="10"/>
  <c r="AY24" i="10"/>
  <c r="AY27" i="10"/>
  <c r="AM26" i="10"/>
  <c r="AQ19" i="10"/>
  <c r="BM18" i="10"/>
  <c r="D31" i="10"/>
  <c r="BF18" i="10"/>
  <c r="Q16" i="10"/>
  <c r="U24" i="10"/>
  <c r="AQ27" i="10"/>
  <c r="AX22" i="10"/>
  <c r="E28" i="10"/>
  <c r="BI23" i="10"/>
  <c r="AO25" i="10"/>
  <c r="BJ23" i="10"/>
  <c r="AL29" i="10"/>
  <c r="S26" i="10"/>
  <c r="AK10" i="10"/>
  <c r="AK16" i="10"/>
  <c r="BE19" i="10"/>
  <c r="BI30" i="10"/>
  <c r="V32" i="10"/>
  <c r="G16" i="10"/>
  <c r="AW21" i="10"/>
  <c r="E16" i="10"/>
  <c r="AM24" i="10"/>
  <c r="K24" i="10"/>
  <c r="BG18" i="10"/>
  <c r="BF25" i="10"/>
  <c r="P32" i="10"/>
  <c r="AL30" i="10"/>
  <c r="AE19" i="10"/>
  <c r="AP16" i="10"/>
  <c r="BK18" i="10"/>
  <c r="BC29" i="10"/>
  <c r="AI30" i="10"/>
  <c r="T26" i="10"/>
  <c r="AE28" i="10"/>
  <c r="Q29" i="10"/>
  <c r="J21" i="10"/>
  <c r="AT25" i="10"/>
  <c r="P28" i="10"/>
  <c r="M32" i="10"/>
  <c r="BQ24" i="10"/>
  <c r="AD31" i="10"/>
  <c r="U27" i="10"/>
  <c r="AU32" i="10"/>
  <c r="S31" i="10"/>
  <c r="AE25" i="10"/>
  <c r="AC17" i="10"/>
  <c r="Z25" i="10"/>
  <c r="Y22" i="10"/>
  <c r="AD30" i="10"/>
  <c r="U18" i="10"/>
  <c r="BS22" i="10"/>
  <c r="AR69" i="1"/>
  <c r="BE60" i="10" l="1"/>
  <c r="BF73" i="10" s="1"/>
  <c r="BG73" i="10" s="1"/>
  <c r="D60" i="10"/>
  <c r="E76" i="10" s="1"/>
  <c r="F76" i="10" s="1"/>
  <c r="BM60" i="10"/>
  <c r="BN71" i="10" s="1"/>
  <c r="BO71" i="10" s="1"/>
  <c r="BQ60" i="10"/>
  <c r="BR66" i="10" s="1"/>
  <c r="BS66" i="10" s="1"/>
  <c r="BA60" i="10"/>
  <c r="BB69" i="10" s="1"/>
  <c r="BC69" i="10" s="1"/>
  <c r="BI60" i="10"/>
  <c r="BJ67" i="10" s="1"/>
  <c r="BK67" i="10" s="1"/>
  <c r="BN72" i="10" l="1"/>
  <c r="BO72" i="10" s="1"/>
  <c r="BF70" i="10"/>
  <c r="BG70" i="10" s="1"/>
  <c r="BJ68" i="10"/>
  <c r="BK68" i="10" s="1"/>
  <c r="BN66" i="10"/>
  <c r="BO66" i="10" s="1"/>
  <c r="BF65" i="10"/>
  <c r="BG65" i="10" s="1"/>
  <c r="BF67" i="10"/>
  <c r="BG67" i="10" s="1"/>
  <c r="BN63" i="10"/>
  <c r="BO63" i="10" s="1"/>
  <c r="BF66" i="10"/>
  <c r="BG66" i="10" s="1"/>
  <c r="BN69" i="10"/>
  <c r="BO69" i="10" s="1"/>
  <c r="BR63" i="10"/>
  <c r="BS63" i="10" s="1"/>
  <c r="BN68" i="10"/>
  <c r="BO68" i="10" s="1"/>
  <c r="BF72" i="10"/>
  <c r="BG72" i="10" s="1"/>
  <c r="BR68" i="10"/>
  <c r="BS68" i="10" s="1"/>
  <c r="BJ65" i="10"/>
  <c r="BK65" i="10" s="1"/>
  <c r="BN67" i="10"/>
  <c r="BO67" i="10" s="1"/>
  <c r="BF71" i="10"/>
  <c r="BG71" i="10" s="1"/>
  <c r="BF63" i="10"/>
  <c r="BG63" i="10" s="1"/>
  <c r="BN65" i="10"/>
  <c r="BO65" i="10" s="1"/>
  <c r="BF68" i="10"/>
  <c r="BG68" i="10" s="1"/>
  <c r="BF69" i="10"/>
  <c r="BG69" i="10" s="1"/>
  <c r="BF74" i="10"/>
  <c r="BG74" i="10" s="1"/>
  <c r="BN64" i="10"/>
  <c r="BO64" i="10" s="1"/>
  <c r="BN74" i="10"/>
  <c r="BO74" i="10" s="1"/>
  <c r="BF64" i="10"/>
  <c r="BG64" i="10" s="1"/>
  <c r="BR67" i="10"/>
  <c r="BS67" i="10" s="1"/>
  <c r="BJ71" i="10"/>
  <c r="BK71" i="10" s="1"/>
  <c r="BJ72" i="10"/>
  <c r="BK72" i="10" s="1"/>
  <c r="BJ64" i="10"/>
  <c r="BK64" i="10" s="1"/>
  <c r="BJ66" i="10"/>
  <c r="BK66" i="10" s="1"/>
  <c r="BJ70" i="10"/>
  <c r="BK70" i="10" s="1"/>
  <c r="BR72" i="10"/>
  <c r="BS72" i="10" s="1"/>
  <c r="BN73" i="10"/>
  <c r="BO73" i="10" s="1"/>
  <c r="BN70" i="10"/>
  <c r="BO70" i="10" s="1"/>
  <c r="BJ69" i="10"/>
  <c r="BK69" i="10" s="1"/>
  <c r="BR69" i="10"/>
  <c r="BS69" i="10" s="1"/>
  <c r="BJ73" i="10"/>
  <c r="BK73" i="10" s="1"/>
  <c r="BJ63" i="10"/>
  <c r="BK63" i="10" s="1"/>
  <c r="BR74" i="10"/>
  <c r="BS74" i="10" s="1"/>
  <c r="E98" i="10"/>
  <c r="F98" i="10" s="1"/>
  <c r="E96" i="10"/>
  <c r="F96" i="10" s="1"/>
  <c r="E103" i="10"/>
  <c r="F103" i="10" s="1"/>
  <c r="E90" i="10"/>
  <c r="F90" i="10" s="1"/>
  <c r="E87" i="10"/>
  <c r="F87" i="10" s="1"/>
  <c r="E101" i="10"/>
  <c r="F101" i="10" s="1"/>
  <c r="BJ74" i="10"/>
  <c r="BK74" i="10" s="1"/>
  <c r="E67" i="10"/>
  <c r="F67" i="10" s="1"/>
  <c r="E110" i="10"/>
  <c r="F110" i="10" s="1"/>
  <c r="E97" i="10"/>
  <c r="F97" i="10" s="1"/>
  <c r="E113" i="10"/>
  <c r="F113" i="10" s="1"/>
  <c r="E92" i="10"/>
  <c r="F92" i="10" s="1"/>
  <c r="E69" i="10"/>
  <c r="F69" i="10" s="1"/>
  <c r="E88" i="10"/>
  <c r="F88" i="10" s="1"/>
  <c r="BR71" i="10"/>
  <c r="BS71" i="10" s="1"/>
  <c r="BR65" i="10"/>
  <c r="BS65" i="10" s="1"/>
  <c r="E72" i="10"/>
  <c r="F72" i="10" s="1"/>
  <c r="E81" i="10"/>
  <c r="F81" i="10" s="1"/>
  <c r="E95" i="10"/>
  <c r="F95" i="10" s="1"/>
  <c r="E112" i="10"/>
  <c r="F112" i="10" s="1"/>
  <c r="E68" i="10"/>
  <c r="F68" i="10" s="1"/>
  <c r="E84" i="10"/>
  <c r="F84" i="10" s="1"/>
  <c r="E66" i="10"/>
  <c r="F66" i="10" s="1"/>
  <c r="E91" i="10"/>
  <c r="F91" i="10" s="1"/>
  <c r="BR73" i="10"/>
  <c r="BS73" i="10" s="1"/>
  <c r="BR64" i="10"/>
  <c r="BS64" i="10" s="1"/>
  <c r="E106" i="10"/>
  <c r="F106" i="10" s="1"/>
  <c r="E94" i="10"/>
  <c r="F94" i="10" s="1"/>
  <c r="E71" i="10"/>
  <c r="F71" i="10" s="1"/>
  <c r="E89" i="10"/>
  <c r="F89" i="10" s="1"/>
  <c r="E111" i="10"/>
  <c r="F111" i="10" s="1"/>
  <c r="E108" i="10"/>
  <c r="F108" i="10" s="1"/>
  <c r="E85" i="10"/>
  <c r="F85" i="10" s="1"/>
  <c r="E78" i="10"/>
  <c r="F78" i="10" s="1"/>
  <c r="E107" i="10"/>
  <c r="F107" i="10" s="1"/>
  <c r="E83" i="10"/>
  <c r="F83" i="10" s="1"/>
  <c r="E82" i="10"/>
  <c r="F82" i="10" s="1"/>
  <c r="E74" i="10"/>
  <c r="F74" i="10" s="1"/>
  <c r="E86" i="10"/>
  <c r="F86" i="10" s="1"/>
  <c r="E65" i="10"/>
  <c r="F65" i="10" s="1"/>
  <c r="E73" i="10"/>
  <c r="F73" i="10" s="1"/>
  <c r="E104" i="10"/>
  <c r="F104" i="10" s="1"/>
  <c r="E114" i="10"/>
  <c r="F114" i="10" s="1"/>
  <c r="E64" i="10"/>
  <c r="F64" i="10" s="1"/>
  <c r="E75" i="10"/>
  <c r="F75" i="10" s="1"/>
  <c r="E70" i="10"/>
  <c r="F70" i="10" s="1"/>
  <c r="E100" i="10"/>
  <c r="F100" i="10" s="1"/>
  <c r="E99" i="10"/>
  <c r="F99" i="10" s="1"/>
  <c r="E79" i="10"/>
  <c r="F79" i="10" s="1"/>
  <c r="E80" i="10"/>
  <c r="F80" i="10" s="1"/>
  <c r="E105" i="10"/>
  <c r="F105" i="10" s="1"/>
  <c r="E77" i="10"/>
  <c r="F77" i="10" s="1"/>
  <c r="E93" i="10"/>
  <c r="F93" i="10" s="1"/>
  <c r="E102" i="10"/>
  <c r="F102" i="10" s="1"/>
  <c r="E63" i="10"/>
  <c r="F63" i="10" s="1"/>
  <c r="E109" i="10"/>
  <c r="F109" i="10" s="1"/>
  <c r="BR70" i="10"/>
  <c r="BS70" i="10" s="1"/>
  <c r="BB71" i="10"/>
  <c r="BC71" i="10" s="1"/>
  <c r="BB68" i="10"/>
  <c r="BC68" i="10" s="1"/>
  <c r="BB63" i="10"/>
  <c r="BC63" i="10" s="1"/>
  <c r="BB72" i="10"/>
  <c r="BC72" i="10" s="1"/>
  <c r="BB73" i="10"/>
  <c r="BC73" i="10" s="1"/>
  <c r="BB70" i="10"/>
  <c r="BC70" i="10" s="1"/>
  <c r="BB66" i="10"/>
  <c r="BC66" i="10" s="1"/>
  <c r="BB67" i="10"/>
  <c r="BC67" i="10" s="1"/>
  <c r="BB64" i="10"/>
  <c r="BC64" i="10" s="1"/>
  <c r="BB74" i="10"/>
  <c r="BC74" i="10" s="1"/>
  <c r="BB65" i="10"/>
  <c r="BC65" i="10" s="1"/>
  <c r="BE37" i="10" l="1"/>
  <c r="BI37" i="10"/>
  <c r="BM37" i="10"/>
  <c r="D37" i="10"/>
  <c r="BQ37" i="10"/>
  <c r="BA37"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660AA8CA-2322-43B4-B6B8-F3D851EC5647}">
      <text>
        <r>
          <rPr>
            <b/>
            <sz val="9"/>
            <color indexed="81"/>
            <rFont val="Tahoma"/>
            <family val="2"/>
          </rPr>
          <t>Author:</t>
        </r>
        <r>
          <rPr>
            <sz val="9"/>
            <color indexed="81"/>
            <rFont val="Tahoma"/>
            <family val="2"/>
          </rPr>
          <t xml:space="preserve">
IPC 48-bit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A0BF4D82-7808-4547-9A83-621A91637007}">
      <text>
        <r>
          <rPr>
            <b/>
            <sz val="9"/>
            <color indexed="81"/>
            <rFont val="Tahoma"/>
            <family val="2"/>
          </rPr>
          <t>Author:</t>
        </r>
        <r>
          <rPr>
            <sz val="9"/>
            <color indexed="81"/>
            <rFont val="Tahoma"/>
            <family val="2"/>
          </rPr>
          <t xml:space="preserve">
IPC 48bit (https://hsdes.intel.com/appstore/article/#/14016766730)</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<sst xmlns="http://schemas.openxmlformats.org/spreadsheetml/2006/main" count="30170" uniqueCount="1597">
  <si>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</si>
  <si>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</si>
  <si>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</si>
  <si>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</si>
  <si>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</si>
  <si>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</si>
  <si>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</si>
  <si>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</si>
  <si>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</si>
  <si>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</si>
  <si>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</si>
  <si>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</si>
  <si>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</si>
  <si>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</si>
  <si>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</si>
  <si>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</si>
  <si>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</si>
  <si>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</si>
  <si>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</si>
  <si>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</si>
  <si>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</si>
  <si>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</si>
  <si>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</si>
  <si>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</si>
  <si>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</si>
  <si>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</si>
  <si>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</si>
  <si>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</si>
  <si>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</si>
  <si>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</si>
  <si>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</si>
  <si>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</si>
  <si>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</si>
  <si>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</si>
  <si>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</si>
  <si>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</si>
  <si>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</si>
  <si>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</si>
  <si>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</si>
  <si>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</si>
  <si>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</si>
  <si>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</si>
  <si>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</si>
  <si>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</si>
  <si>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</si>
  <si>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</si>
  <si>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</si>
  <si>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</si>
  <si>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</si>
  <si>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</si>
  <si>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</si>
  <si>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</si>
  <si>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</si>
  <si>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</si>
  <si>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</si>
  <si>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</si>
  <si>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</si>
  <si>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</si>
  <si>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</si>
  <si>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</si>
  <si>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</si>
  <si>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</si>
  <si>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</si>
  <si>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</si>
  <si>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</si>
  <si>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</si>
  <si>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</si>
  <si>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</si>
  <si>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</si>
  <si>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</si>
  <si>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</si>
  <si>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</si>
  <si>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</si>
  <si>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</si>
  <si>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</si>
  <si>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</si>
  <si>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</si>
  <si>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</si>
  <si>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</si>
  <si>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</si>
  <si>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</si>
  <si>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</si>
  <si>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</si>
  <si>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</si>
  <si>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</si>
  <si>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</si>
  <si>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</si>
  <si>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</si>
  <si>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</si>
  <si>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</si>
  <si>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</si>
  <si>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</si>
  <si>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</si>
  <si>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</si>
  <si>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</si>
  <si>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</si>
  <si>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</si>
  <si>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</si>
  <si>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</si>
  <si>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</si>
  <si>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</si>
  <si>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</si>
  <si>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</si>
  <si>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</si>
  <si>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</si>
  <si>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</si>
  <si>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</si>
  <si>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</si>
  <si>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</si>
  <si>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</si>
  <si>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</si>
  <si>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</si>
  <si>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</si>
  <si>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</si>
  <si>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</si>
  <si>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</si>
  <si>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</si>
  <si>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</si>
  <si>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</si>
  <si>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</si>
  <si>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</si>
  <si>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</si>
  <si>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</si>
  <si>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</si>
  <si>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</si>
  <si>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</si>
  <si>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</si>
  <si>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</si>
  <si>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</si>
  <si>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</si>
  <si>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</si>
  <si>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</si>
  <si>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</si>
  <si>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</si>
  <si>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</si>
  <si>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</si>
  <si>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</si>
  <si>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</si>
  <si>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</si>
  <si>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</si>
  <si>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</si>
  <si>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</si>
  <si>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</si>
  <si>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</si>
  <si>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</si>
  <si>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</si>
  <si>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</si>
  <si>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</si>
  <si>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</si>
  <si>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</si>
  <si>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</si>
  <si>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</si>
  <si>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</si>
  <si>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</si>
  <si>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</si>
  <si>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</si>
  <si>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</si>
  <si>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</si>
  <si>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</si>
  <si>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</si>
  <si>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</si>
  <si>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</si>
  <si>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</si>
  <si>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</si>
  <si>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</si>
  <si>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</si>
  <si>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</si>
  <si>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</si>
  <si>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</si>
  <si>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</si>
  <si>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</si>
  <si>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</si>
  <si>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</si>
  <si>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</si>
  <si>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</si>
  <si>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</si>
  <si>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</si>
  <si>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</si>
  <si>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</si>
  <si>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</si>
  <si>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</si>
  <si>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</si>
  <si>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</si>
  <si>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</si>
  <si>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</si>
  <si>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</si>
  <si>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</si>
  <si>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</si>
  <si>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</si>
  <si>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</si>
  <si>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</si>
  <si>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</si>
  <si>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</si>
  <si>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</si>
  <si>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</si>
  <si>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</si>
  <si>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</si>
  <si>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</si>
  <si>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</si>
  <si>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</si>
  <si>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</si>
  <si>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</si>
  <si>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</si>
  <si>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</si>
  <si>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</si>
  <si>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</si>
  <si>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</si>
  <si>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</si>
  <si>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</si>
  <si>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</si>
  <si>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</si>
  <si>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</si>
  <si>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</si>
  <si>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</si>
  <si>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</si>
  <si>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</si>
  <si>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</si>
  <si>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</si>
  <si>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</si>
  <si>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</si>
  <si>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</si>
  <si>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</si>
  <si>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</si>
  <si>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</si>
  <si>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</si>
  <si>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</si>
  <si>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</si>
  <si>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</si>
  <si>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</si>
  <si>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</si>
  <si>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</si>
  <si>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</si>
  <si>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</si>
  <si>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</si>
  <si>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</si>
  <si>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</si>
  <si>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</si>
  <si>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</si>
  <si>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</si>
  <si>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</si>
  <si>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</si>
  <si>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</si>
  <si>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</si>
  <si>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</si>
  <si>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</si>
  <si>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</si>
  <si>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</si>
  <si>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</si>
  <si>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</si>
  <si>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</si>
  <si>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</si>
  <si>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</si>
  <si>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</si>
  <si>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</si>
  <si>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</si>
  <si>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</si>
  <si>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</si>
  <si>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</si>
  <si>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</si>
  <si>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</si>
  <si>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</si>
  <si>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</si>
  <si>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</si>
  <si>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</si>
  <si>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</si>
  <si>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</si>
  <si>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</si>
  <si>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</si>
  <si>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</si>
  <si>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</si>
  <si>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</si>
  <si>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</si>
  <si>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</si>
  <si>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</si>
  <si>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</si>
  <si>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</si>
  <si>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</si>
  <si>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</si>
  <si>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</si>
  <si>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</si>
  <si>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</si>
  <si>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</si>
  <si>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</si>
  <si>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</si>
  <si>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</si>
  <si>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</si>
  <si>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</si>
  <si>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</si>
  <si>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</si>
  <si>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</si>
  <si>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</si>
  <si>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</si>
  <si>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</si>
  <si>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</si>
  <si>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</si>
  <si>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</si>
  <si>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</si>
  <si>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</si>
  <si>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</si>
  <si>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</si>
  <si>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</si>
  <si>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</si>
  <si>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</si>
  <si>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</si>
  <si>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</si>
  <si>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</si>
  <si>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</si>
  <si>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</si>
  <si>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</si>
  <si>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</si>
  <si>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</si>
  <si>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</si>
  <si>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</si>
  <si>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</si>
  <si>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</si>
  <si>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</si>
  <si>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</si>
  <si>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</si>
  <si>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</si>
  <si>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</si>
  <si>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</si>
  <si>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</si>
  <si>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</si>
  <si>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</si>
  <si>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</si>
  <si>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</si>
  <si>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</si>
  <si>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</si>
  <si>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</si>
  <si>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</si>
  <si>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</si>
  <si>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</si>
  <si>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</si>
  <si>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</si>
  <si>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</si>
  <si>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</si>
  <si>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</si>
  <si>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</si>
  <si>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</si>
  <si>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</si>
  <si>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</si>
  <si>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</si>
  <si>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</si>
  <si>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</si>
  <si>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</si>
  <si>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</si>
  <si>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</si>
  <si>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</si>
  <si>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</si>
  <si>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</si>
  <si>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</si>
  <si>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</si>
  <si>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</si>
  <si>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</si>
  <si>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</si>
  <si>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</si>
  <si>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</si>
  <si>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</si>
  <si>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</si>
  <si>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</si>
  <si>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</si>
  <si>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</si>
  <si>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</si>
  <si>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</si>
  <si>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</si>
  <si>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</si>
  <si>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</si>
  <si>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</si>
  <si>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</si>
  <si>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</si>
  <si>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</si>
  <si>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</si>
  <si>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</si>
  <si>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</si>
  <si>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</si>
  <si>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</si>
  <si>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</si>
  <si>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</si>
  <si>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</si>
  <si>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</si>
  <si>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</si>
  <si>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</si>
  <si>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</si>
  <si>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</si>
  <si>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</si>
  <si>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</si>
  <si>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</si>
  <si>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</si>
  <si>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</si>
  <si>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</si>
  <si>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</si>
  <si>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</si>
  <si>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</si>
  <si>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</si>
  <si>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</si>
  <si>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</si>
  <si>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</si>
  <si>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</si>
  <si>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</si>
  <si>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</si>
  <si>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</si>
  <si>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</si>
  <si>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</si>
  <si>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</si>
  <si>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</si>
  <si>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</si>
  <si>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</si>
  <si>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</si>
  <si>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</si>
  <si>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</si>
  <si>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</si>
  <si>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</si>
  <si>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</si>
  <si>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</si>
  <si>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</si>
  <si>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</si>
  <si>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</si>
  <si>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</si>
  <si>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</si>
  <si>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</si>
  <si>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</si>
  <si>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</si>
  <si>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</si>
  <si>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</si>
  <si>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</si>
  <si>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</si>
  <si>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</si>
  <si>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</si>
  <si>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</si>
  <si>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</si>
  <si>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</si>
  <si>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</si>
  <si>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</si>
  <si>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</si>
  <si>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</si>
  <si>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</si>
  <si>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</si>
  <si>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</si>
  <si>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</si>
  <si>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</si>
  <si>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</si>
  <si>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</si>
  <si>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</si>
  <si>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</si>
  <si>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</si>
  <si>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</si>
  <si>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</si>
  <si>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</si>
  <si>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</si>
  <si>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</si>
  <si>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</si>
  <si>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</si>
  <si>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</si>
  <si>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</si>
  <si>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</si>
  <si>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</si>
  <si>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</si>
  <si>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</si>
  <si>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</si>
  <si>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</si>
  <si>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</si>
  <si>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</si>
  <si>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</si>
  <si>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</si>
  <si>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</si>
  <si>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</si>
  <si>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</si>
  <si>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</si>
  <si>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</si>
  <si>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</si>
  <si>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</si>
  <si>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</si>
  <si>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</si>
  <si>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</si>
  <si>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</si>
  <si>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</si>
  <si>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</si>
  <si>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</si>
  <si>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</si>
  <si>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</si>
  <si>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</si>
  <si>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</si>
  <si>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</si>
  <si>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</si>
  <si>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</si>
  <si>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</si>
  <si>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</si>
  <si>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</si>
  <si>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</si>
  <si>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</si>
  <si>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</si>
  <si>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</si>
  <si>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</si>
  <si>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</si>
  <si>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</si>
  <si>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</si>
  <si>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</si>
  <si>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</si>
  <si>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</si>
  <si>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</si>
  <si>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</si>
  <si>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</si>
  <si>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</si>
  <si>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</si>
  <si>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</si>
  <si>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</si>
  <si>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</si>
  <si>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</si>
  <si>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</si>
  <si>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</si>
  <si>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</si>
  <si>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</si>
  <si>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</si>
  <si>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</si>
  <si>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</si>
  <si>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</si>
  <si>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</si>
  <si>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</si>
  <si>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</si>
  <si>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</si>
  <si>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</si>
  <si>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</si>
  <si>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</si>
  <si>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</si>
  <si>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</si>
  <si>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</si>
  <si>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</si>
  <si>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</si>
  <si>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</si>
  <si>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</si>
  <si>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</si>
  <si>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</si>
  <si>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</si>
  <si>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</si>
  <si>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</si>
  <si>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</si>
  <si>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</si>
  <si>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</si>
  <si>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</si>
  <si>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</si>
  <si>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</si>
  <si>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</si>
  <si>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</si>
  <si>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</si>
  <si>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</si>
  <si>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</si>
  <si>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</si>
  <si>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</si>
  <si>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</si>
  <si>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</si>
  <si>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</si>
  <si>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</si>
  <si>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</si>
  <si>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</si>
  <si>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</si>
  <si>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</si>
  <si>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</si>
  <si>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</si>
  <si>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</si>
  <si>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</si>
  <si>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</si>
  <si>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</si>
  <si>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</si>
  <si>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</si>
  <si>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</si>
  <si>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</si>
  <si>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</si>
  <si>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</si>
  <si>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</si>
  <si>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</si>
  <si>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</si>
  <si>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</si>
  <si>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</si>
  <si>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</si>
  <si>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</si>
  <si>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</si>
  <si>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</si>
  <si>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</si>
  <si>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</si>
  <si>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</si>
  <si>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</si>
  <si>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</si>
  <si>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</si>
  <si>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</si>
  <si>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</si>
  <si>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</si>
  <si>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</si>
  <si>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</si>
  <si>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</si>
  <si>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</si>
  <si>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</si>
  <si>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</si>
  <si>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</si>
  <si>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</si>
  <si>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</si>
  <si>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</si>
  <si>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</si>
  <si>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</si>
  <si>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</si>
  <si>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</si>
  <si>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</si>
  <si>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</si>
  <si>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</si>
  <si>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</si>
  <si>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</si>
  <si>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</si>
  <si>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</si>
  <si>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</si>
  <si>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</si>
  <si>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</si>
  <si>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</si>
  <si>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</si>
  <si>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</si>
  <si>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</si>
  <si>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</si>
  <si>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</si>
  <si>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</si>
  <si>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</si>
  <si>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</si>
  <si>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</si>
  <si>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</si>
  <si>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</si>
  <si>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</si>
  <si>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</si>
  <si>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</si>
  <si>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</si>
  <si>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</si>
  <si>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</si>
  <si>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</si>
  <si>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</si>
  <si>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</si>
  <si>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</si>
  <si>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</si>
  <si>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</si>
  <si>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</si>
  <si>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</si>
  <si>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</si>
  <si>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</si>
  <si>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</si>
  <si>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</si>
  <si>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</si>
  <si>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</si>
  <si>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</si>
  <si>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</si>
  <si>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</si>
  <si>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</si>
  <si>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</si>
  <si>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</si>
  <si>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</si>
  <si>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</si>
  <si>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</si>
  <si>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</si>
  <si>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</si>
  <si>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</si>
  <si>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</si>
  <si>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</si>
  <si>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</si>
  <si>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</si>
  <si>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</si>
  <si>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</si>
  <si>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</si>
  <si>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</si>
  <si>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</si>
  <si>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</si>
  <si>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</si>
  <si>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</si>
  <si>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</si>
  <si>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</si>
  <si>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</si>
  <si>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</si>
  <si>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</si>
  <si>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</si>
  <si>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</si>
  <si>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</si>
  <si>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</si>
  <si>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</si>
  <si>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</si>
  <si>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</si>
  <si>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</si>
  <si>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</si>
  <si>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</si>
  <si>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</si>
  <si>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</si>
  <si>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</si>
  <si>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</si>
  <si>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</si>
  <si>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</si>
  <si>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</si>
  <si>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</si>
  <si>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</si>
  <si>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</si>
  <si>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</si>
  <si>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</si>
  <si>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</si>
  <si>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</si>
  <si>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</si>
  <si>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</si>
  <si>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</si>
  <si>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</si>
  <si>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</si>
  <si>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</si>
  <si>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</si>
  <si>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</si>
  <si>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</si>
  <si>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</si>
  <si>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</si>
  <si>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</si>
  <si>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</si>
  <si>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</si>
  <si>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</si>
  <si>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</si>
  <si>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</si>
  <si>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</si>
  <si>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</si>
  <si>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</si>
  <si>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</si>
  <si>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</si>
  <si>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</si>
  <si>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</si>
  <si>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</si>
  <si>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</si>
  <si>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</si>
  <si>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</si>
  <si>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</si>
  <si>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</si>
  <si>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</si>
  <si>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</si>
  <si>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</si>
  <si>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</si>
  <si>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</si>
  <si>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</si>
  <si>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</si>
  <si>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</si>
  <si>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</si>
  <si>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</si>
  <si>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</si>
  <si>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</si>
  <si>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</si>
  <si>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</si>
  <si>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</si>
  <si>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</si>
  <si>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</si>
  <si>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</si>
  <si>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</si>
  <si>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</si>
  <si>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</si>
  <si>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</si>
  <si>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</si>
  <si>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</si>
  <si>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</si>
  <si>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</si>
  <si>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</si>
  <si>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</si>
  <si>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</si>
  <si>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</si>
  <si>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</si>
  <si>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</si>
  <si>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</si>
  <si>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</si>
  <si>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</si>
  <si>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</si>
  <si>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</si>
  <si>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</si>
  <si>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</si>
  <si>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</si>
  <si>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</si>
  <si>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</si>
  <si>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</si>
  <si>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</si>
  <si>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</si>
  <si>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</si>
  <si>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</si>
  <si>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</si>
  <si>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</si>
  <si>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</si>
  <si>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</si>
  <si>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</si>
  <si>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</si>
  <si>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</si>
  <si>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</si>
  <si>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</si>
  <si>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</si>
  <si>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</si>
  <si>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</si>
  <si>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</si>
  <si>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</si>
  <si>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</si>
  <si>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</si>
  <si>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</si>
  <si>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</si>
  <si>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</si>
  <si>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</si>
  <si>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</si>
  <si>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</si>
  <si>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</si>
  <si>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</si>
  <si>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</si>
  <si>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</si>
  <si>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</si>
  <si>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</si>
  <si>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</si>
  <si>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</si>
  <si>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</si>
  <si>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</si>
  <si>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</si>
  <si>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</si>
  <si>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</si>
  <si>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</si>
  <si>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</si>
  <si>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</si>
  <si>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</si>
  <si>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</si>
  <si>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</si>
  <si>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</si>
  <si>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</si>
  <si>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</si>
  <si>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</si>
  <si>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</si>
  <si>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</si>
  <si>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</si>
  <si>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</si>
  <si>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</si>
  <si>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</si>
  <si>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</si>
  <si>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</si>
  <si>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</si>
  <si>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</si>
  <si>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</si>
  <si>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</si>
  <si>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</si>
  <si>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</si>
  <si>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</si>
  <si>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</si>
  <si>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</si>
  <si>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</si>
  <si>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</si>
  <si>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</si>
  <si>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</si>
  <si>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</si>
  <si>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</si>
  <si>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</si>
  <si>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</si>
  <si>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</si>
  <si>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</si>
  <si>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</si>
  <si>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</si>
  <si>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</si>
  <si>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</si>
  <si>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</si>
  <si>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</si>
  <si>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</si>
  <si>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</si>
  <si>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</si>
  <si>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</si>
  <si>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</si>
  <si>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</si>
  <si>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</si>
  <si>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</si>
  <si>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</si>
  <si>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</si>
  <si>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</si>
  <si>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</si>
  <si>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</si>
  <si>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</si>
  <si>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</si>
  <si>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</si>
  <si>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</si>
  <si>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</si>
  <si>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</si>
  <si>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</si>
  <si>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</si>
  <si>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</si>
  <si>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</si>
  <si>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</si>
  <si>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</si>
  <si>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</si>
  <si>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</si>
  <si>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</si>
  <si>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</si>
  <si>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</si>
  <si>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</si>
  <si>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</si>
  <si>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</si>
  <si>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</si>
  <si>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</si>
  <si>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</si>
  <si>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</si>
  <si>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</si>
  <si>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</si>
  <si>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</si>
  <si>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</si>
  <si>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</si>
  <si>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</si>
  <si>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</si>
  <si>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</si>
  <si>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</si>
  <si>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</si>
  <si>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</si>
  <si>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</si>
  <si>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</si>
  <si>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</si>
  <si>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</si>
  <si>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</si>
  <si>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</si>
  <si>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</si>
  <si>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</si>
  <si>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</si>
  <si>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</si>
  <si>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</si>
  <si>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</si>
  <si>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</si>
  <si>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</si>
  <si>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</si>
  <si>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</si>
  <si>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</si>
  <si>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</si>
  <si>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</si>
  <si>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</si>
  <si>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</si>
  <si>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</si>
  <si>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</si>
  <si>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</si>
  <si>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</si>
  <si>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</si>
  <si>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</si>
  <si>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</si>
  <si>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</si>
  <si>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</si>
  <si>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</si>
  <si>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</si>
  <si>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</si>
  <si>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</si>
  <si>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</si>
  <si>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</si>
  <si>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</si>
  <si>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</si>
  <si>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</si>
  <si>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</si>
  <si>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</si>
  <si>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</si>
  <si>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</si>
  <si>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</si>
  <si>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</si>
  <si>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</si>
  <si>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</si>
  <si>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</si>
  <si>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</si>
  <si>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</si>
  <si>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</si>
  <si>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</si>
  <si>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</si>
  <si>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</si>
  <si>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</si>
  <si>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</si>
  <si>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</si>
  <si>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</si>
  <si>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</si>
  <si>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</si>
  <si>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</si>
  <si>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</si>
  <si>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</si>
  <si>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</si>
  <si>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</si>
  <si>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</si>
  <si>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</si>
  <si>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</si>
  <si>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</si>
  <si>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</si>
  <si>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</si>
  <si>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</si>
  <si>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</si>
  <si>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</si>
  <si>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</si>
  <si>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</si>
  <si>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</si>
  <si>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</si>
  <si>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</si>
  <si>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</si>
  <si>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</si>
  <si>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</si>
  <si>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</si>
  <si>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</si>
  <si>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</si>
  <si>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</si>
  <si>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</si>
  <si>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</si>
  <si>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</si>
  <si>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</si>
  <si>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</si>
  <si>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</si>
  <si>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</si>
  <si>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</si>
  <si>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</si>
  <si>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</si>
  <si>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</si>
  <si>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</si>
  <si>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</si>
  <si>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</si>
  <si>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</si>
  <si>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</si>
  <si>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</si>
  <si>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</si>
  <si>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</si>
  <si>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</si>
  <si>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</si>
  <si>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</si>
  <si>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</si>
  <si>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</si>
  <si>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</si>
  <si>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</si>
  <si>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</si>
  <si>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</si>
  <si>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</si>
  <si>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</si>
  <si>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</si>
  <si>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</si>
  <si>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</si>
  <si>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</si>
  <si>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</si>
  <si>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</si>
  <si>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</si>
  <si>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</si>
  <si>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</si>
  <si>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</si>
  <si>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</si>
  <si>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</si>
  <si>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</si>
  <si>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</si>
  <si>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</si>
  <si>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</si>
  <si>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</si>
  <si>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</si>
  <si>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</si>
  <si>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</si>
  <si>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</si>
  <si>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</si>
  <si>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</si>
  <si>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</si>
  <si>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</si>
  <si>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</si>
  <si>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</si>
  <si>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</si>
  <si>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</si>
  <si>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</si>
  <si>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</si>
  <si>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</si>
  <si>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</si>
  <si>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</si>
  <si>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</si>
  <si>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</si>
  <si>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</si>
  <si>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</si>
  <si>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</si>
  <si>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</si>
  <si>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</si>
  <si>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</si>
  <si>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</si>
  <si>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</si>
  <si>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</si>
  <si>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</si>
  <si>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</si>
  <si>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</si>
  <si>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</si>
  <si>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</si>
  <si>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</si>
  <si>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</si>
  <si>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</si>
  <si>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</si>
  <si>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</si>
  <si>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</si>
  <si>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</si>
  <si>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</si>
  <si>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</si>
  <si>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</si>
  <si>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</si>
  <si>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</si>
  <si>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</si>
  <si>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</si>
  <si>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</si>
  <si>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</si>
  <si>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</si>
  <si>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</si>
  <si>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</si>
  <si>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</si>
  <si>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</si>
  <si>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</si>
  <si>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</si>
  <si>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</si>
  <si>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</si>
  <si>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</si>
  <si>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</si>
  <si>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</si>
  <si>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</si>
  <si>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</si>
  <si>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</si>
  <si>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</si>
  <si>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</si>
  <si>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</si>
  <si>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</si>
  <si>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</si>
  <si>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</si>
  <si>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</si>
  <si>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</si>
  <si>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</si>
  <si>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</si>
  <si>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</si>
  <si>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</si>
  <si>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</si>
  <si>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</si>
  <si>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</si>
  <si>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</si>
  <si>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</si>
  <si>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</si>
  <si>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</si>
  <si>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</si>
  <si>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</si>
  <si>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</si>
  <si>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</si>
  <si>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</si>
  <si>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</si>
  <si>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</si>
  <si>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</si>
  <si>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</si>
  <si>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</si>
  <si>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</si>
  <si>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</si>
  <si>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</si>
  <si>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</si>
  <si>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</si>
  <si>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</si>
  <si>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</si>
  <si>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</si>
  <si>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</si>
  <si>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</si>
  <si>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</si>
  <si>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</si>
  <si>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</si>
  <si>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</si>
  <si>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</si>
  <si>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</si>
  <si>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</si>
  <si>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</si>
  <si>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</si>
  <si>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</si>
  <si>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</si>
  <si>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</si>
  <si>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</si>
  <si>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</si>
  <si>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</si>
  <si>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</si>
  <si>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</si>
  <si>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</si>
  <si>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</si>
  <si>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</si>
  <si>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</si>
  <si>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</si>
  <si>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</si>
  <si>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</si>
  <si>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</si>
  <si>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</si>
  <si>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</si>
  <si>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</si>
  <si>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</si>
  <si>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</si>
  <si>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</si>
  <si>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</si>
  <si>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</si>
  <si>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</si>
  <si>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</si>
  <si>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</si>
  <si>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</si>
  <si>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</si>
  <si>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</si>
  <si>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</si>
  <si>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</si>
  <si>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</si>
  <si>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</si>
  <si>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</si>
  <si>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</si>
  <si>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</si>
  <si>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</si>
  <si>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</si>
  <si>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</si>
  <si>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</si>
  <si>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</si>
  <si>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</si>
  <si>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</si>
  <si>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</si>
  <si>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</si>
  <si>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</si>
  <si>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</si>
  <si>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</si>
  <si>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</si>
  <si>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</si>
  <si>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</si>
  <si>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</si>
  <si>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</si>
  <si>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</si>
  <si>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</si>
  <si>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</si>
  <si>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</si>
  <si>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</si>
  <si>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</si>
  <si>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</si>
  <si>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</si>
  <si>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</si>
  <si>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</si>
  <si>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</si>
  <si>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</si>
  <si>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</si>
  <si>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</si>
  <si>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</si>
  <si>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</si>
  <si>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</si>
  <si>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</si>
  <si>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</si>
  <si>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</si>
  <si>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</si>
  <si>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</si>
  <si>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</si>
  <si>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</si>
  <si>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</si>
  <si>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</si>
  <si>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</si>
  <si>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</si>
  <si>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</si>
  <si>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</si>
  <si>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</si>
  <si>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</si>
  <si>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</si>
  <si>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</si>
  <si>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</si>
  <si>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</si>
  <si>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</si>
  <si>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</si>
  <si>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</si>
  <si>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</si>
  <si>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</si>
  <si>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</si>
  <si>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</si>
  <si>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</si>
  <si>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</si>
  <si>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</si>
  <si>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</si>
  <si>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</si>
  <si>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</si>
  <si>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</si>
  <si>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</si>
  <si>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</si>
  <si>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</si>
  <si>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</si>
  <si>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</si>
  <si>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</si>
  <si>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</si>
  <si>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</si>
  <si>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</si>
  <si>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</si>
  <si>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</si>
  <si>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</si>
  <si>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</si>
  <si>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</si>
  <si>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</si>
  <si>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</si>
  <si>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</si>
  <si>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</si>
  <si>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</si>
  <si>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</si>
  <si>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</si>
  <si>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</si>
  <si>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</si>
  <si>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</si>
  <si>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</si>
  <si>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</si>
  <si>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</si>
  <si>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</si>
  <si>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</si>
  <si>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</si>
  <si>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</si>
  <si>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</si>
  <si>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</si>
  <si>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</si>
  <si>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</si>
  <si>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</si>
  <si>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</si>
  <si>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</si>
  <si>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</si>
  <si>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</si>
  <si>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</si>
  <si>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</si>
  <si>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</si>
  <si>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</si>
  <si>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</si>
  <si>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</si>
  <si>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</si>
  <si>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</si>
  <si>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</si>
  <si>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</si>
  <si>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</si>
  <si>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</si>
  <si>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</si>
  <si>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</si>
  <si>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</si>
  <si>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</si>
  <si>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</si>
  <si>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</si>
  <si>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</si>
  <si>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</si>
  <si>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</si>
  <si>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</si>
  <si>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</si>
  <si>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</si>
  <si>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</si>
  <si>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</si>
  <si>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</si>
  <si>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</si>
  <si>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</si>
  <si>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</si>
  <si>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</si>
  <si>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</si>
  <si>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</si>
  <si>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</si>
  <si>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</si>
  <si>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</si>
  <si>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</si>
  <si>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</si>
  <si>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</si>
  <si>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</si>
  <si>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</si>
  <si>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</si>
  <si>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</si>
  <si>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</si>
  <si>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</si>
  <si>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</si>
  <si>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</si>
  <si>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</si>
  <si>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</si>
  <si>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</si>
  <si>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</si>
  <si>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</si>
  <si>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</si>
  <si>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</si>
  <si>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</si>
  <si>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</si>
  <si>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</si>
  <si>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</si>
  <si>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</si>
  <si>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</si>
  <si>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</si>
  <si>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</si>
  <si>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</si>
  <si>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</si>
  <si>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</si>
  <si>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</si>
  <si>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</si>
  <si>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</si>
  <si>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</si>
  <si>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</si>
  <si>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</si>
  <si>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</si>
  <si>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</si>
  <si>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</si>
  <si>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</si>
  <si>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</si>
  <si>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</si>
  <si>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</si>
  <si>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</si>
  <si>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</si>
  <si>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</si>
  <si>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</si>
  <si>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</si>
  <si>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</si>
  <si>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</si>
  <si>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</si>
  <si>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</si>
  <si>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</si>
  <si>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</si>
  <si>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</si>
  <si>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</si>
  <si>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</si>
  <si>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</si>
  <si>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</si>
  <si>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</si>
  <si>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</si>
  <si>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</si>
  <si>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</si>
  <si>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</si>
  <si>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</si>
  <si>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</si>
  <si>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</si>
  <si>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</si>
  <si>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</si>
  <si>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</si>
  <si>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</si>
  <si>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</si>
  <si>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</si>
  <si>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</si>
  <si>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</si>
  <si>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</si>
  <si>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</si>
  <si>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</si>
  <si>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</si>
  <si>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</si>
  <si>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</si>
  <si>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</si>
  <si>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</si>
  <si>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</si>
  <si>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</si>
  <si>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</si>
  <si>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</si>
  <si>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</si>
  <si>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</si>
  <si>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</si>
  <si>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</si>
  <si>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</si>
  <si>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</si>
  <si>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</si>
  <si>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</si>
  <si>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</si>
  <si>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</si>
  <si>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</si>
  <si>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</si>
  <si>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</si>
  <si>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</si>
  <si>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</si>
  <si>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</si>
  <si>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</si>
  <si>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</si>
  <si>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</si>
  <si>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</si>
  <si>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</si>
  <si>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</si>
  <si>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</si>
  <si>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</si>
  <si>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</si>
  <si>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</si>
  <si>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</si>
  <si>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</si>
  <si>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</si>
  <si>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</si>
  <si>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</si>
  <si>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</si>
  <si>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</si>
  <si>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</si>
  <si>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</si>
  <si>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</si>
  <si>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</si>
  <si>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</si>
  <si>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</si>
  <si>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</si>
  <si>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</si>
  <si>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</si>
  <si>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</si>
  <si>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</si>
  <si>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</si>
  <si>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</si>
  <si>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</si>
  <si>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</si>
  <si>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</si>
  <si>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</si>
  <si>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</si>
  <si>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</si>
  <si>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</si>
  <si>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</si>
  <si>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</si>
  <si>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</si>
  <si>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</si>
  <si>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</si>
  <si>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</si>
  <si>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</si>
  <si>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</si>
  <si>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</si>
  <si>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</si>
  <si>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</si>
  <si>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</si>
  <si>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</si>
  <si>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</si>
  <si>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</si>
  <si>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</si>
  <si>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</si>
  <si>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</si>
  <si>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</si>
  <si>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</si>
  <si>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</si>
  <si>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</si>
  <si>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</si>
  <si>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</si>
  <si>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</si>
  <si>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</si>
  <si>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</si>
  <si>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</si>
  <si>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</si>
  <si>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</si>
  <si>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</si>
  <si>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</si>
  <si>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</si>
  <si>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</si>
  <si>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</si>
  <si>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</si>
  <si>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</si>
  <si>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</si>
  <si>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</si>
  <si>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</si>
  <si>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</si>
  <si>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</si>
  <si>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</si>
  <si>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</si>
  <si>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</si>
  <si>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</si>
  <si>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</si>
  <si>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</si>
  <si>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</si>
  <si>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</si>
  <si>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</si>
  <si>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</si>
  <si>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</si>
  <si>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</si>
  <si>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</si>
  <si>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</si>
  <si>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</si>
  <si>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</si>
  <si>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</si>
  <si>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</si>
  <si>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</si>
  <si>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</si>
  <si>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</si>
  <si>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</si>
  <si>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</si>
  <si>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</si>
  <si>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</si>
  <si>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</si>
  <si>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</si>
  <si>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</si>
  <si>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</si>
  <si>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</si>
  <si>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</si>
  <si>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</si>
  <si>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</si>
  <si>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</si>
  <si>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</si>
  <si>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</si>
  <si>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</si>
  <si>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</si>
  <si>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</si>
  <si>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</si>
  <si>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</si>
  <si>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</si>
  <si>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</si>
  <si>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</si>
  <si>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</si>
  <si>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</si>
  <si>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</si>
  <si>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</si>
  <si>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</si>
  <si>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</si>
  <si>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</si>
  <si>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</si>
  <si>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</si>
  <si>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</si>
  <si>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</si>
  <si>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</si>
  <si>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</si>
  <si>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</si>
  <si>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</si>
  <si>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</si>
  <si>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</si>
  <si>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</si>
  <si>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</si>
  <si>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</si>
  <si>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</si>
  <si>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</si>
  <si>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</si>
  <si>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</si>
  <si>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</si>
  <si>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</si>
  <si>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</si>
  <si>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</si>
  <si>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</si>
  <si>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</si>
  <si>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</si>
  <si>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</si>
  <si>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</si>
  <si>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</si>
  <si>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</si>
  <si>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</si>
  <si>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</si>
  <si>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</si>
  <si>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</si>
  <si>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</si>
  <si>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</si>
  <si>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</si>
  <si>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</si>
  <si>
    <t>SOC.ESE++ [4]</t>
  </si>
  <si>
    <t>&gt;&gt; https://hsdes.intel.com/appstore/article/#/15010882125 [PTL] Architecture Configuration for PTL_S SOC OSSE
- Complete the AR from CCB: (1) Change IPC channel allocation by removing SOC.CSME/ESE and add SOC.ESE++. (2) Change SB Port ID from 16-bit to 8-bit, as PTL_S SOC is leverage from MTL_S SOC that only support 8-bit and the goal in SOC is to minimize the change.</t>
  </si>
  <si>
    <t>&gt;&gt;https://hsdes.intel.com/appstore/article/#/1508590745 [SOC][Global][0.5] Tracing: SIP DTF convergence
"yes" in feature "DTF (Debug Trace Fabric)" for PTL_P SOC ESE/CSME/OSSE, PTL_S SOC ESE++/OSSE, PTP_S PCH  ESE/CSME</t>
  </si>
  <si>
    <t>Chaitu Durgaraju</t>
  </si>
  <si>
    <t>CD.GSC</t>
  </si>
  <si>
    <t>https://hsdes.intel.com/appstore/article/#/14016766730 
[SOC][Ease][Late] 48 bit IPC support and remove RS and fid for incoming requests
Added IPC 48 bit support in PTL for GSC &amp; ESE.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</si>
</sst>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39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6"/>
  <sheetViews>
    <sheetView tabSelected="1" topLeftCell="A252" workbookViewId="0">
      <selection activeCell="J259" sqref="J259"/>
    </sheetView>
  </sheetViews>
  <sheetFormatPr defaultColWidth="8.5546875" defaultRowHeight="14.4" x14ac:dyDescent="0.3"/>
  <cols>
    <col min="1" max="1" width="3.44140625" style="23" customWidth="1"/>
    <col min="2" max="2" width="9.5546875" style="159" customWidth="1"/>
    <col min="3" max="3" width="9.44140625" style="22" customWidth="1"/>
    <col min="4" max="4" width="15.5546875" style="23" bestFit="1" customWidth="1"/>
    <col min="5" max="5" width="93.88671875" style="205" bestFit="1" customWidth="1"/>
    <col min="6" max="16384" width="8.5546875" style="23"/>
  </cols>
  <sheetData>
    <row r="2" spans="2:5" x14ac:dyDescent="0.3">
      <c r="B2" s="158" t="s">
        <v>276</v>
      </c>
      <c r="C2" s="6" t="s">
        <v>119</v>
      </c>
      <c r="D2" s="7" t="s">
        <v>120</v>
      </c>
      <c r="E2" s="8" t="s">
        <v>121</v>
      </c>
    </row>
    <row r="3" spans="2:5" ht="28.8" x14ac:dyDescent="0.3">
      <c r="B3" s="800">
        <v>1</v>
      </c>
      <c r="C3" s="9">
        <v>42734</v>
      </c>
      <c r="D3" s="10" t="s">
        <v>122</v>
      </c>
      <c r="E3" s="4" t="s">
        <v>123</v>
      </c>
    </row>
    <row r="4" spans="2:5" ht="57.6" x14ac:dyDescent="0.3">
      <c r="B4" s="800">
        <v>2</v>
      </c>
      <c r="C4" s="9">
        <v>42739</v>
      </c>
      <c r="D4" s="10" t="s">
        <v>122</v>
      </c>
      <c r="E4" s="11" t="s">
        <v>143</v>
      </c>
    </row>
    <row r="5" spans="2:5" ht="28.8" x14ac:dyDescent="0.3">
      <c r="B5" s="800">
        <v>3</v>
      </c>
      <c r="C5" s="9">
        <v>42740</v>
      </c>
      <c r="D5" s="10" t="s">
        <v>122</v>
      </c>
      <c r="E5" s="11" t="s">
        <v>157</v>
      </c>
    </row>
    <row r="6" spans="2:5" ht="57.6" x14ac:dyDescent="0.3">
      <c r="B6" s="800">
        <v>4</v>
      </c>
      <c r="C6" s="9">
        <v>42744</v>
      </c>
      <c r="D6" s="10" t="s">
        <v>122</v>
      </c>
      <c r="E6" s="11" t="s">
        <v>160</v>
      </c>
    </row>
    <row r="7" spans="2:5" ht="28.8" x14ac:dyDescent="0.3">
      <c r="B7" s="800">
        <v>5</v>
      </c>
      <c r="C7" s="9">
        <v>42746</v>
      </c>
      <c r="D7" s="10" t="s">
        <v>122</v>
      </c>
      <c r="E7" s="11" t="s">
        <v>171</v>
      </c>
    </row>
    <row r="8" spans="2:5" ht="57.6" x14ac:dyDescent="0.3">
      <c r="B8" s="800">
        <v>6</v>
      </c>
      <c r="C8" s="9">
        <v>42758</v>
      </c>
      <c r="D8" s="10" t="s">
        <v>122</v>
      </c>
      <c r="E8" s="11" t="s">
        <v>179</v>
      </c>
    </row>
    <row r="9" spans="2:5" x14ac:dyDescent="0.3">
      <c r="B9" s="800">
        <v>7</v>
      </c>
      <c r="C9" s="9">
        <v>42761</v>
      </c>
      <c r="D9" s="10" t="s">
        <v>122</v>
      </c>
      <c r="E9" s="11" t="s">
        <v>182</v>
      </c>
    </row>
    <row r="10" spans="2:5" x14ac:dyDescent="0.3">
      <c r="B10" s="800">
        <v>8</v>
      </c>
      <c r="C10" s="9">
        <v>42782</v>
      </c>
      <c r="D10" s="10" t="s">
        <v>122</v>
      </c>
      <c r="E10" s="11" t="s">
        <v>183</v>
      </c>
    </row>
    <row r="11" spans="2:5" ht="28.8" x14ac:dyDescent="0.3">
      <c r="B11" s="800">
        <v>9</v>
      </c>
      <c r="C11" s="9">
        <v>42800</v>
      </c>
      <c r="D11" s="10" t="s">
        <v>122</v>
      </c>
      <c r="E11" s="11" t="s">
        <v>184</v>
      </c>
    </row>
    <row r="12" spans="2:5" x14ac:dyDescent="0.3">
      <c r="B12" s="800">
        <v>10</v>
      </c>
      <c r="C12" s="9">
        <v>42810</v>
      </c>
      <c r="D12" s="10" t="s">
        <v>122</v>
      </c>
      <c r="E12" s="11" t="s">
        <v>199</v>
      </c>
    </row>
    <row r="13" spans="2:5" x14ac:dyDescent="0.3">
      <c r="B13" s="800">
        <v>11</v>
      </c>
      <c r="C13" s="9">
        <v>42816</v>
      </c>
      <c r="D13" s="10" t="s">
        <v>122</v>
      </c>
      <c r="E13" s="11" t="s">
        <v>201</v>
      </c>
    </row>
    <row r="14" spans="2:5" x14ac:dyDescent="0.3">
      <c r="B14" s="800">
        <v>12</v>
      </c>
      <c r="C14" s="9">
        <v>42824</v>
      </c>
      <c r="D14" s="10" t="s">
        <v>122</v>
      </c>
      <c r="E14" s="11" t="s">
        <v>205</v>
      </c>
    </row>
    <row r="15" spans="2:5" ht="43.2" x14ac:dyDescent="0.3">
      <c r="B15" s="800">
        <v>13</v>
      </c>
      <c r="C15" s="9">
        <v>42825</v>
      </c>
      <c r="D15" s="10" t="s">
        <v>122</v>
      </c>
      <c r="E15" s="11" t="s">
        <v>237</v>
      </c>
    </row>
    <row r="16" spans="2:5" ht="43.2" x14ac:dyDescent="0.3">
      <c r="B16" s="800">
        <v>14</v>
      </c>
      <c r="C16" s="9">
        <v>42828</v>
      </c>
      <c r="D16" s="10" t="s">
        <v>122</v>
      </c>
      <c r="E16" s="11" t="s">
        <v>238</v>
      </c>
    </row>
    <row r="17" spans="2:5" x14ac:dyDescent="0.3">
      <c r="B17" s="800">
        <v>15</v>
      </c>
      <c r="C17" s="9">
        <v>42832</v>
      </c>
      <c r="D17" s="10" t="s">
        <v>122</v>
      </c>
      <c r="E17" s="11" t="s">
        <v>240</v>
      </c>
    </row>
    <row r="18" spans="2:5" x14ac:dyDescent="0.3">
      <c r="B18" s="800">
        <v>16</v>
      </c>
      <c r="C18" s="9">
        <v>42857</v>
      </c>
      <c r="D18" s="10" t="s">
        <v>122</v>
      </c>
      <c r="E18" s="4" t="s">
        <v>241</v>
      </c>
    </row>
    <row r="19" spans="2:5" x14ac:dyDescent="0.3">
      <c r="B19" s="800">
        <v>17</v>
      </c>
      <c r="C19" s="9">
        <v>42858</v>
      </c>
      <c r="D19" s="10" t="s">
        <v>122</v>
      </c>
      <c r="E19" s="4" t="s">
        <v>242</v>
      </c>
    </row>
    <row r="20" spans="2:5" x14ac:dyDescent="0.3">
      <c r="B20" s="800">
        <v>18</v>
      </c>
      <c r="C20" s="9">
        <v>42872</v>
      </c>
      <c r="D20" s="10" t="s">
        <v>122</v>
      </c>
      <c r="E20" s="4" t="s">
        <v>243</v>
      </c>
    </row>
    <row r="21" spans="2:5" x14ac:dyDescent="0.3">
      <c r="B21" s="800">
        <v>19</v>
      </c>
      <c r="C21" s="9">
        <v>42874</v>
      </c>
      <c r="D21" s="10" t="s">
        <v>122</v>
      </c>
      <c r="E21" s="4" t="s">
        <v>251</v>
      </c>
    </row>
    <row r="22" spans="2:5" ht="28.8" x14ac:dyDescent="0.3">
      <c r="B22" s="800">
        <v>20</v>
      </c>
      <c r="C22" s="9">
        <v>42893</v>
      </c>
      <c r="D22" s="10" t="s">
        <v>122</v>
      </c>
      <c r="E22" s="11" t="s">
        <v>257</v>
      </c>
    </row>
    <row r="23" spans="2:5" x14ac:dyDescent="0.3">
      <c r="B23" s="800">
        <v>21</v>
      </c>
      <c r="C23" s="9">
        <v>42912</v>
      </c>
      <c r="D23" s="10" t="s">
        <v>122</v>
      </c>
      <c r="E23" s="4" t="s">
        <v>258</v>
      </c>
    </row>
    <row r="24" spans="2:5" ht="57.6" x14ac:dyDescent="0.3">
      <c r="B24" s="800">
        <v>22</v>
      </c>
      <c r="C24" s="9">
        <v>43024</v>
      </c>
      <c r="D24" s="10" t="s">
        <v>122</v>
      </c>
      <c r="E24" s="11" t="s">
        <v>268</v>
      </c>
    </row>
    <row r="25" spans="2:5" x14ac:dyDescent="0.3">
      <c r="B25" s="800">
        <v>23</v>
      </c>
      <c r="C25" s="9">
        <v>43031</v>
      </c>
      <c r="D25" s="10" t="s">
        <v>122</v>
      </c>
      <c r="E25" s="11" t="s">
        <v>275</v>
      </c>
    </row>
    <row r="26" spans="2:5" ht="28.8" x14ac:dyDescent="0.3">
      <c r="B26" s="800">
        <v>24</v>
      </c>
      <c r="C26" s="9">
        <v>43033</v>
      </c>
      <c r="D26" s="10" t="s">
        <v>122</v>
      </c>
      <c r="E26" s="11" t="s">
        <v>277</v>
      </c>
    </row>
    <row r="27" spans="2:5" ht="43.2" x14ac:dyDescent="0.3">
      <c r="B27" s="800">
        <v>25</v>
      </c>
      <c r="C27" s="9">
        <v>43040</v>
      </c>
      <c r="D27" s="10" t="s">
        <v>122</v>
      </c>
      <c r="E27" s="11" t="s">
        <v>279</v>
      </c>
    </row>
    <row r="28" spans="2:5" ht="43.2" x14ac:dyDescent="0.3">
      <c r="B28" s="800">
        <v>26</v>
      </c>
      <c r="C28" s="9">
        <v>43060</v>
      </c>
      <c r="D28" s="10" t="s">
        <v>122</v>
      </c>
      <c r="E28" s="11" t="s">
        <v>281</v>
      </c>
    </row>
    <row r="29" spans="2:5" x14ac:dyDescent="0.3">
      <c r="B29" s="800">
        <v>27</v>
      </c>
      <c r="C29" s="9">
        <v>43074</v>
      </c>
      <c r="D29" s="10" t="s">
        <v>122</v>
      </c>
      <c r="E29" s="4" t="s">
        <v>282</v>
      </c>
    </row>
    <row r="30" spans="2:5" ht="57.6" x14ac:dyDescent="0.3">
      <c r="B30" s="800">
        <v>28</v>
      </c>
      <c r="C30" s="9">
        <v>43080</v>
      </c>
      <c r="D30" s="10" t="s">
        <v>122</v>
      </c>
      <c r="E30" s="11" t="s">
        <v>302</v>
      </c>
    </row>
    <row r="31" spans="2:5" x14ac:dyDescent="0.3">
      <c r="B31" s="800">
        <v>29</v>
      </c>
      <c r="C31" s="9">
        <v>43081</v>
      </c>
      <c r="D31" s="10" t="s">
        <v>122</v>
      </c>
      <c r="E31" s="11" t="s">
        <v>305</v>
      </c>
    </row>
    <row r="32" spans="2:5" ht="28.8" x14ac:dyDescent="0.3">
      <c r="B32" s="800">
        <v>30</v>
      </c>
      <c r="C32" s="9">
        <v>43082</v>
      </c>
      <c r="D32" s="10" t="s">
        <v>122</v>
      </c>
      <c r="E32" s="11" t="s">
        <v>316</v>
      </c>
    </row>
    <row r="33" spans="2:5" x14ac:dyDescent="0.3">
      <c r="B33" s="800">
        <v>31</v>
      </c>
      <c r="C33" s="9">
        <v>43084</v>
      </c>
      <c r="D33" s="10" t="s">
        <v>122</v>
      </c>
      <c r="E33" s="11" t="s">
        <v>317</v>
      </c>
    </row>
    <row r="34" spans="2:5" ht="28.8" x14ac:dyDescent="0.3">
      <c r="B34" s="800">
        <v>32</v>
      </c>
      <c r="C34" s="9">
        <v>43087</v>
      </c>
      <c r="D34" s="10" t="s">
        <v>122</v>
      </c>
      <c r="E34" s="11" t="s">
        <v>318</v>
      </c>
    </row>
    <row r="35" spans="2:5" x14ac:dyDescent="0.3">
      <c r="B35" s="800">
        <v>33</v>
      </c>
      <c r="C35" s="9">
        <v>43088</v>
      </c>
      <c r="D35" s="10" t="s">
        <v>122</v>
      </c>
      <c r="E35" s="11" t="s">
        <v>319</v>
      </c>
    </row>
    <row r="36" spans="2:5" ht="28.8" x14ac:dyDescent="0.3">
      <c r="B36" s="800">
        <v>34</v>
      </c>
      <c r="C36" s="9">
        <v>43091</v>
      </c>
      <c r="D36" s="10" t="s">
        <v>122</v>
      </c>
      <c r="E36" s="11" t="s">
        <v>323</v>
      </c>
    </row>
    <row r="37" spans="2:5" x14ac:dyDescent="0.3">
      <c r="B37" s="800">
        <v>35</v>
      </c>
      <c r="C37" s="9">
        <v>43102</v>
      </c>
      <c r="D37" s="10" t="s">
        <v>122</v>
      </c>
      <c r="E37" s="11" t="s">
        <v>324</v>
      </c>
    </row>
    <row r="38" spans="2:5" x14ac:dyDescent="0.3">
      <c r="B38" s="800">
        <v>36</v>
      </c>
      <c r="C38" s="9">
        <v>43104</v>
      </c>
      <c r="D38" s="10" t="s">
        <v>122</v>
      </c>
      <c r="E38" s="11" t="s">
        <v>328</v>
      </c>
    </row>
    <row r="39" spans="2:5" ht="43.2" x14ac:dyDescent="0.3">
      <c r="B39" s="800">
        <v>37</v>
      </c>
      <c r="C39" s="9">
        <v>43110</v>
      </c>
      <c r="D39" s="10" t="s">
        <v>122</v>
      </c>
      <c r="E39" s="11" t="s">
        <v>329</v>
      </c>
    </row>
    <row r="40" spans="2:5" ht="28.8" x14ac:dyDescent="0.3">
      <c r="B40" s="800">
        <v>28</v>
      </c>
      <c r="C40" s="9">
        <v>43111</v>
      </c>
      <c r="D40" s="10" t="s">
        <v>122</v>
      </c>
      <c r="E40" s="11" t="s">
        <v>333</v>
      </c>
    </row>
    <row r="41" spans="2:5" x14ac:dyDescent="0.3">
      <c r="B41" s="800">
        <v>29</v>
      </c>
      <c r="C41" s="9">
        <v>43125</v>
      </c>
      <c r="D41" s="10" t="s">
        <v>122</v>
      </c>
      <c r="E41" s="11" t="s">
        <v>335</v>
      </c>
    </row>
    <row r="42" spans="2:5" x14ac:dyDescent="0.3">
      <c r="B42" s="800">
        <v>30</v>
      </c>
      <c r="C42" s="9">
        <v>43139</v>
      </c>
      <c r="D42" s="10" t="s">
        <v>122</v>
      </c>
      <c r="E42" s="11" t="s">
        <v>336</v>
      </c>
    </row>
    <row r="43" spans="2:5" x14ac:dyDescent="0.3">
      <c r="B43" s="800">
        <v>31</v>
      </c>
      <c r="C43" s="9">
        <v>43174</v>
      </c>
      <c r="D43" s="10" t="s">
        <v>122</v>
      </c>
      <c r="E43" s="11" t="s">
        <v>337</v>
      </c>
    </row>
    <row r="44" spans="2:5" ht="28.8" x14ac:dyDescent="0.3">
      <c r="B44" s="800">
        <v>32</v>
      </c>
      <c r="C44" s="9">
        <v>43183</v>
      </c>
      <c r="D44" s="10" t="s">
        <v>122</v>
      </c>
      <c r="E44" s="11" t="s">
        <v>339</v>
      </c>
    </row>
    <row r="45" spans="2:5" ht="28.8" x14ac:dyDescent="0.3">
      <c r="B45" s="800">
        <v>33</v>
      </c>
      <c r="C45" s="9">
        <v>43199</v>
      </c>
      <c r="D45" s="10" t="s">
        <v>122</v>
      </c>
      <c r="E45" s="11" t="s">
        <v>341</v>
      </c>
    </row>
    <row r="46" spans="2:5" ht="43.2" x14ac:dyDescent="0.3">
      <c r="B46" s="800">
        <v>34</v>
      </c>
      <c r="C46" s="9">
        <v>43202</v>
      </c>
      <c r="D46" s="10" t="s">
        <v>122</v>
      </c>
      <c r="E46" s="11" t="s">
        <v>340</v>
      </c>
    </row>
    <row r="47" spans="2:5" x14ac:dyDescent="0.3">
      <c r="B47" s="800">
        <v>35</v>
      </c>
      <c r="C47" s="9">
        <v>43206</v>
      </c>
      <c r="D47" s="10" t="s">
        <v>122</v>
      </c>
      <c r="E47" s="4" t="s">
        <v>342</v>
      </c>
    </row>
    <row r="48" spans="2:5" x14ac:dyDescent="0.3">
      <c r="B48" s="800">
        <v>36</v>
      </c>
      <c r="C48" s="9">
        <v>43206</v>
      </c>
      <c r="D48" s="10" t="s">
        <v>354</v>
      </c>
      <c r="E48" s="4" t="s">
        <v>355</v>
      </c>
    </row>
    <row r="49" spans="2:5" x14ac:dyDescent="0.3">
      <c r="B49" s="800">
        <v>37</v>
      </c>
      <c r="C49" s="9">
        <v>43208</v>
      </c>
      <c r="D49" s="10" t="s">
        <v>122</v>
      </c>
      <c r="E49" s="4" t="s">
        <v>356</v>
      </c>
    </row>
    <row r="50" spans="2:5" x14ac:dyDescent="0.3">
      <c r="B50" s="800">
        <v>38</v>
      </c>
      <c r="C50" s="9">
        <v>43214</v>
      </c>
      <c r="D50" s="10" t="s">
        <v>354</v>
      </c>
      <c r="E50" s="4" t="s">
        <v>360</v>
      </c>
    </row>
    <row r="51" spans="2:5" ht="72" x14ac:dyDescent="0.3">
      <c r="B51" s="800">
        <v>39</v>
      </c>
      <c r="C51" s="9">
        <v>43242</v>
      </c>
      <c r="D51" s="10" t="s">
        <v>369</v>
      </c>
      <c r="E51" s="4" t="s">
        <v>370</v>
      </c>
    </row>
    <row r="52" spans="2:5" x14ac:dyDescent="0.3">
      <c r="B52" s="800">
        <v>40</v>
      </c>
      <c r="C52" s="9">
        <v>43244</v>
      </c>
      <c r="D52" s="10" t="s">
        <v>354</v>
      </c>
      <c r="E52" s="4" t="s">
        <v>373</v>
      </c>
    </row>
    <row r="53" spans="2:5" x14ac:dyDescent="0.3">
      <c r="B53" s="800">
        <v>41</v>
      </c>
      <c r="C53" s="9">
        <v>43264</v>
      </c>
      <c r="D53" s="10" t="s">
        <v>354</v>
      </c>
      <c r="E53" s="4" t="s">
        <v>377</v>
      </c>
    </row>
    <row r="54" spans="2:5" x14ac:dyDescent="0.3">
      <c r="B54" s="800">
        <v>42</v>
      </c>
      <c r="C54" s="9">
        <v>43270</v>
      </c>
      <c r="D54" s="10" t="s">
        <v>354</v>
      </c>
      <c r="E54" s="4" t="s">
        <v>378</v>
      </c>
    </row>
    <row r="55" spans="2:5" x14ac:dyDescent="0.3">
      <c r="B55" s="800">
        <v>43</v>
      </c>
      <c r="C55" s="9">
        <v>43277</v>
      </c>
      <c r="D55" s="10" t="s">
        <v>354</v>
      </c>
      <c r="E55" s="4" t="s">
        <v>380</v>
      </c>
    </row>
    <row r="56" spans="2:5" ht="86.4" x14ac:dyDescent="0.3">
      <c r="B56" s="800">
        <v>44</v>
      </c>
      <c r="C56" s="9">
        <v>43294</v>
      </c>
      <c r="D56" s="10" t="s">
        <v>122</v>
      </c>
      <c r="E56" s="11" t="s">
        <v>391</v>
      </c>
    </row>
    <row r="57" spans="2:5" ht="43.2" x14ac:dyDescent="0.3">
      <c r="B57" s="800">
        <v>45</v>
      </c>
      <c r="C57" s="9">
        <v>43304</v>
      </c>
      <c r="D57" s="10" t="s">
        <v>122</v>
      </c>
      <c r="E57" s="4" t="s">
        <v>398</v>
      </c>
    </row>
    <row r="58" spans="2:5" x14ac:dyDescent="0.3">
      <c r="B58" s="800">
        <v>46</v>
      </c>
      <c r="C58" s="9">
        <v>43305</v>
      </c>
      <c r="D58" s="10" t="s">
        <v>122</v>
      </c>
      <c r="E58" s="4" t="s">
        <v>399</v>
      </c>
    </row>
    <row r="59" spans="2:5" ht="57.6" x14ac:dyDescent="0.3">
      <c r="B59" s="800">
        <v>47</v>
      </c>
      <c r="C59" s="9">
        <v>43305</v>
      </c>
      <c r="D59" s="10" t="s">
        <v>122</v>
      </c>
      <c r="E59" s="4" t="s">
        <v>400</v>
      </c>
    </row>
    <row r="60" spans="2:5" x14ac:dyDescent="0.3">
      <c r="B60" s="800">
        <v>48</v>
      </c>
      <c r="C60" s="9">
        <v>43306</v>
      </c>
      <c r="D60" s="10" t="s">
        <v>122</v>
      </c>
      <c r="E60" s="4" t="s">
        <v>401</v>
      </c>
    </row>
    <row r="61" spans="2:5" ht="57.6" x14ac:dyDescent="0.3">
      <c r="B61" s="800">
        <v>49</v>
      </c>
      <c r="C61" s="9">
        <v>43313</v>
      </c>
      <c r="D61" s="10" t="s">
        <v>354</v>
      </c>
      <c r="E61" s="4" t="s">
        <v>402</v>
      </c>
    </row>
    <row r="62" spans="2:5" ht="28.8" x14ac:dyDescent="0.3">
      <c r="B62" s="800">
        <v>50</v>
      </c>
      <c r="C62" s="9">
        <v>43313</v>
      </c>
      <c r="D62" s="10" t="s">
        <v>122</v>
      </c>
      <c r="E62" s="4" t="s">
        <v>403</v>
      </c>
    </row>
    <row r="63" spans="2:5" x14ac:dyDescent="0.3">
      <c r="B63" s="800">
        <v>51</v>
      </c>
      <c r="C63" s="9">
        <v>43322</v>
      </c>
      <c r="D63" s="10" t="s">
        <v>122</v>
      </c>
      <c r="E63" s="4" t="s">
        <v>404</v>
      </c>
    </row>
    <row r="64" spans="2:5" ht="28.8" x14ac:dyDescent="0.3">
      <c r="B64" s="800">
        <v>52</v>
      </c>
      <c r="C64" s="9">
        <v>43329</v>
      </c>
      <c r="D64" s="10" t="s">
        <v>122</v>
      </c>
      <c r="E64" s="11" t="s">
        <v>410</v>
      </c>
    </row>
    <row r="65" spans="2:5" ht="57.6" x14ac:dyDescent="0.3">
      <c r="B65" s="800">
        <v>53</v>
      </c>
      <c r="C65" s="9">
        <v>43334</v>
      </c>
      <c r="D65" s="10" t="s">
        <v>354</v>
      </c>
      <c r="E65" s="4" t="s">
        <v>414</v>
      </c>
    </row>
    <row r="66" spans="2:5" ht="28.8" x14ac:dyDescent="0.3">
      <c r="B66" s="800">
        <v>54</v>
      </c>
      <c r="C66" s="9">
        <v>43348</v>
      </c>
      <c r="D66" s="10" t="s">
        <v>354</v>
      </c>
      <c r="E66" s="4" t="s">
        <v>416</v>
      </c>
    </row>
    <row r="67" spans="2:5" ht="28.8" x14ac:dyDescent="0.3">
      <c r="B67" s="800">
        <v>55</v>
      </c>
      <c r="C67" s="9">
        <v>43369</v>
      </c>
      <c r="D67" s="10" t="s">
        <v>122</v>
      </c>
      <c r="E67" s="4" t="s">
        <v>418</v>
      </c>
    </row>
    <row r="68" spans="2:5" x14ac:dyDescent="0.3">
      <c r="B68" s="800">
        <v>56</v>
      </c>
      <c r="C68" s="9">
        <v>43370</v>
      </c>
      <c r="D68" s="10" t="s">
        <v>122</v>
      </c>
      <c r="E68" s="4" t="s">
        <v>419</v>
      </c>
    </row>
    <row r="69" spans="2:5" x14ac:dyDescent="0.3">
      <c r="B69" s="800">
        <v>57</v>
      </c>
      <c r="C69" s="9">
        <v>43371</v>
      </c>
      <c r="D69" s="10" t="s">
        <v>122</v>
      </c>
      <c r="E69" s="4" t="s">
        <v>420</v>
      </c>
    </row>
    <row r="70" spans="2:5" x14ac:dyDescent="0.3">
      <c r="B70" s="800">
        <v>58</v>
      </c>
      <c r="C70" s="9">
        <v>43374</v>
      </c>
      <c r="D70" s="10" t="s">
        <v>354</v>
      </c>
      <c r="E70" s="4" t="s">
        <v>422</v>
      </c>
    </row>
    <row r="71" spans="2:5" ht="43.2" x14ac:dyDescent="0.3">
      <c r="B71" s="800">
        <v>59</v>
      </c>
      <c r="C71" s="9">
        <v>43374</v>
      </c>
      <c r="D71" s="10" t="s">
        <v>354</v>
      </c>
      <c r="E71" s="4" t="s">
        <v>425</v>
      </c>
    </row>
    <row r="72" spans="2:5" ht="28.8" x14ac:dyDescent="0.3">
      <c r="B72" s="800">
        <v>60</v>
      </c>
      <c r="C72" s="9">
        <v>43375</v>
      </c>
      <c r="D72" s="10" t="s">
        <v>354</v>
      </c>
      <c r="E72" s="4" t="s">
        <v>428</v>
      </c>
    </row>
    <row r="73" spans="2:5" ht="28.8" x14ac:dyDescent="0.3">
      <c r="B73" s="800">
        <v>61</v>
      </c>
      <c r="C73" s="9">
        <v>43398</v>
      </c>
      <c r="D73" s="10" t="s">
        <v>122</v>
      </c>
      <c r="E73" s="4" t="s">
        <v>430</v>
      </c>
    </row>
    <row r="74" spans="2:5" x14ac:dyDescent="0.3">
      <c r="B74" s="800">
        <v>62</v>
      </c>
      <c r="C74" s="9">
        <v>43402</v>
      </c>
      <c r="D74" s="10" t="s">
        <v>431</v>
      </c>
      <c r="E74" s="4" t="s">
        <v>432</v>
      </c>
    </row>
    <row r="75" spans="2:5" x14ac:dyDescent="0.3">
      <c r="B75" s="800">
        <v>63</v>
      </c>
      <c r="C75" s="9">
        <v>43411</v>
      </c>
      <c r="D75" s="10" t="s">
        <v>431</v>
      </c>
      <c r="E75" s="4" t="s">
        <v>438</v>
      </c>
    </row>
    <row r="76" spans="2:5" x14ac:dyDescent="0.3">
      <c r="B76" s="800">
        <v>64</v>
      </c>
      <c r="C76" s="9">
        <v>43481</v>
      </c>
      <c r="D76" s="10" t="s">
        <v>431</v>
      </c>
      <c r="E76" s="4" t="s">
        <v>442</v>
      </c>
    </row>
    <row r="77" spans="2:5" x14ac:dyDescent="0.3">
      <c r="B77" s="800">
        <v>65</v>
      </c>
      <c r="C77" s="9">
        <v>43483</v>
      </c>
      <c r="D77" s="10" t="s">
        <v>354</v>
      </c>
      <c r="E77" s="4" t="s">
        <v>444</v>
      </c>
    </row>
    <row r="78" spans="2:5" ht="28.8" x14ac:dyDescent="0.3">
      <c r="B78" s="800">
        <v>66</v>
      </c>
      <c r="C78" s="9">
        <v>43488</v>
      </c>
      <c r="D78" s="10" t="s">
        <v>431</v>
      </c>
      <c r="E78" s="4" t="s">
        <v>445</v>
      </c>
    </row>
    <row r="79" spans="2:5" x14ac:dyDescent="0.3">
      <c r="B79" s="800">
        <v>67</v>
      </c>
      <c r="C79" s="9">
        <v>43488</v>
      </c>
      <c r="D79" s="10" t="s">
        <v>122</v>
      </c>
      <c r="E79" s="4" t="s">
        <v>446</v>
      </c>
    </row>
    <row r="80" spans="2:5" x14ac:dyDescent="0.3">
      <c r="B80" s="800">
        <v>68</v>
      </c>
      <c r="C80" s="9">
        <v>43500</v>
      </c>
      <c r="D80" s="10" t="s">
        <v>354</v>
      </c>
      <c r="E80" s="4" t="s">
        <v>447</v>
      </c>
    </row>
    <row r="81" spans="2:5" x14ac:dyDescent="0.3">
      <c r="B81" s="800">
        <v>69</v>
      </c>
      <c r="C81" s="9">
        <v>43529</v>
      </c>
      <c r="D81" s="10" t="s">
        <v>354</v>
      </c>
      <c r="E81" s="4" t="s">
        <v>449</v>
      </c>
    </row>
    <row r="82" spans="2:5" ht="43.2" x14ac:dyDescent="0.3">
      <c r="B82" s="800">
        <v>70</v>
      </c>
      <c r="C82" s="9">
        <v>43531</v>
      </c>
      <c r="D82" s="10" t="s">
        <v>354</v>
      </c>
      <c r="E82" s="4" t="s">
        <v>450</v>
      </c>
    </row>
    <row r="83" spans="2:5" ht="28.8" x14ac:dyDescent="0.3">
      <c r="B83" s="800">
        <v>71</v>
      </c>
      <c r="C83" s="9">
        <v>43571</v>
      </c>
      <c r="D83" s="10" t="s">
        <v>431</v>
      </c>
      <c r="E83" s="4" t="s">
        <v>451</v>
      </c>
    </row>
    <row r="84" spans="2:5" x14ac:dyDescent="0.3">
      <c r="B84" s="800">
        <v>72</v>
      </c>
      <c r="C84" s="9">
        <v>43586</v>
      </c>
      <c r="D84" s="10" t="s">
        <v>122</v>
      </c>
      <c r="E84" s="4" t="s">
        <v>452</v>
      </c>
    </row>
    <row r="85" spans="2:5" x14ac:dyDescent="0.3">
      <c r="B85" s="800">
        <v>73</v>
      </c>
      <c r="C85" s="9">
        <v>43588</v>
      </c>
      <c r="D85" s="10" t="s">
        <v>431</v>
      </c>
      <c r="E85" s="4" t="s">
        <v>453</v>
      </c>
    </row>
    <row r="86" spans="2:5" x14ac:dyDescent="0.3">
      <c r="B86" s="800">
        <v>74</v>
      </c>
      <c r="C86" s="9">
        <v>43592</v>
      </c>
      <c r="D86" s="10" t="s">
        <v>431</v>
      </c>
      <c r="E86" s="4" t="s">
        <v>454</v>
      </c>
    </row>
    <row r="87" spans="2:5" x14ac:dyDescent="0.3">
      <c r="B87" s="800">
        <v>75</v>
      </c>
      <c r="C87" s="9">
        <v>43592</v>
      </c>
      <c r="D87" s="10" t="s">
        <v>431</v>
      </c>
      <c r="E87" s="4" t="s">
        <v>455</v>
      </c>
    </row>
    <row r="88" spans="2:5" ht="129.6" x14ac:dyDescent="0.3">
      <c r="B88" s="800">
        <v>76</v>
      </c>
      <c r="C88" s="9">
        <v>43607</v>
      </c>
      <c r="D88" s="10" t="s">
        <v>122</v>
      </c>
      <c r="E88" s="11" t="s">
        <v>461</v>
      </c>
    </row>
    <row r="89" spans="2:5" ht="28.8" x14ac:dyDescent="0.3">
      <c r="B89" s="800">
        <v>77</v>
      </c>
      <c r="C89" s="9">
        <v>43628</v>
      </c>
      <c r="D89" s="10" t="s">
        <v>122</v>
      </c>
      <c r="E89" s="4" t="s">
        <v>462</v>
      </c>
    </row>
    <row r="90" spans="2:5" x14ac:dyDescent="0.3">
      <c r="B90" s="800">
        <v>78</v>
      </c>
      <c r="C90" s="9">
        <v>43630</v>
      </c>
      <c r="D90" s="10" t="s">
        <v>122</v>
      </c>
      <c r="E90" s="4" t="s">
        <v>467</v>
      </c>
    </row>
    <row r="91" spans="2:5" x14ac:dyDescent="0.3">
      <c r="B91" s="800">
        <v>79</v>
      </c>
      <c r="C91" s="9">
        <v>43634</v>
      </c>
      <c r="D91" s="10" t="s">
        <v>431</v>
      </c>
      <c r="E91" s="4" t="s">
        <v>469</v>
      </c>
    </row>
    <row r="92" spans="2:5" ht="28.8" x14ac:dyDescent="0.3">
      <c r="B92" s="800">
        <v>80</v>
      </c>
      <c r="C92" s="9">
        <v>43643</v>
      </c>
      <c r="D92" s="10" t="s">
        <v>122</v>
      </c>
      <c r="E92" s="4" t="s">
        <v>470</v>
      </c>
    </row>
    <row r="93" spans="2:5" x14ac:dyDescent="0.3">
      <c r="B93" s="800">
        <v>81</v>
      </c>
      <c r="C93" s="9">
        <v>43657</v>
      </c>
      <c r="D93" s="10" t="s">
        <v>354</v>
      </c>
      <c r="E93" s="4" t="s">
        <v>473</v>
      </c>
    </row>
    <row r="94" spans="2:5" x14ac:dyDescent="0.3">
      <c r="B94" s="800">
        <v>82</v>
      </c>
      <c r="C94" s="9">
        <v>43665</v>
      </c>
      <c r="D94" s="10" t="s">
        <v>431</v>
      </c>
      <c r="E94" s="4" t="s">
        <v>474</v>
      </c>
    </row>
    <row r="95" spans="2:5" ht="57.6" x14ac:dyDescent="0.3">
      <c r="B95" s="800">
        <v>83</v>
      </c>
      <c r="C95" s="9">
        <v>43691</v>
      </c>
      <c r="D95" s="10" t="s">
        <v>431</v>
      </c>
      <c r="E95" s="4" t="s">
        <v>475</v>
      </c>
    </row>
    <row r="96" spans="2:5" ht="43.2" x14ac:dyDescent="0.3">
      <c r="B96" s="800">
        <v>84</v>
      </c>
      <c r="C96" s="9">
        <v>43697</v>
      </c>
      <c r="D96" s="10" t="s">
        <v>431</v>
      </c>
      <c r="E96" s="4" t="s">
        <v>477</v>
      </c>
    </row>
    <row r="97" spans="2:5" ht="28.8" x14ac:dyDescent="0.3">
      <c r="B97" s="800">
        <v>85</v>
      </c>
      <c r="C97" s="9">
        <v>43703</v>
      </c>
      <c r="D97" s="10" t="s">
        <v>354</v>
      </c>
      <c r="E97" s="4" t="s">
        <v>480</v>
      </c>
    </row>
    <row r="98" spans="2:5" x14ac:dyDescent="0.3">
      <c r="B98" s="800">
        <v>86</v>
      </c>
      <c r="C98" s="9">
        <v>43703</v>
      </c>
      <c r="D98" s="10" t="s">
        <v>354</v>
      </c>
      <c r="E98" s="4" t="s">
        <v>481</v>
      </c>
    </row>
    <row r="99" spans="2:5" ht="43.2" x14ac:dyDescent="0.3">
      <c r="B99" s="800">
        <v>87</v>
      </c>
      <c r="C99" s="9">
        <v>43704</v>
      </c>
      <c r="D99" s="10" t="s">
        <v>431</v>
      </c>
      <c r="E99" s="4" t="s">
        <v>483</v>
      </c>
    </row>
    <row r="100" spans="2:5" x14ac:dyDescent="0.3">
      <c r="B100" s="800">
        <v>88</v>
      </c>
      <c r="C100" s="9">
        <v>43711</v>
      </c>
      <c r="D100" s="10" t="s">
        <v>431</v>
      </c>
      <c r="E100" s="4" t="s">
        <v>484</v>
      </c>
    </row>
    <row r="101" spans="2:5" x14ac:dyDescent="0.3">
      <c r="B101" s="800">
        <v>89</v>
      </c>
      <c r="C101" s="9">
        <v>43711</v>
      </c>
      <c r="D101" s="10" t="s">
        <v>431</v>
      </c>
      <c r="E101" s="4" t="s">
        <v>486</v>
      </c>
    </row>
    <row r="102" spans="2:5" x14ac:dyDescent="0.3">
      <c r="B102" s="800">
        <v>90</v>
      </c>
      <c r="C102" s="9">
        <v>43714</v>
      </c>
      <c r="D102" s="10" t="s">
        <v>431</v>
      </c>
      <c r="E102" s="4" t="s">
        <v>487</v>
      </c>
    </row>
    <row r="103" spans="2:5" ht="28.8" x14ac:dyDescent="0.3">
      <c r="B103" s="800">
        <v>91</v>
      </c>
      <c r="C103" s="9">
        <v>43719</v>
      </c>
      <c r="D103" s="10" t="s">
        <v>354</v>
      </c>
      <c r="E103" s="4" t="s">
        <v>496</v>
      </c>
    </row>
    <row r="104" spans="2:5" x14ac:dyDescent="0.3">
      <c r="B104" s="800">
        <v>92</v>
      </c>
      <c r="C104" s="9">
        <v>43747</v>
      </c>
      <c r="D104" s="10" t="s">
        <v>431</v>
      </c>
      <c r="E104" s="4" t="s">
        <v>499</v>
      </c>
    </row>
    <row r="105" spans="2:5" x14ac:dyDescent="0.3">
      <c r="B105" s="800">
        <v>93</v>
      </c>
      <c r="C105" s="9">
        <v>43768</v>
      </c>
      <c r="D105" s="10" t="s">
        <v>354</v>
      </c>
      <c r="E105" s="4" t="s">
        <v>501</v>
      </c>
    </row>
    <row r="106" spans="2:5" x14ac:dyDescent="0.3">
      <c r="B106" s="800">
        <v>94</v>
      </c>
      <c r="C106" s="9">
        <v>43775</v>
      </c>
      <c r="D106" s="10" t="s">
        <v>431</v>
      </c>
      <c r="E106" s="4" t="s">
        <v>503</v>
      </c>
    </row>
    <row r="107" spans="2:5" x14ac:dyDescent="0.3">
      <c r="B107" s="800">
        <v>95</v>
      </c>
      <c r="C107" s="9">
        <v>43791</v>
      </c>
      <c r="D107" s="10" t="s">
        <v>354</v>
      </c>
      <c r="E107" s="4" t="s">
        <v>505</v>
      </c>
    </row>
    <row r="108" spans="2:5" x14ac:dyDescent="0.3">
      <c r="B108" s="800">
        <v>96</v>
      </c>
      <c r="C108" s="9">
        <v>43816</v>
      </c>
      <c r="D108" s="10" t="s">
        <v>431</v>
      </c>
      <c r="E108" s="4" t="s">
        <v>506</v>
      </c>
    </row>
    <row r="109" spans="2:5" x14ac:dyDescent="0.3">
      <c r="B109" s="800">
        <v>97</v>
      </c>
      <c r="C109" s="9">
        <v>43816</v>
      </c>
      <c r="D109" s="10" t="s">
        <v>354</v>
      </c>
      <c r="E109" s="4" t="s">
        <v>517</v>
      </c>
    </row>
    <row r="110" spans="2:5" x14ac:dyDescent="0.3">
      <c r="B110" s="800">
        <v>98</v>
      </c>
      <c r="C110" s="9">
        <v>43816</v>
      </c>
      <c r="D110" s="10" t="s">
        <v>431</v>
      </c>
      <c r="E110" s="4" t="s">
        <v>518</v>
      </c>
    </row>
    <row r="111" spans="2:5" x14ac:dyDescent="0.3">
      <c r="B111" s="800">
        <v>99</v>
      </c>
      <c r="C111" s="9">
        <v>43817</v>
      </c>
      <c r="D111" s="10" t="s">
        <v>431</v>
      </c>
      <c r="E111" s="4" t="s">
        <v>520</v>
      </c>
    </row>
    <row r="112" spans="2:5" x14ac:dyDescent="0.3">
      <c r="B112" s="800">
        <v>100</v>
      </c>
      <c r="C112" s="9">
        <v>43817</v>
      </c>
      <c r="D112" s="10" t="s">
        <v>431</v>
      </c>
      <c r="E112" s="4" t="s">
        <v>521</v>
      </c>
    </row>
    <row r="113" spans="2:5" ht="28.8" x14ac:dyDescent="0.3">
      <c r="B113" s="800">
        <v>101</v>
      </c>
      <c r="C113" s="9">
        <v>43817</v>
      </c>
      <c r="D113" s="10" t="s">
        <v>354</v>
      </c>
      <c r="E113" s="4" t="s">
        <v>522</v>
      </c>
    </row>
    <row r="114" spans="2:5" x14ac:dyDescent="0.3">
      <c r="B114" s="800">
        <v>102</v>
      </c>
      <c r="C114" s="9">
        <v>43818</v>
      </c>
      <c r="D114" s="10" t="s">
        <v>431</v>
      </c>
      <c r="E114" s="4" t="s">
        <v>527</v>
      </c>
    </row>
    <row r="115" spans="2:5" x14ac:dyDescent="0.3">
      <c r="B115" s="800">
        <v>103</v>
      </c>
      <c r="C115" s="9">
        <v>43822</v>
      </c>
      <c r="D115" s="10" t="s">
        <v>431</v>
      </c>
      <c r="E115" s="4" t="s">
        <v>528</v>
      </c>
    </row>
    <row r="116" spans="2:5" x14ac:dyDescent="0.3">
      <c r="B116" s="800">
        <v>104</v>
      </c>
      <c r="C116" s="9">
        <v>43825</v>
      </c>
      <c r="D116" s="10" t="s">
        <v>431</v>
      </c>
      <c r="E116" s="4" t="s">
        <v>529</v>
      </c>
    </row>
    <row r="117" spans="2:5" x14ac:dyDescent="0.3">
      <c r="B117" s="800">
        <v>105</v>
      </c>
      <c r="C117" s="9">
        <v>43825</v>
      </c>
      <c r="D117" s="10" t="s">
        <v>431</v>
      </c>
      <c r="E117" s="4" t="s">
        <v>530</v>
      </c>
    </row>
    <row r="118" spans="2:5" x14ac:dyDescent="0.3">
      <c r="B118" s="800">
        <v>106</v>
      </c>
      <c r="C118" s="9">
        <v>43836</v>
      </c>
      <c r="D118" s="10" t="s">
        <v>431</v>
      </c>
      <c r="E118" s="4" t="s">
        <v>531</v>
      </c>
    </row>
    <row r="119" spans="2:5" x14ac:dyDescent="0.3">
      <c r="B119" s="800">
        <v>107</v>
      </c>
      <c r="C119" s="9">
        <v>43837</v>
      </c>
      <c r="D119" s="10" t="s">
        <v>354</v>
      </c>
      <c r="E119" s="4" t="s">
        <v>533</v>
      </c>
    </row>
    <row r="120" spans="2:5" ht="129.6" x14ac:dyDescent="0.3">
      <c r="B120" s="800">
        <v>108</v>
      </c>
      <c r="C120" s="9">
        <v>43837</v>
      </c>
      <c r="D120" s="10" t="s">
        <v>534</v>
      </c>
      <c r="E120" s="4" t="s">
        <v>535</v>
      </c>
    </row>
    <row r="121" spans="2:5" x14ac:dyDescent="0.3">
      <c r="B121" s="800">
        <v>109</v>
      </c>
      <c r="C121" s="9">
        <v>43838</v>
      </c>
      <c r="D121" s="10" t="s">
        <v>431</v>
      </c>
      <c r="E121" s="4" t="s">
        <v>541</v>
      </c>
    </row>
    <row r="122" spans="2:5" x14ac:dyDescent="0.3">
      <c r="B122" s="800">
        <v>110</v>
      </c>
      <c r="C122" s="9">
        <v>43839</v>
      </c>
      <c r="D122" s="10" t="s">
        <v>431</v>
      </c>
      <c r="E122" s="4" t="s">
        <v>542</v>
      </c>
    </row>
    <row r="123" spans="2:5" x14ac:dyDescent="0.3">
      <c r="B123" s="800">
        <v>111</v>
      </c>
      <c r="C123" s="9">
        <v>43839</v>
      </c>
      <c r="D123" s="10" t="s">
        <v>431</v>
      </c>
      <c r="E123" s="4" t="s">
        <v>543</v>
      </c>
    </row>
    <row r="124" spans="2:5" x14ac:dyDescent="0.3">
      <c r="B124" s="800">
        <v>112</v>
      </c>
      <c r="C124" s="9">
        <v>43839</v>
      </c>
      <c r="D124" s="10" t="s">
        <v>431</v>
      </c>
      <c r="E124" s="4" t="s">
        <v>545</v>
      </c>
    </row>
    <row r="125" spans="2:5" x14ac:dyDescent="0.3">
      <c r="B125" s="800">
        <v>113</v>
      </c>
      <c r="C125" s="9">
        <v>43839</v>
      </c>
      <c r="D125" s="10" t="s">
        <v>431</v>
      </c>
      <c r="E125" s="4" t="s">
        <v>546</v>
      </c>
    </row>
    <row r="126" spans="2:5" x14ac:dyDescent="0.3">
      <c r="B126" s="800">
        <v>114</v>
      </c>
      <c r="C126" s="9">
        <v>43839</v>
      </c>
      <c r="D126" s="10" t="s">
        <v>431</v>
      </c>
      <c r="E126" s="4" t="s">
        <v>551</v>
      </c>
    </row>
    <row r="127" spans="2:5" x14ac:dyDescent="0.3">
      <c r="B127" s="800">
        <v>115</v>
      </c>
      <c r="C127" s="9">
        <v>43843</v>
      </c>
      <c r="D127" s="10" t="s">
        <v>354</v>
      </c>
      <c r="E127" s="4"/>
    </row>
    <row r="128" spans="2:5" x14ac:dyDescent="0.3">
      <c r="B128" s="800">
        <v>116</v>
      </c>
      <c r="C128" s="9">
        <v>43844</v>
      </c>
      <c r="D128" s="10" t="s">
        <v>431</v>
      </c>
      <c r="E128" s="4" t="s">
        <v>559</v>
      </c>
    </row>
    <row r="129" spans="2:5" x14ac:dyDescent="0.3">
      <c r="B129" s="800">
        <v>117</v>
      </c>
      <c r="C129" s="9">
        <v>43844</v>
      </c>
      <c r="D129" s="10" t="s">
        <v>431</v>
      </c>
      <c r="E129" s="4" t="s">
        <v>560</v>
      </c>
    </row>
    <row r="130" spans="2:5" x14ac:dyDescent="0.3">
      <c r="B130" s="800">
        <v>118</v>
      </c>
      <c r="C130" s="9">
        <v>43844</v>
      </c>
      <c r="D130" s="10" t="s">
        <v>431</v>
      </c>
      <c r="E130" s="4" t="s">
        <v>561</v>
      </c>
    </row>
    <row r="131" spans="2:5" x14ac:dyDescent="0.3">
      <c r="B131" s="800">
        <v>119</v>
      </c>
      <c r="C131" s="9">
        <v>43845</v>
      </c>
      <c r="D131" s="10" t="s">
        <v>431</v>
      </c>
      <c r="E131" s="4" t="s">
        <v>562</v>
      </c>
    </row>
    <row r="132" spans="2:5" x14ac:dyDescent="0.3">
      <c r="B132" s="800">
        <v>120</v>
      </c>
      <c r="C132" s="9">
        <v>43845</v>
      </c>
      <c r="D132" s="10" t="s">
        <v>431</v>
      </c>
      <c r="E132" s="4" t="s">
        <v>563</v>
      </c>
    </row>
    <row r="133" spans="2:5" x14ac:dyDescent="0.3">
      <c r="B133" s="800">
        <v>121</v>
      </c>
      <c r="C133" s="9">
        <v>43847</v>
      </c>
      <c r="D133" s="10" t="s">
        <v>431</v>
      </c>
      <c r="E133" s="4" t="s">
        <v>567</v>
      </c>
    </row>
    <row r="134" spans="2:5" ht="28.8" x14ac:dyDescent="0.3">
      <c r="B134" s="800">
        <v>122</v>
      </c>
      <c r="C134" s="9">
        <v>43837</v>
      </c>
      <c r="D134" s="10" t="s">
        <v>534</v>
      </c>
      <c r="E134" s="4" t="s">
        <v>571</v>
      </c>
    </row>
    <row r="135" spans="2:5" x14ac:dyDescent="0.3">
      <c r="B135" s="800">
        <v>123</v>
      </c>
      <c r="C135" s="9">
        <v>43850</v>
      </c>
      <c r="D135" s="10" t="s">
        <v>431</v>
      </c>
      <c r="E135" s="4" t="s">
        <v>572</v>
      </c>
    </row>
    <row r="136" spans="2:5" x14ac:dyDescent="0.3">
      <c r="B136" s="800">
        <v>124</v>
      </c>
      <c r="C136" s="9">
        <v>43852</v>
      </c>
      <c r="D136" s="10" t="s">
        <v>431</v>
      </c>
      <c r="E136" s="4" t="s">
        <v>573</v>
      </c>
    </row>
    <row r="137" spans="2:5" ht="28.8" x14ac:dyDescent="0.3">
      <c r="B137" s="800">
        <v>125</v>
      </c>
      <c r="C137" s="9">
        <v>43853</v>
      </c>
      <c r="D137" s="10" t="s">
        <v>354</v>
      </c>
      <c r="E137" s="4" t="s">
        <v>575</v>
      </c>
    </row>
    <row r="138" spans="2:5" x14ac:dyDescent="0.3">
      <c r="B138" s="800">
        <v>126</v>
      </c>
      <c r="C138" s="9">
        <v>43857</v>
      </c>
      <c r="D138" s="10" t="s">
        <v>431</v>
      </c>
      <c r="E138" s="4" t="s">
        <v>576</v>
      </c>
    </row>
    <row r="139" spans="2:5" x14ac:dyDescent="0.3">
      <c r="B139" s="800">
        <v>127</v>
      </c>
      <c r="C139" s="9">
        <v>43872</v>
      </c>
      <c r="D139" s="10" t="s">
        <v>431</v>
      </c>
      <c r="E139" s="4" t="s">
        <v>577</v>
      </c>
    </row>
    <row r="140" spans="2:5" x14ac:dyDescent="0.3">
      <c r="B140" s="800">
        <v>128</v>
      </c>
      <c r="C140" s="9">
        <v>43888</v>
      </c>
      <c r="D140" s="10" t="s">
        <v>431</v>
      </c>
      <c r="E140" s="4" t="s">
        <v>578</v>
      </c>
    </row>
    <row r="141" spans="2:5" ht="28.8" x14ac:dyDescent="0.3">
      <c r="B141" s="800">
        <v>129</v>
      </c>
      <c r="C141" s="9">
        <v>43895</v>
      </c>
      <c r="D141" s="10" t="s">
        <v>431</v>
      </c>
      <c r="E141" s="4" t="s">
        <v>579</v>
      </c>
    </row>
    <row r="142" spans="2:5" x14ac:dyDescent="0.3">
      <c r="B142" s="800">
        <v>130</v>
      </c>
      <c r="C142" s="9">
        <v>43908</v>
      </c>
      <c r="D142" s="10" t="s">
        <v>354</v>
      </c>
      <c r="E142" s="4" t="s">
        <v>581</v>
      </c>
    </row>
    <row r="143" spans="2:5" x14ac:dyDescent="0.3">
      <c r="B143" s="800">
        <v>131</v>
      </c>
      <c r="C143" s="9">
        <v>43908</v>
      </c>
      <c r="D143" s="10" t="s">
        <v>431</v>
      </c>
      <c r="E143" s="4" t="s">
        <v>582</v>
      </c>
    </row>
    <row r="144" spans="2:5" x14ac:dyDescent="0.3">
      <c r="B144" s="800">
        <v>132</v>
      </c>
      <c r="C144" s="9">
        <v>43916</v>
      </c>
      <c r="D144" s="10" t="s">
        <v>354</v>
      </c>
      <c r="E144" s="4" t="s">
        <v>586</v>
      </c>
    </row>
    <row r="145" spans="2:5" ht="43.2" x14ac:dyDescent="0.3">
      <c r="B145" s="800">
        <v>133</v>
      </c>
      <c r="C145" s="9">
        <v>43929</v>
      </c>
      <c r="D145" s="10" t="s">
        <v>534</v>
      </c>
      <c r="E145" s="4" t="s">
        <v>588</v>
      </c>
    </row>
    <row r="146" spans="2:5" x14ac:dyDescent="0.3">
      <c r="B146" s="800">
        <v>134</v>
      </c>
      <c r="C146" s="9">
        <v>43908</v>
      </c>
      <c r="D146" s="10" t="s">
        <v>431</v>
      </c>
      <c r="E146" s="4" t="s">
        <v>589</v>
      </c>
    </row>
    <row r="147" spans="2:5" x14ac:dyDescent="0.3">
      <c r="B147" s="800">
        <v>135</v>
      </c>
      <c r="C147" s="9">
        <v>43978</v>
      </c>
      <c r="D147" s="10" t="s">
        <v>431</v>
      </c>
      <c r="E147" s="4" t="s">
        <v>596</v>
      </c>
    </row>
    <row r="148" spans="2:5" ht="72" x14ac:dyDescent="0.3">
      <c r="B148" s="800">
        <v>136</v>
      </c>
      <c r="C148" s="9">
        <v>43980</v>
      </c>
      <c r="D148" s="10" t="s">
        <v>534</v>
      </c>
      <c r="E148" s="4" t="s">
        <v>597</v>
      </c>
    </row>
    <row r="149" spans="2:5" ht="100.8" x14ac:dyDescent="0.3">
      <c r="B149" s="800">
        <v>137</v>
      </c>
      <c r="C149" s="9">
        <v>43991</v>
      </c>
      <c r="D149" s="10" t="s">
        <v>534</v>
      </c>
      <c r="E149" s="4" t="s">
        <v>607</v>
      </c>
    </row>
    <row r="150" spans="2:5" ht="28.8" x14ac:dyDescent="0.3">
      <c r="B150" s="800">
        <v>138</v>
      </c>
      <c r="C150" s="9">
        <v>43992</v>
      </c>
      <c r="D150" s="10" t="s">
        <v>431</v>
      </c>
      <c r="E150" s="4" t="s">
        <v>608</v>
      </c>
    </row>
    <row r="151" spans="2:5" ht="28.8" x14ac:dyDescent="0.3">
      <c r="B151" s="800">
        <v>139</v>
      </c>
      <c r="C151" s="9">
        <v>43993</v>
      </c>
      <c r="D151" s="10" t="s">
        <v>431</v>
      </c>
      <c r="E151" s="4" t="s">
        <v>609</v>
      </c>
    </row>
    <row r="152" spans="2:5" ht="86.4" x14ac:dyDescent="0.3">
      <c r="B152" s="800">
        <v>140</v>
      </c>
      <c r="C152" s="9">
        <v>43997</v>
      </c>
      <c r="D152" s="10" t="s">
        <v>534</v>
      </c>
      <c r="E152" s="4" t="s">
        <v>612</v>
      </c>
    </row>
    <row r="153" spans="2:5" ht="216" x14ac:dyDescent="0.3">
      <c r="B153" s="800">
        <v>141</v>
      </c>
      <c r="C153" s="9">
        <v>44004</v>
      </c>
      <c r="D153" s="10" t="s">
        <v>534</v>
      </c>
      <c r="E153" s="4" t="s">
        <v>614</v>
      </c>
    </row>
    <row r="154" spans="2:5" ht="28.8" x14ac:dyDescent="0.3">
      <c r="B154" s="800">
        <v>142</v>
      </c>
      <c r="C154" s="9">
        <v>44008</v>
      </c>
      <c r="D154" s="10" t="s">
        <v>534</v>
      </c>
      <c r="E154" s="4" t="s">
        <v>615</v>
      </c>
    </row>
    <row r="155" spans="2:5" x14ac:dyDescent="0.3">
      <c r="B155" s="800">
        <v>143</v>
      </c>
      <c r="C155" s="9">
        <v>44022</v>
      </c>
      <c r="D155" s="10" t="s">
        <v>534</v>
      </c>
      <c r="E155" s="4" t="s">
        <v>616</v>
      </c>
    </row>
    <row r="156" spans="2:5" x14ac:dyDescent="0.3">
      <c r="B156" s="800">
        <v>144</v>
      </c>
      <c r="C156" s="9">
        <v>44028</v>
      </c>
      <c r="D156" s="10" t="s">
        <v>431</v>
      </c>
      <c r="E156" s="4" t="s">
        <v>617</v>
      </c>
    </row>
    <row r="157" spans="2:5" ht="28.8" x14ac:dyDescent="0.3">
      <c r="B157" s="800">
        <v>145</v>
      </c>
      <c r="C157" s="9">
        <v>44027</v>
      </c>
      <c r="D157" s="10" t="s">
        <v>354</v>
      </c>
      <c r="E157" s="4" t="s">
        <v>626</v>
      </c>
    </row>
    <row r="158" spans="2:5" x14ac:dyDescent="0.3">
      <c r="B158" s="800">
        <v>146</v>
      </c>
      <c r="C158" s="9">
        <v>44042</v>
      </c>
      <c r="D158" s="10" t="s">
        <v>354</v>
      </c>
      <c r="E158" s="4" t="s">
        <v>628</v>
      </c>
    </row>
    <row r="159" spans="2:5" x14ac:dyDescent="0.3">
      <c r="B159" s="800">
        <v>147</v>
      </c>
      <c r="C159" s="9">
        <v>44063</v>
      </c>
      <c r="D159" s="10" t="s">
        <v>534</v>
      </c>
      <c r="E159" s="4" t="s">
        <v>632</v>
      </c>
    </row>
    <row r="160" spans="2:5" ht="57.6" x14ac:dyDescent="0.3">
      <c r="B160" s="800">
        <v>148</v>
      </c>
      <c r="C160" s="9">
        <v>44092</v>
      </c>
      <c r="D160" s="10" t="s">
        <v>534</v>
      </c>
      <c r="E160" s="4" t="s">
        <v>633</v>
      </c>
    </row>
    <row r="161" spans="2:5" x14ac:dyDescent="0.3">
      <c r="B161" s="800">
        <v>149</v>
      </c>
      <c r="C161" s="9">
        <v>44098</v>
      </c>
      <c r="D161" s="10" t="s">
        <v>354</v>
      </c>
      <c r="E161" s="4" t="s">
        <v>634</v>
      </c>
    </row>
    <row r="162" spans="2:5" x14ac:dyDescent="0.3">
      <c r="B162" s="800">
        <v>150</v>
      </c>
      <c r="C162" s="9">
        <v>44103</v>
      </c>
      <c r="D162" s="10" t="s">
        <v>354</v>
      </c>
      <c r="E162" s="4" t="s">
        <v>635</v>
      </c>
    </row>
    <row r="163" spans="2:5" ht="43.2" x14ac:dyDescent="0.3">
      <c r="B163" s="800">
        <v>151</v>
      </c>
      <c r="C163" s="9">
        <v>44109</v>
      </c>
      <c r="D163" s="10" t="s">
        <v>354</v>
      </c>
      <c r="E163" s="4" t="s">
        <v>637</v>
      </c>
    </row>
    <row r="164" spans="2:5" ht="28.8" x14ac:dyDescent="0.3">
      <c r="B164" s="800">
        <v>152</v>
      </c>
      <c r="C164" s="9">
        <v>44112</v>
      </c>
      <c r="D164" s="10" t="s">
        <v>354</v>
      </c>
      <c r="E164" s="4" t="s">
        <v>642</v>
      </c>
    </row>
    <row r="165" spans="2:5" x14ac:dyDescent="0.3">
      <c r="B165" s="800">
        <v>153</v>
      </c>
      <c r="C165" s="9">
        <v>44123</v>
      </c>
      <c r="D165" s="10" t="s">
        <v>431</v>
      </c>
      <c r="E165" s="4" t="s">
        <v>643</v>
      </c>
    </row>
    <row r="166" spans="2:5" ht="43.2" x14ac:dyDescent="0.3">
      <c r="B166" s="800">
        <v>154</v>
      </c>
      <c r="C166" s="9">
        <v>44126</v>
      </c>
      <c r="D166" s="10" t="s">
        <v>354</v>
      </c>
      <c r="E166" s="4" t="s">
        <v>644</v>
      </c>
    </row>
    <row r="167" spans="2:5" ht="57.6" x14ac:dyDescent="0.3">
      <c r="B167" s="800">
        <v>155</v>
      </c>
      <c r="C167" s="9">
        <v>44141</v>
      </c>
      <c r="D167" s="10" t="s">
        <v>534</v>
      </c>
      <c r="E167" s="4" t="s">
        <v>645</v>
      </c>
    </row>
    <row r="168" spans="2:5" ht="28.8" x14ac:dyDescent="0.3">
      <c r="B168" s="800">
        <v>156</v>
      </c>
      <c r="C168" s="9">
        <v>44148</v>
      </c>
      <c r="D168" s="10" t="s">
        <v>534</v>
      </c>
      <c r="E168" s="4" t="s">
        <v>648</v>
      </c>
    </row>
    <row r="169" spans="2:5" ht="100.8" x14ac:dyDescent="0.3">
      <c r="B169" s="800">
        <v>157</v>
      </c>
      <c r="C169" s="9">
        <v>44151</v>
      </c>
      <c r="D169" s="10" t="s">
        <v>534</v>
      </c>
      <c r="E169" s="4" t="s">
        <v>655</v>
      </c>
    </row>
    <row r="170" spans="2:5" ht="100.8" x14ac:dyDescent="0.3">
      <c r="B170" s="800">
        <v>158</v>
      </c>
      <c r="C170" s="9">
        <v>44155</v>
      </c>
      <c r="D170" s="10" t="s">
        <v>534</v>
      </c>
      <c r="E170" s="4" t="s">
        <v>657</v>
      </c>
    </row>
    <row r="171" spans="2:5" x14ac:dyDescent="0.3">
      <c r="B171" s="800">
        <v>159</v>
      </c>
      <c r="C171" s="9">
        <v>44165</v>
      </c>
      <c r="D171" s="10" t="s">
        <v>431</v>
      </c>
      <c r="E171" s="4" t="s">
        <v>659</v>
      </c>
    </row>
    <row r="172" spans="2:5" x14ac:dyDescent="0.3">
      <c r="B172" s="800">
        <v>160</v>
      </c>
      <c r="C172" s="9">
        <v>44165</v>
      </c>
      <c r="D172" s="10" t="s">
        <v>431</v>
      </c>
      <c r="E172" s="4" t="s">
        <v>663</v>
      </c>
    </row>
    <row r="173" spans="2:5" ht="43.2" x14ac:dyDescent="0.3">
      <c r="B173" s="800">
        <v>161</v>
      </c>
      <c r="C173" s="9">
        <v>44180</v>
      </c>
      <c r="D173" s="10" t="s">
        <v>534</v>
      </c>
      <c r="E173" s="4" t="s">
        <v>666</v>
      </c>
    </row>
    <row r="174" spans="2:5" ht="72" x14ac:dyDescent="0.3">
      <c r="B174" s="800">
        <v>162</v>
      </c>
      <c r="C174" s="9">
        <v>44180</v>
      </c>
      <c r="D174" s="10" t="s">
        <v>534</v>
      </c>
      <c r="E174" s="4" t="s">
        <v>667</v>
      </c>
    </row>
    <row r="175" spans="2:5" ht="43.2" x14ac:dyDescent="0.3">
      <c r="B175" s="800">
        <v>163</v>
      </c>
      <c r="C175" s="9">
        <v>44182</v>
      </c>
      <c r="D175" s="10" t="s">
        <v>431</v>
      </c>
      <c r="E175" s="4" t="s">
        <v>668</v>
      </c>
    </row>
    <row r="176" spans="2:5" x14ac:dyDescent="0.3">
      <c r="B176" s="800">
        <v>164</v>
      </c>
      <c r="C176" s="9">
        <v>44183</v>
      </c>
      <c r="D176" s="10" t="s">
        <v>431</v>
      </c>
      <c r="E176" s="4" t="s">
        <v>682</v>
      </c>
    </row>
    <row r="177" spans="2:5" ht="43.2" x14ac:dyDescent="0.3">
      <c r="B177" s="800">
        <v>165</v>
      </c>
      <c r="C177" s="9">
        <v>44207</v>
      </c>
      <c r="D177" s="10" t="s">
        <v>431</v>
      </c>
      <c r="E177" s="4" t="s">
        <v>690</v>
      </c>
    </row>
    <row r="178" spans="2:5" ht="43.2" x14ac:dyDescent="0.3">
      <c r="B178" s="800">
        <v>166</v>
      </c>
      <c r="C178" s="9">
        <v>44208</v>
      </c>
      <c r="D178" s="10" t="s">
        <v>431</v>
      </c>
      <c r="E178" s="4" t="s">
        <v>697</v>
      </c>
    </row>
    <row r="179" spans="2:5" ht="100.8" x14ac:dyDescent="0.3">
      <c r="B179" s="800">
        <v>167</v>
      </c>
      <c r="C179" s="9">
        <v>44208</v>
      </c>
      <c r="D179" s="10" t="s">
        <v>354</v>
      </c>
      <c r="E179" s="4" t="s">
        <v>702</v>
      </c>
    </row>
    <row r="180" spans="2:5" ht="57.6" x14ac:dyDescent="0.3">
      <c r="B180" s="800">
        <v>168</v>
      </c>
      <c r="C180" s="9">
        <v>44215</v>
      </c>
      <c r="D180" s="10" t="s">
        <v>354</v>
      </c>
      <c r="E180" s="4" t="s">
        <v>701</v>
      </c>
    </row>
    <row r="181" spans="2:5" ht="43.2" x14ac:dyDescent="0.3">
      <c r="B181" s="800">
        <v>169</v>
      </c>
      <c r="C181" s="9">
        <v>44223</v>
      </c>
      <c r="D181" s="10" t="s">
        <v>431</v>
      </c>
      <c r="E181" s="4" t="s">
        <v>703</v>
      </c>
    </row>
    <row r="182" spans="2:5" ht="28.8" x14ac:dyDescent="0.3">
      <c r="B182" s="800">
        <v>170</v>
      </c>
      <c r="C182" s="9">
        <v>44237</v>
      </c>
      <c r="D182" s="10" t="s">
        <v>431</v>
      </c>
      <c r="E182" s="4" t="s">
        <v>705</v>
      </c>
    </row>
    <row r="183" spans="2:5" ht="86.4" x14ac:dyDescent="0.3">
      <c r="B183" s="800">
        <v>171</v>
      </c>
      <c r="C183" s="9">
        <v>44244</v>
      </c>
      <c r="D183" s="10" t="s">
        <v>534</v>
      </c>
      <c r="E183" s="4" t="s">
        <v>706</v>
      </c>
    </row>
    <row r="184" spans="2:5" ht="43.2" x14ac:dyDescent="0.3">
      <c r="B184" s="800">
        <v>172</v>
      </c>
      <c r="C184" s="9">
        <v>44259</v>
      </c>
      <c r="D184" s="10" t="s">
        <v>431</v>
      </c>
      <c r="E184" s="4" t="s">
        <v>1086</v>
      </c>
    </row>
    <row r="185" spans="2:5" ht="86.4" x14ac:dyDescent="0.3">
      <c r="B185" s="800">
        <v>173</v>
      </c>
      <c r="C185" s="9">
        <v>44265</v>
      </c>
      <c r="D185" s="10" t="s">
        <v>354</v>
      </c>
      <c r="E185" s="4" t="s">
        <v>1097</v>
      </c>
    </row>
    <row r="186" spans="2:5" ht="28.8" x14ac:dyDescent="0.3">
      <c r="B186" s="800">
        <v>174</v>
      </c>
      <c r="C186" s="9">
        <v>44308</v>
      </c>
      <c r="D186" s="10" t="s">
        <v>354</v>
      </c>
      <c r="E186" s="4" t="s">
        <v>1098</v>
      </c>
    </row>
    <row r="187" spans="2:5" ht="43.2" x14ac:dyDescent="0.3">
      <c r="B187" s="800">
        <v>175</v>
      </c>
      <c r="C187" s="9">
        <v>44315</v>
      </c>
      <c r="D187" s="10" t="s">
        <v>534</v>
      </c>
      <c r="E187" s="4" t="s">
        <v>1111</v>
      </c>
    </row>
    <row r="188" spans="2:5" ht="86.4" x14ac:dyDescent="0.3">
      <c r="B188" s="800">
        <v>176</v>
      </c>
      <c r="C188" s="9">
        <v>44322</v>
      </c>
      <c r="D188" s="10" t="s">
        <v>354</v>
      </c>
      <c r="E188" s="4" t="s">
        <v>1114</v>
      </c>
    </row>
    <row r="189" spans="2:5" ht="86.4" x14ac:dyDescent="0.3">
      <c r="B189" s="800">
        <v>177</v>
      </c>
      <c r="C189" s="9">
        <v>44323</v>
      </c>
      <c r="D189" s="10" t="s">
        <v>1117</v>
      </c>
      <c r="E189" s="4" t="s">
        <v>1118</v>
      </c>
    </row>
    <row r="190" spans="2:5" ht="28.8" x14ac:dyDescent="0.3">
      <c r="B190" s="800">
        <v>178</v>
      </c>
      <c r="C190" s="9">
        <v>44323</v>
      </c>
      <c r="D190" s="10" t="s">
        <v>1117</v>
      </c>
      <c r="E190" s="4" t="s">
        <v>1119</v>
      </c>
    </row>
    <row r="191" spans="2:5" ht="100.8" x14ac:dyDescent="0.3">
      <c r="B191" s="800">
        <v>179</v>
      </c>
      <c r="C191" s="9">
        <v>44324</v>
      </c>
      <c r="D191" s="10" t="s">
        <v>1117</v>
      </c>
      <c r="E191" s="4" t="s">
        <v>1265</v>
      </c>
    </row>
    <row r="192" spans="2:5" ht="57.6" x14ac:dyDescent="0.3">
      <c r="B192" s="800">
        <v>180</v>
      </c>
      <c r="C192" s="9">
        <v>44335</v>
      </c>
      <c r="D192" s="10" t="s">
        <v>1117</v>
      </c>
      <c r="E192" s="4" t="s">
        <v>1266</v>
      </c>
    </row>
    <row r="193" spans="2:5" x14ac:dyDescent="0.3">
      <c r="B193" s="800">
        <v>181</v>
      </c>
      <c r="C193" s="9">
        <v>44337</v>
      </c>
      <c r="D193" s="10" t="s">
        <v>1117</v>
      </c>
      <c r="E193" s="4" t="s">
        <v>1267</v>
      </c>
    </row>
    <row r="194" spans="2:5" ht="28.8" x14ac:dyDescent="0.3">
      <c r="B194" s="800">
        <v>182</v>
      </c>
      <c r="C194" s="9">
        <v>44337</v>
      </c>
      <c r="D194" s="10" t="s">
        <v>534</v>
      </c>
      <c r="E194" s="4" t="s">
        <v>1268</v>
      </c>
    </row>
    <row r="195" spans="2:5" ht="72" x14ac:dyDescent="0.3">
      <c r="B195" s="800">
        <v>183</v>
      </c>
      <c r="C195" s="9">
        <v>44349</v>
      </c>
      <c r="D195" s="10" t="s">
        <v>1117</v>
      </c>
      <c r="E195" s="4" t="s">
        <v>1272</v>
      </c>
    </row>
    <row r="196" spans="2:5" ht="28.8" x14ac:dyDescent="0.3">
      <c r="B196" s="800">
        <v>184</v>
      </c>
      <c r="C196" s="9">
        <v>44349</v>
      </c>
      <c r="D196" s="10" t="s">
        <v>354</v>
      </c>
      <c r="E196" s="4" t="s">
        <v>1275</v>
      </c>
    </row>
    <row r="197" spans="2:5" ht="57.6" x14ac:dyDescent="0.3">
      <c r="B197" s="800">
        <v>185</v>
      </c>
      <c r="C197" s="9">
        <v>44353</v>
      </c>
      <c r="D197" s="10" t="s">
        <v>1117</v>
      </c>
      <c r="E197" s="4" t="s">
        <v>1276</v>
      </c>
    </row>
    <row r="198" spans="2:5" x14ac:dyDescent="0.3">
      <c r="B198" s="800">
        <v>186</v>
      </c>
      <c r="C198" s="9">
        <v>44364</v>
      </c>
      <c r="D198" s="10" t="s">
        <v>1117</v>
      </c>
      <c r="E198" s="4" t="s">
        <v>1279</v>
      </c>
    </row>
    <row r="199" spans="2:5" x14ac:dyDescent="0.3">
      <c r="B199" s="800">
        <v>187</v>
      </c>
      <c r="C199" s="9">
        <v>44379</v>
      </c>
      <c r="D199" s="10" t="s">
        <v>1117</v>
      </c>
      <c r="E199" s="4" t="s">
        <v>1281</v>
      </c>
    </row>
    <row r="200" spans="2:5" x14ac:dyDescent="0.3">
      <c r="B200" s="800">
        <v>188</v>
      </c>
      <c r="C200" s="9">
        <v>44382</v>
      </c>
      <c r="D200" s="10" t="s">
        <v>1117</v>
      </c>
      <c r="E200" s="4" t="s">
        <v>1282</v>
      </c>
    </row>
    <row r="201" spans="2:5" ht="28.8" x14ac:dyDescent="0.3">
      <c r="B201" s="800">
        <v>189</v>
      </c>
      <c r="C201" s="9">
        <v>44386</v>
      </c>
      <c r="D201" s="10" t="s">
        <v>1117</v>
      </c>
      <c r="E201" s="4" t="s">
        <v>1292</v>
      </c>
    </row>
    <row r="202" spans="2:5" ht="144" x14ac:dyDescent="0.3">
      <c r="B202" s="800">
        <v>190</v>
      </c>
      <c r="C202" s="9">
        <v>44397</v>
      </c>
      <c r="D202" s="10" t="s">
        <v>1117</v>
      </c>
      <c r="E202" s="4" t="s">
        <v>1301</v>
      </c>
    </row>
    <row r="203" spans="2:5" ht="72" x14ac:dyDescent="0.3">
      <c r="B203" s="800">
        <v>191</v>
      </c>
      <c r="C203" s="9">
        <v>44397</v>
      </c>
      <c r="D203" s="10" t="s">
        <v>1117</v>
      </c>
      <c r="E203" s="4" t="s">
        <v>1302</v>
      </c>
    </row>
    <row r="204" spans="2:5" ht="72" x14ac:dyDescent="0.3">
      <c r="B204" s="800">
        <v>192</v>
      </c>
      <c r="C204" s="9">
        <v>44402</v>
      </c>
      <c r="D204" s="10" t="s">
        <v>1117</v>
      </c>
      <c r="E204" s="4" t="s">
        <v>1303</v>
      </c>
    </row>
    <row r="205" spans="2:5" ht="57.6" x14ac:dyDescent="0.3">
      <c r="B205" s="800">
        <v>193</v>
      </c>
      <c r="C205" s="9">
        <v>44405</v>
      </c>
      <c r="D205" s="10" t="s">
        <v>1117</v>
      </c>
      <c r="E205" s="4" t="s">
        <v>1304</v>
      </c>
    </row>
    <row r="206" spans="2:5" ht="100.8" x14ac:dyDescent="0.3">
      <c r="B206" s="800">
        <v>194</v>
      </c>
      <c r="C206" s="9">
        <v>44407</v>
      </c>
      <c r="D206" s="10" t="s">
        <v>1117</v>
      </c>
      <c r="E206" s="4" t="s">
        <v>1318</v>
      </c>
    </row>
    <row r="207" spans="2:5" ht="86.4" x14ac:dyDescent="0.3">
      <c r="B207" s="800">
        <v>195</v>
      </c>
      <c r="C207" s="9">
        <v>44411</v>
      </c>
      <c r="D207" s="10" t="s">
        <v>1117</v>
      </c>
      <c r="E207" s="4" t="s">
        <v>1325</v>
      </c>
    </row>
    <row r="208" spans="2:5" ht="43.2" x14ac:dyDescent="0.3">
      <c r="B208" s="800">
        <v>196</v>
      </c>
      <c r="C208" s="9">
        <v>44413</v>
      </c>
      <c r="D208" s="10" t="s">
        <v>1326</v>
      </c>
      <c r="E208" s="4" t="s">
        <v>1328</v>
      </c>
    </row>
    <row r="209" spans="2:5" ht="57.6" x14ac:dyDescent="0.3">
      <c r="B209" s="800">
        <v>197</v>
      </c>
      <c r="C209" s="9">
        <v>44413</v>
      </c>
      <c r="D209" s="10" t="s">
        <v>354</v>
      </c>
      <c r="E209" s="700" t="s">
        <v>1332</v>
      </c>
    </row>
    <row r="210" spans="2:5" ht="43.2" x14ac:dyDescent="0.3">
      <c r="B210" s="800">
        <v>198</v>
      </c>
      <c r="C210" s="9">
        <v>44425</v>
      </c>
      <c r="D210" s="10" t="s">
        <v>1117</v>
      </c>
      <c r="E210" s="700" t="s">
        <v>1352</v>
      </c>
    </row>
    <row r="211" spans="2:5" ht="57.6" x14ac:dyDescent="0.3">
      <c r="B211" s="800">
        <v>199</v>
      </c>
      <c r="C211" s="9">
        <v>44432</v>
      </c>
      <c r="D211" s="10" t="s">
        <v>1354</v>
      </c>
      <c r="E211" s="700" t="s">
        <v>1353</v>
      </c>
    </row>
    <row r="212" spans="2:5" ht="28.8" x14ac:dyDescent="0.3">
      <c r="B212" s="800">
        <v>200</v>
      </c>
      <c r="C212" s="9">
        <v>44447</v>
      </c>
      <c r="D212" s="10" t="s">
        <v>354</v>
      </c>
      <c r="E212" s="4" t="s">
        <v>1374</v>
      </c>
    </row>
    <row r="213" spans="2:5" ht="28.8" x14ac:dyDescent="0.3">
      <c r="B213" s="800">
        <v>201</v>
      </c>
      <c r="C213" s="9">
        <v>44456</v>
      </c>
      <c r="D213" s="10" t="s">
        <v>1117</v>
      </c>
      <c r="E213" s="4" t="s">
        <v>1375</v>
      </c>
    </row>
    <row r="214" spans="2:5" x14ac:dyDescent="0.3">
      <c r="B214" s="800">
        <v>202</v>
      </c>
      <c r="C214" s="9">
        <v>44459</v>
      </c>
      <c r="D214" s="10" t="s">
        <v>1326</v>
      </c>
      <c r="E214" s="4" t="s">
        <v>1377</v>
      </c>
    </row>
    <row r="215" spans="2:5" ht="57.6" x14ac:dyDescent="0.3">
      <c r="B215" s="800">
        <v>203</v>
      </c>
      <c r="C215" s="9">
        <v>44501</v>
      </c>
      <c r="D215" s="10" t="s">
        <v>1117</v>
      </c>
      <c r="E215" s="4" t="s">
        <v>1378</v>
      </c>
    </row>
    <row r="216" spans="2:5" ht="86.4" x14ac:dyDescent="0.3">
      <c r="B216" s="800">
        <v>204</v>
      </c>
      <c r="C216" s="9">
        <v>44520</v>
      </c>
      <c r="D216" s="10" t="s">
        <v>1117</v>
      </c>
      <c r="E216" s="4" t="s">
        <v>1380</v>
      </c>
    </row>
    <row r="217" spans="2:5" ht="72" x14ac:dyDescent="0.3">
      <c r="B217" s="800">
        <v>205</v>
      </c>
      <c r="C217" s="9">
        <v>44524</v>
      </c>
      <c r="D217" s="10" t="s">
        <v>354</v>
      </c>
      <c r="E217" s="4" t="s">
        <v>1392</v>
      </c>
    </row>
    <row r="218" spans="2:5" ht="86.4" x14ac:dyDescent="0.3">
      <c r="B218" s="800">
        <v>206</v>
      </c>
      <c r="C218" s="9">
        <v>44531</v>
      </c>
      <c r="D218" s="10" t="s">
        <v>1117</v>
      </c>
      <c r="E218" s="4" t="s">
        <v>1393</v>
      </c>
    </row>
    <row r="219" spans="2:5" ht="28.8" x14ac:dyDescent="0.3">
      <c r="B219" s="800">
        <v>207</v>
      </c>
      <c r="C219" s="9">
        <v>44534</v>
      </c>
      <c r="D219" s="10" t="s">
        <v>1117</v>
      </c>
      <c r="E219" s="4" t="s">
        <v>1394</v>
      </c>
    </row>
    <row r="220" spans="2:5" ht="57.6" x14ac:dyDescent="0.3">
      <c r="B220" s="800">
        <v>208</v>
      </c>
      <c r="C220" s="9">
        <v>44545</v>
      </c>
      <c r="D220" s="10" t="s">
        <v>1117</v>
      </c>
      <c r="E220" s="4" t="s">
        <v>1397</v>
      </c>
    </row>
    <row r="221" spans="2:5" ht="57.6" x14ac:dyDescent="0.3">
      <c r="B221" s="800">
        <v>209</v>
      </c>
      <c r="C221" s="9">
        <v>44547</v>
      </c>
      <c r="D221" s="10" t="s">
        <v>1117</v>
      </c>
      <c r="E221" s="4" t="s">
        <v>1399</v>
      </c>
    </row>
    <row r="222" spans="2:5" ht="28.8" x14ac:dyDescent="0.3">
      <c r="B222" s="800">
        <v>210</v>
      </c>
      <c r="C222" s="9">
        <v>44566</v>
      </c>
      <c r="D222" s="10" t="s">
        <v>354</v>
      </c>
      <c r="E222" s="4" t="s">
        <v>1401</v>
      </c>
    </row>
    <row r="223" spans="2:5" ht="172.8" x14ac:dyDescent="0.3">
      <c r="B223" s="800">
        <v>211</v>
      </c>
      <c r="C223" s="9">
        <v>44574</v>
      </c>
      <c r="D223" s="10" t="s">
        <v>1117</v>
      </c>
      <c r="E223" s="4" t="s">
        <v>1413</v>
      </c>
    </row>
    <row r="224" spans="2:5" ht="144" x14ac:dyDescent="0.3">
      <c r="B224" s="800">
        <v>212</v>
      </c>
      <c r="C224" s="9">
        <v>44575</v>
      </c>
      <c r="D224" s="10" t="s">
        <v>1117</v>
      </c>
      <c r="E224" s="11" t="s">
        <v>1422</v>
      </c>
    </row>
    <row r="225" spans="2:5" ht="28.8" x14ac:dyDescent="0.3">
      <c r="B225" s="800">
        <v>213</v>
      </c>
      <c r="C225" s="9">
        <v>44582</v>
      </c>
      <c r="D225" s="10" t="s">
        <v>354</v>
      </c>
      <c r="E225" s="4" t="s">
        <v>1425</v>
      </c>
    </row>
    <row r="226" spans="2:5" x14ac:dyDescent="0.3">
      <c r="B226" s="800">
        <v>214</v>
      </c>
      <c r="C226" s="9">
        <v>44588</v>
      </c>
      <c r="D226" s="10" t="s">
        <v>354</v>
      </c>
      <c r="E226" s="4" t="s">
        <v>1428</v>
      </c>
    </row>
    <row r="227" spans="2:5" ht="43.2" x14ac:dyDescent="0.3">
      <c r="B227" s="800">
        <v>215</v>
      </c>
      <c r="C227" s="9">
        <v>44615</v>
      </c>
      <c r="D227" s="10" t="s">
        <v>1117</v>
      </c>
      <c r="E227" s="4" t="s">
        <v>1429</v>
      </c>
    </row>
    <row r="228" spans="2:5" ht="28.8" x14ac:dyDescent="0.3">
      <c r="B228" s="818">
        <v>216</v>
      </c>
      <c r="C228" s="9">
        <v>44628</v>
      </c>
      <c r="D228" s="10" t="s">
        <v>1117</v>
      </c>
      <c r="E228" s="4" t="s">
        <v>1450</v>
      </c>
    </row>
    <row r="229" spans="2:5" ht="57.6" x14ac:dyDescent="0.3">
      <c r="B229" s="828">
        <v>217</v>
      </c>
      <c r="C229" s="9">
        <v>44630</v>
      </c>
      <c r="D229" s="10" t="s">
        <v>1117</v>
      </c>
      <c r="E229" s="4" t="s">
        <v>1451</v>
      </c>
    </row>
    <row r="230" spans="2:5" ht="57.6" x14ac:dyDescent="0.3">
      <c r="B230" s="831">
        <v>218</v>
      </c>
      <c r="C230" s="9">
        <v>44637</v>
      </c>
      <c r="D230" s="10" t="s">
        <v>1117</v>
      </c>
      <c r="E230" s="4" t="s">
        <v>1452</v>
      </c>
    </row>
    <row r="231" spans="2:5" ht="28.8" x14ac:dyDescent="0.3">
      <c r="B231" s="832">
        <v>219</v>
      </c>
      <c r="C231" s="9">
        <v>44643</v>
      </c>
      <c r="D231" s="10" t="s">
        <v>354</v>
      </c>
      <c r="E231" s="4" t="s">
        <v>1469</v>
      </c>
    </row>
    <row r="232" spans="2:5" ht="28.8" x14ac:dyDescent="0.3">
      <c r="B232" s="869">
        <v>220</v>
      </c>
      <c r="C232" s="9">
        <v>44655</v>
      </c>
      <c r="D232" s="10" t="s">
        <v>1117</v>
      </c>
      <c r="E232" s="4" t="s">
        <v>1470</v>
      </c>
    </row>
    <row r="233" spans="2:5" ht="28.8" x14ac:dyDescent="0.3">
      <c r="B233" s="870">
        <v>221</v>
      </c>
      <c r="C233" s="9">
        <v>44655</v>
      </c>
      <c r="D233" s="10" t="s">
        <v>1117</v>
      </c>
      <c r="E233" s="4" t="s">
        <v>1472</v>
      </c>
    </row>
    <row r="234" spans="2:5" x14ac:dyDescent="0.3">
      <c r="B234" s="871">
        <v>222</v>
      </c>
      <c r="C234" s="9">
        <v>44659</v>
      </c>
      <c r="D234" s="10" t="s">
        <v>354</v>
      </c>
      <c r="E234" s="4" t="s">
        <v>1476</v>
      </c>
    </row>
    <row r="235" spans="2:5" ht="172.8" x14ac:dyDescent="0.3">
      <c r="B235" s="872">
        <v>223</v>
      </c>
      <c r="C235" s="9">
        <v>44680</v>
      </c>
      <c r="D235" s="10" t="s">
        <v>534</v>
      </c>
      <c r="E235" s="4" t="s">
        <v>1482</v>
      </c>
    </row>
    <row r="236" spans="2:5" ht="28.8" x14ac:dyDescent="0.3">
      <c r="B236" s="873">
        <v>224</v>
      </c>
      <c r="C236" s="9">
        <v>44671</v>
      </c>
      <c r="D236" s="10" t="s">
        <v>354</v>
      </c>
      <c r="E236" s="4" t="s">
        <v>1488</v>
      </c>
    </row>
    <row r="237" spans="2:5" ht="158.4" x14ac:dyDescent="0.3">
      <c r="B237" s="887">
        <v>225</v>
      </c>
      <c r="C237" s="9">
        <v>44677</v>
      </c>
      <c r="D237" s="10" t="s">
        <v>354</v>
      </c>
      <c r="E237" s="4" t="s">
        <v>1507</v>
      </c>
    </row>
    <row r="238" spans="2:5" ht="28.8" x14ac:dyDescent="0.3">
      <c r="B238" s="931">
        <v>226</v>
      </c>
      <c r="C238" s="9">
        <v>44690</v>
      </c>
      <c r="D238" s="10" t="s">
        <v>534</v>
      </c>
      <c r="E238" s="4" t="s">
        <v>1508</v>
      </c>
    </row>
    <row r="239" spans="2:5" x14ac:dyDescent="0.3">
      <c r="B239" s="943">
        <v>227</v>
      </c>
      <c r="C239" s="9">
        <v>44691</v>
      </c>
      <c r="D239" s="10" t="s">
        <v>354</v>
      </c>
      <c r="E239" s="4" t="s">
        <v>1511</v>
      </c>
    </row>
    <row r="240" spans="2:5" ht="28.8" x14ac:dyDescent="0.3">
      <c r="B240" s="943">
        <v>228</v>
      </c>
      <c r="C240" s="9">
        <v>44693</v>
      </c>
      <c r="D240" s="10" t="s">
        <v>354</v>
      </c>
      <c r="E240" s="4" t="s">
        <v>1513</v>
      </c>
    </row>
    <row r="241" spans="2:5" ht="129.6" x14ac:dyDescent="0.3">
      <c r="B241" s="943">
        <v>229</v>
      </c>
      <c r="C241" s="9">
        <v>44700</v>
      </c>
      <c r="D241" s="10" t="s">
        <v>534</v>
      </c>
      <c r="E241" s="4" t="s">
        <v>1519</v>
      </c>
    </row>
    <row r="242" spans="2:5" ht="115.2" x14ac:dyDescent="0.3">
      <c r="B242" s="959">
        <v>230</v>
      </c>
      <c r="C242" s="9">
        <v>44703</v>
      </c>
      <c r="D242" s="10" t="s">
        <v>354</v>
      </c>
      <c r="E242" s="4" t="s">
        <v>1528</v>
      </c>
    </row>
    <row r="243" spans="2:5" ht="43.2" x14ac:dyDescent="0.3">
      <c r="B243" s="964">
        <v>231</v>
      </c>
      <c r="C243" s="9">
        <v>44707</v>
      </c>
      <c r="D243" s="10" t="s">
        <v>1117</v>
      </c>
      <c r="E243" s="4" t="s">
        <v>1529</v>
      </c>
    </row>
    <row r="244" spans="2:5" ht="100.8" x14ac:dyDescent="0.3">
      <c r="B244" s="965">
        <v>232</v>
      </c>
      <c r="C244" s="9">
        <v>44725</v>
      </c>
      <c r="D244" s="10" t="s">
        <v>354</v>
      </c>
      <c r="E244" s="4" t="s">
        <v>1534</v>
      </c>
    </row>
    <row r="245" spans="2:5" ht="28.8" x14ac:dyDescent="0.3">
      <c r="B245" s="1222">
        <v>233</v>
      </c>
      <c r="C245" s="9">
        <v>44726</v>
      </c>
      <c r="D245" s="10" t="s">
        <v>1117</v>
      </c>
      <c r="E245" s="11" t="s">
        <v>1535</v>
      </c>
    </row>
    <row r="246" spans="2:5" ht="172.8" x14ac:dyDescent="0.3">
      <c r="B246" s="1238">
        <v>234</v>
      </c>
      <c r="C246" s="9">
        <v>44727</v>
      </c>
      <c r="D246" s="10" t="s">
        <v>1117</v>
      </c>
      <c r="E246" s="11" t="s">
        <v>1538</v>
      </c>
    </row>
    <row r="247" spans="2:5" ht="144" x14ac:dyDescent="0.3">
      <c r="B247" s="1278">
        <v>235</v>
      </c>
      <c r="C247" s="9">
        <v>44736</v>
      </c>
      <c r="D247" s="10" t="s">
        <v>1117</v>
      </c>
      <c r="E247" s="11" t="s">
        <v>1549</v>
      </c>
    </row>
    <row r="248" spans="2:5" ht="43.2" x14ac:dyDescent="0.3">
      <c r="B248" s="1279">
        <v>236</v>
      </c>
      <c r="C248" s="9">
        <v>44740</v>
      </c>
      <c r="D248" s="10" t="s">
        <v>1117</v>
      </c>
      <c r="E248" s="11" t="s">
        <v>1550</v>
      </c>
    </row>
    <row r="249" spans="2:5" ht="28.8" x14ac:dyDescent="0.3">
      <c r="B249" s="1280">
        <v>237</v>
      </c>
      <c r="C249" s="9">
        <v>44748</v>
      </c>
      <c r="D249" s="10" t="s">
        <v>354</v>
      </c>
      <c r="E249" s="4" t="s">
        <v>1552</v>
      </c>
    </row>
    <row r="250" spans="2:5" ht="43.2" x14ac:dyDescent="0.3">
      <c r="B250" s="1281">
        <v>238</v>
      </c>
      <c r="C250" s="9">
        <v>44756</v>
      </c>
      <c r="D250" s="10" t="s">
        <v>1117</v>
      </c>
      <c r="E250" s="4" t="s">
        <v>1555</v>
      </c>
    </row>
    <row r="251" spans="2:5" ht="28.8" x14ac:dyDescent="0.3">
      <c r="B251" s="1282">
        <v>239</v>
      </c>
      <c r="C251" s="9">
        <v>44756</v>
      </c>
      <c r="D251" s="10" t="s">
        <v>1585</v>
      </c>
      <c r="E251" s="4" t="s">
        <v>1586</v>
      </c>
    </row>
    <row r="252" spans="2:5" ht="28.8" x14ac:dyDescent="0.3">
      <c r="B252" s="1301">
        <v>240</v>
      </c>
      <c r="C252" s="9">
        <v>44756</v>
      </c>
      <c r="D252" s="10" t="s">
        <v>1117</v>
      </c>
      <c r="E252" s="4" t="s">
        <v>1589</v>
      </c>
    </row>
    <row r="253" spans="2:5" ht="28.8" x14ac:dyDescent="0.3">
      <c r="B253" s="1302">
        <v>241</v>
      </c>
      <c r="C253" s="9">
        <v>44760</v>
      </c>
      <c r="D253" s="10" t="s">
        <v>354</v>
      </c>
      <c r="E253" s="4" t="s">
        <v>1590</v>
      </c>
    </row>
    <row r="254" spans="2:5" ht="72" x14ac:dyDescent="0.3">
      <c r="B254" s="1303">
        <v>242</v>
      </c>
      <c r="C254" s="9">
        <v>44764</v>
      </c>
      <c r="D254" s="10" t="s">
        <v>1117</v>
      </c>
      <c r="E254" s="4" t="s">
        <v>1592</v>
      </c>
    </row>
    <row r="255" spans="2:5" ht="43.2" x14ac:dyDescent="0.3">
      <c r="B255" s="1304">
        <v>243</v>
      </c>
      <c r="C255" s="9">
        <v>44775</v>
      </c>
      <c r="D255" s="10" t="s">
        <v>1117</v>
      </c>
      <c r="E255" s="4" t="s">
        <v>1593</v>
      </c>
    </row>
    <row r="256" spans="2:5" ht="43.2" x14ac:dyDescent="0.3">
      <c r="B256" s="1305">
        <v>244</v>
      </c>
      <c r="C256" s="9">
        <v>44777</v>
      </c>
      <c r="D256" s="10" t="s">
        <v>1594</v>
      </c>
      <c r="E256" s="700" t="s">
        <v>1596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zoomScaleNormal="100" workbookViewId="0">
      <pane xSplit="3" ySplit="4" topLeftCell="BJ154" activePane="bottomRight" state="frozen"/>
      <selection activeCell="B3" sqref="B3"/>
      <selection pane="topRight" activeCell="D3" sqref="D3"/>
      <selection pane="bottomLeft" activeCell="B5" sqref="B5"/>
      <selection pane="bottomRight" activeCell="BM161" sqref="BM161"/>
    </sheetView>
  </sheetViews>
  <sheetFormatPr defaultColWidth="8.5546875" defaultRowHeight="13.5" customHeight="1" x14ac:dyDescent="0.3"/>
  <cols>
    <col min="1" max="1" width="6.44140625" style="178" customWidth="1"/>
    <col min="2" max="2" width="10.33203125" style="12" customWidth="1"/>
    <col min="3" max="3" width="33.5546875" style="1" customWidth="1"/>
    <col min="4" max="4" width="45.5546875" style="17" customWidth="1"/>
    <col min="5" max="9" width="6.88671875" style="17" customWidth="1"/>
    <col min="10" max="10" width="6.88671875" style="783" customWidth="1"/>
    <col min="11" max="12" width="6.88671875" style="17" customWidth="1"/>
    <col min="13" max="13" width="10" style="17" customWidth="1"/>
    <col min="14" max="16" width="10.44140625" style="17" customWidth="1"/>
    <col min="17" max="20" width="10.44140625" style="24" customWidth="1"/>
    <col min="21" max="23" width="10.44140625" style="17" customWidth="1"/>
    <col min="24" max="24" width="10.44140625" style="179" customWidth="1"/>
    <col min="25" max="34" width="10.44140625" style="17" customWidth="1"/>
    <col min="35" max="35" width="13.44140625" style="17" customWidth="1"/>
    <col min="36" max="36" width="11.88671875" style="17" customWidth="1"/>
    <col min="37" max="37" width="12.33203125" style="17" customWidth="1"/>
    <col min="38" max="38" width="11.33203125" style="17" customWidth="1"/>
    <col min="39" max="39" width="7.5546875" style="17" customWidth="1"/>
    <col min="40" max="41" width="10.33203125" style="889" customWidth="1"/>
    <col min="42" max="42" width="10.33203125" style="17" customWidth="1"/>
    <col min="43" max="43" width="10.33203125" style="299" customWidth="1"/>
    <col min="44" max="55" width="10.33203125" style="17" customWidth="1"/>
    <col min="56" max="57" width="10.33203125" style="652" customWidth="1"/>
    <col min="58" max="62" width="10.33203125" style="17" customWidth="1"/>
    <col min="63" max="71" width="10.33203125" style="783" customWidth="1"/>
    <col min="72" max="72" width="10.33203125" style="17" customWidth="1"/>
    <col min="73" max="74" width="10.33203125" style="652" customWidth="1"/>
    <col min="75" max="75" width="10.33203125" style="17" customWidth="1"/>
    <col min="76" max="76" width="11.109375" style="1" customWidth="1"/>
    <col min="77" max="77" width="8.5546875" style="1" customWidth="1"/>
    <col min="78" max="16384" width="8.5546875" style="1"/>
  </cols>
  <sheetData>
    <row r="1" spans="1:77" ht="13.5" customHeight="1" x14ac:dyDescent="0.3">
      <c r="B1" s="167"/>
      <c r="C1" s="264" t="s">
        <v>334</v>
      </c>
      <c r="AN1" s="888"/>
      <c r="AO1" s="888"/>
      <c r="AQ1" s="167"/>
      <c r="BD1" s="167"/>
      <c r="BE1" s="167"/>
      <c r="BF1" s="829"/>
      <c r="BG1" s="167"/>
      <c r="BH1" s="167"/>
      <c r="BI1" s="167"/>
      <c r="BJ1" s="167"/>
      <c r="BK1" s="167"/>
      <c r="BL1" s="167"/>
      <c r="BM1" s="829"/>
      <c r="BN1" s="167"/>
      <c r="BO1" s="17"/>
      <c r="BP1" s="17"/>
      <c r="BQ1" s="167"/>
      <c r="BR1" s="829"/>
      <c r="BS1" s="17"/>
      <c r="BU1" s="167"/>
      <c r="BV1" s="167"/>
      <c r="BW1" s="829"/>
    </row>
    <row r="2" spans="1:77" ht="30" customHeight="1" thickBot="1" x14ac:dyDescent="0.35">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3">
      <c r="B3" s="1357" t="s">
        <v>245</v>
      </c>
      <c r="C3" s="929"/>
      <c r="D3" s="930" t="s">
        <v>244</v>
      </c>
      <c r="E3" s="1368" t="s">
        <v>211</v>
      </c>
      <c r="F3" s="1369"/>
      <c r="G3" s="1369"/>
      <c r="H3" s="1369"/>
      <c r="I3" s="1369"/>
      <c r="J3" s="1369"/>
      <c r="K3" s="1369"/>
      <c r="L3" s="1370"/>
      <c r="M3" s="840"/>
      <c r="N3" s="1366" t="s">
        <v>397</v>
      </c>
      <c r="O3" s="1366"/>
      <c r="P3" s="1367"/>
      <c r="Q3" s="1362" t="s">
        <v>272</v>
      </c>
      <c r="R3" s="1363"/>
      <c r="S3" s="1364" t="s">
        <v>273</v>
      </c>
      <c r="T3" s="1365"/>
      <c r="U3" s="1359" t="s">
        <v>274</v>
      </c>
      <c r="V3" s="1360"/>
      <c r="W3" s="1361"/>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56" t="s">
        <v>1406</v>
      </c>
      <c r="AS3" s="1157" t="s">
        <v>1406</v>
      </c>
      <c r="AT3" s="1158" t="s">
        <v>1406</v>
      </c>
      <c r="AU3" s="1159" t="s">
        <v>1407</v>
      </c>
      <c r="AV3" s="1160" t="s">
        <v>1407</v>
      </c>
      <c r="AW3" s="1161" t="s">
        <v>1408</v>
      </c>
      <c r="AX3" s="1162" t="s">
        <v>1408</v>
      </c>
      <c r="AY3" s="1160" t="s">
        <v>1408</v>
      </c>
      <c r="AZ3" s="1163" t="s">
        <v>1408</v>
      </c>
      <c r="BA3" s="1375" t="s">
        <v>638</v>
      </c>
      <c r="BB3" s="1376"/>
      <c r="BC3" s="1223" t="s">
        <v>1531</v>
      </c>
      <c r="BD3" s="1164" t="s">
        <v>704</v>
      </c>
      <c r="BE3" s="1165" t="s">
        <v>704</v>
      </c>
      <c r="BF3" s="1166" t="s">
        <v>704</v>
      </c>
      <c r="BG3" s="761" t="s">
        <v>699</v>
      </c>
      <c r="BH3" s="1377" t="s">
        <v>1402</v>
      </c>
      <c r="BI3" s="1378"/>
      <c r="BJ3" s="1016" t="s">
        <v>1489</v>
      </c>
      <c r="BK3" s="1167" t="s">
        <v>1490</v>
      </c>
      <c r="BL3" s="1168" t="s">
        <v>1490</v>
      </c>
      <c r="BM3" s="1166" t="s">
        <v>1490</v>
      </c>
      <c r="BN3" s="761" t="s">
        <v>1492</v>
      </c>
      <c r="BO3" s="1373" t="s">
        <v>1414</v>
      </c>
      <c r="BP3" s="1374"/>
      <c r="BQ3" s="1373" t="s">
        <v>1415</v>
      </c>
      <c r="BR3" s="1374"/>
      <c r="BS3" s="1379" t="s">
        <v>1485</v>
      </c>
      <c r="BT3" s="1380"/>
      <c r="BU3" s="1164" t="s">
        <v>1541</v>
      </c>
      <c r="BV3" s="1165" t="s">
        <v>1541</v>
      </c>
      <c r="BW3" s="1277" t="s">
        <v>1541</v>
      </c>
      <c r="BX3" s="1371" t="s">
        <v>5</v>
      </c>
    </row>
    <row r="4" spans="1:77" ht="25.5" customHeight="1" thickBot="1" x14ac:dyDescent="0.35">
      <c r="B4" s="1358"/>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49" t="s">
        <v>478</v>
      </c>
      <c r="AR4" s="933" t="s">
        <v>1</v>
      </c>
      <c r="AS4" s="934" t="s">
        <v>525</v>
      </c>
      <c r="AT4" s="935" t="s">
        <v>526</v>
      </c>
      <c r="AU4" s="936" t="s">
        <v>598</v>
      </c>
      <c r="AV4" s="940" t="s">
        <v>647</v>
      </c>
      <c r="AW4" s="1050" t="s">
        <v>664</v>
      </c>
      <c r="AX4" s="937" t="s">
        <v>665</v>
      </c>
      <c r="AY4" s="940" t="s">
        <v>656</v>
      </c>
      <c r="AZ4" s="1141" t="s">
        <v>646</v>
      </c>
      <c r="BA4" s="801" t="s">
        <v>630</v>
      </c>
      <c r="BB4" s="755" t="s">
        <v>629</v>
      </c>
      <c r="BC4" s="1224" t="s">
        <v>1533</v>
      </c>
      <c r="BD4" s="936" t="s">
        <v>1405</v>
      </c>
      <c r="BE4" s="937" t="s">
        <v>658</v>
      </c>
      <c r="BF4" s="751" t="s">
        <v>1283</v>
      </c>
      <c r="BG4" s="762" t="s">
        <v>700</v>
      </c>
      <c r="BH4" s="1060" t="s">
        <v>1089</v>
      </c>
      <c r="BI4" s="746" t="s">
        <v>1090</v>
      </c>
      <c r="BJ4" s="998" t="s">
        <v>1356</v>
      </c>
      <c r="BK4" s="753" t="s">
        <v>1410</v>
      </c>
      <c r="BL4" s="754" t="s">
        <v>1411</v>
      </c>
      <c r="BM4" s="751" t="s">
        <v>1409</v>
      </c>
      <c r="BN4" s="762" t="s">
        <v>1090</v>
      </c>
      <c r="BO4" s="753" t="s">
        <v>1421</v>
      </c>
      <c r="BP4" s="940" t="s">
        <v>1515</v>
      </c>
      <c r="BQ4" s="936" t="s">
        <v>1514</v>
      </c>
      <c r="BR4" s="751" t="s">
        <v>1420</v>
      </c>
      <c r="BS4" s="1031" t="s">
        <v>1483</v>
      </c>
      <c r="BT4" s="990" t="s">
        <v>1484</v>
      </c>
      <c r="BU4" s="936" t="s">
        <v>1553</v>
      </c>
      <c r="BV4" s="937" t="s">
        <v>1554</v>
      </c>
      <c r="BW4" s="751" t="s">
        <v>1551</v>
      </c>
      <c r="BX4" s="1372"/>
    </row>
    <row r="5" spans="1:77" ht="13.5" customHeight="1" thickTop="1" x14ac:dyDescent="0.3">
      <c r="A5" s="622"/>
      <c r="B5" s="236" t="s">
        <v>269</v>
      </c>
      <c r="C5" s="237" t="s">
        <v>9</v>
      </c>
      <c r="D5" s="834" t="s">
        <v>8</v>
      </c>
      <c r="E5" s="1344" t="s">
        <v>456</v>
      </c>
      <c r="F5" s="1345"/>
      <c r="G5" s="1345"/>
      <c r="H5" s="1345"/>
      <c r="I5" s="1345"/>
      <c r="J5" s="1345"/>
      <c r="K5" s="1345"/>
      <c r="L5" s="1345"/>
      <c r="M5" s="1346"/>
      <c r="N5" s="1319" t="s">
        <v>306</v>
      </c>
      <c r="O5" s="1319"/>
      <c r="P5" s="1319"/>
      <c r="Q5" s="1319"/>
      <c r="R5" s="1319"/>
      <c r="S5" s="1319"/>
      <c r="T5" s="1319"/>
      <c r="U5" s="1319"/>
      <c r="V5" s="1319"/>
      <c r="W5" s="1319"/>
      <c r="X5" s="1319"/>
      <c r="Y5" s="1319"/>
      <c r="Z5" s="1319"/>
      <c r="AA5" s="1319"/>
      <c r="AB5" s="1319"/>
      <c r="AC5" s="1319"/>
      <c r="AD5" s="1319"/>
      <c r="AE5" s="1319"/>
      <c r="AF5" s="1319"/>
      <c r="AG5" s="1319"/>
      <c r="AH5" s="1319"/>
      <c r="AI5" s="1319"/>
      <c r="AJ5" s="1319"/>
      <c r="AK5" s="1319"/>
      <c r="AL5" s="1319"/>
      <c r="AM5" s="1319"/>
      <c r="AN5" s="1319"/>
      <c r="AO5" s="1319"/>
      <c r="AP5" s="1319"/>
      <c r="AQ5" s="1319"/>
      <c r="AR5" s="445" t="s">
        <v>8</v>
      </c>
      <c r="AS5" s="324" t="s">
        <v>8</v>
      </c>
      <c r="AT5" s="446" t="s">
        <v>8</v>
      </c>
      <c r="AU5" s="445" t="s">
        <v>8</v>
      </c>
      <c r="AV5" s="446" t="s">
        <v>8</v>
      </c>
      <c r="AW5" s="1032" t="s">
        <v>8</v>
      </c>
      <c r="AX5" s="324" t="s">
        <v>8</v>
      </c>
      <c r="AY5" s="446" t="s">
        <v>8</v>
      </c>
      <c r="AZ5" s="1142" t="s">
        <v>8</v>
      </c>
      <c r="BA5" s="802" t="s">
        <v>8</v>
      </c>
      <c r="BB5" s="756" t="s">
        <v>8</v>
      </c>
      <c r="BC5" s="802" t="s">
        <v>8</v>
      </c>
      <c r="BD5" s="775" t="s">
        <v>8</v>
      </c>
      <c r="BE5" s="747" t="s">
        <v>8</v>
      </c>
      <c r="BF5" s="477" t="s">
        <v>8</v>
      </c>
      <c r="BG5" s="763" t="s">
        <v>8</v>
      </c>
      <c r="BH5" s="752" t="s">
        <v>8</v>
      </c>
      <c r="BI5" s="477" t="s">
        <v>8</v>
      </c>
      <c r="BJ5" s="999" t="s">
        <v>8</v>
      </c>
      <c r="BK5" s="775" t="s">
        <v>8</v>
      </c>
      <c r="BL5" s="747" t="s">
        <v>8</v>
      </c>
      <c r="BM5" s="477" t="s">
        <v>8</v>
      </c>
      <c r="BN5" s="763" t="s">
        <v>8</v>
      </c>
      <c r="BO5" s="775" t="s">
        <v>8</v>
      </c>
      <c r="BP5" s="446" t="s">
        <v>8</v>
      </c>
      <c r="BQ5" s="775" t="s">
        <v>8</v>
      </c>
      <c r="BR5" s="477" t="s">
        <v>8</v>
      </c>
      <c r="BS5" s="1032" t="s">
        <v>8</v>
      </c>
      <c r="BT5" s="446" t="s">
        <v>8</v>
      </c>
      <c r="BU5" s="775" t="s">
        <v>8</v>
      </c>
      <c r="BV5" s="747" t="s">
        <v>8</v>
      </c>
      <c r="BW5" s="477" t="s">
        <v>8</v>
      </c>
      <c r="BX5" s="974"/>
    </row>
    <row r="6" spans="1:77" ht="13.5" customHeight="1" x14ac:dyDescent="0.3">
      <c r="A6" s="622"/>
      <c r="B6" s="238"/>
      <c r="C6" s="239" t="s">
        <v>1495</v>
      </c>
      <c r="D6" s="835" t="s">
        <v>8</v>
      </c>
      <c r="E6" s="1347"/>
      <c r="F6" s="1348"/>
      <c r="G6" s="1348"/>
      <c r="H6" s="1348"/>
      <c r="I6" s="1348"/>
      <c r="J6" s="1348"/>
      <c r="K6" s="1348"/>
      <c r="L6" s="1348"/>
      <c r="M6" s="1349"/>
      <c r="N6" s="1320"/>
      <c r="O6" s="1320"/>
      <c r="P6" s="1320"/>
      <c r="Q6" s="1320"/>
      <c r="R6" s="1320"/>
      <c r="S6" s="1320"/>
      <c r="T6" s="1320"/>
      <c r="U6" s="1320"/>
      <c r="V6" s="1320"/>
      <c r="W6" s="1320"/>
      <c r="X6" s="1320"/>
      <c r="Y6" s="1320"/>
      <c r="Z6" s="1320"/>
      <c r="AA6" s="1320"/>
      <c r="AB6" s="1320"/>
      <c r="AC6" s="1320"/>
      <c r="AD6" s="1320"/>
      <c r="AE6" s="1320"/>
      <c r="AF6" s="1320"/>
      <c r="AG6" s="1320"/>
      <c r="AH6" s="1320"/>
      <c r="AI6" s="1320"/>
      <c r="AJ6" s="1320"/>
      <c r="AK6" s="1320"/>
      <c r="AL6" s="1320"/>
      <c r="AM6" s="1320"/>
      <c r="AN6" s="1320"/>
      <c r="AO6" s="1320"/>
      <c r="AP6" s="1320"/>
      <c r="AQ6" s="1320"/>
      <c r="AR6" s="447" t="s">
        <v>8</v>
      </c>
      <c r="AS6" s="323" t="s">
        <v>8</v>
      </c>
      <c r="AT6" s="448" t="s">
        <v>8</v>
      </c>
      <c r="AU6" s="447" t="s">
        <v>8</v>
      </c>
      <c r="AV6" s="448" t="s">
        <v>8</v>
      </c>
      <c r="AW6" s="368" t="s">
        <v>8</v>
      </c>
      <c r="AX6" s="323" t="s">
        <v>8</v>
      </c>
      <c r="AY6" s="448" t="s">
        <v>8</v>
      </c>
      <c r="AZ6" s="1072" t="s">
        <v>8</v>
      </c>
      <c r="BA6" s="803" t="s">
        <v>8</v>
      </c>
      <c r="BB6" s="433" t="s">
        <v>8</v>
      </c>
      <c r="BC6" s="803" t="s">
        <v>8</v>
      </c>
      <c r="BD6" s="447" t="s">
        <v>8</v>
      </c>
      <c r="BE6" s="323" t="s">
        <v>8</v>
      </c>
      <c r="BF6" s="448" t="s">
        <v>8</v>
      </c>
      <c r="BG6" s="372" t="s">
        <v>8</v>
      </c>
      <c r="BH6" s="368" t="s">
        <v>8</v>
      </c>
      <c r="BI6" s="448" t="s">
        <v>8</v>
      </c>
      <c r="BJ6" s="1000"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75"/>
    </row>
    <row r="7" spans="1:77" ht="13.5" customHeight="1" x14ac:dyDescent="0.3">
      <c r="A7" s="622"/>
      <c r="B7" s="238"/>
      <c r="C7" s="492" t="s">
        <v>1496</v>
      </c>
      <c r="D7" s="932" t="s">
        <v>8</v>
      </c>
      <c r="E7" s="1347"/>
      <c r="F7" s="1348"/>
      <c r="G7" s="1348"/>
      <c r="H7" s="1348"/>
      <c r="I7" s="1348"/>
      <c r="J7" s="1348"/>
      <c r="K7" s="1348"/>
      <c r="L7" s="1348"/>
      <c r="M7" s="1349"/>
      <c r="N7" s="1320"/>
      <c r="O7" s="1320"/>
      <c r="P7" s="1320"/>
      <c r="Q7" s="1320"/>
      <c r="R7" s="1320"/>
      <c r="S7" s="1320"/>
      <c r="T7" s="1320"/>
      <c r="U7" s="1320"/>
      <c r="V7" s="1320"/>
      <c r="W7" s="1320"/>
      <c r="X7" s="1320"/>
      <c r="Y7" s="1320"/>
      <c r="Z7" s="1320"/>
      <c r="AA7" s="1320"/>
      <c r="AB7" s="1320"/>
      <c r="AC7" s="1320"/>
      <c r="AD7" s="1320"/>
      <c r="AE7" s="1320"/>
      <c r="AF7" s="1320"/>
      <c r="AG7" s="1320"/>
      <c r="AH7" s="1320"/>
      <c r="AI7" s="1320"/>
      <c r="AJ7" s="1320"/>
      <c r="AK7" s="1320"/>
      <c r="AL7" s="1320"/>
      <c r="AM7" s="1320"/>
      <c r="AN7" s="1320"/>
      <c r="AO7" s="1320"/>
      <c r="AP7" s="1320"/>
      <c r="AQ7" s="1320"/>
      <c r="AR7" s="731"/>
      <c r="AS7" s="732"/>
      <c r="AT7" s="733"/>
      <c r="AU7" s="731"/>
      <c r="AV7" s="733"/>
      <c r="AW7" s="910"/>
      <c r="AX7" s="732"/>
      <c r="AY7" s="733"/>
      <c r="AZ7" s="1073"/>
      <c r="BA7" s="909"/>
      <c r="BB7" s="908"/>
      <c r="BC7" s="909"/>
      <c r="BD7" s="731"/>
      <c r="BE7" s="732"/>
      <c r="BF7" s="733"/>
      <c r="BG7" s="911"/>
      <c r="BH7" s="368"/>
      <c r="BI7" s="448"/>
      <c r="BJ7" s="1000"/>
      <c r="BK7" s="1115" t="s">
        <v>8</v>
      </c>
      <c r="BL7" s="1130" t="s">
        <v>8</v>
      </c>
      <c r="BM7" s="493" t="s">
        <v>8</v>
      </c>
      <c r="BN7" s="541" t="s">
        <v>8</v>
      </c>
      <c r="BO7" s="1115" t="s">
        <v>8</v>
      </c>
      <c r="BP7" s="733"/>
      <c r="BQ7" s="731"/>
      <c r="BR7" s="493" t="s">
        <v>8</v>
      </c>
      <c r="BS7" s="910"/>
      <c r="BT7" s="733"/>
      <c r="BU7" s="731"/>
      <c r="BV7" s="732"/>
      <c r="BW7" s="733"/>
      <c r="BX7" s="975"/>
    </row>
    <row r="8" spans="1:77" ht="13.5" customHeight="1" x14ac:dyDescent="0.3">
      <c r="A8" s="622"/>
      <c r="B8" s="238"/>
      <c r="C8" s="239" t="s">
        <v>698</v>
      </c>
      <c r="D8" s="932" t="s">
        <v>8</v>
      </c>
      <c r="E8" s="1347"/>
      <c r="F8" s="1348"/>
      <c r="G8" s="1348"/>
      <c r="H8" s="1348"/>
      <c r="I8" s="1348"/>
      <c r="J8" s="1348"/>
      <c r="K8" s="1348"/>
      <c r="L8" s="1348"/>
      <c r="M8" s="1349"/>
      <c r="N8" s="1320"/>
      <c r="O8" s="1320"/>
      <c r="P8" s="1320"/>
      <c r="Q8" s="1320"/>
      <c r="R8" s="1320"/>
      <c r="S8" s="1320"/>
      <c r="T8" s="1320"/>
      <c r="U8" s="1320"/>
      <c r="V8" s="1320"/>
      <c r="W8" s="1320"/>
      <c r="X8" s="1320"/>
      <c r="Y8" s="1320"/>
      <c r="Z8" s="1320"/>
      <c r="AA8" s="1320"/>
      <c r="AB8" s="1320"/>
      <c r="AC8" s="1320"/>
      <c r="AD8" s="1320"/>
      <c r="AE8" s="1320"/>
      <c r="AF8" s="1320"/>
      <c r="AG8" s="1320"/>
      <c r="AH8" s="1320"/>
      <c r="AI8" s="1320"/>
      <c r="AJ8" s="1320"/>
      <c r="AK8" s="1320"/>
      <c r="AL8" s="1320"/>
      <c r="AM8" s="1320"/>
      <c r="AN8" s="1320"/>
      <c r="AO8" s="1320"/>
      <c r="AP8" s="1320"/>
      <c r="AQ8" s="1320"/>
      <c r="AR8" s="731"/>
      <c r="AS8" s="732"/>
      <c r="AT8" s="733"/>
      <c r="AU8" s="731"/>
      <c r="AV8" s="733"/>
      <c r="AW8" s="910"/>
      <c r="AX8" s="732"/>
      <c r="AY8" s="733"/>
      <c r="AZ8" s="1073"/>
      <c r="BA8" s="804"/>
      <c r="BB8" s="908"/>
      <c r="BC8" s="804"/>
      <c r="BD8" s="447" t="s">
        <v>8</v>
      </c>
      <c r="BE8" s="323" t="s">
        <v>8</v>
      </c>
      <c r="BF8" s="448" t="s">
        <v>8</v>
      </c>
      <c r="BG8" s="372" t="s">
        <v>8</v>
      </c>
      <c r="BH8" s="368" t="s">
        <v>8</v>
      </c>
      <c r="BI8" s="448" t="s">
        <v>8</v>
      </c>
      <c r="BJ8" s="1000" t="s">
        <v>8</v>
      </c>
      <c r="BK8" s="447" t="s">
        <v>8</v>
      </c>
      <c r="BL8" s="323" t="s">
        <v>8</v>
      </c>
      <c r="BM8" s="448" t="s">
        <v>8</v>
      </c>
      <c r="BN8" s="372" t="s">
        <v>8</v>
      </c>
      <c r="BO8" s="447" t="s">
        <v>8</v>
      </c>
      <c r="BP8" s="733"/>
      <c r="BQ8" s="447" t="s">
        <v>8</v>
      </c>
      <c r="BR8" s="448" t="s">
        <v>8</v>
      </c>
      <c r="BS8" s="910"/>
      <c r="BT8" s="733"/>
      <c r="BU8" s="447" t="s">
        <v>8</v>
      </c>
      <c r="BV8" s="323" t="s">
        <v>8</v>
      </c>
      <c r="BW8" s="448" t="s">
        <v>8</v>
      </c>
      <c r="BX8" s="975"/>
    </row>
    <row r="9" spans="1:77" ht="13.5" customHeight="1" x14ac:dyDescent="0.3">
      <c r="A9" s="622"/>
      <c r="B9" s="238"/>
      <c r="C9" s="239" t="s">
        <v>10</v>
      </c>
      <c r="D9" s="836" t="s">
        <v>8</v>
      </c>
      <c r="E9" s="1347"/>
      <c r="F9" s="1348"/>
      <c r="G9" s="1348"/>
      <c r="H9" s="1348"/>
      <c r="I9" s="1348"/>
      <c r="J9" s="1348"/>
      <c r="K9" s="1348"/>
      <c r="L9" s="1348"/>
      <c r="M9" s="1349"/>
      <c r="N9" s="1320"/>
      <c r="O9" s="1320"/>
      <c r="P9" s="1320"/>
      <c r="Q9" s="1320"/>
      <c r="R9" s="1320"/>
      <c r="S9" s="1320"/>
      <c r="T9" s="1320"/>
      <c r="U9" s="1320"/>
      <c r="V9" s="1320"/>
      <c r="W9" s="1320"/>
      <c r="X9" s="1320"/>
      <c r="Y9" s="1320"/>
      <c r="Z9" s="1320"/>
      <c r="AA9" s="1320"/>
      <c r="AB9" s="1320"/>
      <c r="AC9" s="1320"/>
      <c r="AD9" s="1320"/>
      <c r="AE9" s="1320"/>
      <c r="AF9" s="1320"/>
      <c r="AG9" s="1320"/>
      <c r="AH9" s="1320"/>
      <c r="AI9" s="1320"/>
      <c r="AJ9" s="1320"/>
      <c r="AK9" s="1320"/>
      <c r="AL9" s="1320"/>
      <c r="AM9" s="1320"/>
      <c r="AN9" s="1320"/>
      <c r="AO9" s="1320"/>
      <c r="AP9" s="1320"/>
      <c r="AQ9" s="1320"/>
      <c r="AR9" s="447" t="s">
        <v>8</v>
      </c>
      <c r="AS9" s="323" t="s">
        <v>8</v>
      </c>
      <c r="AT9" s="448" t="s">
        <v>8</v>
      </c>
      <c r="AU9" s="447" t="s">
        <v>8</v>
      </c>
      <c r="AV9" s="448" t="s">
        <v>8</v>
      </c>
      <c r="AW9" s="368" t="s">
        <v>8</v>
      </c>
      <c r="AX9" s="323" t="s">
        <v>8</v>
      </c>
      <c r="AY9" s="448" t="s">
        <v>8</v>
      </c>
      <c r="AZ9" s="1072" t="s">
        <v>8</v>
      </c>
      <c r="BA9" s="803" t="s">
        <v>8</v>
      </c>
      <c r="BB9" s="433" t="s">
        <v>8</v>
      </c>
      <c r="BC9" s="803" t="s">
        <v>8</v>
      </c>
      <c r="BD9" s="447" t="s">
        <v>8</v>
      </c>
      <c r="BE9" s="323" t="s">
        <v>8</v>
      </c>
      <c r="BF9" s="448" t="s">
        <v>8</v>
      </c>
      <c r="BG9" s="372" t="s">
        <v>8</v>
      </c>
      <c r="BH9" s="368" t="s">
        <v>8</v>
      </c>
      <c r="BI9" s="448" t="s">
        <v>8</v>
      </c>
      <c r="BJ9" s="1000"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75"/>
    </row>
    <row r="10" spans="1:77" ht="13.5" customHeight="1" x14ac:dyDescent="0.3">
      <c r="A10" s="622"/>
      <c r="B10" s="238"/>
      <c r="C10" s="239" t="s">
        <v>11</v>
      </c>
      <c r="D10" s="836" t="s">
        <v>8</v>
      </c>
      <c r="E10" s="1347"/>
      <c r="F10" s="1348"/>
      <c r="G10" s="1348"/>
      <c r="H10" s="1348"/>
      <c r="I10" s="1348"/>
      <c r="J10" s="1348"/>
      <c r="K10" s="1348"/>
      <c r="L10" s="1348"/>
      <c r="M10" s="1349"/>
      <c r="N10" s="1320"/>
      <c r="O10" s="1320"/>
      <c r="P10" s="1320"/>
      <c r="Q10" s="1320"/>
      <c r="R10" s="1320"/>
      <c r="S10" s="1320"/>
      <c r="T10" s="1320"/>
      <c r="U10" s="1320"/>
      <c r="V10" s="1320"/>
      <c r="W10" s="1320"/>
      <c r="X10" s="1320"/>
      <c r="Y10" s="1320"/>
      <c r="Z10" s="1320"/>
      <c r="AA10" s="1320"/>
      <c r="AB10" s="1320"/>
      <c r="AC10" s="1320"/>
      <c r="AD10" s="1320"/>
      <c r="AE10" s="1320"/>
      <c r="AF10" s="1320"/>
      <c r="AG10" s="1320"/>
      <c r="AH10" s="1320"/>
      <c r="AI10" s="1320"/>
      <c r="AJ10" s="1320"/>
      <c r="AK10" s="1320"/>
      <c r="AL10" s="1320"/>
      <c r="AM10" s="1320"/>
      <c r="AN10" s="1320"/>
      <c r="AO10" s="1320"/>
      <c r="AP10" s="1320"/>
      <c r="AQ10" s="1320"/>
      <c r="AR10" s="447" t="s">
        <v>8</v>
      </c>
      <c r="AS10" s="323" t="s">
        <v>8</v>
      </c>
      <c r="AT10" s="448" t="s">
        <v>8</v>
      </c>
      <c r="AU10" s="447" t="s">
        <v>8</v>
      </c>
      <c r="AV10" s="448" t="s">
        <v>8</v>
      </c>
      <c r="AW10" s="368" t="s">
        <v>8</v>
      </c>
      <c r="AX10" s="323" t="s">
        <v>8</v>
      </c>
      <c r="AY10" s="448" t="s">
        <v>8</v>
      </c>
      <c r="AZ10" s="1072" t="s">
        <v>8</v>
      </c>
      <c r="BA10" s="803" t="s">
        <v>8</v>
      </c>
      <c r="BB10" s="433" t="s">
        <v>8</v>
      </c>
      <c r="BC10" s="803" t="s">
        <v>8</v>
      </c>
      <c r="BD10" s="447" t="s">
        <v>8</v>
      </c>
      <c r="BE10" s="323" t="s">
        <v>8</v>
      </c>
      <c r="BF10" s="448" t="s">
        <v>8</v>
      </c>
      <c r="BG10" s="372" t="s">
        <v>8</v>
      </c>
      <c r="BH10" s="368" t="s">
        <v>8</v>
      </c>
      <c r="BI10" s="448" t="s">
        <v>8</v>
      </c>
      <c r="BJ10" s="1000"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75"/>
    </row>
    <row r="11" spans="1:77" ht="13.5" customHeight="1" x14ac:dyDescent="0.3">
      <c r="A11" s="622"/>
      <c r="B11" s="238"/>
      <c r="C11" s="239" t="s">
        <v>292</v>
      </c>
      <c r="D11" s="836" t="s">
        <v>8</v>
      </c>
      <c r="E11" s="1347"/>
      <c r="F11" s="1348"/>
      <c r="G11" s="1348"/>
      <c r="H11" s="1348"/>
      <c r="I11" s="1348"/>
      <c r="J11" s="1348"/>
      <c r="K11" s="1348"/>
      <c r="L11" s="1348"/>
      <c r="M11" s="1349"/>
      <c r="N11" s="1320"/>
      <c r="O11" s="1320"/>
      <c r="P11" s="1320"/>
      <c r="Q11" s="1320"/>
      <c r="R11" s="1320"/>
      <c r="S11" s="1320"/>
      <c r="T11" s="1320"/>
      <c r="U11" s="1320"/>
      <c r="V11" s="1320"/>
      <c r="W11" s="1320"/>
      <c r="X11" s="1320"/>
      <c r="Y11" s="1320"/>
      <c r="Z11" s="1320"/>
      <c r="AA11" s="1320"/>
      <c r="AB11" s="1320"/>
      <c r="AC11" s="1320"/>
      <c r="AD11" s="1320"/>
      <c r="AE11" s="1320"/>
      <c r="AF11" s="1320"/>
      <c r="AG11" s="1320"/>
      <c r="AH11" s="1320"/>
      <c r="AI11" s="1320"/>
      <c r="AJ11" s="1320"/>
      <c r="AK11" s="1320"/>
      <c r="AL11" s="1320"/>
      <c r="AM11" s="1320"/>
      <c r="AN11" s="1320"/>
      <c r="AO11" s="1320"/>
      <c r="AP11" s="1320"/>
      <c r="AQ11" s="1320"/>
      <c r="AR11" s="447" t="s">
        <v>8</v>
      </c>
      <c r="AS11" s="323" t="s">
        <v>8</v>
      </c>
      <c r="AT11" s="448" t="s">
        <v>8</v>
      </c>
      <c r="AU11" s="447" t="s">
        <v>8</v>
      </c>
      <c r="AV11" s="448" t="s">
        <v>8</v>
      </c>
      <c r="AW11" s="368" t="s">
        <v>8</v>
      </c>
      <c r="AX11" s="323" t="s">
        <v>8</v>
      </c>
      <c r="AY11" s="448" t="s">
        <v>8</v>
      </c>
      <c r="AZ11" s="1072" t="s">
        <v>8</v>
      </c>
      <c r="BA11" s="803" t="s">
        <v>8</v>
      </c>
      <c r="BB11" s="433" t="s">
        <v>8</v>
      </c>
      <c r="BC11" s="803" t="s">
        <v>8</v>
      </c>
      <c r="BD11" s="447" t="s">
        <v>8</v>
      </c>
      <c r="BE11" s="323" t="s">
        <v>8</v>
      </c>
      <c r="BF11" s="448" t="s">
        <v>8</v>
      </c>
      <c r="BG11" s="372" t="s">
        <v>8</v>
      </c>
      <c r="BH11" s="368" t="s">
        <v>8</v>
      </c>
      <c r="BI11" s="448" t="s">
        <v>8</v>
      </c>
      <c r="BJ11" s="1000"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75"/>
    </row>
    <row r="12" spans="1:77" ht="13.5" customHeight="1" x14ac:dyDescent="0.3">
      <c r="A12" s="622"/>
      <c r="B12" s="238"/>
      <c r="C12" s="239" t="s">
        <v>164</v>
      </c>
      <c r="D12" s="836" t="s">
        <v>8</v>
      </c>
      <c r="E12" s="1347"/>
      <c r="F12" s="1348"/>
      <c r="G12" s="1348"/>
      <c r="H12" s="1348"/>
      <c r="I12" s="1348"/>
      <c r="J12" s="1348"/>
      <c r="K12" s="1348"/>
      <c r="L12" s="1348"/>
      <c r="M12" s="1349"/>
      <c r="N12" s="1320"/>
      <c r="O12" s="1320"/>
      <c r="P12" s="1320"/>
      <c r="Q12" s="1320"/>
      <c r="R12" s="1320"/>
      <c r="S12" s="1320"/>
      <c r="T12" s="1320"/>
      <c r="U12" s="1320"/>
      <c r="V12" s="1320"/>
      <c r="W12" s="1320"/>
      <c r="X12" s="1320"/>
      <c r="Y12" s="1320"/>
      <c r="Z12" s="1320"/>
      <c r="AA12" s="1320"/>
      <c r="AB12" s="1320"/>
      <c r="AC12" s="1320"/>
      <c r="AD12" s="1320"/>
      <c r="AE12" s="1320"/>
      <c r="AF12" s="1320"/>
      <c r="AG12" s="1320"/>
      <c r="AH12" s="1320"/>
      <c r="AI12" s="1320"/>
      <c r="AJ12" s="1320"/>
      <c r="AK12" s="1320"/>
      <c r="AL12" s="1320"/>
      <c r="AM12" s="1320"/>
      <c r="AN12" s="1320"/>
      <c r="AO12" s="1320"/>
      <c r="AP12" s="1320"/>
      <c r="AQ12" s="1320"/>
      <c r="AR12" s="447" t="s">
        <v>8</v>
      </c>
      <c r="AS12" s="323" t="s">
        <v>8</v>
      </c>
      <c r="AT12" s="448" t="s">
        <v>8</v>
      </c>
      <c r="AU12" s="447" t="s">
        <v>8</v>
      </c>
      <c r="AV12" s="448" t="s">
        <v>8</v>
      </c>
      <c r="AW12" s="368" t="s">
        <v>8</v>
      </c>
      <c r="AX12" s="323" t="s">
        <v>8</v>
      </c>
      <c r="AY12" s="448" t="s">
        <v>8</v>
      </c>
      <c r="AZ12" s="1072" t="s">
        <v>8</v>
      </c>
      <c r="BA12" s="803" t="s">
        <v>8</v>
      </c>
      <c r="BB12" s="433" t="s">
        <v>8</v>
      </c>
      <c r="BC12" s="803" t="s">
        <v>8</v>
      </c>
      <c r="BD12" s="447" t="s">
        <v>8</v>
      </c>
      <c r="BE12" s="323" t="s">
        <v>8</v>
      </c>
      <c r="BF12" s="448" t="s">
        <v>8</v>
      </c>
      <c r="BG12" s="372" t="s">
        <v>8</v>
      </c>
      <c r="BH12" s="368" t="s">
        <v>8</v>
      </c>
      <c r="BI12" s="448" t="s">
        <v>8</v>
      </c>
      <c r="BJ12" s="1000"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75"/>
    </row>
    <row r="13" spans="1:77" ht="13.5" customHeight="1" x14ac:dyDescent="0.3">
      <c r="A13" s="622"/>
      <c r="B13" s="238"/>
      <c r="C13" s="239" t="s">
        <v>15</v>
      </c>
      <c r="D13" s="836" t="s">
        <v>8</v>
      </c>
      <c r="E13" s="1347"/>
      <c r="F13" s="1348"/>
      <c r="G13" s="1348"/>
      <c r="H13" s="1348"/>
      <c r="I13" s="1348"/>
      <c r="J13" s="1348"/>
      <c r="K13" s="1348"/>
      <c r="L13" s="1348"/>
      <c r="M13" s="1349"/>
      <c r="N13" s="1320"/>
      <c r="O13" s="1320"/>
      <c r="P13" s="1320"/>
      <c r="Q13" s="1320"/>
      <c r="R13" s="1320"/>
      <c r="S13" s="1320"/>
      <c r="T13" s="1320"/>
      <c r="U13" s="1320"/>
      <c r="V13" s="1320"/>
      <c r="W13" s="1320"/>
      <c r="X13" s="1320"/>
      <c r="Y13" s="1320"/>
      <c r="Z13" s="1320"/>
      <c r="AA13" s="1320"/>
      <c r="AB13" s="1320"/>
      <c r="AC13" s="1320"/>
      <c r="AD13" s="1320"/>
      <c r="AE13" s="1320"/>
      <c r="AF13" s="1320"/>
      <c r="AG13" s="1320"/>
      <c r="AH13" s="1320"/>
      <c r="AI13" s="1320"/>
      <c r="AJ13" s="1320"/>
      <c r="AK13" s="1320"/>
      <c r="AL13" s="1320"/>
      <c r="AM13" s="1320"/>
      <c r="AN13" s="1320"/>
      <c r="AO13" s="1320"/>
      <c r="AP13" s="1320"/>
      <c r="AQ13" s="1320"/>
      <c r="AR13" s="447" t="s">
        <v>8</v>
      </c>
      <c r="AS13" s="323" t="s">
        <v>8</v>
      </c>
      <c r="AT13" s="448" t="s">
        <v>8</v>
      </c>
      <c r="AU13" s="447" t="s">
        <v>8</v>
      </c>
      <c r="AV13" s="448" t="s">
        <v>8</v>
      </c>
      <c r="AW13" s="368" t="s">
        <v>8</v>
      </c>
      <c r="AX13" s="323" t="s">
        <v>8</v>
      </c>
      <c r="AY13" s="448" t="s">
        <v>8</v>
      </c>
      <c r="AZ13" s="1072" t="s">
        <v>8</v>
      </c>
      <c r="BA13" s="803" t="s">
        <v>8</v>
      </c>
      <c r="BB13" s="433" t="s">
        <v>8</v>
      </c>
      <c r="BC13" s="803" t="s">
        <v>8</v>
      </c>
      <c r="BD13" s="447" t="s">
        <v>8</v>
      </c>
      <c r="BE13" s="323" t="s">
        <v>8</v>
      </c>
      <c r="BF13" s="448" t="s">
        <v>8</v>
      </c>
      <c r="BG13" s="372" t="s">
        <v>8</v>
      </c>
      <c r="BH13" s="368" t="s">
        <v>8</v>
      </c>
      <c r="BI13" s="448" t="s">
        <v>8</v>
      </c>
      <c r="BJ13" s="1000"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75"/>
    </row>
    <row r="14" spans="1:77" ht="13.5" customHeight="1" x14ac:dyDescent="0.3">
      <c r="A14" s="622"/>
      <c r="B14" s="238"/>
      <c r="C14" s="239" t="s">
        <v>16</v>
      </c>
      <c r="D14" s="836" t="s">
        <v>17</v>
      </c>
      <c r="E14" s="1347"/>
      <c r="F14" s="1348"/>
      <c r="G14" s="1348"/>
      <c r="H14" s="1348"/>
      <c r="I14" s="1348"/>
      <c r="J14" s="1348"/>
      <c r="K14" s="1348"/>
      <c r="L14" s="1348"/>
      <c r="M14" s="1349"/>
      <c r="N14" s="1320"/>
      <c r="O14" s="1320"/>
      <c r="P14" s="1320"/>
      <c r="Q14" s="1320"/>
      <c r="R14" s="1320"/>
      <c r="S14" s="1320"/>
      <c r="T14" s="1320"/>
      <c r="U14" s="1320"/>
      <c r="V14" s="1320"/>
      <c r="W14" s="1320"/>
      <c r="X14" s="1320"/>
      <c r="Y14" s="1320"/>
      <c r="Z14" s="1320"/>
      <c r="AA14" s="1320"/>
      <c r="AB14" s="1320"/>
      <c r="AC14" s="1320"/>
      <c r="AD14" s="1320"/>
      <c r="AE14" s="1320"/>
      <c r="AF14" s="1320"/>
      <c r="AG14" s="1320"/>
      <c r="AH14" s="1320"/>
      <c r="AI14" s="1320"/>
      <c r="AJ14" s="1320"/>
      <c r="AK14" s="1320"/>
      <c r="AL14" s="1320"/>
      <c r="AM14" s="1320"/>
      <c r="AN14" s="1320"/>
      <c r="AO14" s="1320"/>
      <c r="AP14" s="1320"/>
      <c r="AQ14" s="1320"/>
      <c r="AR14" s="447" t="s">
        <v>17</v>
      </c>
      <c r="AS14" s="323" t="s">
        <v>17</v>
      </c>
      <c r="AT14" s="448" t="s">
        <v>17</v>
      </c>
      <c r="AU14" s="447" t="s">
        <v>17</v>
      </c>
      <c r="AV14" s="448" t="s">
        <v>17</v>
      </c>
      <c r="AW14" s="368" t="s">
        <v>17</v>
      </c>
      <c r="AX14" s="323" t="s">
        <v>17</v>
      </c>
      <c r="AY14" s="448" t="s">
        <v>17</v>
      </c>
      <c r="AZ14" s="1072" t="s">
        <v>17</v>
      </c>
      <c r="BA14" s="803" t="s">
        <v>17</v>
      </c>
      <c r="BB14" s="433" t="s">
        <v>17</v>
      </c>
      <c r="BC14" s="803" t="s">
        <v>17</v>
      </c>
      <c r="BD14" s="447" t="s">
        <v>17</v>
      </c>
      <c r="BE14" s="323" t="s">
        <v>17</v>
      </c>
      <c r="BF14" s="448" t="s">
        <v>17</v>
      </c>
      <c r="BG14" s="372" t="s">
        <v>17</v>
      </c>
      <c r="BH14" s="368" t="s">
        <v>17</v>
      </c>
      <c r="BI14" s="448" t="s">
        <v>17</v>
      </c>
      <c r="BJ14" s="1000"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75"/>
    </row>
    <row r="15" spans="1:77" ht="13.5" customHeight="1" x14ac:dyDescent="0.3">
      <c r="A15" s="622"/>
      <c r="B15" s="238"/>
      <c r="C15" s="239" t="s">
        <v>18</v>
      </c>
      <c r="D15" s="836">
        <v>32</v>
      </c>
      <c r="E15" s="1347"/>
      <c r="F15" s="1348"/>
      <c r="G15" s="1348"/>
      <c r="H15" s="1348"/>
      <c r="I15" s="1348"/>
      <c r="J15" s="1348"/>
      <c r="K15" s="1348"/>
      <c r="L15" s="1348"/>
      <c r="M15" s="1349"/>
      <c r="N15" s="1320"/>
      <c r="O15" s="1320"/>
      <c r="P15" s="1320"/>
      <c r="Q15" s="1320"/>
      <c r="R15" s="1320"/>
      <c r="S15" s="1320"/>
      <c r="T15" s="1320"/>
      <c r="U15" s="1320"/>
      <c r="V15" s="1320"/>
      <c r="W15" s="1320"/>
      <c r="X15" s="1320"/>
      <c r="Y15" s="1320"/>
      <c r="Z15" s="1320"/>
      <c r="AA15" s="1320"/>
      <c r="AB15" s="1320"/>
      <c r="AC15" s="1320"/>
      <c r="AD15" s="1320"/>
      <c r="AE15" s="1320"/>
      <c r="AF15" s="1320"/>
      <c r="AG15" s="1320"/>
      <c r="AH15" s="1320"/>
      <c r="AI15" s="1320"/>
      <c r="AJ15" s="1320"/>
      <c r="AK15" s="1320"/>
      <c r="AL15" s="1320"/>
      <c r="AM15" s="1320"/>
      <c r="AN15" s="1320"/>
      <c r="AO15" s="1320"/>
      <c r="AP15" s="1320"/>
      <c r="AQ15" s="1320"/>
      <c r="AR15" s="447">
        <v>32</v>
      </c>
      <c r="AS15" s="323">
        <v>32</v>
      </c>
      <c r="AT15" s="448">
        <v>32</v>
      </c>
      <c r="AU15" s="447">
        <v>32</v>
      </c>
      <c r="AV15" s="448">
        <v>32</v>
      </c>
      <c r="AW15" s="368">
        <v>32</v>
      </c>
      <c r="AX15" s="323">
        <v>32</v>
      </c>
      <c r="AY15" s="448">
        <v>32</v>
      </c>
      <c r="AZ15" s="1072">
        <v>32</v>
      </c>
      <c r="BA15" s="803">
        <v>32</v>
      </c>
      <c r="BB15" s="433">
        <v>32</v>
      </c>
      <c r="BC15" s="803">
        <v>32</v>
      </c>
      <c r="BD15" s="447">
        <v>32</v>
      </c>
      <c r="BE15" s="323">
        <v>32</v>
      </c>
      <c r="BF15" s="448">
        <v>32</v>
      </c>
      <c r="BG15" s="372">
        <v>32</v>
      </c>
      <c r="BH15" s="368">
        <v>32</v>
      </c>
      <c r="BI15" s="448">
        <v>32</v>
      </c>
      <c r="BJ15" s="1000">
        <v>32</v>
      </c>
      <c r="BK15" s="447">
        <v>32</v>
      </c>
      <c r="BL15" s="323">
        <v>32</v>
      </c>
      <c r="BM15" s="448">
        <v>32</v>
      </c>
      <c r="BN15" s="372">
        <v>32</v>
      </c>
      <c r="BO15" s="447">
        <v>32</v>
      </c>
      <c r="BP15" s="448">
        <v>32</v>
      </c>
      <c r="BQ15" s="447">
        <v>32</v>
      </c>
      <c r="BR15" s="448">
        <v>32</v>
      </c>
      <c r="BS15" s="368">
        <v>32</v>
      </c>
      <c r="BT15" s="448">
        <v>32</v>
      </c>
      <c r="BU15" s="447">
        <v>32</v>
      </c>
      <c r="BV15" s="323">
        <v>32</v>
      </c>
      <c r="BW15" s="448">
        <v>32</v>
      </c>
      <c r="BX15" s="975"/>
    </row>
    <row r="16" spans="1:77" ht="13.5" customHeight="1" x14ac:dyDescent="0.3">
      <c r="A16" s="622"/>
      <c r="B16" s="238"/>
      <c r="C16" s="239" t="s">
        <v>19</v>
      </c>
      <c r="D16" s="836">
        <v>32</v>
      </c>
      <c r="E16" s="1347"/>
      <c r="F16" s="1348"/>
      <c r="G16" s="1348"/>
      <c r="H16" s="1348"/>
      <c r="I16" s="1348"/>
      <c r="J16" s="1348"/>
      <c r="K16" s="1348"/>
      <c r="L16" s="1348"/>
      <c r="M16" s="1349"/>
      <c r="N16" s="1320"/>
      <c r="O16" s="1320"/>
      <c r="P16" s="1320"/>
      <c r="Q16" s="1320"/>
      <c r="R16" s="1320"/>
      <c r="S16" s="1320"/>
      <c r="T16" s="1320"/>
      <c r="U16" s="1320"/>
      <c r="V16" s="1320"/>
      <c r="W16" s="1320"/>
      <c r="X16" s="1320"/>
      <c r="Y16" s="1320"/>
      <c r="Z16" s="1320"/>
      <c r="AA16" s="1320"/>
      <c r="AB16" s="1320"/>
      <c r="AC16" s="1320"/>
      <c r="AD16" s="1320"/>
      <c r="AE16" s="1320"/>
      <c r="AF16" s="1320"/>
      <c r="AG16" s="1320"/>
      <c r="AH16" s="1320"/>
      <c r="AI16" s="1320"/>
      <c r="AJ16" s="1320"/>
      <c r="AK16" s="1320"/>
      <c r="AL16" s="1320"/>
      <c r="AM16" s="1320"/>
      <c r="AN16" s="1320"/>
      <c r="AO16" s="1320"/>
      <c r="AP16" s="1320"/>
      <c r="AQ16" s="1320"/>
      <c r="AR16" s="447">
        <v>32</v>
      </c>
      <c r="AS16" s="323">
        <v>32</v>
      </c>
      <c r="AT16" s="448">
        <v>32</v>
      </c>
      <c r="AU16" s="447">
        <v>32</v>
      </c>
      <c r="AV16" s="448">
        <v>32</v>
      </c>
      <c r="AW16" s="368">
        <v>32</v>
      </c>
      <c r="AX16" s="323">
        <v>32</v>
      </c>
      <c r="AY16" s="448">
        <v>32</v>
      </c>
      <c r="AZ16" s="1072">
        <v>32</v>
      </c>
      <c r="BA16" s="803">
        <v>32</v>
      </c>
      <c r="BB16" s="433">
        <v>32</v>
      </c>
      <c r="BC16" s="803">
        <v>32</v>
      </c>
      <c r="BD16" s="447">
        <v>32</v>
      </c>
      <c r="BE16" s="323">
        <v>32</v>
      </c>
      <c r="BF16" s="448">
        <v>32</v>
      </c>
      <c r="BG16" s="372">
        <v>32</v>
      </c>
      <c r="BH16" s="368">
        <v>32</v>
      </c>
      <c r="BI16" s="448">
        <v>32</v>
      </c>
      <c r="BJ16" s="1000">
        <v>32</v>
      </c>
      <c r="BK16" s="447">
        <v>32</v>
      </c>
      <c r="BL16" s="323">
        <v>32</v>
      </c>
      <c r="BM16" s="448">
        <v>32</v>
      </c>
      <c r="BN16" s="372">
        <v>32</v>
      </c>
      <c r="BO16" s="447">
        <v>32</v>
      </c>
      <c r="BP16" s="448">
        <v>32</v>
      </c>
      <c r="BQ16" s="447">
        <v>32</v>
      </c>
      <c r="BR16" s="448">
        <v>32</v>
      </c>
      <c r="BS16" s="368">
        <v>32</v>
      </c>
      <c r="BT16" s="448">
        <v>32</v>
      </c>
      <c r="BU16" s="447">
        <v>32</v>
      </c>
      <c r="BV16" s="323">
        <v>32</v>
      </c>
      <c r="BW16" s="448">
        <v>32</v>
      </c>
      <c r="BX16" s="975"/>
    </row>
    <row r="17" spans="1:76" ht="13.5" customHeight="1" x14ac:dyDescent="0.3">
      <c r="A17" s="622"/>
      <c r="B17" s="238"/>
      <c r="C17" s="239" t="s">
        <v>20</v>
      </c>
      <c r="D17" s="836" t="s">
        <v>8</v>
      </c>
      <c r="E17" s="1347"/>
      <c r="F17" s="1348"/>
      <c r="G17" s="1348"/>
      <c r="H17" s="1348"/>
      <c r="I17" s="1348"/>
      <c r="J17" s="1348"/>
      <c r="K17" s="1348"/>
      <c r="L17" s="1348"/>
      <c r="M17" s="1349"/>
      <c r="N17" s="1320"/>
      <c r="O17" s="1320"/>
      <c r="P17" s="1320"/>
      <c r="Q17" s="1320"/>
      <c r="R17" s="1320"/>
      <c r="S17" s="1320"/>
      <c r="T17" s="1320"/>
      <c r="U17" s="1320"/>
      <c r="V17" s="1320"/>
      <c r="W17" s="1320"/>
      <c r="X17" s="1320"/>
      <c r="Y17" s="1320"/>
      <c r="Z17" s="1320"/>
      <c r="AA17" s="1320"/>
      <c r="AB17" s="1320"/>
      <c r="AC17" s="1320"/>
      <c r="AD17" s="1320"/>
      <c r="AE17" s="1320"/>
      <c r="AF17" s="1320"/>
      <c r="AG17" s="1320"/>
      <c r="AH17" s="1320"/>
      <c r="AI17" s="1320"/>
      <c r="AJ17" s="1320"/>
      <c r="AK17" s="1320"/>
      <c r="AL17" s="1320"/>
      <c r="AM17" s="1320"/>
      <c r="AN17" s="1320"/>
      <c r="AO17" s="1320"/>
      <c r="AP17" s="1320"/>
      <c r="AQ17" s="1320"/>
      <c r="AR17" s="447" t="s">
        <v>8</v>
      </c>
      <c r="AS17" s="323" t="s">
        <v>8</v>
      </c>
      <c r="AT17" s="448" t="s">
        <v>8</v>
      </c>
      <c r="AU17" s="447" t="s">
        <v>8</v>
      </c>
      <c r="AV17" s="448" t="s">
        <v>8</v>
      </c>
      <c r="AW17" s="368" t="s">
        <v>8</v>
      </c>
      <c r="AX17" s="323" t="s">
        <v>8</v>
      </c>
      <c r="AY17" s="448" t="s">
        <v>8</v>
      </c>
      <c r="AZ17" s="1072" t="s">
        <v>8</v>
      </c>
      <c r="BA17" s="803" t="s">
        <v>8</v>
      </c>
      <c r="BB17" s="433" t="s">
        <v>8</v>
      </c>
      <c r="BC17" s="803" t="s">
        <v>8</v>
      </c>
      <c r="BD17" s="447" t="s">
        <v>8</v>
      </c>
      <c r="BE17" s="323" t="s">
        <v>8</v>
      </c>
      <c r="BF17" s="448" t="s">
        <v>8</v>
      </c>
      <c r="BG17" s="372" t="s">
        <v>8</v>
      </c>
      <c r="BH17" s="368" t="s">
        <v>8</v>
      </c>
      <c r="BI17" s="448" t="s">
        <v>8</v>
      </c>
      <c r="BJ17" s="1000"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75"/>
    </row>
    <row r="18" spans="1:76" ht="13.5" customHeight="1" x14ac:dyDescent="0.3">
      <c r="A18" s="622"/>
      <c r="B18" s="238" t="s">
        <v>21</v>
      </c>
      <c r="C18" s="239" t="s">
        <v>162</v>
      </c>
      <c r="D18" s="835" t="s">
        <v>22</v>
      </c>
      <c r="E18" s="1347"/>
      <c r="F18" s="1348"/>
      <c r="G18" s="1348"/>
      <c r="H18" s="1348"/>
      <c r="I18" s="1348"/>
      <c r="J18" s="1348"/>
      <c r="K18" s="1348"/>
      <c r="L18" s="1348"/>
      <c r="M18" s="1349"/>
      <c r="N18" s="1320"/>
      <c r="O18" s="1320"/>
      <c r="P18" s="1320"/>
      <c r="Q18" s="1320"/>
      <c r="R18" s="1320"/>
      <c r="S18" s="1320"/>
      <c r="T18" s="1320"/>
      <c r="U18" s="1320"/>
      <c r="V18" s="1320"/>
      <c r="W18" s="1320"/>
      <c r="X18" s="1320"/>
      <c r="Y18" s="1320"/>
      <c r="Z18" s="1320"/>
      <c r="AA18" s="1320"/>
      <c r="AB18" s="1320"/>
      <c r="AC18" s="1320"/>
      <c r="AD18" s="1320"/>
      <c r="AE18" s="1320"/>
      <c r="AF18" s="1320"/>
      <c r="AG18" s="1320"/>
      <c r="AH18" s="1320"/>
      <c r="AI18" s="1320"/>
      <c r="AJ18" s="1320"/>
      <c r="AK18" s="1320"/>
      <c r="AL18" s="1320"/>
      <c r="AM18" s="1320"/>
      <c r="AN18" s="1320"/>
      <c r="AO18" s="1320"/>
      <c r="AP18" s="1320"/>
      <c r="AQ18" s="1320"/>
      <c r="AR18" s="447" t="s">
        <v>22</v>
      </c>
      <c r="AS18" s="323" t="s">
        <v>22</v>
      </c>
      <c r="AT18" s="448" t="s">
        <v>22</v>
      </c>
      <c r="AU18" s="447" t="s">
        <v>22</v>
      </c>
      <c r="AV18" s="448" t="s">
        <v>22</v>
      </c>
      <c r="AW18" s="368" t="s">
        <v>22</v>
      </c>
      <c r="AX18" s="323" t="s">
        <v>22</v>
      </c>
      <c r="AY18" s="448" t="s">
        <v>22</v>
      </c>
      <c r="AZ18" s="1072" t="s">
        <v>22</v>
      </c>
      <c r="BA18" s="803" t="s">
        <v>22</v>
      </c>
      <c r="BB18" s="433" t="s">
        <v>22</v>
      </c>
      <c r="BC18" s="803" t="s">
        <v>22</v>
      </c>
      <c r="BD18" s="447" t="s">
        <v>22</v>
      </c>
      <c r="BE18" s="323" t="s">
        <v>22</v>
      </c>
      <c r="BF18" s="968" t="s">
        <v>22</v>
      </c>
      <c r="BG18" s="372" t="s">
        <v>22</v>
      </c>
      <c r="BH18" s="368" t="s">
        <v>22</v>
      </c>
      <c r="BI18" s="448" t="s">
        <v>22</v>
      </c>
      <c r="BJ18" s="1000" t="s">
        <v>22</v>
      </c>
      <c r="BK18" s="447" t="s">
        <v>22</v>
      </c>
      <c r="BL18" s="323" t="s">
        <v>22</v>
      </c>
      <c r="BM18" s="968" t="s">
        <v>22</v>
      </c>
      <c r="BN18" s="372" t="s">
        <v>22</v>
      </c>
      <c r="BO18" s="447" t="s">
        <v>22</v>
      </c>
      <c r="BP18" s="448" t="s">
        <v>22</v>
      </c>
      <c r="BQ18" s="447" t="s">
        <v>22</v>
      </c>
      <c r="BR18" s="968" t="s">
        <v>22</v>
      </c>
      <c r="BS18" s="368" t="s">
        <v>22</v>
      </c>
      <c r="BT18" s="448" t="s">
        <v>22</v>
      </c>
      <c r="BU18" s="447" t="s">
        <v>22</v>
      </c>
      <c r="BV18" s="323" t="s">
        <v>22</v>
      </c>
      <c r="BW18" s="968" t="s">
        <v>22</v>
      </c>
      <c r="BX18" s="975"/>
    </row>
    <row r="19" spans="1:76" ht="13.5" customHeight="1" x14ac:dyDescent="0.3">
      <c r="A19" s="622"/>
      <c r="B19" s="238"/>
      <c r="C19" s="239" t="s">
        <v>25</v>
      </c>
      <c r="D19" s="835">
        <v>128</v>
      </c>
      <c r="E19" s="1347"/>
      <c r="F19" s="1348"/>
      <c r="G19" s="1348"/>
      <c r="H19" s="1348"/>
      <c r="I19" s="1348"/>
      <c r="J19" s="1348"/>
      <c r="K19" s="1348"/>
      <c r="L19" s="1348"/>
      <c r="M19" s="1349"/>
      <c r="N19" s="1320"/>
      <c r="O19" s="1320"/>
      <c r="P19" s="1320"/>
      <c r="Q19" s="1320"/>
      <c r="R19" s="1320"/>
      <c r="S19" s="1320"/>
      <c r="T19" s="1320"/>
      <c r="U19" s="1320"/>
      <c r="V19" s="1320"/>
      <c r="W19" s="1320"/>
      <c r="X19" s="1320"/>
      <c r="Y19" s="1320"/>
      <c r="Z19" s="1320"/>
      <c r="AA19" s="1320"/>
      <c r="AB19" s="1320"/>
      <c r="AC19" s="1320"/>
      <c r="AD19" s="1320"/>
      <c r="AE19" s="1320"/>
      <c r="AF19" s="1320"/>
      <c r="AG19" s="1320"/>
      <c r="AH19" s="1320"/>
      <c r="AI19" s="1320"/>
      <c r="AJ19" s="1320"/>
      <c r="AK19" s="1320"/>
      <c r="AL19" s="1320"/>
      <c r="AM19" s="1320"/>
      <c r="AN19" s="1320"/>
      <c r="AO19" s="1320"/>
      <c r="AP19" s="1320"/>
      <c r="AQ19" s="1320"/>
      <c r="AR19" s="447">
        <v>128</v>
      </c>
      <c r="AS19" s="323">
        <v>128</v>
      </c>
      <c r="AT19" s="448">
        <v>128</v>
      </c>
      <c r="AU19" s="447">
        <v>128</v>
      </c>
      <c r="AV19" s="448">
        <v>128</v>
      </c>
      <c r="AW19" s="368">
        <v>128</v>
      </c>
      <c r="AX19" s="323">
        <v>128</v>
      </c>
      <c r="AY19" s="448">
        <v>128</v>
      </c>
      <c r="AZ19" s="1072">
        <v>128</v>
      </c>
      <c r="BA19" s="803">
        <v>128</v>
      </c>
      <c r="BB19" s="433">
        <v>128</v>
      </c>
      <c r="BC19" s="803">
        <v>128</v>
      </c>
      <c r="BD19" s="447">
        <v>128</v>
      </c>
      <c r="BE19" s="323">
        <v>128</v>
      </c>
      <c r="BF19" s="448">
        <v>128</v>
      </c>
      <c r="BG19" s="372">
        <v>128</v>
      </c>
      <c r="BH19" s="368">
        <v>128</v>
      </c>
      <c r="BI19" s="448">
        <v>128</v>
      </c>
      <c r="BJ19" s="1000">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75"/>
    </row>
    <row r="20" spans="1:76" ht="13.5" customHeight="1" x14ac:dyDescent="0.3">
      <c r="A20" s="622"/>
      <c r="B20" s="238"/>
      <c r="C20" s="239" t="s">
        <v>26</v>
      </c>
      <c r="D20" s="835" t="s">
        <v>290</v>
      </c>
      <c r="E20" s="1347"/>
      <c r="F20" s="1348"/>
      <c r="G20" s="1348"/>
      <c r="H20" s="1348"/>
      <c r="I20" s="1348"/>
      <c r="J20" s="1348"/>
      <c r="K20" s="1348"/>
      <c r="L20" s="1348"/>
      <c r="M20" s="1349"/>
      <c r="N20" s="1320"/>
      <c r="O20" s="1320"/>
      <c r="P20" s="1320"/>
      <c r="Q20" s="1320"/>
      <c r="R20" s="1320"/>
      <c r="S20" s="1320"/>
      <c r="T20" s="1320"/>
      <c r="U20" s="1320"/>
      <c r="V20" s="1320"/>
      <c r="W20" s="1320"/>
      <c r="X20" s="1320"/>
      <c r="Y20" s="1320"/>
      <c r="Z20" s="1320"/>
      <c r="AA20" s="1320"/>
      <c r="AB20" s="1320"/>
      <c r="AC20" s="1320"/>
      <c r="AD20" s="1320"/>
      <c r="AE20" s="1320"/>
      <c r="AF20" s="1320"/>
      <c r="AG20" s="1320"/>
      <c r="AH20" s="1320"/>
      <c r="AI20" s="1320"/>
      <c r="AJ20" s="1320"/>
      <c r="AK20" s="1320"/>
      <c r="AL20" s="1320"/>
      <c r="AM20" s="1320"/>
      <c r="AN20" s="1320"/>
      <c r="AO20" s="1320"/>
      <c r="AP20" s="1320"/>
      <c r="AQ20" s="1320"/>
      <c r="AR20" s="447" t="s">
        <v>290</v>
      </c>
      <c r="AS20" s="323" t="s">
        <v>290</v>
      </c>
      <c r="AT20" s="448" t="s">
        <v>290</v>
      </c>
      <c r="AU20" s="447" t="s">
        <v>290</v>
      </c>
      <c r="AV20" s="448" t="s">
        <v>290</v>
      </c>
      <c r="AW20" s="368" t="s">
        <v>290</v>
      </c>
      <c r="AX20" s="323" t="s">
        <v>290</v>
      </c>
      <c r="AY20" s="448" t="s">
        <v>290</v>
      </c>
      <c r="AZ20" s="1072" t="s">
        <v>290</v>
      </c>
      <c r="BA20" s="803" t="s">
        <v>290</v>
      </c>
      <c r="BB20" s="433" t="s">
        <v>290</v>
      </c>
      <c r="BC20" s="803" t="s">
        <v>290</v>
      </c>
      <c r="BD20" s="447" t="s">
        <v>290</v>
      </c>
      <c r="BE20" s="323" t="s">
        <v>290</v>
      </c>
      <c r="BF20" s="448" t="s">
        <v>290</v>
      </c>
      <c r="BG20" s="372" t="s">
        <v>290</v>
      </c>
      <c r="BH20" s="368" t="s">
        <v>290</v>
      </c>
      <c r="BI20" s="448" t="s">
        <v>290</v>
      </c>
      <c r="BJ20" s="1000"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75"/>
    </row>
    <row r="21" spans="1:76" ht="13.5" customHeight="1" x14ac:dyDescent="0.3">
      <c r="A21" s="622"/>
      <c r="B21" s="238"/>
      <c r="C21" s="239" t="s">
        <v>27</v>
      </c>
      <c r="D21" s="835" t="s">
        <v>8</v>
      </c>
      <c r="E21" s="1347"/>
      <c r="F21" s="1348"/>
      <c r="G21" s="1348"/>
      <c r="H21" s="1348"/>
      <c r="I21" s="1348"/>
      <c r="J21" s="1348"/>
      <c r="K21" s="1348"/>
      <c r="L21" s="1348"/>
      <c r="M21" s="1349"/>
      <c r="N21" s="1320"/>
      <c r="O21" s="1320"/>
      <c r="P21" s="1320"/>
      <c r="Q21" s="1320"/>
      <c r="R21" s="1320"/>
      <c r="S21" s="1320"/>
      <c r="T21" s="1320"/>
      <c r="U21" s="1320"/>
      <c r="V21" s="1320"/>
      <c r="W21" s="1320"/>
      <c r="X21" s="1320"/>
      <c r="Y21" s="1320"/>
      <c r="Z21" s="1320"/>
      <c r="AA21" s="1320"/>
      <c r="AB21" s="1320"/>
      <c r="AC21" s="1320"/>
      <c r="AD21" s="1320"/>
      <c r="AE21" s="1320"/>
      <c r="AF21" s="1320"/>
      <c r="AG21" s="1320"/>
      <c r="AH21" s="1320"/>
      <c r="AI21" s="1320"/>
      <c r="AJ21" s="1320"/>
      <c r="AK21" s="1320"/>
      <c r="AL21" s="1320"/>
      <c r="AM21" s="1320"/>
      <c r="AN21" s="1320"/>
      <c r="AO21" s="1320"/>
      <c r="AP21" s="1320"/>
      <c r="AQ21" s="1320"/>
      <c r="AR21" s="447" t="s">
        <v>8</v>
      </c>
      <c r="AS21" s="323" t="s">
        <v>8</v>
      </c>
      <c r="AT21" s="448" t="s">
        <v>8</v>
      </c>
      <c r="AU21" s="447" t="s">
        <v>8</v>
      </c>
      <c r="AV21" s="448" t="s">
        <v>8</v>
      </c>
      <c r="AW21" s="368" t="s">
        <v>8</v>
      </c>
      <c r="AX21" s="323" t="s">
        <v>8</v>
      </c>
      <c r="AY21" s="448" t="s">
        <v>8</v>
      </c>
      <c r="AZ21" s="1072" t="s">
        <v>8</v>
      </c>
      <c r="BA21" s="803" t="s">
        <v>8</v>
      </c>
      <c r="BB21" s="433" t="s">
        <v>8</v>
      </c>
      <c r="BC21" s="803" t="s">
        <v>8</v>
      </c>
      <c r="BD21" s="447" t="s">
        <v>8</v>
      </c>
      <c r="BE21" s="323" t="s">
        <v>8</v>
      </c>
      <c r="BF21" s="448" t="s">
        <v>8</v>
      </c>
      <c r="BG21" s="372" t="s">
        <v>8</v>
      </c>
      <c r="BH21" s="368" t="s">
        <v>8</v>
      </c>
      <c r="BI21" s="448" t="s">
        <v>8</v>
      </c>
      <c r="BJ21" s="1000"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75"/>
    </row>
    <row r="22" spans="1:76" ht="13.5" customHeight="1" x14ac:dyDescent="0.3">
      <c r="A22" s="622"/>
      <c r="B22" s="238"/>
      <c r="C22" s="239" t="s">
        <v>1453</v>
      </c>
      <c r="D22" s="835" t="s">
        <v>8</v>
      </c>
      <c r="E22" s="1347"/>
      <c r="F22" s="1348"/>
      <c r="G22" s="1348"/>
      <c r="H22" s="1348"/>
      <c r="I22" s="1348"/>
      <c r="J22" s="1348"/>
      <c r="K22" s="1348"/>
      <c r="L22" s="1348"/>
      <c r="M22" s="1349"/>
      <c r="N22" s="1320"/>
      <c r="O22" s="1320"/>
      <c r="P22" s="1320"/>
      <c r="Q22" s="1320"/>
      <c r="R22" s="1320"/>
      <c r="S22" s="1320"/>
      <c r="T22" s="1320"/>
      <c r="U22" s="1320"/>
      <c r="V22" s="1320"/>
      <c r="W22" s="1320"/>
      <c r="X22" s="1320"/>
      <c r="Y22" s="1320"/>
      <c r="Z22" s="1320"/>
      <c r="AA22" s="1320"/>
      <c r="AB22" s="1320"/>
      <c r="AC22" s="1320"/>
      <c r="AD22" s="1320"/>
      <c r="AE22" s="1320"/>
      <c r="AF22" s="1320"/>
      <c r="AG22" s="1320"/>
      <c r="AH22" s="1320"/>
      <c r="AI22" s="1320"/>
      <c r="AJ22" s="1320"/>
      <c r="AK22" s="1320"/>
      <c r="AL22" s="1320"/>
      <c r="AM22" s="1320"/>
      <c r="AN22" s="1320"/>
      <c r="AO22" s="1320"/>
      <c r="AP22" s="1320"/>
      <c r="AQ22" s="1320"/>
      <c r="AR22" s="447" t="s">
        <v>1456</v>
      </c>
      <c r="AS22" s="323" t="s">
        <v>1456</v>
      </c>
      <c r="AT22" s="448" t="s">
        <v>1456</v>
      </c>
      <c r="AU22" s="447" t="s">
        <v>1456</v>
      </c>
      <c r="AV22" s="448" t="s">
        <v>1456</v>
      </c>
      <c r="AW22" s="368" t="s">
        <v>1456</v>
      </c>
      <c r="AX22" s="323" t="s">
        <v>1456</v>
      </c>
      <c r="AY22" s="448" t="s">
        <v>1456</v>
      </c>
      <c r="AZ22" s="1072" t="s">
        <v>1456</v>
      </c>
      <c r="BA22" s="803" t="s">
        <v>1456</v>
      </c>
      <c r="BB22" s="433" t="s">
        <v>1456</v>
      </c>
      <c r="BC22" s="803" t="s">
        <v>1456</v>
      </c>
      <c r="BD22" s="447" t="s">
        <v>1456</v>
      </c>
      <c r="BE22" s="323" t="s">
        <v>1456</v>
      </c>
      <c r="BF22" s="448" t="s">
        <v>1457</v>
      </c>
      <c r="BG22" s="372" t="s">
        <v>1456</v>
      </c>
      <c r="BH22" s="368" t="s">
        <v>1456</v>
      </c>
      <c r="BI22" s="448" t="s">
        <v>1456</v>
      </c>
      <c r="BJ22" s="1000"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1542</v>
      </c>
      <c r="BX22" s="975" t="s">
        <v>1462</v>
      </c>
    </row>
    <row r="23" spans="1:76" ht="13.5" customHeight="1" x14ac:dyDescent="0.3">
      <c r="A23" s="622"/>
      <c r="B23" s="238"/>
      <c r="C23" s="239" t="s">
        <v>1454</v>
      </c>
      <c r="D23" s="835" t="s">
        <v>8</v>
      </c>
      <c r="E23" s="1347"/>
      <c r="F23" s="1348"/>
      <c r="G23" s="1348"/>
      <c r="H23" s="1348"/>
      <c r="I23" s="1348"/>
      <c r="J23" s="1348"/>
      <c r="K23" s="1348"/>
      <c r="L23" s="1348"/>
      <c r="M23" s="1349"/>
      <c r="N23" s="1320"/>
      <c r="O23" s="1320"/>
      <c r="P23" s="1320"/>
      <c r="Q23" s="1320"/>
      <c r="R23" s="1320"/>
      <c r="S23" s="1320"/>
      <c r="T23" s="1320"/>
      <c r="U23" s="1320"/>
      <c r="V23" s="1320"/>
      <c r="W23" s="1320"/>
      <c r="X23" s="1320"/>
      <c r="Y23" s="1320"/>
      <c r="Z23" s="1320"/>
      <c r="AA23" s="1320"/>
      <c r="AB23" s="1320"/>
      <c r="AC23" s="1320"/>
      <c r="AD23" s="1320"/>
      <c r="AE23" s="1320"/>
      <c r="AF23" s="1320"/>
      <c r="AG23" s="1320"/>
      <c r="AH23" s="1320"/>
      <c r="AI23" s="1320"/>
      <c r="AJ23" s="1320"/>
      <c r="AK23" s="1320"/>
      <c r="AL23" s="1320"/>
      <c r="AM23" s="1320"/>
      <c r="AN23" s="1320"/>
      <c r="AO23" s="1320"/>
      <c r="AP23" s="1320"/>
      <c r="AQ23" s="1320"/>
      <c r="AR23" s="447" t="s">
        <v>45</v>
      </c>
      <c r="AS23" s="323" t="s">
        <v>45</v>
      </c>
      <c r="AT23" s="448" t="s">
        <v>45</v>
      </c>
      <c r="AU23" s="447" t="s">
        <v>45</v>
      </c>
      <c r="AV23" s="448" t="s">
        <v>45</v>
      </c>
      <c r="AW23" s="368" t="s">
        <v>45</v>
      </c>
      <c r="AX23" s="323" t="s">
        <v>45</v>
      </c>
      <c r="AY23" s="448" t="s">
        <v>45</v>
      </c>
      <c r="AZ23" s="1072" t="s">
        <v>45</v>
      </c>
      <c r="BA23" s="803" t="s">
        <v>45</v>
      </c>
      <c r="BB23" s="433" t="s">
        <v>45</v>
      </c>
      <c r="BC23" s="803" t="s">
        <v>45</v>
      </c>
      <c r="BD23" s="447" t="s">
        <v>45</v>
      </c>
      <c r="BE23" s="323" t="s">
        <v>45</v>
      </c>
      <c r="BF23" s="448">
        <v>2</v>
      </c>
      <c r="BG23" s="372" t="s">
        <v>45</v>
      </c>
      <c r="BH23" s="368" t="s">
        <v>45</v>
      </c>
      <c r="BI23" s="448" t="s">
        <v>45</v>
      </c>
      <c r="BJ23" s="1000"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75" t="s">
        <v>1459</v>
      </c>
    </row>
    <row r="24" spans="1:76" ht="13.5" customHeight="1" x14ac:dyDescent="0.3">
      <c r="A24" s="622"/>
      <c r="B24" s="238"/>
      <c r="C24" s="239" t="s">
        <v>1455</v>
      </c>
      <c r="D24" s="835" t="s">
        <v>8</v>
      </c>
      <c r="E24" s="1347"/>
      <c r="F24" s="1348"/>
      <c r="G24" s="1348"/>
      <c r="H24" s="1348"/>
      <c r="I24" s="1348"/>
      <c r="J24" s="1348"/>
      <c r="K24" s="1348"/>
      <c r="L24" s="1348"/>
      <c r="M24" s="1349"/>
      <c r="N24" s="1320"/>
      <c r="O24" s="1320"/>
      <c r="P24" s="1320"/>
      <c r="Q24" s="1320"/>
      <c r="R24" s="1320"/>
      <c r="S24" s="1320"/>
      <c r="T24" s="1320"/>
      <c r="U24" s="1320"/>
      <c r="V24" s="1320"/>
      <c r="W24" s="1320"/>
      <c r="X24" s="1320"/>
      <c r="Y24" s="1320"/>
      <c r="Z24" s="1320"/>
      <c r="AA24" s="1320"/>
      <c r="AB24" s="1320"/>
      <c r="AC24" s="1320"/>
      <c r="AD24" s="1320"/>
      <c r="AE24" s="1320"/>
      <c r="AF24" s="1320"/>
      <c r="AG24" s="1320"/>
      <c r="AH24" s="1320"/>
      <c r="AI24" s="1320"/>
      <c r="AJ24" s="1320"/>
      <c r="AK24" s="1320"/>
      <c r="AL24" s="1320"/>
      <c r="AM24" s="1320"/>
      <c r="AN24" s="1320"/>
      <c r="AO24" s="1320"/>
      <c r="AP24" s="1320"/>
      <c r="AQ24" s="1320"/>
      <c r="AR24" s="447" t="s">
        <v>45</v>
      </c>
      <c r="AS24" s="323" t="s">
        <v>45</v>
      </c>
      <c r="AT24" s="448" t="s">
        <v>45</v>
      </c>
      <c r="AU24" s="447" t="s">
        <v>45</v>
      </c>
      <c r="AV24" s="448" t="s">
        <v>45</v>
      </c>
      <c r="AW24" s="368" t="s">
        <v>45</v>
      </c>
      <c r="AX24" s="323" t="s">
        <v>45</v>
      </c>
      <c r="AY24" s="448" t="s">
        <v>45</v>
      </c>
      <c r="AZ24" s="1072" t="s">
        <v>45</v>
      </c>
      <c r="BA24" s="803" t="s">
        <v>45</v>
      </c>
      <c r="BB24" s="433" t="s">
        <v>45</v>
      </c>
      <c r="BC24" s="803" t="s">
        <v>45</v>
      </c>
      <c r="BD24" s="447" t="s">
        <v>45</v>
      </c>
      <c r="BE24" s="323" t="s">
        <v>45</v>
      </c>
      <c r="BF24" s="448" t="s">
        <v>8</v>
      </c>
      <c r="BG24" s="372" t="s">
        <v>45</v>
      </c>
      <c r="BH24" s="368" t="s">
        <v>45</v>
      </c>
      <c r="BI24" s="448" t="s">
        <v>45</v>
      </c>
      <c r="BJ24" s="1000"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75" t="s">
        <v>1460</v>
      </c>
    </row>
    <row r="25" spans="1:76" ht="13.5" customHeight="1" x14ac:dyDescent="0.3">
      <c r="A25" s="622"/>
      <c r="B25" s="238" t="s">
        <v>93</v>
      </c>
      <c r="C25" s="239" t="s">
        <v>31</v>
      </c>
      <c r="D25" s="835" t="s">
        <v>8</v>
      </c>
      <c r="E25" s="1347"/>
      <c r="F25" s="1348"/>
      <c r="G25" s="1348"/>
      <c r="H25" s="1348"/>
      <c r="I25" s="1348"/>
      <c r="J25" s="1348"/>
      <c r="K25" s="1348"/>
      <c r="L25" s="1348"/>
      <c r="M25" s="1349"/>
      <c r="N25" s="1320"/>
      <c r="O25" s="1320"/>
      <c r="P25" s="1320"/>
      <c r="Q25" s="1320"/>
      <c r="R25" s="1320"/>
      <c r="S25" s="1320"/>
      <c r="T25" s="1320"/>
      <c r="U25" s="1320"/>
      <c r="V25" s="1320"/>
      <c r="W25" s="1320"/>
      <c r="X25" s="1320"/>
      <c r="Y25" s="1320"/>
      <c r="Z25" s="1320"/>
      <c r="AA25" s="1320"/>
      <c r="AB25" s="1320"/>
      <c r="AC25" s="1320"/>
      <c r="AD25" s="1320"/>
      <c r="AE25" s="1320"/>
      <c r="AF25" s="1320"/>
      <c r="AG25" s="1320"/>
      <c r="AH25" s="1320"/>
      <c r="AI25" s="1320"/>
      <c r="AJ25" s="1320"/>
      <c r="AK25" s="1320"/>
      <c r="AL25" s="1320"/>
      <c r="AM25" s="1320"/>
      <c r="AN25" s="1320"/>
      <c r="AO25" s="1320"/>
      <c r="AP25" s="1320"/>
      <c r="AQ25" s="1320"/>
      <c r="AR25" s="447" t="s">
        <v>8</v>
      </c>
      <c r="AS25" s="323" t="s">
        <v>8</v>
      </c>
      <c r="AT25" s="448" t="s">
        <v>8</v>
      </c>
      <c r="AU25" s="447" t="s">
        <v>8</v>
      </c>
      <c r="AV25" s="448" t="s">
        <v>8</v>
      </c>
      <c r="AW25" s="368" t="s">
        <v>8</v>
      </c>
      <c r="AX25" s="323" t="s">
        <v>8</v>
      </c>
      <c r="AY25" s="448" t="s">
        <v>8</v>
      </c>
      <c r="AZ25" s="1072" t="s">
        <v>8</v>
      </c>
      <c r="BA25" s="803" t="s">
        <v>8</v>
      </c>
      <c r="BB25" s="433" t="s">
        <v>8</v>
      </c>
      <c r="BC25" s="803" t="s">
        <v>8</v>
      </c>
      <c r="BD25" s="447" t="s">
        <v>8</v>
      </c>
      <c r="BE25" s="323" t="s">
        <v>8</v>
      </c>
      <c r="BF25" s="448" t="s">
        <v>8</v>
      </c>
      <c r="BG25" s="372" t="s">
        <v>8</v>
      </c>
      <c r="BH25" s="368" t="s">
        <v>8</v>
      </c>
      <c r="BI25" s="448" t="s">
        <v>8</v>
      </c>
      <c r="BJ25" s="1000"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75"/>
    </row>
    <row r="26" spans="1:76" ht="13.5" customHeight="1" x14ac:dyDescent="0.3">
      <c r="A26" s="622"/>
      <c r="B26" s="238" t="s">
        <v>42</v>
      </c>
      <c r="C26" s="239" t="s">
        <v>291</v>
      </c>
      <c r="D26" s="835" t="s">
        <v>8</v>
      </c>
      <c r="E26" s="1347"/>
      <c r="F26" s="1348"/>
      <c r="G26" s="1348"/>
      <c r="H26" s="1348"/>
      <c r="I26" s="1348"/>
      <c r="J26" s="1348"/>
      <c r="K26" s="1348"/>
      <c r="L26" s="1348"/>
      <c r="M26" s="1349"/>
      <c r="N26" s="1320"/>
      <c r="O26" s="1320"/>
      <c r="P26" s="1320"/>
      <c r="Q26" s="1320"/>
      <c r="R26" s="1320"/>
      <c r="S26" s="1320"/>
      <c r="T26" s="1320"/>
      <c r="U26" s="1320"/>
      <c r="V26" s="1320"/>
      <c r="W26" s="1320"/>
      <c r="X26" s="1320"/>
      <c r="Y26" s="1320"/>
      <c r="Z26" s="1320"/>
      <c r="AA26" s="1320"/>
      <c r="AB26" s="1320"/>
      <c r="AC26" s="1320"/>
      <c r="AD26" s="1320"/>
      <c r="AE26" s="1320"/>
      <c r="AF26" s="1320"/>
      <c r="AG26" s="1320"/>
      <c r="AH26" s="1320"/>
      <c r="AI26" s="1320"/>
      <c r="AJ26" s="1320"/>
      <c r="AK26" s="1320"/>
      <c r="AL26" s="1320"/>
      <c r="AM26" s="1320"/>
      <c r="AN26" s="1320"/>
      <c r="AO26" s="1320"/>
      <c r="AP26" s="1320"/>
      <c r="AQ26" s="1320"/>
      <c r="AR26" s="447" t="s">
        <v>8</v>
      </c>
      <c r="AS26" s="323" t="s">
        <v>8</v>
      </c>
      <c r="AT26" s="448" t="s">
        <v>8</v>
      </c>
      <c r="AU26" s="447" t="s">
        <v>8</v>
      </c>
      <c r="AV26" s="448" t="s">
        <v>8</v>
      </c>
      <c r="AW26" s="368" t="s">
        <v>8</v>
      </c>
      <c r="AX26" s="323" t="s">
        <v>8</v>
      </c>
      <c r="AY26" s="448" t="s">
        <v>8</v>
      </c>
      <c r="AZ26" s="1072" t="s">
        <v>8</v>
      </c>
      <c r="BA26" s="803" t="s">
        <v>8</v>
      </c>
      <c r="BB26" s="433" t="s">
        <v>8</v>
      </c>
      <c r="BC26" s="803" t="s">
        <v>8</v>
      </c>
      <c r="BD26" s="447" t="s">
        <v>8</v>
      </c>
      <c r="BE26" s="323" t="s">
        <v>8</v>
      </c>
      <c r="BF26" s="448" t="s">
        <v>8</v>
      </c>
      <c r="BG26" s="372" t="s">
        <v>8</v>
      </c>
      <c r="BH26" s="368" t="s">
        <v>8</v>
      </c>
      <c r="BI26" s="448" t="s">
        <v>8</v>
      </c>
      <c r="BJ26" s="1000"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75"/>
    </row>
    <row r="27" spans="1:76" ht="13.5" customHeight="1" x14ac:dyDescent="0.3">
      <c r="A27" s="622"/>
      <c r="B27" s="238"/>
      <c r="C27" s="239" t="s">
        <v>169</v>
      </c>
      <c r="D27" s="835" t="s">
        <v>8</v>
      </c>
      <c r="E27" s="1347"/>
      <c r="F27" s="1348"/>
      <c r="G27" s="1348"/>
      <c r="H27" s="1348"/>
      <c r="I27" s="1348"/>
      <c r="J27" s="1348"/>
      <c r="K27" s="1348"/>
      <c r="L27" s="1348"/>
      <c r="M27" s="1349"/>
      <c r="N27" s="1320"/>
      <c r="O27" s="1320"/>
      <c r="P27" s="1320"/>
      <c r="Q27" s="1320"/>
      <c r="R27" s="1320"/>
      <c r="S27" s="1320"/>
      <c r="T27" s="1320"/>
      <c r="U27" s="1320"/>
      <c r="V27" s="1320"/>
      <c r="W27" s="1320"/>
      <c r="X27" s="1320"/>
      <c r="Y27" s="1320"/>
      <c r="Z27" s="1320"/>
      <c r="AA27" s="1320"/>
      <c r="AB27" s="1320"/>
      <c r="AC27" s="1320"/>
      <c r="AD27" s="1320"/>
      <c r="AE27" s="1320"/>
      <c r="AF27" s="1320"/>
      <c r="AG27" s="1320"/>
      <c r="AH27" s="1320"/>
      <c r="AI27" s="1320"/>
      <c r="AJ27" s="1320"/>
      <c r="AK27" s="1320"/>
      <c r="AL27" s="1320"/>
      <c r="AM27" s="1320"/>
      <c r="AN27" s="1320"/>
      <c r="AO27" s="1320"/>
      <c r="AP27" s="1320"/>
      <c r="AQ27" s="1320"/>
      <c r="AR27" s="447" t="s">
        <v>8</v>
      </c>
      <c r="AS27" s="323" t="s">
        <v>8</v>
      </c>
      <c r="AT27" s="448" t="s">
        <v>8</v>
      </c>
      <c r="AU27" s="447" t="s">
        <v>8</v>
      </c>
      <c r="AV27" s="448" t="s">
        <v>8</v>
      </c>
      <c r="AW27" s="368" t="s">
        <v>8</v>
      </c>
      <c r="AX27" s="323" t="s">
        <v>8</v>
      </c>
      <c r="AY27" s="448" t="s">
        <v>8</v>
      </c>
      <c r="AZ27" s="1072" t="s">
        <v>8</v>
      </c>
      <c r="BA27" s="803" t="s">
        <v>8</v>
      </c>
      <c r="BB27" s="433" t="s">
        <v>8</v>
      </c>
      <c r="BC27" s="803" t="s">
        <v>8</v>
      </c>
      <c r="BD27" s="447" t="s">
        <v>8</v>
      </c>
      <c r="BE27" s="323" t="s">
        <v>8</v>
      </c>
      <c r="BF27" s="448" t="s">
        <v>8</v>
      </c>
      <c r="BG27" s="372" t="s">
        <v>8</v>
      </c>
      <c r="BH27" s="368" t="s">
        <v>8</v>
      </c>
      <c r="BI27" s="448" t="s">
        <v>8</v>
      </c>
      <c r="BJ27" s="1000"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75"/>
    </row>
    <row r="28" spans="1:76" ht="13.5" customHeight="1" x14ac:dyDescent="0.3">
      <c r="A28" s="622"/>
      <c r="B28" s="238"/>
      <c r="C28" s="239" t="s">
        <v>68</v>
      </c>
      <c r="D28" s="835" t="s">
        <v>8</v>
      </c>
      <c r="E28" s="1347"/>
      <c r="F28" s="1348"/>
      <c r="G28" s="1348"/>
      <c r="H28" s="1348"/>
      <c r="I28" s="1348"/>
      <c r="J28" s="1348"/>
      <c r="K28" s="1348"/>
      <c r="L28" s="1348"/>
      <c r="M28" s="1349"/>
      <c r="N28" s="1320"/>
      <c r="O28" s="1320"/>
      <c r="P28" s="1320"/>
      <c r="Q28" s="1320"/>
      <c r="R28" s="1320"/>
      <c r="S28" s="1320"/>
      <c r="T28" s="1320"/>
      <c r="U28" s="1320"/>
      <c r="V28" s="1320"/>
      <c r="W28" s="1320"/>
      <c r="X28" s="1320"/>
      <c r="Y28" s="1320"/>
      <c r="Z28" s="1320"/>
      <c r="AA28" s="1320"/>
      <c r="AB28" s="1320"/>
      <c r="AC28" s="1320"/>
      <c r="AD28" s="1320"/>
      <c r="AE28" s="1320"/>
      <c r="AF28" s="1320"/>
      <c r="AG28" s="1320"/>
      <c r="AH28" s="1320"/>
      <c r="AI28" s="1320"/>
      <c r="AJ28" s="1320"/>
      <c r="AK28" s="1320"/>
      <c r="AL28" s="1320"/>
      <c r="AM28" s="1320"/>
      <c r="AN28" s="1320"/>
      <c r="AO28" s="1320"/>
      <c r="AP28" s="1320"/>
      <c r="AQ28" s="1320"/>
      <c r="AR28" s="447" t="s">
        <v>8</v>
      </c>
      <c r="AS28" s="323" t="s">
        <v>8</v>
      </c>
      <c r="AT28" s="448" t="s">
        <v>8</v>
      </c>
      <c r="AU28" s="447" t="s">
        <v>8</v>
      </c>
      <c r="AV28" s="448" t="s">
        <v>8</v>
      </c>
      <c r="AW28" s="368" t="s">
        <v>8</v>
      </c>
      <c r="AX28" s="323" t="s">
        <v>8</v>
      </c>
      <c r="AY28" s="448" t="s">
        <v>8</v>
      </c>
      <c r="AZ28" s="1072" t="s">
        <v>8</v>
      </c>
      <c r="BA28" s="803" t="s">
        <v>8</v>
      </c>
      <c r="BB28" s="433" t="s">
        <v>8</v>
      </c>
      <c r="BC28" s="803" t="s">
        <v>8</v>
      </c>
      <c r="BD28" s="447" t="s">
        <v>8</v>
      </c>
      <c r="BE28" s="323" t="s">
        <v>8</v>
      </c>
      <c r="BF28" s="448" t="s">
        <v>8</v>
      </c>
      <c r="BG28" s="372" t="s">
        <v>8</v>
      </c>
      <c r="BH28" s="368" t="s">
        <v>8</v>
      </c>
      <c r="BI28" s="448" t="s">
        <v>8</v>
      </c>
      <c r="BJ28" s="1000"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75"/>
    </row>
    <row r="29" spans="1:76" ht="13.5" customHeight="1" x14ac:dyDescent="0.3">
      <c r="A29" s="622"/>
      <c r="B29" s="302"/>
      <c r="C29" s="303" t="s">
        <v>70</v>
      </c>
      <c r="D29" s="837" t="s">
        <v>8</v>
      </c>
      <c r="E29" s="1347"/>
      <c r="F29" s="1348"/>
      <c r="G29" s="1348"/>
      <c r="H29" s="1348"/>
      <c r="I29" s="1348"/>
      <c r="J29" s="1348"/>
      <c r="K29" s="1348"/>
      <c r="L29" s="1348"/>
      <c r="M29" s="1349"/>
      <c r="N29" s="1320"/>
      <c r="O29" s="1320"/>
      <c r="P29" s="1320"/>
      <c r="Q29" s="1320"/>
      <c r="R29" s="1320"/>
      <c r="S29" s="1320"/>
      <c r="T29" s="1320"/>
      <c r="U29" s="1320"/>
      <c r="V29" s="1320"/>
      <c r="W29" s="1320"/>
      <c r="X29" s="1320"/>
      <c r="Y29" s="1320"/>
      <c r="Z29" s="1320"/>
      <c r="AA29" s="1320"/>
      <c r="AB29" s="1320"/>
      <c r="AC29" s="1320"/>
      <c r="AD29" s="1320"/>
      <c r="AE29" s="1320"/>
      <c r="AF29" s="1320"/>
      <c r="AG29" s="1320"/>
      <c r="AH29" s="1320"/>
      <c r="AI29" s="1320"/>
      <c r="AJ29" s="1320"/>
      <c r="AK29" s="1320"/>
      <c r="AL29" s="1320"/>
      <c r="AM29" s="1320"/>
      <c r="AN29" s="1320"/>
      <c r="AO29" s="1320"/>
      <c r="AP29" s="1320"/>
      <c r="AQ29" s="1320"/>
      <c r="AR29" s="447" t="s">
        <v>8</v>
      </c>
      <c r="AS29" s="323" t="s">
        <v>8</v>
      </c>
      <c r="AT29" s="493" t="s">
        <v>17</v>
      </c>
      <c r="AU29" s="447" t="s">
        <v>8</v>
      </c>
      <c r="AV29" s="448" t="s">
        <v>8</v>
      </c>
      <c r="AW29" s="368" t="s">
        <v>8</v>
      </c>
      <c r="AX29" s="323" t="s">
        <v>8</v>
      </c>
      <c r="AY29" s="448" t="s">
        <v>8</v>
      </c>
      <c r="AZ29" s="1074" t="s">
        <v>17</v>
      </c>
      <c r="BA29" s="803" t="s">
        <v>8</v>
      </c>
      <c r="BB29" s="757" t="s">
        <v>17</v>
      </c>
      <c r="BC29" s="803" t="s">
        <v>8</v>
      </c>
      <c r="BD29" s="447" t="s">
        <v>8</v>
      </c>
      <c r="BE29" s="323" t="s">
        <v>8</v>
      </c>
      <c r="BF29" s="493" t="s">
        <v>17</v>
      </c>
      <c r="BG29" s="541" t="s">
        <v>195</v>
      </c>
      <c r="BH29" s="368" t="s">
        <v>8</v>
      </c>
      <c r="BI29" s="448" t="s">
        <v>8</v>
      </c>
      <c r="BJ29" s="1000"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75"/>
    </row>
    <row r="30" spans="1:76" ht="13.5" customHeight="1" x14ac:dyDescent="0.3">
      <c r="A30" s="622"/>
      <c r="B30" s="302"/>
      <c r="C30" s="303" t="s">
        <v>293</v>
      </c>
      <c r="D30" s="837" t="s">
        <v>8</v>
      </c>
      <c r="E30" s="1347"/>
      <c r="F30" s="1348"/>
      <c r="G30" s="1348"/>
      <c r="H30" s="1348"/>
      <c r="I30" s="1348"/>
      <c r="J30" s="1348"/>
      <c r="K30" s="1348"/>
      <c r="L30" s="1348"/>
      <c r="M30" s="1349"/>
      <c r="N30" s="1321" t="s">
        <v>492</v>
      </c>
      <c r="O30" s="1321"/>
      <c r="P30" s="1321"/>
      <c r="Q30" s="1321"/>
      <c r="R30" s="1321"/>
      <c r="S30" s="1321"/>
      <c r="T30" s="1321"/>
      <c r="U30" s="1321"/>
      <c r="V30" s="1321"/>
      <c r="W30" s="1321"/>
      <c r="X30" s="1321"/>
      <c r="Y30" s="1321"/>
      <c r="Z30" s="1321"/>
      <c r="AA30" s="1321"/>
      <c r="AB30" s="1321"/>
      <c r="AC30" s="1321"/>
      <c r="AD30" s="1321"/>
      <c r="AE30" s="1321"/>
      <c r="AF30" s="1321"/>
      <c r="AG30" s="1321"/>
      <c r="AH30" s="1321"/>
      <c r="AI30" s="1322"/>
      <c r="AJ30" s="393"/>
      <c r="AK30" s="1325" t="s">
        <v>491</v>
      </c>
      <c r="AL30" s="1327" t="s">
        <v>490</v>
      </c>
      <c r="AM30" s="1322"/>
      <c r="AN30" s="1329" t="s">
        <v>491</v>
      </c>
      <c r="AO30" s="1329"/>
      <c r="AP30" s="1329"/>
      <c r="AQ30" s="1329"/>
      <c r="AR30" s="449"/>
      <c r="AS30" s="320"/>
      <c r="AT30" s="450"/>
      <c r="AU30" s="449"/>
      <c r="AV30" s="450"/>
      <c r="AW30" s="369"/>
      <c r="AX30" s="320"/>
      <c r="AY30" s="450"/>
      <c r="AZ30" s="1075"/>
      <c r="BA30" s="805"/>
      <c r="BB30" s="434"/>
      <c r="BC30" s="805"/>
      <c r="BD30" s="449"/>
      <c r="BE30" s="320"/>
      <c r="BF30" s="450"/>
      <c r="BG30" s="373"/>
      <c r="BH30" s="369"/>
      <c r="BI30" s="450"/>
      <c r="BJ30" s="1001"/>
      <c r="BK30" s="449"/>
      <c r="BL30" s="320"/>
      <c r="BM30" s="450"/>
      <c r="BN30" s="373"/>
      <c r="BO30" s="449"/>
      <c r="BP30" s="969"/>
      <c r="BQ30" s="449"/>
      <c r="BR30" s="450"/>
      <c r="BS30" s="369"/>
      <c r="BT30" s="450"/>
      <c r="BU30" s="449"/>
      <c r="BV30" s="320"/>
      <c r="BW30" s="450"/>
      <c r="BX30" s="975"/>
    </row>
    <row r="31" spans="1:76" ht="13.5" customHeight="1" thickBot="1" x14ac:dyDescent="0.35">
      <c r="A31" s="622"/>
      <c r="B31" s="238"/>
      <c r="C31" s="239" t="s">
        <v>267</v>
      </c>
      <c r="D31" s="835" t="s">
        <v>61</v>
      </c>
      <c r="E31" s="1347"/>
      <c r="F31" s="1348"/>
      <c r="G31" s="1348"/>
      <c r="H31" s="1348"/>
      <c r="I31" s="1348"/>
      <c r="J31" s="1348"/>
      <c r="K31" s="1348"/>
      <c r="L31" s="1348"/>
      <c r="M31" s="1349"/>
      <c r="N31" s="1323"/>
      <c r="O31" s="1323"/>
      <c r="P31" s="1323"/>
      <c r="Q31" s="1323"/>
      <c r="R31" s="1323"/>
      <c r="S31" s="1323"/>
      <c r="T31" s="1323"/>
      <c r="U31" s="1323"/>
      <c r="V31" s="1323"/>
      <c r="W31" s="1323"/>
      <c r="X31" s="1323"/>
      <c r="Y31" s="1323"/>
      <c r="Z31" s="1323"/>
      <c r="AA31" s="1323"/>
      <c r="AB31" s="1323"/>
      <c r="AC31" s="1323"/>
      <c r="AD31" s="1323"/>
      <c r="AE31" s="1323"/>
      <c r="AF31" s="1323"/>
      <c r="AG31" s="1323"/>
      <c r="AH31" s="1323"/>
      <c r="AI31" s="1324"/>
      <c r="AJ31" s="394"/>
      <c r="AK31" s="1326"/>
      <c r="AL31" s="1328"/>
      <c r="AM31" s="1324"/>
      <c r="AN31" s="1330"/>
      <c r="AO31" s="1330"/>
      <c r="AP31" s="1330"/>
      <c r="AQ31" s="1330"/>
      <c r="AR31" s="449"/>
      <c r="AS31" s="320"/>
      <c r="AT31" s="450"/>
      <c r="AU31" s="449"/>
      <c r="AV31" s="450"/>
      <c r="AW31" s="369"/>
      <c r="AX31" s="320"/>
      <c r="AY31" s="450"/>
      <c r="AZ31" s="1075"/>
      <c r="BA31" s="805"/>
      <c r="BB31" s="434"/>
      <c r="BC31" s="805"/>
      <c r="BD31" s="449"/>
      <c r="BE31" s="320"/>
      <c r="BF31" s="450"/>
      <c r="BG31" s="373"/>
      <c r="BH31" s="369"/>
      <c r="BI31" s="450"/>
      <c r="BJ31" s="1001"/>
      <c r="BK31" s="449"/>
      <c r="BL31" s="320"/>
      <c r="BM31" s="450"/>
      <c r="BN31" s="373"/>
      <c r="BO31" s="449"/>
      <c r="BP31" s="450"/>
      <c r="BQ31" s="449"/>
      <c r="BR31" s="450"/>
      <c r="BS31" s="369"/>
      <c r="BT31" s="450"/>
      <c r="BU31" s="449"/>
      <c r="BV31" s="320"/>
      <c r="BW31" s="450"/>
      <c r="BX31" s="975"/>
    </row>
    <row r="32" spans="1:76" ht="13.5" customHeight="1" thickTop="1" x14ac:dyDescent="0.3">
      <c r="A32" s="622"/>
      <c r="B32" s="238" t="s">
        <v>489</v>
      </c>
      <c r="C32" s="308" t="s">
        <v>293</v>
      </c>
      <c r="D32" s="838" t="s">
        <v>8</v>
      </c>
      <c r="E32" s="1347"/>
      <c r="F32" s="1348"/>
      <c r="G32" s="1348"/>
      <c r="H32" s="1348"/>
      <c r="I32" s="1348"/>
      <c r="J32" s="1348"/>
      <c r="K32" s="1348"/>
      <c r="L32" s="1348"/>
      <c r="M32" s="1349"/>
      <c r="N32" s="1339" t="s">
        <v>493</v>
      </c>
      <c r="O32" s="1340"/>
      <c r="P32" s="1340"/>
      <c r="Q32" s="1340"/>
      <c r="R32" s="1340"/>
      <c r="S32" s="1340"/>
      <c r="T32" s="1340"/>
      <c r="U32" s="1340"/>
      <c r="V32" s="1340"/>
      <c r="W32" s="1340"/>
      <c r="X32" s="1340"/>
      <c r="Y32" s="1340"/>
      <c r="Z32" s="1340"/>
      <c r="AA32" s="1340"/>
      <c r="AB32" s="1340"/>
      <c r="AC32" s="1340"/>
      <c r="AD32" s="1340"/>
      <c r="AE32" s="1340"/>
      <c r="AF32" s="1340"/>
      <c r="AG32" s="1340"/>
      <c r="AH32" s="1340"/>
      <c r="AI32" s="1340"/>
      <c r="AJ32" s="1341"/>
      <c r="AK32" s="1335" t="s">
        <v>490</v>
      </c>
      <c r="AL32" s="1331" t="s">
        <v>494</v>
      </c>
      <c r="AM32" s="1332"/>
      <c r="AN32" s="1319" t="s">
        <v>490</v>
      </c>
      <c r="AO32" s="1319"/>
      <c r="AP32" s="1319"/>
      <c r="AQ32" s="1337"/>
      <c r="AR32" s="447" t="s">
        <v>8</v>
      </c>
      <c r="AS32" s="323" t="s">
        <v>8</v>
      </c>
      <c r="AT32" s="448" t="s">
        <v>8</v>
      </c>
      <c r="AU32" s="447" t="s">
        <v>8</v>
      </c>
      <c r="AV32" s="448" t="s">
        <v>8</v>
      </c>
      <c r="AW32" s="368" t="s">
        <v>8</v>
      </c>
      <c r="AX32" s="323" t="s">
        <v>8</v>
      </c>
      <c r="AY32" s="448" t="s">
        <v>8</v>
      </c>
      <c r="AZ32" s="1072" t="s">
        <v>8</v>
      </c>
      <c r="BA32" s="806" t="s">
        <v>8</v>
      </c>
      <c r="BB32" s="433" t="s">
        <v>8</v>
      </c>
      <c r="BC32" s="806" t="s">
        <v>8</v>
      </c>
      <c r="BD32" s="447" t="s">
        <v>8</v>
      </c>
      <c r="BE32" s="323" t="s">
        <v>8</v>
      </c>
      <c r="BF32" s="448" t="s">
        <v>8</v>
      </c>
      <c r="BG32" s="372" t="s">
        <v>8</v>
      </c>
      <c r="BH32" s="368" t="s">
        <v>8</v>
      </c>
      <c r="BI32" s="448" t="s">
        <v>8</v>
      </c>
      <c r="BJ32" s="1000"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75"/>
    </row>
    <row r="33" spans="1:76" ht="13.5" customHeight="1" thickBot="1" x14ac:dyDescent="0.35">
      <c r="A33" s="622"/>
      <c r="B33" s="238"/>
      <c r="C33" s="239" t="s">
        <v>267</v>
      </c>
      <c r="D33" s="835" t="s">
        <v>61</v>
      </c>
      <c r="E33" s="1350"/>
      <c r="F33" s="1351"/>
      <c r="G33" s="1351"/>
      <c r="H33" s="1351"/>
      <c r="I33" s="1351"/>
      <c r="J33" s="1351"/>
      <c r="K33" s="1351"/>
      <c r="L33" s="1351"/>
      <c r="M33" s="1352"/>
      <c r="N33" s="1342"/>
      <c r="O33" s="1330"/>
      <c r="P33" s="1330"/>
      <c r="Q33" s="1330"/>
      <c r="R33" s="1330"/>
      <c r="S33" s="1330"/>
      <c r="T33" s="1330"/>
      <c r="U33" s="1330"/>
      <c r="V33" s="1330"/>
      <c r="W33" s="1330"/>
      <c r="X33" s="1330"/>
      <c r="Y33" s="1330"/>
      <c r="Z33" s="1330"/>
      <c r="AA33" s="1330"/>
      <c r="AB33" s="1330"/>
      <c r="AC33" s="1330"/>
      <c r="AD33" s="1330"/>
      <c r="AE33" s="1330"/>
      <c r="AF33" s="1330"/>
      <c r="AG33" s="1330"/>
      <c r="AH33" s="1330"/>
      <c r="AI33" s="1330"/>
      <c r="AJ33" s="1343"/>
      <c r="AK33" s="1336"/>
      <c r="AL33" s="1333"/>
      <c r="AM33" s="1334"/>
      <c r="AN33" s="1323"/>
      <c r="AO33" s="1323"/>
      <c r="AP33" s="1323"/>
      <c r="AQ33" s="1338"/>
      <c r="AR33" s="447" t="s">
        <v>61</v>
      </c>
      <c r="AS33" s="323" t="s">
        <v>61</v>
      </c>
      <c r="AT33" s="448" t="s">
        <v>61</v>
      </c>
      <c r="AU33" s="447" t="s">
        <v>61</v>
      </c>
      <c r="AV33" s="448" t="s">
        <v>61</v>
      </c>
      <c r="AW33" s="368" t="s">
        <v>61</v>
      </c>
      <c r="AX33" s="323" t="s">
        <v>61</v>
      </c>
      <c r="AY33" s="448" t="s">
        <v>61</v>
      </c>
      <c r="AZ33" s="1072" t="s">
        <v>61</v>
      </c>
      <c r="BA33" s="806" t="s">
        <v>61</v>
      </c>
      <c r="BB33" s="433" t="s">
        <v>61</v>
      </c>
      <c r="BC33" s="806" t="s">
        <v>61</v>
      </c>
      <c r="BD33" s="447" t="s">
        <v>61</v>
      </c>
      <c r="BE33" s="323" t="s">
        <v>61</v>
      </c>
      <c r="BF33" s="448" t="s">
        <v>61</v>
      </c>
      <c r="BG33" s="372" t="s">
        <v>61</v>
      </c>
      <c r="BH33" s="368" t="s">
        <v>61</v>
      </c>
      <c r="BI33" s="448" t="s">
        <v>61</v>
      </c>
      <c r="BJ33" s="1000"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75"/>
    </row>
    <row r="34" spans="1:76" ht="20.399999999999999" customHeight="1" thickTop="1" x14ac:dyDescent="0.3">
      <c r="A34" s="622"/>
      <c r="B34" s="41" t="s">
        <v>269</v>
      </c>
      <c r="C34" s="42" t="s">
        <v>6</v>
      </c>
      <c r="D34" s="928"/>
      <c r="E34" s="1309" t="s">
        <v>457</v>
      </c>
      <c r="F34" s="1310"/>
      <c r="G34" s="1310"/>
      <c r="H34" s="1310"/>
      <c r="I34" s="1310"/>
      <c r="J34" s="1310"/>
      <c r="K34" s="1310"/>
      <c r="L34" s="1310"/>
      <c r="M34" s="1311"/>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76">
        <v>3.8</v>
      </c>
      <c r="BA34" s="326">
        <v>3.8</v>
      </c>
      <c r="BB34" s="175">
        <v>3.8</v>
      </c>
      <c r="BC34" s="326">
        <v>3.8</v>
      </c>
      <c r="BD34" s="653">
        <v>3.9</v>
      </c>
      <c r="BE34" s="707">
        <v>3.9</v>
      </c>
      <c r="BF34" s="145">
        <v>3.9</v>
      </c>
      <c r="BG34" s="363">
        <v>3.9</v>
      </c>
      <c r="BH34" s="79">
        <v>3.9</v>
      </c>
      <c r="BI34" s="145">
        <v>3.9</v>
      </c>
      <c r="BJ34" s="1017">
        <v>3.9</v>
      </c>
      <c r="BK34" s="941" t="s">
        <v>1509</v>
      </c>
      <c r="BL34" s="1131" t="s">
        <v>1509</v>
      </c>
      <c r="BM34" s="1100" t="s">
        <v>1509</v>
      </c>
      <c r="BN34" s="1121" t="s">
        <v>1509</v>
      </c>
      <c r="BO34" s="653">
        <v>3.9</v>
      </c>
      <c r="BP34" s="145">
        <v>3.8</v>
      </c>
      <c r="BQ34" s="1099">
        <v>3.9</v>
      </c>
      <c r="BR34" s="1100" t="s">
        <v>1509</v>
      </c>
      <c r="BS34" s="79">
        <v>3.8</v>
      </c>
      <c r="BT34" s="145">
        <v>3.8</v>
      </c>
      <c r="BU34" s="653">
        <v>3.9</v>
      </c>
      <c r="BV34" s="707">
        <v>3.9</v>
      </c>
      <c r="BW34" s="145">
        <v>3.9</v>
      </c>
      <c r="BX34" s="485"/>
    </row>
    <row r="35" spans="1:76" ht="13.5" customHeight="1" x14ac:dyDescent="0.3">
      <c r="A35" s="622"/>
      <c r="B35" s="47"/>
      <c r="C35" s="3" t="s">
        <v>99</v>
      </c>
      <c r="D35" s="926"/>
      <c r="E35" s="1309"/>
      <c r="F35" s="1310"/>
      <c r="G35" s="1310"/>
      <c r="H35" s="1310"/>
      <c r="I35" s="1310"/>
      <c r="J35" s="1310"/>
      <c r="K35" s="1310"/>
      <c r="L35" s="1310"/>
      <c r="M35" s="1311"/>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77">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3">
      <c r="A36" s="622"/>
      <c r="B36" s="47"/>
      <c r="C36" s="3" t="s">
        <v>260</v>
      </c>
      <c r="D36" s="926"/>
      <c r="E36" s="1309"/>
      <c r="F36" s="1310"/>
      <c r="G36" s="1310"/>
      <c r="H36" s="1310"/>
      <c r="I36" s="1310"/>
      <c r="J36" s="1310"/>
      <c r="K36" s="1310"/>
      <c r="L36" s="1310"/>
      <c r="M36" s="1311"/>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3">
      <c r="A37" s="622"/>
      <c r="B37" s="47"/>
      <c r="C37" s="3" t="s">
        <v>261</v>
      </c>
      <c r="D37" s="926"/>
      <c r="E37" s="1309"/>
      <c r="F37" s="1310"/>
      <c r="G37" s="1310"/>
      <c r="H37" s="1310"/>
      <c r="I37" s="1310"/>
      <c r="J37" s="1310"/>
      <c r="K37" s="1310"/>
      <c r="L37" s="1310"/>
      <c r="M37" s="1311"/>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33"/>
      <c r="AX37" s="329"/>
      <c r="AY37" s="422"/>
      <c r="AZ37" s="1078"/>
      <c r="BA37" s="370"/>
      <c r="BB37" s="382"/>
      <c r="BC37" s="370"/>
      <c r="BD37" s="383"/>
      <c r="BE37" s="329"/>
      <c r="BF37" s="422"/>
      <c r="BG37" s="400"/>
      <c r="BH37" s="1033"/>
      <c r="BI37" s="422"/>
      <c r="BJ37" s="1002"/>
      <c r="BK37" s="383"/>
      <c r="BL37" s="329"/>
      <c r="BM37" s="422"/>
      <c r="BN37" s="400"/>
      <c r="BO37" s="383"/>
      <c r="BP37" s="422"/>
      <c r="BQ37" s="383"/>
      <c r="BR37" s="422"/>
      <c r="BS37" s="1033"/>
      <c r="BT37" s="422"/>
      <c r="BU37" s="383"/>
      <c r="BV37" s="329"/>
      <c r="BW37" s="422"/>
      <c r="BX37" s="486" t="s">
        <v>371</v>
      </c>
    </row>
    <row r="38" spans="1:76" ht="13.5" customHeight="1" x14ac:dyDescent="0.3">
      <c r="A38" s="622"/>
      <c r="B38" s="47"/>
      <c r="C38" s="3" t="s">
        <v>544</v>
      </c>
      <c r="D38" s="926"/>
      <c r="E38" s="1309"/>
      <c r="F38" s="1310"/>
      <c r="G38" s="1310"/>
      <c r="H38" s="1310"/>
      <c r="I38" s="1310"/>
      <c r="J38" s="1310"/>
      <c r="K38" s="1310"/>
      <c r="L38" s="1310"/>
      <c r="M38" s="1311"/>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77">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3">
      <c r="A39" s="622"/>
      <c r="B39" s="47"/>
      <c r="C39" s="3" t="s">
        <v>627</v>
      </c>
      <c r="D39" s="926"/>
      <c r="E39" s="1309"/>
      <c r="F39" s="1310"/>
      <c r="G39" s="1310"/>
      <c r="H39" s="1310"/>
      <c r="I39" s="1310"/>
      <c r="J39" s="1310"/>
      <c r="K39" s="1310"/>
      <c r="L39" s="1310"/>
      <c r="M39" s="1311"/>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51"/>
      <c r="BA39" s="321"/>
      <c r="BB39" s="479"/>
      <c r="BC39" s="321"/>
      <c r="BD39" s="655"/>
      <c r="BE39" s="30"/>
      <c r="BF39" s="118"/>
      <c r="BG39" s="764"/>
      <c r="BH39" s="83"/>
      <c r="BI39" s="776"/>
      <c r="BJ39" s="1003"/>
      <c r="BK39" s="655"/>
      <c r="BL39" s="30"/>
      <c r="BM39" s="118"/>
      <c r="BN39" s="764"/>
      <c r="BO39" s="655"/>
      <c r="BP39" s="113"/>
      <c r="BQ39" s="117"/>
      <c r="BR39" s="118"/>
      <c r="BS39" s="85"/>
      <c r="BT39" s="118"/>
      <c r="BU39" s="655"/>
      <c r="BV39" s="30"/>
      <c r="BW39" s="118"/>
      <c r="BX39" s="486"/>
    </row>
    <row r="40" spans="1:76" ht="13.5" customHeight="1" x14ac:dyDescent="0.3">
      <c r="A40" s="622"/>
      <c r="B40" s="47"/>
      <c r="C40" s="3" t="s">
        <v>1269</v>
      </c>
      <c r="D40" s="926"/>
      <c r="E40" s="1309"/>
      <c r="F40" s="1310"/>
      <c r="G40" s="1310"/>
      <c r="H40" s="1310"/>
      <c r="I40" s="1310"/>
      <c r="J40" s="1310"/>
      <c r="K40" s="1310"/>
      <c r="L40" s="1310"/>
      <c r="M40" s="1311"/>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77">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customHeight="1" x14ac:dyDescent="0.3">
      <c r="A41" s="622"/>
      <c r="B41" s="47"/>
      <c r="C41" s="3" t="s">
        <v>1270</v>
      </c>
      <c r="D41" s="926"/>
      <c r="E41" s="1309"/>
      <c r="F41" s="1310"/>
      <c r="G41" s="1310"/>
      <c r="H41" s="1310"/>
      <c r="I41" s="1310"/>
      <c r="J41" s="1310"/>
      <c r="K41" s="1310"/>
      <c r="L41" s="1310"/>
      <c r="M41" s="1311"/>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77"/>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3">
      <c r="A42" s="622"/>
      <c r="B42" s="47"/>
      <c r="C42" s="3" t="s">
        <v>1271</v>
      </c>
      <c r="D42" s="926"/>
      <c r="E42" s="1309"/>
      <c r="F42" s="1310"/>
      <c r="G42" s="1310"/>
      <c r="H42" s="1310"/>
      <c r="I42" s="1310"/>
      <c r="J42" s="1310"/>
      <c r="K42" s="1310"/>
      <c r="L42" s="1310"/>
      <c r="M42" s="1311"/>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77"/>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customHeight="1" x14ac:dyDescent="0.3">
      <c r="A43" s="622"/>
      <c r="B43" s="47"/>
      <c r="C43" s="920" t="s">
        <v>625</v>
      </c>
      <c r="D43" s="926"/>
      <c r="E43" s="1309"/>
      <c r="F43" s="1310"/>
      <c r="G43" s="1310"/>
      <c r="H43" s="1310"/>
      <c r="I43" s="1310"/>
      <c r="J43" s="1310"/>
      <c r="K43" s="1310"/>
      <c r="L43" s="1310"/>
      <c r="M43" s="1311"/>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51"/>
      <c r="BA43" s="321"/>
      <c r="BB43" s="484"/>
      <c r="BC43" s="321"/>
      <c r="BD43" s="656"/>
      <c r="BE43" s="709"/>
      <c r="BF43" s="490"/>
      <c r="BG43" s="765"/>
      <c r="BH43" s="83"/>
      <c r="BI43" s="490"/>
      <c r="BJ43" s="1005"/>
      <c r="BK43" s="656"/>
      <c r="BL43" s="709"/>
      <c r="BM43" s="490"/>
      <c r="BN43" s="765"/>
      <c r="BO43" s="656"/>
      <c r="BP43" s="115"/>
      <c r="BQ43" s="656"/>
      <c r="BR43" s="490"/>
      <c r="BS43" s="83"/>
      <c r="BT43" s="115"/>
      <c r="BU43" s="656"/>
      <c r="BV43" s="709"/>
      <c r="BW43" s="490"/>
      <c r="BX43" s="487"/>
    </row>
    <row r="44" spans="1:76" ht="13.5" customHeight="1" x14ac:dyDescent="0.3">
      <c r="A44" s="622"/>
      <c r="B44" s="47"/>
      <c r="C44" s="3" t="s">
        <v>259</v>
      </c>
      <c r="D44" s="926"/>
      <c r="E44" s="1309"/>
      <c r="F44" s="1310"/>
      <c r="G44" s="1310"/>
      <c r="H44" s="1310"/>
      <c r="I44" s="1310"/>
      <c r="J44" s="1310"/>
      <c r="K44" s="1310"/>
      <c r="L44" s="1310"/>
      <c r="M44" s="1311"/>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80" t="s">
        <v>7</v>
      </c>
      <c r="BA44" s="130" t="s">
        <v>7</v>
      </c>
      <c r="BB44" s="250" t="s">
        <v>7</v>
      </c>
      <c r="BC44" s="130" t="s">
        <v>7</v>
      </c>
      <c r="BD44" s="657" t="s">
        <v>7</v>
      </c>
      <c r="BE44" s="710" t="s">
        <v>7</v>
      </c>
      <c r="BF44" s="250" t="s">
        <v>7</v>
      </c>
      <c r="BG44" s="301" t="s">
        <v>7</v>
      </c>
      <c r="BH44" s="130" t="s">
        <v>7</v>
      </c>
      <c r="BI44" s="250" t="s">
        <v>7</v>
      </c>
      <c r="BJ44" s="1006"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3">
      <c r="A45" s="622"/>
      <c r="B45" s="47"/>
      <c r="C45" s="3" t="s">
        <v>264</v>
      </c>
      <c r="D45" s="926"/>
      <c r="E45" s="1309"/>
      <c r="F45" s="1310"/>
      <c r="G45" s="1310"/>
      <c r="H45" s="1310"/>
      <c r="I45" s="1310"/>
      <c r="J45" s="1310"/>
      <c r="K45" s="1310"/>
      <c r="L45" s="1310"/>
      <c r="M45" s="1311"/>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3">
      <c r="A46" s="622"/>
      <c r="B46" s="47"/>
      <c r="C46" s="3" t="s">
        <v>100</v>
      </c>
      <c r="D46" s="926"/>
      <c r="E46" s="1309"/>
      <c r="F46" s="1310"/>
      <c r="G46" s="1310"/>
      <c r="H46" s="1310"/>
      <c r="I46" s="1310"/>
      <c r="J46" s="1310"/>
      <c r="K46" s="1310"/>
      <c r="L46" s="1310"/>
      <c r="M46" s="1311"/>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77"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3">
      <c r="A47" s="622"/>
      <c r="B47" s="47"/>
      <c r="C47" s="920" t="s">
        <v>631</v>
      </c>
      <c r="D47" s="926"/>
      <c r="E47" s="1309"/>
      <c r="F47" s="1310"/>
      <c r="G47" s="1310"/>
      <c r="H47" s="1310"/>
      <c r="I47" s="1310"/>
      <c r="J47" s="1310"/>
      <c r="K47" s="1310"/>
      <c r="L47" s="1310"/>
      <c r="M47" s="1311"/>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51"/>
      <c r="BA47" s="114"/>
      <c r="BB47" s="115"/>
      <c r="BC47" s="114"/>
      <c r="BD47" s="114"/>
      <c r="BE47" s="29"/>
      <c r="BF47" s="115"/>
      <c r="BG47" s="1122"/>
      <c r="BH47" s="114"/>
      <c r="BI47" s="115"/>
      <c r="BJ47" s="164"/>
      <c r="BK47" s="114"/>
      <c r="BL47" s="29"/>
      <c r="BM47" s="115"/>
      <c r="BN47" s="1122"/>
      <c r="BO47" s="114"/>
      <c r="BP47" s="115"/>
      <c r="BQ47" s="114"/>
      <c r="BR47" s="115"/>
      <c r="BS47" s="83"/>
      <c r="BT47" s="115"/>
      <c r="BU47" s="114"/>
      <c r="BV47" s="29"/>
      <c r="BW47" s="115"/>
      <c r="BX47" s="486"/>
    </row>
    <row r="48" spans="1:76" ht="13.5" customHeight="1" x14ac:dyDescent="0.3">
      <c r="A48" s="622"/>
      <c r="B48" s="47"/>
      <c r="C48" s="478" t="s">
        <v>641</v>
      </c>
      <c r="D48" s="926"/>
      <c r="E48" s="1309"/>
      <c r="F48" s="1310"/>
      <c r="G48" s="1310"/>
      <c r="H48" s="1310"/>
      <c r="I48" s="1310"/>
      <c r="J48" s="1310"/>
      <c r="K48" s="1310"/>
      <c r="L48" s="1310"/>
      <c r="M48" s="1311"/>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51"/>
      <c r="BA48" s="455"/>
      <c r="BB48" s="422"/>
      <c r="BC48" s="455"/>
      <c r="BD48" s="383"/>
      <c r="BE48" s="329"/>
      <c r="BF48" s="422"/>
      <c r="BG48" s="400"/>
      <c r="BH48" s="383"/>
      <c r="BI48" s="422"/>
      <c r="BJ48" s="1002"/>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3">
      <c r="A49" s="622"/>
      <c r="B49" s="47"/>
      <c r="C49" s="3" t="s">
        <v>158</v>
      </c>
      <c r="D49" s="926"/>
      <c r="E49" s="1309"/>
      <c r="F49" s="1310"/>
      <c r="G49" s="1310"/>
      <c r="H49" s="1310"/>
      <c r="I49" s="1310"/>
      <c r="J49" s="1310"/>
      <c r="K49" s="1310"/>
      <c r="L49" s="1310"/>
      <c r="M49" s="1311"/>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80" t="s">
        <v>8</v>
      </c>
      <c r="BA49" s="130" t="s">
        <v>8</v>
      </c>
      <c r="BB49" s="250" t="s">
        <v>8</v>
      </c>
      <c r="BC49" s="130" t="s">
        <v>8</v>
      </c>
      <c r="BD49" s="657" t="s">
        <v>8</v>
      </c>
      <c r="BE49" s="710" t="s">
        <v>8</v>
      </c>
      <c r="BF49" s="250" t="s">
        <v>8</v>
      </c>
      <c r="BG49" s="301" t="s">
        <v>8</v>
      </c>
      <c r="BH49" s="130" t="s">
        <v>8</v>
      </c>
      <c r="BI49" s="250" t="s">
        <v>8</v>
      </c>
      <c r="BJ49" s="1006"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3">
      <c r="A50" s="622"/>
      <c r="B50" s="47"/>
      <c r="C50" s="919" t="s">
        <v>640</v>
      </c>
      <c r="D50" s="926"/>
      <c r="E50" s="1309"/>
      <c r="F50" s="1310"/>
      <c r="G50" s="1310"/>
      <c r="H50" s="1310"/>
      <c r="I50" s="1310"/>
      <c r="J50" s="1310"/>
      <c r="K50" s="1310"/>
      <c r="L50" s="1310"/>
      <c r="M50" s="1311"/>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84"/>
      <c r="BA50" s="321"/>
      <c r="BB50" s="382"/>
      <c r="BC50" s="321"/>
      <c r="BD50" s="654" t="s">
        <v>8</v>
      </c>
      <c r="BE50" s="708" t="s">
        <v>684</v>
      </c>
      <c r="BF50" s="109" t="s">
        <v>684</v>
      </c>
      <c r="BG50" s="365" t="s">
        <v>8</v>
      </c>
      <c r="BH50" s="110" t="s">
        <v>8</v>
      </c>
      <c r="BI50" s="111" t="s">
        <v>8</v>
      </c>
      <c r="BJ50" s="1007"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3">
      <c r="A51" s="622"/>
      <c r="B51" s="47"/>
      <c r="C51" s="3" t="s">
        <v>12</v>
      </c>
      <c r="D51" s="926"/>
      <c r="E51" s="1309"/>
      <c r="F51" s="1310"/>
      <c r="G51" s="1310"/>
      <c r="H51" s="1310"/>
      <c r="I51" s="1310"/>
      <c r="J51" s="1310"/>
      <c r="K51" s="1310"/>
      <c r="L51" s="1310"/>
      <c r="M51" s="1311"/>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77" t="s">
        <v>17</v>
      </c>
      <c r="BA51" s="26" t="s">
        <v>17</v>
      </c>
      <c r="BB51" s="430" t="s">
        <v>17</v>
      </c>
      <c r="BC51" s="26" t="s">
        <v>17</v>
      </c>
      <c r="BD51" s="657" t="s">
        <v>17</v>
      </c>
      <c r="BE51" s="710" t="s">
        <v>17</v>
      </c>
      <c r="BF51" s="99" t="s">
        <v>265</v>
      </c>
      <c r="BG51" s="301" t="s">
        <v>17</v>
      </c>
      <c r="BH51" s="807" t="s">
        <v>17</v>
      </c>
      <c r="BI51" s="250" t="s">
        <v>17</v>
      </c>
      <c r="BJ51" s="1006"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3">
      <c r="A52" s="622"/>
      <c r="B52" s="47"/>
      <c r="C52" s="3" t="s">
        <v>13</v>
      </c>
      <c r="D52" s="926"/>
      <c r="E52" s="1309"/>
      <c r="F52" s="1310"/>
      <c r="G52" s="1310"/>
      <c r="H52" s="1310"/>
      <c r="I52" s="1310"/>
      <c r="J52" s="1310"/>
      <c r="K52" s="1310"/>
      <c r="L52" s="1310"/>
      <c r="M52" s="1311"/>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80" t="s">
        <v>8</v>
      </c>
      <c r="BA52" s="26" t="s">
        <v>8</v>
      </c>
      <c r="BB52" s="430" t="s">
        <v>8</v>
      </c>
      <c r="BC52" s="26" t="s">
        <v>8</v>
      </c>
      <c r="BD52" s="657" t="s">
        <v>8</v>
      </c>
      <c r="BE52" s="710" t="s">
        <v>8</v>
      </c>
      <c r="BF52" s="250" t="s">
        <v>8</v>
      </c>
      <c r="BG52" s="301" t="s">
        <v>8</v>
      </c>
      <c r="BH52" s="807" t="s">
        <v>8</v>
      </c>
      <c r="BI52" s="250" t="s">
        <v>8</v>
      </c>
      <c r="BJ52" s="1006"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3">
      <c r="A53" s="622"/>
      <c r="B53" s="47"/>
      <c r="C53" s="3" t="s">
        <v>14</v>
      </c>
      <c r="D53" s="926"/>
      <c r="E53" s="1309"/>
      <c r="F53" s="1310"/>
      <c r="G53" s="1310"/>
      <c r="H53" s="1310"/>
      <c r="I53" s="1310"/>
      <c r="J53" s="1310"/>
      <c r="K53" s="1310"/>
      <c r="L53" s="1310"/>
      <c r="M53" s="1311"/>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80" t="s">
        <v>101</v>
      </c>
      <c r="BA53" s="26" t="s">
        <v>101</v>
      </c>
      <c r="BB53" s="430" t="s">
        <v>101</v>
      </c>
      <c r="BC53" s="26" t="s">
        <v>101</v>
      </c>
      <c r="BD53" s="657" t="s">
        <v>101</v>
      </c>
      <c r="BE53" s="710" t="s">
        <v>101</v>
      </c>
      <c r="BF53" s="250" t="s">
        <v>101</v>
      </c>
      <c r="BG53" s="301" t="s">
        <v>101</v>
      </c>
      <c r="BH53" s="807" t="s">
        <v>101</v>
      </c>
      <c r="BI53" s="250" t="s">
        <v>101</v>
      </c>
      <c r="BJ53" s="1006"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3">
      <c r="A54" s="622"/>
      <c r="B54" s="47"/>
      <c r="C54" s="3" t="s">
        <v>246</v>
      </c>
      <c r="D54" s="926"/>
      <c r="E54" s="1309"/>
      <c r="F54" s="1310"/>
      <c r="G54" s="1310"/>
      <c r="H54" s="1310"/>
      <c r="I54" s="1310"/>
      <c r="J54" s="1310"/>
      <c r="K54" s="1310"/>
      <c r="L54" s="1310"/>
      <c r="M54" s="1311"/>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80" t="s">
        <v>17</v>
      </c>
      <c r="BA54" s="26" t="s">
        <v>17</v>
      </c>
      <c r="BB54" s="430" t="s">
        <v>17</v>
      </c>
      <c r="BC54" s="26" t="s">
        <v>17</v>
      </c>
      <c r="BD54" s="657" t="s">
        <v>17</v>
      </c>
      <c r="BE54" s="710" t="s">
        <v>17</v>
      </c>
      <c r="BF54" s="250" t="s">
        <v>17</v>
      </c>
      <c r="BG54" s="301" t="s">
        <v>17</v>
      </c>
      <c r="BH54" s="807" t="s">
        <v>17</v>
      </c>
      <c r="BI54" s="250" t="s">
        <v>17</v>
      </c>
      <c r="BJ54" s="1006"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35">
      <c r="A55" s="622"/>
      <c r="B55" s="49"/>
      <c r="C55" s="66" t="s">
        <v>390</v>
      </c>
      <c r="D55" s="926"/>
      <c r="E55" s="1309"/>
      <c r="F55" s="1310"/>
      <c r="G55" s="1310"/>
      <c r="H55" s="1310"/>
      <c r="I55" s="1310"/>
      <c r="J55" s="1310"/>
      <c r="K55" s="1310"/>
      <c r="L55" s="1310"/>
      <c r="M55" s="1311"/>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49" t="s">
        <v>8</v>
      </c>
      <c r="AX55" s="330" t="s">
        <v>8</v>
      </c>
      <c r="AY55" s="452" t="s">
        <v>8</v>
      </c>
      <c r="AZ55" s="1082" t="s">
        <v>8</v>
      </c>
      <c r="BA55" s="330" t="s">
        <v>8</v>
      </c>
      <c r="BB55" s="443" t="s">
        <v>8</v>
      </c>
      <c r="BC55" s="330" t="s">
        <v>8</v>
      </c>
      <c r="BD55" s="660" t="s">
        <v>8</v>
      </c>
      <c r="BE55" s="713" t="s">
        <v>8</v>
      </c>
      <c r="BF55" s="452" t="s">
        <v>8</v>
      </c>
      <c r="BG55" s="380" t="s">
        <v>8</v>
      </c>
      <c r="BH55" s="1049" t="s">
        <v>8</v>
      </c>
      <c r="BI55" s="452" t="s">
        <v>8</v>
      </c>
      <c r="BJ55" s="1008" t="s">
        <v>8</v>
      </c>
      <c r="BK55" s="660" t="s">
        <v>8</v>
      </c>
      <c r="BL55" s="330" t="s">
        <v>8</v>
      </c>
      <c r="BM55" s="452" t="s">
        <v>8</v>
      </c>
      <c r="BN55" s="380" t="s">
        <v>8</v>
      </c>
      <c r="BO55" s="660" t="s">
        <v>8</v>
      </c>
      <c r="BP55" s="452" t="s">
        <v>8</v>
      </c>
      <c r="BQ55" s="660" t="s">
        <v>8</v>
      </c>
      <c r="BR55" s="452" t="s">
        <v>8</v>
      </c>
      <c r="BS55" s="1034" t="s">
        <v>8</v>
      </c>
      <c r="BT55" s="796" t="s">
        <v>8</v>
      </c>
      <c r="BU55" s="660" t="s">
        <v>8</v>
      </c>
      <c r="BV55" s="713" t="s">
        <v>8</v>
      </c>
      <c r="BW55" s="452" t="s">
        <v>8</v>
      </c>
      <c r="BX55" s="489"/>
    </row>
    <row r="56" spans="1:76" ht="13.5" customHeight="1" thickTop="1" x14ac:dyDescent="0.3">
      <c r="A56" s="623"/>
      <c r="B56" s="317" t="s">
        <v>510</v>
      </c>
      <c r="C56" s="42" t="s">
        <v>507</v>
      </c>
      <c r="D56" s="926"/>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35"/>
      <c r="AX56" s="325"/>
      <c r="AY56" s="454"/>
      <c r="AZ56" s="1083"/>
      <c r="BA56" s="748"/>
      <c r="BB56" s="435"/>
      <c r="BC56" s="1226"/>
      <c r="BD56" s="885"/>
      <c r="BE56" s="714"/>
      <c r="BF56" s="784"/>
      <c r="BG56" s="374"/>
      <c r="BH56" s="748"/>
      <c r="BI56" s="454"/>
      <c r="BJ56" s="1018"/>
      <c r="BK56" s="885"/>
      <c r="BL56" s="714"/>
      <c r="BM56" s="784"/>
      <c r="BN56" s="374"/>
      <c r="BO56" s="885"/>
      <c r="BP56" s="454"/>
      <c r="BQ56" s="885"/>
      <c r="BR56" s="784"/>
      <c r="BS56" s="1035"/>
      <c r="BT56" s="454"/>
      <c r="BU56" s="885"/>
      <c r="BV56" s="714"/>
      <c r="BW56" s="784"/>
      <c r="BX56" s="976"/>
    </row>
    <row r="57" spans="1:76" ht="13.5" customHeight="1" x14ac:dyDescent="0.3">
      <c r="A57" s="623"/>
      <c r="B57" s="265"/>
      <c r="C57" s="3" t="s">
        <v>508</v>
      </c>
      <c r="D57" s="926"/>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84"/>
      <c r="BA57" s="748"/>
      <c r="BB57" s="436"/>
      <c r="BC57" s="1227"/>
      <c r="BD57" s="455"/>
      <c r="BE57" s="321"/>
      <c r="BF57" s="456"/>
      <c r="BG57" s="375"/>
      <c r="BH57" s="748"/>
      <c r="BI57" s="456"/>
      <c r="BJ57" s="1018"/>
      <c r="BK57" s="455"/>
      <c r="BL57" s="321"/>
      <c r="BM57" s="456"/>
      <c r="BN57" s="375"/>
      <c r="BO57" s="455"/>
      <c r="BP57" s="456"/>
      <c r="BQ57" s="455"/>
      <c r="BR57" s="456"/>
      <c r="BS57" s="370"/>
      <c r="BT57" s="456"/>
      <c r="BU57" s="455"/>
      <c r="BV57" s="321"/>
      <c r="BW57" s="456"/>
      <c r="BX57" s="976"/>
    </row>
    <row r="58" spans="1:76" ht="13.5" customHeight="1" x14ac:dyDescent="0.3">
      <c r="A58" s="623"/>
      <c r="B58" s="318"/>
      <c r="C58" s="3" t="s">
        <v>512</v>
      </c>
      <c r="D58" s="926"/>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84"/>
      <c r="BA58" s="748"/>
      <c r="BB58" s="436"/>
      <c r="BC58" s="1227"/>
      <c r="BD58" s="455"/>
      <c r="BE58" s="321"/>
      <c r="BF58" s="456"/>
      <c r="BG58" s="375"/>
      <c r="BH58" s="748"/>
      <c r="BI58" s="456"/>
      <c r="BJ58" s="1018"/>
      <c r="BK58" s="455"/>
      <c r="BL58" s="321"/>
      <c r="BM58" s="456"/>
      <c r="BN58" s="375"/>
      <c r="BO58" s="455"/>
      <c r="BP58" s="456"/>
      <c r="BQ58" s="455"/>
      <c r="BR58" s="456"/>
      <c r="BS58" s="370"/>
      <c r="BT58" s="456"/>
      <c r="BU58" s="455"/>
      <c r="BV58" s="321"/>
      <c r="BW58" s="456"/>
      <c r="BX58" s="976"/>
    </row>
    <row r="59" spans="1:76" ht="13.5" customHeight="1" x14ac:dyDescent="0.3">
      <c r="A59" s="623"/>
      <c r="B59" s="318"/>
      <c r="C59" s="3" t="s">
        <v>513</v>
      </c>
      <c r="D59" s="926"/>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84"/>
      <c r="BA59" s="748"/>
      <c r="BB59" s="436"/>
      <c r="BC59" s="1227"/>
      <c r="BD59" s="455"/>
      <c r="BE59" s="321"/>
      <c r="BF59" s="456"/>
      <c r="BG59" s="375"/>
      <c r="BH59" s="748"/>
      <c r="BI59" s="456"/>
      <c r="BJ59" s="1018"/>
      <c r="BK59" s="455"/>
      <c r="BL59" s="321"/>
      <c r="BM59" s="456"/>
      <c r="BN59" s="375"/>
      <c r="BO59" s="455"/>
      <c r="BP59" s="456"/>
      <c r="BQ59" s="455"/>
      <c r="BR59" s="456"/>
      <c r="BS59" s="370"/>
      <c r="BT59" s="456"/>
      <c r="BU59" s="455"/>
      <c r="BV59" s="321"/>
      <c r="BW59" s="456"/>
      <c r="BX59" s="976"/>
    </row>
    <row r="60" spans="1:76" ht="13.5" customHeight="1" x14ac:dyDescent="0.3">
      <c r="A60" s="623"/>
      <c r="B60" s="265"/>
      <c r="C60" s="3" t="s">
        <v>509</v>
      </c>
      <c r="D60" s="926"/>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84"/>
      <c r="BA60" s="748"/>
      <c r="BB60" s="436"/>
      <c r="BC60" s="1227"/>
      <c r="BD60" s="455"/>
      <c r="BE60" s="321"/>
      <c r="BF60" s="456"/>
      <c r="BG60" s="375"/>
      <c r="BH60" s="748"/>
      <c r="BI60" s="456"/>
      <c r="BJ60" s="1018"/>
      <c r="BK60" s="455"/>
      <c r="BL60" s="321"/>
      <c r="BM60" s="456"/>
      <c r="BN60" s="375"/>
      <c r="BO60" s="455"/>
      <c r="BP60" s="456"/>
      <c r="BQ60" s="455"/>
      <c r="BR60" s="456"/>
      <c r="BS60" s="370"/>
      <c r="BT60" s="456"/>
      <c r="BU60" s="455"/>
      <c r="BV60" s="321"/>
      <c r="BW60" s="456"/>
      <c r="BX60" s="976"/>
    </row>
    <row r="61" spans="1:76" ht="13.5" customHeight="1" x14ac:dyDescent="0.3">
      <c r="A61" s="623"/>
      <c r="B61" s="322"/>
      <c r="C61" s="384" t="s">
        <v>511</v>
      </c>
      <c r="D61" s="926"/>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84"/>
      <c r="BA61" s="748"/>
      <c r="BB61" s="436"/>
      <c r="BC61" s="1227"/>
      <c r="BD61" s="455"/>
      <c r="BE61" s="321"/>
      <c r="BF61" s="456"/>
      <c r="BG61" s="375"/>
      <c r="BH61" s="748"/>
      <c r="BI61" s="456"/>
      <c r="BJ61" s="1018"/>
      <c r="BK61" s="455"/>
      <c r="BL61" s="321"/>
      <c r="BM61" s="456"/>
      <c r="BN61" s="375"/>
      <c r="BO61" s="455"/>
      <c r="BP61" s="456"/>
      <c r="BQ61" s="455"/>
      <c r="BR61" s="456"/>
      <c r="BS61" s="370"/>
      <c r="BT61" s="456"/>
      <c r="BU61" s="455"/>
      <c r="BV61" s="321"/>
      <c r="BW61" s="456"/>
      <c r="BX61" s="976"/>
    </row>
    <row r="62" spans="1:76" ht="13.5" customHeight="1" thickBot="1" x14ac:dyDescent="0.35">
      <c r="A62" s="623"/>
      <c r="B62" s="319"/>
      <c r="C62" s="62" t="s">
        <v>253</v>
      </c>
      <c r="D62" s="926"/>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85"/>
      <c r="BA62" s="748"/>
      <c r="BB62" s="437"/>
      <c r="BC62" s="1228"/>
      <c r="BD62" s="132"/>
      <c r="BE62" s="77"/>
      <c r="BF62" s="133"/>
      <c r="BG62" s="376"/>
      <c r="BH62" s="748"/>
      <c r="BI62" s="133"/>
      <c r="BJ62" s="1018"/>
      <c r="BK62" s="132"/>
      <c r="BL62" s="77"/>
      <c r="BM62" s="133"/>
      <c r="BN62" s="376"/>
      <c r="BO62" s="132"/>
      <c r="BP62" s="133"/>
      <c r="BQ62" s="132"/>
      <c r="BR62" s="133"/>
      <c r="BS62" s="371"/>
      <c r="BT62" s="133"/>
      <c r="BU62" s="132"/>
      <c r="BV62" s="77"/>
      <c r="BW62" s="133"/>
      <c r="BX62" s="976"/>
    </row>
    <row r="63" spans="1:76" ht="13.5" customHeight="1" thickTop="1" x14ac:dyDescent="0.3">
      <c r="A63" s="622"/>
      <c r="B63" s="41" t="s">
        <v>21</v>
      </c>
      <c r="C63" s="42" t="s">
        <v>163</v>
      </c>
      <c r="D63" s="926"/>
      <c r="E63" s="1306" t="s">
        <v>457</v>
      </c>
      <c r="F63" s="1307"/>
      <c r="G63" s="1307"/>
      <c r="H63" s="1307"/>
      <c r="I63" s="1307"/>
      <c r="J63" s="1307"/>
      <c r="K63" s="1307"/>
      <c r="L63" s="1307"/>
      <c r="M63" s="1308"/>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36" t="s">
        <v>24</v>
      </c>
      <c r="AX63" s="44" t="s">
        <v>24</v>
      </c>
      <c r="AY63" s="145" t="s">
        <v>24</v>
      </c>
      <c r="AZ63" s="1076" t="s">
        <v>24</v>
      </c>
      <c r="BA63" s="326" t="s">
        <v>24</v>
      </c>
      <c r="BB63" s="175" t="s">
        <v>24</v>
      </c>
      <c r="BC63" s="326" t="s">
        <v>24</v>
      </c>
      <c r="BD63" s="662" t="s">
        <v>24</v>
      </c>
      <c r="BE63" s="707" t="s">
        <v>24</v>
      </c>
      <c r="BF63" s="107" t="s">
        <v>24</v>
      </c>
      <c r="BG63" s="363" t="s">
        <v>24</v>
      </c>
      <c r="BH63" s="79" t="s">
        <v>24</v>
      </c>
      <c r="BI63" s="145" t="s">
        <v>24</v>
      </c>
      <c r="BJ63" s="972" t="s">
        <v>24</v>
      </c>
      <c r="BK63" s="662" t="s">
        <v>24</v>
      </c>
      <c r="BL63" s="44" t="s">
        <v>24</v>
      </c>
      <c r="BM63" s="145" t="s">
        <v>24</v>
      </c>
      <c r="BN63" s="363" t="s">
        <v>24</v>
      </c>
      <c r="BO63" s="662" t="s">
        <v>24</v>
      </c>
      <c r="BP63" s="145" t="s">
        <v>24</v>
      </c>
      <c r="BQ63" s="653" t="s">
        <v>24</v>
      </c>
      <c r="BR63" s="107" t="s">
        <v>24</v>
      </c>
      <c r="BS63" s="1036" t="s">
        <v>24</v>
      </c>
      <c r="BT63" s="145" t="s">
        <v>24</v>
      </c>
      <c r="BU63" s="662" t="s">
        <v>24</v>
      </c>
      <c r="BV63" s="707" t="s">
        <v>24</v>
      </c>
      <c r="BW63" s="107" t="s">
        <v>24</v>
      </c>
      <c r="BX63" s="977"/>
    </row>
    <row r="64" spans="1:76" ht="13.5" customHeight="1" x14ac:dyDescent="0.3">
      <c r="A64" s="622"/>
      <c r="B64" s="424"/>
      <c r="C64" s="414" t="s">
        <v>660</v>
      </c>
      <c r="D64" s="926"/>
      <c r="E64" s="1309"/>
      <c r="F64" s="1310"/>
      <c r="G64" s="1310"/>
      <c r="H64" s="1310"/>
      <c r="I64" s="1310"/>
      <c r="J64" s="1310"/>
      <c r="K64" s="1310"/>
      <c r="L64" s="1310"/>
      <c r="M64" s="1311"/>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37" t="s">
        <v>17</v>
      </c>
      <c r="AX64" s="15" t="s">
        <v>17</v>
      </c>
      <c r="AY64" s="219" t="s">
        <v>17</v>
      </c>
      <c r="AZ64" s="1086" t="s">
        <v>17</v>
      </c>
      <c r="BA64" s="248" t="s">
        <v>17</v>
      </c>
      <c r="BB64" s="295" t="s">
        <v>17</v>
      </c>
      <c r="BC64" s="248" t="s">
        <v>17</v>
      </c>
      <c r="BD64" s="663" t="s">
        <v>595</v>
      </c>
      <c r="BE64" s="715" t="s">
        <v>17</v>
      </c>
      <c r="BF64" s="305" t="s">
        <v>17</v>
      </c>
      <c r="BG64" s="381" t="s">
        <v>17</v>
      </c>
      <c r="BH64" s="306" t="s">
        <v>17</v>
      </c>
      <c r="BI64" s="219" t="s">
        <v>17</v>
      </c>
      <c r="BJ64" s="1009" t="s">
        <v>17</v>
      </c>
      <c r="BK64" s="663" t="s">
        <v>595</v>
      </c>
      <c r="BL64" s="15" t="s">
        <v>17</v>
      </c>
      <c r="BM64" s="219" t="s">
        <v>17</v>
      </c>
      <c r="BN64" s="381" t="s">
        <v>17</v>
      </c>
      <c r="BO64" s="663" t="s">
        <v>595</v>
      </c>
      <c r="BP64" s="219" t="s">
        <v>17</v>
      </c>
      <c r="BQ64" s="669" t="s">
        <v>17</v>
      </c>
      <c r="BR64" s="305" t="s">
        <v>17</v>
      </c>
      <c r="BS64" s="1037" t="s">
        <v>595</v>
      </c>
      <c r="BT64" s="219" t="s">
        <v>17</v>
      </c>
      <c r="BU64" s="663" t="s">
        <v>595</v>
      </c>
      <c r="BV64" s="715" t="s">
        <v>17</v>
      </c>
      <c r="BW64" s="305" t="s">
        <v>17</v>
      </c>
      <c r="BX64" s="978" t="s">
        <v>686</v>
      </c>
    </row>
    <row r="65" spans="1:77" ht="13.5" customHeight="1" x14ac:dyDescent="0.3">
      <c r="A65" s="622"/>
      <c r="B65" s="49"/>
      <c r="C65" s="66" t="s">
        <v>434</v>
      </c>
      <c r="D65" s="926"/>
      <c r="E65" s="1309"/>
      <c r="F65" s="1310"/>
      <c r="G65" s="1310"/>
      <c r="H65" s="1310"/>
      <c r="I65" s="1310"/>
      <c r="J65" s="1310"/>
      <c r="K65" s="1310"/>
      <c r="L65" s="1310"/>
      <c r="M65" s="1311"/>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80" t="s">
        <v>8</v>
      </c>
      <c r="BA65" s="26" t="s">
        <v>8</v>
      </c>
      <c r="BB65" s="430" t="s">
        <v>8</v>
      </c>
      <c r="BC65" s="26" t="s">
        <v>8</v>
      </c>
      <c r="BD65" s="657" t="s">
        <v>8</v>
      </c>
      <c r="BE65" s="710" t="s">
        <v>8</v>
      </c>
      <c r="BF65" s="131" t="s">
        <v>8</v>
      </c>
      <c r="BG65" s="301" t="s">
        <v>8</v>
      </c>
      <c r="BH65" s="807" t="s">
        <v>8</v>
      </c>
      <c r="BI65" s="250" t="s">
        <v>8</v>
      </c>
      <c r="BJ65" s="1006"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79"/>
    </row>
    <row r="66" spans="1:77" ht="13.5" customHeight="1" x14ac:dyDescent="0.3">
      <c r="A66" s="622"/>
      <c r="B66" s="49"/>
      <c r="C66" s="917" t="s">
        <v>1277</v>
      </c>
      <c r="D66" s="926"/>
      <c r="E66" s="1309"/>
      <c r="F66" s="1310"/>
      <c r="G66" s="1310"/>
      <c r="H66" s="1310"/>
      <c r="I66" s="1310"/>
      <c r="J66" s="1310"/>
      <c r="K66" s="1310"/>
      <c r="L66" s="1310"/>
      <c r="M66" s="1311"/>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84"/>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3">
      <c r="A67" s="882"/>
      <c r="B67" s="49"/>
      <c r="C67" s="384" t="s">
        <v>1498</v>
      </c>
      <c r="D67" s="926"/>
      <c r="E67" s="1309"/>
      <c r="F67" s="1310"/>
      <c r="G67" s="1310"/>
      <c r="H67" s="1310"/>
      <c r="I67" s="1310"/>
      <c r="J67" s="1310"/>
      <c r="K67" s="1310"/>
      <c r="L67" s="1310"/>
      <c r="M67" s="1311"/>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73"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80" t="s">
        <v>17</v>
      </c>
      <c r="BA67" s="26" t="s">
        <v>17</v>
      </c>
      <c r="BB67" s="430" t="s">
        <v>17</v>
      </c>
      <c r="BC67" s="26" t="s">
        <v>17</v>
      </c>
      <c r="BD67" s="108" t="s">
        <v>8</v>
      </c>
      <c r="BE67" s="710" t="s">
        <v>8</v>
      </c>
      <c r="BF67" s="250" t="s">
        <v>8</v>
      </c>
      <c r="BG67" s="301" t="s">
        <v>17</v>
      </c>
      <c r="BH67" s="807" t="s">
        <v>17</v>
      </c>
      <c r="BI67" s="250" t="s">
        <v>17</v>
      </c>
      <c r="BJ67" s="1006" t="s">
        <v>17</v>
      </c>
      <c r="BK67" s="108" t="s">
        <v>8</v>
      </c>
      <c r="BL67" s="16" t="s">
        <v>8</v>
      </c>
      <c r="BM67" s="250" t="s">
        <v>8</v>
      </c>
      <c r="BN67" s="301" t="s">
        <v>17</v>
      </c>
      <c r="BO67" s="130" t="s">
        <v>8</v>
      </c>
      <c r="BP67" s="250" t="s">
        <v>8</v>
      </c>
      <c r="BQ67" s="657" t="s">
        <v>8</v>
      </c>
      <c r="BR67" s="131" t="s">
        <v>8</v>
      </c>
      <c r="BS67" s="1211" t="s">
        <v>17</v>
      </c>
      <c r="BT67" s="830" t="s">
        <v>17</v>
      </c>
      <c r="BU67" s="108" t="s">
        <v>8</v>
      </c>
      <c r="BV67" s="710" t="s">
        <v>8</v>
      </c>
      <c r="BW67" s="250" t="s">
        <v>8</v>
      </c>
      <c r="BX67" s="1080" t="s">
        <v>8</v>
      </c>
    </row>
    <row r="68" spans="1:77" ht="13.5" customHeight="1" thickBot="1" x14ac:dyDescent="0.35">
      <c r="A68" s="882"/>
      <c r="B68" s="883"/>
      <c r="C68" s="918" t="s">
        <v>1527</v>
      </c>
      <c r="D68" s="926"/>
      <c r="E68" s="1312"/>
      <c r="F68" s="1313"/>
      <c r="G68" s="1313"/>
      <c r="H68" s="1313"/>
      <c r="I68" s="1313"/>
      <c r="J68" s="1313"/>
      <c r="K68" s="1313"/>
      <c r="L68" s="1313"/>
      <c r="M68" s="1314"/>
      <c r="N68" s="121"/>
      <c r="O68" s="54"/>
      <c r="P68" s="122"/>
      <c r="Q68" s="121"/>
      <c r="R68" s="54"/>
      <c r="S68" s="54"/>
      <c r="T68" s="122"/>
      <c r="U68" s="119"/>
      <c r="V68" s="63"/>
      <c r="W68" s="63"/>
      <c r="X68" s="186"/>
      <c r="Y68" s="119"/>
      <c r="Z68" s="63"/>
      <c r="AA68" s="63"/>
      <c r="AB68" s="63"/>
      <c r="AC68" s="122"/>
      <c r="AD68" s="1154"/>
      <c r="AE68" s="914"/>
      <c r="AF68" s="914"/>
      <c r="AG68" s="914"/>
      <c r="AH68" s="1188"/>
      <c r="AI68" s="914"/>
      <c r="AJ68" s="1154"/>
      <c r="AK68" s="1189"/>
      <c r="AL68" s="1138"/>
      <c r="AM68" s="1188"/>
      <c r="AN68" s="1188"/>
      <c r="AO68" s="1212"/>
      <c r="AP68" s="914"/>
      <c r="AQ68" s="1188"/>
      <c r="AR68" s="1147"/>
      <c r="AS68" s="913"/>
      <c r="AT68" s="1139"/>
      <c r="AU68" s="1138"/>
      <c r="AV68" s="1139"/>
      <c r="AW68" s="1088"/>
      <c r="AX68" s="913"/>
      <c r="AY68" s="1139"/>
      <c r="AZ68" s="1088"/>
      <c r="BA68" s="913"/>
      <c r="BB68" s="1029"/>
      <c r="BC68" s="913"/>
      <c r="BD68" s="1138"/>
      <c r="BE68" s="913"/>
      <c r="BF68" s="1139"/>
      <c r="BG68" s="1136"/>
      <c r="BH68" s="371"/>
      <c r="BI68" s="77"/>
      <c r="BJ68" s="437"/>
      <c r="BK68" s="1132" t="s">
        <v>8</v>
      </c>
      <c r="BL68" s="1213" t="s">
        <v>8</v>
      </c>
      <c r="BM68" s="1102" t="s">
        <v>8</v>
      </c>
      <c r="BN68" s="1123" t="s">
        <v>17</v>
      </c>
      <c r="BO68" s="1116" t="s">
        <v>8</v>
      </c>
      <c r="BP68" s="796" t="s">
        <v>412</v>
      </c>
      <c r="BQ68" s="734" t="s">
        <v>8</v>
      </c>
      <c r="BR68" s="1102" t="s">
        <v>8</v>
      </c>
      <c r="BS68" s="371"/>
      <c r="BT68" s="133"/>
      <c r="BU68" s="1138"/>
      <c r="BV68" s="913"/>
      <c r="BW68" s="1139"/>
      <c r="BX68" s="981" t="s">
        <v>8</v>
      </c>
    </row>
    <row r="69" spans="1:77" ht="13.5" customHeight="1" thickTop="1" x14ac:dyDescent="0.3">
      <c r="A69" s="622"/>
      <c r="B69" s="41" t="s">
        <v>93</v>
      </c>
      <c r="C69" s="42" t="s">
        <v>116</v>
      </c>
      <c r="D69" s="926"/>
      <c r="E69" s="1306" t="s">
        <v>457</v>
      </c>
      <c r="F69" s="1307"/>
      <c r="G69" s="1307"/>
      <c r="H69" s="1307"/>
      <c r="I69" s="1307"/>
      <c r="J69" s="1307"/>
      <c r="K69" s="1307"/>
      <c r="L69" s="1307"/>
      <c r="M69" s="1308"/>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02" t="s">
        <v>502</v>
      </c>
      <c r="AC69" s="156" t="s">
        <v>29</v>
      </c>
      <c r="AD69" s="306" t="s">
        <v>28</v>
      </c>
      <c r="AE69" s="1202" t="s">
        <v>29</v>
      </c>
      <c r="AF69" s="14" t="s">
        <v>142</v>
      </c>
      <c r="AG69" s="14" t="s">
        <v>29</v>
      </c>
      <c r="AH69" s="307" t="s">
        <v>315</v>
      </c>
      <c r="AI69" s="1203" t="s">
        <v>29</v>
      </c>
      <c r="AJ69" s="1204" t="s">
        <v>28</v>
      </c>
      <c r="AK69" s="156" t="s">
        <v>28</v>
      </c>
      <c r="AL69" s="697" t="s">
        <v>374</v>
      </c>
      <c r="AM69" s="307" t="s">
        <v>413</v>
      </c>
      <c r="AN69" s="295" t="s">
        <v>472</v>
      </c>
      <c r="AO69" s="1205" t="s">
        <v>1487</v>
      </c>
      <c r="AP69" s="1203" t="s">
        <v>374</v>
      </c>
      <c r="AQ69" s="307" t="s">
        <v>479</v>
      </c>
      <c r="AR69" s="457" t="str">
        <f>CONCATENATE(128*13," KB")</f>
        <v>1664 KB</v>
      </c>
      <c r="AS69" s="1172" t="str">
        <f>CONCATENATE(128*4," KB")</f>
        <v>512 KB</v>
      </c>
      <c r="AT69" s="219" t="s">
        <v>547</v>
      </c>
      <c r="AU69" s="457" t="str">
        <f>CONCATENATE(128*15," KB")</f>
        <v>1920 KB</v>
      </c>
      <c r="AV69" s="249" t="str">
        <f>CONCATENATE(128*5," KB")</f>
        <v>640 KB</v>
      </c>
      <c r="AW69" s="1206" t="str">
        <f>CONCATENATE(128*7," KB")</f>
        <v>896 KB</v>
      </c>
      <c r="AX69" s="248" t="str">
        <f>CONCATENATE(128*5," KB")</f>
        <v>640 KB</v>
      </c>
      <c r="AY69" s="1173">
        <v>896</v>
      </c>
      <c r="AZ69" s="1086" t="s">
        <v>547</v>
      </c>
      <c r="BA69" s="248" t="s">
        <v>479</v>
      </c>
      <c r="BB69" s="295" t="s">
        <v>547</v>
      </c>
      <c r="BC69" s="248" t="s">
        <v>479</v>
      </c>
      <c r="BD69" s="663" t="str">
        <f>CONCATENATE(128*13," KB")</f>
        <v>1664 KB</v>
      </c>
      <c r="BE69" s="1207" t="str">
        <f>CONCATENATE(128*7," KB")</f>
        <v>896 KB</v>
      </c>
      <c r="BF69" s="1208" t="s">
        <v>547</v>
      </c>
      <c r="BG69" s="381" t="s">
        <v>547</v>
      </c>
      <c r="BH69" s="1037" t="s">
        <v>479</v>
      </c>
      <c r="BI69" s="219" t="s">
        <v>1400</v>
      </c>
      <c r="BJ69" s="1209" t="s">
        <v>1400</v>
      </c>
      <c r="BK69" s="663" t="str">
        <f>CONCATENATE(128*13," KB")</f>
        <v>1664 KB</v>
      </c>
      <c r="BL69" s="1207" t="str">
        <f>CONCATENATE(128*7," KB")</f>
        <v>896 KB</v>
      </c>
      <c r="BM69" s="219" t="s">
        <v>547</v>
      </c>
      <c r="BN69" s="381" t="s">
        <v>1491</v>
      </c>
      <c r="BO69" s="1214" t="s">
        <v>8</v>
      </c>
      <c r="BP69" s="460" t="str">
        <f>CONCATENATE(128*5," KB")</f>
        <v>640 KB</v>
      </c>
      <c r="BQ69" s="1210" t="str">
        <f>CONCATENATE(128*7," KB")</f>
        <v>896 KB</v>
      </c>
      <c r="BR69" s="219" t="s">
        <v>547</v>
      </c>
      <c r="BS69" s="1206" t="str">
        <f>CONCATENATE(128*13," KB")</f>
        <v>1664 KB</v>
      </c>
      <c r="BT69" s="1173" t="str">
        <f>CONCATENATE(128*4," KB")</f>
        <v>512 KB</v>
      </c>
      <c r="BU69" s="663" t="str">
        <f>CONCATENATE(128*7," KB")</f>
        <v>896 KB</v>
      </c>
      <c r="BV69" s="1207" t="str">
        <f>CONCATENATE(128*7," KB")</f>
        <v>896 KB</v>
      </c>
      <c r="BW69" s="1208" t="s">
        <v>547</v>
      </c>
      <c r="BX69" s="977" t="s">
        <v>564</v>
      </c>
    </row>
    <row r="70" spans="1:77" ht="13.5" customHeight="1" x14ac:dyDescent="0.3">
      <c r="A70" s="622"/>
      <c r="B70" s="47"/>
      <c r="C70" s="3" t="s">
        <v>32</v>
      </c>
      <c r="D70" s="926"/>
      <c r="E70" s="1309"/>
      <c r="F70" s="1310"/>
      <c r="G70" s="1310"/>
      <c r="H70" s="1310"/>
      <c r="I70" s="1310"/>
      <c r="J70" s="1310"/>
      <c r="K70" s="1310"/>
      <c r="L70" s="1310"/>
      <c r="M70" s="1311"/>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80" t="s">
        <v>485</v>
      </c>
      <c r="BA70" s="26" t="s">
        <v>286</v>
      </c>
      <c r="BB70" s="430" t="s">
        <v>485</v>
      </c>
      <c r="BC70" s="26" t="s">
        <v>286</v>
      </c>
      <c r="BD70" s="657" t="s">
        <v>286</v>
      </c>
      <c r="BE70" s="710" t="s">
        <v>485</v>
      </c>
      <c r="BF70" s="250" t="s">
        <v>485</v>
      </c>
      <c r="BG70" s="301" t="s">
        <v>485</v>
      </c>
      <c r="BH70" s="807" t="s">
        <v>286</v>
      </c>
      <c r="BI70" s="250" t="s">
        <v>485</v>
      </c>
      <c r="BJ70" s="1013" t="s">
        <v>485</v>
      </c>
      <c r="BK70" s="657" t="s">
        <v>286</v>
      </c>
      <c r="BL70" s="708" t="s">
        <v>485</v>
      </c>
      <c r="BM70" s="250" t="s">
        <v>485</v>
      </c>
      <c r="BN70" s="301" t="s">
        <v>485</v>
      </c>
      <c r="BO70" s="482" t="str">
        <f>CONCATENATE(128*15," KB")</f>
        <v>1920 KB</v>
      </c>
      <c r="BP70" s="250" t="s">
        <v>485</v>
      </c>
      <c r="BQ70" s="657" t="s">
        <v>485</v>
      </c>
      <c r="BR70" s="250" t="s">
        <v>485</v>
      </c>
      <c r="BS70" s="1039" t="s">
        <v>286</v>
      </c>
      <c r="BT70" s="131" t="s">
        <v>485</v>
      </c>
      <c r="BU70" s="657" t="s">
        <v>286</v>
      </c>
      <c r="BV70" s="710" t="s">
        <v>485</v>
      </c>
      <c r="BW70" s="250" t="s">
        <v>485</v>
      </c>
      <c r="BX70" s="486" t="s">
        <v>565</v>
      </c>
      <c r="BY70" s="221"/>
    </row>
    <row r="71" spans="1:77" ht="13.5" customHeight="1" x14ac:dyDescent="0.3">
      <c r="A71" s="622"/>
      <c r="B71" s="265"/>
      <c r="C71" s="3" t="s">
        <v>159</v>
      </c>
      <c r="D71" s="926"/>
      <c r="E71" s="1309"/>
      <c r="F71" s="1310"/>
      <c r="G71" s="1310"/>
      <c r="H71" s="1310"/>
      <c r="I71" s="1310"/>
      <c r="J71" s="1310"/>
      <c r="K71" s="1310"/>
      <c r="L71" s="1310"/>
      <c r="M71" s="1311"/>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80"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39" t="s">
        <v>8</v>
      </c>
      <c r="BT71" s="131" t="s">
        <v>8</v>
      </c>
      <c r="BU71" s="657" t="s">
        <v>8</v>
      </c>
      <c r="BV71" s="710" t="s">
        <v>8</v>
      </c>
      <c r="BW71" s="250" t="s">
        <v>8</v>
      </c>
      <c r="BX71" s="488"/>
    </row>
    <row r="72" spans="1:77" ht="13.5" customHeight="1" x14ac:dyDescent="0.3">
      <c r="A72" s="622"/>
      <c r="B72" s="265"/>
      <c r="C72" s="3" t="s">
        <v>574</v>
      </c>
      <c r="D72" s="926"/>
      <c r="E72" s="1309"/>
      <c r="F72" s="1310"/>
      <c r="G72" s="1310"/>
      <c r="H72" s="1310"/>
      <c r="I72" s="1310"/>
      <c r="J72" s="1310"/>
      <c r="K72" s="1310"/>
      <c r="L72" s="1310"/>
      <c r="M72" s="1311"/>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80"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01" t="s">
        <v>8</v>
      </c>
      <c r="BR72" s="459" t="s">
        <v>8</v>
      </c>
      <c r="BS72" s="1039" t="s">
        <v>8</v>
      </c>
      <c r="BT72" s="991" t="s">
        <v>8</v>
      </c>
      <c r="BU72" s="657" t="s">
        <v>8</v>
      </c>
      <c r="BV72" s="716" t="s">
        <v>8</v>
      </c>
      <c r="BW72" s="459" t="s">
        <v>8</v>
      </c>
      <c r="BX72" s="978"/>
    </row>
    <row r="73" spans="1:77" ht="13.5" customHeight="1" thickBot="1" x14ac:dyDescent="0.35">
      <c r="A73" s="622"/>
      <c r="B73" s="261"/>
      <c r="C73" s="262" t="s">
        <v>411</v>
      </c>
      <c r="D73" s="926"/>
      <c r="E73" s="1312"/>
      <c r="F73" s="1313"/>
      <c r="G73" s="1313"/>
      <c r="H73" s="1313"/>
      <c r="I73" s="1313"/>
      <c r="J73" s="1313"/>
      <c r="K73" s="1313"/>
      <c r="L73" s="1313"/>
      <c r="M73" s="1314"/>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992" t="s">
        <v>8</v>
      </c>
      <c r="AU73" s="461" t="s">
        <v>8</v>
      </c>
      <c r="AV73" s="462" t="s">
        <v>8</v>
      </c>
      <c r="AW73" s="1150" t="s">
        <v>8</v>
      </c>
      <c r="AX73" s="298" t="s">
        <v>8</v>
      </c>
      <c r="AY73" s="462" t="s">
        <v>8</v>
      </c>
      <c r="AZ73" s="1089" t="s">
        <v>8</v>
      </c>
      <c r="BA73" s="750" t="s">
        <v>17</v>
      </c>
      <c r="BB73" s="760" t="s">
        <v>8</v>
      </c>
      <c r="BC73" s="750" t="s">
        <v>17</v>
      </c>
      <c r="BD73" s="664" t="s">
        <v>8</v>
      </c>
      <c r="BE73" s="717" t="s">
        <v>8</v>
      </c>
      <c r="BF73" s="462" t="s">
        <v>8</v>
      </c>
      <c r="BG73" s="767" t="s">
        <v>8</v>
      </c>
      <c r="BH73" s="750" t="s">
        <v>17</v>
      </c>
      <c r="BI73" s="462" t="s">
        <v>8</v>
      </c>
      <c r="BJ73" s="1019" t="s">
        <v>17</v>
      </c>
      <c r="BK73" s="664" t="s">
        <v>8</v>
      </c>
      <c r="BL73" s="16" t="s">
        <v>412</v>
      </c>
      <c r="BM73" s="462" t="s">
        <v>8</v>
      </c>
      <c r="BN73" s="767" t="s">
        <v>8</v>
      </c>
      <c r="BO73" s="660" t="s">
        <v>8</v>
      </c>
      <c r="BP73" s="1215" t="s">
        <v>8</v>
      </c>
      <c r="BQ73" s="664" t="s">
        <v>8</v>
      </c>
      <c r="BR73" s="462" t="s">
        <v>8</v>
      </c>
      <c r="BS73" s="1040" t="s">
        <v>8</v>
      </c>
      <c r="BT73" s="992" t="s">
        <v>8</v>
      </c>
      <c r="BU73" s="664" t="s">
        <v>8</v>
      </c>
      <c r="BV73" s="717" t="s">
        <v>8</v>
      </c>
      <c r="BW73" s="462" t="s">
        <v>8</v>
      </c>
      <c r="BX73" s="982"/>
    </row>
    <row r="74" spans="1:77" ht="13.5" customHeight="1" thickTop="1" x14ac:dyDescent="0.3">
      <c r="A74" s="622"/>
      <c r="B74" s="41" t="s">
        <v>33</v>
      </c>
      <c r="C74" s="42" t="s">
        <v>34</v>
      </c>
      <c r="D74" s="926"/>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36">
        <v>1</v>
      </c>
      <c r="AX74" s="326">
        <v>1</v>
      </c>
      <c r="AY74" s="460">
        <v>1</v>
      </c>
      <c r="AZ74" s="1090">
        <v>1</v>
      </c>
      <c r="BA74" s="326">
        <v>1</v>
      </c>
      <c r="BB74" s="439">
        <v>1</v>
      </c>
      <c r="BC74" s="326">
        <v>1</v>
      </c>
      <c r="BD74" s="662">
        <v>1</v>
      </c>
      <c r="BE74" s="718">
        <v>1</v>
      </c>
      <c r="BF74" s="460">
        <v>1</v>
      </c>
      <c r="BG74" s="300">
        <v>1</v>
      </c>
      <c r="BH74" s="86">
        <v>1</v>
      </c>
      <c r="BI74" s="460">
        <v>1</v>
      </c>
      <c r="BJ74" s="1011">
        <v>1</v>
      </c>
      <c r="BK74" s="662">
        <v>1</v>
      </c>
      <c r="BL74" s="707">
        <v>1</v>
      </c>
      <c r="BM74" s="460">
        <v>1</v>
      </c>
      <c r="BN74" s="300">
        <v>1</v>
      </c>
      <c r="BO74" s="1216" t="s">
        <v>8</v>
      </c>
      <c r="BP74" s="460">
        <v>1</v>
      </c>
      <c r="BQ74" s="662">
        <v>1</v>
      </c>
      <c r="BR74" s="460">
        <v>1</v>
      </c>
      <c r="BS74" s="1038">
        <v>1</v>
      </c>
      <c r="BT74" s="129">
        <v>1</v>
      </c>
      <c r="BU74" s="662">
        <v>1</v>
      </c>
      <c r="BV74" s="718">
        <v>1</v>
      </c>
      <c r="BW74" s="460">
        <v>1</v>
      </c>
      <c r="BX74" s="485"/>
    </row>
    <row r="75" spans="1:77" ht="13.5" customHeight="1" x14ac:dyDescent="0.3">
      <c r="A75" s="622"/>
      <c r="B75" s="48"/>
      <c r="C75" s="39" t="s">
        <v>247</v>
      </c>
      <c r="D75" s="926"/>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42" t="s">
        <v>17</v>
      </c>
      <c r="AX75" s="328" t="s">
        <v>17</v>
      </c>
      <c r="AY75" s="464" t="s">
        <v>17</v>
      </c>
      <c r="AZ75" s="1079" t="s">
        <v>17</v>
      </c>
      <c r="BA75" s="808" t="s">
        <v>17</v>
      </c>
      <c r="BB75" s="440" t="s">
        <v>17</v>
      </c>
      <c r="BC75" s="808" t="s">
        <v>17</v>
      </c>
      <c r="BD75" s="665" t="s">
        <v>17</v>
      </c>
      <c r="BE75" s="719" t="s">
        <v>17</v>
      </c>
      <c r="BF75" s="464" t="s">
        <v>17</v>
      </c>
      <c r="BG75" s="377" t="s">
        <v>17</v>
      </c>
      <c r="BH75" s="1061" t="s">
        <v>17</v>
      </c>
      <c r="BI75" s="464" t="s">
        <v>17</v>
      </c>
      <c r="BJ75" s="1004" t="s">
        <v>17</v>
      </c>
      <c r="BK75" s="665" t="s">
        <v>17</v>
      </c>
      <c r="BL75" s="901" t="s">
        <v>17</v>
      </c>
      <c r="BM75" s="464" t="s">
        <v>17</v>
      </c>
      <c r="BN75" s="377" t="s">
        <v>17</v>
      </c>
      <c r="BO75" s="657">
        <v>1</v>
      </c>
      <c r="BP75" s="464" t="s">
        <v>17</v>
      </c>
      <c r="BQ75" s="665" t="s">
        <v>17</v>
      </c>
      <c r="BR75" s="464" t="s">
        <v>17</v>
      </c>
      <c r="BS75" s="1041" t="s">
        <v>17</v>
      </c>
      <c r="BT75" s="993" t="s">
        <v>17</v>
      </c>
      <c r="BU75" s="665" t="s">
        <v>17</v>
      </c>
      <c r="BV75" s="719" t="s">
        <v>17</v>
      </c>
      <c r="BW75" s="464" t="s">
        <v>17</v>
      </c>
      <c r="BX75" s="977"/>
    </row>
    <row r="76" spans="1:77" ht="13.5" customHeight="1" x14ac:dyDescent="0.3">
      <c r="A76" s="622"/>
      <c r="B76" s="48"/>
      <c r="C76" s="39" t="s">
        <v>248</v>
      </c>
      <c r="D76" s="926"/>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80" t="s">
        <v>8</v>
      </c>
      <c r="BA76" s="248" t="s">
        <v>8</v>
      </c>
      <c r="BB76" s="430" t="s">
        <v>8</v>
      </c>
      <c r="BC76" s="248" t="s">
        <v>8</v>
      </c>
      <c r="BD76" s="657" t="s">
        <v>8</v>
      </c>
      <c r="BE76" s="710" t="s">
        <v>8</v>
      </c>
      <c r="BF76" s="250" t="s">
        <v>8</v>
      </c>
      <c r="BG76" s="301" t="s">
        <v>8</v>
      </c>
      <c r="BH76" s="306" t="s">
        <v>8</v>
      </c>
      <c r="BI76" s="250" t="s">
        <v>8</v>
      </c>
      <c r="BJ76" s="1006" t="s">
        <v>8</v>
      </c>
      <c r="BK76" s="657" t="s">
        <v>8</v>
      </c>
      <c r="BL76" s="708" t="s">
        <v>8</v>
      </c>
      <c r="BM76" s="250" t="s">
        <v>8</v>
      </c>
      <c r="BN76" s="301" t="s">
        <v>8</v>
      </c>
      <c r="BO76" s="665" t="s">
        <v>17</v>
      </c>
      <c r="BP76" s="250" t="s">
        <v>8</v>
      </c>
      <c r="BQ76" s="657" t="s">
        <v>8</v>
      </c>
      <c r="BR76" s="250" t="s">
        <v>8</v>
      </c>
      <c r="BS76" s="1039" t="s">
        <v>8</v>
      </c>
      <c r="BT76" s="131" t="s">
        <v>8</v>
      </c>
      <c r="BU76" s="657" t="s">
        <v>8</v>
      </c>
      <c r="BV76" s="710" t="s">
        <v>8</v>
      </c>
      <c r="BW76" s="250" t="s">
        <v>8</v>
      </c>
      <c r="BX76" s="977"/>
    </row>
    <row r="77" spans="1:77" ht="13.5" customHeight="1" x14ac:dyDescent="0.3">
      <c r="A77" s="622"/>
      <c r="B77" s="47"/>
      <c r="C77" s="3" t="s">
        <v>249</v>
      </c>
      <c r="D77" s="926"/>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80" t="s">
        <v>8</v>
      </c>
      <c r="BA77" s="26" t="s">
        <v>8</v>
      </c>
      <c r="BB77" s="430" t="s">
        <v>8</v>
      </c>
      <c r="BC77" s="26" t="s">
        <v>8</v>
      </c>
      <c r="BD77" s="657" t="s">
        <v>8</v>
      </c>
      <c r="BE77" s="710" t="s">
        <v>8</v>
      </c>
      <c r="BF77" s="250" t="s">
        <v>8</v>
      </c>
      <c r="BG77" s="301" t="s">
        <v>8</v>
      </c>
      <c r="BH77" s="84" t="s">
        <v>8</v>
      </c>
      <c r="BI77" s="250" t="s">
        <v>8</v>
      </c>
      <c r="BJ77" s="1006" t="s">
        <v>8</v>
      </c>
      <c r="BK77" s="657" t="s">
        <v>8</v>
      </c>
      <c r="BL77" s="708" t="s">
        <v>8</v>
      </c>
      <c r="BM77" s="250" t="s">
        <v>8</v>
      </c>
      <c r="BN77" s="301" t="s">
        <v>8</v>
      </c>
      <c r="BO77" s="657" t="s">
        <v>8</v>
      </c>
      <c r="BP77" s="250" t="s">
        <v>8</v>
      </c>
      <c r="BQ77" s="657" t="s">
        <v>8</v>
      </c>
      <c r="BR77" s="250" t="s">
        <v>8</v>
      </c>
      <c r="BS77" s="1039" t="s">
        <v>8</v>
      </c>
      <c r="BT77" s="131" t="s">
        <v>8</v>
      </c>
      <c r="BU77" s="657" t="s">
        <v>8</v>
      </c>
      <c r="BV77" s="710" t="s">
        <v>8</v>
      </c>
      <c r="BW77" s="250" t="s">
        <v>8</v>
      </c>
      <c r="BX77" s="486"/>
    </row>
    <row r="78" spans="1:77" ht="13.5" customHeight="1" x14ac:dyDescent="0.3">
      <c r="A78" s="622"/>
      <c r="B78" s="47"/>
      <c r="C78" s="5" t="s">
        <v>423</v>
      </c>
      <c r="D78" s="926"/>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77" t="s">
        <v>17</v>
      </c>
      <c r="BA78" s="26" t="s">
        <v>17</v>
      </c>
      <c r="BB78" s="430" t="s">
        <v>17</v>
      </c>
      <c r="BC78" s="26" t="s">
        <v>17</v>
      </c>
      <c r="BD78" s="657" t="s">
        <v>8</v>
      </c>
      <c r="BE78" s="720" t="s">
        <v>17</v>
      </c>
      <c r="BF78" s="152" t="s">
        <v>8</v>
      </c>
      <c r="BG78" s="301" t="s">
        <v>17</v>
      </c>
      <c r="BH78" s="84" t="s">
        <v>17</v>
      </c>
      <c r="BI78" s="250" t="s">
        <v>17</v>
      </c>
      <c r="BJ78" s="1006" t="s">
        <v>17</v>
      </c>
      <c r="BK78" s="657" t="s">
        <v>8</v>
      </c>
      <c r="BL78" s="708" t="s">
        <v>17</v>
      </c>
      <c r="BM78" s="152" t="s">
        <v>8</v>
      </c>
      <c r="BN78" s="301" t="s">
        <v>17</v>
      </c>
      <c r="BO78" s="657" t="s">
        <v>8</v>
      </c>
      <c r="BP78" s="109" t="s">
        <v>17</v>
      </c>
      <c r="BQ78" s="960" t="s">
        <v>412</v>
      </c>
      <c r="BR78" s="152" t="s">
        <v>8</v>
      </c>
      <c r="BS78" s="1039" t="s">
        <v>8</v>
      </c>
      <c r="BT78" s="131" t="s">
        <v>17</v>
      </c>
      <c r="BU78" s="657" t="s">
        <v>8</v>
      </c>
      <c r="BV78" s="720" t="s">
        <v>17</v>
      </c>
      <c r="BW78" s="152" t="s">
        <v>8</v>
      </c>
      <c r="BX78" s="486" t="s">
        <v>213</v>
      </c>
    </row>
    <row r="79" spans="1:77" ht="13.5" customHeight="1" x14ac:dyDescent="0.3">
      <c r="A79" s="622"/>
      <c r="B79" s="47"/>
      <c r="C79" s="161" t="s">
        <v>250</v>
      </c>
      <c r="D79" s="926"/>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80" t="s">
        <v>8</v>
      </c>
      <c r="BA79" s="26" t="s">
        <v>8</v>
      </c>
      <c r="BB79" s="430" t="s">
        <v>8</v>
      </c>
      <c r="BC79" s="26" t="s">
        <v>8</v>
      </c>
      <c r="BD79" s="657" t="s">
        <v>8</v>
      </c>
      <c r="BE79" s="710" t="s">
        <v>8</v>
      </c>
      <c r="BF79" s="250" t="s">
        <v>8</v>
      </c>
      <c r="BG79" s="301" t="s">
        <v>8</v>
      </c>
      <c r="BH79" s="84" t="s">
        <v>8</v>
      </c>
      <c r="BI79" s="250" t="s">
        <v>8</v>
      </c>
      <c r="BJ79" s="1006" t="s">
        <v>8</v>
      </c>
      <c r="BK79" s="657" t="s">
        <v>8</v>
      </c>
      <c r="BL79" s="708" t="s">
        <v>8</v>
      </c>
      <c r="BM79" s="250" t="s">
        <v>8</v>
      </c>
      <c r="BN79" s="301" t="s">
        <v>8</v>
      </c>
      <c r="BO79" s="657" t="s">
        <v>8</v>
      </c>
      <c r="BP79" s="250" t="s">
        <v>8</v>
      </c>
      <c r="BQ79" s="657" t="s">
        <v>8</v>
      </c>
      <c r="BR79" s="250" t="s">
        <v>8</v>
      </c>
      <c r="BS79" s="1039" t="s">
        <v>8</v>
      </c>
      <c r="BT79" s="131" t="s">
        <v>8</v>
      </c>
      <c r="BU79" s="657" t="s">
        <v>8</v>
      </c>
      <c r="BV79" s="710" t="s">
        <v>8</v>
      </c>
      <c r="BW79" s="250" t="s">
        <v>8</v>
      </c>
      <c r="BX79" s="486" t="s">
        <v>687</v>
      </c>
    </row>
    <row r="80" spans="1:77" ht="13.5" customHeight="1" x14ac:dyDescent="0.3">
      <c r="A80" s="622"/>
      <c r="B80" s="47"/>
      <c r="C80" s="161" t="s">
        <v>407</v>
      </c>
      <c r="D80" s="926"/>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80" t="s">
        <v>393</v>
      </c>
      <c r="BA80" s="26" t="s">
        <v>393</v>
      </c>
      <c r="BB80" s="430" t="s">
        <v>393</v>
      </c>
      <c r="BC80" s="26" t="s">
        <v>393</v>
      </c>
      <c r="BD80" s="657" t="s">
        <v>393</v>
      </c>
      <c r="BE80" s="710" t="s">
        <v>393</v>
      </c>
      <c r="BF80" s="250" t="s">
        <v>393</v>
      </c>
      <c r="BG80" s="301" t="s">
        <v>393</v>
      </c>
      <c r="BH80" s="84" t="s">
        <v>393</v>
      </c>
      <c r="BI80" s="250" t="s">
        <v>393</v>
      </c>
      <c r="BJ80" s="1006" t="s">
        <v>393</v>
      </c>
      <c r="BK80" s="657" t="s">
        <v>393</v>
      </c>
      <c r="BL80" s="708" t="s">
        <v>393</v>
      </c>
      <c r="BM80" s="250" t="s">
        <v>393</v>
      </c>
      <c r="BN80" s="301" t="s">
        <v>393</v>
      </c>
      <c r="BO80" s="657" t="s">
        <v>8</v>
      </c>
      <c r="BP80" s="250" t="s">
        <v>393</v>
      </c>
      <c r="BQ80" s="657" t="s">
        <v>393</v>
      </c>
      <c r="BR80" s="250" t="s">
        <v>393</v>
      </c>
      <c r="BS80" s="1039" t="s">
        <v>393</v>
      </c>
      <c r="BT80" s="131" t="s">
        <v>393</v>
      </c>
      <c r="BU80" s="657" t="s">
        <v>393</v>
      </c>
      <c r="BV80" s="710" t="s">
        <v>393</v>
      </c>
      <c r="BW80" s="250" t="s">
        <v>393</v>
      </c>
      <c r="BX80" s="486"/>
    </row>
    <row r="81" spans="1:76" ht="13.5" customHeight="1" x14ac:dyDescent="0.3">
      <c r="A81" s="622"/>
      <c r="B81" s="47"/>
      <c r="C81" s="162" t="s">
        <v>424</v>
      </c>
      <c r="D81" s="926"/>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77" t="s">
        <v>17</v>
      </c>
      <c r="BA81" s="26" t="s">
        <v>17</v>
      </c>
      <c r="BB81" s="430" t="s">
        <v>17</v>
      </c>
      <c r="BC81" s="26" t="s">
        <v>17</v>
      </c>
      <c r="BD81" s="657" t="s">
        <v>8</v>
      </c>
      <c r="BE81" s="720" t="s">
        <v>17</v>
      </c>
      <c r="BF81" s="152" t="s">
        <v>8</v>
      </c>
      <c r="BG81" s="301" t="s">
        <v>17</v>
      </c>
      <c r="BH81" s="84" t="s">
        <v>17</v>
      </c>
      <c r="BI81" s="250" t="s">
        <v>17</v>
      </c>
      <c r="BJ81" s="1006" t="s">
        <v>17</v>
      </c>
      <c r="BK81" s="657" t="s">
        <v>8</v>
      </c>
      <c r="BL81" s="708" t="s">
        <v>17</v>
      </c>
      <c r="BM81" s="152" t="s">
        <v>8</v>
      </c>
      <c r="BN81" s="301" t="s">
        <v>17</v>
      </c>
      <c r="BO81" s="657" t="s">
        <v>393</v>
      </c>
      <c r="BP81" s="109" t="s">
        <v>17</v>
      </c>
      <c r="BQ81" s="960" t="s">
        <v>412</v>
      </c>
      <c r="BR81" s="152" t="s">
        <v>8</v>
      </c>
      <c r="BS81" s="1039" t="s">
        <v>8</v>
      </c>
      <c r="BT81" s="131" t="s">
        <v>17</v>
      </c>
      <c r="BU81" s="657" t="s">
        <v>8</v>
      </c>
      <c r="BV81" s="720" t="s">
        <v>17</v>
      </c>
      <c r="BW81" s="152" t="s">
        <v>8</v>
      </c>
      <c r="BX81" s="486" t="s">
        <v>213</v>
      </c>
    </row>
    <row r="82" spans="1:76" ht="13.5" customHeight="1" x14ac:dyDescent="0.3">
      <c r="A82" s="622"/>
      <c r="B82" s="47"/>
      <c r="C82" s="161" t="s">
        <v>35</v>
      </c>
      <c r="D82" s="926"/>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80" t="s">
        <v>8</v>
      </c>
      <c r="BA82" s="26" t="s">
        <v>8</v>
      </c>
      <c r="BB82" s="430" t="s">
        <v>8</v>
      </c>
      <c r="BC82" s="26" t="s">
        <v>8</v>
      </c>
      <c r="BD82" s="657" t="s">
        <v>8</v>
      </c>
      <c r="BE82" s="710" t="s">
        <v>8</v>
      </c>
      <c r="BF82" s="250" t="s">
        <v>8</v>
      </c>
      <c r="BG82" s="301" t="s">
        <v>8</v>
      </c>
      <c r="BH82" s="84" t="s">
        <v>8</v>
      </c>
      <c r="BI82" s="250" t="s">
        <v>8</v>
      </c>
      <c r="BJ82" s="1006" t="s">
        <v>8</v>
      </c>
      <c r="BK82" s="657" t="s">
        <v>8</v>
      </c>
      <c r="BL82" s="708" t="s">
        <v>8</v>
      </c>
      <c r="BM82" s="250" t="s">
        <v>8</v>
      </c>
      <c r="BN82" s="301" t="s">
        <v>8</v>
      </c>
      <c r="BO82" s="657" t="s">
        <v>8</v>
      </c>
      <c r="BP82" s="250" t="s">
        <v>8</v>
      </c>
      <c r="BQ82" s="657" t="s">
        <v>8</v>
      </c>
      <c r="BR82" s="250" t="s">
        <v>8</v>
      </c>
      <c r="BS82" s="1039" t="s">
        <v>8</v>
      </c>
      <c r="BT82" s="131" t="s">
        <v>8</v>
      </c>
      <c r="BU82" s="657" t="s">
        <v>8</v>
      </c>
      <c r="BV82" s="710" t="s">
        <v>8</v>
      </c>
      <c r="BW82" s="250" t="s">
        <v>8</v>
      </c>
      <c r="BX82" s="486"/>
    </row>
    <row r="83" spans="1:76" ht="13.5" customHeight="1" x14ac:dyDescent="0.3">
      <c r="A83" s="622"/>
      <c r="B83" s="47"/>
      <c r="C83" s="161" t="s">
        <v>214</v>
      </c>
      <c r="D83" s="926"/>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80" t="s">
        <v>8</v>
      </c>
      <c r="BA83" s="26" t="s">
        <v>8</v>
      </c>
      <c r="BB83" s="430" t="s">
        <v>8</v>
      </c>
      <c r="BC83" s="26" t="s">
        <v>8</v>
      </c>
      <c r="BD83" s="657" t="s">
        <v>8</v>
      </c>
      <c r="BE83" s="710" t="s">
        <v>8</v>
      </c>
      <c r="BF83" s="250" t="s">
        <v>8</v>
      </c>
      <c r="BG83" s="301" t="s">
        <v>8</v>
      </c>
      <c r="BH83" s="84" t="s">
        <v>8</v>
      </c>
      <c r="BI83" s="250" t="s">
        <v>8</v>
      </c>
      <c r="BJ83" s="1006" t="s">
        <v>8</v>
      </c>
      <c r="BK83" s="657" t="s">
        <v>8</v>
      </c>
      <c r="BL83" s="708" t="s">
        <v>8</v>
      </c>
      <c r="BM83" s="250" t="s">
        <v>8</v>
      </c>
      <c r="BN83" s="301" t="s">
        <v>8</v>
      </c>
      <c r="BO83" s="657" t="s">
        <v>8</v>
      </c>
      <c r="BP83" s="250" t="s">
        <v>8</v>
      </c>
      <c r="BQ83" s="657" t="s">
        <v>8</v>
      </c>
      <c r="BR83" s="250" t="s">
        <v>8</v>
      </c>
      <c r="BS83" s="1039" t="s">
        <v>8</v>
      </c>
      <c r="BT83" s="131" t="s">
        <v>8</v>
      </c>
      <c r="BU83" s="657" t="s">
        <v>8</v>
      </c>
      <c r="BV83" s="710" t="s">
        <v>8</v>
      </c>
      <c r="BW83" s="250" t="s">
        <v>8</v>
      </c>
      <c r="BX83" s="486" t="s">
        <v>421</v>
      </c>
    </row>
    <row r="84" spans="1:76" ht="13.5" customHeight="1" x14ac:dyDescent="0.3">
      <c r="A84" s="622"/>
      <c r="B84" s="47"/>
      <c r="C84" s="161" t="s">
        <v>215</v>
      </c>
      <c r="D84" s="926"/>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80" t="s">
        <v>8</v>
      </c>
      <c r="BA84" s="26" t="s">
        <v>8</v>
      </c>
      <c r="BB84" s="430" t="s">
        <v>8</v>
      </c>
      <c r="BC84" s="26" t="s">
        <v>8</v>
      </c>
      <c r="BD84" s="657" t="s">
        <v>8</v>
      </c>
      <c r="BE84" s="710" t="s">
        <v>8</v>
      </c>
      <c r="BF84" s="250" t="s">
        <v>8</v>
      </c>
      <c r="BG84" s="301" t="s">
        <v>8</v>
      </c>
      <c r="BH84" s="84" t="s">
        <v>8</v>
      </c>
      <c r="BI84" s="250" t="s">
        <v>8</v>
      </c>
      <c r="BJ84" s="1006" t="s">
        <v>8</v>
      </c>
      <c r="BK84" s="657" t="s">
        <v>8</v>
      </c>
      <c r="BL84" s="708" t="s">
        <v>8</v>
      </c>
      <c r="BM84" s="250" t="s">
        <v>8</v>
      </c>
      <c r="BN84" s="301" t="s">
        <v>8</v>
      </c>
      <c r="BO84" s="657" t="s">
        <v>8</v>
      </c>
      <c r="BP84" s="250" t="s">
        <v>8</v>
      </c>
      <c r="BQ84" s="657" t="s">
        <v>8</v>
      </c>
      <c r="BR84" s="250" t="s">
        <v>8</v>
      </c>
      <c r="BS84" s="1039" t="s">
        <v>8</v>
      </c>
      <c r="BT84" s="131" t="s">
        <v>8</v>
      </c>
      <c r="BU84" s="657" t="s">
        <v>8</v>
      </c>
      <c r="BV84" s="710" t="s">
        <v>8</v>
      </c>
      <c r="BW84" s="250" t="s">
        <v>8</v>
      </c>
      <c r="BX84" s="486" t="s">
        <v>421</v>
      </c>
    </row>
    <row r="85" spans="1:76" ht="13.5" customHeight="1" x14ac:dyDescent="0.3">
      <c r="A85" s="622"/>
      <c r="B85" s="47"/>
      <c r="C85" s="161" t="s">
        <v>216</v>
      </c>
      <c r="D85" s="926"/>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80" t="s">
        <v>8</v>
      </c>
      <c r="BA85" s="26" t="s">
        <v>8</v>
      </c>
      <c r="BB85" s="430" t="s">
        <v>8</v>
      </c>
      <c r="BC85" s="26" t="s">
        <v>8</v>
      </c>
      <c r="BD85" s="657" t="s">
        <v>8</v>
      </c>
      <c r="BE85" s="710" t="s">
        <v>8</v>
      </c>
      <c r="BF85" s="250" t="s">
        <v>8</v>
      </c>
      <c r="BG85" s="301" t="s">
        <v>8</v>
      </c>
      <c r="BH85" s="84" t="s">
        <v>8</v>
      </c>
      <c r="BI85" s="250" t="s">
        <v>8</v>
      </c>
      <c r="BJ85" s="1006"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3">
      <c r="A86" s="622"/>
      <c r="B86" s="47"/>
      <c r="C86" s="161" t="s">
        <v>429</v>
      </c>
      <c r="D86" s="926"/>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80" t="s">
        <v>8</v>
      </c>
      <c r="BA86" s="321"/>
      <c r="BB86" s="430" t="s">
        <v>8</v>
      </c>
      <c r="BC86" s="321"/>
      <c r="BD86" s="657" t="s">
        <v>8</v>
      </c>
      <c r="BE86" s="710" t="s">
        <v>8</v>
      </c>
      <c r="BF86" s="250" t="s">
        <v>8</v>
      </c>
      <c r="BG86" s="301" t="s">
        <v>8</v>
      </c>
      <c r="BH86" s="85"/>
      <c r="BI86" s="250" t="s">
        <v>8</v>
      </c>
      <c r="BJ86" s="1006"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3">
      <c r="A87" s="622"/>
      <c r="B87" s="47"/>
      <c r="C87" s="161" t="s">
        <v>208</v>
      </c>
      <c r="D87" s="926"/>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80" t="s">
        <v>8</v>
      </c>
      <c r="BA87" s="26" t="s">
        <v>8</v>
      </c>
      <c r="BB87" s="430" t="s">
        <v>8</v>
      </c>
      <c r="BC87" s="26" t="s">
        <v>8</v>
      </c>
      <c r="BD87" s="657" t="s">
        <v>8</v>
      </c>
      <c r="BE87" s="710" t="s">
        <v>8</v>
      </c>
      <c r="BF87" s="250" t="s">
        <v>8</v>
      </c>
      <c r="BG87" s="301" t="s">
        <v>8</v>
      </c>
      <c r="BH87" s="84" t="s">
        <v>8</v>
      </c>
      <c r="BI87" s="250" t="s">
        <v>8</v>
      </c>
      <c r="BJ87" s="1006"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3">
      <c r="A88" s="622"/>
      <c r="B88" s="47"/>
      <c r="C88" s="162" t="s">
        <v>1381</v>
      </c>
      <c r="D88" s="926"/>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84"/>
      <c r="BA88" s="321"/>
      <c r="BB88" s="436"/>
      <c r="BC88" s="321"/>
      <c r="BD88" s="654" t="s">
        <v>8</v>
      </c>
      <c r="BE88" s="708" t="s">
        <v>8</v>
      </c>
      <c r="BF88" s="250" t="s">
        <v>8</v>
      </c>
      <c r="BG88" s="365" t="s">
        <v>8</v>
      </c>
      <c r="BH88" s="81" t="s">
        <v>8</v>
      </c>
      <c r="BI88" s="111" t="s">
        <v>8</v>
      </c>
      <c r="BJ88" s="1007" t="s">
        <v>8</v>
      </c>
      <c r="BK88" s="654" t="s">
        <v>8</v>
      </c>
      <c r="BL88" s="708" t="s">
        <v>8</v>
      </c>
      <c r="BM88" s="109" t="s">
        <v>8</v>
      </c>
      <c r="BN88" s="365" t="s">
        <v>8</v>
      </c>
      <c r="BO88" s="657" t="s">
        <v>8</v>
      </c>
      <c r="BP88" s="1117" t="s">
        <v>8</v>
      </c>
      <c r="BQ88" s="1103" t="s">
        <v>8</v>
      </c>
      <c r="BR88" s="250" t="s">
        <v>8</v>
      </c>
      <c r="BS88" s="370"/>
      <c r="BT88" s="456"/>
      <c r="BU88" s="654" t="s">
        <v>8</v>
      </c>
      <c r="BV88" s="708" t="s">
        <v>8</v>
      </c>
      <c r="BW88" s="250" t="s">
        <v>8</v>
      </c>
      <c r="BX88" s="486"/>
    </row>
    <row r="89" spans="1:76" ht="13.5" customHeight="1" x14ac:dyDescent="0.3">
      <c r="A89" s="622"/>
      <c r="B89" s="47"/>
      <c r="C89" s="162" t="s">
        <v>36</v>
      </c>
      <c r="D89" s="926"/>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77" t="s">
        <v>17</v>
      </c>
      <c r="BA89" s="26" t="s">
        <v>17</v>
      </c>
      <c r="BB89" s="430" t="s">
        <v>17</v>
      </c>
      <c r="BC89" s="26" t="s">
        <v>17</v>
      </c>
      <c r="BD89" s="657" t="s">
        <v>8</v>
      </c>
      <c r="BE89" s="720" t="s">
        <v>17</v>
      </c>
      <c r="BF89" s="250" t="s">
        <v>8</v>
      </c>
      <c r="BG89" s="301" t="s">
        <v>17</v>
      </c>
      <c r="BH89" s="84" t="s">
        <v>17</v>
      </c>
      <c r="BI89" s="250" t="s">
        <v>17</v>
      </c>
      <c r="BJ89" s="1006" t="s">
        <v>17</v>
      </c>
      <c r="BK89" s="657" t="s">
        <v>8</v>
      </c>
      <c r="BL89" s="708" t="s">
        <v>17</v>
      </c>
      <c r="BM89" s="250" t="s">
        <v>8</v>
      </c>
      <c r="BN89" s="301" t="s">
        <v>17</v>
      </c>
      <c r="BO89" s="494" t="s">
        <v>8</v>
      </c>
      <c r="BP89" s="109" t="s">
        <v>17</v>
      </c>
      <c r="BQ89" s="960" t="s">
        <v>412</v>
      </c>
      <c r="BR89" s="250" t="s">
        <v>8</v>
      </c>
      <c r="BS89" s="807" t="s">
        <v>8</v>
      </c>
      <c r="BT89" s="250" t="s">
        <v>17</v>
      </c>
      <c r="BU89" s="657" t="s">
        <v>8</v>
      </c>
      <c r="BV89" s="720" t="s">
        <v>17</v>
      </c>
      <c r="BW89" s="250" t="s">
        <v>8</v>
      </c>
      <c r="BX89" s="488"/>
    </row>
    <row r="90" spans="1:76" ht="13.5" customHeight="1" x14ac:dyDescent="0.3">
      <c r="A90" s="622"/>
      <c r="B90" s="47"/>
      <c r="C90" s="162" t="s">
        <v>37</v>
      </c>
      <c r="D90" s="926"/>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77" t="s">
        <v>17</v>
      </c>
      <c r="BA90" s="26" t="s">
        <v>17</v>
      </c>
      <c r="BB90" s="430" t="s">
        <v>17</v>
      </c>
      <c r="BC90" s="26" t="s">
        <v>17</v>
      </c>
      <c r="BD90" s="657" t="s">
        <v>102</v>
      </c>
      <c r="BE90" s="720" t="s">
        <v>17</v>
      </c>
      <c r="BF90" s="966" t="s">
        <v>102</v>
      </c>
      <c r="BG90" s="301" t="s">
        <v>17</v>
      </c>
      <c r="BH90" s="84" t="s">
        <v>17</v>
      </c>
      <c r="BI90" s="250" t="s">
        <v>17</v>
      </c>
      <c r="BJ90" s="1006" t="s">
        <v>17</v>
      </c>
      <c r="BK90" s="657" t="s">
        <v>102</v>
      </c>
      <c r="BL90" s="708" t="s">
        <v>17</v>
      </c>
      <c r="BM90" s="966" t="s">
        <v>102</v>
      </c>
      <c r="BN90" s="301" t="s">
        <v>17</v>
      </c>
      <c r="BO90" s="657" t="s">
        <v>8</v>
      </c>
      <c r="BP90" s="109" t="s">
        <v>17</v>
      </c>
      <c r="BQ90" s="960" t="s">
        <v>102</v>
      </c>
      <c r="BR90" s="966" t="s">
        <v>102</v>
      </c>
      <c r="BS90" s="807" t="s">
        <v>102</v>
      </c>
      <c r="BT90" s="250" t="s">
        <v>17</v>
      </c>
      <c r="BU90" s="657" t="s">
        <v>102</v>
      </c>
      <c r="BV90" s="720" t="s">
        <v>17</v>
      </c>
      <c r="BW90" s="966" t="s">
        <v>102</v>
      </c>
      <c r="BX90" s="486"/>
    </row>
    <row r="91" spans="1:76" ht="13.5" customHeight="1" x14ac:dyDescent="0.3">
      <c r="A91" s="622"/>
      <c r="B91" s="47"/>
      <c r="C91" s="161" t="s">
        <v>435</v>
      </c>
      <c r="D91" s="926"/>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80" t="s">
        <v>8</v>
      </c>
      <c r="BA91" s="26" t="s">
        <v>8</v>
      </c>
      <c r="BB91" s="430" t="s">
        <v>8</v>
      </c>
      <c r="BC91" s="26" t="s">
        <v>8</v>
      </c>
      <c r="BD91" s="657" t="s">
        <v>8</v>
      </c>
      <c r="BE91" s="710" t="s">
        <v>8</v>
      </c>
      <c r="BF91" s="250" t="s">
        <v>8</v>
      </c>
      <c r="BG91" s="301" t="s">
        <v>8</v>
      </c>
      <c r="BH91" s="84" t="s">
        <v>8</v>
      </c>
      <c r="BI91" s="250" t="s">
        <v>8</v>
      </c>
      <c r="BJ91" s="1006"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3">
      <c r="A92" s="622"/>
      <c r="B92" s="47"/>
      <c r="C92" s="161" t="s">
        <v>436</v>
      </c>
      <c r="D92" s="926"/>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80" t="s">
        <v>8</v>
      </c>
      <c r="BA92" s="26" t="s">
        <v>8</v>
      </c>
      <c r="BB92" s="430" t="s">
        <v>8</v>
      </c>
      <c r="BC92" s="26" t="s">
        <v>8</v>
      </c>
      <c r="BD92" s="657" t="s">
        <v>8</v>
      </c>
      <c r="BE92" s="710" t="s">
        <v>8</v>
      </c>
      <c r="BF92" s="250" t="s">
        <v>8</v>
      </c>
      <c r="BG92" s="301" t="s">
        <v>8</v>
      </c>
      <c r="BH92" s="84" t="s">
        <v>8</v>
      </c>
      <c r="BI92" s="250" t="s">
        <v>8</v>
      </c>
      <c r="BJ92" s="1006"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3">
      <c r="A93" s="622"/>
      <c r="B93" s="47"/>
      <c r="C93" s="161" t="s">
        <v>217</v>
      </c>
      <c r="D93" s="926"/>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80" t="s">
        <v>8</v>
      </c>
      <c r="BA93" s="26" t="s">
        <v>8</v>
      </c>
      <c r="BB93" s="430" t="s">
        <v>8</v>
      </c>
      <c r="BC93" s="26" t="s">
        <v>8</v>
      </c>
      <c r="BD93" s="657" t="s">
        <v>8</v>
      </c>
      <c r="BE93" s="710" t="s">
        <v>8</v>
      </c>
      <c r="BF93" s="250" t="s">
        <v>8</v>
      </c>
      <c r="BG93" s="301" t="s">
        <v>8</v>
      </c>
      <c r="BH93" s="84" t="s">
        <v>8</v>
      </c>
      <c r="BI93" s="250" t="s">
        <v>8</v>
      </c>
      <c r="BJ93" s="1006"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3">
      <c r="A94" s="622"/>
      <c r="B94" s="47"/>
      <c r="C94" s="161" t="s">
        <v>38</v>
      </c>
      <c r="D94" s="926"/>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77" t="s">
        <v>17</v>
      </c>
      <c r="BA94" s="26" t="s">
        <v>17</v>
      </c>
      <c r="BB94" s="430" t="s">
        <v>17</v>
      </c>
      <c r="BC94" s="26" t="s">
        <v>17</v>
      </c>
      <c r="BD94" s="657" t="s">
        <v>8</v>
      </c>
      <c r="BE94" s="720" t="s">
        <v>17</v>
      </c>
      <c r="BF94" s="131" t="s">
        <v>8</v>
      </c>
      <c r="BG94" s="301" t="s">
        <v>17</v>
      </c>
      <c r="BH94" s="84" t="s">
        <v>17</v>
      </c>
      <c r="BI94" s="250" t="s">
        <v>17</v>
      </c>
      <c r="BJ94" s="1006" t="s">
        <v>17</v>
      </c>
      <c r="BK94" s="657" t="s">
        <v>8</v>
      </c>
      <c r="BL94" s="708" t="s">
        <v>17</v>
      </c>
      <c r="BM94" s="131" t="s">
        <v>8</v>
      </c>
      <c r="BN94" s="301" t="s">
        <v>17</v>
      </c>
      <c r="BO94" s="657" t="s">
        <v>8</v>
      </c>
      <c r="BP94" s="109" t="s">
        <v>17</v>
      </c>
      <c r="BQ94" s="1104" t="s">
        <v>17</v>
      </c>
      <c r="BR94" s="131" t="s">
        <v>8</v>
      </c>
      <c r="BS94" s="807" t="s">
        <v>8</v>
      </c>
      <c r="BT94" s="250" t="s">
        <v>17</v>
      </c>
      <c r="BU94" s="657" t="s">
        <v>8</v>
      </c>
      <c r="BV94" s="720" t="s">
        <v>17</v>
      </c>
      <c r="BW94" s="131" t="s">
        <v>8</v>
      </c>
      <c r="BX94" s="486"/>
    </row>
    <row r="95" spans="1:76" ht="13.5" customHeight="1" x14ac:dyDescent="0.3">
      <c r="A95" s="622"/>
      <c r="B95" s="47"/>
      <c r="C95" s="161" t="s">
        <v>239</v>
      </c>
      <c r="D95" s="926"/>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80" t="s">
        <v>8</v>
      </c>
      <c r="BA95" s="26" t="s">
        <v>8</v>
      </c>
      <c r="BB95" s="430" t="s">
        <v>8</v>
      </c>
      <c r="BC95" s="26" t="s">
        <v>8</v>
      </c>
      <c r="BD95" s="657" t="s">
        <v>8</v>
      </c>
      <c r="BE95" s="710" t="s">
        <v>8</v>
      </c>
      <c r="BF95" s="250" t="s">
        <v>8</v>
      </c>
      <c r="BG95" s="301" t="s">
        <v>8</v>
      </c>
      <c r="BH95" s="84" t="s">
        <v>8</v>
      </c>
      <c r="BI95" s="250" t="s">
        <v>8</v>
      </c>
      <c r="BJ95" s="1006"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3">
      <c r="A96" s="622"/>
      <c r="B96" s="47"/>
      <c r="C96" s="161" t="s">
        <v>405</v>
      </c>
      <c r="D96" s="926"/>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80" t="s">
        <v>8</v>
      </c>
      <c r="BA96" s="649" t="s">
        <v>8</v>
      </c>
      <c r="BB96" s="250" t="s">
        <v>8</v>
      </c>
      <c r="BC96" s="649" t="s">
        <v>8</v>
      </c>
      <c r="BD96" s="657" t="s">
        <v>8</v>
      </c>
      <c r="BE96" s="710" t="s">
        <v>8</v>
      </c>
      <c r="BF96" s="250" t="s">
        <v>8</v>
      </c>
      <c r="BG96" s="301" t="s">
        <v>8</v>
      </c>
      <c r="BH96" s="82" t="s">
        <v>8</v>
      </c>
      <c r="BI96" s="250" t="s">
        <v>8</v>
      </c>
      <c r="BJ96" s="1006" t="s">
        <v>8</v>
      </c>
      <c r="BK96" s="657" t="s">
        <v>8</v>
      </c>
      <c r="BL96" s="708" t="s">
        <v>8</v>
      </c>
      <c r="BM96" s="250" t="s">
        <v>8</v>
      </c>
      <c r="BN96" s="301" t="s">
        <v>8</v>
      </c>
      <c r="BO96" s="657" t="s">
        <v>8</v>
      </c>
      <c r="BP96" s="250" t="s">
        <v>8</v>
      </c>
      <c r="BQ96" s="657" t="s">
        <v>8</v>
      </c>
      <c r="BR96" s="250" t="s">
        <v>8</v>
      </c>
      <c r="BS96" s="1039" t="s">
        <v>8</v>
      </c>
      <c r="BT96" s="131" t="s">
        <v>8</v>
      </c>
      <c r="BU96" s="657" t="s">
        <v>8</v>
      </c>
      <c r="BV96" s="710" t="s">
        <v>8</v>
      </c>
      <c r="BW96" s="250" t="s">
        <v>8</v>
      </c>
      <c r="BX96" s="486"/>
    </row>
    <row r="97" spans="1:76" ht="13.5" customHeight="1" x14ac:dyDescent="0.3">
      <c r="A97" s="622"/>
      <c r="B97" s="47"/>
      <c r="C97" s="162" t="s">
        <v>406</v>
      </c>
      <c r="D97" s="926"/>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80"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39" t="s">
        <v>8</v>
      </c>
      <c r="BT97" s="131" t="s">
        <v>8</v>
      </c>
      <c r="BU97" s="657" t="s">
        <v>8</v>
      </c>
      <c r="BV97" s="710" t="s">
        <v>8</v>
      </c>
      <c r="BW97" s="250" t="s">
        <v>8</v>
      </c>
      <c r="BX97" s="486"/>
    </row>
    <row r="98" spans="1:76" ht="13.5" customHeight="1" x14ac:dyDescent="0.3">
      <c r="A98" s="622"/>
      <c r="B98" s="47"/>
      <c r="C98" s="161" t="s">
        <v>39</v>
      </c>
      <c r="D98" s="926"/>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77" t="s">
        <v>17</v>
      </c>
      <c r="BA98" s="777" t="s">
        <v>17</v>
      </c>
      <c r="BB98" s="250" t="s">
        <v>17</v>
      </c>
      <c r="BC98" s="777" t="s">
        <v>17</v>
      </c>
      <c r="BD98" s="657" t="s">
        <v>8</v>
      </c>
      <c r="BE98" s="720" t="s">
        <v>17</v>
      </c>
      <c r="BF98" s="786" t="s">
        <v>17</v>
      </c>
      <c r="BG98" s="301" t="s">
        <v>17</v>
      </c>
      <c r="BH98" s="1062" t="s">
        <v>17</v>
      </c>
      <c r="BI98" s="250" t="s">
        <v>17</v>
      </c>
      <c r="BJ98" s="1006" t="s">
        <v>17</v>
      </c>
      <c r="BK98" s="657" t="s">
        <v>8</v>
      </c>
      <c r="BL98" s="708" t="s">
        <v>17</v>
      </c>
      <c r="BM98" s="786" t="s">
        <v>17</v>
      </c>
      <c r="BN98" s="301" t="s">
        <v>17</v>
      </c>
      <c r="BO98" s="657" t="s">
        <v>8</v>
      </c>
      <c r="BP98" s="109" t="s">
        <v>17</v>
      </c>
      <c r="BQ98" s="1104" t="s">
        <v>17</v>
      </c>
      <c r="BR98" s="786" t="s">
        <v>17</v>
      </c>
      <c r="BS98" s="807" t="s">
        <v>8</v>
      </c>
      <c r="BT98" s="250" t="s">
        <v>17</v>
      </c>
      <c r="BU98" s="657" t="s">
        <v>8</v>
      </c>
      <c r="BV98" s="720" t="s">
        <v>17</v>
      </c>
      <c r="BW98" s="786" t="s">
        <v>17</v>
      </c>
      <c r="BX98" s="486"/>
    </row>
    <row r="99" spans="1:76" ht="13.5" customHeight="1" x14ac:dyDescent="0.3">
      <c r="A99" s="622"/>
      <c r="B99" s="47"/>
      <c r="C99" s="161" t="s">
        <v>202</v>
      </c>
      <c r="D99" s="926"/>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77"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3">
      <c r="A100" s="622"/>
      <c r="B100" s="47"/>
      <c r="C100" s="161" t="s">
        <v>203</v>
      </c>
      <c r="D100" s="926"/>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80" t="s">
        <v>8</v>
      </c>
      <c r="BA100" s="130" t="s">
        <v>8</v>
      </c>
      <c r="BB100" s="250" t="s">
        <v>8</v>
      </c>
      <c r="BC100" s="130" t="s">
        <v>8</v>
      </c>
      <c r="BD100" s="657" t="s">
        <v>8</v>
      </c>
      <c r="BE100" s="710" t="s">
        <v>8</v>
      </c>
      <c r="BF100" s="250" t="s">
        <v>8</v>
      </c>
      <c r="BG100" s="301" t="s">
        <v>8</v>
      </c>
      <c r="BH100" s="84" t="s">
        <v>8</v>
      </c>
      <c r="BI100" s="250" t="s">
        <v>8</v>
      </c>
      <c r="BJ100" s="1006"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3">
      <c r="A101" s="622"/>
      <c r="B101" s="47"/>
      <c r="C101" s="413" t="s">
        <v>1499</v>
      </c>
      <c r="D101" s="926"/>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06"/>
      <c r="BK101" s="659" t="s">
        <v>8</v>
      </c>
      <c r="BL101" s="712" t="s">
        <v>8</v>
      </c>
      <c r="BM101" s="966" t="s">
        <v>8</v>
      </c>
      <c r="BN101" s="1124" t="s">
        <v>8</v>
      </c>
      <c r="BO101" s="654" t="s">
        <v>8</v>
      </c>
      <c r="BP101" s="118"/>
      <c r="BQ101" s="117"/>
      <c r="BR101" s="966" t="s">
        <v>8</v>
      </c>
      <c r="BS101" s="807"/>
      <c r="BT101" s="250"/>
      <c r="BU101" s="117"/>
      <c r="BV101" s="30"/>
      <c r="BW101" s="118"/>
      <c r="BX101" s="486"/>
    </row>
    <row r="102" spans="1:76" ht="13.5" customHeight="1" x14ac:dyDescent="0.3">
      <c r="A102" s="622"/>
      <c r="B102" s="47"/>
      <c r="C102" s="161" t="s">
        <v>40</v>
      </c>
      <c r="D102" s="926"/>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77"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3">
      <c r="A103" s="622"/>
      <c r="B103" s="47"/>
      <c r="C103" s="161" t="s">
        <v>103</v>
      </c>
      <c r="D103" s="926"/>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77"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3">
      <c r="A104" s="622"/>
      <c r="B104" s="47"/>
      <c r="C104" s="161" t="s">
        <v>558</v>
      </c>
      <c r="D104" s="926"/>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77"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3">
      <c r="A105" s="622"/>
      <c r="B105" s="47"/>
      <c r="C105" s="161" t="s">
        <v>1376</v>
      </c>
      <c r="D105" s="926"/>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77"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61" t="s">
        <v>1516</v>
      </c>
      <c r="BQ105" s="110" t="s">
        <v>537</v>
      </c>
      <c r="BR105" s="131" t="s">
        <v>537</v>
      </c>
      <c r="BS105" s="807" t="s">
        <v>537</v>
      </c>
      <c r="BT105" s="250" t="s">
        <v>17</v>
      </c>
      <c r="BU105" s="110" t="s">
        <v>17</v>
      </c>
      <c r="BV105" s="20" t="s">
        <v>537</v>
      </c>
      <c r="BW105" s="131" t="s">
        <v>537</v>
      </c>
      <c r="BX105" s="486"/>
    </row>
    <row r="106" spans="1:76" ht="13.5" customHeight="1" x14ac:dyDescent="0.3">
      <c r="A106" s="622"/>
      <c r="B106" s="47"/>
      <c r="C106" s="161" t="s">
        <v>580</v>
      </c>
      <c r="D106" s="926"/>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77"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3">
      <c r="A107" s="622"/>
      <c r="B107" s="210"/>
      <c r="C107" s="211" t="s">
        <v>1329</v>
      </c>
      <c r="D107" s="926"/>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42" t="s">
        <v>514</v>
      </c>
      <c r="AX107" s="328" t="s">
        <v>514</v>
      </c>
      <c r="AY107" s="1148" t="s">
        <v>514</v>
      </c>
      <c r="AZ107" s="1079" t="s">
        <v>514</v>
      </c>
      <c r="BA107" s="328" t="s">
        <v>514</v>
      </c>
      <c r="BB107" s="440" t="s">
        <v>514</v>
      </c>
      <c r="BC107" s="328" t="s">
        <v>514</v>
      </c>
      <c r="BD107" s="782" t="s">
        <v>1471</v>
      </c>
      <c r="BE107" s="212" t="s">
        <v>1471</v>
      </c>
      <c r="BF107" s="213" t="s">
        <v>1471</v>
      </c>
      <c r="BG107" s="1125" t="s">
        <v>1471</v>
      </c>
      <c r="BH107" s="1042" t="s">
        <v>514</v>
      </c>
      <c r="BI107" s="464" t="s">
        <v>514</v>
      </c>
      <c r="BJ107" s="1020" t="s">
        <v>1327</v>
      </c>
      <c r="BK107" s="782" t="s">
        <v>1471</v>
      </c>
      <c r="BL107" s="212" t="s">
        <v>1471</v>
      </c>
      <c r="BM107" s="213" t="s">
        <v>1471</v>
      </c>
      <c r="BN107" s="1125" t="s">
        <v>1471</v>
      </c>
      <c r="BO107" s="482" t="s">
        <v>17</v>
      </c>
      <c r="BP107" s="464" t="s">
        <v>514</v>
      </c>
      <c r="BQ107" s="874" t="s">
        <v>514</v>
      </c>
      <c r="BR107" s="1105" t="s">
        <v>1471</v>
      </c>
      <c r="BS107" s="1042" t="s">
        <v>514</v>
      </c>
      <c r="BT107" s="464" t="s">
        <v>514</v>
      </c>
      <c r="BU107" s="782" t="s">
        <v>1471</v>
      </c>
      <c r="BV107" s="212" t="s">
        <v>1471</v>
      </c>
      <c r="BW107" s="213" t="s">
        <v>1471</v>
      </c>
      <c r="BX107" s="486"/>
    </row>
    <row r="108" spans="1:76" ht="13.5" customHeight="1" x14ac:dyDescent="0.3">
      <c r="A108" s="622"/>
      <c r="B108" s="210"/>
      <c r="C108" s="863" t="s">
        <v>1464</v>
      </c>
      <c r="D108" s="926"/>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43"/>
      <c r="AX108" s="467"/>
      <c r="AY108" s="860"/>
      <c r="AZ108" s="1091"/>
      <c r="BA108" s="467"/>
      <c r="BB108" s="859"/>
      <c r="BC108" s="1229"/>
      <c r="BD108" s="858"/>
      <c r="BE108" s="856"/>
      <c r="BF108" s="862"/>
      <c r="BG108" s="861"/>
      <c r="BH108" s="1043"/>
      <c r="BI108" s="860"/>
      <c r="BJ108" s="1021"/>
      <c r="BK108" s="858"/>
      <c r="BL108" s="852"/>
      <c r="BM108" s="862"/>
      <c r="BN108" s="861"/>
      <c r="BO108" s="874" t="s">
        <v>514</v>
      </c>
      <c r="BP108" s="860"/>
      <c r="BQ108" s="1106"/>
      <c r="BR108" s="789"/>
      <c r="BS108" s="1043"/>
      <c r="BT108" s="860"/>
      <c r="BU108" s="858"/>
      <c r="BV108" s="856"/>
      <c r="BW108" s="862"/>
      <c r="BX108" s="486"/>
    </row>
    <row r="109" spans="1:76" ht="13.5" customHeight="1" x14ac:dyDescent="0.3">
      <c r="A109" s="622"/>
      <c r="B109" s="210"/>
      <c r="C109" s="863" t="s">
        <v>1468</v>
      </c>
      <c r="D109" s="926"/>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43"/>
      <c r="BA109" s="467"/>
      <c r="BB109" s="859"/>
      <c r="BC109" s="1229"/>
      <c r="BD109" s="782"/>
      <c r="BE109" s="212"/>
      <c r="BF109" s="862"/>
      <c r="BG109" s="861"/>
      <c r="BH109" s="1043"/>
      <c r="BI109" s="860"/>
      <c r="BJ109" s="1021"/>
      <c r="BK109" s="858"/>
      <c r="BL109" s="852"/>
      <c r="BM109" s="862"/>
      <c r="BN109" s="861"/>
      <c r="BO109" s="858"/>
      <c r="BP109" s="853"/>
      <c r="BQ109" s="782"/>
      <c r="BR109" s="789"/>
      <c r="BS109" s="1043"/>
      <c r="BT109" s="860"/>
      <c r="BU109" s="782"/>
      <c r="BV109" s="212"/>
      <c r="BW109" s="862"/>
      <c r="BX109" s="486"/>
    </row>
    <row r="110" spans="1:76" ht="13.5" customHeight="1" x14ac:dyDescent="0.3">
      <c r="A110" s="622"/>
      <c r="B110" s="47"/>
      <c r="C110" s="161" t="s">
        <v>219</v>
      </c>
      <c r="D110" s="926"/>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80" t="s">
        <v>17</v>
      </c>
      <c r="BA110" s="26" t="s">
        <v>17</v>
      </c>
      <c r="BB110" s="430" t="s">
        <v>17</v>
      </c>
      <c r="BC110" s="26" t="s">
        <v>17</v>
      </c>
      <c r="BD110" s="654" t="s">
        <v>17</v>
      </c>
      <c r="BE110" s="710" t="s">
        <v>17</v>
      </c>
      <c r="BF110" s="250" t="s">
        <v>17</v>
      </c>
      <c r="BG110" s="301" t="s">
        <v>17</v>
      </c>
      <c r="BH110" s="84" t="s">
        <v>17</v>
      </c>
      <c r="BI110" s="250" t="s">
        <v>17</v>
      </c>
      <c r="BJ110" s="1006"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3">
      <c r="A111" s="622"/>
      <c r="B111" s="47"/>
      <c r="C111" s="161" t="s">
        <v>1505</v>
      </c>
      <c r="D111" s="926"/>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77"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03" t="s">
        <v>17</v>
      </c>
      <c r="BR111" s="250" t="s">
        <v>17</v>
      </c>
      <c r="BS111" s="807" t="s">
        <v>8</v>
      </c>
      <c r="BT111" s="250" t="s">
        <v>8</v>
      </c>
      <c r="BU111" s="654" t="s">
        <v>17</v>
      </c>
      <c r="BV111" s="708" t="s">
        <v>17</v>
      </c>
      <c r="BW111" s="250" t="s">
        <v>17</v>
      </c>
      <c r="BX111" s="486" t="s">
        <v>583</v>
      </c>
    </row>
    <row r="112" spans="1:76" ht="13.5" customHeight="1" x14ac:dyDescent="0.3">
      <c r="A112" s="622"/>
      <c r="B112" s="47"/>
      <c r="C112" s="547" t="s">
        <v>639</v>
      </c>
      <c r="D112" s="926"/>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33"/>
      <c r="AX112" s="329"/>
      <c r="AY112" s="422"/>
      <c r="AZ112" s="1056"/>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03" t="s">
        <v>8</v>
      </c>
      <c r="BR112" s="250" t="s">
        <v>8</v>
      </c>
      <c r="BS112" s="807"/>
      <c r="BT112" s="250"/>
      <c r="BU112" s="654" t="s">
        <v>8</v>
      </c>
      <c r="BV112" s="708" t="s">
        <v>8</v>
      </c>
      <c r="BW112" s="250" t="s">
        <v>8</v>
      </c>
      <c r="BX112" s="486"/>
    </row>
    <row r="113" spans="1:76" ht="13.5" customHeight="1" x14ac:dyDescent="0.3">
      <c r="A113" s="622"/>
      <c r="B113" s="47"/>
      <c r="C113" s="161" t="s">
        <v>1113</v>
      </c>
      <c r="D113" s="926"/>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77" t="s">
        <v>17</v>
      </c>
      <c r="BA113" s="27" t="s">
        <v>17</v>
      </c>
      <c r="BB113" s="170" t="s">
        <v>17</v>
      </c>
      <c r="BC113" s="27" t="s">
        <v>17</v>
      </c>
      <c r="BD113" s="654" t="s">
        <v>17</v>
      </c>
      <c r="BE113" s="902" t="s">
        <v>1506</v>
      </c>
      <c r="BF113" s="250" t="s">
        <v>17</v>
      </c>
      <c r="BG113" s="364" t="s">
        <v>17</v>
      </c>
      <c r="BH113" s="1063" t="s">
        <v>1112</v>
      </c>
      <c r="BI113" s="152" t="s">
        <v>17</v>
      </c>
      <c r="BJ113" s="1013" t="s">
        <v>17</v>
      </c>
      <c r="BK113" s="654" t="s">
        <v>17</v>
      </c>
      <c r="BL113" s="902" t="s">
        <v>1506</v>
      </c>
      <c r="BM113" s="250" t="s">
        <v>17</v>
      </c>
      <c r="BN113" s="364" t="s">
        <v>17</v>
      </c>
      <c r="BO113" s="816"/>
      <c r="BP113" s="109" t="s">
        <v>17</v>
      </c>
      <c r="BQ113" s="1107" t="s">
        <v>1506</v>
      </c>
      <c r="BR113" s="250" t="s">
        <v>17</v>
      </c>
      <c r="BS113" s="807" t="s">
        <v>17</v>
      </c>
      <c r="BT113" s="994" t="s">
        <v>17</v>
      </c>
      <c r="BU113" s="654" t="s">
        <v>17</v>
      </c>
      <c r="BV113" s="902" t="s">
        <v>1506</v>
      </c>
      <c r="BW113" s="250" t="s">
        <v>17</v>
      </c>
      <c r="BX113" s="487"/>
    </row>
    <row r="114" spans="1:76" ht="13.5" customHeight="1" x14ac:dyDescent="0.3">
      <c r="A114" s="622"/>
      <c r="B114" s="47"/>
      <c r="C114" s="161" t="s">
        <v>463</v>
      </c>
      <c r="D114" s="926"/>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77"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3">
      <c r="A115" s="622"/>
      <c r="B115" s="47"/>
      <c r="C115" s="161" t="s">
        <v>465</v>
      </c>
      <c r="D115" s="926"/>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77"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3">
      <c r="A116" s="622"/>
      <c r="B116" s="47"/>
      <c r="C116" s="161" t="s">
        <v>466</v>
      </c>
      <c r="D116" s="926"/>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77"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3">
      <c r="A117" s="622"/>
      <c r="B117" s="47"/>
      <c r="C117" s="161" t="s">
        <v>437</v>
      </c>
      <c r="D117" s="926"/>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80" t="s">
        <v>8</v>
      </c>
      <c r="BA117" s="27" t="s">
        <v>8</v>
      </c>
      <c r="BB117" s="430" t="s">
        <v>8</v>
      </c>
      <c r="BC117" s="27" t="s">
        <v>8</v>
      </c>
      <c r="BD117" s="654" t="s">
        <v>8</v>
      </c>
      <c r="BE117" s="710" t="s">
        <v>8</v>
      </c>
      <c r="BF117" s="250" t="s">
        <v>8</v>
      </c>
      <c r="BG117" s="301" t="s">
        <v>8</v>
      </c>
      <c r="BH117" s="82" t="s">
        <v>8</v>
      </c>
      <c r="BI117" s="250" t="s">
        <v>8</v>
      </c>
      <c r="BJ117" s="1013"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3">
      <c r="A118" s="622"/>
      <c r="B118" s="47"/>
      <c r="C118" s="161" t="s">
        <v>464</v>
      </c>
      <c r="D118" s="926"/>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42" t="str">
        <f t="shared" si="2"/>
        <v>No</v>
      </c>
      <c r="AX118" s="328" t="str">
        <f t="shared" si="2"/>
        <v>No</v>
      </c>
      <c r="AY118" s="464" t="str">
        <f t="shared" si="2"/>
        <v>No</v>
      </c>
      <c r="AZ118" s="1079"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22"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42"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3">
      <c r="A119" s="622"/>
      <c r="B119" s="47"/>
      <c r="C119" s="161" t="s">
        <v>610</v>
      </c>
      <c r="D119" s="926"/>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80" t="s">
        <v>8</v>
      </c>
      <c r="BA119" s="27" t="s">
        <v>412</v>
      </c>
      <c r="BB119" s="430" t="s">
        <v>8</v>
      </c>
      <c r="BC119" s="27" t="s">
        <v>412</v>
      </c>
      <c r="BD119" s="666" t="s">
        <v>8</v>
      </c>
      <c r="BE119" s="719" t="s">
        <v>8</v>
      </c>
      <c r="BF119" s="464" t="s">
        <v>8</v>
      </c>
      <c r="BG119" s="301" t="s">
        <v>8</v>
      </c>
      <c r="BH119" s="82" t="s">
        <v>412</v>
      </c>
      <c r="BI119" s="250" t="s">
        <v>8</v>
      </c>
      <c r="BJ119" s="1013"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42" t="s">
        <v>8</v>
      </c>
      <c r="BT119" s="464" t="s">
        <v>8</v>
      </c>
      <c r="BU119" s="666" t="s">
        <v>8</v>
      </c>
      <c r="BV119" s="719" t="s">
        <v>8</v>
      </c>
      <c r="BW119" s="464" t="s">
        <v>8</v>
      </c>
      <c r="BX119" s="979"/>
    </row>
    <row r="120" spans="1:76" ht="13.5" customHeight="1" x14ac:dyDescent="0.3">
      <c r="A120" s="622"/>
      <c r="B120" s="47"/>
      <c r="C120" s="162" t="s">
        <v>566</v>
      </c>
      <c r="D120" s="926"/>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42" t="s">
        <v>8</v>
      </c>
      <c r="AX120" s="328" t="s">
        <v>8</v>
      </c>
      <c r="AY120" s="464" t="s">
        <v>8</v>
      </c>
      <c r="AZ120" s="1079" t="s">
        <v>8</v>
      </c>
      <c r="BA120" s="27" t="s">
        <v>412</v>
      </c>
      <c r="BB120" s="440" t="s">
        <v>8</v>
      </c>
      <c r="BC120" s="27" t="s">
        <v>412</v>
      </c>
      <c r="BD120" s="666" t="s">
        <v>8</v>
      </c>
      <c r="BE120" s="719" t="s">
        <v>8</v>
      </c>
      <c r="BF120" s="464" t="s">
        <v>8</v>
      </c>
      <c r="BG120" s="377" t="s">
        <v>8</v>
      </c>
      <c r="BH120" s="82" t="s">
        <v>412</v>
      </c>
      <c r="BI120" s="464" t="s">
        <v>8</v>
      </c>
      <c r="BJ120" s="1013" t="s">
        <v>17</v>
      </c>
      <c r="BK120" s="666" t="s">
        <v>8</v>
      </c>
      <c r="BL120" s="901" t="s">
        <v>8</v>
      </c>
      <c r="BM120" s="464" t="s">
        <v>8</v>
      </c>
      <c r="BN120" s="377" t="s">
        <v>8</v>
      </c>
      <c r="BO120" s="666" t="s">
        <v>8</v>
      </c>
      <c r="BP120" s="464" t="s">
        <v>8</v>
      </c>
      <c r="BQ120" s="665" t="s">
        <v>8</v>
      </c>
      <c r="BR120" s="464" t="s">
        <v>8</v>
      </c>
      <c r="BS120" s="1042" t="s">
        <v>8</v>
      </c>
      <c r="BT120" s="464" t="s">
        <v>8</v>
      </c>
      <c r="BU120" s="666" t="s">
        <v>8</v>
      </c>
      <c r="BV120" s="719" t="s">
        <v>8</v>
      </c>
      <c r="BW120" s="464" t="s">
        <v>8</v>
      </c>
      <c r="BX120" s="979"/>
    </row>
    <row r="121" spans="1:76" ht="13.5" customHeight="1" x14ac:dyDescent="0.3">
      <c r="A121" s="622"/>
      <c r="B121" s="47"/>
      <c r="C121" s="161" t="s">
        <v>460</v>
      </c>
      <c r="D121" s="926"/>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80" t="s">
        <v>8</v>
      </c>
      <c r="BA121" s="26" t="s">
        <v>8</v>
      </c>
      <c r="BB121" s="430" t="s">
        <v>8</v>
      </c>
      <c r="BC121" s="26" t="s">
        <v>8</v>
      </c>
      <c r="BD121" s="654" t="s">
        <v>8</v>
      </c>
      <c r="BE121" s="710" t="s">
        <v>8</v>
      </c>
      <c r="BF121" s="250" t="s">
        <v>8</v>
      </c>
      <c r="BG121" s="301" t="s">
        <v>8</v>
      </c>
      <c r="BH121" s="84" t="s">
        <v>8</v>
      </c>
      <c r="BI121" s="250" t="s">
        <v>8</v>
      </c>
      <c r="BJ121" s="1006"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83" t="s">
        <v>673</v>
      </c>
    </row>
    <row r="122" spans="1:76" ht="13.5" customHeight="1" x14ac:dyDescent="0.3">
      <c r="A122" s="622"/>
      <c r="B122" s="49"/>
      <c r="C122" s="66" t="s">
        <v>322</v>
      </c>
      <c r="D122" s="926"/>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092"/>
      <c r="BA122" s="545"/>
      <c r="BB122" s="202"/>
      <c r="BC122" s="1230"/>
      <c r="BD122" s="114"/>
      <c r="BE122" s="337"/>
      <c r="BF122" s="208"/>
      <c r="BG122" s="768"/>
      <c r="BH122" s="1064"/>
      <c r="BI122" s="208"/>
      <c r="BJ122" s="201"/>
      <c r="BK122" s="114"/>
      <c r="BL122" s="398"/>
      <c r="BM122" s="208"/>
      <c r="BN122" s="768"/>
      <c r="BO122" s="654" t="s">
        <v>8</v>
      </c>
      <c r="BP122" s="208"/>
      <c r="BQ122" s="336"/>
      <c r="BR122" s="208"/>
      <c r="BS122" s="370"/>
      <c r="BT122" s="544"/>
      <c r="BU122" s="114"/>
      <c r="BV122" s="337"/>
      <c r="BW122" s="208"/>
      <c r="BX122" s="979"/>
    </row>
    <row r="123" spans="1:76" ht="13.5" customHeight="1" x14ac:dyDescent="0.3">
      <c r="A123" s="622"/>
      <c r="B123" s="49"/>
      <c r="C123" s="546" t="s">
        <v>1465</v>
      </c>
      <c r="D123" s="926"/>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64"/>
      <c r="AX123" s="398"/>
      <c r="AY123" s="200"/>
      <c r="AZ123" s="1144"/>
      <c r="BA123" s="545"/>
      <c r="BB123" s="202"/>
      <c r="BC123" s="1230"/>
      <c r="BD123" s="110"/>
      <c r="BE123" s="67"/>
      <c r="BF123" s="208"/>
      <c r="BG123" s="768"/>
      <c r="BH123" s="1064"/>
      <c r="BI123" s="208"/>
      <c r="BJ123" s="201"/>
      <c r="BK123" s="114"/>
      <c r="BL123" s="398"/>
      <c r="BM123" s="208"/>
      <c r="BN123" s="768"/>
      <c r="BO123" s="114"/>
      <c r="BP123" s="200"/>
      <c r="BQ123" s="123"/>
      <c r="BR123" s="208"/>
      <c r="BS123" s="370"/>
      <c r="BT123" s="544"/>
      <c r="BU123" s="110"/>
      <c r="BV123" s="67"/>
      <c r="BW123" s="208"/>
      <c r="BX123" s="979"/>
    </row>
    <row r="124" spans="1:76" ht="13.5" customHeight="1" x14ac:dyDescent="0.3">
      <c r="A124" s="622"/>
      <c r="B124" s="49"/>
      <c r="C124" s="546" t="s">
        <v>1474</v>
      </c>
      <c r="D124" s="926"/>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092"/>
      <c r="BA124" s="545"/>
      <c r="BB124" s="202"/>
      <c r="BC124" s="1230"/>
      <c r="BD124" s="114"/>
      <c r="BE124" s="337"/>
      <c r="BF124" s="208"/>
      <c r="BG124" s="768"/>
      <c r="BH124" s="1064"/>
      <c r="BI124" s="208"/>
      <c r="BJ124" s="201"/>
      <c r="BK124" s="114"/>
      <c r="BL124" s="398"/>
      <c r="BM124" s="208"/>
      <c r="BN124" s="768"/>
      <c r="BO124" s="114"/>
      <c r="BP124" s="208"/>
      <c r="BQ124" s="336"/>
      <c r="BR124" s="208"/>
      <c r="BS124" s="370"/>
      <c r="BT124" s="544"/>
      <c r="BU124" s="114"/>
      <c r="BV124" s="337"/>
      <c r="BW124" s="208"/>
      <c r="BX124" s="979"/>
    </row>
    <row r="125" spans="1:76" ht="13.5" customHeight="1" x14ac:dyDescent="0.3">
      <c r="A125" s="622"/>
      <c r="B125" s="49"/>
      <c r="C125" s="546" t="s">
        <v>1467</v>
      </c>
      <c r="D125" s="926"/>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092"/>
      <c r="BA125" s="545"/>
      <c r="BB125" s="202"/>
      <c r="BC125" s="1230"/>
      <c r="BD125" s="114"/>
      <c r="BE125" s="337"/>
      <c r="BF125" s="208"/>
      <c r="BG125" s="768"/>
      <c r="BH125" s="1064"/>
      <c r="BI125" s="208"/>
      <c r="BJ125" s="201"/>
      <c r="BK125" s="114"/>
      <c r="BL125" s="1133"/>
      <c r="BM125" s="208"/>
      <c r="BN125" s="768"/>
      <c r="BO125" s="114"/>
      <c r="BP125" s="208"/>
      <c r="BQ125" s="336"/>
      <c r="BR125" s="208"/>
      <c r="BS125" s="370"/>
      <c r="BT125" s="544"/>
      <c r="BU125" s="114"/>
      <c r="BV125" s="337"/>
      <c r="BW125" s="208"/>
      <c r="BX125" s="979"/>
    </row>
    <row r="126" spans="1:76" ht="13.2" customHeight="1" x14ac:dyDescent="0.3">
      <c r="A126" s="622"/>
      <c r="B126" s="49"/>
      <c r="C126" s="66" t="s">
        <v>1532</v>
      </c>
      <c r="D126" s="926"/>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993" t="s">
        <v>548</v>
      </c>
      <c r="AU126" s="463" t="s">
        <v>548</v>
      </c>
      <c r="AV126" s="464" t="s">
        <v>548</v>
      </c>
      <c r="AW126" s="1042" t="s">
        <v>548</v>
      </c>
      <c r="AX126" s="328" t="s">
        <v>548</v>
      </c>
      <c r="AY126" s="464" t="s">
        <v>548</v>
      </c>
      <c r="AZ126" s="1079" t="s">
        <v>548</v>
      </c>
      <c r="BA126" s="739" t="s">
        <v>548</v>
      </c>
      <c r="BB126" s="440" t="s">
        <v>548</v>
      </c>
      <c r="BC126" s="739" t="s">
        <v>548</v>
      </c>
      <c r="BD126" s="666" t="s">
        <v>548</v>
      </c>
      <c r="BE126" s="719" t="s">
        <v>548</v>
      </c>
      <c r="BF126" s="464" t="s">
        <v>548</v>
      </c>
      <c r="BG126" s="377" t="s">
        <v>548</v>
      </c>
      <c r="BH126" s="1065" t="s">
        <v>548</v>
      </c>
      <c r="BI126" s="464" t="s">
        <v>548</v>
      </c>
      <c r="BJ126" s="1004" t="s">
        <v>548</v>
      </c>
      <c r="BK126" s="666" t="s">
        <v>548</v>
      </c>
      <c r="BL126" s="901" t="s">
        <v>548</v>
      </c>
      <c r="BM126" s="464" t="s">
        <v>548</v>
      </c>
      <c r="BN126" s="377" t="s">
        <v>548</v>
      </c>
      <c r="BO126" s="666" t="s">
        <v>548</v>
      </c>
      <c r="BP126" s="464" t="s">
        <v>548</v>
      </c>
      <c r="BQ126" s="665" t="s">
        <v>548</v>
      </c>
      <c r="BR126" s="464" t="s">
        <v>548</v>
      </c>
      <c r="BS126" s="1041" t="s">
        <v>548</v>
      </c>
      <c r="BT126" s="993" t="s">
        <v>548</v>
      </c>
      <c r="BU126" s="666" t="s">
        <v>548</v>
      </c>
      <c r="BV126" s="719" t="s">
        <v>548</v>
      </c>
      <c r="BW126" s="464" t="s">
        <v>548</v>
      </c>
      <c r="BX126" s="979"/>
    </row>
    <row r="127" spans="1:76" ht="13.5" customHeight="1" x14ac:dyDescent="0.3">
      <c r="A127" s="622"/>
      <c r="B127" s="49"/>
      <c r="C127" s="66" t="s">
        <v>459</v>
      </c>
      <c r="D127" s="926"/>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993" t="s">
        <v>412</v>
      </c>
      <c r="AU127" s="465"/>
      <c r="AV127" s="208"/>
      <c r="AW127" s="1043"/>
      <c r="AX127" s="467"/>
      <c r="AY127" s="860"/>
      <c r="AZ127" s="1079" t="s">
        <v>412</v>
      </c>
      <c r="BA127" s="739" t="s">
        <v>8</v>
      </c>
      <c r="BB127" s="440" t="s">
        <v>412</v>
      </c>
      <c r="BC127" s="739" t="s">
        <v>8</v>
      </c>
      <c r="BD127" s="667" t="s">
        <v>17</v>
      </c>
      <c r="BE127" s="721" t="s">
        <v>17</v>
      </c>
      <c r="BF127" s="790" t="s">
        <v>17</v>
      </c>
      <c r="BG127" s="377" t="s">
        <v>412</v>
      </c>
      <c r="BH127" s="1065" t="s">
        <v>8</v>
      </c>
      <c r="BI127" s="464" t="s">
        <v>412</v>
      </c>
      <c r="BJ127" s="1004" t="s">
        <v>412</v>
      </c>
      <c r="BK127" s="667" t="s">
        <v>17</v>
      </c>
      <c r="BL127" s="903" t="s">
        <v>17</v>
      </c>
      <c r="BM127" s="790" t="s">
        <v>17</v>
      </c>
      <c r="BN127" s="377" t="s">
        <v>412</v>
      </c>
      <c r="BO127" s="667" t="s">
        <v>17</v>
      </c>
      <c r="BP127" s="208"/>
      <c r="BQ127" s="782" t="s">
        <v>17</v>
      </c>
      <c r="BR127" s="790" t="s">
        <v>17</v>
      </c>
      <c r="BS127" s="1043"/>
      <c r="BT127" s="860"/>
      <c r="BU127" s="667" t="s">
        <v>17</v>
      </c>
      <c r="BV127" s="721" t="s">
        <v>17</v>
      </c>
      <c r="BW127" s="790" t="s">
        <v>17</v>
      </c>
      <c r="BX127" s="979"/>
    </row>
    <row r="128" spans="1:76" s="38" customFormat="1" ht="13.5" customHeight="1" thickBot="1" x14ac:dyDescent="0.35">
      <c r="A128" s="622"/>
      <c r="B128" s="65"/>
      <c r="C128" s="66" t="s">
        <v>209</v>
      </c>
      <c r="D128" s="926"/>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087" t="s">
        <v>222</v>
      </c>
      <c r="BA128" s="737" t="s">
        <v>222</v>
      </c>
      <c r="BB128" s="639" t="s">
        <v>222</v>
      </c>
      <c r="BC128" s="737" t="s">
        <v>222</v>
      </c>
      <c r="BD128" s="668" t="s">
        <v>222</v>
      </c>
      <c r="BE128" s="716" t="s">
        <v>222</v>
      </c>
      <c r="BF128" s="459" t="s">
        <v>222</v>
      </c>
      <c r="BG128" s="640" t="s">
        <v>222</v>
      </c>
      <c r="BH128" s="89" t="s">
        <v>222</v>
      </c>
      <c r="BI128" s="468" t="s">
        <v>222</v>
      </c>
      <c r="BJ128" s="1010" t="s">
        <v>222</v>
      </c>
      <c r="BK128" s="668" t="s">
        <v>222</v>
      </c>
      <c r="BL128" s="904" t="s">
        <v>222</v>
      </c>
      <c r="BM128" s="459" t="s">
        <v>222</v>
      </c>
      <c r="BN128" s="640" t="s">
        <v>222</v>
      </c>
      <c r="BO128" s="668" t="s">
        <v>222</v>
      </c>
      <c r="BP128" s="459" t="s">
        <v>222</v>
      </c>
      <c r="BQ128" s="1101" t="s">
        <v>222</v>
      </c>
      <c r="BR128" s="459" t="s">
        <v>222</v>
      </c>
      <c r="BS128" s="1044" t="s">
        <v>222</v>
      </c>
      <c r="BT128" s="991" t="s">
        <v>222</v>
      </c>
      <c r="BU128" s="668" t="s">
        <v>222</v>
      </c>
      <c r="BV128" s="716" t="s">
        <v>222</v>
      </c>
      <c r="BW128" s="459" t="s">
        <v>222</v>
      </c>
      <c r="BX128" s="979"/>
    </row>
    <row r="129" spans="1:76" ht="13.5" customHeight="1" thickTop="1" x14ac:dyDescent="0.3">
      <c r="A129" s="622"/>
      <c r="B129" s="41" t="s">
        <v>42</v>
      </c>
      <c r="C129" s="42" t="s">
        <v>165</v>
      </c>
      <c r="D129" s="926"/>
      <c r="E129" s="1353" t="s">
        <v>458</v>
      </c>
      <c r="F129" s="1354"/>
      <c r="G129" s="1354"/>
      <c r="H129" s="1354"/>
      <c r="I129" s="1354"/>
      <c r="J129" s="1354"/>
      <c r="K129" s="1354"/>
      <c r="L129" s="1354"/>
      <c r="M129" s="1355"/>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76" t="s">
        <v>129</v>
      </c>
      <c r="BA129" s="326" t="s">
        <v>129</v>
      </c>
      <c r="BB129" s="175" t="s">
        <v>129</v>
      </c>
      <c r="BC129" s="326" t="s">
        <v>129</v>
      </c>
      <c r="BD129" s="653" t="s">
        <v>43</v>
      </c>
      <c r="BE129" s="707" t="s">
        <v>129</v>
      </c>
      <c r="BF129" s="145" t="s">
        <v>129</v>
      </c>
      <c r="BG129" s="363" t="s">
        <v>129</v>
      </c>
      <c r="BH129" s="79" t="s">
        <v>129</v>
      </c>
      <c r="BI129" s="145" t="s">
        <v>129</v>
      </c>
      <c r="BJ129" s="972" t="s">
        <v>129</v>
      </c>
      <c r="BK129" s="653" t="s">
        <v>43</v>
      </c>
      <c r="BL129" s="707" t="s">
        <v>129</v>
      </c>
      <c r="BM129" s="145" t="s">
        <v>129</v>
      </c>
      <c r="BN129" s="363" t="s">
        <v>129</v>
      </c>
      <c r="BO129" s="653" t="s">
        <v>43</v>
      </c>
      <c r="BP129" s="145" t="s">
        <v>129</v>
      </c>
      <c r="BQ129" s="653" t="s">
        <v>129</v>
      </c>
      <c r="BR129" s="145" t="s">
        <v>129</v>
      </c>
      <c r="BS129" s="1036" t="s">
        <v>43</v>
      </c>
      <c r="BT129" s="460" t="s">
        <v>129</v>
      </c>
      <c r="BU129" s="653" t="s">
        <v>43</v>
      </c>
      <c r="BV129" s="707" t="s">
        <v>129</v>
      </c>
      <c r="BW129" s="145" t="s">
        <v>129</v>
      </c>
      <c r="BX129" s="485" t="s">
        <v>365</v>
      </c>
    </row>
    <row r="130" spans="1:76" ht="13.5" customHeight="1" x14ac:dyDescent="0.3">
      <c r="A130" s="622"/>
      <c r="B130" s="48"/>
      <c r="C130" s="916" t="s">
        <v>621</v>
      </c>
      <c r="D130" s="926"/>
      <c r="E130" s="1315"/>
      <c r="F130" s="1316"/>
      <c r="G130" s="1316"/>
      <c r="H130" s="1316"/>
      <c r="I130" s="1316"/>
      <c r="J130" s="1316"/>
      <c r="K130" s="1316"/>
      <c r="L130" s="1316"/>
      <c r="M130" s="1356"/>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093"/>
      <c r="BA130" s="714"/>
      <c r="BB130" s="476"/>
      <c r="BC130" s="1231"/>
      <c r="BD130" s="125"/>
      <c r="BE130" s="52"/>
      <c r="BF130" s="126"/>
      <c r="BG130" s="769"/>
      <c r="BH130" s="1053"/>
      <c r="BI130" s="126"/>
      <c r="BJ130" s="1023"/>
      <c r="BK130" s="125"/>
      <c r="BL130" s="1133"/>
      <c r="BM130" s="126"/>
      <c r="BN130" s="769"/>
      <c r="BO130" s="125"/>
      <c r="BP130" s="126"/>
      <c r="BQ130" s="125"/>
      <c r="BR130" s="126"/>
      <c r="BS130" s="661"/>
      <c r="BT130" s="784"/>
      <c r="BU130" s="125"/>
      <c r="BV130" s="52"/>
      <c r="BW130" s="126"/>
      <c r="BX130" s="977"/>
    </row>
    <row r="131" spans="1:76" ht="13.5" customHeight="1" x14ac:dyDescent="0.3">
      <c r="A131" s="622"/>
      <c r="B131" s="48"/>
      <c r="C131" s="916" t="s">
        <v>549</v>
      </c>
      <c r="D131" s="926"/>
      <c r="E131" s="1315"/>
      <c r="F131" s="1316"/>
      <c r="G131" s="1316"/>
      <c r="H131" s="1316"/>
      <c r="I131" s="1316"/>
      <c r="J131" s="1316"/>
      <c r="K131" s="1316"/>
      <c r="L131" s="1316"/>
      <c r="M131" s="1356"/>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086"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37" t="s">
        <v>223</v>
      </c>
      <c r="BT131" s="249" t="s">
        <v>223</v>
      </c>
      <c r="BU131" s="669" t="s">
        <v>223</v>
      </c>
      <c r="BV131" s="715" t="s">
        <v>223</v>
      </c>
      <c r="BW131" s="219" t="s">
        <v>223</v>
      </c>
      <c r="BX131" s="977"/>
    </row>
    <row r="132" spans="1:76" ht="13.5" customHeight="1" x14ac:dyDescent="0.3">
      <c r="A132" s="622"/>
      <c r="B132" s="48"/>
      <c r="C132" s="916" t="s">
        <v>550</v>
      </c>
      <c r="D132" s="926"/>
      <c r="E132" s="1315"/>
      <c r="F132" s="1316"/>
      <c r="G132" s="1316"/>
      <c r="H132" s="1316"/>
      <c r="I132" s="1316"/>
      <c r="J132" s="1316"/>
      <c r="K132" s="1316"/>
      <c r="L132" s="1316"/>
      <c r="M132" s="1356"/>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24"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77"/>
    </row>
    <row r="133" spans="1:76" ht="13.5" customHeight="1" x14ac:dyDescent="0.3">
      <c r="A133" s="622"/>
      <c r="B133" s="48"/>
      <c r="C133" s="916" t="s">
        <v>622</v>
      </c>
      <c r="D133" s="926"/>
      <c r="E133" s="1315"/>
      <c r="F133" s="1316"/>
      <c r="G133" s="1316"/>
      <c r="H133" s="1316"/>
      <c r="I133" s="1316"/>
      <c r="J133" s="1316"/>
      <c r="K133" s="1316"/>
      <c r="L133" s="1316"/>
      <c r="M133" s="1356"/>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66" t="s">
        <v>624</v>
      </c>
      <c r="BI133" s="99" t="s">
        <v>624</v>
      </c>
      <c r="BJ133" s="1025" t="s">
        <v>624</v>
      </c>
      <c r="BK133" s="654" t="s">
        <v>623</v>
      </c>
      <c r="BL133" s="708" t="s">
        <v>669</v>
      </c>
      <c r="BM133" s="794" t="s">
        <v>669</v>
      </c>
      <c r="BN133" s="327" t="s">
        <v>624</v>
      </c>
      <c r="BO133" s="654" t="s">
        <v>623</v>
      </c>
      <c r="BP133" s="99" t="s">
        <v>623</v>
      </c>
      <c r="BQ133" s="1104" t="s">
        <v>669</v>
      </c>
      <c r="BR133" s="794" t="s">
        <v>669</v>
      </c>
      <c r="BS133" s="807" t="s">
        <v>623</v>
      </c>
      <c r="BT133" s="250" t="s">
        <v>669</v>
      </c>
      <c r="BU133" s="654" t="s">
        <v>623</v>
      </c>
      <c r="BV133" s="720" t="s">
        <v>669</v>
      </c>
      <c r="BW133" s="794" t="s">
        <v>669</v>
      </c>
      <c r="BX133" s="977" t="s">
        <v>674</v>
      </c>
    </row>
    <row r="134" spans="1:76" ht="13.5" customHeight="1" x14ac:dyDescent="0.3">
      <c r="A134" s="622"/>
      <c r="B134" s="47"/>
      <c r="C134" s="3" t="s">
        <v>167</v>
      </c>
      <c r="D134" s="926"/>
      <c r="E134" s="1315"/>
      <c r="F134" s="1316"/>
      <c r="G134" s="1316"/>
      <c r="H134" s="1316"/>
      <c r="I134" s="1316"/>
      <c r="J134" s="1316"/>
      <c r="K134" s="1316"/>
      <c r="L134" s="1316"/>
      <c r="M134" s="1356"/>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77"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3">
      <c r="A135" s="622"/>
      <c r="B135" s="47"/>
      <c r="C135" s="3" t="s">
        <v>44</v>
      </c>
      <c r="D135" s="926"/>
      <c r="E135" s="1315"/>
      <c r="F135" s="1316"/>
      <c r="G135" s="1316"/>
      <c r="H135" s="1316"/>
      <c r="I135" s="1316"/>
      <c r="J135" s="1316"/>
      <c r="K135" s="1316"/>
      <c r="L135" s="1316"/>
      <c r="M135" s="1356"/>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094"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08" t="s">
        <v>296</v>
      </c>
      <c r="BR135" s="791">
        <v>5</v>
      </c>
      <c r="BS135" s="807">
        <v>5</v>
      </c>
      <c r="BT135" s="995" t="s">
        <v>296</v>
      </c>
      <c r="BU135" s="654">
        <v>5</v>
      </c>
      <c r="BV135" s="722" t="s">
        <v>296</v>
      </c>
      <c r="BW135" s="791">
        <v>5</v>
      </c>
      <c r="BX135" s="486"/>
    </row>
    <row r="136" spans="1:76" ht="13.5" customHeight="1" x14ac:dyDescent="0.3">
      <c r="A136" s="622"/>
      <c r="B136" s="47"/>
      <c r="C136" s="3" t="s">
        <v>46</v>
      </c>
      <c r="D136" s="926"/>
      <c r="E136" s="1315"/>
      <c r="F136" s="1316"/>
      <c r="G136" s="1316"/>
      <c r="H136" s="1316"/>
      <c r="I136" s="1316"/>
      <c r="J136" s="1316"/>
      <c r="K136" s="1316"/>
      <c r="L136" s="1316"/>
      <c r="M136" s="1356"/>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094"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33" t="s">
        <v>17</v>
      </c>
      <c r="BM136" s="791" t="s">
        <v>191</v>
      </c>
      <c r="BN136" s="770" t="s">
        <v>296</v>
      </c>
      <c r="BO136" s="654" t="s">
        <v>191</v>
      </c>
      <c r="BP136" s="466" t="s">
        <v>296</v>
      </c>
      <c r="BQ136" s="1108" t="s">
        <v>296</v>
      </c>
      <c r="BR136" s="791" t="s">
        <v>191</v>
      </c>
      <c r="BS136" s="807" t="s">
        <v>47</v>
      </c>
      <c r="BT136" s="995" t="s">
        <v>296</v>
      </c>
      <c r="BU136" s="654" t="s">
        <v>191</v>
      </c>
      <c r="BV136" s="722" t="s">
        <v>296</v>
      </c>
      <c r="BW136" s="791" t="s">
        <v>191</v>
      </c>
      <c r="BX136" s="486"/>
    </row>
    <row r="137" spans="1:76" ht="13.5" customHeight="1" x14ac:dyDescent="0.3">
      <c r="A137" s="622"/>
      <c r="B137" s="47"/>
      <c r="C137" s="3" t="s">
        <v>1395</v>
      </c>
      <c r="D137" s="926"/>
      <c r="E137" s="1315"/>
      <c r="F137" s="1316"/>
      <c r="G137" s="1316"/>
      <c r="H137" s="1316"/>
      <c r="I137" s="1316"/>
      <c r="J137" s="1316"/>
      <c r="K137" s="1316"/>
      <c r="L137" s="1316"/>
      <c r="M137" s="1356"/>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093"/>
      <c r="BA137" s="714"/>
      <c r="BB137" s="476"/>
      <c r="BC137" s="1231"/>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09" t="s">
        <v>1396</v>
      </c>
      <c r="BR137" s="791" t="s">
        <v>1396</v>
      </c>
      <c r="BS137" s="661"/>
      <c r="BT137" s="784"/>
      <c r="BU137" s="706" t="s">
        <v>1398</v>
      </c>
      <c r="BV137" s="304" t="s">
        <v>1396</v>
      </c>
      <c r="BW137" s="791" t="s">
        <v>1396</v>
      </c>
      <c r="BX137" s="486"/>
    </row>
    <row r="138" spans="1:76" ht="13.5" customHeight="1" x14ac:dyDescent="0.3">
      <c r="A138" s="622"/>
      <c r="B138" s="47"/>
      <c r="C138" s="3" t="s">
        <v>48</v>
      </c>
      <c r="D138" s="926"/>
      <c r="E138" s="1315"/>
      <c r="F138" s="1316"/>
      <c r="G138" s="1316"/>
      <c r="H138" s="1316"/>
      <c r="I138" s="1316"/>
      <c r="J138" s="1316"/>
      <c r="K138" s="1316"/>
      <c r="L138" s="1316"/>
      <c r="M138" s="1356"/>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77"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04" t="s">
        <v>670</v>
      </c>
      <c r="BR138" s="786" t="s">
        <v>670</v>
      </c>
      <c r="BS138" s="807" t="s">
        <v>8</v>
      </c>
      <c r="BT138" s="250" t="s">
        <v>50</v>
      </c>
      <c r="BU138" s="654" t="s">
        <v>8</v>
      </c>
      <c r="BV138" s="720" t="s">
        <v>670</v>
      </c>
      <c r="BW138" s="786" t="s">
        <v>670</v>
      </c>
      <c r="BX138" s="486" t="s">
        <v>675</v>
      </c>
    </row>
    <row r="139" spans="1:76" ht="13.5" customHeight="1" x14ac:dyDescent="0.3">
      <c r="A139" s="622"/>
      <c r="B139" s="47"/>
      <c r="C139" s="3" t="s">
        <v>49</v>
      </c>
      <c r="D139" s="926"/>
      <c r="E139" s="1315"/>
      <c r="F139" s="1316"/>
      <c r="G139" s="1316"/>
      <c r="H139" s="1316"/>
      <c r="I139" s="1316"/>
      <c r="J139" s="1316"/>
      <c r="K139" s="1316"/>
      <c r="L139" s="1316"/>
      <c r="M139" s="1356"/>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77"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customHeight="1" x14ac:dyDescent="0.3">
      <c r="A140" s="622"/>
      <c r="B140" s="47"/>
      <c r="C140" s="3" t="s">
        <v>51</v>
      </c>
      <c r="D140" s="926"/>
      <c r="E140" s="1315"/>
      <c r="F140" s="1316"/>
      <c r="G140" s="1316"/>
      <c r="H140" s="1316"/>
      <c r="I140" s="1316"/>
      <c r="J140" s="1316"/>
      <c r="K140" s="1316"/>
      <c r="L140" s="1316"/>
      <c r="M140" s="1356"/>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77"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3">
      <c r="A141" s="622"/>
      <c r="B141" s="47"/>
      <c r="C141" s="3" t="s">
        <v>52</v>
      </c>
      <c r="D141" s="926"/>
      <c r="E141" s="1315"/>
      <c r="F141" s="1316"/>
      <c r="G141" s="1316"/>
      <c r="H141" s="1316"/>
      <c r="I141" s="1316"/>
      <c r="J141" s="1316"/>
      <c r="K141" s="1316"/>
      <c r="L141" s="1316"/>
      <c r="M141" s="1356"/>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77"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3">
      <c r="A142" s="622"/>
      <c r="B142" s="47"/>
      <c r="C142" s="3" t="s">
        <v>54</v>
      </c>
      <c r="D142" s="926"/>
      <c r="E142" s="1315"/>
      <c r="F142" s="1316"/>
      <c r="G142" s="1316"/>
      <c r="H142" s="1316"/>
      <c r="I142" s="1316"/>
      <c r="J142" s="1316"/>
      <c r="K142" s="1316"/>
      <c r="L142" s="1316"/>
      <c r="M142" s="1356"/>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77"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3">
      <c r="A143" s="622"/>
      <c r="B143" s="47"/>
      <c r="C143" s="3" t="s">
        <v>55</v>
      </c>
      <c r="D143" s="926"/>
      <c r="E143" s="1315"/>
      <c r="F143" s="1316"/>
      <c r="G143" s="1316"/>
      <c r="H143" s="1316"/>
      <c r="I143" s="1316"/>
      <c r="J143" s="1316"/>
      <c r="K143" s="1316"/>
      <c r="L143" s="1316"/>
      <c r="M143" s="1356"/>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77"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3">
      <c r="A144" s="622"/>
      <c r="B144" s="47"/>
      <c r="C144" s="3" t="s">
        <v>278</v>
      </c>
      <c r="D144" s="926"/>
      <c r="E144" s="1315"/>
      <c r="F144" s="1316"/>
      <c r="G144" s="1316"/>
      <c r="H144" s="1316"/>
      <c r="I144" s="1316"/>
      <c r="J144" s="1316"/>
      <c r="K144" s="1316"/>
      <c r="L144" s="1316"/>
      <c r="M144" s="1356"/>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77"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3">
      <c r="A145" s="622"/>
      <c r="B145" s="47"/>
      <c r="C145" s="3" t="s">
        <v>174</v>
      </c>
      <c r="D145" s="926"/>
      <c r="E145" s="1315"/>
      <c r="F145" s="1316"/>
      <c r="G145" s="1316"/>
      <c r="H145" s="1316"/>
      <c r="I145" s="1316"/>
      <c r="J145" s="1316"/>
      <c r="K145" s="1316"/>
      <c r="L145" s="1316"/>
      <c r="M145" s="1356"/>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77"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66" t="s">
        <v>17</v>
      </c>
      <c r="BN145" s="364" t="s">
        <v>17</v>
      </c>
      <c r="BO145" s="494" t="s">
        <v>17</v>
      </c>
      <c r="BP145" s="109" t="s">
        <v>17</v>
      </c>
      <c r="BQ145" s="110" t="s">
        <v>671</v>
      </c>
      <c r="BR145" s="966" t="s">
        <v>17</v>
      </c>
      <c r="BS145" s="807" t="s">
        <v>433</v>
      </c>
      <c r="BT145" s="250" t="s">
        <v>17</v>
      </c>
      <c r="BU145" s="110" t="s">
        <v>17</v>
      </c>
      <c r="BV145" s="20" t="s">
        <v>671</v>
      </c>
      <c r="BW145" s="791" t="s">
        <v>17</v>
      </c>
      <c r="BX145" s="984" t="s">
        <v>679</v>
      </c>
    </row>
    <row r="146" spans="1:365" s="423" customFormat="1" ht="13.5" customHeight="1" x14ac:dyDescent="0.3">
      <c r="A146" s="622"/>
      <c r="B146" s="65"/>
      <c r="C146" s="161" t="s">
        <v>584</v>
      </c>
      <c r="D146" s="926"/>
      <c r="E146" s="1315"/>
      <c r="F146" s="1316"/>
      <c r="G146" s="1316"/>
      <c r="H146" s="1316"/>
      <c r="I146" s="1316"/>
      <c r="J146" s="1316"/>
      <c r="K146" s="1316"/>
      <c r="L146" s="1316"/>
      <c r="M146" s="1356"/>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77"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39"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3">
      <c r="A147" s="622"/>
      <c r="B147" s="65"/>
      <c r="C147" s="161" t="s">
        <v>585</v>
      </c>
      <c r="D147" s="926"/>
      <c r="E147" s="1315"/>
      <c r="F147" s="1316"/>
      <c r="G147" s="1316"/>
      <c r="H147" s="1316"/>
      <c r="I147" s="1316"/>
      <c r="J147" s="1316"/>
      <c r="K147" s="1316"/>
      <c r="L147" s="1316"/>
      <c r="M147" s="1356"/>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77"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39"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3">
      <c r="A148" s="622"/>
      <c r="B148" s="49"/>
      <c r="C148" s="3" t="s">
        <v>443</v>
      </c>
      <c r="D148" s="926"/>
      <c r="E148" s="1315"/>
      <c r="F148" s="1316"/>
      <c r="G148" s="1316"/>
      <c r="H148" s="1316"/>
      <c r="I148" s="1316"/>
      <c r="J148" s="1316"/>
      <c r="K148" s="1316"/>
      <c r="L148" s="1316"/>
      <c r="M148" s="1356"/>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77"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39" t="s">
        <v>17</v>
      </c>
      <c r="BT148" s="250" t="s">
        <v>17</v>
      </c>
      <c r="BU148" s="654" t="s">
        <v>17</v>
      </c>
      <c r="BV148" s="708" t="s">
        <v>17</v>
      </c>
      <c r="BW148" s="109" t="s">
        <v>17</v>
      </c>
      <c r="BX148" s="486"/>
    </row>
    <row r="149" spans="1:365" ht="13.5" customHeight="1" x14ac:dyDescent="0.3">
      <c r="A149" s="622"/>
      <c r="B149" s="49"/>
      <c r="C149" s="161" t="s">
        <v>389</v>
      </c>
      <c r="D149" s="926"/>
      <c r="E149" s="1315"/>
      <c r="F149" s="1316"/>
      <c r="G149" s="1316"/>
      <c r="H149" s="1316"/>
      <c r="I149" s="1316"/>
      <c r="J149" s="1316"/>
      <c r="K149" s="1316"/>
      <c r="L149" s="1316"/>
      <c r="M149" s="1356"/>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81"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3">
      <c r="A150" s="622"/>
      <c r="B150" s="49"/>
      <c r="C150" s="162" t="s">
        <v>426</v>
      </c>
      <c r="D150" s="926"/>
      <c r="E150" s="1315"/>
      <c r="F150" s="1316"/>
      <c r="G150" s="1316"/>
      <c r="H150" s="1316"/>
      <c r="I150" s="1316"/>
      <c r="J150" s="1316"/>
      <c r="K150" s="1316"/>
      <c r="L150" s="1316"/>
      <c r="M150" s="1356"/>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77"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39" t="s">
        <v>17</v>
      </c>
      <c r="BT150" s="250" t="s">
        <v>17</v>
      </c>
      <c r="BU150" s="654" t="s">
        <v>17</v>
      </c>
      <c r="BV150" s="708" t="s">
        <v>17</v>
      </c>
      <c r="BW150" s="109" t="s">
        <v>17</v>
      </c>
      <c r="BX150" s="486"/>
    </row>
    <row r="151" spans="1:365" ht="13.5" customHeight="1" x14ac:dyDescent="0.3">
      <c r="A151" s="622"/>
      <c r="B151" s="49"/>
      <c r="C151" s="3" t="s">
        <v>427</v>
      </c>
      <c r="D151" s="926"/>
      <c r="E151" s="1315"/>
      <c r="F151" s="1316"/>
      <c r="G151" s="1316"/>
      <c r="H151" s="1316"/>
      <c r="I151" s="1316"/>
      <c r="J151" s="1316"/>
      <c r="K151" s="1316"/>
      <c r="L151" s="1316"/>
      <c r="M151" s="1356"/>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77"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3">
      <c r="A152" s="622"/>
      <c r="B152" s="49"/>
      <c r="C152" s="5" t="s">
        <v>1088</v>
      </c>
      <c r="D152" s="926"/>
      <c r="E152" s="1315"/>
      <c r="F152" s="1316"/>
      <c r="G152" s="1316"/>
      <c r="H152" s="1316"/>
      <c r="I152" s="1316"/>
      <c r="J152" s="1316"/>
      <c r="K152" s="1316"/>
      <c r="L152" s="1316"/>
      <c r="M152" s="1356"/>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78"/>
      <c r="BA152" s="321"/>
      <c r="BB152" s="164"/>
      <c r="BC152" s="475"/>
      <c r="BD152" s="658" t="s">
        <v>17</v>
      </c>
      <c r="BE152" s="708" t="s">
        <v>8</v>
      </c>
      <c r="BF152" s="109" t="s">
        <v>17</v>
      </c>
      <c r="BG152" s="364" t="s">
        <v>17</v>
      </c>
      <c r="BH152" s="1067" t="s">
        <v>8</v>
      </c>
      <c r="BI152" s="271" t="s">
        <v>17</v>
      </c>
      <c r="BJ152" s="971"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3">
      <c r="A153" s="622"/>
      <c r="B153" s="49"/>
      <c r="C153" s="5" t="s">
        <v>1087</v>
      </c>
      <c r="D153" s="926"/>
      <c r="E153" s="1315"/>
      <c r="F153" s="1316"/>
      <c r="G153" s="1316"/>
      <c r="H153" s="1316"/>
      <c r="I153" s="1316"/>
      <c r="J153" s="1316"/>
      <c r="K153" s="1316"/>
      <c r="L153" s="1316"/>
      <c r="M153" s="1356"/>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78"/>
      <c r="BA153" s="321"/>
      <c r="BB153" s="164"/>
      <c r="BC153" s="475"/>
      <c r="BD153" s="658" t="s">
        <v>17</v>
      </c>
      <c r="BE153" s="708" t="s">
        <v>17</v>
      </c>
      <c r="BF153" s="109" t="s">
        <v>17</v>
      </c>
      <c r="BG153" s="364" t="s">
        <v>17</v>
      </c>
      <c r="BH153" s="1067" t="s">
        <v>8</v>
      </c>
      <c r="BI153" s="271" t="s">
        <v>17</v>
      </c>
      <c r="BJ153" s="1002"/>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 customHeight="1" x14ac:dyDescent="0.3">
      <c r="A154" s="622"/>
      <c r="B154" s="49"/>
      <c r="C154" s="915" t="s">
        <v>1330</v>
      </c>
      <c r="D154" s="926"/>
      <c r="E154" s="1315"/>
      <c r="F154" s="1316"/>
      <c r="G154" s="1316"/>
      <c r="H154" s="1316"/>
      <c r="I154" s="1316"/>
      <c r="J154" s="1316"/>
      <c r="K154" s="1316"/>
      <c r="L154" s="1316"/>
      <c r="M154" s="1356"/>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78"/>
      <c r="BA154" s="321"/>
      <c r="BB154" s="164"/>
      <c r="BC154" s="475"/>
      <c r="BD154" s="654" t="s">
        <v>17</v>
      </c>
      <c r="BE154" s="708" t="s">
        <v>1331</v>
      </c>
      <c r="BF154" s="109" t="s">
        <v>17</v>
      </c>
      <c r="BG154" s="364" t="s">
        <v>17</v>
      </c>
      <c r="BH154" s="1067" t="s">
        <v>17</v>
      </c>
      <c r="BI154" s="271" t="s">
        <v>17</v>
      </c>
      <c r="BJ154" s="1007" t="s">
        <v>17</v>
      </c>
      <c r="BK154" s="654" t="s">
        <v>17</v>
      </c>
      <c r="BL154" s="712" t="s">
        <v>1500</v>
      </c>
      <c r="BM154" s="109" t="s">
        <v>17</v>
      </c>
      <c r="BN154" s="364" t="s">
        <v>17</v>
      </c>
      <c r="BO154" s="482" t="s">
        <v>17</v>
      </c>
      <c r="BP154" s="495" t="s">
        <v>1517</v>
      </c>
      <c r="BQ154" s="654" t="s">
        <v>1331</v>
      </c>
      <c r="BR154" s="109" t="s">
        <v>17</v>
      </c>
      <c r="BS154" s="370"/>
      <c r="BT154" s="456"/>
      <c r="BU154" s="654" t="s">
        <v>17</v>
      </c>
      <c r="BV154" s="708" t="s">
        <v>1331</v>
      </c>
      <c r="BW154" s="109" t="s">
        <v>17</v>
      </c>
      <c r="BX154" s="486"/>
    </row>
    <row r="155" spans="1:365" ht="13.5" customHeight="1" x14ac:dyDescent="0.3">
      <c r="A155" s="622"/>
      <c r="B155" s="231"/>
      <c r="C155" s="162" t="s">
        <v>1285</v>
      </c>
      <c r="D155" s="926"/>
      <c r="E155" s="1315"/>
      <c r="F155" s="1316"/>
      <c r="G155" s="1316"/>
      <c r="H155" s="1316"/>
      <c r="I155" s="1316"/>
      <c r="J155" s="1316"/>
      <c r="K155" s="1316"/>
      <c r="L155" s="1316"/>
      <c r="M155" s="1356"/>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77" t="s">
        <v>17</v>
      </c>
      <c r="BA155" s="809" t="s">
        <v>17</v>
      </c>
      <c r="BB155" s="170" t="s">
        <v>17</v>
      </c>
      <c r="BC155" s="809" t="s">
        <v>17</v>
      </c>
      <c r="BD155" s="654" t="s">
        <v>8</v>
      </c>
      <c r="BE155" s="708" t="s">
        <v>17</v>
      </c>
      <c r="BF155" s="791" t="s">
        <v>8</v>
      </c>
      <c r="BG155" s="364" t="s">
        <v>17</v>
      </c>
      <c r="BH155" s="1068" t="s">
        <v>17</v>
      </c>
      <c r="BI155" s="109" t="s">
        <v>17</v>
      </c>
      <c r="BJ155" s="1026" t="s">
        <v>17</v>
      </c>
      <c r="BK155" s="654" t="s">
        <v>8</v>
      </c>
      <c r="BL155" s="708" t="s">
        <v>17</v>
      </c>
      <c r="BM155" s="791" t="s">
        <v>8</v>
      </c>
      <c r="BN155" s="364" t="s">
        <v>17</v>
      </c>
      <c r="BO155" s="654" t="s">
        <v>8</v>
      </c>
      <c r="BP155" s="109" t="s">
        <v>17</v>
      </c>
      <c r="BQ155" s="654" t="s">
        <v>17</v>
      </c>
      <c r="BR155" s="791" t="s">
        <v>8</v>
      </c>
      <c r="BS155" s="1037" t="s">
        <v>8</v>
      </c>
      <c r="BT155" s="250" t="s">
        <v>17</v>
      </c>
      <c r="BU155" s="654" t="s">
        <v>8</v>
      </c>
      <c r="BV155" s="708" t="s">
        <v>17</v>
      </c>
      <c r="BW155" s="791" t="s">
        <v>8</v>
      </c>
      <c r="BX155" s="486"/>
    </row>
    <row r="156" spans="1:365" ht="13.5" customHeight="1" x14ac:dyDescent="0.3">
      <c r="A156" s="622"/>
      <c r="B156" s="48"/>
      <c r="C156" s="3" t="s">
        <v>1286</v>
      </c>
      <c r="D156" s="926"/>
      <c r="E156" s="1315"/>
      <c r="F156" s="1316"/>
      <c r="G156" s="1316"/>
      <c r="H156" s="1316"/>
      <c r="I156" s="1316"/>
      <c r="J156" s="1316"/>
      <c r="K156" s="1316"/>
      <c r="L156" s="1316"/>
      <c r="M156" s="1356"/>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77">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3">
      <c r="A157" s="622"/>
      <c r="B157" s="47"/>
      <c r="C157" s="3" t="s">
        <v>307</v>
      </c>
      <c r="D157" s="926"/>
      <c r="E157" s="1315"/>
      <c r="F157" s="1316"/>
      <c r="G157" s="1316"/>
      <c r="H157" s="1316"/>
      <c r="I157" s="1316"/>
      <c r="J157" s="1316"/>
      <c r="K157" s="1316"/>
      <c r="L157" s="1316"/>
      <c r="M157" s="1356"/>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51" t="s">
        <v>296</v>
      </c>
      <c r="AX157" s="26" t="s">
        <v>600</v>
      </c>
      <c r="AY157" s="131" t="s">
        <v>600</v>
      </c>
      <c r="AZ157" s="1077"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783" t="s">
        <v>17</v>
      </c>
      <c r="BM157" s="792" t="s">
        <v>296</v>
      </c>
      <c r="BN157" s="1126" t="s">
        <v>1100</v>
      </c>
      <c r="BO157" s="876" t="s">
        <v>1477</v>
      </c>
      <c r="BP157" s="131" t="s">
        <v>599</v>
      </c>
      <c r="BQ157" s="482" t="s">
        <v>600</v>
      </c>
      <c r="BR157" s="792" t="s">
        <v>296</v>
      </c>
      <c r="BS157" s="1039" t="s">
        <v>1099</v>
      </c>
      <c r="BT157" s="131" t="s">
        <v>296</v>
      </c>
      <c r="BU157" s="698" t="s">
        <v>1306</v>
      </c>
      <c r="BV157" s="723" t="s">
        <v>296</v>
      </c>
      <c r="BW157" s="792" t="s">
        <v>296</v>
      </c>
      <c r="BX157" s="985" t="s">
        <v>1305</v>
      </c>
    </row>
    <row r="158" spans="1:365" ht="13.5" customHeight="1" x14ac:dyDescent="0.3">
      <c r="A158" s="622"/>
      <c r="B158" s="47"/>
      <c r="C158" s="3" t="s">
        <v>308</v>
      </c>
      <c r="D158" s="926"/>
      <c r="E158" s="1315"/>
      <c r="F158" s="1316"/>
      <c r="G158" s="1316"/>
      <c r="H158" s="1316"/>
      <c r="I158" s="1316"/>
      <c r="J158" s="1316"/>
      <c r="K158" s="1316"/>
      <c r="L158" s="1316"/>
      <c r="M158" s="1356"/>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77"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296</v>
      </c>
      <c r="BS158" s="1039" t="s">
        <v>1100</v>
      </c>
      <c r="BT158" s="131" t="s">
        <v>1105</v>
      </c>
      <c r="BU158" s="698" t="s">
        <v>1307</v>
      </c>
      <c r="BV158" s="724" t="s">
        <v>1313</v>
      </c>
      <c r="BW158" s="792" t="s">
        <v>1316</v>
      </c>
      <c r="BX158" s="486"/>
    </row>
    <row r="159" spans="1:365" ht="13.5" customHeight="1" x14ac:dyDescent="0.3">
      <c r="A159" s="622"/>
      <c r="B159" s="47"/>
      <c r="C159" s="3" t="s">
        <v>309</v>
      </c>
      <c r="D159" s="926"/>
      <c r="E159" s="1315"/>
      <c r="F159" s="1316"/>
      <c r="G159" s="1316"/>
      <c r="H159" s="1316"/>
      <c r="I159" s="1316"/>
      <c r="J159" s="1316"/>
      <c r="K159" s="1316"/>
      <c r="L159" s="1316"/>
      <c r="M159" s="1356"/>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77"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39" t="s">
        <v>1101</v>
      </c>
      <c r="BT159" s="131" t="s">
        <v>1101</v>
      </c>
      <c r="BU159" s="698" t="s">
        <v>1308</v>
      </c>
      <c r="BV159" s="724" t="s">
        <v>1314</v>
      </c>
      <c r="BW159" s="792" t="s">
        <v>296</v>
      </c>
      <c r="BX159" s="486"/>
    </row>
    <row r="160" spans="1:365" ht="13.5" customHeight="1" x14ac:dyDescent="0.3">
      <c r="A160" s="622"/>
      <c r="B160" s="47"/>
      <c r="C160" s="3" t="s">
        <v>310</v>
      </c>
      <c r="D160" s="926"/>
      <c r="E160" s="1315"/>
      <c r="F160" s="1316"/>
      <c r="G160" s="1316"/>
      <c r="H160" s="1316"/>
      <c r="I160" s="1316"/>
      <c r="J160" s="1316"/>
      <c r="K160" s="1316"/>
      <c r="L160" s="1316"/>
      <c r="M160" s="1356"/>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77"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273" t="s">
        <v>1595</v>
      </c>
      <c r="BM160" s="792" t="s">
        <v>296</v>
      </c>
      <c r="BN160" s="364" t="s">
        <v>17</v>
      </c>
      <c r="BO160" s="482" t="s">
        <v>606</v>
      </c>
      <c r="BP160" s="650" t="s">
        <v>296</v>
      </c>
      <c r="BQ160" s="699" t="s">
        <v>296</v>
      </c>
      <c r="BR160" s="792" t="s">
        <v>296</v>
      </c>
      <c r="BS160" s="1039" t="s">
        <v>1102</v>
      </c>
      <c r="BT160" s="650" t="s">
        <v>296</v>
      </c>
      <c r="BU160" s="698" t="s">
        <v>1309</v>
      </c>
      <c r="BV160" s="723" t="s">
        <v>296</v>
      </c>
      <c r="BW160" s="792" t="s">
        <v>296</v>
      </c>
      <c r="BX160" s="985"/>
    </row>
    <row r="161" spans="1:76" ht="13.5" customHeight="1" x14ac:dyDescent="0.3">
      <c r="A161" s="622"/>
      <c r="B161" s="47"/>
      <c r="C161" s="3" t="s">
        <v>311</v>
      </c>
      <c r="D161" s="926"/>
      <c r="E161" s="1315"/>
      <c r="F161" s="1316"/>
      <c r="G161" s="1316"/>
      <c r="H161" s="1316"/>
      <c r="I161" s="1316"/>
      <c r="J161" s="1316"/>
      <c r="K161" s="1316"/>
      <c r="L161" s="1316"/>
      <c r="M161" s="1356"/>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38" t="s">
        <v>296</v>
      </c>
      <c r="AS161" s="939" t="s">
        <v>1106</v>
      </c>
      <c r="AT161" s="111" t="s">
        <v>17</v>
      </c>
      <c r="AU161" s="651" t="s">
        <v>604</v>
      </c>
      <c r="AV161" s="650" t="s">
        <v>604</v>
      </c>
      <c r="AW161" s="1151" t="s">
        <v>601</v>
      </c>
      <c r="AX161" s="26" t="s">
        <v>515</v>
      </c>
      <c r="AY161" s="131" t="s">
        <v>515</v>
      </c>
      <c r="AZ161" s="1077"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45" t="s">
        <v>296</v>
      </c>
      <c r="BT161" s="131" t="s">
        <v>1106</v>
      </c>
      <c r="BU161" s="699" t="s">
        <v>296</v>
      </c>
      <c r="BV161" s="724" t="s">
        <v>1315</v>
      </c>
      <c r="BW161" s="792" t="s">
        <v>296</v>
      </c>
      <c r="BX161" s="486"/>
    </row>
    <row r="162" spans="1:76" ht="13.5" customHeight="1" x14ac:dyDescent="0.3">
      <c r="A162" s="622"/>
      <c r="B162" s="47"/>
      <c r="C162" s="3" t="s">
        <v>312</v>
      </c>
      <c r="D162" s="926"/>
      <c r="E162" s="1315"/>
      <c r="F162" s="1316"/>
      <c r="G162" s="1316"/>
      <c r="H162" s="1316"/>
      <c r="I162" s="1316"/>
      <c r="J162" s="1316"/>
      <c r="K162" s="1316"/>
      <c r="L162" s="1316"/>
      <c r="M162" s="1356"/>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51" t="s">
        <v>296</v>
      </c>
      <c r="AX162" s="26" t="s">
        <v>519</v>
      </c>
      <c r="AY162" s="131" t="s">
        <v>519</v>
      </c>
      <c r="AZ162" s="1077"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39" t="s">
        <v>1103</v>
      </c>
      <c r="BT162" s="131" t="s">
        <v>1107</v>
      </c>
      <c r="BU162" s="698" t="s">
        <v>1310</v>
      </c>
      <c r="BV162" s="724" t="s">
        <v>296</v>
      </c>
      <c r="BW162" s="792" t="s">
        <v>296</v>
      </c>
      <c r="BX162" s="985" t="s">
        <v>689</v>
      </c>
    </row>
    <row r="163" spans="1:76" ht="13.5" customHeight="1" x14ac:dyDescent="0.3">
      <c r="A163" s="622"/>
      <c r="B163" s="47"/>
      <c r="C163" s="3" t="s">
        <v>313</v>
      </c>
      <c r="D163" s="926"/>
      <c r="E163" s="1315"/>
      <c r="F163" s="1316"/>
      <c r="G163" s="1316"/>
      <c r="H163" s="1316"/>
      <c r="I163" s="1316"/>
      <c r="J163" s="1316"/>
      <c r="K163" s="1316"/>
      <c r="L163" s="1316"/>
      <c r="M163" s="1356"/>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77"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39" t="s">
        <v>1104</v>
      </c>
      <c r="BT163" s="650" t="s">
        <v>296</v>
      </c>
      <c r="BU163" s="698" t="s">
        <v>1311</v>
      </c>
      <c r="BV163" s="723" t="s">
        <v>296</v>
      </c>
      <c r="BW163" s="792" t="s">
        <v>296</v>
      </c>
      <c r="BX163" s="486"/>
    </row>
    <row r="164" spans="1:76" ht="13.5" customHeight="1" x14ac:dyDescent="0.3">
      <c r="A164" s="622"/>
      <c r="B164" s="47"/>
      <c r="C164" s="3" t="s">
        <v>314</v>
      </c>
      <c r="D164" s="926"/>
      <c r="E164" s="1315"/>
      <c r="F164" s="1316"/>
      <c r="G164" s="1316"/>
      <c r="H164" s="1316"/>
      <c r="I164" s="1316"/>
      <c r="J164" s="1316"/>
      <c r="K164" s="1316"/>
      <c r="L164" s="1316"/>
      <c r="M164" s="1356"/>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38" t="s">
        <v>296</v>
      </c>
      <c r="AS164" s="742" t="s">
        <v>296</v>
      </c>
      <c r="AT164" s="111" t="s">
        <v>17</v>
      </c>
      <c r="AU164" s="651" t="s">
        <v>606</v>
      </c>
      <c r="AV164" s="650" t="s">
        <v>296</v>
      </c>
      <c r="AW164" s="1151" t="s">
        <v>296</v>
      </c>
      <c r="AX164" s="26" t="s">
        <v>606</v>
      </c>
      <c r="AY164" s="650" t="s">
        <v>601</v>
      </c>
      <c r="AZ164" s="1077"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1591</v>
      </c>
      <c r="BS164" s="1045" t="s">
        <v>296</v>
      </c>
      <c r="BT164" s="650" t="s">
        <v>296</v>
      </c>
      <c r="BU164" s="699" t="s">
        <v>1312</v>
      </c>
      <c r="BV164" s="723" t="s">
        <v>1312</v>
      </c>
      <c r="BW164" s="792" t="s">
        <v>1317</v>
      </c>
      <c r="BX164" s="486"/>
    </row>
    <row r="165" spans="1:76" ht="13.5" customHeight="1" x14ac:dyDescent="0.3">
      <c r="A165" s="622"/>
      <c r="B165" s="47"/>
      <c r="C165" s="3" t="s">
        <v>146</v>
      </c>
      <c r="D165" s="926"/>
      <c r="E165" s="1315"/>
      <c r="F165" s="1316"/>
      <c r="G165" s="1316"/>
      <c r="H165" s="1316"/>
      <c r="I165" s="1316"/>
      <c r="J165" s="1316"/>
      <c r="K165" s="1316"/>
      <c r="L165" s="1316"/>
      <c r="M165" s="1356"/>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77"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3">
      <c r="A166" s="622"/>
      <c r="B166" s="47"/>
      <c r="C166" s="3" t="s">
        <v>147</v>
      </c>
      <c r="D166" s="926"/>
      <c r="E166" s="1315"/>
      <c r="F166" s="1316"/>
      <c r="G166" s="1316"/>
      <c r="H166" s="1316"/>
      <c r="I166" s="1316"/>
      <c r="J166" s="1316"/>
      <c r="K166" s="1316"/>
      <c r="L166" s="1316"/>
      <c r="M166" s="1356"/>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81" t="s">
        <v>590</v>
      </c>
      <c r="BA166" s="20" t="s">
        <v>379</v>
      </c>
      <c r="BB166" s="216" t="s">
        <v>590</v>
      </c>
      <c r="BC166" s="20" t="s">
        <v>379</v>
      </c>
      <c r="BD166" s="110" t="s">
        <v>590</v>
      </c>
      <c r="BE166" s="20" t="s">
        <v>590</v>
      </c>
      <c r="BF166" s="111" t="s">
        <v>590</v>
      </c>
      <c r="BG166" s="365" t="s">
        <v>590</v>
      </c>
      <c r="BH166" s="82" t="s">
        <v>379</v>
      </c>
      <c r="BI166" s="111" t="s">
        <v>590</v>
      </c>
      <c r="BJ166" s="1007" t="s">
        <v>379</v>
      </c>
      <c r="BK166" s="110" t="s">
        <v>590</v>
      </c>
      <c r="BL166" s="20" t="s">
        <v>590</v>
      </c>
      <c r="BM166" s="111" t="s">
        <v>590</v>
      </c>
      <c r="BN166" s="365" t="s">
        <v>590</v>
      </c>
      <c r="BO166" s="879" t="s">
        <v>590</v>
      </c>
      <c r="BP166" s="111" t="s">
        <v>590</v>
      </c>
      <c r="BQ166" s="110" t="s">
        <v>590</v>
      </c>
      <c r="BR166" s="967" t="s">
        <v>590</v>
      </c>
      <c r="BS166" s="1039" t="s">
        <v>590</v>
      </c>
      <c r="BT166" s="131" t="s">
        <v>590</v>
      </c>
      <c r="BU166" s="110" t="s">
        <v>590</v>
      </c>
      <c r="BV166" s="20" t="s">
        <v>590</v>
      </c>
      <c r="BW166" s="111" t="s">
        <v>590</v>
      </c>
      <c r="BX166" s="486" t="s">
        <v>681</v>
      </c>
    </row>
    <row r="167" spans="1:76" ht="13.5" customHeight="1" x14ac:dyDescent="0.3">
      <c r="A167" s="622"/>
      <c r="B167" s="47"/>
      <c r="C167" s="3" t="s">
        <v>148</v>
      </c>
      <c r="D167" s="926"/>
      <c r="E167" s="1315"/>
      <c r="F167" s="1316"/>
      <c r="G167" s="1316"/>
      <c r="H167" s="1316"/>
      <c r="I167" s="1316"/>
      <c r="J167" s="1316"/>
      <c r="K167" s="1316"/>
      <c r="L167" s="1316"/>
      <c r="M167" s="1356"/>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81" t="s">
        <v>488</v>
      </c>
      <c r="BA167" s="20" t="s">
        <v>361</v>
      </c>
      <c r="BB167" s="216" t="s">
        <v>488</v>
      </c>
      <c r="BC167" s="20" t="s">
        <v>361</v>
      </c>
      <c r="BD167" s="110" t="s">
        <v>56</v>
      </c>
      <c r="BE167" s="20" t="s">
        <v>488</v>
      </c>
      <c r="BF167" s="111" t="s">
        <v>488</v>
      </c>
      <c r="BG167" s="365" t="s">
        <v>488</v>
      </c>
      <c r="BH167" s="82" t="s">
        <v>361</v>
      </c>
      <c r="BI167" s="109" t="s">
        <v>488</v>
      </c>
      <c r="BJ167" s="1007" t="s">
        <v>361</v>
      </c>
      <c r="BK167" s="110" t="s">
        <v>56</v>
      </c>
      <c r="BL167" s="20" t="s">
        <v>488</v>
      </c>
      <c r="BM167" s="111" t="s">
        <v>488</v>
      </c>
      <c r="BN167" s="364" t="s">
        <v>488</v>
      </c>
      <c r="BO167" s="657" t="s">
        <v>56</v>
      </c>
      <c r="BP167" s="109" t="s">
        <v>488</v>
      </c>
      <c r="BQ167" s="110" t="s">
        <v>488</v>
      </c>
      <c r="BR167" s="250" t="s">
        <v>488</v>
      </c>
      <c r="BS167" s="1039" t="s">
        <v>56</v>
      </c>
      <c r="BT167" s="131" t="s">
        <v>488</v>
      </c>
      <c r="BU167" s="110" t="s">
        <v>56</v>
      </c>
      <c r="BV167" s="20" t="s">
        <v>488</v>
      </c>
      <c r="BW167" s="111" t="s">
        <v>488</v>
      </c>
      <c r="BX167" s="486" t="s">
        <v>681</v>
      </c>
    </row>
    <row r="168" spans="1:76" ht="13.5" customHeight="1" x14ac:dyDescent="0.3">
      <c r="A168" s="622"/>
      <c r="B168" s="47"/>
      <c r="C168" s="3" t="s">
        <v>149</v>
      </c>
      <c r="D168" s="926"/>
      <c r="E168" s="1315"/>
      <c r="F168" s="1316"/>
      <c r="G168" s="1316"/>
      <c r="H168" s="1316"/>
      <c r="I168" s="1316"/>
      <c r="J168" s="1316"/>
      <c r="K168" s="1316"/>
      <c r="L168" s="1316"/>
      <c r="M168" s="1356"/>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81" t="s">
        <v>488</v>
      </c>
      <c r="BA168" s="20" t="s">
        <v>361</v>
      </c>
      <c r="BB168" s="216" t="s">
        <v>488</v>
      </c>
      <c r="BC168" s="20" t="s">
        <v>361</v>
      </c>
      <c r="BD168" s="110" t="s">
        <v>56</v>
      </c>
      <c r="BE168" s="20" t="s">
        <v>488</v>
      </c>
      <c r="BF168" s="111" t="s">
        <v>488</v>
      </c>
      <c r="BG168" s="365" t="s">
        <v>488</v>
      </c>
      <c r="BH168" s="82" t="s">
        <v>361</v>
      </c>
      <c r="BI168" s="109" t="s">
        <v>488</v>
      </c>
      <c r="BJ168" s="1007" t="s">
        <v>361</v>
      </c>
      <c r="BK168" s="110" t="s">
        <v>56</v>
      </c>
      <c r="BL168" s="20" t="s">
        <v>488</v>
      </c>
      <c r="BM168" s="111" t="s">
        <v>488</v>
      </c>
      <c r="BN168" s="364" t="s">
        <v>488</v>
      </c>
      <c r="BO168" s="657" t="s">
        <v>56</v>
      </c>
      <c r="BP168" s="109" t="s">
        <v>488</v>
      </c>
      <c r="BQ168" s="110" t="s">
        <v>488</v>
      </c>
      <c r="BR168" s="250" t="s">
        <v>488</v>
      </c>
      <c r="BS168" s="1039" t="s">
        <v>56</v>
      </c>
      <c r="BT168" s="131" t="s">
        <v>488</v>
      </c>
      <c r="BU168" s="110" t="s">
        <v>56</v>
      </c>
      <c r="BV168" s="20" t="s">
        <v>488</v>
      </c>
      <c r="BW168" s="111" t="s">
        <v>488</v>
      </c>
      <c r="BX168" s="486" t="s">
        <v>681</v>
      </c>
    </row>
    <row r="169" spans="1:76" ht="13.5" customHeight="1" x14ac:dyDescent="0.3">
      <c r="A169" s="622"/>
      <c r="B169" s="47"/>
      <c r="C169" s="3" t="s">
        <v>150</v>
      </c>
      <c r="D169" s="926"/>
      <c r="E169" s="1315"/>
      <c r="F169" s="1316"/>
      <c r="G169" s="1316"/>
      <c r="H169" s="1316"/>
      <c r="I169" s="1316"/>
      <c r="J169" s="1316"/>
      <c r="K169" s="1316"/>
      <c r="L169" s="1316"/>
      <c r="M169" s="1356"/>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81" t="s">
        <v>488</v>
      </c>
      <c r="BA169" s="20" t="s">
        <v>361</v>
      </c>
      <c r="BB169" s="216" t="s">
        <v>488</v>
      </c>
      <c r="BC169" s="20" t="s">
        <v>361</v>
      </c>
      <c r="BD169" s="110" t="s">
        <v>56</v>
      </c>
      <c r="BE169" s="20" t="s">
        <v>488</v>
      </c>
      <c r="BF169" s="111" t="s">
        <v>488</v>
      </c>
      <c r="BG169" s="365" t="s">
        <v>488</v>
      </c>
      <c r="BH169" s="82" t="s">
        <v>361</v>
      </c>
      <c r="BI169" s="109" t="s">
        <v>488</v>
      </c>
      <c r="BJ169" s="1007" t="s">
        <v>361</v>
      </c>
      <c r="BK169" s="110" t="s">
        <v>56</v>
      </c>
      <c r="BL169" s="20" t="s">
        <v>488</v>
      </c>
      <c r="BM169" s="111" t="s">
        <v>488</v>
      </c>
      <c r="BN169" s="364" t="s">
        <v>488</v>
      </c>
      <c r="BO169" s="879" t="s">
        <v>56</v>
      </c>
      <c r="BP169" s="109" t="s">
        <v>488</v>
      </c>
      <c r="BQ169" s="110" t="s">
        <v>488</v>
      </c>
      <c r="BR169" s="250" t="s">
        <v>488</v>
      </c>
      <c r="BS169" s="1039" t="s">
        <v>56</v>
      </c>
      <c r="BT169" s="131" t="s">
        <v>488</v>
      </c>
      <c r="BU169" s="110" t="s">
        <v>56</v>
      </c>
      <c r="BV169" s="20" t="s">
        <v>488</v>
      </c>
      <c r="BW169" s="111" t="s">
        <v>488</v>
      </c>
      <c r="BX169" s="486" t="s">
        <v>681</v>
      </c>
    </row>
    <row r="170" spans="1:76" ht="13.5" customHeight="1" x14ac:dyDescent="0.3">
      <c r="A170" s="622"/>
      <c r="B170" s="47"/>
      <c r="C170" s="3" t="s">
        <v>151</v>
      </c>
      <c r="D170" s="926"/>
      <c r="E170" s="1315"/>
      <c r="F170" s="1316"/>
      <c r="G170" s="1316"/>
      <c r="H170" s="1316"/>
      <c r="I170" s="1316"/>
      <c r="J170" s="1316"/>
      <c r="K170" s="1316"/>
      <c r="L170" s="1316"/>
      <c r="M170" s="1356"/>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81" t="s">
        <v>590</v>
      </c>
      <c r="BA170" s="20" t="s">
        <v>153</v>
      </c>
      <c r="BB170" s="216" t="s">
        <v>590</v>
      </c>
      <c r="BC170" s="20" t="s">
        <v>153</v>
      </c>
      <c r="BD170" s="110" t="s">
        <v>590</v>
      </c>
      <c r="BE170" s="20" t="s">
        <v>590</v>
      </c>
      <c r="BF170" s="111" t="s">
        <v>590</v>
      </c>
      <c r="BG170" s="365" t="s">
        <v>590</v>
      </c>
      <c r="BH170" s="84" t="s">
        <v>153</v>
      </c>
      <c r="BI170" s="111" t="s">
        <v>590</v>
      </c>
      <c r="BJ170" s="1007" t="s">
        <v>153</v>
      </c>
      <c r="BK170" s="110" t="s">
        <v>590</v>
      </c>
      <c r="BL170" s="20" t="s">
        <v>590</v>
      </c>
      <c r="BM170" s="111" t="s">
        <v>590</v>
      </c>
      <c r="BN170" s="365" t="s">
        <v>590</v>
      </c>
      <c r="BO170" s="879" t="s">
        <v>590</v>
      </c>
      <c r="BP170" s="111" t="s">
        <v>590</v>
      </c>
      <c r="BQ170" s="110" t="s">
        <v>590</v>
      </c>
      <c r="BR170" s="967" t="s">
        <v>590</v>
      </c>
      <c r="BS170" s="1039" t="s">
        <v>590</v>
      </c>
      <c r="BT170" s="131" t="s">
        <v>590</v>
      </c>
      <c r="BU170" s="110" t="s">
        <v>590</v>
      </c>
      <c r="BV170" s="20" t="s">
        <v>590</v>
      </c>
      <c r="BW170" s="111" t="s">
        <v>590</v>
      </c>
      <c r="BX170" s="486" t="s">
        <v>681</v>
      </c>
    </row>
    <row r="171" spans="1:76" ht="13.5" customHeight="1" x14ac:dyDescent="0.3">
      <c r="A171" s="622"/>
      <c r="B171" s="47"/>
      <c r="C171" s="3" t="s">
        <v>152</v>
      </c>
      <c r="D171" s="926"/>
      <c r="E171" s="1315"/>
      <c r="F171" s="1316"/>
      <c r="G171" s="1316"/>
      <c r="H171" s="1316"/>
      <c r="I171" s="1316"/>
      <c r="J171" s="1316"/>
      <c r="K171" s="1316"/>
      <c r="L171" s="1316"/>
      <c r="M171" s="1356"/>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81" t="s">
        <v>590</v>
      </c>
      <c r="BA171" s="110" t="s">
        <v>379</v>
      </c>
      <c r="BB171" s="216" t="s">
        <v>590</v>
      </c>
      <c r="BC171" s="110" t="s">
        <v>379</v>
      </c>
      <c r="BD171" s="110" t="s">
        <v>590</v>
      </c>
      <c r="BE171" s="20" t="s">
        <v>590</v>
      </c>
      <c r="BF171" s="111" t="s">
        <v>590</v>
      </c>
      <c r="BG171" s="365" t="s">
        <v>590</v>
      </c>
      <c r="BH171" s="82" t="s">
        <v>379</v>
      </c>
      <c r="BI171" s="111" t="s">
        <v>590</v>
      </c>
      <c r="BJ171" s="1007" t="s">
        <v>379</v>
      </c>
      <c r="BK171" s="110" t="s">
        <v>590</v>
      </c>
      <c r="BL171" s="20" t="s">
        <v>590</v>
      </c>
      <c r="BM171" s="111" t="s">
        <v>590</v>
      </c>
      <c r="BN171" s="365" t="s">
        <v>590</v>
      </c>
      <c r="BO171" s="879" t="s">
        <v>590</v>
      </c>
      <c r="BP171" s="111" t="s">
        <v>590</v>
      </c>
      <c r="BQ171" s="110" t="s">
        <v>590</v>
      </c>
      <c r="BR171" s="967" t="s">
        <v>590</v>
      </c>
      <c r="BS171" s="1039" t="s">
        <v>590</v>
      </c>
      <c r="BT171" s="131" t="s">
        <v>590</v>
      </c>
      <c r="BU171" s="110" t="s">
        <v>590</v>
      </c>
      <c r="BV171" s="20" t="s">
        <v>590</v>
      </c>
      <c r="BW171" s="111" t="s">
        <v>590</v>
      </c>
      <c r="BX171" s="486" t="s">
        <v>681</v>
      </c>
    </row>
    <row r="172" spans="1:76" ht="13.5" customHeight="1" x14ac:dyDescent="0.3">
      <c r="A172" s="622"/>
      <c r="B172" s="47"/>
      <c r="C172" s="3" t="s">
        <v>225</v>
      </c>
      <c r="D172" s="926"/>
      <c r="E172" s="1315"/>
      <c r="F172" s="1316"/>
      <c r="G172" s="1316"/>
      <c r="H172" s="1316"/>
      <c r="I172" s="1316"/>
      <c r="J172" s="1316"/>
      <c r="K172" s="1316"/>
      <c r="L172" s="1316"/>
      <c r="M172" s="1356"/>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81" t="s">
        <v>17</v>
      </c>
      <c r="BA172" s="110" t="s">
        <v>17</v>
      </c>
      <c r="BB172" s="216" t="s">
        <v>17</v>
      </c>
      <c r="BC172" s="110" t="s">
        <v>17</v>
      </c>
      <c r="BD172" s="110" t="s">
        <v>343</v>
      </c>
      <c r="BE172" s="20" t="s">
        <v>17</v>
      </c>
      <c r="BF172" s="111" t="s">
        <v>17</v>
      </c>
      <c r="BG172" s="365" t="s">
        <v>17</v>
      </c>
      <c r="BH172" s="80" t="s">
        <v>17</v>
      </c>
      <c r="BI172" s="109" t="s">
        <v>17</v>
      </c>
      <c r="BJ172" s="1007" t="s">
        <v>17</v>
      </c>
      <c r="BK172" s="110" t="s">
        <v>343</v>
      </c>
      <c r="BL172" s="20" t="s">
        <v>17</v>
      </c>
      <c r="BM172" s="111" t="s">
        <v>17</v>
      </c>
      <c r="BN172" s="364" t="s">
        <v>17</v>
      </c>
      <c r="BO172" s="879" t="s">
        <v>343</v>
      </c>
      <c r="BP172" s="109" t="s">
        <v>17</v>
      </c>
      <c r="BQ172" s="110" t="s">
        <v>17</v>
      </c>
      <c r="BR172" s="793" t="s">
        <v>17</v>
      </c>
      <c r="BS172" s="1039" t="s">
        <v>343</v>
      </c>
      <c r="BT172" s="131" t="s">
        <v>17</v>
      </c>
      <c r="BU172" s="110" t="s">
        <v>343</v>
      </c>
      <c r="BV172" s="20" t="s">
        <v>17</v>
      </c>
      <c r="BW172" s="111" t="s">
        <v>17</v>
      </c>
      <c r="BX172" s="486"/>
    </row>
    <row r="173" spans="1:76" ht="13.5" customHeight="1" x14ac:dyDescent="0.3">
      <c r="A173" s="622"/>
      <c r="B173" s="47"/>
      <c r="C173" s="3" t="s">
        <v>105</v>
      </c>
      <c r="D173" s="926"/>
      <c r="E173" s="1315"/>
      <c r="F173" s="1316"/>
      <c r="G173" s="1316"/>
      <c r="H173" s="1316"/>
      <c r="I173" s="1316"/>
      <c r="J173" s="1316"/>
      <c r="K173" s="1316"/>
      <c r="L173" s="1316"/>
      <c r="M173" s="1356"/>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81" t="s">
        <v>17</v>
      </c>
      <c r="BA173" s="110" t="s">
        <v>17</v>
      </c>
      <c r="BB173" s="216" t="s">
        <v>17</v>
      </c>
      <c r="BC173" s="110" t="s">
        <v>17</v>
      </c>
      <c r="BD173" s="110" t="s">
        <v>343</v>
      </c>
      <c r="BE173" s="20" t="s">
        <v>17</v>
      </c>
      <c r="BF173" s="111" t="s">
        <v>17</v>
      </c>
      <c r="BG173" s="365" t="s">
        <v>17</v>
      </c>
      <c r="BH173" s="80" t="s">
        <v>17</v>
      </c>
      <c r="BI173" s="109" t="s">
        <v>17</v>
      </c>
      <c r="BJ173" s="1007" t="s">
        <v>17</v>
      </c>
      <c r="BK173" s="110" t="s">
        <v>343</v>
      </c>
      <c r="BL173" s="20" t="s">
        <v>17</v>
      </c>
      <c r="BM173" s="111" t="s">
        <v>17</v>
      </c>
      <c r="BN173" s="364" t="s">
        <v>17</v>
      </c>
      <c r="BO173" s="880" t="s">
        <v>343</v>
      </c>
      <c r="BP173" s="111" t="s">
        <v>17</v>
      </c>
      <c r="BQ173" s="110" t="s">
        <v>17</v>
      </c>
      <c r="BR173" s="793" t="s">
        <v>17</v>
      </c>
      <c r="BS173" s="1039" t="s">
        <v>591</v>
      </c>
      <c r="BT173" s="131" t="s">
        <v>17</v>
      </c>
      <c r="BU173" s="110" t="s">
        <v>343</v>
      </c>
      <c r="BV173" s="20" t="s">
        <v>17</v>
      </c>
      <c r="BW173" s="111" t="s">
        <v>17</v>
      </c>
      <c r="BX173" s="486"/>
    </row>
    <row r="174" spans="1:76" ht="13.5" customHeight="1" x14ac:dyDescent="0.3">
      <c r="A174" s="622"/>
      <c r="B174" s="47"/>
      <c r="C174" s="3" t="s">
        <v>106</v>
      </c>
      <c r="D174" s="926"/>
      <c r="E174" s="1315"/>
      <c r="F174" s="1316"/>
      <c r="G174" s="1316"/>
      <c r="H174" s="1316"/>
      <c r="I174" s="1316"/>
      <c r="J174" s="1316"/>
      <c r="K174" s="1316"/>
      <c r="L174" s="1316"/>
      <c r="M174" s="1356"/>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81" t="s">
        <v>17</v>
      </c>
      <c r="BA174" s="110" t="s">
        <v>17</v>
      </c>
      <c r="BB174" s="216" t="s">
        <v>17</v>
      </c>
      <c r="BC174" s="110" t="s">
        <v>17</v>
      </c>
      <c r="BD174" s="110" t="s">
        <v>345</v>
      </c>
      <c r="BE174" s="20" t="s">
        <v>17</v>
      </c>
      <c r="BF174" s="111" t="s">
        <v>17</v>
      </c>
      <c r="BG174" s="365" t="s">
        <v>17</v>
      </c>
      <c r="BH174" s="80" t="s">
        <v>17</v>
      </c>
      <c r="BI174" s="109" t="s">
        <v>17</v>
      </c>
      <c r="BJ174" s="1007" t="s">
        <v>17</v>
      </c>
      <c r="BK174" s="110" t="s">
        <v>345</v>
      </c>
      <c r="BL174" s="20" t="s">
        <v>17</v>
      </c>
      <c r="BM174" s="111" t="s">
        <v>17</v>
      </c>
      <c r="BN174" s="364" t="s">
        <v>17</v>
      </c>
      <c r="BO174" s="879" t="s">
        <v>345</v>
      </c>
      <c r="BP174" s="109" t="s">
        <v>17</v>
      </c>
      <c r="BQ174" s="110" t="s">
        <v>17</v>
      </c>
      <c r="BR174" s="793" t="s">
        <v>17</v>
      </c>
      <c r="BS174" s="1039" t="s">
        <v>345</v>
      </c>
      <c r="BT174" s="131" t="s">
        <v>17</v>
      </c>
      <c r="BU174" s="110" t="s">
        <v>345</v>
      </c>
      <c r="BV174" s="20" t="s">
        <v>17</v>
      </c>
      <c r="BW174" s="111" t="s">
        <v>17</v>
      </c>
      <c r="BX174" s="486"/>
    </row>
    <row r="175" spans="1:76" ht="13.5" customHeight="1" x14ac:dyDescent="0.3">
      <c r="A175" s="622"/>
      <c r="B175" s="47"/>
      <c r="C175" s="3" t="s">
        <v>107</v>
      </c>
      <c r="D175" s="926"/>
      <c r="E175" s="1315"/>
      <c r="F175" s="1316"/>
      <c r="G175" s="1316"/>
      <c r="H175" s="1316"/>
      <c r="I175" s="1316"/>
      <c r="J175" s="1316"/>
      <c r="K175" s="1316"/>
      <c r="L175" s="1316"/>
      <c r="M175" s="1356"/>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81" t="s">
        <v>17</v>
      </c>
      <c r="BA175" s="110" t="s">
        <v>17</v>
      </c>
      <c r="BB175" s="216" t="s">
        <v>17</v>
      </c>
      <c r="BC175" s="110" t="s">
        <v>17</v>
      </c>
      <c r="BD175" s="110" t="s">
        <v>346</v>
      </c>
      <c r="BE175" s="20" t="s">
        <v>17</v>
      </c>
      <c r="BF175" s="111" t="s">
        <v>17</v>
      </c>
      <c r="BG175" s="365" t="s">
        <v>17</v>
      </c>
      <c r="BH175" s="80" t="s">
        <v>17</v>
      </c>
      <c r="BI175" s="109" t="s">
        <v>17</v>
      </c>
      <c r="BJ175" s="1007" t="s">
        <v>17</v>
      </c>
      <c r="BK175" s="110" t="s">
        <v>346</v>
      </c>
      <c r="BL175" s="20" t="s">
        <v>17</v>
      </c>
      <c r="BM175" s="111" t="s">
        <v>17</v>
      </c>
      <c r="BN175" s="364" t="s">
        <v>17</v>
      </c>
      <c r="BO175" s="879" t="s">
        <v>346</v>
      </c>
      <c r="BP175" s="109" t="s">
        <v>17</v>
      </c>
      <c r="BQ175" s="110" t="s">
        <v>17</v>
      </c>
      <c r="BR175" s="793" t="s">
        <v>17</v>
      </c>
      <c r="BS175" s="1039" t="s">
        <v>346</v>
      </c>
      <c r="BT175" s="131" t="s">
        <v>17</v>
      </c>
      <c r="BU175" s="110" t="s">
        <v>346</v>
      </c>
      <c r="BV175" s="20" t="s">
        <v>17</v>
      </c>
      <c r="BW175" s="111" t="s">
        <v>17</v>
      </c>
      <c r="BX175" s="486"/>
    </row>
    <row r="176" spans="1:76" ht="13.5" customHeight="1" x14ac:dyDescent="0.3">
      <c r="A176" s="622"/>
      <c r="B176" s="47"/>
      <c r="C176" s="3" t="s">
        <v>108</v>
      </c>
      <c r="D176" s="926"/>
      <c r="E176" s="1315"/>
      <c r="F176" s="1316"/>
      <c r="G176" s="1316"/>
      <c r="H176" s="1316"/>
      <c r="I176" s="1316"/>
      <c r="J176" s="1316"/>
      <c r="K176" s="1316"/>
      <c r="L176" s="1316"/>
      <c r="M176" s="1356"/>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81" t="s">
        <v>17</v>
      </c>
      <c r="BA176" s="110" t="s">
        <v>17</v>
      </c>
      <c r="BB176" s="216" t="s">
        <v>17</v>
      </c>
      <c r="BC176" s="110" t="s">
        <v>17</v>
      </c>
      <c r="BD176" s="110" t="s">
        <v>347</v>
      </c>
      <c r="BE176" s="20" t="s">
        <v>17</v>
      </c>
      <c r="BF176" s="111" t="s">
        <v>17</v>
      </c>
      <c r="BG176" s="365" t="s">
        <v>17</v>
      </c>
      <c r="BH176" s="80" t="s">
        <v>17</v>
      </c>
      <c r="BI176" s="109" t="s">
        <v>17</v>
      </c>
      <c r="BJ176" s="1007" t="s">
        <v>17</v>
      </c>
      <c r="BK176" s="110" t="s">
        <v>347</v>
      </c>
      <c r="BL176" s="20" t="s">
        <v>17</v>
      </c>
      <c r="BM176" s="111" t="s">
        <v>17</v>
      </c>
      <c r="BN176" s="364" t="s">
        <v>17</v>
      </c>
      <c r="BO176" s="879" t="s">
        <v>347</v>
      </c>
      <c r="BP176" s="109" t="s">
        <v>17</v>
      </c>
      <c r="BQ176" s="110" t="s">
        <v>17</v>
      </c>
      <c r="BR176" s="793" t="s">
        <v>17</v>
      </c>
      <c r="BS176" s="1039" t="s">
        <v>347</v>
      </c>
      <c r="BT176" s="131" t="s">
        <v>17</v>
      </c>
      <c r="BU176" s="110" t="s">
        <v>347</v>
      </c>
      <c r="BV176" s="20" t="s">
        <v>17</v>
      </c>
      <c r="BW176" s="111" t="s">
        <v>17</v>
      </c>
      <c r="BX176" s="486"/>
    </row>
    <row r="177" spans="1:77" ht="13.5" customHeight="1" x14ac:dyDescent="0.3">
      <c r="A177" s="622"/>
      <c r="B177" s="47"/>
      <c r="C177" s="3" t="s">
        <v>109</v>
      </c>
      <c r="D177" s="926"/>
      <c r="E177" s="1315"/>
      <c r="F177" s="1316"/>
      <c r="G177" s="1316"/>
      <c r="H177" s="1316"/>
      <c r="I177" s="1316"/>
      <c r="J177" s="1316"/>
      <c r="K177" s="1316"/>
      <c r="L177" s="1316"/>
      <c r="M177" s="1356"/>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81" t="s">
        <v>17</v>
      </c>
      <c r="BA177" s="110" t="s">
        <v>17</v>
      </c>
      <c r="BB177" s="216" t="s">
        <v>17</v>
      </c>
      <c r="BC177" s="110" t="s">
        <v>17</v>
      </c>
      <c r="BD177" s="110" t="s">
        <v>343</v>
      </c>
      <c r="BE177" s="20" t="s">
        <v>17</v>
      </c>
      <c r="BF177" s="111" t="s">
        <v>17</v>
      </c>
      <c r="BG177" s="365" t="s">
        <v>17</v>
      </c>
      <c r="BH177" s="80" t="s">
        <v>17</v>
      </c>
      <c r="BI177" s="109" t="s">
        <v>17</v>
      </c>
      <c r="BJ177" s="1007" t="s">
        <v>17</v>
      </c>
      <c r="BK177" s="110" t="s">
        <v>343</v>
      </c>
      <c r="BL177" s="20" t="s">
        <v>17</v>
      </c>
      <c r="BM177" s="111" t="s">
        <v>17</v>
      </c>
      <c r="BN177" s="364" t="s">
        <v>17</v>
      </c>
      <c r="BO177" s="130" t="s">
        <v>343</v>
      </c>
      <c r="BP177" s="111" t="s">
        <v>17</v>
      </c>
      <c r="BQ177" s="110" t="s">
        <v>17</v>
      </c>
      <c r="BR177" s="793" t="s">
        <v>17</v>
      </c>
      <c r="BS177" s="1039" t="s">
        <v>592</v>
      </c>
      <c r="BT177" s="131" t="s">
        <v>17</v>
      </c>
      <c r="BU177" s="110" t="s">
        <v>343</v>
      </c>
      <c r="BV177" s="20" t="s">
        <v>17</v>
      </c>
      <c r="BW177" s="111" t="s">
        <v>17</v>
      </c>
      <c r="BX177" s="486"/>
    </row>
    <row r="178" spans="1:77" ht="13.5" customHeight="1" x14ac:dyDescent="0.3">
      <c r="A178" s="622"/>
      <c r="B178" s="47"/>
      <c r="C178" s="3" t="s">
        <v>110</v>
      </c>
      <c r="D178" s="926"/>
      <c r="E178" s="1315"/>
      <c r="F178" s="1316"/>
      <c r="G178" s="1316"/>
      <c r="H178" s="1316"/>
      <c r="I178" s="1316"/>
      <c r="J178" s="1316"/>
      <c r="K178" s="1316"/>
      <c r="L178" s="1316"/>
      <c r="M178" s="1356"/>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81" t="s">
        <v>17</v>
      </c>
      <c r="BA178" s="110" t="s">
        <v>17</v>
      </c>
      <c r="BB178" s="216" t="s">
        <v>17</v>
      </c>
      <c r="BC178" s="110" t="s">
        <v>17</v>
      </c>
      <c r="BD178" s="110" t="s">
        <v>343</v>
      </c>
      <c r="BE178" s="20" t="s">
        <v>17</v>
      </c>
      <c r="BF178" s="111" t="s">
        <v>17</v>
      </c>
      <c r="BG178" s="365" t="s">
        <v>17</v>
      </c>
      <c r="BH178" s="80" t="s">
        <v>17</v>
      </c>
      <c r="BI178" s="109" t="s">
        <v>17</v>
      </c>
      <c r="BJ178" s="1007" t="s">
        <v>17</v>
      </c>
      <c r="BK178" s="110" t="s">
        <v>343</v>
      </c>
      <c r="BL178" s="20" t="s">
        <v>17</v>
      </c>
      <c r="BM178" s="111" t="s">
        <v>17</v>
      </c>
      <c r="BN178" s="364" t="s">
        <v>17</v>
      </c>
      <c r="BO178" s="130" t="s">
        <v>343</v>
      </c>
      <c r="BP178" s="111" t="s">
        <v>17</v>
      </c>
      <c r="BQ178" s="110" t="s">
        <v>17</v>
      </c>
      <c r="BR178" s="793" t="s">
        <v>17</v>
      </c>
      <c r="BS178" s="1039" t="s">
        <v>593</v>
      </c>
      <c r="BT178" s="131" t="s">
        <v>17</v>
      </c>
      <c r="BU178" s="110" t="s">
        <v>343</v>
      </c>
      <c r="BV178" s="20" t="s">
        <v>17</v>
      </c>
      <c r="BW178" s="111" t="s">
        <v>17</v>
      </c>
      <c r="BX178" s="486"/>
    </row>
    <row r="179" spans="1:77" ht="13.5" customHeight="1" x14ac:dyDescent="0.3">
      <c r="A179" s="622"/>
      <c r="B179" s="47"/>
      <c r="C179" s="3" t="s">
        <v>111</v>
      </c>
      <c r="D179" s="926"/>
      <c r="E179" s="1315"/>
      <c r="F179" s="1316"/>
      <c r="G179" s="1316"/>
      <c r="H179" s="1316"/>
      <c r="I179" s="1316"/>
      <c r="J179" s="1316"/>
      <c r="K179" s="1316"/>
      <c r="L179" s="1316"/>
      <c r="M179" s="1356"/>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81" t="s">
        <v>17</v>
      </c>
      <c r="BA179" s="110" t="s">
        <v>17</v>
      </c>
      <c r="BB179" s="216" t="s">
        <v>17</v>
      </c>
      <c r="BC179" s="110" t="s">
        <v>17</v>
      </c>
      <c r="BD179" s="110" t="s">
        <v>350</v>
      </c>
      <c r="BE179" s="20" t="s">
        <v>17</v>
      </c>
      <c r="BF179" s="111" t="s">
        <v>17</v>
      </c>
      <c r="BG179" s="365" t="s">
        <v>17</v>
      </c>
      <c r="BH179" s="80" t="s">
        <v>17</v>
      </c>
      <c r="BI179" s="109" t="s">
        <v>17</v>
      </c>
      <c r="BJ179" s="1007" t="s">
        <v>17</v>
      </c>
      <c r="BK179" s="110" t="s">
        <v>350</v>
      </c>
      <c r="BL179" s="20" t="s">
        <v>17</v>
      </c>
      <c r="BM179" s="111" t="s">
        <v>17</v>
      </c>
      <c r="BN179" s="364" t="s">
        <v>17</v>
      </c>
      <c r="BO179" s="130" t="s">
        <v>350</v>
      </c>
      <c r="BP179" s="109" t="s">
        <v>17</v>
      </c>
      <c r="BQ179" s="110" t="s">
        <v>17</v>
      </c>
      <c r="BR179" s="793" t="s">
        <v>17</v>
      </c>
      <c r="BS179" s="1039" t="s">
        <v>350</v>
      </c>
      <c r="BT179" s="131" t="s">
        <v>17</v>
      </c>
      <c r="BU179" s="110" t="s">
        <v>350</v>
      </c>
      <c r="BV179" s="20" t="s">
        <v>17</v>
      </c>
      <c r="BW179" s="111" t="s">
        <v>17</v>
      </c>
      <c r="BX179" s="486"/>
    </row>
    <row r="180" spans="1:77" ht="13.5" customHeight="1" x14ac:dyDescent="0.3">
      <c r="A180" s="622"/>
      <c r="B180" s="47"/>
      <c r="C180" s="3" t="s">
        <v>112</v>
      </c>
      <c r="D180" s="926"/>
      <c r="E180" s="1315"/>
      <c r="F180" s="1316"/>
      <c r="G180" s="1316"/>
      <c r="H180" s="1316"/>
      <c r="I180" s="1316"/>
      <c r="J180" s="1316"/>
      <c r="K180" s="1316"/>
      <c r="L180" s="1316"/>
      <c r="M180" s="1356"/>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81" t="s">
        <v>17</v>
      </c>
      <c r="BA180" s="110" t="s">
        <v>17</v>
      </c>
      <c r="BB180" s="216" t="s">
        <v>17</v>
      </c>
      <c r="BC180" s="110" t="s">
        <v>17</v>
      </c>
      <c r="BD180" s="110" t="s">
        <v>353</v>
      </c>
      <c r="BE180" s="20" t="s">
        <v>17</v>
      </c>
      <c r="BF180" s="111" t="s">
        <v>17</v>
      </c>
      <c r="BG180" s="365" t="s">
        <v>17</v>
      </c>
      <c r="BH180" s="80" t="s">
        <v>17</v>
      </c>
      <c r="BI180" s="109" t="s">
        <v>17</v>
      </c>
      <c r="BJ180" s="1007" t="s">
        <v>17</v>
      </c>
      <c r="BK180" s="110" t="s">
        <v>353</v>
      </c>
      <c r="BL180" s="20" t="s">
        <v>17</v>
      </c>
      <c r="BM180" s="111" t="s">
        <v>17</v>
      </c>
      <c r="BN180" s="364" t="s">
        <v>17</v>
      </c>
      <c r="BO180" s="130" t="s">
        <v>353</v>
      </c>
      <c r="BP180" s="111" t="s">
        <v>17</v>
      </c>
      <c r="BQ180" s="110" t="s">
        <v>17</v>
      </c>
      <c r="BR180" s="793" t="s">
        <v>17</v>
      </c>
      <c r="BS180" s="1039" t="s">
        <v>594</v>
      </c>
      <c r="BT180" s="131" t="s">
        <v>17</v>
      </c>
      <c r="BU180" s="110" t="s">
        <v>353</v>
      </c>
      <c r="BV180" s="20" t="s">
        <v>17</v>
      </c>
      <c r="BW180" s="111" t="s">
        <v>17</v>
      </c>
      <c r="BX180" s="486"/>
    </row>
    <row r="181" spans="1:77" ht="13.5" customHeight="1" x14ac:dyDescent="0.3">
      <c r="A181" s="622"/>
      <c r="B181" s="47"/>
      <c r="C181" s="3" t="s">
        <v>144</v>
      </c>
      <c r="D181" s="926"/>
      <c r="E181" s="1315"/>
      <c r="F181" s="1316"/>
      <c r="G181" s="1316"/>
      <c r="H181" s="1316"/>
      <c r="I181" s="1316"/>
      <c r="J181" s="1316"/>
      <c r="K181" s="1316"/>
      <c r="L181" s="1316"/>
      <c r="M181" s="1356"/>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81" t="s">
        <v>17</v>
      </c>
      <c r="BA181" s="110" t="s">
        <v>17</v>
      </c>
      <c r="BB181" s="216" t="s">
        <v>17</v>
      </c>
      <c r="BC181" s="110" t="s">
        <v>17</v>
      </c>
      <c r="BD181" s="110" t="s">
        <v>352</v>
      </c>
      <c r="BE181" s="20" t="s">
        <v>17</v>
      </c>
      <c r="BF181" s="111" t="s">
        <v>17</v>
      </c>
      <c r="BG181" s="365" t="s">
        <v>17</v>
      </c>
      <c r="BH181" s="80" t="s">
        <v>17</v>
      </c>
      <c r="BI181" s="109" t="s">
        <v>17</v>
      </c>
      <c r="BJ181" s="1007" t="s">
        <v>17</v>
      </c>
      <c r="BK181" s="110" t="s">
        <v>352</v>
      </c>
      <c r="BL181" s="20" t="s">
        <v>17</v>
      </c>
      <c r="BM181" s="111" t="s">
        <v>17</v>
      </c>
      <c r="BN181" s="364" t="s">
        <v>17</v>
      </c>
      <c r="BO181" s="670" t="s">
        <v>352</v>
      </c>
      <c r="BP181" s="109" t="s">
        <v>17</v>
      </c>
      <c r="BQ181" s="110" t="s">
        <v>17</v>
      </c>
      <c r="BR181" s="793" t="s">
        <v>17</v>
      </c>
      <c r="BS181" s="1039" t="s">
        <v>352</v>
      </c>
      <c r="BT181" s="131" t="s">
        <v>17</v>
      </c>
      <c r="BU181" s="110" t="s">
        <v>352</v>
      </c>
      <c r="BV181" s="20" t="s">
        <v>17</v>
      </c>
      <c r="BW181" s="111" t="s">
        <v>17</v>
      </c>
      <c r="BX181" s="486"/>
    </row>
    <row r="182" spans="1:77" ht="13.5" customHeight="1" x14ac:dyDescent="0.3">
      <c r="A182" s="622"/>
      <c r="B182" s="47"/>
      <c r="C182" s="3" t="s">
        <v>145</v>
      </c>
      <c r="D182" s="926"/>
      <c r="E182" s="1315"/>
      <c r="F182" s="1316"/>
      <c r="G182" s="1316"/>
      <c r="H182" s="1316"/>
      <c r="I182" s="1316"/>
      <c r="J182" s="1316"/>
      <c r="K182" s="1316"/>
      <c r="L182" s="1316"/>
      <c r="M182" s="1356"/>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81" t="s">
        <v>17</v>
      </c>
      <c r="BA182" s="110" t="s">
        <v>17</v>
      </c>
      <c r="BB182" s="216" t="s">
        <v>17</v>
      </c>
      <c r="BC182" s="110" t="s">
        <v>17</v>
      </c>
      <c r="BD182" s="110" t="s">
        <v>353</v>
      </c>
      <c r="BE182" s="20" t="s">
        <v>17</v>
      </c>
      <c r="BF182" s="111" t="s">
        <v>17</v>
      </c>
      <c r="BG182" s="365" t="s">
        <v>17</v>
      </c>
      <c r="BH182" s="80" t="s">
        <v>17</v>
      </c>
      <c r="BI182" s="109" t="s">
        <v>17</v>
      </c>
      <c r="BJ182" s="1007" t="s">
        <v>17</v>
      </c>
      <c r="BK182" s="110" t="s">
        <v>353</v>
      </c>
      <c r="BL182" s="20" t="s">
        <v>17</v>
      </c>
      <c r="BM182" s="111" t="s">
        <v>17</v>
      </c>
      <c r="BN182" s="364" t="s">
        <v>17</v>
      </c>
      <c r="BO182" s="658" t="s">
        <v>353</v>
      </c>
      <c r="BP182" s="109" t="s">
        <v>17</v>
      </c>
      <c r="BQ182" s="110" t="s">
        <v>17</v>
      </c>
      <c r="BR182" s="109" t="s">
        <v>17</v>
      </c>
      <c r="BS182" s="1039" t="s">
        <v>353</v>
      </c>
      <c r="BT182" s="131" t="s">
        <v>17</v>
      </c>
      <c r="BU182" s="110" t="s">
        <v>353</v>
      </c>
      <c r="BV182" s="20" t="s">
        <v>17</v>
      </c>
      <c r="BW182" s="111" t="s">
        <v>17</v>
      </c>
      <c r="BX182" s="486"/>
    </row>
    <row r="183" spans="1:77" ht="13.5" customHeight="1" x14ac:dyDescent="0.3">
      <c r="A183" s="622"/>
      <c r="B183" s="47"/>
      <c r="C183" s="3" t="s">
        <v>58</v>
      </c>
      <c r="D183" s="926"/>
      <c r="E183" s="1315"/>
      <c r="F183" s="1316"/>
      <c r="G183" s="1316"/>
      <c r="H183" s="1316"/>
      <c r="I183" s="1316"/>
      <c r="J183" s="1316"/>
      <c r="K183" s="1316"/>
      <c r="L183" s="1316"/>
      <c r="M183" s="1356"/>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77"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39" t="s">
        <v>17</v>
      </c>
      <c r="BT183" s="131" t="s">
        <v>17</v>
      </c>
      <c r="BU183" s="658" t="s">
        <v>17</v>
      </c>
      <c r="BV183" s="708" t="s">
        <v>17</v>
      </c>
      <c r="BW183" s="109" t="s">
        <v>17</v>
      </c>
      <c r="BX183" s="486" t="s">
        <v>59</v>
      </c>
    </row>
    <row r="184" spans="1:77" ht="13.5" customHeight="1" x14ac:dyDescent="0.3">
      <c r="A184" s="622"/>
      <c r="B184" s="47"/>
      <c r="C184" s="478" t="s">
        <v>1501</v>
      </c>
      <c r="D184" s="926"/>
      <c r="E184" s="1315"/>
      <c r="F184" s="1316"/>
      <c r="G184" s="1316"/>
      <c r="H184" s="1316"/>
      <c r="I184" s="1316"/>
      <c r="J184" s="1316"/>
      <c r="K184" s="1316"/>
      <c r="L184" s="1316"/>
      <c r="M184" s="1356"/>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166"/>
      <c r="AK184" s="385"/>
      <c r="AL184" s="85"/>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customHeight="1" x14ac:dyDescent="0.3">
      <c r="A185" s="622"/>
      <c r="B185" s="921"/>
      <c r="C185" s="922" t="s">
        <v>1502</v>
      </c>
      <c r="D185" s="926"/>
      <c r="E185" s="1315"/>
      <c r="F185" s="1316"/>
      <c r="G185" s="1316"/>
      <c r="H185" s="1316"/>
      <c r="I185" s="1316"/>
      <c r="J185" s="1316"/>
      <c r="K185" s="1316"/>
      <c r="L185" s="1316"/>
      <c r="M185" s="1356"/>
      <c r="N185" s="117"/>
      <c r="O185" s="30"/>
      <c r="P185" s="118"/>
      <c r="Q185" s="117"/>
      <c r="R185" s="30"/>
      <c r="S185" s="30"/>
      <c r="T185" s="118"/>
      <c r="U185" s="117"/>
      <c r="V185" s="30"/>
      <c r="W185" s="30"/>
      <c r="X185" s="30"/>
      <c r="Y185" s="30"/>
      <c r="Z185" s="30"/>
      <c r="AA185" s="30"/>
      <c r="AB185" s="30"/>
      <c r="AC185" s="30"/>
      <c r="AD185" s="30"/>
      <c r="AE185" s="30"/>
      <c r="AF185" s="30"/>
      <c r="AG185" s="30"/>
      <c r="AH185" s="30"/>
      <c r="AI185" s="30"/>
      <c r="AJ185" s="166"/>
      <c r="AK185" s="385"/>
      <c r="AL185" s="85"/>
      <c r="AM185" s="30"/>
      <c r="AN185" s="30"/>
      <c r="AO185" s="30"/>
      <c r="AP185" s="30"/>
      <c r="AQ185" s="166"/>
      <c r="AR185" s="117"/>
      <c r="AS185" s="30"/>
      <c r="AT185" s="118"/>
      <c r="AU185" s="117"/>
      <c r="AV185" s="118"/>
      <c r="AW185" s="85"/>
      <c r="AX185" s="30"/>
      <c r="AY185" s="118"/>
      <c r="AZ185" s="85"/>
      <c r="BA185" s="30"/>
      <c r="BB185" s="166"/>
      <c r="BC185" s="387"/>
      <c r="BD185" s="117"/>
      <c r="BE185" s="30"/>
      <c r="BF185" s="118"/>
      <c r="BG185" s="385"/>
      <c r="BH185" s="85"/>
      <c r="BI185" s="118"/>
      <c r="BJ185" s="166"/>
      <c r="BK185" s="110" t="s">
        <v>8</v>
      </c>
      <c r="BL185" s="212" t="s">
        <v>8</v>
      </c>
      <c r="BM185" s="111" t="s">
        <v>8</v>
      </c>
      <c r="BN185" s="378" t="s">
        <v>17</v>
      </c>
      <c r="BO185" s="649" t="s">
        <v>8</v>
      </c>
      <c r="BP185" s="131" t="s">
        <v>8</v>
      </c>
      <c r="BQ185" s="649" t="s">
        <v>8</v>
      </c>
      <c r="BR185" s="791" t="s">
        <v>8</v>
      </c>
      <c r="BS185" s="85"/>
      <c r="BT185" s="118"/>
      <c r="BU185" s="114"/>
      <c r="BV185" s="321"/>
      <c r="BW185" s="456"/>
      <c r="BX185" s="1096"/>
      <c r="BY185" s="923"/>
    </row>
    <row r="186" spans="1:77" ht="13.5" customHeight="1" x14ac:dyDescent="0.3">
      <c r="A186" s="622"/>
      <c r="B186" s="47"/>
      <c r="C186" s="3" t="s">
        <v>60</v>
      </c>
      <c r="D186" s="926"/>
      <c r="E186" s="1315"/>
      <c r="F186" s="1316"/>
      <c r="G186" s="1316"/>
      <c r="H186" s="1316"/>
      <c r="I186" s="1316"/>
      <c r="J186" s="1316"/>
      <c r="K186" s="1316"/>
      <c r="L186" s="1316"/>
      <c r="M186" s="1356"/>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77">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39">
        <v>12</v>
      </c>
      <c r="BT186" s="131">
        <v>12</v>
      </c>
      <c r="BU186" s="658">
        <v>12</v>
      </c>
      <c r="BV186" s="708">
        <v>12</v>
      </c>
      <c r="BW186" s="109">
        <v>12</v>
      </c>
      <c r="BX186" s="486" t="s">
        <v>362</v>
      </c>
    </row>
    <row r="187" spans="1:77" ht="13.5" customHeight="1" x14ac:dyDescent="0.3">
      <c r="A187" s="622"/>
      <c r="B187" s="47"/>
      <c r="C187" s="162" t="s">
        <v>63</v>
      </c>
      <c r="D187" s="926"/>
      <c r="E187" s="1315"/>
      <c r="F187" s="1316"/>
      <c r="G187" s="1316"/>
      <c r="H187" s="1316"/>
      <c r="I187" s="1316"/>
      <c r="J187" s="1316"/>
      <c r="K187" s="1316"/>
      <c r="L187" s="1316"/>
      <c r="M187" s="1356"/>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07" t="s">
        <v>17</v>
      </c>
      <c r="BK187" s="658" t="s">
        <v>8</v>
      </c>
      <c r="BL187" s="708" t="s">
        <v>8</v>
      </c>
      <c r="BM187" s="113" t="s">
        <v>8</v>
      </c>
      <c r="BN187" s="327" t="s">
        <v>8</v>
      </c>
      <c r="BO187" s="658" t="s">
        <v>8</v>
      </c>
      <c r="BP187" s="99" t="s">
        <v>8</v>
      </c>
      <c r="BQ187" s="658" t="s">
        <v>8</v>
      </c>
      <c r="BR187" s="113" t="s">
        <v>8</v>
      </c>
      <c r="BS187" s="1039" t="s">
        <v>8</v>
      </c>
      <c r="BT187" s="131" t="s">
        <v>8</v>
      </c>
      <c r="BU187" s="658" t="s">
        <v>8</v>
      </c>
      <c r="BV187" s="711" t="s">
        <v>8</v>
      </c>
      <c r="BW187" s="113" t="s">
        <v>8</v>
      </c>
      <c r="BX187" s="486" t="s">
        <v>363</v>
      </c>
    </row>
    <row r="188" spans="1:77" ht="13.5" customHeight="1" x14ac:dyDescent="0.3">
      <c r="A188" s="622"/>
      <c r="B188" s="47"/>
      <c r="C188" s="3" t="s">
        <v>172</v>
      </c>
      <c r="D188" s="926"/>
      <c r="E188" s="1315"/>
      <c r="F188" s="1316"/>
      <c r="G188" s="1316"/>
      <c r="H188" s="1316"/>
      <c r="I188" s="1316"/>
      <c r="J188" s="1316"/>
      <c r="K188" s="1316"/>
      <c r="L188" s="1316"/>
      <c r="M188" s="1356"/>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39" t="s">
        <v>57</v>
      </c>
      <c r="BT188" s="131" t="s">
        <v>57</v>
      </c>
      <c r="BU188" s="658" t="s">
        <v>57</v>
      </c>
      <c r="BV188" s="711" t="s">
        <v>57</v>
      </c>
      <c r="BW188" s="113" t="s">
        <v>57</v>
      </c>
      <c r="BX188" s="486"/>
    </row>
    <row r="189" spans="1:77" ht="13.5" customHeight="1" x14ac:dyDescent="0.3">
      <c r="A189" s="622"/>
      <c r="B189" s="47"/>
      <c r="C189" s="272" t="s">
        <v>1322</v>
      </c>
      <c r="D189" s="926"/>
      <c r="E189" s="1315"/>
      <c r="F189" s="1316"/>
      <c r="G189" s="1316"/>
      <c r="H189" s="1316"/>
      <c r="I189" s="1316"/>
      <c r="J189" s="1316"/>
      <c r="K189" s="1316"/>
      <c r="L189" s="1316"/>
      <c r="M189" s="1356"/>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39" t="s">
        <v>358</v>
      </c>
      <c r="BT189" s="131" t="s">
        <v>358</v>
      </c>
      <c r="BU189" s="658" t="s">
        <v>358</v>
      </c>
      <c r="BV189" s="711" t="s">
        <v>358</v>
      </c>
      <c r="BW189" s="113" t="s">
        <v>358</v>
      </c>
      <c r="BX189" s="486"/>
    </row>
    <row r="190" spans="1:77" ht="13.5" customHeight="1" x14ac:dyDescent="0.3">
      <c r="A190" s="622"/>
      <c r="B190" s="47"/>
      <c r="C190" s="272" t="s">
        <v>1323</v>
      </c>
      <c r="D190" s="926"/>
      <c r="E190" s="1315"/>
      <c r="F190" s="1316"/>
      <c r="G190" s="1316"/>
      <c r="H190" s="1316"/>
      <c r="I190" s="1316"/>
      <c r="J190" s="1316"/>
      <c r="K190" s="1316"/>
      <c r="L190" s="1316"/>
      <c r="M190" s="1356"/>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customHeight="1" x14ac:dyDescent="0.3">
      <c r="A191" s="622"/>
      <c r="B191" s="47"/>
      <c r="C191" s="272" t="s">
        <v>1319</v>
      </c>
      <c r="D191" s="926"/>
      <c r="E191" s="1315"/>
      <c r="F191" s="1316"/>
      <c r="G191" s="1316"/>
      <c r="H191" s="1316"/>
      <c r="I191" s="1316"/>
      <c r="J191" s="1316"/>
      <c r="K191" s="1316"/>
      <c r="L191" s="1316"/>
      <c r="M191" s="1356"/>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3">
      <c r="A192" s="622"/>
      <c r="B192" s="47"/>
      <c r="C192" s="5" t="s">
        <v>1320</v>
      </c>
      <c r="D192" s="926"/>
      <c r="E192" s="1315"/>
      <c r="F192" s="1316"/>
      <c r="G192" s="1316"/>
      <c r="H192" s="1316"/>
      <c r="I192" s="1316"/>
      <c r="J192" s="1316"/>
      <c r="K192" s="1316"/>
      <c r="L192" s="1316"/>
      <c r="M192" s="1356"/>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095"/>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3">
      <c r="A193" s="622"/>
      <c r="B193" s="47"/>
      <c r="C193" s="3" t="s">
        <v>1321</v>
      </c>
      <c r="D193" s="926"/>
      <c r="E193" s="1315"/>
      <c r="F193" s="1316"/>
      <c r="G193" s="1316"/>
      <c r="H193" s="1316"/>
      <c r="I193" s="1316"/>
      <c r="J193" s="1316"/>
      <c r="K193" s="1316"/>
      <c r="L193" s="1316"/>
      <c r="M193" s="1356"/>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54"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3">
      <c r="A194" s="622"/>
      <c r="B194" s="47"/>
      <c r="C194" s="491" t="s">
        <v>691</v>
      </c>
      <c r="D194" s="926"/>
      <c r="E194" s="1315"/>
      <c r="F194" s="1316"/>
      <c r="G194" s="1316"/>
      <c r="H194" s="1316"/>
      <c r="I194" s="1316"/>
      <c r="J194" s="1316"/>
      <c r="K194" s="1316"/>
      <c r="L194" s="1316"/>
      <c r="M194" s="1356"/>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13"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3">
      <c r="A195" s="622"/>
      <c r="B195" s="47"/>
      <c r="C195" s="491" t="s">
        <v>692</v>
      </c>
      <c r="D195" s="926"/>
      <c r="E195" s="1315"/>
      <c r="F195" s="1316"/>
      <c r="G195" s="1316"/>
      <c r="H195" s="1316"/>
      <c r="I195" s="1316"/>
      <c r="J195" s="1316"/>
      <c r="K195" s="1316"/>
      <c r="L195" s="1316"/>
      <c r="M195" s="1356"/>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27" t="s">
        <v>1494</v>
      </c>
      <c r="BO195" s="480" t="s">
        <v>1480</v>
      </c>
      <c r="BP195" s="99" t="s">
        <v>17</v>
      </c>
      <c r="BQ195" s="494" t="s">
        <v>693</v>
      </c>
      <c r="BR195" s="113" t="s">
        <v>694</v>
      </c>
      <c r="BS195" s="807" t="s">
        <v>693</v>
      </c>
      <c r="BT195" s="250" t="s">
        <v>694</v>
      </c>
      <c r="BU195" s="658" t="s">
        <v>694</v>
      </c>
      <c r="BV195" s="20" t="s">
        <v>693</v>
      </c>
      <c r="BW195" s="111" t="s">
        <v>694</v>
      </c>
      <c r="BX195" s="486"/>
    </row>
    <row r="196" spans="1:76" ht="13.5" customHeight="1" x14ac:dyDescent="0.3">
      <c r="A196" s="622"/>
      <c r="B196" s="47"/>
      <c r="C196" s="925" t="s">
        <v>1520</v>
      </c>
      <c r="D196" s="926"/>
      <c r="E196" s="1315"/>
      <c r="F196" s="1316"/>
      <c r="G196" s="1316"/>
      <c r="H196" s="1316"/>
      <c r="I196" s="1316"/>
      <c r="J196" s="1316"/>
      <c r="K196" s="1316"/>
      <c r="L196" s="1316"/>
      <c r="M196" s="1356"/>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24"/>
      <c r="AN196" s="333"/>
      <c r="AO196" s="333"/>
      <c r="AP196" s="314"/>
      <c r="AQ196" s="924"/>
      <c r="AR196" s="313"/>
      <c r="AS196" s="314"/>
      <c r="AT196" s="315"/>
      <c r="AU196" s="313"/>
      <c r="AV196" s="315"/>
      <c r="AW196" s="1046"/>
      <c r="AX196" s="314"/>
      <c r="AY196" s="315"/>
      <c r="AZ196" s="1052"/>
      <c r="BA196" s="924"/>
      <c r="BB196" s="924"/>
      <c r="BC196" s="1052"/>
      <c r="BD196" s="313"/>
      <c r="BE196" s="314"/>
      <c r="BF196" s="315"/>
      <c r="BG196" s="1137"/>
      <c r="BH196" s="1052"/>
      <c r="BI196" s="924"/>
      <c r="BJ196" s="924"/>
      <c r="BK196" s="659" t="s">
        <v>8</v>
      </c>
      <c r="BL196" s="432" t="s">
        <v>695</v>
      </c>
      <c r="BM196" s="271" t="s">
        <v>8</v>
      </c>
      <c r="BN196" s="379" t="s">
        <v>8</v>
      </c>
      <c r="BO196" s="480"/>
      <c r="BP196" s="315"/>
      <c r="BQ196" s="313"/>
      <c r="BR196" s="271" t="s">
        <v>8</v>
      </c>
      <c r="BS196" s="1046"/>
      <c r="BT196" s="315"/>
      <c r="BU196" s="313"/>
      <c r="BV196" s="314"/>
      <c r="BW196" s="315"/>
      <c r="BX196" s="486"/>
    </row>
    <row r="197" spans="1:76" s="222" customFormat="1" ht="41.4" customHeight="1" x14ac:dyDescent="0.3">
      <c r="A197" s="622"/>
      <c r="B197" s="224"/>
      <c r="C197" s="162" t="s">
        <v>168</v>
      </c>
      <c r="D197" s="926"/>
      <c r="E197" s="1315"/>
      <c r="F197" s="1316"/>
      <c r="G197" s="1316"/>
      <c r="H197" s="1316"/>
      <c r="I197" s="1316"/>
      <c r="J197" s="1316"/>
      <c r="K197" s="1316"/>
      <c r="L197" s="1316"/>
      <c r="M197" s="1356"/>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77" t="s">
        <v>532</v>
      </c>
      <c r="BA197" s="809" t="s">
        <v>376</v>
      </c>
      <c r="BB197" s="170" t="s">
        <v>532</v>
      </c>
      <c r="BC197" s="1055" t="s">
        <v>376</v>
      </c>
      <c r="BD197" s="654" t="s">
        <v>375</v>
      </c>
      <c r="BE197" s="708" t="s">
        <v>375</v>
      </c>
      <c r="BF197" s="111" t="s">
        <v>375</v>
      </c>
      <c r="BG197" s="364" t="s">
        <v>532</v>
      </c>
      <c r="BH197" s="1068" t="s">
        <v>376</v>
      </c>
      <c r="BI197" s="109" t="s">
        <v>532</v>
      </c>
      <c r="BJ197" s="1026" t="s">
        <v>376</v>
      </c>
      <c r="BK197" s="654" t="s">
        <v>375</v>
      </c>
      <c r="BL197" s="708" t="s">
        <v>375</v>
      </c>
      <c r="BM197" s="111" t="s">
        <v>375</v>
      </c>
      <c r="BN197" s="364" t="s">
        <v>532</v>
      </c>
      <c r="BO197" s="654" t="s">
        <v>375</v>
      </c>
      <c r="BP197" s="109" t="s">
        <v>375</v>
      </c>
      <c r="BQ197" s="654" t="s">
        <v>375</v>
      </c>
      <c r="BR197" s="111" t="s">
        <v>375</v>
      </c>
      <c r="BS197" s="1039" t="s">
        <v>375</v>
      </c>
      <c r="BT197" s="131" t="s">
        <v>375</v>
      </c>
      <c r="BU197" s="654" t="s">
        <v>375</v>
      </c>
      <c r="BV197" s="708" t="s">
        <v>375</v>
      </c>
      <c r="BW197" s="111" t="s">
        <v>375</v>
      </c>
      <c r="BX197" s="984"/>
    </row>
    <row r="198" spans="1:76" s="222" customFormat="1" ht="13.5" customHeight="1" x14ac:dyDescent="0.3">
      <c r="A198" s="622"/>
      <c r="B198" s="471"/>
      <c r="C198" s="162" t="s">
        <v>618</v>
      </c>
      <c r="D198" s="926"/>
      <c r="E198" s="1315"/>
      <c r="F198" s="1316"/>
      <c r="G198" s="1316"/>
      <c r="H198" s="1316"/>
      <c r="I198" s="1316"/>
      <c r="J198" s="1316"/>
      <c r="K198" s="1316"/>
      <c r="L198" s="1316"/>
      <c r="M198" s="1356"/>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81" t="s">
        <v>17</v>
      </c>
      <c r="BA198" s="810" t="s">
        <v>8</v>
      </c>
      <c r="BB198" s="216" t="s">
        <v>17</v>
      </c>
      <c r="BC198" s="227" t="s">
        <v>8</v>
      </c>
      <c r="BD198" s="654" t="s">
        <v>8</v>
      </c>
      <c r="BE198" s="708" t="s">
        <v>8</v>
      </c>
      <c r="BF198" s="111" t="s">
        <v>8</v>
      </c>
      <c r="BG198" s="365" t="s">
        <v>17</v>
      </c>
      <c r="BH198" s="1068" t="s">
        <v>8</v>
      </c>
      <c r="BI198" s="111" t="s">
        <v>17</v>
      </c>
      <c r="BJ198" s="1027" t="s">
        <v>17</v>
      </c>
      <c r="BK198" s="654" t="s">
        <v>8</v>
      </c>
      <c r="BL198" s="708" t="s">
        <v>8</v>
      </c>
      <c r="BM198" s="131" t="s">
        <v>8</v>
      </c>
      <c r="BN198" s="365" t="s">
        <v>17</v>
      </c>
      <c r="BO198" s="482" t="s">
        <v>17</v>
      </c>
      <c r="BP198" s="111" t="s">
        <v>17</v>
      </c>
      <c r="BQ198" s="494" t="s">
        <v>8</v>
      </c>
      <c r="BR198" s="131" t="s">
        <v>17</v>
      </c>
      <c r="BS198" s="1039" t="s">
        <v>17</v>
      </c>
      <c r="BT198" s="131" t="s">
        <v>17</v>
      </c>
      <c r="BU198" s="654" t="s">
        <v>8</v>
      </c>
      <c r="BV198" s="708" t="s">
        <v>8</v>
      </c>
      <c r="BW198" s="111" t="s">
        <v>8</v>
      </c>
      <c r="BX198" s="984"/>
    </row>
    <row r="199" spans="1:76" s="222" customFormat="1" ht="13.5" customHeight="1" x14ac:dyDescent="0.3">
      <c r="A199" s="622"/>
      <c r="B199" s="471"/>
      <c r="C199" s="162" t="s">
        <v>1403</v>
      </c>
      <c r="D199" s="926"/>
      <c r="E199" s="1315"/>
      <c r="F199" s="1316"/>
      <c r="G199" s="1316"/>
      <c r="H199" s="1316"/>
      <c r="I199" s="1316"/>
      <c r="J199" s="1316"/>
      <c r="K199" s="1316"/>
      <c r="L199" s="1316"/>
      <c r="M199" s="1356"/>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11" t="s">
        <v>17</v>
      </c>
      <c r="AU199" s="283" t="s">
        <v>17</v>
      </c>
      <c r="AV199" s="1111" t="s">
        <v>17</v>
      </c>
      <c r="AW199" s="1152" t="s">
        <v>17</v>
      </c>
      <c r="AX199" s="399" t="s">
        <v>17</v>
      </c>
      <c r="AY199" s="1111" t="s">
        <v>17</v>
      </c>
      <c r="AZ199" s="1058" t="s">
        <v>17</v>
      </c>
      <c r="BA199" s="811" t="s">
        <v>17</v>
      </c>
      <c r="BB199" s="297" t="s">
        <v>17</v>
      </c>
      <c r="BC199" s="811" t="s">
        <v>17</v>
      </c>
      <c r="BD199" s="283" t="s">
        <v>8</v>
      </c>
      <c r="BE199" s="399" t="s">
        <v>8</v>
      </c>
      <c r="BF199" s="1111" t="s">
        <v>8</v>
      </c>
      <c r="BG199" s="1128" t="s">
        <v>8</v>
      </c>
      <c r="BH199" s="1070"/>
      <c r="BI199" s="111" t="s">
        <v>17</v>
      </c>
      <c r="BJ199" s="1027" t="s">
        <v>1426</v>
      </c>
      <c r="BK199" s="283" t="s">
        <v>8</v>
      </c>
      <c r="BL199" s="1134" t="s">
        <v>8</v>
      </c>
      <c r="BM199" s="1111" t="s">
        <v>8</v>
      </c>
      <c r="BN199" s="1128" t="s">
        <v>8</v>
      </c>
      <c r="BO199" s="1118" t="s">
        <v>17</v>
      </c>
      <c r="BP199" s="1111" t="s">
        <v>17</v>
      </c>
      <c r="BQ199" s="1110" t="s">
        <v>8</v>
      </c>
      <c r="BR199" s="1111" t="s">
        <v>8</v>
      </c>
      <c r="BS199" s="1047" t="s">
        <v>17</v>
      </c>
      <c r="BT199" s="996" t="s">
        <v>17</v>
      </c>
      <c r="BU199" s="283" t="s">
        <v>8</v>
      </c>
      <c r="BV199" s="399" t="s">
        <v>8</v>
      </c>
      <c r="BW199" s="1111" t="s">
        <v>8</v>
      </c>
      <c r="BX199" s="984"/>
    </row>
    <row r="200" spans="1:76" s="222" customFormat="1" ht="13.5" customHeight="1" x14ac:dyDescent="0.3">
      <c r="A200" s="622"/>
      <c r="B200" s="471"/>
      <c r="C200" s="162" t="s">
        <v>1404</v>
      </c>
      <c r="D200" s="926"/>
      <c r="E200" s="1315"/>
      <c r="F200" s="1316"/>
      <c r="G200" s="1316"/>
      <c r="H200" s="1316"/>
      <c r="I200" s="1316"/>
      <c r="J200" s="1316"/>
      <c r="K200" s="1316"/>
      <c r="L200" s="1316"/>
      <c r="M200" s="1356"/>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11" t="s">
        <v>17</v>
      </c>
      <c r="AU200" s="283" t="s">
        <v>17</v>
      </c>
      <c r="AV200" s="1111" t="s">
        <v>17</v>
      </c>
      <c r="AW200" s="1152" t="s">
        <v>17</v>
      </c>
      <c r="AX200" s="399" t="s">
        <v>17</v>
      </c>
      <c r="AY200" s="1111" t="s">
        <v>17</v>
      </c>
      <c r="AZ200" s="1058" t="s">
        <v>17</v>
      </c>
      <c r="BA200" s="811" t="s">
        <v>17</v>
      </c>
      <c r="BB200" s="297" t="s">
        <v>17</v>
      </c>
      <c r="BC200" s="811" t="s">
        <v>17</v>
      </c>
      <c r="BD200" s="283" t="s">
        <v>17</v>
      </c>
      <c r="BE200" s="399" t="s">
        <v>8</v>
      </c>
      <c r="BF200" s="1111" t="s">
        <v>17</v>
      </c>
      <c r="BG200" s="1128" t="s">
        <v>17</v>
      </c>
      <c r="BH200" s="1070"/>
      <c r="BI200" s="111" t="s">
        <v>17</v>
      </c>
      <c r="BJ200" s="1026" t="s">
        <v>17</v>
      </c>
      <c r="BK200" s="283" t="s">
        <v>17</v>
      </c>
      <c r="BL200" s="1134" t="s">
        <v>8</v>
      </c>
      <c r="BM200" s="1111" t="s">
        <v>17</v>
      </c>
      <c r="BN200" s="1128" t="s">
        <v>17</v>
      </c>
      <c r="BO200" s="1119" t="s">
        <v>17</v>
      </c>
      <c r="BP200" s="1111" t="s">
        <v>17</v>
      </c>
      <c r="BQ200" s="1110" t="s">
        <v>8</v>
      </c>
      <c r="BR200" s="1111" t="s">
        <v>17</v>
      </c>
      <c r="BS200" s="1047" t="s">
        <v>17</v>
      </c>
      <c r="BT200" s="996" t="s">
        <v>17</v>
      </c>
      <c r="BU200" s="283" t="s">
        <v>17</v>
      </c>
      <c r="BV200" s="399" t="s">
        <v>8</v>
      </c>
      <c r="BW200" s="1111" t="s">
        <v>17</v>
      </c>
      <c r="BX200" s="984"/>
    </row>
    <row r="201" spans="1:76" ht="13.5" customHeight="1" x14ac:dyDescent="0.3">
      <c r="A201" s="622"/>
      <c r="B201" s="49"/>
      <c r="C201" s="162" t="s">
        <v>62</v>
      </c>
      <c r="D201" s="926"/>
      <c r="E201" s="1315"/>
      <c r="F201" s="1316"/>
      <c r="G201" s="1316"/>
      <c r="H201" s="1316"/>
      <c r="I201" s="1316"/>
      <c r="J201" s="1316"/>
      <c r="K201" s="1316"/>
      <c r="L201" s="1316"/>
      <c r="M201" s="1356"/>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77">
        <v>32</v>
      </c>
      <c r="BA201" s="26">
        <v>16</v>
      </c>
      <c r="BB201" s="430">
        <v>32</v>
      </c>
      <c r="BC201" s="1225">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04">
        <v>32</v>
      </c>
      <c r="BR201" s="794">
        <v>32</v>
      </c>
      <c r="BS201" s="807">
        <v>8</v>
      </c>
      <c r="BT201" s="250">
        <v>32</v>
      </c>
      <c r="BU201" s="658">
        <v>8</v>
      </c>
      <c r="BV201" s="720">
        <v>32</v>
      </c>
      <c r="BW201" s="794">
        <v>32</v>
      </c>
      <c r="BX201" s="487" t="s">
        <v>569</v>
      </c>
    </row>
    <row r="202" spans="1:76" ht="13.5" customHeight="1" x14ac:dyDescent="0.3">
      <c r="A202" s="622"/>
      <c r="B202" s="49"/>
      <c r="C202" s="162" t="s">
        <v>619</v>
      </c>
      <c r="D202" s="926"/>
      <c r="E202" s="1315"/>
      <c r="F202" s="1316"/>
      <c r="G202" s="1316"/>
      <c r="H202" s="1316"/>
      <c r="I202" s="1316"/>
      <c r="J202" s="1316"/>
      <c r="K202" s="1316"/>
      <c r="L202" s="1316"/>
      <c r="M202" s="1356"/>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78"/>
      <c r="BA202" s="26" t="s">
        <v>8</v>
      </c>
      <c r="BB202" s="441" t="s">
        <v>17</v>
      </c>
      <c r="BC202" s="227" t="s">
        <v>8</v>
      </c>
      <c r="BD202" s="671" t="s">
        <v>17</v>
      </c>
      <c r="BE202" s="726" t="s">
        <v>17</v>
      </c>
      <c r="BF202" s="794" t="s">
        <v>17</v>
      </c>
      <c r="BG202" s="378" t="s">
        <v>17</v>
      </c>
      <c r="BH202" s="1054" t="s">
        <v>8</v>
      </c>
      <c r="BI202" s="131" t="s">
        <v>17</v>
      </c>
      <c r="BJ202" s="1013"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3">
      <c r="A203" s="622"/>
      <c r="B203" s="224"/>
      <c r="C203" s="162" t="s">
        <v>69</v>
      </c>
      <c r="D203" s="926"/>
      <c r="E203" s="1315"/>
      <c r="F203" s="1316"/>
      <c r="G203" s="1316"/>
      <c r="H203" s="1316"/>
      <c r="I203" s="1316"/>
      <c r="J203" s="1316"/>
      <c r="K203" s="1316"/>
      <c r="L203" s="1316"/>
      <c r="M203" s="1356"/>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68" t="s">
        <v>17</v>
      </c>
      <c r="BI203" s="99" t="s">
        <v>8</v>
      </c>
      <c r="BJ203" s="1026" t="s">
        <v>17</v>
      </c>
      <c r="BK203" s="658" t="s">
        <v>8</v>
      </c>
      <c r="BL203" s="708" t="s">
        <v>8</v>
      </c>
      <c r="BM203" s="113" t="s">
        <v>8</v>
      </c>
      <c r="BN203" s="327" t="s">
        <v>8</v>
      </c>
      <c r="BO203" s="658" t="s">
        <v>8</v>
      </c>
      <c r="BP203" s="156" t="s">
        <v>8</v>
      </c>
      <c r="BQ203" s="658" t="s">
        <v>8</v>
      </c>
      <c r="BR203" s="113" t="s">
        <v>8</v>
      </c>
      <c r="BS203" s="1037" t="s">
        <v>8</v>
      </c>
      <c r="BT203" s="249" t="s">
        <v>8</v>
      </c>
      <c r="BU203" s="658" t="s">
        <v>8</v>
      </c>
      <c r="BV203" s="711" t="s">
        <v>8</v>
      </c>
      <c r="BW203" s="113" t="s">
        <v>8</v>
      </c>
      <c r="BX203" s="984"/>
    </row>
    <row r="204" spans="1:76" ht="13.5" customHeight="1" x14ac:dyDescent="0.3">
      <c r="A204" s="622"/>
      <c r="B204" s="48"/>
      <c r="C204" s="3" t="s">
        <v>266</v>
      </c>
      <c r="D204" s="926"/>
      <c r="E204" s="1315"/>
      <c r="F204" s="1316"/>
      <c r="G204" s="1316"/>
      <c r="H204" s="1316"/>
      <c r="I204" s="1316"/>
      <c r="J204" s="1316"/>
      <c r="K204" s="1316"/>
      <c r="L204" s="1316"/>
      <c r="M204" s="1356"/>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customHeight="1" x14ac:dyDescent="0.3">
      <c r="A205" s="622"/>
      <c r="B205" s="48"/>
      <c r="C205" s="3" t="s">
        <v>552</v>
      </c>
      <c r="D205" s="926"/>
      <c r="E205" s="1315"/>
      <c r="F205" s="1316"/>
      <c r="G205" s="1316"/>
      <c r="H205" s="1316"/>
      <c r="I205" s="1316"/>
      <c r="J205" s="1316"/>
      <c r="K205" s="1316"/>
      <c r="L205" s="1316"/>
      <c r="M205" s="1356"/>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12"/>
      <c r="BK205" s="671" t="s">
        <v>17</v>
      </c>
      <c r="BL205" s="725" t="s">
        <v>17</v>
      </c>
      <c r="BM205" s="794" t="s">
        <v>17</v>
      </c>
      <c r="BN205" s="327" t="s">
        <v>8</v>
      </c>
      <c r="BO205" s="671" t="s">
        <v>17</v>
      </c>
      <c r="BP205" s="113" t="s">
        <v>17</v>
      </c>
      <c r="BQ205" s="671" t="s">
        <v>17</v>
      </c>
      <c r="BR205" s="794" t="s">
        <v>17</v>
      </c>
      <c r="BS205" s="1048"/>
      <c r="BT205" s="997"/>
      <c r="BU205" s="671" t="s">
        <v>17</v>
      </c>
      <c r="BV205" s="726" t="s">
        <v>17</v>
      </c>
      <c r="BW205" s="794" t="s">
        <v>17</v>
      </c>
      <c r="BX205" s="486"/>
    </row>
    <row r="206" spans="1:76" ht="13.5" customHeight="1" x14ac:dyDescent="0.3">
      <c r="A206" s="622"/>
      <c r="B206" s="48"/>
      <c r="C206" s="3" t="s">
        <v>1300</v>
      </c>
      <c r="D206" s="926"/>
      <c r="E206" s="1315"/>
      <c r="F206" s="1316"/>
      <c r="G206" s="1316"/>
      <c r="H206" s="1316"/>
      <c r="I206" s="1316"/>
      <c r="J206" s="1316"/>
      <c r="K206" s="1316"/>
      <c r="L206" s="1316"/>
      <c r="M206" s="1356"/>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195">
        <v>4</v>
      </c>
      <c r="BK206" s="658">
        <v>1</v>
      </c>
      <c r="BL206" s="708">
        <v>2</v>
      </c>
      <c r="BM206" s="113">
        <v>5</v>
      </c>
      <c r="BN206" s="327">
        <v>3</v>
      </c>
      <c r="BO206" s="658">
        <v>1</v>
      </c>
      <c r="BP206" s="99">
        <v>2</v>
      </c>
      <c r="BQ206" s="658">
        <v>2</v>
      </c>
      <c r="BR206" s="113">
        <v>5</v>
      </c>
      <c r="BS206" s="807">
        <v>1</v>
      </c>
      <c r="BT206" s="250">
        <v>2</v>
      </c>
      <c r="BU206" s="658">
        <v>1</v>
      </c>
      <c r="BV206" s="711">
        <v>2</v>
      </c>
      <c r="BW206" s="113">
        <v>5</v>
      </c>
      <c r="BX206" s="984" t="s">
        <v>1298</v>
      </c>
    </row>
    <row r="207" spans="1:76" ht="13.5" customHeight="1" x14ac:dyDescent="0.3">
      <c r="A207" s="622"/>
      <c r="B207" s="48"/>
      <c r="C207" s="5" t="s">
        <v>1296</v>
      </c>
      <c r="D207" s="926"/>
      <c r="E207" s="1315"/>
      <c r="F207" s="1316"/>
      <c r="G207" s="1316"/>
      <c r="H207" s="1316"/>
      <c r="I207" s="1316"/>
      <c r="J207" s="1316"/>
      <c r="K207" s="1316"/>
      <c r="L207" s="1316"/>
      <c r="M207" s="1356"/>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195"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84" t="s">
        <v>1299</v>
      </c>
    </row>
    <row r="208" spans="1:76" ht="13.5" customHeight="1" x14ac:dyDescent="0.3">
      <c r="A208" s="622"/>
      <c r="B208" s="48"/>
      <c r="C208" s="5" t="s">
        <v>1297</v>
      </c>
      <c r="D208" s="926"/>
      <c r="E208" s="1315"/>
      <c r="F208" s="1316"/>
      <c r="G208" s="1316"/>
      <c r="H208" s="1316"/>
      <c r="I208" s="1316"/>
      <c r="J208" s="1316"/>
      <c r="K208" s="1316"/>
      <c r="L208" s="1316"/>
      <c r="M208" s="1356"/>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195"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84" t="s">
        <v>1299</v>
      </c>
    </row>
    <row r="209" spans="1:76" ht="13.5" customHeight="1" x14ac:dyDescent="0.3">
      <c r="A209" s="622"/>
      <c r="B209" s="48"/>
      <c r="C209" s="5" t="s">
        <v>1287</v>
      </c>
      <c r="D209" s="926"/>
      <c r="E209" s="1315"/>
      <c r="F209" s="1316"/>
      <c r="G209" s="1316"/>
      <c r="H209" s="1316"/>
      <c r="I209" s="1316"/>
      <c r="J209" s="1316"/>
      <c r="K209" s="1316"/>
      <c r="L209" s="1316"/>
      <c r="M209" s="1356"/>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195"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84" t="s">
        <v>1299</v>
      </c>
    </row>
    <row r="210" spans="1:76" ht="13.5" customHeight="1" x14ac:dyDescent="0.3">
      <c r="A210" s="622"/>
      <c r="B210" s="48"/>
      <c r="C210" s="478" t="s">
        <v>1503</v>
      </c>
      <c r="D210" s="926"/>
      <c r="E210" s="1315"/>
      <c r="F210" s="1316"/>
      <c r="G210" s="1316"/>
      <c r="H210" s="1316"/>
      <c r="I210" s="1316"/>
      <c r="J210" s="1316"/>
      <c r="K210" s="1316"/>
      <c r="L210" s="1316"/>
      <c r="M210" s="1356"/>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12" t="s">
        <v>17</v>
      </c>
      <c r="BG210" s="327" t="s">
        <v>8</v>
      </c>
      <c r="BH210" s="282"/>
      <c r="BI210" s="99"/>
      <c r="BJ210" s="1195"/>
      <c r="BK210" s="658" t="s">
        <v>17</v>
      </c>
      <c r="BL210" s="711" t="s">
        <v>17</v>
      </c>
      <c r="BM210" s="1112" t="s">
        <v>17</v>
      </c>
      <c r="BN210" s="327" t="s">
        <v>8</v>
      </c>
      <c r="BO210" s="658" t="s">
        <v>17</v>
      </c>
      <c r="BP210" s="99" t="s">
        <v>17</v>
      </c>
      <c r="BQ210" s="658" t="s">
        <v>17</v>
      </c>
      <c r="BR210" s="1112" t="s">
        <v>17</v>
      </c>
      <c r="BS210" s="408"/>
      <c r="BT210" s="404"/>
      <c r="BU210" s="658" t="s">
        <v>17</v>
      </c>
      <c r="BV210" s="711" t="s">
        <v>17</v>
      </c>
      <c r="BW210" s="1112" t="s">
        <v>17</v>
      </c>
      <c r="BX210" s="984"/>
    </row>
    <row r="211" spans="1:76" ht="13.5" customHeight="1" x14ac:dyDescent="0.3">
      <c r="A211" s="622"/>
      <c r="B211" s="48"/>
      <c r="C211" s="478" t="s">
        <v>1504</v>
      </c>
      <c r="D211" s="926"/>
      <c r="E211" s="1315"/>
      <c r="F211" s="1316"/>
      <c r="G211" s="1316"/>
      <c r="H211" s="1316"/>
      <c r="I211" s="1316"/>
      <c r="J211" s="1316"/>
      <c r="K211" s="1316"/>
      <c r="L211" s="1316"/>
      <c r="M211" s="1356"/>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12" t="s">
        <v>17</v>
      </c>
      <c r="BG211" s="327" t="s">
        <v>8</v>
      </c>
      <c r="BH211" s="658" t="s">
        <v>17</v>
      </c>
      <c r="BI211" s="1112" t="s">
        <v>17</v>
      </c>
      <c r="BJ211" s="226" t="s">
        <v>8</v>
      </c>
      <c r="BK211" s="658" t="s">
        <v>17</v>
      </c>
      <c r="BL211" s="711" t="s">
        <v>17</v>
      </c>
      <c r="BM211" s="1112" t="s">
        <v>17</v>
      </c>
      <c r="BN211" s="1129" t="s">
        <v>8</v>
      </c>
      <c r="BO211" s="658" t="s">
        <v>17</v>
      </c>
      <c r="BP211" s="99" t="s">
        <v>17</v>
      </c>
      <c r="BQ211" s="658" t="s">
        <v>17</v>
      </c>
      <c r="BR211" s="1112" t="s">
        <v>17</v>
      </c>
      <c r="BS211" s="408"/>
      <c r="BT211" s="404"/>
      <c r="BU211" s="658" t="s">
        <v>17</v>
      </c>
      <c r="BV211" s="711" t="s">
        <v>17</v>
      </c>
      <c r="BW211" s="1112" t="s">
        <v>17</v>
      </c>
      <c r="BX211" s="984"/>
    </row>
    <row r="212" spans="1:76" ht="13.5" customHeight="1" x14ac:dyDescent="0.3">
      <c r="A212" s="622"/>
      <c r="B212" s="48"/>
      <c r="C212" s="5" t="s">
        <v>649</v>
      </c>
      <c r="D212" s="926"/>
      <c r="E212" s="1315"/>
      <c r="F212" s="1316"/>
      <c r="G212" s="1316"/>
      <c r="H212" s="1316"/>
      <c r="I212" s="1316"/>
      <c r="J212" s="1316"/>
      <c r="K212" s="1316"/>
      <c r="L212" s="1316"/>
      <c r="M212" s="1356"/>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3">
      <c r="A213" s="622"/>
      <c r="B213" s="48"/>
      <c r="C213" s="3" t="s">
        <v>557</v>
      </c>
      <c r="D213" s="926"/>
      <c r="E213" s="1315"/>
      <c r="F213" s="1316"/>
      <c r="G213" s="1316"/>
      <c r="H213" s="1316"/>
      <c r="I213" s="1316"/>
      <c r="J213" s="1316"/>
      <c r="K213" s="1316"/>
      <c r="L213" s="1316"/>
      <c r="M213" s="1356"/>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57"/>
      <c r="BK213" s="670" t="s">
        <v>8</v>
      </c>
      <c r="BL213" s="725" t="s">
        <v>8</v>
      </c>
      <c r="BM213" s="113" t="s">
        <v>8</v>
      </c>
      <c r="BN213" s="327" t="s">
        <v>17</v>
      </c>
      <c r="BO213" s="670" t="s">
        <v>8</v>
      </c>
      <c r="BP213" s="113" t="s">
        <v>8</v>
      </c>
      <c r="BQ213" s="670" t="s">
        <v>8</v>
      </c>
      <c r="BR213" s="113" t="s">
        <v>8</v>
      </c>
      <c r="BS213" s="1048"/>
      <c r="BT213" s="997"/>
      <c r="BU213" s="670" t="s">
        <v>8</v>
      </c>
      <c r="BV213" s="727" t="s">
        <v>8</v>
      </c>
      <c r="BW213" s="113" t="s">
        <v>8</v>
      </c>
      <c r="BX213" s="486"/>
    </row>
    <row r="214" spans="1:76" ht="13.5" customHeight="1" x14ac:dyDescent="0.3">
      <c r="A214" s="622"/>
      <c r="B214" s="47"/>
      <c r="C214" s="3" t="s">
        <v>186</v>
      </c>
      <c r="D214" s="926"/>
      <c r="E214" s="1315"/>
      <c r="F214" s="1316"/>
      <c r="G214" s="1316"/>
      <c r="H214" s="1316"/>
      <c r="I214" s="1316"/>
      <c r="J214" s="1316"/>
      <c r="K214" s="1316"/>
      <c r="L214" s="1316"/>
      <c r="M214" s="1356"/>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55"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3">
      <c r="A215" s="622"/>
      <c r="B215" s="47"/>
      <c r="C215" s="478" t="s">
        <v>1512</v>
      </c>
      <c r="D215" s="926"/>
      <c r="E215" s="1315"/>
      <c r="F215" s="1316"/>
      <c r="G215" s="1316"/>
      <c r="H215" s="1316"/>
      <c r="I215" s="1316"/>
      <c r="J215" s="1316"/>
      <c r="K215" s="1316"/>
      <c r="L215" s="1316"/>
      <c r="M215" s="1356"/>
      <c r="N215" s="944"/>
      <c r="O215" s="945"/>
      <c r="P215" s="946"/>
      <c r="Q215" s="944"/>
      <c r="R215" s="945"/>
      <c r="S215" s="945"/>
      <c r="T215" s="946"/>
      <c r="U215" s="947"/>
      <c r="V215" s="948"/>
      <c r="W215" s="948"/>
      <c r="X215" s="949"/>
      <c r="Y215" s="947"/>
      <c r="Z215" s="948"/>
      <c r="AA215" s="950"/>
      <c r="AB215" s="951"/>
      <c r="AC215" s="952"/>
      <c r="AD215" s="953"/>
      <c r="AE215" s="948"/>
      <c r="AF215" s="948"/>
      <c r="AG215" s="948"/>
      <c r="AH215" s="948"/>
      <c r="AI215" s="948"/>
      <c r="AJ215" s="953"/>
      <c r="AK215" s="954"/>
      <c r="AL215" s="947"/>
      <c r="AM215" s="954"/>
      <c r="AN215" s="955"/>
      <c r="AO215" s="955"/>
      <c r="AP215" s="948"/>
      <c r="AQ215" s="954"/>
      <c r="AR215" s="947"/>
      <c r="AS215" s="945"/>
      <c r="AT215" s="946"/>
      <c r="AU215" s="944"/>
      <c r="AV215" s="946"/>
      <c r="AW215" s="1153"/>
      <c r="AX215" s="945"/>
      <c r="AY215" s="946"/>
      <c r="AZ215" s="1145"/>
      <c r="BA215" s="956"/>
      <c r="BB215" s="1030"/>
      <c r="BC215" s="1232"/>
      <c r="BD215" s="958" t="s">
        <v>17</v>
      </c>
      <c r="BE215" s="1140" t="s">
        <v>17</v>
      </c>
      <c r="BF215" s="271" t="s">
        <v>8</v>
      </c>
      <c r="BG215" s="301" t="s">
        <v>17</v>
      </c>
      <c r="BH215" s="117"/>
      <c r="BI215" s="456"/>
      <c r="BJ215" s="387"/>
      <c r="BK215" s="659" t="s">
        <v>17</v>
      </c>
      <c r="BL215" s="712" t="s">
        <v>8</v>
      </c>
      <c r="BM215" s="271" t="s">
        <v>8</v>
      </c>
      <c r="BN215" s="366" t="s">
        <v>17</v>
      </c>
      <c r="BO215" s="658"/>
      <c r="BP215" s="946"/>
      <c r="BQ215" s="958" t="s">
        <v>17</v>
      </c>
      <c r="BR215" s="271" t="s">
        <v>8</v>
      </c>
      <c r="BS215" s="807"/>
      <c r="BT215" s="250"/>
      <c r="BU215" s="958" t="s">
        <v>17</v>
      </c>
      <c r="BV215" s="1140" t="s">
        <v>17</v>
      </c>
      <c r="BW215" s="271" t="s">
        <v>8</v>
      </c>
      <c r="BX215" s="486"/>
    </row>
    <row r="216" spans="1:76" ht="13.5" customHeight="1" x14ac:dyDescent="0.3">
      <c r="A216" s="622"/>
      <c r="B216" s="47"/>
      <c r="C216" s="3" t="s">
        <v>187</v>
      </c>
      <c r="D216" s="926"/>
      <c r="E216" s="1315"/>
      <c r="F216" s="1316"/>
      <c r="G216" s="1316"/>
      <c r="H216" s="1316"/>
      <c r="I216" s="1316"/>
      <c r="J216" s="1316"/>
      <c r="K216" s="1316"/>
      <c r="L216" s="1316"/>
      <c r="M216" s="1356"/>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55"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3">
      <c r="A217" s="622"/>
      <c r="B217" s="47"/>
      <c r="C217" s="3" t="s">
        <v>554</v>
      </c>
      <c r="D217" s="926"/>
      <c r="E217" s="1315"/>
      <c r="F217" s="1316"/>
      <c r="G217" s="1316"/>
      <c r="H217" s="1316"/>
      <c r="I217" s="1316"/>
      <c r="J217" s="1316"/>
      <c r="K217" s="1316"/>
      <c r="L217" s="1316"/>
      <c r="M217" s="1356"/>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77" t="s">
        <v>8</v>
      </c>
      <c r="BA217" s="814"/>
      <c r="BB217" s="814"/>
      <c r="BC217" s="814"/>
      <c r="BD217" s="658" t="s">
        <v>17</v>
      </c>
      <c r="BE217" s="711" t="s">
        <v>17</v>
      </c>
      <c r="BF217" s="113" t="s">
        <v>17</v>
      </c>
      <c r="BG217" s="301" t="s">
        <v>8</v>
      </c>
      <c r="BH217" s="403"/>
      <c r="BI217" s="250" t="s">
        <v>8</v>
      </c>
      <c r="BJ217" s="1057"/>
      <c r="BK217" s="658" t="s">
        <v>17</v>
      </c>
      <c r="BL217" s="708" t="s">
        <v>17</v>
      </c>
      <c r="BM217" s="113" t="s">
        <v>17</v>
      </c>
      <c r="BN217" s="301" t="s">
        <v>8</v>
      </c>
      <c r="BO217" s="658" t="s">
        <v>17</v>
      </c>
      <c r="BP217" s="111" t="s">
        <v>17</v>
      </c>
      <c r="BQ217" s="658" t="s">
        <v>17</v>
      </c>
      <c r="BR217" s="113" t="s">
        <v>17</v>
      </c>
      <c r="BS217" s="1048"/>
      <c r="BT217" s="997"/>
      <c r="BU217" s="658" t="s">
        <v>17</v>
      </c>
      <c r="BV217" s="711" t="s">
        <v>17</v>
      </c>
      <c r="BW217" s="113" t="s">
        <v>17</v>
      </c>
      <c r="BX217" s="486"/>
    </row>
    <row r="218" spans="1:76" ht="13.5" customHeight="1" x14ac:dyDescent="0.3">
      <c r="A218" s="622"/>
      <c r="B218" s="47"/>
      <c r="C218" s="3" t="s">
        <v>64</v>
      </c>
      <c r="D218" s="926"/>
      <c r="E218" s="1315"/>
      <c r="F218" s="1316"/>
      <c r="G218" s="1316"/>
      <c r="H218" s="1316"/>
      <c r="I218" s="1316"/>
      <c r="J218" s="1316"/>
      <c r="K218" s="1316"/>
      <c r="L218" s="1316"/>
      <c r="M218" s="1356"/>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84" t="s">
        <v>553</v>
      </c>
    </row>
    <row r="219" spans="1:76" ht="13.5" customHeight="1" x14ac:dyDescent="0.3">
      <c r="A219" s="1198"/>
      <c r="B219" s="47"/>
      <c r="C219" s="3" t="s">
        <v>65</v>
      </c>
      <c r="D219" s="926"/>
      <c r="E219" s="1315"/>
      <c r="F219" s="1316"/>
      <c r="G219" s="1316"/>
      <c r="H219" s="1316"/>
      <c r="I219" s="1316"/>
      <c r="J219" s="1316"/>
      <c r="K219" s="1316"/>
      <c r="L219" s="1316"/>
      <c r="M219" s="1356"/>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77"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3">
      <c r="A220" s="1199"/>
      <c r="B220" s="47"/>
      <c r="C220" s="3" t="s">
        <v>206</v>
      </c>
      <c r="D220" s="926"/>
      <c r="E220" s="1315"/>
      <c r="F220" s="1316"/>
      <c r="G220" s="1316"/>
      <c r="H220" s="1316"/>
      <c r="I220" s="1316"/>
      <c r="J220" s="1316"/>
      <c r="K220" s="1316"/>
      <c r="L220" s="1316"/>
      <c r="M220" s="1356"/>
      <c r="N220" s="277"/>
      <c r="O220" s="398"/>
      <c r="P220" s="200"/>
      <c r="Q220" s="277"/>
      <c r="R220" s="398"/>
      <c r="S220" s="398"/>
      <c r="T220" s="200"/>
      <c r="U220" s="336"/>
      <c r="V220" s="337"/>
      <c r="W220" s="337"/>
      <c r="X220" s="203"/>
      <c r="Y220" s="336"/>
      <c r="Z220" s="337"/>
      <c r="AA220" s="337"/>
      <c r="AB220" s="337"/>
      <c r="AC220" s="1169" t="s">
        <v>8</v>
      </c>
      <c r="AD220" s="1069" t="s">
        <v>8</v>
      </c>
      <c r="AE220" s="1170" t="s">
        <v>8</v>
      </c>
      <c r="AF220" s="1170" t="s">
        <v>8</v>
      </c>
      <c r="AG220" s="1170" t="s">
        <v>8</v>
      </c>
      <c r="AH220" s="638" t="s">
        <v>8</v>
      </c>
      <c r="AI220" s="1170" t="s">
        <v>8</v>
      </c>
      <c r="AJ220" s="1069" t="s">
        <v>8</v>
      </c>
      <c r="AK220" s="1169" t="s">
        <v>8</v>
      </c>
      <c r="AL220" s="963" t="s">
        <v>8</v>
      </c>
      <c r="AM220" s="638" t="s">
        <v>8</v>
      </c>
      <c r="AN220" s="639" t="s">
        <v>8</v>
      </c>
      <c r="AO220" s="639" t="s">
        <v>8</v>
      </c>
      <c r="AP220" s="1170" t="s">
        <v>8</v>
      </c>
      <c r="AQ220" s="638" t="s">
        <v>8</v>
      </c>
      <c r="AR220" s="963" t="s">
        <v>8</v>
      </c>
      <c r="AS220" s="1170" t="s">
        <v>8</v>
      </c>
      <c r="AT220" s="1169" t="s">
        <v>8</v>
      </c>
      <c r="AU220" s="963" t="s">
        <v>8</v>
      </c>
      <c r="AV220" s="1169" t="s">
        <v>8</v>
      </c>
      <c r="AW220" s="1069" t="s">
        <v>8</v>
      </c>
      <c r="AX220" s="1170" t="s">
        <v>8</v>
      </c>
      <c r="AY220" s="1169" t="s">
        <v>8</v>
      </c>
      <c r="AZ220" s="1171" t="s">
        <v>8</v>
      </c>
      <c r="BA220" s="420" t="s">
        <v>8</v>
      </c>
      <c r="BB220" s="638" t="s">
        <v>8</v>
      </c>
      <c r="BC220" s="420" t="s">
        <v>8</v>
      </c>
      <c r="BD220" s="672" t="s">
        <v>8</v>
      </c>
      <c r="BE220" s="728" t="s">
        <v>8</v>
      </c>
      <c r="BF220" s="795" t="s">
        <v>8</v>
      </c>
      <c r="BG220" s="781" t="s">
        <v>8</v>
      </c>
      <c r="BH220" s="963" t="s">
        <v>8</v>
      </c>
      <c r="BI220" s="1169" t="s">
        <v>8</v>
      </c>
      <c r="BJ220" s="1196" t="s">
        <v>8</v>
      </c>
      <c r="BK220" s="672" t="s">
        <v>8</v>
      </c>
      <c r="BL220" s="904" t="s">
        <v>8</v>
      </c>
      <c r="BM220" s="795" t="s">
        <v>8</v>
      </c>
      <c r="BN220" s="781" t="s">
        <v>8</v>
      </c>
      <c r="BO220" s="672" t="s">
        <v>8</v>
      </c>
      <c r="BP220" s="1169" t="s">
        <v>8</v>
      </c>
      <c r="BQ220" s="672" t="s">
        <v>8</v>
      </c>
      <c r="BR220" s="795" t="s">
        <v>8</v>
      </c>
      <c r="BS220" s="912" t="s">
        <v>8</v>
      </c>
      <c r="BT220" s="459" t="s">
        <v>8</v>
      </c>
      <c r="BU220" s="672" t="s">
        <v>8</v>
      </c>
      <c r="BV220" s="728" t="s">
        <v>8</v>
      </c>
      <c r="BW220" s="795" t="s">
        <v>8</v>
      </c>
      <c r="BX220" s="979"/>
    </row>
    <row r="221" spans="1:76" ht="13.5" customHeight="1" x14ac:dyDescent="0.3">
      <c r="A221" s="1199"/>
      <c r="B221" s="47"/>
      <c r="C221" s="919" t="s">
        <v>683</v>
      </c>
      <c r="D221" s="926"/>
      <c r="E221" s="1315"/>
      <c r="F221" s="1316"/>
      <c r="G221" s="1316"/>
      <c r="H221" s="1316"/>
      <c r="I221" s="1316"/>
      <c r="J221" s="1316"/>
      <c r="K221" s="1316"/>
      <c r="L221" s="1316"/>
      <c r="M221" s="1356"/>
      <c r="N221" s="114"/>
      <c r="O221" s="29"/>
      <c r="P221" s="115"/>
      <c r="Q221" s="114"/>
      <c r="R221" s="29"/>
      <c r="S221" s="29"/>
      <c r="T221" s="115"/>
      <c r="U221" s="117"/>
      <c r="V221" s="30"/>
      <c r="W221" s="30"/>
      <c r="X221" s="185"/>
      <c r="Y221" s="117"/>
      <c r="Z221" s="30"/>
      <c r="AA221" s="30"/>
      <c r="AB221" s="30"/>
      <c r="AC221" s="952"/>
      <c r="AD221" s="953"/>
      <c r="AE221" s="948"/>
      <c r="AF221" s="948"/>
      <c r="AG221" s="948"/>
      <c r="AH221" s="954"/>
      <c r="AI221" s="948"/>
      <c r="AJ221" s="953"/>
      <c r="AK221" s="952"/>
      <c r="AL221" s="947"/>
      <c r="AM221" s="954"/>
      <c r="AN221" s="955"/>
      <c r="AO221" s="955"/>
      <c r="AP221" s="948"/>
      <c r="AQ221" s="954"/>
      <c r="AR221" s="947"/>
      <c r="AS221" s="948"/>
      <c r="AT221" s="952"/>
      <c r="AU221" s="947"/>
      <c r="AV221" s="952"/>
      <c r="AW221" s="953"/>
      <c r="AX221" s="948"/>
      <c r="AY221" s="952"/>
      <c r="AZ221" s="1185"/>
      <c r="BA221" s="1186"/>
      <c r="BB221" s="954"/>
      <c r="BC221" s="1233"/>
      <c r="BD221" s="654" t="s">
        <v>695</v>
      </c>
      <c r="BE221" s="708" t="s">
        <v>8</v>
      </c>
      <c r="BF221" s="111" t="s">
        <v>8</v>
      </c>
      <c r="BG221" s="365" t="s">
        <v>8</v>
      </c>
      <c r="BH221" s="947"/>
      <c r="BI221" s="952"/>
      <c r="BJ221" s="227" t="s">
        <v>8</v>
      </c>
      <c r="BK221" s="654" t="s">
        <v>695</v>
      </c>
      <c r="BL221" s="708" t="s">
        <v>8</v>
      </c>
      <c r="BM221" s="111" t="s">
        <v>8</v>
      </c>
      <c r="BN221" s="365" t="s">
        <v>8</v>
      </c>
      <c r="BO221" s="494" t="s">
        <v>695</v>
      </c>
      <c r="BP221" s="495" t="s">
        <v>8</v>
      </c>
      <c r="BQ221" s="494" t="s">
        <v>8</v>
      </c>
      <c r="BR221" s="111" t="s">
        <v>8</v>
      </c>
      <c r="BS221" s="1187"/>
      <c r="BT221" s="957"/>
      <c r="BU221" s="654" t="s">
        <v>695</v>
      </c>
      <c r="BV221" s="708" t="s">
        <v>8</v>
      </c>
      <c r="BW221" s="111" t="s">
        <v>8</v>
      </c>
      <c r="BX221" s="388" t="s">
        <v>696</v>
      </c>
    </row>
    <row r="222" spans="1:76" ht="13.5" customHeight="1" thickBot="1" x14ac:dyDescent="0.35">
      <c r="A222" s="1200"/>
      <c r="B222" s="49"/>
      <c r="C222" s="1239" t="s">
        <v>1497</v>
      </c>
      <c r="D222" s="926"/>
      <c r="E222" s="1315"/>
      <c r="F222" s="1316"/>
      <c r="G222" s="1316"/>
      <c r="H222" s="1316"/>
      <c r="I222" s="1316"/>
      <c r="J222" s="1316"/>
      <c r="K222" s="1316"/>
      <c r="L222" s="1316"/>
      <c r="M222" s="1356"/>
      <c r="N222" s="277"/>
      <c r="O222" s="398"/>
      <c r="P222" s="200"/>
      <c r="Q222" s="277"/>
      <c r="R222" s="398"/>
      <c r="S222" s="398"/>
      <c r="T222" s="200"/>
      <c r="U222" s="336"/>
      <c r="V222" s="337"/>
      <c r="W222" s="337"/>
      <c r="X222" s="203"/>
      <c r="Y222" s="336"/>
      <c r="Z222" s="337"/>
      <c r="AA222" s="337"/>
      <c r="AB222" s="337"/>
      <c r="AC222" s="200"/>
      <c r="AD222" s="1240"/>
      <c r="AE222" s="1241"/>
      <c r="AF222" s="1241"/>
      <c r="AG222" s="1241"/>
      <c r="AH222" s="1242"/>
      <c r="AI222" s="1241"/>
      <c r="AJ222" s="1240"/>
      <c r="AK222" s="1243"/>
      <c r="AL222" s="1244"/>
      <c r="AM222" s="1242"/>
      <c r="AN222" s="1242"/>
      <c r="AO222" s="1242"/>
      <c r="AP222" s="1241"/>
      <c r="AQ222" s="1242"/>
      <c r="AR222" s="1245"/>
      <c r="AS222" s="1246"/>
      <c r="AT222" s="1247"/>
      <c r="AU222" s="1244"/>
      <c r="AV222" s="1247"/>
      <c r="AW222" s="1248"/>
      <c r="AX222" s="1246"/>
      <c r="AY222" s="1247"/>
      <c r="AZ222" s="1249"/>
      <c r="BA222" s="1246"/>
      <c r="BB222" s="1250"/>
      <c r="BC222" s="1249"/>
      <c r="BD222" s="1244"/>
      <c r="BE222" s="1246"/>
      <c r="BF222" s="1247"/>
      <c r="BG222" s="1251"/>
      <c r="BH222" s="458"/>
      <c r="BI222" s="459"/>
      <c r="BJ222" s="1252"/>
      <c r="BK222" s="1253" t="s">
        <v>8</v>
      </c>
      <c r="BL222" s="1254" t="s">
        <v>8</v>
      </c>
      <c r="BM222" s="1255" t="s">
        <v>8</v>
      </c>
      <c r="BN222" s="766" t="s">
        <v>17</v>
      </c>
      <c r="BO222" s="458"/>
      <c r="BP222" s="1247"/>
      <c r="BQ222" s="1245"/>
      <c r="BR222" s="1255" t="s">
        <v>8</v>
      </c>
      <c r="BS222" s="1256"/>
      <c r="BT222" s="1257"/>
      <c r="BU222" s="1244"/>
      <c r="BV222" s="1246"/>
      <c r="BW222" s="1247"/>
      <c r="BX222" s="766"/>
    </row>
    <row r="223" spans="1:76" ht="13.5" customHeight="1" thickTop="1" thickBot="1" x14ac:dyDescent="0.35">
      <c r="A223" s="882"/>
      <c r="B223" s="61"/>
      <c r="C223" s="1201" t="s">
        <v>1536</v>
      </c>
      <c r="D223" s="1260"/>
      <c r="E223" s="1258"/>
      <c r="F223" s="1259"/>
      <c r="G223" s="1259"/>
      <c r="H223" s="1259"/>
      <c r="I223" s="1259"/>
      <c r="J223" s="1259"/>
      <c r="K223" s="1259"/>
      <c r="L223" s="1259"/>
      <c r="M223" s="1259"/>
      <c r="N223" s="121"/>
      <c r="O223" s="54"/>
      <c r="P223" s="122"/>
      <c r="Q223" s="121"/>
      <c r="R223" s="54"/>
      <c r="S223" s="54"/>
      <c r="T223" s="122"/>
      <c r="U223" s="119"/>
      <c r="V223" s="63"/>
      <c r="W223" s="63"/>
      <c r="X223" s="186"/>
      <c r="Y223" s="119"/>
      <c r="Z223" s="63"/>
      <c r="AA223" s="63"/>
      <c r="AB223" s="63"/>
      <c r="AC223" s="122"/>
      <c r="AD223" s="1154"/>
      <c r="AE223" s="914"/>
      <c r="AF223" s="914"/>
      <c r="AG223" s="914"/>
      <c r="AH223" s="1188"/>
      <c r="AI223" s="914"/>
      <c r="AJ223" s="1154"/>
      <c r="AK223" s="1189"/>
      <c r="AL223" s="1138"/>
      <c r="AM223" s="1188"/>
      <c r="AN223" s="1261"/>
      <c r="AO223" s="1261"/>
      <c r="AP223" s="1262"/>
      <c r="AQ223" s="1261"/>
      <c r="AR223" s="1263"/>
      <c r="AS223" s="1264"/>
      <c r="AT223" s="1265"/>
      <c r="AU223" s="1266"/>
      <c r="AV223" s="1265"/>
      <c r="AW223" s="1267"/>
      <c r="AX223" s="1264"/>
      <c r="AY223" s="1265"/>
      <c r="AZ223" s="1268"/>
      <c r="BA223" s="1264"/>
      <c r="BB223" s="1269"/>
      <c r="BC223" s="1268"/>
      <c r="BD223" s="1266"/>
      <c r="BE223" s="1264"/>
      <c r="BF223" s="1265"/>
      <c r="BG223" s="1270"/>
      <c r="BH223" s="1266"/>
      <c r="BI223" s="1265"/>
      <c r="BJ223" s="1265"/>
      <c r="BK223" s="1190" t="s">
        <v>8</v>
      </c>
      <c r="BL223" s="1191" t="s">
        <v>8</v>
      </c>
      <c r="BM223" s="1192" t="s">
        <v>8</v>
      </c>
      <c r="BN223" s="1271" t="s">
        <v>17</v>
      </c>
      <c r="BO223" s="1190" t="s">
        <v>8</v>
      </c>
      <c r="BP223" s="1272" t="s">
        <v>8</v>
      </c>
      <c r="BQ223" s="1273" t="s">
        <v>8</v>
      </c>
      <c r="BR223" s="1192" t="s">
        <v>8</v>
      </c>
      <c r="BS223" s="1193"/>
      <c r="BT223" s="1194"/>
      <c r="BU223" s="1266"/>
      <c r="BV223" s="1264"/>
      <c r="BW223" s="1265"/>
      <c r="BX223" s="1082"/>
    </row>
    <row r="224" spans="1:76" ht="13.5" customHeight="1" thickTop="1" x14ac:dyDescent="0.3">
      <c r="A224" s="622"/>
      <c r="B224" s="424" t="s">
        <v>71</v>
      </c>
      <c r="C224" s="39" t="s">
        <v>72</v>
      </c>
      <c r="D224" s="926"/>
      <c r="E224" s="1315" t="s">
        <v>456</v>
      </c>
      <c r="F224" s="1316"/>
      <c r="G224" s="1316"/>
      <c r="H224" s="1316"/>
      <c r="I224" s="1316"/>
      <c r="J224" s="1316"/>
      <c r="K224" s="1316"/>
      <c r="L224" s="1316"/>
      <c r="M224" s="1316"/>
      <c r="N224" s="457" t="s">
        <v>57</v>
      </c>
      <c r="O224" s="248" t="s">
        <v>57</v>
      </c>
      <c r="P224" s="249" t="s">
        <v>57</v>
      </c>
      <c r="Q224" s="457" t="s">
        <v>57</v>
      </c>
      <c r="R224" s="14" t="s">
        <v>8</v>
      </c>
      <c r="S224" s="1172" t="s">
        <v>194</v>
      </c>
      <c r="T224" s="1173" t="s">
        <v>194</v>
      </c>
      <c r="U224" s="233" t="s">
        <v>8</v>
      </c>
      <c r="V224" s="14" t="s">
        <v>8</v>
      </c>
      <c r="W224" s="14" t="s">
        <v>8</v>
      </c>
      <c r="X224" s="401" t="s">
        <v>8</v>
      </c>
      <c r="Y224" s="1174" t="s">
        <v>8</v>
      </c>
      <c r="Z224" s="14" t="s">
        <v>8</v>
      </c>
      <c r="AA224" s="14" t="s">
        <v>8</v>
      </c>
      <c r="AB224" s="14" t="s">
        <v>8</v>
      </c>
      <c r="AC224" s="1175" t="s">
        <v>8</v>
      </c>
      <c r="AD224" s="1176" t="s">
        <v>8</v>
      </c>
      <c r="AE224" s="1177" t="s">
        <v>8</v>
      </c>
      <c r="AF224" s="14" t="s">
        <v>8</v>
      </c>
      <c r="AG224" s="1177" t="s">
        <v>8</v>
      </c>
      <c r="AH224" s="1178" t="s">
        <v>8</v>
      </c>
      <c r="AI224" s="1177" t="s">
        <v>8</v>
      </c>
      <c r="AJ224" s="1177" t="s">
        <v>8</v>
      </c>
      <c r="AK224" s="1175" t="s">
        <v>8</v>
      </c>
      <c r="AL224" s="1174" t="s">
        <v>8</v>
      </c>
      <c r="AM224" s="1178" t="s">
        <v>8</v>
      </c>
      <c r="AN224" s="1179" t="s">
        <v>8</v>
      </c>
      <c r="AO224" s="1179" t="s">
        <v>8</v>
      </c>
      <c r="AP224" s="1177" t="s">
        <v>8</v>
      </c>
      <c r="AQ224" s="1178" t="s">
        <v>8</v>
      </c>
      <c r="AR224" s="457" t="s">
        <v>8</v>
      </c>
      <c r="AS224" s="248" t="s">
        <v>8</v>
      </c>
      <c r="AT224" s="249" t="s">
        <v>8</v>
      </c>
      <c r="AU224" s="457" t="s">
        <v>8</v>
      </c>
      <c r="AV224" s="249" t="s">
        <v>8</v>
      </c>
      <c r="AW224" s="1037" t="s">
        <v>8</v>
      </c>
      <c r="AX224" s="248" t="s">
        <v>8</v>
      </c>
      <c r="AY224" s="249" t="s">
        <v>8</v>
      </c>
      <c r="AZ224" s="1180" t="s">
        <v>8</v>
      </c>
      <c r="BA224" s="1181" t="s">
        <v>8</v>
      </c>
      <c r="BB224" s="1182" t="s">
        <v>8</v>
      </c>
      <c r="BC224" s="1181" t="s">
        <v>8</v>
      </c>
      <c r="BD224" s="663" t="s">
        <v>8</v>
      </c>
      <c r="BE224" s="1183" t="s">
        <v>8</v>
      </c>
      <c r="BF224" s="1173" t="s">
        <v>8</v>
      </c>
      <c r="BG224" s="1184" t="s">
        <v>8</v>
      </c>
      <c r="BH224" s="1174" t="s">
        <v>8</v>
      </c>
      <c r="BI224" s="249" t="s">
        <v>8</v>
      </c>
      <c r="BJ224" s="1197" t="s">
        <v>8</v>
      </c>
      <c r="BK224" s="663" t="s">
        <v>8</v>
      </c>
      <c r="BL224" s="1183" t="s">
        <v>8</v>
      </c>
      <c r="BM224" s="1173" t="s">
        <v>8</v>
      </c>
      <c r="BN224" s="1184" t="s">
        <v>8</v>
      </c>
      <c r="BO224" s="663" t="s">
        <v>8</v>
      </c>
      <c r="BP224" s="249" t="s">
        <v>8</v>
      </c>
      <c r="BQ224" s="663" t="s">
        <v>8</v>
      </c>
      <c r="BR224" s="1173" t="s">
        <v>8</v>
      </c>
      <c r="BS224" s="1037" t="s">
        <v>8</v>
      </c>
      <c r="BT224" s="249" t="s">
        <v>8</v>
      </c>
      <c r="BU224" s="663" t="s">
        <v>8</v>
      </c>
      <c r="BV224" s="1183" t="s">
        <v>8</v>
      </c>
      <c r="BW224" s="1173" t="s">
        <v>8</v>
      </c>
      <c r="BX224" s="977" t="s">
        <v>177</v>
      </c>
    </row>
    <row r="225" spans="1:76" ht="13.5" customHeight="1" x14ac:dyDescent="0.3">
      <c r="A225" s="622"/>
      <c r="B225" s="47"/>
      <c r="C225" s="5" t="s">
        <v>73</v>
      </c>
      <c r="D225" s="926"/>
      <c r="E225" s="1315"/>
      <c r="F225" s="1316"/>
      <c r="G225" s="1316"/>
      <c r="H225" s="1316"/>
      <c r="I225" s="1316"/>
      <c r="J225" s="1316"/>
      <c r="K225" s="1316"/>
      <c r="L225" s="1316"/>
      <c r="M225" s="1316"/>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77" t="s">
        <v>357</v>
      </c>
      <c r="BA225" s="16" t="s">
        <v>17</v>
      </c>
      <c r="BB225" s="170" t="s">
        <v>17</v>
      </c>
      <c r="BC225" s="16" t="s">
        <v>17</v>
      </c>
      <c r="BD225" s="654" t="s">
        <v>17</v>
      </c>
      <c r="BE225" s="708" t="s">
        <v>17</v>
      </c>
      <c r="BF225" s="111" t="s">
        <v>17</v>
      </c>
      <c r="BG225" s="364" t="s">
        <v>17</v>
      </c>
      <c r="BH225" s="143" t="s">
        <v>17</v>
      </c>
      <c r="BI225" s="152" t="s">
        <v>17</v>
      </c>
      <c r="BJ225" s="1055"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3">
      <c r="A226" s="622"/>
      <c r="B226" s="47"/>
      <c r="C226" s="3" t="s">
        <v>75</v>
      </c>
      <c r="D226" s="926"/>
      <c r="E226" s="1315"/>
      <c r="F226" s="1316"/>
      <c r="G226" s="1316"/>
      <c r="H226" s="1316"/>
      <c r="I226" s="1316"/>
      <c r="J226" s="1316"/>
      <c r="K226" s="1316"/>
      <c r="L226" s="1316"/>
      <c r="M226" s="1316"/>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80" t="s">
        <v>17</v>
      </c>
      <c r="BA226" s="26" t="s">
        <v>17</v>
      </c>
      <c r="BB226" s="430" t="s">
        <v>17</v>
      </c>
      <c r="BC226" s="26" t="s">
        <v>17</v>
      </c>
      <c r="BD226" s="657" t="s">
        <v>17</v>
      </c>
      <c r="BE226" s="710" t="s">
        <v>17</v>
      </c>
      <c r="BF226" s="131" t="s">
        <v>17</v>
      </c>
      <c r="BG226" s="301" t="s">
        <v>17</v>
      </c>
      <c r="BH226" s="108" t="s">
        <v>17</v>
      </c>
      <c r="BI226" s="250" t="s">
        <v>17</v>
      </c>
      <c r="BJ226" s="1055"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3">
      <c r="A227" s="622"/>
      <c r="B227" s="47"/>
      <c r="C227" s="3" t="s">
        <v>76</v>
      </c>
      <c r="D227" s="926"/>
      <c r="E227" s="1315"/>
      <c r="F227" s="1316"/>
      <c r="G227" s="1316"/>
      <c r="H227" s="1316"/>
      <c r="I227" s="1316"/>
      <c r="J227" s="1316"/>
      <c r="K227" s="1316"/>
      <c r="L227" s="1316"/>
      <c r="M227" s="1316"/>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80"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62" t="s">
        <v>1518</v>
      </c>
      <c r="BQ227" s="482" t="s">
        <v>1518</v>
      </c>
      <c r="BR227" s="131" t="s">
        <v>8</v>
      </c>
      <c r="BS227" s="807" t="s">
        <v>8</v>
      </c>
      <c r="BT227" s="250" t="s">
        <v>8</v>
      </c>
      <c r="BU227" s="657" t="s">
        <v>8</v>
      </c>
      <c r="BV227" s="710" t="s">
        <v>8</v>
      </c>
      <c r="BW227" s="131" t="s">
        <v>8</v>
      </c>
      <c r="BX227" s="486"/>
    </row>
    <row r="228" spans="1:76" ht="13.5" customHeight="1" x14ac:dyDescent="0.3">
      <c r="A228" s="622"/>
      <c r="B228" s="47"/>
      <c r="C228" s="3" t="s">
        <v>77</v>
      </c>
      <c r="D228" s="926"/>
      <c r="E228" s="1315"/>
      <c r="F228" s="1316"/>
      <c r="G228" s="1316"/>
      <c r="H228" s="1316"/>
      <c r="I228" s="1316"/>
      <c r="J228" s="1316"/>
      <c r="K228" s="1316"/>
      <c r="L228" s="1316"/>
      <c r="M228" s="1316"/>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80"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3">
      <c r="A229" s="622"/>
      <c r="B229" s="47"/>
      <c r="C229" s="3" t="s">
        <v>78</v>
      </c>
      <c r="D229" s="926"/>
      <c r="E229" s="1315"/>
      <c r="F229" s="1316"/>
      <c r="G229" s="1316"/>
      <c r="H229" s="1316"/>
      <c r="I229" s="1316"/>
      <c r="J229" s="1316"/>
      <c r="K229" s="1316"/>
      <c r="L229" s="1316"/>
      <c r="M229" s="1316"/>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80"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3">
      <c r="A230" s="622"/>
      <c r="B230" s="47"/>
      <c r="C230" s="3" t="s">
        <v>79</v>
      </c>
      <c r="D230" s="926"/>
      <c r="E230" s="1315"/>
      <c r="F230" s="1316"/>
      <c r="G230" s="1316"/>
      <c r="H230" s="1316"/>
      <c r="I230" s="1316"/>
      <c r="J230" s="1316"/>
      <c r="K230" s="1316"/>
      <c r="L230" s="1316"/>
      <c r="M230" s="1316"/>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80"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3">
      <c r="A231" s="622"/>
      <c r="B231" s="47"/>
      <c r="C231" s="2" t="s">
        <v>81</v>
      </c>
      <c r="D231" s="926"/>
      <c r="E231" s="1315"/>
      <c r="F231" s="1316"/>
      <c r="G231" s="1316"/>
      <c r="H231" s="1316"/>
      <c r="I231" s="1316"/>
      <c r="J231" s="1316"/>
      <c r="K231" s="1316"/>
      <c r="L231" s="1316"/>
      <c r="M231" s="1316"/>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80"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85"/>
    </row>
    <row r="232" spans="1:76" ht="13.5" customHeight="1" x14ac:dyDescent="0.3">
      <c r="A232" s="622"/>
      <c r="B232" s="47"/>
      <c r="C232" s="2" t="s">
        <v>117</v>
      </c>
      <c r="D232" s="926"/>
      <c r="E232" s="1315"/>
      <c r="F232" s="1316"/>
      <c r="G232" s="1316"/>
      <c r="H232" s="1316"/>
      <c r="I232" s="1316"/>
      <c r="J232" s="1316"/>
      <c r="K232" s="1316"/>
      <c r="L232" s="1316"/>
      <c r="M232" s="1316"/>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80"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39" t="s">
        <v>8</v>
      </c>
      <c r="BT232" s="131" t="s">
        <v>8</v>
      </c>
      <c r="BU232" s="657" t="s">
        <v>8</v>
      </c>
      <c r="BV232" s="710" t="s">
        <v>8</v>
      </c>
      <c r="BW232" s="131" t="s">
        <v>8</v>
      </c>
      <c r="BX232" s="985"/>
    </row>
    <row r="233" spans="1:76" ht="13.5" customHeight="1" x14ac:dyDescent="0.3">
      <c r="A233" s="622"/>
      <c r="B233" s="47"/>
      <c r="C233" s="2" t="s">
        <v>83</v>
      </c>
      <c r="D233" s="926"/>
      <c r="E233" s="1315"/>
      <c r="F233" s="1316"/>
      <c r="G233" s="1316"/>
      <c r="H233" s="1316"/>
      <c r="I233" s="1316"/>
      <c r="J233" s="1316"/>
      <c r="K233" s="1316"/>
      <c r="L233" s="1316"/>
      <c r="M233" s="1316"/>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80"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85" t="s">
        <v>118</v>
      </c>
    </row>
    <row r="234" spans="1:76" ht="13.5" customHeight="1" x14ac:dyDescent="0.3">
      <c r="A234" s="622"/>
      <c r="B234" s="47"/>
      <c r="C234" s="2" t="s">
        <v>85</v>
      </c>
      <c r="D234" s="926"/>
      <c r="E234" s="1315"/>
      <c r="F234" s="1316"/>
      <c r="G234" s="1316"/>
      <c r="H234" s="1316"/>
      <c r="I234" s="1316"/>
      <c r="J234" s="1316"/>
      <c r="K234" s="1316"/>
      <c r="L234" s="1316"/>
      <c r="M234" s="1316"/>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80"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85" t="s">
        <v>178</v>
      </c>
    </row>
    <row r="235" spans="1:76" ht="13.5" customHeight="1" x14ac:dyDescent="0.3">
      <c r="A235" s="622"/>
      <c r="B235" s="47"/>
      <c r="C235" s="3" t="s">
        <v>86</v>
      </c>
      <c r="D235" s="926"/>
      <c r="E235" s="1315"/>
      <c r="F235" s="1316"/>
      <c r="G235" s="1316"/>
      <c r="H235" s="1316"/>
      <c r="I235" s="1316"/>
      <c r="J235" s="1316"/>
      <c r="K235" s="1316"/>
      <c r="L235" s="1316"/>
      <c r="M235" s="1316"/>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80"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3">
      <c r="A236" s="622"/>
      <c r="B236" s="47"/>
      <c r="C236" s="3" t="s">
        <v>87</v>
      </c>
      <c r="D236" s="926"/>
      <c r="E236" s="1315"/>
      <c r="F236" s="1316"/>
      <c r="G236" s="1316"/>
      <c r="H236" s="1316"/>
      <c r="I236" s="1316"/>
      <c r="J236" s="1316"/>
      <c r="K236" s="1316"/>
      <c r="L236" s="1316"/>
      <c r="M236" s="1316"/>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80"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3">
      <c r="A237" s="622"/>
      <c r="B237" s="47"/>
      <c r="C237" s="3" t="s">
        <v>90</v>
      </c>
      <c r="D237" s="926"/>
      <c r="E237" s="1315"/>
      <c r="F237" s="1316"/>
      <c r="G237" s="1316"/>
      <c r="H237" s="1316"/>
      <c r="I237" s="1316"/>
      <c r="J237" s="1316"/>
      <c r="K237" s="1316"/>
      <c r="L237" s="1316"/>
      <c r="M237" s="1316"/>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80"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35">
      <c r="A238" s="622"/>
      <c r="B238" s="61"/>
      <c r="C238" s="62" t="s">
        <v>92</v>
      </c>
      <c r="D238" s="926"/>
      <c r="E238" s="1315"/>
      <c r="F238" s="1316"/>
      <c r="G238" s="1316"/>
      <c r="H238" s="1316"/>
      <c r="I238" s="1316"/>
      <c r="J238" s="1316"/>
      <c r="K238" s="1316"/>
      <c r="L238" s="1316"/>
      <c r="M238" s="1316"/>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49" t="s">
        <v>17</v>
      </c>
      <c r="AX238" s="330" t="s">
        <v>17</v>
      </c>
      <c r="AY238" s="452" t="s">
        <v>17</v>
      </c>
      <c r="AZ238" s="1082" t="s">
        <v>17</v>
      </c>
      <c r="BA238" s="330" t="s">
        <v>17</v>
      </c>
      <c r="BB238" s="443" t="s">
        <v>17</v>
      </c>
      <c r="BC238" s="330" t="s">
        <v>17</v>
      </c>
      <c r="BD238" s="660" t="s">
        <v>17</v>
      </c>
      <c r="BE238" s="713" t="s">
        <v>17</v>
      </c>
      <c r="BF238" s="796" t="s">
        <v>17</v>
      </c>
      <c r="BG238" s="380" t="s">
        <v>17</v>
      </c>
      <c r="BH238" s="137" t="s">
        <v>17</v>
      </c>
      <c r="BI238" s="452" t="s">
        <v>17</v>
      </c>
      <c r="BJ238" s="1028" t="s">
        <v>17</v>
      </c>
      <c r="BK238" s="660" t="s">
        <v>17</v>
      </c>
      <c r="BL238" s="713" t="s">
        <v>17</v>
      </c>
      <c r="BM238" s="796" t="s">
        <v>17</v>
      </c>
      <c r="BN238" s="380" t="s">
        <v>17</v>
      </c>
      <c r="BO238" s="660" t="s">
        <v>17</v>
      </c>
      <c r="BP238" s="452" t="s">
        <v>17</v>
      </c>
      <c r="BQ238" s="660" t="s">
        <v>17</v>
      </c>
      <c r="BR238" s="796" t="s">
        <v>17</v>
      </c>
      <c r="BS238" s="1049" t="s">
        <v>17</v>
      </c>
      <c r="BT238" s="452" t="s">
        <v>17</v>
      </c>
      <c r="BU238" s="660" t="s">
        <v>17</v>
      </c>
      <c r="BV238" s="713" t="s">
        <v>17</v>
      </c>
      <c r="BW238" s="796" t="s">
        <v>17</v>
      </c>
      <c r="BX238" s="489"/>
    </row>
    <row r="239" spans="1:76" ht="13.5" customHeight="1" thickTop="1" x14ac:dyDescent="0.3">
      <c r="A239" s="622"/>
      <c r="B239" s="55" t="s">
        <v>125</v>
      </c>
      <c r="C239" s="56" t="s">
        <v>126</v>
      </c>
      <c r="D239" s="926"/>
      <c r="E239" s="1315"/>
      <c r="F239" s="1316"/>
      <c r="G239" s="1316"/>
      <c r="H239" s="1316"/>
      <c r="I239" s="1316"/>
      <c r="J239" s="1316"/>
      <c r="K239" s="1316"/>
      <c r="L239" s="1316"/>
      <c r="M239" s="1316"/>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097" t="s">
        <v>17</v>
      </c>
      <c r="BA239" s="326" t="s">
        <v>17</v>
      </c>
      <c r="BB239" s="758" t="s">
        <v>17</v>
      </c>
      <c r="BC239" s="1234" t="s">
        <v>17</v>
      </c>
      <c r="BD239" s="669" t="s">
        <v>8</v>
      </c>
      <c r="BE239" s="729"/>
      <c r="BF239" s="797"/>
      <c r="BG239" s="771" t="s">
        <v>17</v>
      </c>
      <c r="BH239" s="79" t="s">
        <v>17</v>
      </c>
      <c r="BI239" s="107" t="s">
        <v>17</v>
      </c>
      <c r="BJ239" s="972" t="s">
        <v>17</v>
      </c>
      <c r="BK239" s="669" t="s">
        <v>8</v>
      </c>
      <c r="BL239" s="729"/>
      <c r="BM239" s="797"/>
      <c r="BN239" s="771" t="s">
        <v>17</v>
      </c>
      <c r="BO239" s="669" t="s">
        <v>8</v>
      </c>
      <c r="BP239" s="305" t="s">
        <v>17</v>
      </c>
      <c r="BQ239" s="778"/>
      <c r="BR239" s="797"/>
      <c r="BS239" s="1037" t="s">
        <v>8</v>
      </c>
      <c r="BT239" s="784"/>
      <c r="BU239" s="669" t="s">
        <v>196</v>
      </c>
      <c r="BV239" s="729"/>
      <c r="BW239" s="797"/>
      <c r="BX239" s="986"/>
    </row>
    <row r="240" spans="1:76" ht="13.5" customHeight="1" x14ac:dyDescent="0.3">
      <c r="A240" s="622"/>
      <c r="B240" s="58"/>
      <c r="C240" s="5" t="s">
        <v>127</v>
      </c>
      <c r="D240" s="926"/>
      <c r="E240" s="1315"/>
      <c r="F240" s="1316"/>
      <c r="G240" s="1316"/>
      <c r="H240" s="1316"/>
      <c r="I240" s="1316"/>
      <c r="J240" s="1316"/>
      <c r="K240" s="1316"/>
      <c r="L240" s="1316"/>
      <c r="M240" s="1316"/>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098" t="s">
        <v>17</v>
      </c>
      <c r="BA240" s="26" t="s">
        <v>17</v>
      </c>
      <c r="BB240" s="759" t="s">
        <v>17</v>
      </c>
      <c r="BC240" s="1234" t="s">
        <v>17</v>
      </c>
      <c r="BD240" s="654" t="s">
        <v>128</v>
      </c>
      <c r="BE240" s="329"/>
      <c r="BF240" s="422"/>
      <c r="BG240" s="772" t="s">
        <v>17</v>
      </c>
      <c r="BH240" s="80" t="s">
        <v>17</v>
      </c>
      <c r="BI240" s="305" t="s">
        <v>17</v>
      </c>
      <c r="BJ240" s="1013" t="s">
        <v>17</v>
      </c>
      <c r="BK240" s="654" t="s">
        <v>128</v>
      </c>
      <c r="BL240" s="329"/>
      <c r="BM240" s="422"/>
      <c r="BN240" s="772" t="s">
        <v>17</v>
      </c>
      <c r="BO240" s="654" t="s">
        <v>128</v>
      </c>
      <c r="BP240" s="305" t="s">
        <v>17</v>
      </c>
      <c r="BQ240" s="383"/>
      <c r="BR240" s="422"/>
      <c r="BS240" s="807" t="s">
        <v>128</v>
      </c>
      <c r="BT240" s="456"/>
      <c r="BU240" s="669" t="s">
        <v>196</v>
      </c>
      <c r="BV240" s="329"/>
      <c r="BW240" s="422"/>
      <c r="BX240" s="984"/>
    </row>
    <row r="241" spans="1:76" ht="13.5" customHeight="1" x14ac:dyDescent="0.3">
      <c r="B241" s="886"/>
      <c r="C241" s="1" t="s">
        <v>1382</v>
      </c>
      <c r="D241" s="926"/>
      <c r="E241" s="1315"/>
      <c r="F241" s="1316"/>
      <c r="G241" s="1316"/>
      <c r="H241" s="1316"/>
      <c r="I241" s="1316"/>
      <c r="J241" s="1316"/>
      <c r="K241" s="1316"/>
      <c r="L241" s="1316"/>
      <c r="M241" s="1316"/>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59" t="s">
        <v>17</v>
      </c>
      <c r="BA241" s="743" t="s">
        <v>1390</v>
      </c>
      <c r="BB241" s="744" t="s">
        <v>17</v>
      </c>
      <c r="BC241" s="1236" t="s">
        <v>17</v>
      </c>
      <c r="BD241" s="1135" t="s">
        <v>1391</v>
      </c>
      <c r="BE241" s="730"/>
      <c r="BF241" s="798" t="s">
        <v>1391</v>
      </c>
      <c r="BG241" s="773" t="s">
        <v>17</v>
      </c>
      <c r="BH241" s="743" t="s">
        <v>1390</v>
      </c>
      <c r="BI241" s="780" t="s">
        <v>17</v>
      </c>
      <c r="BJ241" s="1014" t="s">
        <v>17</v>
      </c>
      <c r="BK241" s="1135" t="s">
        <v>1391</v>
      </c>
      <c r="BL241" s="730"/>
      <c r="BM241" s="798" t="s">
        <v>1391</v>
      </c>
      <c r="BN241" s="773" t="s">
        <v>17</v>
      </c>
      <c r="BO241" s="1120" t="s">
        <v>1481</v>
      </c>
      <c r="BP241" s="780" t="s">
        <v>17</v>
      </c>
      <c r="BQ241" s="1113"/>
      <c r="BR241" s="970" t="s">
        <v>1391</v>
      </c>
      <c r="BS241" s="743" t="s">
        <v>1388</v>
      </c>
      <c r="BT241" s="780"/>
      <c r="BU241" s="669" t="s">
        <v>196</v>
      </c>
      <c r="BV241" s="730"/>
      <c r="BW241" s="798" t="s">
        <v>1391</v>
      </c>
      <c r="BX241" s="984"/>
    </row>
    <row r="242" spans="1:76" ht="13.5" customHeight="1" x14ac:dyDescent="0.3">
      <c r="A242" s="622"/>
      <c r="B242" s="58"/>
      <c r="C242" s="5" t="s">
        <v>130</v>
      </c>
      <c r="D242" s="926"/>
      <c r="E242" s="1315"/>
      <c r="F242" s="1316"/>
      <c r="G242" s="1316"/>
      <c r="H242" s="1316"/>
      <c r="I242" s="1316"/>
      <c r="J242" s="1316"/>
      <c r="K242" s="1316"/>
      <c r="L242" s="1316"/>
      <c r="M242" s="1316"/>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098" t="s">
        <v>17</v>
      </c>
      <c r="BA242" s="26" t="s">
        <v>17</v>
      </c>
      <c r="BB242" s="759" t="s">
        <v>17</v>
      </c>
      <c r="BC242" s="1234"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84"/>
    </row>
    <row r="243" spans="1:76" ht="13.5" customHeight="1" x14ac:dyDescent="0.3">
      <c r="A243" s="622"/>
      <c r="B243" s="58"/>
      <c r="C243" s="5" t="s">
        <v>131</v>
      </c>
      <c r="D243" s="926"/>
      <c r="E243" s="1315"/>
      <c r="F243" s="1316"/>
      <c r="G243" s="1316"/>
      <c r="H243" s="1316"/>
      <c r="I243" s="1316"/>
      <c r="J243" s="1316"/>
      <c r="K243" s="1316"/>
      <c r="L243" s="1316"/>
      <c r="M243" s="1316"/>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098" t="s">
        <v>17</v>
      </c>
      <c r="BA243" s="26" t="s">
        <v>17</v>
      </c>
      <c r="BB243" s="759" t="s">
        <v>17</v>
      </c>
      <c r="BC243" s="1234"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84"/>
    </row>
    <row r="244" spans="1:76" ht="13.5" customHeight="1" x14ac:dyDescent="0.3">
      <c r="A244" s="622"/>
      <c r="B244" s="58"/>
      <c r="C244" s="5" t="s">
        <v>132</v>
      </c>
      <c r="D244" s="926"/>
      <c r="E244" s="1315"/>
      <c r="F244" s="1316"/>
      <c r="G244" s="1316"/>
      <c r="H244" s="1316"/>
      <c r="I244" s="1316"/>
      <c r="J244" s="1316"/>
      <c r="K244" s="1316"/>
      <c r="L244" s="1316"/>
      <c r="M244" s="1316"/>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098" t="s">
        <v>17</v>
      </c>
      <c r="BA244" s="26" t="s">
        <v>17</v>
      </c>
      <c r="BB244" s="759" t="s">
        <v>17</v>
      </c>
      <c r="BC244" s="1234"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84" t="s">
        <v>280</v>
      </c>
    </row>
    <row r="245" spans="1:76" ht="13.5" customHeight="1" x14ac:dyDescent="0.3">
      <c r="A245" s="622"/>
      <c r="B245" s="58"/>
      <c r="C245" s="5" t="s">
        <v>133</v>
      </c>
      <c r="D245" s="926"/>
      <c r="E245" s="1315"/>
      <c r="F245" s="1316"/>
      <c r="G245" s="1316"/>
      <c r="H245" s="1316"/>
      <c r="I245" s="1316"/>
      <c r="J245" s="1316"/>
      <c r="K245" s="1316"/>
      <c r="L245" s="1316"/>
      <c r="M245" s="1316"/>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098" t="s">
        <v>17</v>
      </c>
      <c r="BA245" s="26" t="s">
        <v>17</v>
      </c>
      <c r="BB245" s="759" t="s">
        <v>17</v>
      </c>
      <c r="BC245" s="1234"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84"/>
    </row>
    <row r="246" spans="1:76" ht="13.5" customHeight="1" x14ac:dyDescent="0.3">
      <c r="A246" s="622"/>
      <c r="B246" s="58"/>
      <c r="C246" s="5" t="s">
        <v>134</v>
      </c>
      <c r="D246" s="926"/>
      <c r="E246" s="1315"/>
      <c r="F246" s="1316"/>
      <c r="G246" s="1316"/>
      <c r="H246" s="1316"/>
      <c r="I246" s="1316"/>
      <c r="J246" s="1316"/>
      <c r="K246" s="1316"/>
      <c r="L246" s="1316"/>
      <c r="M246" s="1316"/>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098" t="s">
        <v>17</v>
      </c>
      <c r="BA246" s="26" t="s">
        <v>17</v>
      </c>
      <c r="BB246" s="759" t="s">
        <v>17</v>
      </c>
      <c r="BC246" s="1234"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84"/>
    </row>
    <row r="247" spans="1:76" ht="13.5" customHeight="1" x14ac:dyDescent="0.3">
      <c r="A247" s="622"/>
      <c r="B247" s="58"/>
      <c r="C247" s="5" t="s">
        <v>135</v>
      </c>
      <c r="D247" s="926"/>
      <c r="E247" s="1315"/>
      <c r="F247" s="1316"/>
      <c r="G247" s="1316"/>
      <c r="H247" s="1316"/>
      <c r="I247" s="1316"/>
      <c r="J247" s="1316"/>
      <c r="K247" s="1316"/>
      <c r="L247" s="1316"/>
      <c r="M247" s="1316"/>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098" t="s">
        <v>17</v>
      </c>
      <c r="BA247" s="26" t="s">
        <v>17</v>
      </c>
      <c r="BB247" s="759" t="s">
        <v>17</v>
      </c>
      <c r="BC247" s="1234"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84"/>
    </row>
    <row r="248" spans="1:76" ht="13.5" customHeight="1" x14ac:dyDescent="0.3">
      <c r="A248" s="622"/>
      <c r="B248" s="58"/>
      <c r="C248" s="5" t="s">
        <v>255</v>
      </c>
      <c r="D248" s="926"/>
      <c r="E248" s="1315"/>
      <c r="F248" s="1316"/>
      <c r="G248" s="1316"/>
      <c r="H248" s="1316"/>
      <c r="I248" s="1316"/>
      <c r="J248" s="1316"/>
      <c r="K248" s="1316"/>
      <c r="L248" s="1316"/>
      <c r="M248" s="1316"/>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096" t="s">
        <v>17</v>
      </c>
      <c r="BA248" s="26" t="s">
        <v>17</v>
      </c>
      <c r="BB248" s="441" t="s">
        <v>17</v>
      </c>
      <c r="BC248" s="1234" t="s">
        <v>17</v>
      </c>
      <c r="BD248" s="654" t="s">
        <v>8</v>
      </c>
      <c r="BE248" s="712" t="s">
        <v>1523</v>
      </c>
      <c r="BF248" s="131" t="s">
        <v>1523</v>
      </c>
      <c r="BG248" s="378" t="s">
        <v>17</v>
      </c>
      <c r="BH248" s="80" t="s">
        <v>17</v>
      </c>
      <c r="BI248" s="131" t="s">
        <v>17</v>
      </c>
      <c r="BJ248" s="223" t="s">
        <v>17</v>
      </c>
      <c r="BK248" s="654" t="s">
        <v>8</v>
      </c>
      <c r="BL248" s="712" t="s">
        <v>1522</v>
      </c>
      <c r="BM248" s="131" t="s">
        <v>1522</v>
      </c>
      <c r="BN248" s="378" t="s">
        <v>17</v>
      </c>
      <c r="BO248" s="654" t="s">
        <v>8</v>
      </c>
      <c r="BP248" s="111" t="s">
        <v>17</v>
      </c>
      <c r="BQ248" s="654" t="s">
        <v>17</v>
      </c>
      <c r="BR248" s="131" t="s">
        <v>1522</v>
      </c>
      <c r="BS248" s="807" t="s">
        <v>8</v>
      </c>
      <c r="BT248" s="250" t="s">
        <v>17</v>
      </c>
      <c r="BU248" s="654" t="s">
        <v>8</v>
      </c>
      <c r="BV248" s="712" t="s">
        <v>1523</v>
      </c>
      <c r="BW248" s="131" t="s">
        <v>1523</v>
      </c>
      <c r="BX248" s="987" t="s">
        <v>136</v>
      </c>
    </row>
    <row r="249" spans="1:76" ht="54.9" customHeight="1" x14ac:dyDescent="0.3">
      <c r="A249" s="622"/>
      <c r="B249" s="58"/>
      <c r="C249" s="919" t="s">
        <v>1521</v>
      </c>
      <c r="D249" s="926"/>
      <c r="E249" s="1315"/>
      <c r="F249" s="1316"/>
      <c r="G249" s="1316"/>
      <c r="H249" s="1316"/>
      <c r="I249" s="1316"/>
      <c r="J249" s="1316"/>
      <c r="K249" s="1316"/>
      <c r="L249" s="1316"/>
      <c r="M249" s="1316"/>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84"/>
      <c r="BA249" s="321"/>
      <c r="BB249" s="436"/>
      <c r="BC249" s="1227"/>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87"/>
    </row>
    <row r="250" spans="1:76" ht="42" customHeight="1" x14ac:dyDescent="0.3">
      <c r="A250" s="622"/>
      <c r="B250" s="58"/>
      <c r="C250" s="624" t="s">
        <v>1274</v>
      </c>
      <c r="D250" s="926"/>
      <c r="E250" s="1315"/>
      <c r="F250" s="1316"/>
      <c r="G250" s="1316"/>
      <c r="H250" s="1316"/>
      <c r="I250" s="1316"/>
      <c r="J250" s="1316"/>
      <c r="K250" s="1316"/>
      <c r="L250" s="1316"/>
      <c r="M250" s="1316"/>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84"/>
      <c r="BA250" s="321"/>
      <c r="BB250" s="436"/>
      <c r="BC250" s="1227"/>
      <c r="BD250" s="654" t="s">
        <v>1289</v>
      </c>
      <c r="BE250" s="708" t="s">
        <v>196</v>
      </c>
      <c r="BF250" s="109" t="s">
        <v>196</v>
      </c>
      <c r="BG250" s="364" t="s">
        <v>196</v>
      </c>
      <c r="BH250" s="80" t="s">
        <v>196</v>
      </c>
      <c r="BI250" s="109" t="s">
        <v>196</v>
      </c>
      <c r="BJ250" s="223" t="s">
        <v>196</v>
      </c>
      <c r="BK250" s="654" t="s">
        <v>1539</v>
      </c>
      <c r="BL250" s="708" t="s">
        <v>196</v>
      </c>
      <c r="BM250" s="109" t="s">
        <v>196</v>
      </c>
      <c r="BN250" s="364" t="s">
        <v>196</v>
      </c>
      <c r="BO250" s="494" t="s">
        <v>1540</v>
      </c>
      <c r="BP250" s="115"/>
      <c r="BQ250" s="654" t="s">
        <v>196</v>
      </c>
      <c r="BR250" s="109" t="s">
        <v>196</v>
      </c>
      <c r="BS250" s="370"/>
      <c r="BT250" s="456"/>
      <c r="BU250" s="654" t="s">
        <v>1289</v>
      </c>
      <c r="BV250" s="708" t="s">
        <v>196</v>
      </c>
      <c r="BW250" s="109" t="s">
        <v>196</v>
      </c>
      <c r="BX250" s="987"/>
    </row>
    <row r="251" spans="1:76" ht="13.5" customHeight="1" x14ac:dyDescent="0.3">
      <c r="A251" s="622"/>
      <c r="B251" s="58"/>
      <c r="C251" s="5" t="s">
        <v>254</v>
      </c>
      <c r="D251" s="926"/>
      <c r="E251" s="1315"/>
      <c r="F251" s="1316"/>
      <c r="G251" s="1316"/>
      <c r="H251" s="1316"/>
      <c r="I251" s="1316"/>
      <c r="J251" s="1316"/>
      <c r="K251" s="1316"/>
      <c r="L251" s="1316"/>
      <c r="M251" s="1316"/>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096"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84"/>
    </row>
    <row r="252" spans="1:76" ht="13.5" customHeight="1" x14ac:dyDescent="0.3">
      <c r="A252" s="622"/>
      <c r="B252" s="58"/>
      <c r="C252" s="5" t="s">
        <v>204</v>
      </c>
      <c r="D252" s="926"/>
      <c r="E252" s="1315"/>
      <c r="F252" s="1316"/>
      <c r="G252" s="1316"/>
      <c r="H252" s="1316"/>
      <c r="I252" s="1316"/>
      <c r="J252" s="1316"/>
      <c r="K252" s="1316"/>
      <c r="L252" s="1316"/>
      <c r="M252" s="1316"/>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81"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84"/>
    </row>
    <row r="253" spans="1:76" ht="13.5" customHeight="1" x14ac:dyDescent="0.3">
      <c r="A253" s="622"/>
      <c r="B253" s="630"/>
      <c r="C253" s="631" t="s">
        <v>137</v>
      </c>
      <c r="D253" s="926"/>
      <c r="E253" s="1315"/>
      <c r="F253" s="1316"/>
      <c r="G253" s="1316"/>
      <c r="H253" s="1316"/>
      <c r="I253" s="1316"/>
      <c r="J253" s="1316"/>
      <c r="K253" s="1316"/>
      <c r="L253" s="1316"/>
      <c r="M253" s="1316"/>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71" t="s">
        <v>17</v>
      </c>
      <c r="BA253" s="420" t="s">
        <v>17</v>
      </c>
      <c r="BB253" s="124" t="s">
        <v>17</v>
      </c>
      <c r="BC253" s="420" t="s">
        <v>17</v>
      </c>
      <c r="BD253" s="668" t="s">
        <v>128</v>
      </c>
      <c r="BE253" s="543"/>
      <c r="BF253" s="799"/>
      <c r="BG253" s="774" t="s">
        <v>17</v>
      </c>
      <c r="BH253" s="637" t="s">
        <v>17</v>
      </c>
      <c r="BI253" s="124" t="s">
        <v>17</v>
      </c>
      <c r="BJ253" s="1010" t="s">
        <v>17</v>
      </c>
      <c r="BK253" s="668" t="s">
        <v>128</v>
      </c>
      <c r="BL253" s="543"/>
      <c r="BM253" s="799"/>
      <c r="BN253" s="774" t="s">
        <v>17</v>
      </c>
      <c r="BO253" s="668" t="s">
        <v>128</v>
      </c>
      <c r="BP253" s="124" t="s">
        <v>17</v>
      </c>
      <c r="BQ253" s="1114"/>
      <c r="BR253" s="799"/>
      <c r="BS253" s="912" t="s">
        <v>128</v>
      </c>
      <c r="BT253" s="544"/>
      <c r="BU253" s="669" t="s">
        <v>196</v>
      </c>
      <c r="BV253" s="543"/>
      <c r="BW253" s="799"/>
      <c r="BX253" s="988"/>
    </row>
    <row r="254" spans="1:76" ht="28.5" customHeight="1" thickBot="1" x14ac:dyDescent="0.35">
      <c r="A254" s="622"/>
      <c r="B254" s="59"/>
      <c r="C254" s="60" t="s">
        <v>618</v>
      </c>
      <c r="D254" s="927"/>
      <c r="E254" s="1317"/>
      <c r="F254" s="1318"/>
      <c r="G254" s="1318"/>
      <c r="H254" s="1318"/>
      <c r="I254" s="1318"/>
      <c r="J254" s="1318"/>
      <c r="K254" s="1318"/>
      <c r="L254" s="1318"/>
      <c r="M254" s="1318"/>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55"/>
      <c r="AU254" s="121"/>
      <c r="AV254" s="122"/>
      <c r="AW254" s="645"/>
      <c r="AX254" s="54"/>
      <c r="AY254" s="122"/>
      <c r="AZ254" s="1146"/>
      <c r="BA254" s="77"/>
      <c r="BB254" s="122"/>
      <c r="BC254" s="1235"/>
      <c r="BD254" s="673" t="s">
        <v>17</v>
      </c>
      <c r="BE254" s="54"/>
      <c r="BF254" s="122"/>
      <c r="BG254" s="648"/>
      <c r="BH254" s="645"/>
      <c r="BI254" s="122"/>
      <c r="BJ254" s="1015" t="s">
        <v>17</v>
      </c>
      <c r="BK254" s="942" t="s">
        <v>1510</v>
      </c>
      <c r="BL254" s="1275" t="s">
        <v>17</v>
      </c>
      <c r="BM254" s="1274" t="s">
        <v>1537</v>
      </c>
      <c r="BN254" s="1274" t="s">
        <v>17</v>
      </c>
      <c r="BO254" s="942" t="s">
        <v>17</v>
      </c>
      <c r="BP254" s="1274" t="s">
        <v>17</v>
      </c>
      <c r="BQ254" s="942" t="s">
        <v>17</v>
      </c>
      <c r="BR254" s="1274" t="s">
        <v>17</v>
      </c>
      <c r="BS254" s="371"/>
      <c r="BT254" s="133"/>
      <c r="BU254" s="234" t="s">
        <v>196</v>
      </c>
      <c r="BV254" s="54"/>
      <c r="BW254" s="122"/>
      <c r="BX254" s="989"/>
    </row>
    <row r="255" spans="1:76" ht="13.5" customHeight="1" thickTop="1" x14ac:dyDescent="0.3">
      <c r="D255" s="1"/>
      <c r="AY255" s="483"/>
    </row>
    <row r="256" spans="1:76" ht="13.5" customHeight="1" x14ac:dyDescent="0.3">
      <c r="AY256" s="483" t="s">
        <v>652</v>
      </c>
    </row>
    <row r="257" spans="26:75" ht="13.5" customHeight="1" x14ac:dyDescent="0.3">
      <c r="AY257" s="483" t="s">
        <v>653</v>
      </c>
    </row>
    <row r="258" spans="26:75" ht="13.5" customHeight="1" x14ac:dyDescent="0.3">
      <c r="AY258" s="483" t="s">
        <v>654</v>
      </c>
    </row>
    <row r="264" spans="26:75" ht="13.5" customHeight="1" x14ac:dyDescent="0.3">
      <c r="Z264" s="701"/>
      <c r="BD264" s="702"/>
      <c r="BF264" s="701"/>
      <c r="BK264" s="1276"/>
      <c r="BM264" s="1276"/>
      <c r="BO264" s="1276"/>
      <c r="BR264" s="1276"/>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4.4" outlineLevelRow="1" x14ac:dyDescent="0.3"/>
  <cols>
    <col min="1" max="1" width="6.33203125" customWidth="1"/>
    <col min="2" max="2" width="61.6640625" customWidth="1"/>
    <col min="3" max="3" width="23.44140625" customWidth="1"/>
    <col min="4" max="4" width="49.109375" customWidth="1"/>
    <col min="5" max="5" width="13.33203125" style="504" customWidth="1"/>
    <col min="6" max="36" width="13.33203125" customWidth="1"/>
    <col min="37" max="37" width="12.5546875" customWidth="1"/>
    <col min="38" max="41" width="13.33203125" customWidth="1"/>
    <col min="42" max="44" width="12.5546875" customWidth="1"/>
    <col min="45" max="45" width="13.33203125" customWidth="1"/>
    <col min="46" max="49" width="12.5546875" customWidth="1"/>
    <col min="50" max="50" width="13.33203125" customWidth="1"/>
    <col min="51" max="106" width="12.5546875" customWidth="1"/>
  </cols>
  <sheetData>
    <row r="1" spans="2:106" ht="18" x14ac:dyDescent="0.35">
      <c r="B1" s="503" t="s">
        <v>1587</v>
      </c>
    </row>
    <row r="2" spans="2:106" ht="18.600000000000001" thickBot="1" x14ac:dyDescent="0.4">
      <c r="B2" s="503"/>
    </row>
    <row r="3" spans="2:106" ht="43.8" thickBot="1" x14ac:dyDescent="0.3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1524</v>
      </c>
      <c r="AM3" s="509" t="s">
        <v>1525</v>
      </c>
      <c r="AN3" s="510" t="s">
        <v>1526</v>
      </c>
      <c r="AO3" s="509" t="s">
        <v>1588</v>
      </c>
      <c r="AP3" s="509" t="s">
        <v>1416</v>
      </c>
      <c r="AQ3" s="509" t="s">
        <v>1417</v>
      </c>
      <c r="AR3" s="509" t="s">
        <v>1418</v>
      </c>
      <c r="AS3" s="509" t="s">
        <v>1419</v>
      </c>
      <c r="AT3" s="510" t="s">
        <v>1545</v>
      </c>
      <c r="AU3" s="510" t="s">
        <v>1544</v>
      </c>
      <c r="AV3" s="509" t="s">
        <v>1546</v>
      </c>
      <c r="AW3" s="509" t="s">
        <v>1547</v>
      </c>
      <c r="AX3" s="509" t="s">
        <v>1543</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5">
      <c r="B5" s="555" t="s">
        <v>732</v>
      </c>
      <c r="C5" s="1217"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5">
      <c r="B6" s="1218" t="s">
        <v>733</v>
      </c>
      <c r="C6" s="1381"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3">
      <c r="B7" s="1381" t="s">
        <v>737</v>
      </c>
      <c r="C7" s="1382"/>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3">
      <c r="B8" s="1382"/>
      <c r="C8" s="1382"/>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3">
      <c r="B9" s="1382"/>
      <c r="C9" s="1382"/>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3">
      <c r="B10" s="1382"/>
      <c r="C10" s="1382"/>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3">
      <c r="B11" s="1382"/>
      <c r="C11" s="1382"/>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3">
      <c r="B12" s="1382"/>
      <c r="C12" s="1382"/>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3">
      <c r="B13" s="1382"/>
      <c r="C13" s="1382"/>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3">
      <c r="B14" s="1382"/>
      <c r="C14" s="1382"/>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3">
      <c r="B15" s="1382"/>
      <c r="C15" s="1382"/>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3">
      <c r="B16" s="1382"/>
      <c r="C16" s="1382"/>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3">
      <c r="B17" s="1382"/>
      <c r="C17" s="1382"/>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3">
      <c r="B18" s="1382"/>
      <c r="C18" s="1382"/>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3">
      <c r="B19" s="1382"/>
      <c r="C19" s="1382"/>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3">
      <c r="B20" s="1382"/>
      <c r="C20" s="1382"/>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3">
      <c r="B21" s="1382"/>
      <c r="C21" s="1382"/>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 thickBot="1" x14ac:dyDescent="0.35">
      <c r="B22" s="1383"/>
      <c r="C22" s="1383"/>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 thickBot="1" x14ac:dyDescent="0.35">
      <c r="B23" s="1218" t="s">
        <v>755</v>
      </c>
      <c r="C23" s="1381"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3">
      <c r="B24" s="1381" t="s">
        <v>758</v>
      </c>
      <c r="C24" s="1382"/>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3">
      <c r="B25" s="1382"/>
      <c r="C25" s="1382"/>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3">
      <c r="B26" s="1382"/>
      <c r="C26" s="1382"/>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3">
      <c r="B27" s="1382"/>
      <c r="C27" s="1382"/>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3">
      <c r="B28" s="1382"/>
      <c r="C28" s="1382"/>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3">
      <c r="B29" s="1382"/>
      <c r="C29" s="1382"/>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3">
      <c r="B30" s="1382"/>
      <c r="C30" s="1382"/>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3">
      <c r="B31" s="1382"/>
      <c r="C31" s="1382"/>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3">
      <c r="B32" s="1382"/>
      <c r="C32" s="1382"/>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3">
      <c r="B33" s="1382"/>
      <c r="C33" s="1382"/>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3">
      <c r="B34" s="1382"/>
      <c r="C34" s="1382"/>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3">
      <c r="B35" s="1382"/>
      <c r="C35" s="1382"/>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3">
      <c r="B36" s="1382"/>
      <c r="C36" s="1382"/>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3">
      <c r="B37" s="1382"/>
      <c r="C37" s="1382"/>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3">
      <c r="B38" s="1382"/>
      <c r="C38" s="1382"/>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 thickBot="1" x14ac:dyDescent="0.35">
      <c r="B39" s="1383"/>
      <c r="C39" s="1383"/>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 thickBot="1" x14ac:dyDescent="0.35">
      <c r="B40" s="1218" t="s">
        <v>775</v>
      </c>
      <c r="C40" s="1381"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3">
      <c r="B41" s="1381" t="s">
        <v>778</v>
      </c>
      <c r="C41" s="1382"/>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3">
      <c r="B42" s="1382"/>
      <c r="C42" s="1382"/>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3">
      <c r="B43" s="1382"/>
      <c r="C43" s="1382"/>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3">
      <c r="B44" s="1382"/>
      <c r="C44" s="1382"/>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3">
      <c r="B45" s="1382"/>
      <c r="C45" s="1382"/>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3">
      <c r="B46" s="1382"/>
      <c r="C46" s="1382"/>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3">
      <c r="B47" s="1382"/>
      <c r="C47" s="1382"/>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3">
      <c r="B48" s="1382"/>
      <c r="C48" s="1382"/>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3">
      <c r="B49" s="1382"/>
      <c r="C49" s="1382"/>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3">
      <c r="B50" s="1382"/>
      <c r="C50" s="1382"/>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3">
      <c r="B51" s="1382"/>
      <c r="C51" s="1382"/>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3">
      <c r="B52" s="1382"/>
      <c r="C52" s="1382"/>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3">
      <c r="B53" s="1382"/>
      <c r="C53" s="1382"/>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3">
      <c r="B54" s="1382"/>
      <c r="C54" s="1382"/>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3">
      <c r="B55" s="1382"/>
      <c r="C55" s="1382"/>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 thickBot="1" x14ac:dyDescent="0.35">
      <c r="B56" s="1383"/>
      <c r="C56" s="1383"/>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 thickBot="1" x14ac:dyDescent="0.35">
      <c r="B57" s="1219" t="s">
        <v>795</v>
      </c>
      <c r="C57" s="1381"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3">
      <c r="B58" s="1381" t="s">
        <v>798</v>
      </c>
      <c r="C58" s="1382"/>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3">
      <c r="B59" s="1382"/>
      <c r="C59" s="1382"/>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3">
      <c r="B60" s="1382"/>
      <c r="C60" s="1382"/>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3">
      <c r="B61" s="1382"/>
      <c r="C61" s="1382"/>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3">
      <c r="B62" s="1382"/>
      <c r="C62" s="1382"/>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3">
      <c r="B63" s="1382"/>
      <c r="C63" s="1382"/>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3">
      <c r="B64" s="1382"/>
      <c r="C64" s="1382"/>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3">
      <c r="B65" s="1382"/>
      <c r="C65" s="1382"/>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3">
      <c r="B66" s="1382"/>
      <c r="C66" s="1382"/>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3">
      <c r="B67" s="1382"/>
      <c r="C67" s="1382"/>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3">
      <c r="B68" s="1382"/>
      <c r="C68" s="1382"/>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3">
      <c r="B69" s="1382"/>
      <c r="C69" s="1382"/>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3">
      <c r="B70" s="1382"/>
      <c r="C70" s="1382"/>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3">
      <c r="B71" s="1382"/>
      <c r="C71" s="1382"/>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3">
      <c r="B72" s="1382"/>
      <c r="C72" s="1382"/>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 thickBot="1" x14ac:dyDescent="0.35">
      <c r="B73" s="1383"/>
      <c r="C73" s="1383"/>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 outlineLevel="1" thickBot="1" x14ac:dyDescent="0.35">
      <c r="B74" s="1219" t="s">
        <v>815</v>
      </c>
      <c r="C74" s="1381"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3">
      <c r="B75" s="1381" t="s">
        <v>819</v>
      </c>
      <c r="C75" s="1382"/>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3">
      <c r="B76" s="1382"/>
      <c r="C76" s="1382"/>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3">
      <c r="B77" s="1382"/>
      <c r="C77" s="1382"/>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3">
      <c r="B78" s="1382"/>
      <c r="C78" s="1382"/>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3">
      <c r="B79" s="1382"/>
      <c r="C79" s="1382"/>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3">
      <c r="B80" s="1382"/>
      <c r="C80" s="1382"/>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3">
      <c r="B81" s="1382"/>
      <c r="C81" s="1382"/>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3">
      <c r="B82" s="1382"/>
      <c r="C82" s="1382"/>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3">
      <c r="B83" s="1382"/>
      <c r="C83" s="1382"/>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3">
      <c r="B84" s="1382"/>
      <c r="C84" s="1382"/>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3">
      <c r="B85" s="1382"/>
      <c r="C85" s="1382"/>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3">
      <c r="B86" s="1382"/>
      <c r="C86" s="1382"/>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3">
      <c r="B87" s="1382"/>
      <c r="C87" s="1382"/>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3">
      <c r="B88" s="1382"/>
      <c r="C88" s="1382"/>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3">
      <c r="B89" s="1382"/>
      <c r="C89" s="1382"/>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 outlineLevel="1" thickBot="1" x14ac:dyDescent="0.35">
      <c r="B90" s="1383"/>
      <c r="C90" s="1383"/>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 thickBot="1" x14ac:dyDescent="0.35">
      <c r="B91" s="1219" t="s">
        <v>839</v>
      </c>
      <c r="C91" s="1381"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3">
      <c r="B92" s="1381" t="s">
        <v>843</v>
      </c>
      <c r="C92" s="1382"/>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3">
      <c r="B93" s="1382"/>
      <c r="C93" s="1382"/>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3">
      <c r="B94" s="1382"/>
      <c r="C94" s="1382"/>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3">
      <c r="B95" s="1382"/>
      <c r="C95" s="1382"/>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3">
      <c r="B96" s="1382"/>
      <c r="C96" s="1382"/>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3">
      <c r="B97" s="1382"/>
      <c r="C97" s="1382"/>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3">
      <c r="B98" s="1382"/>
      <c r="C98" s="1382"/>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3">
      <c r="B99" s="1382"/>
      <c r="C99" s="1382"/>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3">
      <c r="B100" s="1382"/>
      <c r="C100" s="1382"/>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3">
      <c r="B101" s="1382"/>
      <c r="C101" s="1382"/>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3">
      <c r="B102" s="1382"/>
      <c r="C102" s="1382"/>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3">
      <c r="B103" s="1382"/>
      <c r="C103" s="1382"/>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3">
      <c r="B104" s="1382"/>
      <c r="C104" s="1382"/>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3">
      <c r="B105" s="1382"/>
      <c r="C105" s="1382"/>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3">
      <c r="B106" s="1382"/>
      <c r="C106" s="1382"/>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 thickBot="1" x14ac:dyDescent="0.35">
      <c r="B107" s="1383"/>
      <c r="C107" s="1383"/>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 thickBot="1" x14ac:dyDescent="0.35">
      <c r="B108" s="1219" t="s">
        <v>875</v>
      </c>
      <c r="C108" s="1381"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3">
      <c r="B109" s="1381" t="s">
        <v>879</v>
      </c>
      <c r="C109" s="1382"/>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3">
      <c r="B110" s="1382"/>
      <c r="C110" s="1382"/>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3">
      <c r="B111" s="1382"/>
      <c r="C111" s="1382"/>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3">
      <c r="B112" s="1382"/>
      <c r="C112" s="1382"/>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3">
      <c r="B113" s="1382"/>
      <c r="C113" s="1382"/>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3">
      <c r="B114" s="1382"/>
      <c r="C114" s="1382"/>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3">
      <c r="B115" s="1382"/>
      <c r="C115" s="1382"/>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3">
      <c r="B116" s="1382"/>
      <c r="C116" s="1382"/>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3">
      <c r="B117" s="1382"/>
      <c r="C117" s="1382"/>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3">
      <c r="B118" s="1382"/>
      <c r="C118" s="1382"/>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3">
      <c r="B119" s="1382"/>
      <c r="C119" s="1382"/>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3">
      <c r="B120" s="1382"/>
      <c r="C120" s="1382"/>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3">
      <c r="B121" s="1382"/>
      <c r="C121" s="1382"/>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3">
      <c r="B122" s="1382"/>
      <c r="C122" s="1382"/>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3">
      <c r="B123" s="1382"/>
      <c r="C123" s="1382"/>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 thickBot="1" x14ac:dyDescent="0.35">
      <c r="B124" s="1383"/>
      <c r="C124" s="1383"/>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 thickBot="1" x14ac:dyDescent="0.35">
      <c r="B125" s="1219" t="s">
        <v>897</v>
      </c>
      <c r="C125" s="1381"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3">
      <c r="B126" s="1381" t="s">
        <v>900</v>
      </c>
      <c r="C126" s="1382"/>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3">
      <c r="B127" s="1382"/>
      <c r="C127" s="1382"/>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3">
      <c r="B128" s="1382"/>
      <c r="C128" s="1382"/>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3">
      <c r="B129" s="1382"/>
      <c r="C129" s="1382"/>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3">
      <c r="B130" s="1382"/>
      <c r="C130" s="1382"/>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3">
      <c r="B131" s="1382"/>
      <c r="C131" s="1382"/>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3">
      <c r="B132" s="1382"/>
      <c r="C132" s="1382"/>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3">
      <c r="B133" s="1382"/>
      <c r="C133" s="1382"/>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3">
      <c r="B134" s="1382"/>
      <c r="C134" s="1382"/>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3">
      <c r="B135" s="1382"/>
      <c r="C135" s="1382"/>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3">
      <c r="B136" s="1382"/>
      <c r="C136" s="1382"/>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3">
      <c r="B137" s="1382"/>
      <c r="C137" s="1382"/>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3">
      <c r="B138" s="1382"/>
      <c r="C138" s="1382"/>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3">
      <c r="B139" s="1382"/>
      <c r="C139" s="1382"/>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3">
      <c r="B140" s="1382"/>
      <c r="C140" s="1382"/>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 thickBot="1" x14ac:dyDescent="0.35">
      <c r="B141" s="1383"/>
      <c r="C141" s="1383"/>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 thickBot="1" x14ac:dyDescent="0.35">
      <c r="B142" s="1219" t="s">
        <v>917</v>
      </c>
      <c r="C142" s="1381"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3">
      <c r="B143" s="1381" t="s">
        <v>920</v>
      </c>
      <c r="C143" s="1382"/>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3">
      <c r="B144" s="1382"/>
      <c r="C144" s="1382"/>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3">
      <c r="B145" s="1382"/>
      <c r="C145" s="1382"/>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3">
      <c r="B146" s="1382"/>
      <c r="C146" s="1382"/>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3">
      <c r="B147" s="1382"/>
      <c r="C147" s="1382"/>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3">
      <c r="B148" s="1382"/>
      <c r="C148" s="1382"/>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3">
      <c r="B149" s="1382"/>
      <c r="C149" s="1382"/>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3">
      <c r="B150" s="1382"/>
      <c r="C150" s="1382"/>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3">
      <c r="B151" s="1382"/>
      <c r="C151" s="1382"/>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3">
      <c r="B152" s="1382"/>
      <c r="C152" s="1382"/>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3">
      <c r="B153" s="1382"/>
      <c r="C153" s="1382"/>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3">
      <c r="B154" s="1382"/>
      <c r="C154" s="1382"/>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3">
      <c r="B155" s="1382"/>
      <c r="C155" s="1382"/>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3">
      <c r="B156" s="1382"/>
      <c r="C156" s="1382"/>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3">
      <c r="B157" s="1382"/>
      <c r="C157" s="1382"/>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 thickBot="1" x14ac:dyDescent="0.35">
      <c r="B158" s="1383"/>
      <c r="C158" s="1383"/>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 thickBot="1" x14ac:dyDescent="0.35">
      <c r="B159" s="1218" t="s">
        <v>937</v>
      </c>
      <c r="C159" s="1381"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3">
      <c r="B160" s="1381" t="s">
        <v>940</v>
      </c>
      <c r="C160" s="1382"/>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3">
      <c r="B161" s="1382"/>
      <c r="C161" s="1382"/>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3">
      <c r="B162" s="1382"/>
      <c r="C162" s="1382"/>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3">
      <c r="B163" s="1382"/>
      <c r="C163" s="1382"/>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3">
      <c r="B164" s="1382"/>
      <c r="C164" s="1382"/>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3">
      <c r="B165" s="1382"/>
      <c r="C165" s="1382"/>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3">
      <c r="B166" s="1382"/>
      <c r="C166" s="1382"/>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3">
      <c r="B167" s="1382"/>
      <c r="C167" s="1382"/>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3">
      <c r="B168" s="1382"/>
      <c r="C168" s="1382"/>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3">
      <c r="B169" s="1382"/>
      <c r="C169" s="1382"/>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3">
      <c r="B170" s="1382"/>
      <c r="C170" s="1382"/>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3">
      <c r="B171" s="1382"/>
      <c r="C171" s="1382"/>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3">
      <c r="B172" s="1382"/>
      <c r="C172" s="1382"/>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3">
      <c r="B173" s="1382"/>
      <c r="C173" s="1382"/>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3">
      <c r="B174" s="1382"/>
      <c r="C174" s="1382"/>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 thickBot="1" x14ac:dyDescent="0.35">
      <c r="B175" s="1383"/>
      <c r="C175" s="1383"/>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 thickBot="1" x14ac:dyDescent="0.35">
      <c r="B176" s="1218" t="s">
        <v>957</v>
      </c>
      <c r="C176" s="1381"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3">
      <c r="B177" s="1381" t="s">
        <v>959</v>
      </c>
      <c r="C177" s="1382"/>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3">
      <c r="B178" s="1382"/>
      <c r="C178" s="1382"/>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3">
      <c r="B179" s="1382"/>
      <c r="C179" s="1382"/>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3">
      <c r="B180" s="1382"/>
      <c r="C180" s="1382"/>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3">
      <c r="B181" s="1382"/>
      <c r="C181" s="1382"/>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3">
      <c r="B182" s="1382"/>
      <c r="C182" s="1382"/>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3">
      <c r="B183" s="1382"/>
      <c r="C183" s="1382"/>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3">
      <c r="B184" s="1382"/>
      <c r="C184" s="1382"/>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3">
      <c r="B185" s="1382"/>
      <c r="C185" s="1382"/>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3">
      <c r="B186" s="1382"/>
      <c r="C186" s="1382"/>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3">
      <c r="B187" s="1382"/>
      <c r="C187" s="1382"/>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3">
      <c r="B188" s="1382"/>
      <c r="C188" s="1382"/>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3">
      <c r="B189" s="1382"/>
      <c r="C189" s="1382"/>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3">
      <c r="B190" s="1382"/>
      <c r="C190" s="1382"/>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3">
      <c r="B191" s="1382"/>
      <c r="C191" s="1382"/>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 thickBot="1" x14ac:dyDescent="0.35">
      <c r="B192" s="1383"/>
      <c r="C192" s="1383"/>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 thickBot="1" x14ac:dyDescent="0.35">
      <c r="B193" s="1220" t="s">
        <v>1290</v>
      </c>
      <c r="C193" s="1384"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3">
      <c r="B194" s="1384" t="s">
        <v>1379</v>
      </c>
      <c r="C194" s="1385"/>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 thickBot="1" x14ac:dyDescent="0.35">
      <c r="B195" s="1385"/>
      <c r="C195" s="1385"/>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3">
      <c r="B196" s="1385"/>
      <c r="C196" s="1385"/>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 thickBot="1" x14ac:dyDescent="0.35">
      <c r="B197" s="1385"/>
      <c r="C197" s="1385"/>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3">
      <c r="B198" s="1385"/>
      <c r="C198" s="1385"/>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 thickBot="1" x14ac:dyDescent="0.35">
      <c r="B199" s="1385"/>
      <c r="C199" s="1385"/>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3">
      <c r="B200" s="1385"/>
      <c r="C200" s="1385"/>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 thickBot="1" x14ac:dyDescent="0.35">
      <c r="B201" s="1385"/>
      <c r="C201" s="1385"/>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3">
      <c r="B202" s="1385"/>
      <c r="C202" s="1385"/>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 thickBot="1" x14ac:dyDescent="0.35">
      <c r="B203" s="1385"/>
      <c r="C203" s="1385"/>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3">
      <c r="B204" s="1385"/>
      <c r="C204" s="1385"/>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 thickBot="1" x14ac:dyDescent="0.35">
      <c r="B205" s="1385"/>
      <c r="C205" s="1385"/>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3">
      <c r="B206" s="1385"/>
      <c r="C206" s="1385"/>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 thickBot="1" x14ac:dyDescent="0.35">
      <c r="B207" s="1385"/>
      <c r="C207" s="1385"/>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3">
      <c r="B208" s="1385"/>
      <c r="C208" s="1385"/>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 thickBot="1" x14ac:dyDescent="0.35">
      <c r="B209" s="1386"/>
      <c r="C209" s="1386"/>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 outlineLevel="1" thickBot="1" x14ac:dyDescent="0.35">
      <c r="B210" s="1219" t="s">
        <v>960</v>
      </c>
      <c r="C210" s="1381"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3">
      <c r="B211" s="1381" t="s">
        <v>962</v>
      </c>
      <c r="C211" s="1382"/>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3">
      <c r="B212" s="1382"/>
      <c r="C212" s="1382"/>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3">
      <c r="B213" s="1382"/>
      <c r="C213" s="1382"/>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3">
      <c r="B214" s="1382"/>
      <c r="C214" s="1382"/>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3">
      <c r="B215" s="1382"/>
      <c r="C215" s="1382"/>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3">
      <c r="B216" s="1382"/>
      <c r="C216" s="1382"/>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3">
      <c r="B217" s="1382"/>
      <c r="C217" s="1382"/>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3">
      <c r="B218" s="1382"/>
      <c r="C218" s="1382"/>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3">
      <c r="B219" s="1382"/>
      <c r="C219" s="1382"/>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3">
      <c r="B220" s="1382"/>
      <c r="C220" s="1382"/>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3">
      <c r="B221" s="1382"/>
      <c r="C221" s="1382"/>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3">
      <c r="B222" s="1382"/>
      <c r="C222" s="1382"/>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3">
      <c r="B223" s="1382"/>
      <c r="C223" s="1382"/>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3">
      <c r="B224" s="1382"/>
      <c r="C224" s="1382"/>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3">
      <c r="B225" s="1382"/>
      <c r="C225" s="1382"/>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 outlineLevel="1" thickBot="1" x14ac:dyDescent="0.35">
      <c r="B226" s="1383"/>
      <c r="C226" s="1383"/>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 thickBot="1" x14ac:dyDescent="0.35">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 thickBot="1" x14ac:dyDescent="0.35">
      <c r="B228" s="1219" t="s">
        <v>980</v>
      </c>
      <c r="C228" s="1381"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3">
      <c r="B229" s="1381" t="s">
        <v>981</v>
      </c>
      <c r="C229" s="1382"/>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3">
      <c r="B230" s="1382"/>
      <c r="C230" s="1382"/>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3">
      <c r="B231" s="1382"/>
      <c r="C231" s="1382"/>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3">
      <c r="B232" s="1382"/>
      <c r="C232" s="1382"/>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3">
      <c r="B233" s="1382"/>
      <c r="C233" s="1382"/>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3">
      <c r="B234" s="1382"/>
      <c r="C234" s="1382"/>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3">
      <c r="B235" s="1382"/>
      <c r="C235" s="1382"/>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3">
      <c r="B236" s="1382"/>
      <c r="C236" s="1382"/>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3">
      <c r="B237" s="1382"/>
      <c r="C237" s="1382"/>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3">
      <c r="B238" s="1382"/>
      <c r="C238" s="1382"/>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3">
      <c r="B239" s="1382"/>
      <c r="C239" s="1382"/>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3">
      <c r="B240" s="1382"/>
      <c r="C240" s="1382"/>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3">
      <c r="B241" s="1382"/>
      <c r="C241" s="1382"/>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3">
      <c r="B242" s="1382"/>
      <c r="C242" s="1382"/>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3">
      <c r="B243" s="1382"/>
      <c r="C243" s="1382"/>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 thickBot="1" x14ac:dyDescent="0.35">
      <c r="B244" s="1383"/>
      <c r="C244" s="1383"/>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 thickBot="1" x14ac:dyDescent="0.35">
      <c r="B245" s="1219" t="s">
        <v>982</v>
      </c>
      <c r="C245" s="1381"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3">
      <c r="B246" s="1381" t="s">
        <v>983</v>
      </c>
      <c r="C246" s="1382"/>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3">
      <c r="B247" s="1382"/>
      <c r="C247" s="1382"/>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3">
      <c r="B248" s="1382"/>
      <c r="C248" s="1382"/>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3">
      <c r="B249" s="1382"/>
      <c r="C249" s="1382"/>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3">
      <c r="B250" s="1382"/>
      <c r="C250" s="1382"/>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3">
      <c r="B251" s="1382"/>
      <c r="C251" s="1382"/>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3">
      <c r="B252" s="1382"/>
      <c r="C252" s="1382"/>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3">
      <c r="B253" s="1382"/>
      <c r="C253" s="1382"/>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3">
      <c r="B254" s="1382"/>
      <c r="C254" s="1382"/>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3">
      <c r="B255" s="1382"/>
      <c r="C255" s="1382"/>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3">
      <c r="B256" s="1382"/>
      <c r="C256" s="1382"/>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3">
      <c r="B257" s="1382"/>
      <c r="C257" s="1382"/>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3">
      <c r="B258" s="1382"/>
      <c r="C258" s="1382"/>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3">
      <c r="B259" s="1382"/>
      <c r="C259" s="1382"/>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3">
      <c r="B260" s="1382"/>
      <c r="C260" s="1382"/>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 thickBot="1" x14ac:dyDescent="0.35">
      <c r="B261" s="1383"/>
      <c r="C261" s="1383"/>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 thickBot="1" x14ac:dyDescent="0.35">
      <c r="B262" s="1219" t="s">
        <v>984</v>
      </c>
      <c r="C262" s="1381"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3">
      <c r="B263" s="1381" t="s">
        <v>986</v>
      </c>
      <c r="C263" s="1382"/>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3">
      <c r="B264" s="1382"/>
      <c r="C264" s="1382"/>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3">
      <c r="B265" s="1382"/>
      <c r="C265" s="1382"/>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3">
      <c r="B266" s="1382"/>
      <c r="C266" s="1382"/>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3">
      <c r="B267" s="1382"/>
      <c r="C267" s="1382"/>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3">
      <c r="B268" s="1382"/>
      <c r="C268" s="1382"/>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3">
      <c r="B269" s="1382"/>
      <c r="C269" s="1382"/>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3">
      <c r="B270" s="1382"/>
      <c r="C270" s="1382"/>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3">
      <c r="B271" s="1382"/>
      <c r="C271" s="1382"/>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3">
      <c r="B272" s="1382"/>
      <c r="C272" s="1382"/>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3">
      <c r="B273" s="1382"/>
      <c r="C273" s="1382"/>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3">
      <c r="B274" s="1382"/>
      <c r="C274" s="1382"/>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3">
      <c r="B275" s="1382"/>
      <c r="C275" s="1382"/>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3">
      <c r="B276" s="1382"/>
      <c r="C276" s="1382"/>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3">
      <c r="B277" s="1382"/>
      <c r="C277" s="1382"/>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 thickBot="1" x14ac:dyDescent="0.35">
      <c r="B278" s="1383"/>
      <c r="C278" s="1383"/>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 thickBot="1" x14ac:dyDescent="0.35">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 thickBot="1" x14ac:dyDescent="0.35">
      <c r="B280" s="1219" t="s">
        <v>1004</v>
      </c>
      <c r="C280" s="1381"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3">
      <c r="B281" s="1381" t="s">
        <v>1005</v>
      </c>
      <c r="C281" s="1382"/>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3">
      <c r="B282" s="1382"/>
      <c r="C282" s="1382"/>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3">
      <c r="B283" s="1382"/>
      <c r="C283" s="1382"/>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3">
      <c r="B284" s="1382"/>
      <c r="C284" s="1382"/>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3">
      <c r="B285" s="1382"/>
      <c r="C285" s="1382"/>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3">
      <c r="B286" s="1382"/>
      <c r="C286" s="1382"/>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3">
      <c r="B287" s="1382"/>
      <c r="C287" s="1382"/>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3">
      <c r="B288" s="1382"/>
      <c r="C288" s="1382"/>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3">
      <c r="B289" s="1382"/>
      <c r="C289" s="1382"/>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3">
      <c r="B290" s="1382"/>
      <c r="C290" s="1382"/>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3">
      <c r="B291" s="1382"/>
      <c r="C291" s="1382"/>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3">
      <c r="B292" s="1382"/>
      <c r="C292" s="1382"/>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3">
      <c r="B293" s="1382"/>
      <c r="C293" s="1382"/>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3">
      <c r="B294" s="1382"/>
      <c r="C294" s="1382"/>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3">
      <c r="B295" s="1382"/>
      <c r="C295" s="1382"/>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 thickBot="1" x14ac:dyDescent="0.35">
      <c r="B296" s="1383"/>
      <c r="C296" s="1383"/>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 thickBot="1" x14ac:dyDescent="0.35">
      <c r="B297" s="1219" t="s">
        <v>1006</v>
      </c>
      <c r="C297" s="1381"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3">
      <c r="B298" s="1381" t="s">
        <v>1007</v>
      </c>
      <c r="C298" s="1382"/>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3">
      <c r="B299" s="1382"/>
      <c r="C299" s="1382"/>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3">
      <c r="B300" s="1382"/>
      <c r="C300" s="1382"/>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3">
      <c r="B301" s="1382"/>
      <c r="C301" s="1382"/>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3">
      <c r="B302" s="1382"/>
      <c r="C302" s="1382"/>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3">
      <c r="B303" s="1382"/>
      <c r="C303" s="1382"/>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3">
      <c r="B304" s="1382"/>
      <c r="C304" s="1382"/>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3">
      <c r="B305" s="1382"/>
      <c r="C305" s="1382"/>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3">
      <c r="B306" s="1382"/>
      <c r="C306" s="1382"/>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3">
      <c r="B307" s="1382"/>
      <c r="C307" s="1382"/>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3">
      <c r="B308" s="1382"/>
      <c r="C308" s="1382"/>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3">
      <c r="B309" s="1382"/>
      <c r="C309" s="1382"/>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3">
      <c r="B310" s="1382"/>
      <c r="C310" s="1382"/>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3">
      <c r="B311" s="1382"/>
      <c r="C311" s="1382"/>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3">
      <c r="B312" s="1382"/>
      <c r="C312" s="1382"/>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 thickBot="1" x14ac:dyDescent="0.35">
      <c r="B313" s="1383"/>
      <c r="C313" s="1383"/>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 thickBot="1" x14ac:dyDescent="0.35">
      <c r="B314" s="1218" t="s">
        <v>1008</v>
      </c>
      <c r="C314" s="1381"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3">
      <c r="B315" s="1381" t="s">
        <v>1009</v>
      </c>
      <c r="C315" s="1382"/>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3">
      <c r="B316" s="1382"/>
      <c r="C316" s="1382"/>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3">
      <c r="B317" s="1382"/>
      <c r="C317" s="1382"/>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3">
      <c r="B318" s="1382"/>
      <c r="C318" s="1382"/>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3">
      <c r="B319" s="1382"/>
      <c r="C319" s="1382"/>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3">
      <c r="B320" s="1382"/>
      <c r="C320" s="1382"/>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3">
      <c r="B321" s="1382"/>
      <c r="C321" s="1382"/>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3">
      <c r="B322" s="1382"/>
      <c r="C322" s="1382"/>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3">
      <c r="B323" s="1382"/>
      <c r="C323" s="1382"/>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3">
      <c r="B324" s="1382"/>
      <c r="C324" s="1382"/>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3">
      <c r="B325" s="1382"/>
      <c r="C325" s="1382"/>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3">
      <c r="B326" s="1382"/>
      <c r="C326" s="1382"/>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3">
      <c r="B327" s="1382"/>
      <c r="C327" s="1382"/>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3">
      <c r="B328" s="1382"/>
      <c r="C328" s="1382"/>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3">
      <c r="B329" s="1382"/>
      <c r="C329" s="1382"/>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 thickBot="1" x14ac:dyDescent="0.35">
      <c r="B330" s="1383"/>
      <c r="C330" s="1383"/>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 thickBot="1" x14ac:dyDescent="0.35">
      <c r="B331" s="1218" t="s">
        <v>1010</v>
      </c>
      <c r="C331" s="1381"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3">
      <c r="B332" s="1381" t="s">
        <v>1011</v>
      </c>
      <c r="C332" s="1382"/>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3">
      <c r="B333" s="1382"/>
      <c r="C333" s="1382"/>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3">
      <c r="B334" s="1382"/>
      <c r="C334" s="1382"/>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3">
      <c r="B335" s="1382"/>
      <c r="C335" s="1382"/>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3">
      <c r="B336" s="1382"/>
      <c r="C336" s="1382"/>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3">
      <c r="B337" s="1382"/>
      <c r="C337" s="1382"/>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3">
      <c r="B338" s="1382"/>
      <c r="C338" s="1382"/>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3">
      <c r="B339" s="1382"/>
      <c r="C339" s="1382"/>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3">
      <c r="B340" s="1382"/>
      <c r="C340" s="1382"/>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3">
      <c r="B341" s="1382"/>
      <c r="C341" s="1382"/>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3">
      <c r="B342" s="1382"/>
      <c r="C342" s="1382"/>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3">
      <c r="B343" s="1382"/>
      <c r="C343" s="1382"/>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3">
      <c r="B344" s="1382"/>
      <c r="C344" s="1382"/>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3">
      <c r="B345" s="1382"/>
      <c r="C345" s="1382"/>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3">
      <c r="B346" s="1382"/>
      <c r="C346" s="1382"/>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 thickBot="1" x14ac:dyDescent="0.35">
      <c r="B347" s="1383"/>
      <c r="C347" s="1383"/>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 thickBot="1" x14ac:dyDescent="0.35">
      <c r="B348" s="1218" t="s">
        <v>1012</v>
      </c>
      <c r="C348" s="1381"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3">
      <c r="B349" s="1381" t="s">
        <v>1015</v>
      </c>
      <c r="C349" s="1382"/>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3">
      <c r="B350" s="1382"/>
      <c r="C350" s="1382"/>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3">
      <c r="B351" s="1382"/>
      <c r="C351" s="1382"/>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3">
      <c r="B352" s="1382"/>
      <c r="C352" s="1382"/>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3">
      <c r="B353" s="1382"/>
      <c r="C353" s="1382"/>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3">
      <c r="B354" s="1382"/>
      <c r="C354" s="1382"/>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3">
      <c r="B355" s="1382"/>
      <c r="C355" s="1382"/>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3">
      <c r="B356" s="1382"/>
      <c r="C356" s="1382"/>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3">
      <c r="B357" s="1382"/>
      <c r="C357" s="1382"/>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3">
      <c r="B358" s="1382"/>
      <c r="C358" s="1382"/>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3">
      <c r="B359" s="1382"/>
      <c r="C359" s="1382"/>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3">
      <c r="B360" s="1382"/>
      <c r="C360" s="1382"/>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3">
      <c r="B361" s="1382"/>
      <c r="C361" s="1382"/>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3">
      <c r="B362" s="1382"/>
      <c r="C362" s="1382"/>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3">
      <c r="B363" s="1382"/>
      <c r="C363" s="1382"/>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 thickBot="1" x14ac:dyDescent="0.35">
      <c r="B364" s="1383"/>
      <c r="C364" s="1383"/>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 thickBot="1" x14ac:dyDescent="0.35">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 thickBot="1" x14ac:dyDescent="0.35">
      <c r="B366" s="1219" t="s">
        <v>1166</v>
      </c>
      <c r="C366" s="1381"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3">
      <c r="B367" s="1381" t="s">
        <v>1167</v>
      </c>
      <c r="C367" s="1382"/>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3">
      <c r="B368" s="1382"/>
      <c r="C368" s="1382"/>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3">
      <c r="B369" s="1382"/>
      <c r="C369" s="1382"/>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3">
      <c r="B370" s="1382"/>
      <c r="C370" s="1382"/>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3">
      <c r="B371" s="1382"/>
      <c r="C371" s="1382"/>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3">
      <c r="B372" s="1382"/>
      <c r="C372" s="1382"/>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3">
      <c r="B373" s="1382"/>
      <c r="C373" s="1382"/>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3">
      <c r="B374" s="1382"/>
      <c r="C374" s="1382"/>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3">
      <c r="B375" s="1382"/>
      <c r="C375" s="1382"/>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3">
      <c r="B376" s="1382"/>
      <c r="C376" s="1382"/>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3">
      <c r="B377" s="1382"/>
      <c r="C377" s="1382"/>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3">
      <c r="B378" s="1382"/>
      <c r="C378" s="1382"/>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3">
      <c r="B379" s="1382"/>
      <c r="C379" s="1382"/>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3">
      <c r="B380" s="1382"/>
      <c r="C380" s="1382"/>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3">
      <c r="B381" s="1382"/>
      <c r="C381" s="1382"/>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 thickBot="1" x14ac:dyDescent="0.35">
      <c r="B382" s="1383"/>
      <c r="C382" s="1383"/>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 thickBot="1" x14ac:dyDescent="0.35">
      <c r="B383" s="1219" t="s">
        <v>1164</v>
      </c>
      <c r="C383" s="1381"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3">
      <c r="B384" s="1381" t="s">
        <v>1168</v>
      </c>
      <c r="C384" s="1382"/>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3">
      <c r="B385" s="1382"/>
      <c r="C385" s="1382"/>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3">
      <c r="B386" s="1382"/>
      <c r="C386" s="1382"/>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3">
      <c r="B387" s="1382"/>
      <c r="C387" s="1382"/>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3">
      <c r="B388" s="1382"/>
      <c r="C388" s="1382"/>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3">
      <c r="B389" s="1382"/>
      <c r="C389" s="1382"/>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3">
      <c r="B390" s="1382"/>
      <c r="C390" s="1382"/>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3">
      <c r="B391" s="1382"/>
      <c r="C391" s="1382"/>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3">
      <c r="B392" s="1382"/>
      <c r="C392" s="1382"/>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3">
      <c r="B393" s="1382"/>
      <c r="C393" s="1382"/>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3">
      <c r="B394" s="1382"/>
      <c r="C394" s="1382"/>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3">
      <c r="B395" s="1382"/>
      <c r="C395" s="1382"/>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3">
      <c r="B396" s="1382"/>
      <c r="C396" s="1382"/>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3">
      <c r="B397" s="1382"/>
      <c r="C397" s="1382"/>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3">
      <c r="B398" s="1382"/>
      <c r="C398" s="1382"/>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 thickBot="1" x14ac:dyDescent="0.35">
      <c r="B399" s="1383"/>
      <c r="C399" s="1383"/>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 thickBot="1" x14ac:dyDescent="0.35">
      <c r="B400" s="1219" t="s">
        <v>1169</v>
      </c>
      <c r="C400" s="1381"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3">
      <c r="B401" s="1381" t="s">
        <v>1170</v>
      </c>
      <c r="C401" s="1382"/>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3">
      <c r="B402" s="1382"/>
      <c r="C402" s="1382"/>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3">
      <c r="B403" s="1382"/>
      <c r="C403" s="1382"/>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3">
      <c r="B404" s="1382"/>
      <c r="C404" s="1382"/>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3">
      <c r="B405" s="1382"/>
      <c r="C405" s="1382"/>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3">
      <c r="B406" s="1382"/>
      <c r="C406" s="1382"/>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3">
      <c r="B407" s="1382"/>
      <c r="C407" s="1382"/>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3">
      <c r="B408" s="1382"/>
      <c r="C408" s="1382"/>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3">
      <c r="B409" s="1382"/>
      <c r="C409" s="1382"/>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3">
      <c r="B410" s="1382"/>
      <c r="C410" s="1382"/>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3">
      <c r="B411" s="1382"/>
      <c r="C411" s="1382"/>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3">
      <c r="B412" s="1382"/>
      <c r="C412" s="1382"/>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3">
      <c r="B413" s="1382"/>
      <c r="C413" s="1382"/>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3">
      <c r="B414" s="1382"/>
      <c r="C414" s="1382"/>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3">
      <c r="B415" s="1382"/>
      <c r="C415" s="1382"/>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 thickBot="1" x14ac:dyDescent="0.35">
      <c r="B416" s="1383"/>
      <c r="C416" s="1383"/>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 thickBot="1" x14ac:dyDescent="0.35">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 thickBot="1" x14ac:dyDescent="0.35">
      <c r="B418" s="1219" t="s">
        <v>1174</v>
      </c>
      <c r="C418" s="1381"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3">
      <c r="B419" s="1381" t="s">
        <v>1175</v>
      </c>
      <c r="C419" s="1382"/>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3">
      <c r="B420" s="1382"/>
      <c r="C420" s="1382"/>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3">
      <c r="B421" s="1382"/>
      <c r="C421" s="1382"/>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3">
      <c r="B422" s="1382"/>
      <c r="C422" s="1382"/>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3">
      <c r="B423" s="1382"/>
      <c r="C423" s="1382"/>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3">
      <c r="B424" s="1382"/>
      <c r="C424" s="1382"/>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3">
      <c r="B425" s="1382"/>
      <c r="C425" s="1382"/>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3">
      <c r="B426" s="1382"/>
      <c r="C426" s="1382"/>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3">
      <c r="B427" s="1382"/>
      <c r="C427" s="1382"/>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3">
      <c r="B428" s="1382"/>
      <c r="C428" s="1382"/>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3">
      <c r="B429" s="1382"/>
      <c r="C429" s="1382"/>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3">
      <c r="B430" s="1382"/>
      <c r="C430" s="1382"/>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3">
      <c r="B431" s="1382"/>
      <c r="C431" s="1382"/>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3">
      <c r="B432" s="1382"/>
      <c r="C432" s="1382"/>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3">
      <c r="B433" s="1382"/>
      <c r="C433" s="1382"/>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 thickBot="1" x14ac:dyDescent="0.35">
      <c r="B434" s="1383"/>
      <c r="C434" s="1383"/>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 thickBot="1" x14ac:dyDescent="0.35">
      <c r="B435" s="1219" t="s">
        <v>1176</v>
      </c>
      <c r="C435" s="1381"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3">
      <c r="B436" s="1381" t="s">
        <v>1177</v>
      </c>
      <c r="C436" s="1382"/>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3">
      <c r="B437" s="1382"/>
      <c r="C437" s="1382"/>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3">
      <c r="B438" s="1382"/>
      <c r="C438" s="1382"/>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3">
      <c r="B439" s="1382"/>
      <c r="C439" s="1382"/>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3">
      <c r="B440" s="1382"/>
      <c r="C440" s="1382"/>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3">
      <c r="B441" s="1382"/>
      <c r="C441" s="1382"/>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3">
      <c r="B442" s="1382"/>
      <c r="C442" s="1382"/>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3">
      <c r="B443" s="1382"/>
      <c r="C443" s="1382"/>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3">
      <c r="B444" s="1382"/>
      <c r="C444" s="1382"/>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3">
      <c r="B445" s="1382"/>
      <c r="C445" s="1382"/>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3">
      <c r="B446" s="1382"/>
      <c r="C446" s="1382"/>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3">
      <c r="B447" s="1382"/>
      <c r="C447" s="1382"/>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3">
      <c r="B448" s="1382"/>
      <c r="C448" s="1382"/>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3">
      <c r="B449" s="1382"/>
      <c r="C449" s="1382"/>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3">
      <c r="B450" s="1382"/>
      <c r="C450" s="1382"/>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 thickBot="1" x14ac:dyDescent="0.35">
      <c r="B451" s="1383"/>
      <c r="C451" s="1383"/>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 thickBot="1" x14ac:dyDescent="0.35">
      <c r="B452" s="1219" t="s">
        <v>1178</v>
      </c>
      <c r="C452" s="1381"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3">
      <c r="B453" s="1381" t="s">
        <v>1179</v>
      </c>
      <c r="C453" s="1382"/>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3">
      <c r="B454" s="1382"/>
      <c r="C454" s="1382"/>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3">
      <c r="B455" s="1382"/>
      <c r="C455" s="1382"/>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3">
      <c r="B456" s="1382"/>
      <c r="C456" s="1382"/>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3">
      <c r="B457" s="1382"/>
      <c r="C457" s="1382"/>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3">
      <c r="B458" s="1382"/>
      <c r="C458" s="1382"/>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3">
      <c r="B459" s="1382"/>
      <c r="C459" s="1382"/>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3">
      <c r="B460" s="1382"/>
      <c r="C460" s="1382"/>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3">
      <c r="B461" s="1382"/>
      <c r="C461" s="1382"/>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3">
      <c r="B462" s="1382"/>
      <c r="C462" s="1382"/>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3">
      <c r="B463" s="1382"/>
      <c r="C463" s="1382"/>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3">
      <c r="B464" s="1382"/>
      <c r="C464" s="1382"/>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3">
      <c r="B465" s="1382"/>
      <c r="C465" s="1382"/>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3">
      <c r="B466" s="1382"/>
      <c r="C466" s="1382"/>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3">
      <c r="B467" s="1382"/>
      <c r="C467" s="1382"/>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 thickBot="1" x14ac:dyDescent="0.35">
      <c r="B468" s="1383"/>
      <c r="C468" s="1383"/>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 thickBot="1" x14ac:dyDescent="0.35">
      <c r="B469" s="556" t="s">
        <v>1241</v>
      </c>
      <c r="C469" s="1217"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 thickBot="1" x14ac:dyDescent="0.35">
      <c r="B470" s="1219" t="s">
        <v>1244</v>
      </c>
      <c r="C470" s="1381"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3">
      <c r="B471" s="1381" t="s">
        <v>1245</v>
      </c>
      <c r="C471" s="1382"/>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3">
      <c r="B472" s="1382"/>
      <c r="C472" s="1382"/>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3">
      <c r="B473" s="1382"/>
      <c r="C473" s="1382"/>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3">
      <c r="B474" s="1382"/>
      <c r="C474" s="1382"/>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3">
      <c r="B475" s="1382"/>
      <c r="C475" s="1382"/>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3">
      <c r="B476" s="1382"/>
      <c r="C476" s="1382"/>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3">
      <c r="B477" s="1382"/>
      <c r="C477" s="1382"/>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3">
      <c r="B478" s="1382"/>
      <c r="C478" s="1382"/>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3">
      <c r="B479" s="1382"/>
      <c r="C479" s="1382"/>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3">
      <c r="B480" s="1382"/>
      <c r="C480" s="1382"/>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3">
      <c r="B481" s="1382"/>
      <c r="C481" s="1382"/>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3">
      <c r="B482" s="1382"/>
      <c r="C482" s="1382"/>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3">
      <c r="B483" s="1382"/>
      <c r="C483" s="1382"/>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3">
      <c r="B484" s="1382"/>
      <c r="C484" s="1382"/>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3">
      <c r="B485" s="1382"/>
      <c r="C485" s="1382"/>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 thickBot="1" x14ac:dyDescent="0.35">
      <c r="B486" s="1383"/>
      <c r="C486" s="1383"/>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 thickBot="1" x14ac:dyDescent="0.35">
      <c r="B487" s="1219" t="s">
        <v>1246</v>
      </c>
      <c r="C487" s="1381"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3">
      <c r="B488" s="1381" t="s">
        <v>1247</v>
      </c>
      <c r="C488" s="1382"/>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3">
      <c r="B489" s="1382"/>
      <c r="C489" s="1382"/>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3">
      <c r="B490" s="1382"/>
      <c r="C490" s="1382"/>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3">
      <c r="B491" s="1382"/>
      <c r="C491" s="1382"/>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3">
      <c r="B492" s="1382"/>
      <c r="C492" s="1382"/>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3">
      <c r="B493" s="1382"/>
      <c r="C493" s="1382"/>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3">
      <c r="B494" s="1382"/>
      <c r="C494" s="1382"/>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3">
      <c r="B495" s="1382"/>
      <c r="C495" s="1382"/>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3">
      <c r="B496" s="1382"/>
      <c r="C496" s="1382"/>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3">
      <c r="B497" s="1382"/>
      <c r="C497" s="1382"/>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3">
      <c r="B498" s="1382"/>
      <c r="C498" s="1382"/>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3">
      <c r="B499" s="1382"/>
      <c r="C499" s="1382"/>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3">
      <c r="B500" s="1382"/>
      <c r="C500" s="1382"/>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3">
      <c r="B501" s="1382"/>
      <c r="C501" s="1382"/>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3">
      <c r="B502" s="1382"/>
      <c r="C502" s="1382"/>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 thickBot="1" x14ac:dyDescent="0.35">
      <c r="B503" s="1383"/>
      <c r="C503" s="1383"/>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 thickBot="1" x14ac:dyDescent="0.35">
      <c r="B504" s="1219" t="s">
        <v>1248</v>
      </c>
      <c r="C504" s="1381"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3">
      <c r="B505" s="1381" t="s">
        <v>1249</v>
      </c>
      <c r="C505" s="1382"/>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3">
      <c r="B506" s="1382"/>
      <c r="C506" s="1382"/>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3">
      <c r="B507" s="1382"/>
      <c r="C507" s="1382"/>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3">
      <c r="B508" s="1382"/>
      <c r="C508" s="1382"/>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3">
      <c r="B509" s="1382"/>
      <c r="C509" s="1382"/>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3">
      <c r="B510" s="1382"/>
      <c r="C510" s="1382"/>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3">
      <c r="B511" s="1382"/>
      <c r="C511" s="1382"/>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3">
      <c r="B512" s="1382"/>
      <c r="C512" s="1382"/>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3">
      <c r="B513" s="1382"/>
      <c r="C513" s="1382"/>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3">
      <c r="B514" s="1382"/>
      <c r="C514" s="1382"/>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3">
      <c r="B515" s="1382"/>
      <c r="C515" s="1382"/>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3">
      <c r="B516" s="1382"/>
      <c r="C516" s="1382"/>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3">
      <c r="B517" s="1382"/>
      <c r="C517" s="1382"/>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3">
      <c r="B518" s="1382"/>
      <c r="C518" s="1382"/>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3">
      <c r="B519" s="1382"/>
      <c r="C519" s="1382"/>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 thickBot="1" x14ac:dyDescent="0.35">
      <c r="B520" s="1383"/>
      <c r="C520" s="1383"/>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 thickBot="1" x14ac:dyDescent="0.35">
      <c r="B521" s="556" t="s">
        <v>1180</v>
      </c>
      <c r="C521" s="1217"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 thickBot="1" x14ac:dyDescent="0.35">
      <c r="B522" s="1219" t="s">
        <v>1181</v>
      </c>
      <c r="C522" s="1381"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3">
      <c r="B523" s="1381" t="s">
        <v>1182</v>
      </c>
      <c r="C523" s="1382"/>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3">
      <c r="B524" s="1382"/>
      <c r="C524" s="1382"/>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3">
      <c r="B525" s="1382"/>
      <c r="C525" s="1382"/>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3">
      <c r="B526" s="1382"/>
      <c r="C526" s="1382"/>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3">
      <c r="B527" s="1382"/>
      <c r="C527" s="1382"/>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3">
      <c r="B528" s="1382"/>
      <c r="C528" s="1382"/>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3">
      <c r="B529" s="1382"/>
      <c r="C529" s="1382"/>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3">
      <c r="B530" s="1382"/>
      <c r="C530" s="1382"/>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3">
      <c r="B531" s="1382"/>
      <c r="C531" s="1382"/>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3">
      <c r="B532" s="1382"/>
      <c r="C532" s="1382"/>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3">
      <c r="B533" s="1382"/>
      <c r="C533" s="1382"/>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3">
      <c r="B534" s="1382"/>
      <c r="C534" s="1382"/>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3">
      <c r="B535" s="1382"/>
      <c r="C535" s="1382"/>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3">
      <c r="B536" s="1382"/>
      <c r="C536" s="1382"/>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3">
      <c r="B537" s="1382"/>
      <c r="C537" s="1382"/>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 thickBot="1" x14ac:dyDescent="0.35">
      <c r="B538" s="1383"/>
      <c r="C538" s="1383"/>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 thickBot="1" x14ac:dyDescent="0.35">
      <c r="B539" s="1219" t="s">
        <v>1183</v>
      </c>
      <c r="C539" s="1381"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3">
      <c r="B540" s="1381" t="s">
        <v>1184</v>
      </c>
      <c r="C540" s="1382"/>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3">
      <c r="B541" s="1382"/>
      <c r="C541" s="1382"/>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3">
      <c r="B542" s="1382"/>
      <c r="C542" s="1382"/>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3">
      <c r="B543" s="1382"/>
      <c r="C543" s="1382"/>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3">
      <c r="B544" s="1382"/>
      <c r="C544" s="1382"/>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3">
      <c r="B545" s="1382"/>
      <c r="C545" s="1382"/>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3">
      <c r="B546" s="1382"/>
      <c r="C546" s="1382"/>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3">
      <c r="B547" s="1382"/>
      <c r="C547" s="1382"/>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3">
      <c r="B548" s="1382"/>
      <c r="C548" s="1382"/>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3">
      <c r="B549" s="1382"/>
      <c r="C549" s="1382"/>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3">
      <c r="B550" s="1382"/>
      <c r="C550" s="1382"/>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3">
      <c r="B551" s="1382"/>
      <c r="C551" s="1382"/>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3">
      <c r="B552" s="1382"/>
      <c r="C552" s="1382"/>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3">
      <c r="B553" s="1382"/>
      <c r="C553" s="1382"/>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3">
      <c r="B554" s="1382"/>
      <c r="C554" s="1382"/>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 thickBot="1" x14ac:dyDescent="0.35">
      <c r="B555" s="1383"/>
      <c r="C555" s="1383"/>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 thickBot="1" x14ac:dyDescent="0.35">
      <c r="B556" s="1219" t="s">
        <v>1185</v>
      </c>
      <c r="C556" s="1381"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3">
      <c r="B557" s="1381" t="s">
        <v>1186</v>
      </c>
      <c r="C557" s="1382"/>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3">
      <c r="B558" s="1382"/>
      <c r="C558" s="1382"/>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3">
      <c r="B559" s="1382"/>
      <c r="C559" s="1382"/>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3">
      <c r="B560" s="1382"/>
      <c r="C560" s="1382"/>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3">
      <c r="B561" s="1382"/>
      <c r="C561" s="1382"/>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3">
      <c r="B562" s="1382"/>
      <c r="C562" s="1382"/>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3">
      <c r="B563" s="1382"/>
      <c r="C563" s="1382"/>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3">
      <c r="B564" s="1382"/>
      <c r="C564" s="1382"/>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3">
      <c r="B565" s="1382"/>
      <c r="C565" s="1382"/>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3">
      <c r="B566" s="1382"/>
      <c r="C566" s="1382"/>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3">
      <c r="B567" s="1382"/>
      <c r="C567" s="1382"/>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3">
      <c r="B568" s="1382"/>
      <c r="C568" s="1382"/>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3">
      <c r="B569" s="1382"/>
      <c r="C569" s="1382"/>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3">
      <c r="B570" s="1382"/>
      <c r="C570" s="1382"/>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3">
      <c r="B571" s="1382"/>
      <c r="C571" s="1382"/>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 thickBot="1" x14ac:dyDescent="0.35">
      <c r="B572" s="1383"/>
      <c r="C572" s="1383"/>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 thickBot="1" x14ac:dyDescent="0.35">
      <c r="B573" s="556" t="s">
        <v>1189</v>
      </c>
      <c r="C573" s="1217"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 thickBot="1" x14ac:dyDescent="0.35">
      <c r="B574" s="1219" t="s">
        <v>1190</v>
      </c>
      <c r="C574" s="1381"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3">
      <c r="B575" s="1381" t="s">
        <v>1191</v>
      </c>
      <c r="C575" s="1382"/>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3">
      <c r="B576" s="1382"/>
      <c r="C576" s="1382"/>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3">
      <c r="B577" s="1382"/>
      <c r="C577" s="1382"/>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3">
      <c r="B578" s="1382"/>
      <c r="C578" s="1382"/>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3">
      <c r="B579" s="1382"/>
      <c r="C579" s="1382"/>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3">
      <c r="B580" s="1382"/>
      <c r="C580" s="1382"/>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3">
      <c r="B581" s="1382"/>
      <c r="C581" s="1382"/>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3">
      <c r="B582" s="1382"/>
      <c r="C582" s="1382"/>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3">
      <c r="B583" s="1382"/>
      <c r="C583" s="1382"/>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3">
      <c r="B584" s="1382"/>
      <c r="C584" s="1382"/>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3">
      <c r="B585" s="1382"/>
      <c r="C585" s="1382"/>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3">
      <c r="B586" s="1382"/>
      <c r="C586" s="1382"/>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3">
      <c r="B587" s="1382"/>
      <c r="C587" s="1382"/>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3">
      <c r="B588" s="1382"/>
      <c r="C588" s="1382"/>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3">
      <c r="B589" s="1382"/>
      <c r="C589" s="1382"/>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 thickBot="1" x14ac:dyDescent="0.35">
      <c r="B590" s="1383"/>
      <c r="C590" s="1383"/>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 thickBot="1" x14ac:dyDescent="0.35">
      <c r="B591" s="1219" t="s">
        <v>1192</v>
      </c>
      <c r="C591" s="1381"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3">
      <c r="B592" s="1381" t="s">
        <v>1193</v>
      </c>
      <c r="C592" s="1382"/>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3">
      <c r="B593" s="1382"/>
      <c r="C593" s="1382"/>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3">
      <c r="B594" s="1382"/>
      <c r="C594" s="1382"/>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3">
      <c r="B595" s="1382"/>
      <c r="C595" s="1382"/>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3">
      <c r="B596" s="1382"/>
      <c r="C596" s="1382"/>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3">
      <c r="B597" s="1382"/>
      <c r="C597" s="1382"/>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3">
      <c r="B598" s="1382"/>
      <c r="C598" s="1382"/>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3">
      <c r="B599" s="1382"/>
      <c r="C599" s="1382"/>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3">
      <c r="B600" s="1382"/>
      <c r="C600" s="1382"/>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3">
      <c r="B601" s="1382"/>
      <c r="C601" s="1382"/>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3">
      <c r="B602" s="1382"/>
      <c r="C602" s="1382"/>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3">
      <c r="B603" s="1382"/>
      <c r="C603" s="1382"/>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3">
      <c r="B604" s="1382"/>
      <c r="C604" s="1382"/>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3">
      <c r="B605" s="1382"/>
      <c r="C605" s="1382"/>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3">
      <c r="B606" s="1382"/>
      <c r="C606" s="1382"/>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 thickBot="1" x14ac:dyDescent="0.35">
      <c r="B607" s="1383"/>
      <c r="C607" s="1383"/>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 thickBot="1" x14ac:dyDescent="0.35">
      <c r="B608" s="1219" t="s">
        <v>1194</v>
      </c>
      <c r="C608" s="1381"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3">
      <c r="B609" s="1381" t="s">
        <v>1195</v>
      </c>
      <c r="C609" s="1382"/>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3">
      <c r="B610" s="1382"/>
      <c r="C610" s="1382"/>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3">
      <c r="B611" s="1382"/>
      <c r="C611" s="1382"/>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3">
      <c r="B612" s="1382"/>
      <c r="C612" s="1382"/>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3">
      <c r="B613" s="1382"/>
      <c r="C613" s="1382"/>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3">
      <c r="B614" s="1382"/>
      <c r="C614" s="1382"/>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3">
      <c r="B615" s="1382"/>
      <c r="C615" s="1382"/>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3">
      <c r="B616" s="1382"/>
      <c r="C616" s="1382"/>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3">
      <c r="B617" s="1382"/>
      <c r="C617" s="1382"/>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3">
      <c r="B618" s="1382"/>
      <c r="C618" s="1382"/>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3">
      <c r="B619" s="1382"/>
      <c r="C619" s="1382"/>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3">
      <c r="B620" s="1382"/>
      <c r="C620" s="1382"/>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3">
      <c r="B621" s="1382"/>
      <c r="C621" s="1382"/>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3">
      <c r="B622" s="1382"/>
      <c r="C622" s="1382"/>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3">
      <c r="B623" s="1382"/>
      <c r="C623" s="1382"/>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 thickBot="1" x14ac:dyDescent="0.35">
      <c r="B624" s="1383"/>
      <c r="C624" s="1383"/>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 thickBot="1" x14ac:dyDescent="0.35">
      <c r="B625" s="556" t="s">
        <v>1228</v>
      </c>
      <c r="C625" s="1217"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 thickBot="1" x14ac:dyDescent="0.35">
      <c r="B626" s="1219" t="s">
        <v>1229</v>
      </c>
      <c r="C626" s="1381"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3">
      <c r="B627" s="1381" t="s">
        <v>1230</v>
      </c>
      <c r="C627" s="1382"/>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3">
      <c r="B628" s="1382"/>
      <c r="C628" s="1382"/>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3">
      <c r="B629" s="1382"/>
      <c r="C629" s="1382"/>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3">
      <c r="B630" s="1382"/>
      <c r="C630" s="1382"/>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3">
      <c r="B631" s="1382"/>
      <c r="C631" s="1382"/>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3">
      <c r="B632" s="1382"/>
      <c r="C632" s="1382"/>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3">
      <c r="B633" s="1382"/>
      <c r="C633" s="1382"/>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3">
      <c r="B634" s="1382"/>
      <c r="C634" s="1382"/>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3">
      <c r="B635" s="1382"/>
      <c r="C635" s="1382"/>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3">
      <c r="B636" s="1382"/>
      <c r="C636" s="1382"/>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3">
      <c r="B637" s="1382"/>
      <c r="C637" s="1382"/>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3">
      <c r="B638" s="1382"/>
      <c r="C638" s="1382"/>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3">
      <c r="B639" s="1382"/>
      <c r="C639" s="1382"/>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3">
      <c r="B640" s="1382"/>
      <c r="C640" s="1382"/>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3">
      <c r="B641" s="1382"/>
      <c r="C641" s="1382"/>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 thickBot="1" x14ac:dyDescent="0.35">
      <c r="B642" s="1383"/>
      <c r="C642" s="1383"/>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 thickBot="1" x14ac:dyDescent="0.35">
      <c r="B643" s="1219" t="s">
        <v>1231</v>
      </c>
      <c r="C643" s="1381"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3">
      <c r="B644" s="1381" t="s">
        <v>1232</v>
      </c>
      <c r="C644" s="1382"/>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3">
      <c r="B645" s="1382"/>
      <c r="C645" s="1382"/>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3">
      <c r="B646" s="1382"/>
      <c r="C646" s="1382"/>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3">
      <c r="B647" s="1382"/>
      <c r="C647" s="1382"/>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3">
      <c r="B648" s="1382"/>
      <c r="C648" s="1382"/>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3">
      <c r="B649" s="1382"/>
      <c r="C649" s="1382"/>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3">
      <c r="B650" s="1382"/>
      <c r="C650" s="1382"/>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3">
      <c r="B651" s="1382"/>
      <c r="C651" s="1382"/>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3">
      <c r="B652" s="1382"/>
      <c r="C652" s="1382"/>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3">
      <c r="B653" s="1382"/>
      <c r="C653" s="1382"/>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3">
      <c r="B654" s="1382"/>
      <c r="C654" s="1382"/>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3">
      <c r="B655" s="1382"/>
      <c r="C655" s="1382"/>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3">
      <c r="B656" s="1382"/>
      <c r="C656" s="1382"/>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3">
      <c r="B657" s="1382"/>
      <c r="C657" s="1382"/>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3">
      <c r="B658" s="1382"/>
      <c r="C658" s="1382"/>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 thickBot="1" x14ac:dyDescent="0.35">
      <c r="B659" s="1383"/>
      <c r="C659" s="1383"/>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 thickBot="1" x14ac:dyDescent="0.35">
      <c r="B660" s="1219" t="s">
        <v>1233</v>
      </c>
      <c r="C660" s="1381"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3">
      <c r="B661" s="1381" t="s">
        <v>1234</v>
      </c>
      <c r="C661" s="1382"/>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3">
      <c r="B662" s="1382"/>
      <c r="C662" s="1382"/>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3">
      <c r="B663" s="1382"/>
      <c r="C663" s="1382"/>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3">
      <c r="B664" s="1382"/>
      <c r="C664" s="1382"/>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3">
      <c r="B665" s="1382"/>
      <c r="C665" s="1382"/>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3">
      <c r="B666" s="1382"/>
      <c r="C666" s="1382"/>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3">
      <c r="B667" s="1382"/>
      <c r="C667" s="1382"/>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3">
      <c r="B668" s="1382"/>
      <c r="C668" s="1382"/>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3">
      <c r="B669" s="1382"/>
      <c r="C669" s="1382"/>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3">
      <c r="B670" s="1382"/>
      <c r="C670" s="1382"/>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3">
      <c r="B671" s="1382"/>
      <c r="C671" s="1382"/>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3">
      <c r="B672" s="1382"/>
      <c r="C672" s="1382"/>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3">
      <c r="B673" s="1382"/>
      <c r="C673" s="1382"/>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3">
      <c r="B674" s="1382"/>
      <c r="C674" s="1382"/>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3">
      <c r="B675" s="1382"/>
      <c r="C675" s="1382"/>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 thickBot="1" x14ac:dyDescent="0.35">
      <c r="B676" s="1383"/>
      <c r="C676" s="1383"/>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 thickBot="1" x14ac:dyDescent="0.35">
      <c r="B677" s="556" t="s">
        <v>1197</v>
      </c>
      <c r="C677" s="1217"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 thickBot="1" x14ac:dyDescent="0.35">
      <c r="B678" s="1219" t="s">
        <v>1198</v>
      </c>
      <c r="C678" s="1381"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3">
      <c r="B679" s="1381" t="s">
        <v>1199</v>
      </c>
      <c r="C679" s="1382"/>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3">
      <c r="B680" s="1382"/>
      <c r="C680" s="1382"/>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3">
      <c r="B681" s="1382"/>
      <c r="C681" s="1382"/>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3">
      <c r="B682" s="1382"/>
      <c r="C682" s="1382"/>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3">
      <c r="B683" s="1382"/>
      <c r="C683" s="1382"/>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3">
      <c r="B684" s="1382"/>
      <c r="C684" s="1382"/>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3">
      <c r="B685" s="1382"/>
      <c r="C685" s="1382"/>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3">
      <c r="B686" s="1382"/>
      <c r="C686" s="1382"/>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3">
      <c r="B687" s="1382"/>
      <c r="C687" s="1382"/>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3">
      <c r="B688" s="1382"/>
      <c r="C688" s="1382"/>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3">
      <c r="B689" s="1382"/>
      <c r="C689" s="1382"/>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3">
      <c r="B690" s="1382"/>
      <c r="C690" s="1382"/>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3">
      <c r="B691" s="1382"/>
      <c r="C691" s="1382"/>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3">
      <c r="B692" s="1382"/>
      <c r="C692" s="1382"/>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3">
      <c r="B693" s="1382"/>
      <c r="C693" s="1382"/>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 thickBot="1" x14ac:dyDescent="0.35">
      <c r="B694" s="1383"/>
      <c r="C694" s="1383"/>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 thickBot="1" x14ac:dyDescent="0.35">
      <c r="B695" s="1219" t="s">
        <v>1200</v>
      </c>
      <c r="C695" s="1381"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3">
      <c r="B696" s="1381" t="s">
        <v>1201</v>
      </c>
      <c r="C696" s="1382"/>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3">
      <c r="B697" s="1382"/>
      <c r="C697" s="1382"/>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3">
      <c r="B698" s="1382"/>
      <c r="C698" s="1382"/>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3">
      <c r="B699" s="1382"/>
      <c r="C699" s="1382"/>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3">
      <c r="B700" s="1382"/>
      <c r="C700" s="1382"/>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3">
      <c r="B701" s="1382"/>
      <c r="C701" s="1382"/>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3">
      <c r="B702" s="1382"/>
      <c r="C702" s="1382"/>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3">
      <c r="B703" s="1382"/>
      <c r="C703" s="1382"/>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3">
      <c r="B704" s="1382"/>
      <c r="C704" s="1382"/>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3">
      <c r="B705" s="1382"/>
      <c r="C705" s="1382"/>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3">
      <c r="B706" s="1382"/>
      <c r="C706" s="1382"/>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3">
      <c r="B707" s="1382"/>
      <c r="C707" s="1382"/>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3">
      <c r="B708" s="1382"/>
      <c r="C708" s="1382"/>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3">
      <c r="B709" s="1382"/>
      <c r="C709" s="1382"/>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3">
      <c r="B710" s="1382"/>
      <c r="C710" s="1382"/>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 thickBot="1" x14ac:dyDescent="0.35">
      <c r="B711" s="1383"/>
      <c r="C711" s="1383"/>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 thickBot="1" x14ac:dyDescent="0.35">
      <c r="B712" s="1219" t="s">
        <v>1202</v>
      </c>
      <c r="C712" s="1381"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3">
      <c r="B713" s="1381" t="s">
        <v>1203</v>
      </c>
      <c r="C713" s="1382"/>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3">
      <c r="B714" s="1382"/>
      <c r="C714" s="1382"/>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3">
      <c r="B715" s="1382"/>
      <c r="C715" s="1382"/>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3">
      <c r="B716" s="1382"/>
      <c r="C716" s="1382"/>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3">
      <c r="B717" s="1382"/>
      <c r="C717" s="1382"/>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3">
      <c r="B718" s="1382"/>
      <c r="C718" s="1382"/>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3">
      <c r="B719" s="1382"/>
      <c r="C719" s="1382"/>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3">
      <c r="B720" s="1382"/>
      <c r="C720" s="1382"/>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3">
      <c r="B721" s="1382"/>
      <c r="C721" s="1382"/>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3">
      <c r="B722" s="1382"/>
      <c r="C722" s="1382"/>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3">
      <c r="B723" s="1382"/>
      <c r="C723" s="1382"/>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3">
      <c r="B724" s="1382"/>
      <c r="C724" s="1382"/>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3">
      <c r="B725" s="1382"/>
      <c r="C725" s="1382"/>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3">
      <c r="B726" s="1382"/>
      <c r="C726" s="1382"/>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3">
      <c r="B727" s="1382"/>
      <c r="C727" s="1382"/>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 thickBot="1" x14ac:dyDescent="0.35">
      <c r="B728" s="1383"/>
      <c r="C728" s="1383"/>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 thickBot="1" x14ac:dyDescent="0.35">
      <c r="B729" s="556" t="s">
        <v>1205</v>
      </c>
      <c r="C729" s="1217"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 thickBot="1" x14ac:dyDescent="0.35">
      <c r="B730" s="1219" t="s">
        <v>1206</v>
      </c>
      <c r="C730" s="1381"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3">
      <c r="B731" s="1381" t="s">
        <v>1207</v>
      </c>
      <c r="C731" s="1382"/>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3">
      <c r="B732" s="1382"/>
      <c r="C732" s="1382"/>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3">
      <c r="B733" s="1382"/>
      <c r="C733" s="1382"/>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3">
      <c r="B734" s="1382"/>
      <c r="C734" s="1382"/>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3">
      <c r="B735" s="1382"/>
      <c r="C735" s="1382"/>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3">
      <c r="B736" s="1382"/>
      <c r="C736" s="1382"/>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3">
      <c r="B737" s="1382"/>
      <c r="C737" s="1382"/>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3">
      <c r="B738" s="1382"/>
      <c r="C738" s="1382"/>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3">
      <c r="B739" s="1382"/>
      <c r="C739" s="1382"/>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3">
      <c r="B740" s="1382"/>
      <c r="C740" s="1382"/>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3">
      <c r="B741" s="1382"/>
      <c r="C741" s="1382"/>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3">
      <c r="B742" s="1382"/>
      <c r="C742" s="1382"/>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3">
      <c r="B743" s="1382"/>
      <c r="C743" s="1382"/>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3">
      <c r="B744" s="1382"/>
      <c r="C744" s="1382"/>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3">
      <c r="B745" s="1382"/>
      <c r="C745" s="1382"/>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 thickBot="1" x14ac:dyDescent="0.35">
      <c r="B746" s="1383"/>
      <c r="C746" s="1383"/>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 thickBot="1" x14ac:dyDescent="0.35">
      <c r="B747" s="1219" t="s">
        <v>1208</v>
      </c>
      <c r="C747" s="1381"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3">
      <c r="B748" s="1381" t="s">
        <v>1209</v>
      </c>
      <c r="C748" s="1382"/>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3">
      <c r="B749" s="1382"/>
      <c r="C749" s="1382"/>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3">
      <c r="B750" s="1382"/>
      <c r="C750" s="1382"/>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3">
      <c r="B751" s="1382"/>
      <c r="C751" s="1382"/>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3">
      <c r="B752" s="1382"/>
      <c r="C752" s="1382"/>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3">
      <c r="B753" s="1382"/>
      <c r="C753" s="1382"/>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3">
      <c r="B754" s="1382"/>
      <c r="C754" s="1382"/>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3">
      <c r="B755" s="1382"/>
      <c r="C755" s="1382"/>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3">
      <c r="B756" s="1382"/>
      <c r="C756" s="1382"/>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3">
      <c r="B757" s="1382"/>
      <c r="C757" s="1382"/>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3">
      <c r="B758" s="1382"/>
      <c r="C758" s="1382"/>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3">
      <c r="B759" s="1382"/>
      <c r="C759" s="1382"/>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3">
      <c r="B760" s="1382"/>
      <c r="C760" s="1382"/>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3">
      <c r="B761" s="1382"/>
      <c r="C761" s="1382"/>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3">
      <c r="B762" s="1382"/>
      <c r="C762" s="1382"/>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 thickBot="1" x14ac:dyDescent="0.35">
      <c r="B763" s="1383"/>
      <c r="C763" s="1383"/>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 thickBot="1" x14ac:dyDescent="0.35">
      <c r="B764" s="1219" t="s">
        <v>1210</v>
      </c>
      <c r="C764" s="1381"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3">
      <c r="B765" s="1381" t="s">
        <v>1211</v>
      </c>
      <c r="C765" s="1382"/>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3">
      <c r="B766" s="1382"/>
      <c r="C766" s="1382"/>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3">
      <c r="B767" s="1382"/>
      <c r="C767" s="1382"/>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3">
      <c r="B768" s="1382"/>
      <c r="C768" s="1382"/>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3">
      <c r="B769" s="1382"/>
      <c r="C769" s="1382"/>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3">
      <c r="B770" s="1382"/>
      <c r="C770" s="1382"/>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3">
      <c r="B771" s="1382"/>
      <c r="C771" s="1382"/>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3">
      <c r="B772" s="1382"/>
      <c r="C772" s="1382"/>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3">
      <c r="B773" s="1382"/>
      <c r="C773" s="1382"/>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3">
      <c r="B774" s="1382"/>
      <c r="C774" s="1382"/>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3">
      <c r="B775" s="1382"/>
      <c r="C775" s="1382"/>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3">
      <c r="B776" s="1382"/>
      <c r="C776" s="1382"/>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3">
      <c r="B777" s="1382"/>
      <c r="C777" s="1382"/>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3">
      <c r="B778" s="1382"/>
      <c r="C778" s="1382"/>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3">
      <c r="B779" s="1382"/>
      <c r="C779" s="1382"/>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 thickBot="1" x14ac:dyDescent="0.35">
      <c r="B780" s="1383"/>
      <c r="C780" s="1383"/>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 thickBot="1" x14ac:dyDescent="0.35">
      <c r="B781" s="556" t="s">
        <v>1213</v>
      </c>
      <c r="C781" s="1217"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 thickBot="1" x14ac:dyDescent="0.35">
      <c r="B782" s="1219" t="s">
        <v>1214</v>
      </c>
      <c r="C782" s="1381"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3">
      <c r="B783" s="1381" t="s">
        <v>1215</v>
      </c>
      <c r="C783" s="1382"/>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3">
      <c r="B784" s="1382"/>
      <c r="C784" s="1382"/>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3">
      <c r="B785" s="1382"/>
      <c r="C785" s="1382"/>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3">
      <c r="B786" s="1382"/>
      <c r="C786" s="1382"/>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3">
      <c r="B787" s="1382"/>
      <c r="C787" s="1382"/>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3">
      <c r="B788" s="1382"/>
      <c r="C788" s="1382"/>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3">
      <c r="B789" s="1382"/>
      <c r="C789" s="1382"/>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3">
      <c r="B790" s="1382"/>
      <c r="C790" s="1382"/>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3">
      <c r="B791" s="1382"/>
      <c r="C791" s="1382"/>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3">
      <c r="B792" s="1382"/>
      <c r="C792" s="1382"/>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3">
      <c r="B793" s="1382"/>
      <c r="C793" s="1382"/>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3">
      <c r="B794" s="1382"/>
      <c r="C794" s="1382"/>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3">
      <c r="B795" s="1382"/>
      <c r="C795" s="1382"/>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3">
      <c r="B796" s="1382"/>
      <c r="C796" s="1382"/>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3">
      <c r="B797" s="1382"/>
      <c r="C797" s="1382"/>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 thickBot="1" x14ac:dyDescent="0.35">
      <c r="B798" s="1383"/>
      <c r="C798" s="1383"/>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 thickBot="1" x14ac:dyDescent="0.35">
      <c r="B799" s="1219" t="s">
        <v>1216</v>
      </c>
      <c r="C799" s="1381"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3">
      <c r="B800" s="1381" t="s">
        <v>1217</v>
      </c>
      <c r="C800" s="1382"/>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3">
      <c r="B801" s="1382"/>
      <c r="C801" s="1382"/>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3">
      <c r="B802" s="1382"/>
      <c r="C802" s="1382"/>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3">
      <c r="B803" s="1382"/>
      <c r="C803" s="1382"/>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3">
      <c r="B804" s="1382"/>
      <c r="C804" s="1382"/>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3">
      <c r="B805" s="1382"/>
      <c r="C805" s="1382"/>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3">
      <c r="B806" s="1382"/>
      <c r="C806" s="1382"/>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3">
      <c r="B807" s="1382"/>
      <c r="C807" s="1382"/>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3">
      <c r="B808" s="1382"/>
      <c r="C808" s="1382"/>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3">
      <c r="B809" s="1382"/>
      <c r="C809" s="1382"/>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3">
      <c r="B810" s="1382"/>
      <c r="C810" s="1382"/>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3">
      <c r="B811" s="1382"/>
      <c r="C811" s="1382"/>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3">
      <c r="B812" s="1382"/>
      <c r="C812" s="1382"/>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3">
      <c r="B813" s="1382"/>
      <c r="C813" s="1382"/>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3">
      <c r="B814" s="1382"/>
      <c r="C814" s="1382"/>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 thickBot="1" x14ac:dyDescent="0.35">
      <c r="B815" s="1383"/>
      <c r="C815" s="1383"/>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 thickBot="1" x14ac:dyDescent="0.35">
      <c r="B816" s="1219" t="s">
        <v>1218</v>
      </c>
      <c r="C816" s="1381"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3">
      <c r="B817" s="1381" t="s">
        <v>1219</v>
      </c>
      <c r="C817" s="1382"/>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3">
      <c r="B818" s="1382"/>
      <c r="C818" s="1382"/>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3">
      <c r="B819" s="1382"/>
      <c r="C819" s="1382"/>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3">
      <c r="B820" s="1382"/>
      <c r="C820" s="1382"/>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3">
      <c r="B821" s="1382"/>
      <c r="C821" s="1382"/>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3">
      <c r="B822" s="1382"/>
      <c r="C822" s="1382"/>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3">
      <c r="B823" s="1382"/>
      <c r="C823" s="1382"/>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3">
      <c r="B824" s="1382"/>
      <c r="C824" s="1382"/>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3">
      <c r="B825" s="1382"/>
      <c r="C825" s="1382"/>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3">
      <c r="B826" s="1382"/>
      <c r="C826" s="1382"/>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3">
      <c r="B827" s="1382"/>
      <c r="C827" s="1382"/>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3">
      <c r="B828" s="1382"/>
      <c r="C828" s="1382"/>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3">
      <c r="B829" s="1382"/>
      <c r="C829" s="1382"/>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3">
      <c r="B830" s="1382"/>
      <c r="C830" s="1382"/>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3">
      <c r="B831" s="1382"/>
      <c r="C831" s="1382"/>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 thickBot="1" x14ac:dyDescent="0.35">
      <c r="B832" s="1383"/>
      <c r="C832" s="1383"/>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 thickBot="1" x14ac:dyDescent="0.35">
      <c r="B833" s="556" t="s">
        <v>1221</v>
      </c>
      <c r="C833" s="1217"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 thickBot="1" x14ac:dyDescent="0.35">
      <c r="B834" s="1219" t="s">
        <v>1222</v>
      </c>
      <c r="C834" s="1381"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3">
      <c r="B835" s="1381" t="s">
        <v>1223</v>
      </c>
      <c r="C835" s="1382"/>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3">
      <c r="B836" s="1382"/>
      <c r="C836" s="1382"/>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3">
      <c r="B837" s="1382"/>
      <c r="C837" s="1382"/>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3">
      <c r="B838" s="1382"/>
      <c r="C838" s="1382"/>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3">
      <c r="B839" s="1382"/>
      <c r="C839" s="1382"/>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3">
      <c r="B840" s="1382"/>
      <c r="C840" s="1382"/>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3">
      <c r="B841" s="1382"/>
      <c r="C841" s="1382"/>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3">
      <c r="B842" s="1382"/>
      <c r="C842" s="1382"/>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3">
      <c r="B843" s="1382"/>
      <c r="C843" s="1382"/>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3">
      <c r="B844" s="1382"/>
      <c r="C844" s="1382"/>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3">
      <c r="B845" s="1382"/>
      <c r="C845" s="1382"/>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3">
      <c r="B846" s="1382"/>
      <c r="C846" s="1382"/>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3">
      <c r="B847" s="1382"/>
      <c r="C847" s="1382"/>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3">
      <c r="B848" s="1382"/>
      <c r="C848" s="1382"/>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3">
      <c r="B849" s="1382"/>
      <c r="C849" s="1382"/>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 thickBot="1" x14ac:dyDescent="0.35">
      <c r="B850" s="1383"/>
      <c r="C850" s="1383"/>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 thickBot="1" x14ac:dyDescent="0.35">
      <c r="B851" s="1219" t="s">
        <v>1224</v>
      </c>
      <c r="C851" s="1381"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3">
      <c r="B852" s="1381" t="s">
        <v>1225</v>
      </c>
      <c r="C852" s="1382"/>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3">
      <c r="B853" s="1382"/>
      <c r="C853" s="1382"/>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3">
      <c r="B854" s="1382"/>
      <c r="C854" s="1382"/>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3">
      <c r="B855" s="1382"/>
      <c r="C855" s="1382"/>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3">
      <c r="B856" s="1382"/>
      <c r="C856" s="1382"/>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3">
      <c r="B857" s="1382"/>
      <c r="C857" s="1382"/>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3">
      <c r="B858" s="1382"/>
      <c r="C858" s="1382"/>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3">
      <c r="B859" s="1382"/>
      <c r="C859" s="1382"/>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3">
      <c r="B860" s="1382"/>
      <c r="C860" s="1382"/>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3">
      <c r="B861" s="1382"/>
      <c r="C861" s="1382"/>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3">
      <c r="B862" s="1382"/>
      <c r="C862" s="1382"/>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3">
      <c r="B863" s="1382"/>
      <c r="C863" s="1382"/>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3">
      <c r="B864" s="1382"/>
      <c r="C864" s="1382"/>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3">
      <c r="B865" s="1382"/>
      <c r="C865" s="1382"/>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3">
      <c r="B866" s="1382"/>
      <c r="C866" s="1382"/>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 thickBot="1" x14ac:dyDescent="0.35">
      <c r="B867" s="1383"/>
      <c r="C867" s="1383"/>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 thickBot="1" x14ac:dyDescent="0.35">
      <c r="B868" s="1219" t="s">
        <v>1226</v>
      </c>
      <c r="C868" s="1381"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3">
      <c r="B869" s="1381" t="s">
        <v>1227</v>
      </c>
      <c r="C869" s="1382"/>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3">
      <c r="B870" s="1382"/>
      <c r="C870" s="1382"/>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3">
      <c r="B871" s="1382"/>
      <c r="C871" s="1382"/>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3">
      <c r="B872" s="1382"/>
      <c r="C872" s="1382"/>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3">
      <c r="B873" s="1382"/>
      <c r="C873" s="1382"/>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3">
      <c r="B874" s="1382"/>
      <c r="C874" s="1382"/>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3">
      <c r="B875" s="1382"/>
      <c r="C875" s="1382"/>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3">
      <c r="B876" s="1382"/>
      <c r="C876" s="1382"/>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3">
      <c r="B877" s="1382"/>
      <c r="C877" s="1382"/>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3">
      <c r="B878" s="1382"/>
      <c r="C878" s="1382"/>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3">
      <c r="B879" s="1382"/>
      <c r="C879" s="1382"/>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3">
      <c r="B880" s="1382"/>
      <c r="C880" s="1382"/>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3">
      <c r="B881" s="1382"/>
      <c r="C881" s="1382"/>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3">
      <c r="B882" s="1382"/>
      <c r="C882" s="1382"/>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3">
      <c r="B883" s="1382"/>
      <c r="C883" s="1382"/>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 thickBot="1" x14ac:dyDescent="0.35">
      <c r="B884" s="1383"/>
      <c r="C884" s="1383"/>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 thickBot="1" x14ac:dyDescent="0.35">
      <c r="B885" s="556" t="s">
        <v>1032</v>
      </c>
      <c r="C885" s="1217"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 thickBot="1" x14ac:dyDescent="0.35">
      <c r="B886" s="1219" t="s">
        <v>1033</v>
      </c>
      <c r="C886" s="1381"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3">
      <c r="B887" s="1381" t="s">
        <v>1034</v>
      </c>
      <c r="C887" s="1382"/>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3">
      <c r="B888" s="1382"/>
      <c r="C888" s="1382"/>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3">
      <c r="B889" s="1382"/>
      <c r="C889" s="1382"/>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3">
      <c r="B890" s="1382"/>
      <c r="C890" s="1382"/>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3">
      <c r="B891" s="1382"/>
      <c r="C891" s="1382"/>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3">
      <c r="B892" s="1382"/>
      <c r="C892" s="1382"/>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3">
      <c r="B893" s="1382"/>
      <c r="C893" s="1382"/>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3">
      <c r="B894" s="1382"/>
      <c r="C894" s="1382"/>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3">
      <c r="B895" s="1382"/>
      <c r="C895" s="1382"/>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3">
      <c r="B896" s="1382"/>
      <c r="C896" s="1382"/>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3">
      <c r="B897" s="1382"/>
      <c r="C897" s="1382"/>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3">
      <c r="B898" s="1382"/>
      <c r="C898" s="1382"/>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3">
      <c r="B899" s="1382"/>
      <c r="C899" s="1382"/>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3">
      <c r="B900" s="1382"/>
      <c r="C900" s="1382"/>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3">
      <c r="B901" s="1382"/>
      <c r="C901" s="1382"/>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 thickBot="1" x14ac:dyDescent="0.35">
      <c r="B902" s="1383"/>
      <c r="C902" s="1383"/>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 thickBot="1" x14ac:dyDescent="0.35">
      <c r="B903" s="1219" t="s">
        <v>1035</v>
      </c>
      <c r="C903" s="1381"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3">
      <c r="B904" s="1381" t="s">
        <v>1036</v>
      </c>
      <c r="C904" s="1382"/>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3">
      <c r="B905" s="1382"/>
      <c r="C905" s="1382"/>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3">
      <c r="B906" s="1382"/>
      <c r="C906" s="1382"/>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3">
      <c r="B907" s="1382"/>
      <c r="C907" s="1382"/>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3">
      <c r="B908" s="1382"/>
      <c r="C908" s="1382"/>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3">
      <c r="B909" s="1382"/>
      <c r="C909" s="1382"/>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3">
      <c r="B910" s="1382"/>
      <c r="C910" s="1382"/>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3">
      <c r="B911" s="1382"/>
      <c r="C911" s="1382"/>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3">
      <c r="B912" s="1382"/>
      <c r="C912" s="1382"/>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3">
      <c r="B913" s="1382"/>
      <c r="C913" s="1382"/>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3">
      <c r="B914" s="1382"/>
      <c r="C914" s="1382"/>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3">
      <c r="B915" s="1382"/>
      <c r="C915" s="1382"/>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3">
      <c r="B916" s="1382"/>
      <c r="C916" s="1382"/>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3">
      <c r="B917" s="1382"/>
      <c r="C917" s="1382"/>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3">
      <c r="B918" s="1382"/>
      <c r="C918" s="1382"/>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 thickBot="1" x14ac:dyDescent="0.35">
      <c r="B919" s="1383"/>
      <c r="C919" s="1383"/>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 thickBot="1" x14ac:dyDescent="0.35">
      <c r="B920" s="1219" t="s">
        <v>1037</v>
      </c>
      <c r="C920" s="1381"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3">
      <c r="B921" s="1381" t="s">
        <v>1038</v>
      </c>
      <c r="C921" s="1382"/>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3">
      <c r="B922" s="1382"/>
      <c r="C922" s="1382"/>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3">
      <c r="B923" s="1382"/>
      <c r="C923" s="1382"/>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3">
      <c r="B924" s="1382"/>
      <c r="C924" s="1382"/>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3">
      <c r="B925" s="1382"/>
      <c r="C925" s="1382"/>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3">
      <c r="B926" s="1382"/>
      <c r="C926" s="1382"/>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3">
      <c r="B927" s="1382"/>
      <c r="C927" s="1382"/>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3">
      <c r="B928" s="1382"/>
      <c r="C928" s="1382"/>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3">
      <c r="B929" s="1382"/>
      <c r="C929" s="1382"/>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3">
      <c r="B930" s="1382"/>
      <c r="C930" s="1382"/>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3">
      <c r="B931" s="1382"/>
      <c r="C931" s="1382"/>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3">
      <c r="B932" s="1382"/>
      <c r="C932" s="1382"/>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3">
      <c r="B933" s="1382"/>
      <c r="C933" s="1382"/>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3">
      <c r="B934" s="1382"/>
      <c r="C934" s="1382"/>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3">
      <c r="B935" s="1382"/>
      <c r="C935" s="1382"/>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 thickBot="1" x14ac:dyDescent="0.35">
      <c r="B936" s="1383"/>
      <c r="C936" s="1383"/>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 thickBot="1" x14ac:dyDescent="0.35">
      <c r="B937" s="556" t="s">
        <v>1039</v>
      </c>
      <c r="C937" s="1217"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 thickBot="1" x14ac:dyDescent="0.35">
      <c r="B938" s="1219" t="s">
        <v>1040</v>
      </c>
      <c r="C938" s="1381"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3">
      <c r="B939" s="1381" t="s">
        <v>1041</v>
      </c>
      <c r="C939" s="1382"/>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3">
      <c r="B940" s="1382"/>
      <c r="C940" s="1382"/>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3">
      <c r="B941" s="1382"/>
      <c r="C941" s="1382"/>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3">
      <c r="B942" s="1382"/>
      <c r="C942" s="1382"/>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3">
      <c r="B943" s="1382"/>
      <c r="C943" s="1382"/>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3">
      <c r="B944" s="1382"/>
      <c r="C944" s="1382"/>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3">
      <c r="B945" s="1382"/>
      <c r="C945" s="1382"/>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3">
      <c r="B946" s="1382"/>
      <c r="C946" s="1382"/>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3">
      <c r="B947" s="1382"/>
      <c r="C947" s="1382"/>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3">
      <c r="B948" s="1382"/>
      <c r="C948" s="1382"/>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3">
      <c r="B949" s="1382"/>
      <c r="C949" s="1382"/>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3">
      <c r="B950" s="1382"/>
      <c r="C950" s="1382"/>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3">
      <c r="B951" s="1382"/>
      <c r="C951" s="1382"/>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3">
      <c r="B952" s="1382"/>
      <c r="C952" s="1382"/>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3">
      <c r="B953" s="1382"/>
      <c r="C953" s="1382"/>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 thickBot="1" x14ac:dyDescent="0.35">
      <c r="B954" s="1383"/>
      <c r="C954" s="1383"/>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 thickBot="1" x14ac:dyDescent="0.35">
      <c r="B955" s="1219" t="s">
        <v>1042</v>
      </c>
      <c r="C955" s="1381"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3">
      <c r="B956" s="1381" t="s">
        <v>1043</v>
      </c>
      <c r="C956" s="1382"/>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3">
      <c r="B957" s="1382"/>
      <c r="C957" s="1382"/>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3">
      <c r="B958" s="1382"/>
      <c r="C958" s="1382"/>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3">
      <c r="B959" s="1382"/>
      <c r="C959" s="1382"/>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3">
      <c r="B960" s="1382"/>
      <c r="C960" s="1382"/>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3">
      <c r="B961" s="1382"/>
      <c r="C961" s="1382"/>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3">
      <c r="B962" s="1382"/>
      <c r="C962" s="1382"/>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3">
      <c r="B963" s="1382"/>
      <c r="C963" s="1382"/>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3">
      <c r="B964" s="1382"/>
      <c r="C964" s="1382"/>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3">
      <c r="B965" s="1382"/>
      <c r="C965" s="1382"/>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3">
      <c r="B966" s="1382"/>
      <c r="C966" s="1382"/>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3">
      <c r="B967" s="1382"/>
      <c r="C967" s="1382"/>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3">
      <c r="B968" s="1382"/>
      <c r="C968" s="1382"/>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3">
      <c r="B969" s="1382"/>
      <c r="C969" s="1382"/>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3">
      <c r="B970" s="1382"/>
      <c r="C970" s="1382"/>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 thickBot="1" x14ac:dyDescent="0.35">
      <c r="B971" s="1383"/>
      <c r="C971" s="1383"/>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 thickBot="1" x14ac:dyDescent="0.35">
      <c r="B972" s="1219" t="s">
        <v>1044</v>
      </c>
      <c r="C972" s="1381"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3">
      <c r="B973" s="1381" t="s">
        <v>1045</v>
      </c>
      <c r="C973" s="1382"/>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3">
      <c r="B974" s="1382"/>
      <c r="C974" s="1382"/>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3">
      <c r="B975" s="1382"/>
      <c r="C975" s="1382"/>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3">
      <c r="B976" s="1382"/>
      <c r="C976" s="1382"/>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3">
      <c r="B977" s="1382"/>
      <c r="C977" s="1382"/>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3">
      <c r="B978" s="1382"/>
      <c r="C978" s="1382"/>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3">
      <c r="B979" s="1382"/>
      <c r="C979" s="1382"/>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3">
      <c r="B980" s="1382"/>
      <c r="C980" s="1382"/>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3">
      <c r="B981" s="1382"/>
      <c r="C981" s="1382"/>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3">
      <c r="B982" s="1382"/>
      <c r="C982" s="1382"/>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3">
      <c r="B983" s="1382"/>
      <c r="C983" s="1382"/>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3">
      <c r="B984" s="1382"/>
      <c r="C984" s="1382"/>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3">
      <c r="B985" s="1382"/>
      <c r="C985" s="1382"/>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3">
      <c r="B986" s="1382"/>
      <c r="C986" s="1382"/>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3">
      <c r="B987" s="1382"/>
      <c r="C987" s="1382"/>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 thickBot="1" x14ac:dyDescent="0.35">
      <c r="B988" s="1383"/>
      <c r="C988" s="1383"/>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 thickBot="1" x14ac:dyDescent="0.35">
      <c r="B989" s="526" t="s">
        <v>1046</v>
      </c>
      <c r="C989" s="1217"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 thickBot="1" x14ac:dyDescent="0.35">
      <c r="B990" s="1219" t="s">
        <v>1047</v>
      </c>
      <c r="C990" s="1381"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3">
      <c r="B991" s="1381" t="s">
        <v>1048</v>
      </c>
      <c r="C991" s="1382"/>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3">
      <c r="B992" s="1382"/>
      <c r="C992" s="1382"/>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3">
      <c r="B993" s="1382"/>
      <c r="C993" s="1382"/>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3">
      <c r="B994" s="1382"/>
      <c r="C994" s="1382"/>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3">
      <c r="B995" s="1382"/>
      <c r="C995" s="1382"/>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3">
      <c r="B996" s="1382"/>
      <c r="C996" s="1382"/>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3">
      <c r="B997" s="1382"/>
      <c r="C997" s="1382"/>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3">
      <c r="B998" s="1382"/>
      <c r="C998" s="1382"/>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3">
      <c r="B999" s="1382"/>
      <c r="C999" s="1382"/>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3">
      <c r="B1000" s="1382"/>
      <c r="C1000" s="1382"/>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3">
      <c r="B1001" s="1382"/>
      <c r="C1001" s="1382"/>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3">
      <c r="B1002" s="1382"/>
      <c r="C1002" s="1382"/>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3">
      <c r="B1003" s="1382"/>
      <c r="C1003" s="1382"/>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3">
      <c r="B1004" s="1382"/>
      <c r="C1004" s="1382"/>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3">
      <c r="B1005" s="1382"/>
      <c r="C1005" s="1382"/>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 thickBot="1" x14ac:dyDescent="0.35">
      <c r="B1006" s="1383"/>
      <c r="C1006" s="1383"/>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 thickBot="1" x14ac:dyDescent="0.35">
      <c r="B1007" s="1219" t="s">
        <v>1049</v>
      </c>
      <c r="C1007" s="1381"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3">
      <c r="B1008" s="1381" t="s">
        <v>1050</v>
      </c>
      <c r="C1008" s="1382"/>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3">
      <c r="B1009" s="1382"/>
      <c r="C1009" s="1382"/>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3">
      <c r="B1010" s="1382"/>
      <c r="C1010" s="1382"/>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3">
      <c r="B1011" s="1382"/>
      <c r="C1011" s="1382"/>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3">
      <c r="B1012" s="1382"/>
      <c r="C1012" s="1382"/>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3">
      <c r="B1013" s="1382"/>
      <c r="C1013" s="1382"/>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3">
      <c r="B1014" s="1382"/>
      <c r="C1014" s="1382"/>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3">
      <c r="B1015" s="1382"/>
      <c r="C1015" s="1382"/>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3">
      <c r="B1016" s="1382"/>
      <c r="C1016" s="1382"/>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3">
      <c r="B1017" s="1382"/>
      <c r="C1017" s="1382"/>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3">
      <c r="B1018" s="1382"/>
      <c r="C1018" s="1382"/>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3">
      <c r="B1019" s="1382"/>
      <c r="C1019" s="1382"/>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3">
      <c r="B1020" s="1382"/>
      <c r="C1020" s="1382"/>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3">
      <c r="B1021" s="1382"/>
      <c r="C1021" s="1382"/>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3">
      <c r="B1022" s="1382"/>
      <c r="C1022" s="1382"/>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 thickBot="1" x14ac:dyDescent="0.35">
      <c r="B1023" s="1383"/>
      <c r="C1023" s="1383"/>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294"/>
      <c r="AN1023" s="1294"/>
      <c r="AO1023" s="1294"/>
      <c r="AP1023" s="1295"/>
      <c r="AQ1023" s="1295"/>
      <c r="AR1023" s="1295"/>
      <c r="AS1023" s="1294"/>
      <c r="AT1023" s="1295"/>
      <c r="AU1023" s="1295"/>
      <c r="AV1023" s="1295"/>
      <c r="AW1023" s="1295"/>
      <c r="AX1023" s="1294"/>
      <c r="AY1023" s="1295"/>
      <c r="AZ1023" s="1295"/>
      <c r="BA1023" s="1295"/>
      <c r="BB1023" s="1296"/>
      <c r="BC1023" s="1296"/>
      <c r="BD1023" s="1296"/>
      <c r="BE1023" s="1296"/>
      <c r="BF1023" s="1296"/>
      <c r="BG1023" s="1296"/>
      <c r="BH1023" s="1296"/>
      <c r="BI1023" s="1296"/>
      <c r="BJ1023" s="1296"/>
      <c r="BK1023" s="1296"/>
      <c r="BL1023" s="1296"/>
      <c r="BM1023" s="1296"/>
      <c r="BN1023" s="1296"/>
      <c r="BO1023" s="1296"/>
      <c r="BP1023" s="1296"/>
      <c r="BQ1023" s="1296"/>
      <c r="BR1023" s="1296"/>
      <c r="BS1023" s="1296"/>
      <c r="BT1023" s="1296"/>
      <c r="BU1023" s="1296"/>
      <c r="BV1023" s="1296"/>
      <c r="BW1023" s="1296"/>
      <c r="BX1023" s="1296"/>
      <c r="BY1023" s="1296"/>
      <c r="BZ1023" s="1296"/>
      <c r="CA1023" s="1296"/>
      <c r="CB1023" s="1296"/>
      <c r="CC1023" s="1296"/>
      <c r="CD1023" s="1296"/>
      <c r="CE1023" s="1296"/>
      <c r="CF1023" s="1296"/>
      <c r="CG1023" s="1296"/>
      <c r="CH1023" s="1296"/>
      <c r="CI1023" s="1296"/>
      <c r="CJ1023" s="1296"/>
      <c r="CK1023" s="1296"/>
      <c r="CL1023" s="1296"/>
      <c r="CM1023" s="1296"/>
      <c r="CN1023" s="1296"/>
      <c r="CO1023" s="1296"/>
      <c r="CP1023" s="1296"/>
      <c r="CQ1023" s="1296"/>
      <c r="CR1023" s="1296"/>
      <c r="CS1023" s="1296"/>
      <c r="CT1023" s="1296"/>
      <c r="CU1023" s="1296"/>
      <c r="CV1023" s="1296"/>
      <c r="CW1023" s="1296"/>
      <c r="CX1023" s="1296"/>
      <c r="CY1023" s="1296"/>
      <c r="CZ1023" s="1296"/>
      <c r="DA1023" s="1296"/>
      <c r="DB1023" s="1296"/>
    </row>
    <row r="1024" spans="2:106" ht="15" thickBot="1" x14ac:dyDescent="0.35">
      <c r="B1024" s="1219" t="s">
        <v>1051</v>
      </c>
      <c r="C1024" s="1381"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292"/>
      <c r="AM1024" s="1297"/>
      <c r="AN1024" s="1297"/>
      <c r="AO1024" s="1297"/>
      <c r="AP1024" s="596"/>
      <c r="AQ1024" s="596"/>
      <c r="AR1024" s="596"/>
      <c r="AS1024" s="1297"/>
      <c r="AT1024" s="596"/>
      <c r="AU1024" s="596"/>
      <c r="AV1024" s="596"/>
      <c r="AW1024" s="596"/>
      <c r="AX1024" s="1297"/>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3">
      <c r="B1025" s="1381" t="s">
        <v>1052</v>
      </c>
      <c r="C1025" s="1382"/>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293"/>
      <c r="AM1025" s="1297"/>
      <c r="AN1025" s="1297"/>
      <c r="AO1025" s="1297"/>
      <c r="AP1025" s="596"/>
      <c r="AQ1025" s="596"/>
      <c r="AR1025" s="596"/>
      <c r="AS1025" s="1297"/>
      <c r="AT1025" s="596"/>
      <c r="AU1025" s="596"/>
      <c r="AV1025" s="596"/>
      <c r="AW1025" s="596"/>
      <c r="AX1025" s="1297"/>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3">
      <c r="B1026" s="1382"/>
      <c r="C1026" s="1382"/>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297"/>
      <c r="AN1026" s="1297"/>
      <c r="AO1026" s="1297"/>
      <c r="AP1026" s="596"/>
      <c r="AQ1026" s="596"/>
      <c r="AR1026" s="596"/>
      <c r="AS1026" s="1297"/>
      <c r="AT1026" s="596"/>
      <c r="AU1026" s="596"/>
      <c r="AV1026" s="596"/>
      <c r="AW1026" s="596"/>
      <c r="AX1026" s="1297"/>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3">
      <c r="B1027" s="1382"/>
      <c r="C1027" s="1382"/>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297"/>
      <c r="AN1027" s="1297"/>
      <c r="AO1027" s="1297"/>
      <c r="AP1027" s="596"/>
      <c r="AQ1027" s="596"/>
      <c r="AR1027" s="596"/>
      <c r="AS1027" s="1297"/>
      <c r="AT1027" s="596"/>
      <c r="AU1027" s="596"/>
      <c r="AV1027" s="596"/>
      <c r="AW1027" s="596"/>
      <c r="AX1027" s="1297"/>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3">
      <c r="B1028" s="1382"/>
      <c r="C1028" s="1382"/>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297"/>
      <c r="AN1028" s="1297"/>
      <c r="AO1028" s="1297"/>
      <c r="AP1028" s="596"/>
      <c r="AQ1028" s="596"/>
      <c r="AR1028" s="596"/>
      <c r="AS1028" s="1297"/>
      <c r="AT1028" s="596"/>
      <c r="AU1028" s="596"/>
      <c r="AV1028" s="596"/>
      <c r="AW1028" s="596"/>
      <c r="AX1028" s="1297"/>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3">
      <c r="B1029" s="1382"/>
      <c r="C1029" s="1382"/>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297"/>
      <c r="AN1029" s="1297"/>
      <c r="AO1029" s="1297"/>
      <c r="AP1029" s="596"/>
      <c r="AQ1029" s="596"/>
      <c r="AR1029" s="596"/>
      <c r="AS1029" s="1297"/>
      <c r="AT1029" s="596"/>
      <c r="AU1029" s="596"/>
      <c r="AV1029" s="596"/>
      <c r="AW1029" s="596"/>
      <c r="AX1029" s="1297"/>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3">
      <c r="B1030" s="1382"/>
      <c r="C1030" s="1382"/>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297"/>
      <c r="AN1030" s="1297"/>
      <c r="AO1030" s="1297"/>
      <c r="AP1030" s="596"/>
      <c r="AQ1030" s="596"/>
      <c r="AR1030" s="596"/>
      <c r="AS1030" s="1297"/>
      <c r="AT1030" s="596"/>
      <c r="AU1030" s="596"/>
      <c r="AV1030" s="596"/>
      <c r="AW1030" s="596"/>
      <c r="AX1030" s="1297"/>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3">
      <c r="B1031" s="1382"/>
      <c r="C1031" s="1382"/>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297"/>
      <c r="AN1031" s="1297"/>
      <c r="AO1031" s="1297"/>
      <c r="AP1031" s="596"/>
      <c r="AQ1031" s="596"/>
      <c r="AR1031" s="596"/>
      <c r="AS1031" s="1297"/>
      <c r="AT1031" s="596"/>
      <c r="AU1031" s="596"/>
      <c r="AV1031" s="596"/>
      <c r="AW1031" s="596"/>
      <c r="AX1031" s="1297"/>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3">
      <c r="B1032" s="1382"/>
      <c r="C1032" s="1382"/>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297"/>
      <c r="AN1032" s="1297"/>
      <c r="AO1032" s="1297"/>
      <c r="AP1032" s="596"/>
      <c r="AQ1032" s="596"/>
      <c r="AR1032" s="596"/>
      <c r="AS1032" s="1297"/>
      <c r="AT1032" s="596"/>
      <c r="AU1032" s="596"/>
      <c r="AV1032" s="596"/>
      <c r="AW1032" s="596"/>
      <c r="AX1032" s="1297"/>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3">
      <c r="B1033" s="1382"/>
      <c r="C1033" s="1382"/>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297"/>
      <c r="AN1033" s="1297"/>
      <c r="AO1033" s="1297"/>
      <c r="AP1033" s="596"/>
      <c r="AQ1033" s="596"/>
      <c r="AR1033" s="596"/>
      <c r="AS1033" s="1297"/>
      <c r="AT1033" s="596"/>
      <c r="AU1033" s="596"/>
      <c r="AV1033" s="596"/>
      <c r="AW1033" s="596"/>
      <c r="AX1033" s="1297"/>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3">
      <c r="B1034" s="1382"/>
      <c r="C1034" s="1382"/>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297"/>
      <c r="AN1034" s="1297"/>
      <c r="AO1034" s="1297"/>
      <c r="AP1034" s="596"/>
      <c r="AQ1034" s="596"/>
      <c r="AR1034" s="596"/>
      <c r="AS1034" s="1297"/>
      <c r="AT1034" s="596"/>
      <c r="AU1034" s="596"/>
      <c r="AV1034" s="596"/>
      <c r="AW1034" s="596"/>
      <c r="AX1034" s="1297"/>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3">
      <c r="B1035" s="1382"/>
      <c r="C1035" s="1382"/>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297"/>
      <c r="AN1035" s="1297"/>
      <c r="AO1035" s="1297"/>
      <c r="AP1035" s="596"/>
      <c r="AQ1035" s="596"/>
      <c r="AR1035" s="596"/>
      <c r="AS1035" s="1297"/>
      <c r="AT1035" s="596"/>
      <c r="AU1035" s="596"/>
      <c r="AV1035" s="596"/>
      <c r="AW1035" s="596"/>
      <c r="AX1035" s="1297"/>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3">
      <c r="B1036" s="1382"/>
      <c r="C1036" s="1382"/>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297"/>
      <c r="AN1036" s="1297"/>
      <c r="AO1036" s="1297"/>
      <c r="AP1036" s="596"/>
      <c r="AQ1036" s="596"/>
      <c r="AR1036" s="596"/>
      <c r="AS1036" s="1297"/>
      <c r="AT1036" s="596"/>
      <c r="AU1036" s="596"/>
      <c r="AV1036" s="596"/>
      <c r="AW1036" s="596"/>
      <c r="AX1036" s="1297"/>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3">
      <c r="B1037" s="1382"/>
      <c r="C1037" s="1382"/>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297"/>
      <c r="AN1037" s="1297"/>
      <c r="AO1037" s="1297"/>
      <c r="AP1037" s="596"/>
      <c r="AQ1037" s="596"/>
      <c r="AR1037" s="596"/>
      <c r="AS1037" s="1297"/>
      <c r="AT1037" s="596"/>
      <c r="AU1037" s="596"/>
      <c r="AV1037" s="596"/>
      <c r="AW1037" s="596"/>
      <c r="AX1037" s="1297"/>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3">
      <c r="B1038" s="1382"/>
      <c r="C1038" s="1382"/>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297"/>
      <c r="AN1038" s="1297"/>
      <c r="AO1038" s="1297"/>
      <c r="AP1038" s="596"/>
      <c r="AQ1038" s="596"/>
      <c r="AR1038" s="596"/>
      <c r="AS1038" s="1297"/>
      <c r="AT1038" s="596"/>
      <c r="AU1038" s="596"/>
      <c r="AV1038" s="596"/>
      <c r="AW1038" s="596"/>
      <c r="AX1038" s="1297"/>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3">
      <c r="B1039" s="1382"/>
      <c r="C1039" s="1382"/>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297"/>
      <c r="AN1039" s="1297"/>
      <c r="AO1039" s="1297"/>
      <c r="AP1039" s="596"/>
      <c r="AQ1039" s="596"/>
      <c r="AR1039" s="596"/>
      <c r="AS1039" s="1297"/>
      <c r="AT1039" s="596"/>
      <c r="AU1039" s="596"/>
      <c r="AV1039" s="596"/>
      <c r="AW1039" s="596"/>
      <c r="AX1039" s="1297"/>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 thickBot="1" x14ac:dyDescent="0.35">
      <c r="B1040" s="1383"/>
      <c r="C1040" s="1383"/>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297"/>
      <c r="AN1040" s="1297"/>
      <c r="AO1040" s="1297"/>
      <c r="AP1040" s="596"/>
      <c r="AQ1040" s="596"/>
      <c r="AR1040" s="596"/>
      <c r="AS1040" s="1297"/>
      <c r="AT1040" s="596"/>
      <c r="AU1040" s="596"/>
      <c r="AV1040" s="596"/>
      <c r="AW1040" s="596"/>
      <c r="AX1040" s="1297"/>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 thickBot="1" x14ac:dyDescent="0.35">
      <c r="B1041" s="1283" t="s">
        <v>1556</v>
      </c>
      <c r="C1041" s="1289" t="s">
        <v>296</v>
      </c>
      <c r="D1041" s="1284" t="s">
        <v>296</v>
      </c>
      <c r="E1041" s="1297"/>
      <c r="F1041" s="1297"/>
      <c r="G1041" s="1297"/>
      <c r="H1041" s="1297"/>
      <c r="I1041" s="1297"/>
      <c r="J1041" s="1297"/>
      <c r="K1041" s="1297"/>
      <c r="L1041" s="1297"/>
      <c r="M1041" s="1297"/>
      <c r="N1041" s="1297"/>
      <c r="O1041" s="1297"/>
      <c r="P1041" s="1297"/>
      <c r="Q1041" s="1297"/>
      <c r="R1041" s="1297"/>
      <c r="S1041" s="1297"/>
      <c r="T1041" s="1297"/>
      <c r="U1041" s="1297"/>
      <c r="V1041" s="1297"/>
      <c r="W1041" s="1297"/>
      <c r="X1041" s="1297"/>
      <c r="Y1041" s="1297"/>
      <c r="Z1041" s="1297"/>
      <c r="AA1041" s="1297"/>
      <c r="AB1041" s="1297"/>
      <c r="AC1041" s="1297"/>
      <c r="AD1041" s="1297"/>
      <c r="AE1041" s="1297"/>
      <c r="AF1041" s="1297"/>
      <c r="AG1041" s="1297"/>
      <c r="AH1041" s="1297"/>
      <c r="AI1041" s="1297"/>
      <c r="AJ1041" s="1297"/>
      <c r="AK1041" s="1297"/>
      <c r="AL1041" s="1298">
        <v>5</v>
      </c>
      <c r="AM1041" s="1297"/>
      <c r="AN1041" s="1297"/>
      <c r="AO1041" s="1298">
        <v>5</v>
      </c>
      <c r="AP1041" s="596"/>
      <c r="AQ1041" s="596"/>
      <c r="AR1041" s="596"/>
      <c r="AS1041" s="1297"/>
      <c r="AT1041" s="596"/>
      <c r="AU1041" s="596"/>
      <c r="AV1041" s="596"/>
      <c r="AW1041" s="596"/>
      <c r="AX1041" s="1297"/>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3">
      <c r="B1042" s="1291" t="s">
        <v>1557</v>
      </c>
      <c r="C1042" s="1289" t="s">
        <v>734</v>
      </c>
      <c r="D1042" s="1284" t="s">
        <v>735</v>
      </c>
      <c r="E1042" s="1297"/>
      <c r="F1042" s="1297"/>
      <c r="G1042" s="1297"/>
      <c r="H1042" s="1297"/>
      <c r="I1042" s="1297"/>
      <c r="J1042" s="1297"/>
      <c r="K1042" s="1297"/>
      <c r="L1042" s="1297"/>
      <c r="M1042" s="1297"/>
      <c r="N1042" s="1297"/>
      <c r="O1042" s="1297"/>
      <c r="P1042" s="1297"/>
      <c r="Q1042" s="1297"/>
      <c r="R1042" s="1297"/>
      <c r="S1042" s="1297"/>
      <c r="T1042" s="1297"/>
      <c r="U1042" s="1297"/>
      <c r="V1042" s="1297"/>
      <c r="W1042" s="1297"/>
      <c r="X1042" s="1297"/>
      <c r="Y1042" s="1297"/>
      <c r="Z1042" s="1297"/>
      <c r="AA1042" s="1297"/>
      <c r="AB1042" s="1297"/>
      <c r="AC1042" s="1297"/>
      <c r="AD1042" s="1297"/>
      <c r="AE1042" s="1297"/>
      <c r="AF1042" s="1297"/>
      <c r="AG1042" s="1297"/>
      <c r="AH1042" s="1297"/>
      <c r="AI1042" s="1297"/>
      <c r="AJ1042" s="1297"/>
      <c r="AK1042" s="1297"/>
      <c r="AL1042" s="1299" t="s">
        <v>741</v>
      </c>
      <c r="AM1042" s="1297"/>
      <c r="AN1042" s="1297"/>
      <c r="AO1042" s="1299" t="s">
        <v>741</v>
      </c>
      <c r="AP1042" s="596"/>
      <c r="AQ1042" s="596"/>
      <c r="AR1042" s="596"/>
      <c r="AS1042" s="1297"/>
      <c r="AT1042" s="596"/>
      <c r="AU1042" s="596"/>
      <c r="AV1042" s="596"/>
      <c r="AW1042" s="596"/>
      <c r="AX1042" s="1297"/>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3">
      <c r="B1043" s="1285" t="s">
        <v>1558</v>
      </c>
      <c r="C1043" s="522"/>
      <c r="D1043" s="1286" t="s">
        <v>738</v>
      </c>
      <c r="E1043" s="1297"/>
      <c r="F1043" s="1297"/>
      <c r="G1043" s="1297"/>
      <c r="H1043" s="1297"/>
      <c r="I1043" s="1297"/>
      <c r="J1043" s="1297"/>
      <c r="K1043" s="1297"/>
      <c r="L1043" s="1297"/>
      <c r="M1043" s="1297"/>
      <c r="N1043" s="1297"/>
      <c r="O1043" s="1297"/>
      <c r="P1043" s="1297"/>
      <c r="Q1043" s="1297"/>
      <c r="R1043" s="1297"/>
      <c r="S1043" s="1297"/>
      <c r="T1043" s="1297"/>
      <c r="U1043" s="1297"/>
      <c r="V1043" s="1297"/>
      <c r="W1043" s="1297"/>
      <c r="X1043" s="1297"/>
      <c r="Y1043" s="1297"/>
      <c r="Z1043" s="1297"/>
      <c r="AA1043" s="1297"/>
      <c r="AB1043" s="1297"/>
      <c r="AC1043" s="1297"/>
      <c r="AD1043" s="1297"/>
      <c r="AE1043" s="1297"/>
      <c r="AF1043" s="1297"/>
      <c r="AG1043" s="1297"/>
      <c r="AH1043" s="1297"/>
      <c r="AI1043" s="1297"/>
      <c r="AJ1043" s="1297"/>
      <c r="AK1043" s="1297"/>
      <c r="AL1043" s="1298" t="s">
        <v>736</v>
      </c>
      <c r="AM1043" s="1297"/>
      <c r="AN1043" s="1297"/>
      <c r="AO1043" s="1298" t="s">
        <v>736</v>
      </c>
      <c r="AP1043" s="596"/>
      <c r="AQ1043" s="596"/>
      <c r="AR1043" s="596"/>
      <c r="AS1043" s="1297"/>
      <c r="AT1043" s="596"/>
      <c r="AU1043" s="596"/>
      <c r="AV1043" s="596"/>
      <c r="AW1043" s="596"/>
      <c r="AX1043" s="1297"/>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3">
      <c r="B1044" s="1285"/>
      <c r="C1044" s="522"/>
      <c r="D1044" s="1286" t="s">
        <v>739</v>
      </c>
      <c r="E1044" s="1297"/>
      <c r="F1044" s="1297"/>
      <c r="G1044" s="1297"/>
      <c r="H1044" s="1297"/>
      <c r="I1044" s="1297"/>
      <c r="J1044" s="1297"/>
      <c r="K1044" s="1297"/>
      <c r="L1044" s="1297"/>
      <c r="M1044" s="1297"/>
      <c r="N1044" s="1297"/>
      <c r="O1044" s="1297"/>
      <c r="P1044" s="1297"/>
      <c r="Q1044" s="1297"/>
      <c r="R1044" s="1297"/>
      <c r="S1044" s="1297"/>
      <c r="T1044" s="1297"/>
      <c r="U1044" s="1297"/>
      <c r="V1044" s="1297"/>
      <c r="W1044" s="1297"/>
      <c r="X1044" s="1297"/>
      <c r="Y1044" s="1297"/>
      <c r="Z1044" s="1297"/>
      <c r="AA1044" s="1297"/>
      <c r="AB1044" s="1297"/>
      <c r="AC1044" s="1297"/>
      <c r="AD1044" s="1297"/>
      <c r="AE1044" s="1297"/>
      <c r="AF1044" s="1297"/>
      <c r="AG1044" s="1297"/>
      <c r="AH1044" s="1297"/>
      <c r="AI1044" s="1297"/>
      <c r="AJ1044" s="1297"/>
      <c r="AK1044" s="1297"/>
      <c r="AL1044" s="1298" t="s">
        <v>736</v>
      </c>
      <c r="AM1044" s="1297"/>
      <c r="AN1044" s="1297"/>
      <c r="AO1044" s="1298" t="s">
        <v>736</v>
      </c>
      <c r="AP1044" s="596"/>
      <c r="AQ1044" s="596"/>
      <c r="AR1044" s="596"/>
      <c r="AS1044" s="1297"/>
      <c r="AT1044" s="596"/>
      <c r="AU1044" s="596"/>
      <c r="AV1044" s="596"/>
      <c r="AW1044" s="596"/>
      <c r="AX1044" s="1297"/>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3">
      <c r="B1045" s="1285"/>
      <c r="C1045" s="522"/>
      <c r="D1045" s="1286" t="s">
        <v>740</v>
      </c>
      <c r="E1045" s="1297"/>
      <c r="F1045" s="1297"/>
      <c r="G1045" s="1297"/>
      <c r="H1045" s="1297"/>
      <c r="I1045" s="1297"/>
      <c r="J1045" s="1297"/>
      <c r="K1045" s="1297"/>
      <c r="L1045" s="1297"/>
      <c r="M1045" s="1297"/>
      <c r="N1045" s="1297"/>
      <c r="O1045" s="1297"/>
      <c r="P1045" s="1297"/>
      <c r="Q1045" s="1297"/>
      <c r="R1045" s="1297"/>
      <c r="S1045" s="1297"/>
      <c r="T1045" s="1297"/>
      <c r="U1045" s="1297"/>
      <c r="V1045" s="1297"/>
      <c r="W1045" s="1297"/>
      <c r="X1045" s="1297"/>
      <c r="Y1045" s="1297"/>
      <c r="Z1045" s="1297"/>
      <c r="AA1045" s="1297"/>
      <c r="AB1045" s="1297"/>
      <c r="AC1045" s="1297"/>
      <c r="AD1045" s="1297"/>
      <c r="AE1045" s="1297"/>
      <c r="AF1045" s="1297"/>
      <c r="AG1045" s="1297"/>
      <c r="AH1045" s="1297"/>
      <c r="AI1045" s="1297"/>
      <c r="AJ1045" s="1297"/>
      <c r="AK1045" s="1297"/>
      <c r="AL1045" s="1298" t="s">
        <v>736</v>
      </c>
      <c r="AM1045" s="1297"/>
      <c r="AN1045" s="1297"/>
      <c r="AO1045" s="1298" t="s">
        <v>736</v>
      </c>
      <c r="AP1045" s="596"/>
      <c r="AQ1045" s="596"/>
      <c r="AR1045" s="596"/>
      <c r="AS1045" s="1297"/>
      <c r="AT1045" s="596"/>
      <c r="AU1045" s="596"/>
      <c r="AV1045" s="596"/>
      <c r="AW1045" s="596"/>
      <c r="AX1045" s="1297"/>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3">
      <c r="B1046" s="1285"/>
      <c r="C1046" s="522"/>
      <c r="D1046" s="1286" t="s">
        <v>742</v>
      </c>
      <c r="E1046" s="1297"/>
      <c r="F1046" s="1297"/>
      <c r="G1046" s="1297"/>
      <c r="H1046" s="1297"/>
      <c r="I1046" s="1297"/>
      <c r="J1046" s="1297"/>
      <c r="K1046" s="1297"/>
      <c r="L1046" s="1297"/>
      <c r="M1046" s="1297"/>
      <c r="N1046" s="1297"/>
      <c r="O1046" s="1297"/>
      <c r="P1046" s="1297"/>
      <c r="Q1046" s="1297"/>
      <c r="R1046" s="1297"/>
      <c r="S1046" s="1297"/>
      <c r="T1046" s="1297"/>
      <c r="U1046" s="1297"/>
      <c r="V1046" s="1297"/>
      <c r="W1046" s="1297"/>
      <c r="X1046" s="1297"/>
      <c r="Y1046" s="1297"/>
      <c r="Z1046" s="1297"/>
      <c r="AA1046" s="1297"/>
      <c r="AB1046" s="1297"/>
      <c r="AC1046" s="1297"/>
      <c r="AD1046" s="1297"/>
      <c r="AE1046" s="1297"/>
      <c r="AF1046" s="1297"/>
      <c r="AG1046" s="1297"/>
      <c r="AH1046" s="1297"/>
      <c r="AI1046" s="1297"/>
      <c r="AJ1046" s="1297"/>
      <c r="AK1046" s="1297"/>
      <c r="AL1046" s="1298" t="s">
        <v>736</v>
      </c>
      <c r="AM1046" s="1297"/>
      <c r="AN1046" s="1297"/>
      <c r="AO1046" s="1298" t="s">
        <v>736</v>
      </c>
      <c r="AP1046" s="596"/>
      <c r="AQ1046" s="596"/>
      <c r="AR1046" s="596"/>
      <c r="AS1046" s="1297"/>
      <c r="AT1046" s="596"/>
      <c r="AU1046" s="596"/>
      <c r="AV1046" s="596"/>
      <c r="AW1046" s="596"/>
      <c r="AX1046" s="1297"/>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3">
      <c r="B1047" s="1285"/>
      <c r="C1047" s="522"/>
      <c r="D1047" s="1286" t="s">
        <v>743</v>
      </c>
      <c r="E1047" s="1297"/>
      <c r="F1047" s="1297"/>
      <c r="G1047" s="1297"/>
      <c r="H1047" s="1297"/>
      <c r="I1047" s="1297"/>
      <c r="J1047" s="1297"/>
      <c r="K1047" s="1297"/>
      <c r="L1047" s="1297"/>
      <c r="M1047" s="1297"/>
      <c r="N1047" s="1297"/>
      <c r="O1047" s="1297"/>
      <c r="P1047" s="1297"/>
      <c r="Q1047" s="1297"/>
      <c r="R1047" s="1297"/>
      <c r="S1047" s="1297"/>
      <c r="T1047" s="1297"/>
      <c r="U1047" s="1297"/>
      <c r="V1047" s="1297"/>
      <c r="W1047" s="1297"/>
      <c r="X1047" s="1297"/>
      <c r="Y1047" s="1297"/>
      <c r="Z1047" s="1297"/>
      <c r="AA1047" s="1297"/>
      <c r="AB1047" s="1297"/>
      <c r="AC1047" s="1297"/>
      <c r="AD1047" s="1297"/>
      <c r="AE1047" s="1297"/>
      <c r="AF1047" s="1297"/>
      <c r="AG1047" s="1297"/>
      <c r="AH1047" s="1297"/>
      <c r="AI1047" s="1297"/>
      <c r="AJ1047" s="1297"/>
      <c r="AK1047" s="1297"/>
      <c r="AL1047" s="1298" t="s">
        <v>736</v>
      </c>
      <c r="AM1047" s="1297"/>
      <c r="AN1047" s="1297"/>
      <c r="AO1047" s="1298" t="s">
        <v>736</v>
      </c>
      <c r="AP1047" s="596"/>
      <c r="AQ1047" s="596"/>
      <c r="AR1047" s="596"/>
      <c r="AS1047" s="1297"/>
      <c r="AT1047" s="596"/>
      <c r="AU1047" s="596"/>
      <c r="AV1047" s="596"/>
      <c r="AW1047" s="596"/>
      <c r="AX1047" s="1297"/>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3">
      <c r="B1048" s="1285"/>
      <c r="C1048" s="522"/>
      <c r="D1048" s="1286" t="s">
        <v>744</v>
      </c>
      <c r="E1048" s="1297"/>
      <c r="F1048" s="1297"/>
      <c r="G1048" s="1297"/>
      <c r="H1048" s="1297"/>
      <c r="I1048" s="1297"/>
      <c r="J1048" s="1297"/>
      <c r="K1048" s="1297"/>
      <c r="L1048" s="1297"/>
      <c r="M1048" s="1297"/>
      <c r="N1048" s="1297"/>
      <c r="O1048" s="1297"/>
      <c r="P1048" s="1297"/>
      <c r="Q1048" s="1297"/>
      <c r="R1048" s="1297"/>
      <c r="S1048" s="1297"/>
      <c r="T1048" s="1297"/>
      <c r="U1048" s="1297"/>
      <c r="V1048" s="1297"/>
      <c r="W1048" s="1297"/>
      <c r="X1048" s="1297"/>
      <c r="Y1048" s="1297"/>
      <c r="Z1048" s="1297"/>
      <c r="AA1048" s="1297"/>
      <c r="AB1048" s="1297"/>
      <c r="AC1048" s="1297"/>
      <c r="AD1048" s="1297"/>
      <c r="AE1048" s="1297"/>
      <c r="AF1048" s="1297"/>
      <c r="AG1048" s="1297"/>
      <c r="AH1048" s="1297"/>
      <c r="AI1048" s="1297"/>
      <c r="AJ1048" s="1297"/>
      <c r="AK1048" s="1297"/>
      <c r="AL1048" s="1298" t="s">
        <v>736</v>
      </c>
      <c r="AM1048" s="1297"/>
      <c r="AN1048" s="1297"/>
      <c r="AO1048" s="1298" t="s">
        <v>736</v>
      </c>
      <c r="AP1048" s="596"/>
      <c r="AQ1048" s="596"/>
      <c r="AR1048" s="596"/>
      <c r="AS1048" s="1297"/>
      <c r="AT1048" s="596"/>
      <c r="AU1048" s="596"/>
      <c r="AV1048" s="596"/>
      <c r="AW1048" s="596"/>
      <c r="AX1048" s="1297"/>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3">
      <c r="B1049" s="1285"/>
      <c r="C1049" s="522"/>
      <c r="D1049" s="1286" t="s">
        <v>745</v>
      </c>
      <c r="E1049" s="1297"/>
      <c r="F1049" s="1297"/>
      <c r="G1049" s="1297"/>
      <c r="H1049" s="1297"/>
      <c r="I1049" s="1297"/>
      <c r="J1049" s="1297"/>
      <c r="K1049" s="1297"/>
      <c r="L1049" s="1297"/>
      <c r="M1049" s="1297"/>
      <c r="N1049" s="1297"/>
      <c r="O1049" s="1297"/>
      <c r="P1049" s="1297"/>
      <c r="Q1049" s="1297"/>
      <c r="R1049" s="1297"/>
      <c r="S1049" s="1297"/>
      <c r="T1049" s="1297"/>
      <c r="U1049" s="1297"/>
      <c r="V1049" s="1297"/>
      <c r="W1049" s="1297"/>
      <c r="X1049" s="1297"/>
      <c r="Y1049" s="1297"/>
      <c r="Z1049" s="1297"/>
      <c r="AA1049" s="1297"/>
      <c r="AB1049" s="1297"/>
      <c r="AC1049" s="1297"/>
      <c r="AD1049" s="1297"/>
      <c r="AE1049" s="1297"/>
      <c r="AF1049" s="1297"/>
      <c r="AG1049" s="1297"/>
      <c r="AH1049" s="1297"/>
      <c r="AI1049" s="1297"/>
      <c r="AJ1049" s="1297"/>
      <c r="AK1049" s="1297"/>
      <c r="AL1049" s="1298" t="s">
        <v>736</v>
      </c>
      <c r="AM1049" s="1297"/>
      <c r="AN1049" s="1297"/>
      <c r="AO1049" s="1298" t="s">
        <v>736</v>
      </c>
      <c r="AP1049" s="596"/>
      <c r="AQ1049" s="596"/>
      <c r="AR1049" s="596"/>
      <c r="AS1049" s="1297"/>
      <c r="AT1049" s="596"/>
      <c r="AU1049" s="596"/>
      <c r="AV1049" s="596"/>
      <c r="AW1049" s="596"/>
      <c r="AX1049" s="1297"/>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3">
      <c r="B1050" s="1285"/>
      <c r="C1050" s="522"/>
      <c r="D1050" s="1286" t="s">
        <v>746</v>
      </c>
      <c r="E1050" s="1297"/>
      <c r="F1050" s="1297"/>
      <c r="G1050" s="1297"/>
      <c r="H1050" s="1297"/>
      <c r="I1050" s="1297"/>
      <c r="J1050" s="1297"/>
      <c r="K1050" s="1297"/>
      <c r="L1050" s="1297"/>
      <c r="M1050" s="1297"/>
      <c r="N1050" s="1297"/>
      <c r="O1050" s="1297"/>
      <c r="P1050" s="1297"/>
      <c r="Q1050" s="1297"/>
      <c r="R1050" s="1297"/>
      <c r="S1050" s="1297"/>
      <c r="T1050" s="1297"/>
      <c r="U1050" s="1297"/>
      <c r="V1050" s="1297"/>
      <c r="W1050" s="1297"/>
      <c r="X1050" s="1297"/>
      <c r="Y1050" s="1297"/>
      <c r="Z1050" s="1297"/>
      <c r="AA1050" s="1297"/>
      <c r="AB1050" s="1297"/>
      <c r="AC1050" s="1297"/>
      <c r="AD1050" s="1297"/>
      <c r="AE1050" s="1297"/>
      <c r="AF1050" s="1297"/>
      <c r="AG1050" s="1297"/>
      <c r="AH1050" s="1297"/>
      <c r="AI1050" s="1297"/>
      <c r="AJ1050" s="1297"/>
      <c r="AK1050" s="1297"/>
      <c r="AL1050" s="1298" t="s">
        <v>736</v>
      </c>
      <c r="AM1050" s="1297"/>
      <c r="AN1050" s="1297"/>
      <c r="AO1050" s="1298" t="s">
        <v>736</v>
      </c>
      <c r="AP1050" s="596"/>
      <c r="AQ1050" s="596"/>
      <c r="AR1050" s="596"/>
      <c r="AS1050" s="1297"/>
      <c r="AT1050" s="596"/>
      <c r="AU1050" s="596"/>
      <c r="AV1050" s="596"/>
      <c r="AW1050" s="596"/>
      <c r="AX1050" s="1297"/>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3">
      <c r="B1051" s="1285"/>
      <c r="C1051" s="522"/>
      <c r="D1051" s="1286" t="s">
        <v>747</v>
      </c>
      <c r="E1051" s="1297"/>
      <c r="F1051" s="1297"/>
      <c r="G1051" s="1297"/>
      <c r="H1051" s="1297"/>
      <c r="I1051" s="1297"/>
      <c r="J1051" s="1297"/>
      <c r="K1051" s="1297"/>
      <c r="L1051" s="1297"/>
      <c r="M1051" s="1297"/>
      <c r="N1051" s="1297"/>
      <c r="O1051" s="1297"/>
      <c r="P1051" s="1297"/>
      <c r="Q1051" s="1297"/>
      <c r="R1051" s="1297"/>
      <c r="S1051" s="1297"/>
      <c r="T1051" s="1297"/>
      <c r="U1051" s="1297"/>
      <c r="V1051" s="1297"/>
      <c r="W1051" s="1297"/>
      <c r="X1051" s="1297"/>
      <c r="Y1051" s="1297"/>
      <c r="Z1051" s="1297"/>
      <c r="AA1051" s="1297"/>
      <c r="AB1051" s="1297"/>
      <c r="AC1051" s="1297"/>
      <c r="AD1051" s="1297"/>
      <c r="AE1051" s="1297"/>
      <c r="AF1051" s="1297"/>
      <c r="AG1051" s="1297"/>
      <c r="AH1051" s="1297"/>
      <c r="AI1051" s="1297"/>
      <c r="AJ1051" s="1297"/>
      <c r="AK1051" s="1297"/>
      <c r="AL1051" s="1298" t="s">
        <v>736</v>
      </c>
      <c r="AM1051" s="1297"/>
      <c r="AN1051" s="1297"/>
      <c r="AO1051" s="1298" t="s">
        <v>736</v>
      </c>
      <c r="AP1051" s="596"/>
      <c r="AQ1051" s="596"/>
      <c r="AR1051" s="596"/>
      <c r="AS1051" s="1297"/>
      <c r="AT1051" s="596"/>
      <c r="AU1051" s="596"/>
      <c r="AV1051" s="596"/>
      <c r="AW1051" s="596"/>
      <c r="AX1051" s="1297"/>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3">
      <c r="B1052" s="1285"/>
      <c r="C1052" s="522"/>
      <c r="D1052" s="1286" t="s">
        <v>748</v>
      </c>
      <c r="E1052" s="1297"/>
      <c r="F1052" s="1297"/>
      <c r="G1052" s="1297"/>
      <c r="H1052" s="1297"/>
      <c r="I1052" s="1297"/>
      <c r="J1052" s="1297"/>
      <c r="K1052" s="1297"/>
      <c r="L1052" s="1297"/>
      <c r="M1052" s="1297"/>
      <c r="N1052" s="1297"/>
      <c r="O1052" s="1297"/>
      <c r="P1052" s="1297"/>
      <c r="Q1052" s="1297"/>
      <c r="R1052" s="1297"/>
      <c r="S1052" s="1297"/>
      <c r="T1052" s="1297"/>
      <c r="U1052" s="1297"/>
      <c r="V1052" s="1297"/>
      <c r="W1052" s="1297"/>
      <c r="X1052" s="1297"/>
      <c r="Y1052" s="1297"/>
      <c r="Z1052" s="1297"/>
      <c r="AA1052" s="1297"/>
      <c r="AB1052" s="1297"/>
      <c r="AC1052" s="1297"/>
      <c r="AD1052" s="1297"/>
      <c r="AE1052" s="1297"/>
      <c r="AF1052" s="1297"/>
      <c r="AG1052" s="1297"/>
      <c r="AH1052" s="1297"/>
      <c r="AI1052" s="1297"/>
      <c r="AJ1052" s="1297"/>
      <c r="AK1052" s="1297"/>
      <c r="AL1052" s="1298" t="s">
        <v>736</v>
      </c>
      <c r="AM1052" s="1297"/>
      <c r="AN1052" s="1297"/>
      <c r="AO1052" s="1298" t="s">
        <v>736</v>
      </c>
      <c r="AP1052" s="596"/>
      <c r="AQ1052" s="596"/>
      <c r="AR1052" s="596"/>
      <c r="AS1052" s="1297"/>
      <c r="AT1052" s="596"/>
      <c r="AU1052" s="596"/>
      <c r="AV1052" s="596"/>
      <c r="AW1052" s="596"/>
      <c r="AX1052" s="1297"/>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3">
      <c r="B1053" s="1285"/>
      <c r="C1053" s="522"/>
      <c r="D1053" s="1286" t="s">
        <v>749</v>
      </c>
      <c r="E1053" s="1297"/>
      <c r="F1053" s="1297"/>
      <c r="G1053" s="1297"/>
      <c r="H1053" s="1297"/>
      <c r="I1053" s="1297"/>
      <c r="J1053" s="1297"/>
      <c r="K1053" s="1297"/>
      <c r="L1053" s="1297"/>
      <c r="M1053" s="1297"/>
      <c r="N1053" s="1297"/>
      <c r="O1053" s="1297"/>
      <c r="P1053" s="1297"/>
      <c r="Q1053" s="1297"/>
      <c r="R1053" s="1297"/>
      <c r="S1053" s="1297"/>
      <c r="T1053" s="1297"/>
      <c r="U1053" s="1297"/>
      <c r="V1053" s="1297"/>
      <c r="W1053" s="1297"/>
      <c r="X1053" s="1297"/>
      <c r="Y1053" s="1297"/>
      <c r="Z1053" s="1297"/>
      <c r="AA1053" s="1297"/>
      <c r="AB1053" s="1297"/>
      <c r="AC1053" s="1297"/>
      <c r="AD1053" s="1297"/>
      <c r="AE1053" s="1297"/>
      <c r="AF1053" s="1297"/>
      <c r="AG1053" s="1297"/>
      <c r="AH1053" s="1297"/>
      <c r="AI1053" s="1297"/>
      <c r="AJ1053" s="1297"/>
      <c r="AK1053" s="1297"/>
      <c r="AL1053" s="1298" t="s">
        <v>736</v>
      </c>
      <c r="AM1053" s="1297"/>
      <c r="AN1053" s="1297"/>
      <c r="AO1053" s="1298" t="s">
        <v>736</v>
      </c>
      <c r="AP1053" s="596"/>
      <c r="AQ1053" s="596"/>
      <c r="AR1053" s="596"/>
      <c r="AS1053" s="1297"/>
      <c r="AT1053" s="596"/>
      <c r="AU1053" s="596"/>
      <c r="AV1053" s="596"/>
      <c r="AW1053" s="596"/>
      <c r="AX1053" s="1297"/>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3">
      <c r="B1054" s="1285"/>
      <c r="C1054" s="522"/>
      <c r="D1054" s="1286" t="s">
        <v>750</v>
      </c>
      <c r="E1054" s="1297"/>
      <c r="F1054" s="1297"/>
      <c r="G1054" s="1297"/>
      <c r="H1054" s="1297"/>
      <c r="I1054" s="1297"/>
      <c r="J1054" s="1297"/>
      <c r="K1054" s="1297"/>
      <c r="L1054" s="1297"/>
      <c r="M1054" s="1297"/>
      <c r="N1054" s="1297"/>
      <c r="O1054" s="1297"/>
      <c r="P1054" s="1297"/>
      <c r="Q1054" s="1297"/>
      <c r="R1054" s="1297"/>
      <c r="S1054" s="1297"/>
      <c r="T1054" s="1297"/>
      <c r="U1054" s="1297"/>
      <c r="V1054" s="1297"/>
      <c r="W1054" s="1297"/>
      <c r="X1054" s="1297"/>
      <c r="Y1054" s="1297"/>
      <c r="Z1054" s="1297"/>
      <c r="AA1054" s="1297"/>
      <c r="AB1054" s="1297"/>
      <c r="AC1054" s="1297"/>
      <c r="AD1054" s="1297"/>
      <c r="AE1054" s="1297"/>
      <c r="AF1054" s="1297"/>
      <c r="AG1054" s="1297"/>
      <c r="AH1054" s="1297"/>
      <c r="AI1054" s="1297"/>
      <c r="AJ1054" s="1297"/>
      <c r="AK1054" s="1297"/>
      <c r="AL1054" s="1298" t="s">
        <v>736</v>
      </c>
      <c r="AM1054" s="1297"/>
      <c r="AN1054" s="1297"/>
      <c r="AO1054" s="1298" t="s">
        <v>736</v>
      </c>
      <c r="AP1054" s="596"/>
      <c r="AQ1054" s="596"/>
      <c r="AR1054" s="596"/>
      <c r="AS1054" s="1297"/>
      <c r="AT1054" s="596"/>
      <c r="AU1054" s="596"/>
      <c r="AV1054" s="596"/>
      <c r="AW1054" s="596"/>
      <c r="AX1054" s="1297"/>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3">
      <c r="B1055" s="1285"/>
      <c r="C1055" s="522"/>
      <c r="D1055" s="1286" t="s">
        <v>751</v>
      </c>
      <c r="E1055" s="1297"/>
      <c r="F1055" s="1297"/>
      <c r="G1055" s="1297"/>
      <c r="H1055" s="1297"/>
      <c r="I1055" s="1297"/>
      <c r="J1055" s="1297"/>
      <c r="K1055" s="1297"/>
      <c r="L1055" s="1297"/>
      <c r="M1055" s="1297"/>
      <c r="N1055" s="1297"/>
      <c r="O1055" s="1297"/>
      <c r="P1055" s="1297"/>
      <c r="Q1055" s="1297"/>
      <c r="R1055" s="1297"/>
      <c r="S1055" s="1297"/>
      <c r="T1055" s="1297"/>
      <c r="U1055" s="1297"/>
      <c r="V1055" s="1297"/>
      <c r="W1055" s="1297"/>
      <c r="X1055" s="1297"/>
      <c r="Y1055" s="1297"/>
      <c r="Z1055" s="1297"/>
      <c r="AA1055" s="1297"/>
      <c r="AB1055" s="1297"/>
      <c r="AC1055" s="1297"/>
      <c r="AD1055" s="1297"/>
      <c r="AE1055" s="1297"/>
      <c r="AF1055" s="1297"/>
      <c r="AG1055" s="1297"/>
      <c r="AH1055" s="1297"/>
      <c r="AI1055" s="1297"/>
      <c r="AJ1055" s="1297"/>
      <c r="AK1055" s="1297"/>
      <c r="AL1055" s="1298" t="s">
        <v>736</v>
      </c>
      <c r="AM1055" s="1297"/>
      <c r="AN1055" s="1297"/>
      <c r="AO1055" s="1298" t="s">
        <v>736</v>
      </c>
      <c r="AP1055" s="596"/>
      <c r="AQ1055" s="596"/>
      <c r="AR1055" s="596"/>
      <c r="AS1055" s="1297"/>
      <c r="AT1055" s="596"/>
      <c r="AU1055" s="596"/>
      <c r="AV1055" s="596"/>
      <c r="AW1055" s="596"/>
      <c r="AX1055" s="1297"/>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3">
      <c r="B1056" s="1285"/>
      <c r="C1056" s="522"/>
      <c r="D1056" s="1286" t="s">
        <v>752</v>
      </c>
      <c r="E1056" s="1297"/>
      <c r="F1056" s="1297"/>
      <c r="G1056" s="1297"/>
      <c r="H1056" s="1297"/>
      <c r="I1056" s="1297"/>
      <c r="J1056" s="1297"/>
      <c r="K1056" s="1297"/>
      <c r="L1056" s="1297"/>
      <c r="M1056" s="1297"/>
      <c r="N1056" s="1297"/>
      <c r="O1056" s="1297"/>
      <c r="P1056" s="1297"/>
      <c r="Q1056" s="1297"/>
      <c r="R1056" s="1297"/>
      <c r="S1056" s="1297"/>
      <c r="T1056" s="1297"/>
      <c r="U1056" s="1297"/>
      <c r="V1056" s="1297"/>
      <c r="W1056" s="1297"/>
      <c r="X1056" s="1297"/>
      <c r="Y1056" s="1297"/>
      <c r="Z1056" s="1297"/>
      <c r="AA1056" s="1297"/>
      <c r="AB1056" s="1297"/>
      <c r="AC1056" s="1297"/>
      <c r="AD1056" s="1297"/>
      <c r="AE1056" s="1297"/>
      <c r="AF1056" s="1297"/>
      <c r="AG1056" s="1297"/>
      <c r="AH1056" s="1297"/>
      <c r="AI1056" s="1297"/>
      <c r="AJ1056" s="1297"/>
      <c r="AK1056" s="1297"/>
      <c r="AL1056" s="1298" t="s">
        <v>736</v>
      </c>
      <c r="AM1056" s="1297"/>
      <c r="AN1056" s="1297"/>
      <c r="AO1056" s="1298" t="s">
        <v>736</v>
      </c>
      <c r="AP1056" s="596"/>
      <c r="AQ1056" s="596"/>
      <c r="AR1056" s="596"/>
      <c r="AS1056" s="1297"/>
      <c r="AT1056" s="596"/>
      <c r="AU1056" s="596"/>
      <c r="AV1056" s="596"/>
      <c r="AW1056" s="596"/>
      <c r="AX1056" s="1297"/>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3">
      <c r="B1057" s="1285"/>
      <c r="C1057" s="522"/>
      <c r="D1057" s="1286" t="s">
        <v>753</v>
      </c>
      <c r="E1057" s="1297"/>
      <c r="F1057" s="1297"/>
      <c r="G1057" s="1297"/>
      <c r="H1057" s="1297"/>
      <c r="I1057" s="1297"/>
      <c r="J1057" s="1297"/>
      <c r="K1057" s="1297"/>
      <c r="L1057" s="1297"/>
      <c r="M1057" s="1297"/>
      <c r="N1057" s="1297"/>
      <c r="O1057" s="1297"/>
      <c r="P1057" s="1297"/>
      <c r="Q1057" s="1297"/>
      <c r="R1057" s="1297"/>
      <c r="S1057" s="1297"/>
      <c r="T1057" s="1297"/>
      <c r="U1057" s="1297"/>
      <c r="V1057" s="1297"/>
      <c r="W1057" s="1297"/>
      <c r="X1057" s="1297"/>
      <c r="Y1057" s="1297"/>
      <c r="Z1057" s="1297"/>
      <c r="AA1057" s="1297"/>
      <c r="AB1057" s="1297"/>
      <c r="AC1057" s="1297"/>
      <c r="AD1057" s="1297"/>
      <c r="AE1057" s="1297"/>
      <c r="AF1057" s="1297"/>
      <c r="AG1057" s="1297"/>
      <c r="AH1057" s="1297"/>
      <c r="AI1057" s="1297"/>
      <c r="AJ1057" s="1297"/>
      <c r="AK1057" s="1297"/>
      <c r="AL1057" s="1298" t="s">
        <v>736</v>
      </c>
      <c r="AM1057" s="1297"/>
      <c r="AN1057" s="1297"/>
      <c r="AO1057" s="1298" t="s">
        <v>736</v>
      </c>
      <c r="AP1057" s="596"/>
      <c r="AQ1057" s="596"/>
      <c r="AR1057" s="596"/>
      <c r="AS1057" s="1297"/>
      <c r="AT1057" s="596"/>
      <c r="AU1057" s="596"/>
      <c r="AV1057" s="596"/>
      <c r="AW1057" s="596"/>
      <c r="AX1057" s="1297"/>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 thickBot="1" x14ac:dyDescent="0.35">
      <c r="B1058" s="1287"/>
      <c r="C1058" s="1290"/>
      <c r="D1058" s="1288" t="s">
        <v>754</v>
      </c>
      <c r="E1058" s="1297"/>
      <c r="F1058" s="1297"/>
      <c r="G1058" s="1297"/>
      <c r="H1058" s="1297"/>
      <c r="I1058" s="1297"/>
      <c r="J1058" s="1297"/>
      <c r="K1058" s="1297"/>
      <c r="L1058" s="1297"/>
      <c r="M1058" s="1297"/>
      <c r="N1058" s="1297"/>
      <c r="O1058" s="1297"/>
      <c r="P1058" s="1297"/>
      <c r="Q1058" s="1297"/>
      <c r="R1058" s="1297"/>
      <c r="S1058" s="1297"/>
      <c r="T1058" s="1297"/>
      <c r="U1058" s="1297"/>
      <c r="V1058" s="1297"/>
      <c r="W1058" s="1297"/>
      <c r="X1058" s="1297"/>
      <c r="Y1058" s="1297"/>
      <c r="Z1058" s="1297"/>
      <c r="AA1058" s="1297"/>
      <c r="AB1058" s="1297"/>
      <c r="AC1058" s="1297"/>
      <c r="AD1058" s="1297"/>
      <c r="AE1058" s="1297"/>
      <c r="AF1058" s="1297"/>
      <c r="AG1058" s="1297"/>
      <c r="AH1058" s="1297"/>
      <c r="AI1058" s="1297"/>
      <c r="AJ1058" s="1297"/>
      <c r="AK1058" s="1297"/>
      <c r="AL1058" s="1298" t="s">
        <v>736</v>
      </c>
      <c r="AM1058" s="1297"/>
      <c r="AN1058" s="1297"/>
      <c r="AO1058" s="1298" t="s">
        <v>736</v>
      </c>
      <c r="AP1058" s="596"/>
      <c r="AQ1058" s="596"/>
      <c r="AR1058" s="596"/>
      <c r="AS1058" s="1297"/>
      <c r="AT1058" s="596"/>
      <c r="AU1058" s="596"/>
      <c r="AV1058" s="596"/>
      <c r="AW1058" s="596"/>
      <c r="AX1058" s="1297"/>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3">
      <c r="B1059" s="1291" t="s">
        <v>1559</v>
      </c>
      <c r="C1059" s="1289" t="s">
        <v>756</v>
      </c>
      <c r="D1059" s="1284" t="s">
        <v>757</v>
      </c>
      <c r="E1059" s="1297"/>
      <c r="F1059" s="1297"/>
      <c r="G1059" s="1297"/>
      <c r="H1059" s="1297"/>
      <c r="I1059" s="1297"/>
      <c r="J1059" s="1297"/>
      <c r="K1059" s="1297"/>
      <c r="L1059" s="1297"/>
      <c r="M1059" s="1297"/>
      <c r="N1059" s="1297"/>
      <c r="O1059" s="1297"/>
      <c r="P1059" s="1297"/>
      <c r="Q1059" s="1297"/>
      <c r="R1059" s="1297"/>
      <c r="S1059" s="1297"/>
      <c r="T1059" s="1297"/>
      <c r="U1059" s="1297"/>
      <c r="V1059" s="1297"/>
      <c r="W1059" s="1297"/>
      <c r="X1059" s="1297"/>
      <c r="Y1059" s="1297"/>
      <c r="Z1059" s="1297"/>
      <c r="AA1059" s="1297"/>
      <c r="AB1059" s="1297"/>
      <c r="AC1059" s="1297"/>
      <c r="AD1059" s="1297"/>
      <c r="AE1059" s="1297"/>
      <c r="AF1059" s="1297"/>
      <c r="AG1059" s="1297"/>
      <c r="AH1059" s="1297"/>
      <c r="AI1059" s="1297"/>
      <c r="AJ1059" s="1297"/>
      <c r="AK1059" s="1297"/>
      <c r="AL1059" s="1299" t="s">
        <v>741</v>
      </c>
      <c r="AM1059" s="1297"/>
      <c r="AN1059" s="1297"/>
      <c r="AO1059" s="1299" t="s">
        <v>741</v>
      </c>
      <c r="AP1059" s="596"/>
      <c r="AQ1059" s="596"/>
      <c r="AR1059" s="596"/>
      <c r="AS1059" s="1297"/>
      <c r="AT1059" s="596"/>
      <c r="AU1059" s="596"/>
      <c r="AV1059" s="596"/>
      <c r="AW1059" s="596"/>
      <c r="AX1059" s="1297"/>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3">
      <c r="B1060" s="1285" t="s">
        <v>1560</v>
      </c>
      <c r="C1060" s="522"/>
      <c r="D1060" s="1286" t="s">
        <v>759</v>
      </c>
      <c r="E1060" s="1297"/>
      <c r="F1060" s="1297"/>
      <c r="G1060" s="1297"/>
      <c r="H1060" s="1297"/>
      <c r="I1060" s="1297"/>
      <c r="J1060" s="1297"/>
      <c r="K1060" s="1297"/>
      <c r="L1060" s="1297"/>
      <c r="M1060" s="1297"/>
      <c r="N1060" s="1297"/>
      <c r="O1060" s="1297"/>
      <c r="P1060" s="1297"/>
      <c r="Q1060" s="1297"/>
      <c r="R1060" s="1297"/>
      <c r="S1060" s="1297"/>
      <c r="T1060" s="1297"/>
      <c r="U1060" s="1297"/>
      <c r="V1060" s="1297"/>
      <c r="W1060" s="1297"/>
      <c r="X1060" s="1297"/>
      <c r="Y1060" s="1297"/>
      <c r="Z1060" s="1297"/>
      <c r="AA1060" s="1297"/>
      <c r="AB1060" s="1297"/>
      <c r="AC1060" s="1297"/>
      <c r="AD1060" s="1297"/>
      <c r="AE1060" s="1297"/>
      <c r="AF1060" s="1297"/>
      <c r="AG1060" s="1297"/>
      <c r="AH1060" s="1297"/>
      <c r="AI1060" s="1297"/>
      <c r="AJ1060" s="1297"/>
      <c r="AK1060" s="1297"/>
      <c r="AL1060" s="1298" t="s">
        <v>736</v>
      </c>
      <c r="AM1060" s="1297"/>
      <c r="AN1060" s="1297"/>
      <c r="AO1060" s="1298" t="s">
        <v>736</v>
      </c>
      <c r="AP1060" s="596"/>
      <c r="AQ1060" s="596"/>
      <c r="AR1060" s="596"/>
      <c r="AS1060" s="1297"/>
      <c r="AT1060" s="596"/>
      <c r="AU1060" s="596"/>
      <c r="AV1060" s="596"/>
      <c r="AW1060" s="596"/>
      <c r="AX1060" s="1297"/>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3">
      <c r="B1061" s="1285"/>
      <c r="C1061" s="522"/>
      <c r="D1061" s="1286" t="s">
        <v>760</v>
      </c>
      <c r="E1061" s="1297"/>
      <c r="F1061" s="1297"/>
      <c r="G1061" s="1297"/>
      <c r="H1061" s="1297"/>
      <c r="I1061" s="1297"/>
      <c r="J1061" s="1297"/>
      <c r="K1061" s="1297"/>
      <c r="L1061" s="1297"/>
      <c r="M1061" s="1297"/>
      <c r="N1061" s="1297"/>
      <c r="O1061" s="1297"/>
      <c r="P1061" s="1297"/>
      <c r="Q1061" s="1297"/>
      <c r="R1061" s="1297"/>
      <c r="S1061" s="1297"/>
      <c r="T1061" s="1297"/>
      <c r="U1061" s="1297"/>
      <c r="V1061" s="1297"/>
      <c r="W1061" s="1297"/>
      <c r="X1061" s="1297"/>
      <c r="Y1061" s="1297"/>
      <c r="Z1061" s="1297"/>
      <c r="AA1061" s="1297"/>
      <c r="AB1061" s="1297"/>
      <c r="AC1061" s="1297"/>
      <c r="AD1061" s="1297"/>
      <c r="AE1061" s="1297"/>
      <c r="AF1061" s="1297"/>
      <c r="AG1061" s="1297"/>
      <c r="AH1061" s="1297"/>
      <c r="AI1061" s="1297"/>
      <c r="AJ1061" s="1297"/>
      <c r="AK1061" s="1297"/>
      <c r="AL1061" s="1298" t="s">
        <v>736</v>
      </c>
      <c r="AM1061" s="1297"/>
      <c r="AN1061" s="1297"/>
      <c r="AO1061" s="1298" t="s">
        <v>736</v>
      </c>
      <c r="AP1061" s="596"/>
      <c r="AQ1061" s="596"/>
      <c r="AR1061" s="596"/>
      <c r="AS1061" s="1297"/>
      <c r="AT1061" s="596"/>
      <c r="AU1061" s="596"/>
      <c r="AV1061" s="596"/>
      <c r="AW1061" s="596"/>
      <c r="AX1061" s="1297"/>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3">
      <c r="B1062" s="1285"/>
      <c r="C1062" s="522"/>
      <c r="D1062" s="1286" t="s">
        <v>761</v>
      </c>
      <c r="E1062" s="1297"/>
      <c r="F1062" s="1297"/>
      <c r="G1062" s="1297"/>
      <c r="H1062" s="1297"/>
      <c r="I1062" s="1297"/>
      <c r="J1062" s="1297"/>
      <c r="K1062" s="1297"/>
      <c r="L1062" s="1297"/>
      <c r="M1062" s="1297"/>
      <c r="N1062" s="1297"/>
      <c r="O1062" s="1297"/>
      <c r="P1062" s="1297"/>
      <c r="Q1062" s="1297"/>
      <c r="R1062" s="1297"/>
      <c r="S1062" s="1297"/>
      <c r="T1062" s="1297"/>
      <c r="U1062" s="1297"/>
      <c r="V1062" s="1297"/>
      <c r="W1062" s="1297"/>
      <c r="X1062" s="1297"/>
      <c r="Y1062" s="1297"/>
      <c r="Z1062" s="1297"/>
      <c r="AA1062" s="1297"/>
      <c r="AB1062" s="1297"/>
      <c r="AC1062" s="1297"/>
      <c r="AD1062" s="1297"/>
      <c r="AE1062" s="1297"/>
      <c r="AF1062" s="1297"/>
      <c r="AG1062" s="1297"/>
      <c r="AH1062" s="1297"/>
      <c r="AI1062" s="1297"/>
      <c r="AJ1062" s="1297"/>
      <c r="AK1062" s="1297"/>
      <c r="AL1062" s="1298" t="s">
        <v>736</v>
      </c>
      <c r="AM1062" s="1297"/>
      <c r="AN1062" s="1297"/>
      <c r="AO1062" s="1298" t="s">
        <v>736</v>
      </c>
      <c r="AP1062" s="596"/>
      <c r="AQ1062" s="596"/>
      <c r="AR1062" s="596"/>
      <c r="AS1062" s="1297"/>
      <c r="AT1062" s="596"/>
      <c r="AU1062" s="596"/>
      <c r="AV1062" s="596"/>
      <c r="AW1062" s="596"/>
      <c r="AX1062" s="1297"/>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3">
      <c r="B1063" s="1285"/>
      <c r="C1063" s="522"/>
      <c r="D1063" s="1286" t="s">
        <v>762</v>
      </c>
      <c r="E1063" s="1297"/>
      <c r="F1063" s="1297"/>
      <c r="G1063" s="1297"/>
      <c r="H1063" s="1297"/>
      <c r="I1063" s="1297"/>
      <c r="J1063" s="1297"/>
      <c r="K1063" s="1297"/>
      <c r="L1063" s="1297"/>
      <c r="M1063" s="1297"/>
      <c r="N1063" s="1297"/>
      <c r="O1063" s="1297"/>
      <c r="P1063" s="1297"/>
      <c r="Q1063" s="1297"/>
      <c r="R1063" s="1297"/>
      <c r="S1063" s="1297"/>
      <c r="T1063" s="1297"/>
      <c r="U1063" s="1297"/>
      <c r="V1063" s="1297"/>
      <c r="W1063" s="1297"/>
      <c r="X1063" s="1297"/>
      <c r="Y1063" s="1297"/>
      <c r="Z1063" s="1297"/>
      <c r="AA1063" s="1297"/>
      <c r="AB1063" s="1297"/>
      <c r="AC1063" s="1297"/>
      <c r="AD1063" s="1297"/>
      <c r="AE1063" s="1297"/>
      <c r="AF1063" s="1297"/>
      <c r="AG1063" s="1297"/>
      <c r="AH1063" s="1297"/>
      <c r="AI1063" s="1297"/>
      <c r="AJ1063" s="1297"/>
      <c r="AK1063" s="1297"/>
      <c r="AL1063" s="1298" t="s">
        <v>736</v>
      </c>
      <c r="AM1063" s="1297"/>
      <c r="AN1063" s="1297"/>
      <c r="AO1063" s="1298" t="s">
        <v>736</v>
      </c>
      <c r="AP1063" s="596"/>
      <c r="AQ1063" s="596"/>
      <c r="AR1063" s="596"/>
      <c r="AS1063" s="1297"/>
      <c r="AT1063" s="596"/>
      <c r="AU1063" s="596"/>
      <c r="AV1063" s="596"/>
      <c r="AW1063" s="596"/>
      <c r="AX1063" s="1297"/>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3">
      <c r="B1064" s="1285"/>
      <c r="C1064" s="522"/>
      <c r="D1064" s="1286" t="s">
        <v>763</v>
      </c>
      <c r="E1064" s="1297"/>
      <c r="F1064" s="1297"/>
      <c r="G1064" s="1297"/>
      <c r="H1064" s="1297"/>
      <c r="I1064" s="1297"/>
      <c r="J1064" s="1297"/>
      <c r="K1064" s="1297"/>
      <c r="L1064" s="1297"/>
      <c r="M1064" s="1297"/>
      <c r="N1064" s="1297"/>
      <c r="O1064" s="1297"/>
      <c r="P1064" s="1297"/>
      <c r="Q1064" s="1297"/>
      <c r="R1064" s="1297"/>
      <c r="S1064" s="1297"/>
      <c r="T1064" s="1297"/>
      <c r="U1064" s="1297"/>
      <c r="V1064" s="1297"/>
      <c r="W1064" s="1297"/>
      <c r="X1064" s="1297"/>
      <c r="Y1064" s="1297"/>
      <c r="Z1064" s="1297"/>
      <c r="AA1064" s="1297"/>
      <c r="AB1064" s="1297"/>
      <c r="AC1064" s="1297"/>
      <c r="AD1064" s="1297"/>
      <c r="AE1064" s="1297"/>
      <c r="AF1064" s="1297"/>
      <c r="AG1064" s="1297"/>
      <c r="AH1064" s="1297"/>
      <c r="AI1064" s="1297"/>
      <c r="AJ1064" s="1297"/>
      <c r="AK1064" s="1297"/>
      <c r="AL1064" s="1298" t="s">
        <v>736</v>
      </c>
      <c r="AM1064" s="1297"/>
      <c r="AN1064" s="1297"/>
      <c r="AO1064" s="1298" t="s">
        <v>736</v>
      </c>
      <c r="AP1064" s="596"/>
      <c r="AQ1064" s="596"/>
      <c r="AR1064" s="596"/>
      <c r="AS1064" s="1297"/>
      <c r="AT1064" s="596"/>
      <c r="AU1064" s="596"/>
      <c r="AV1064" s="596"/>
      <c r="AW1064" s="596"/>
      <c r="AX1064" s="1297"/>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3">
      <c r="B1065" s="1285"/>
      <c r="C1065" s="522"/>
      <c r="D1065" s="1286" t="s">
        <v>764</v>
      </c>
      <c r="E1065" s="1297"/>
      <c r="F1065" s="1297"/>
      <c r="G1065" s="1297"/>
      <c r="H1065" s="1297"/>
      <c r="I1065" s="1297"/>
      <c r="J1065" s="1297"/>
      <c r="K1065" s="1297"/>
      <c r="L1065" s="1297"/>
      <c r="M1065" s="1297"/>
      <c r="N1065" s="1297"/>
      <c r="O1065" s="1297"/>
      <c r="P1065" s="1297"/>
      <c r="Q1065" s="1297"/>
      <c r="R1065" s="1297"/>
      <c r="S1065" s="1297"/>
      <c r="T1065" s="1297"/>
      <c r="U1065" s="1297"/>
      <c r="V1065" s="1297"/>
      <c r="W1065" s="1297"/>
      <c r="X1065" s="1297"/>
      <c r="Y1065" s="1297"/>
      <c r="Z1065" s="1297"/>
      <c r="AA1065" s="1297"/>
      <c r="AB1065" s="1297"/>
      <c r="AC1065" s="1297"/>
      <c r="AD1065" s="1297"/>
      <c r="AE1065" s="1297"/>
      <c r="AF1065" s="1297"/>
      <c r="AG1065" s="1297"/>
      <c r="AH1065" s="1297"/>
      <c r="AI1065" s="1297"/>
      <c r="AJ1065" s="1297"/>
      <c r="AK1065" s="1297"/>
      <c r="AL1065" s="1298" t="s">
        <v>736</v>
      </c>
      <c r="AM1065" s="1297"/>
      <c r="AN1065" s="1297"/>
      <c r="AO1065" s="1298" t="s">
        <v>736</v>
      </c>
      <c r="AP1065" s="596"/>
      <c r="AQ1065" s="596"/>
      <c r="AR1065" s="596"/>
      <c r="AS1065" s="1297"/>
      <c r="AT1065" s="596"/>
      <c r="AU1065" s="596"/>
      <c r="AV1065" s="596"/>
      <c r="AW1065" s="596"/>
      <c r="AX1065" s="1297"/>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3">
      <c r="B1066" s="1285"/>
      <c r="C1066" s="522"/>
      <c r="D1066" s="1286" t="s">
        <v>765</v>
      </c>
      <c r="E1066" s="1297"/>
      <c r="F1066" s="1297"/>
      <c r="G1066" s="1297"/>
      <c r="H1066" s="1297"/>
      <c r="I1066" s="1297"/>
      <c r="J1066" s="1297"/>
      <c r="K1066" s="1297"/>
      <c r="L1066" s="1297"/>
      <c r="M1066" s="1297"/>
      <c r="N1066" s="1297"/>
      <c r="O1066" s="1297"/>
      <c r="P1066" s="1297"/>
      <c r="Q1066" s="1297"/>
      <c r="R1066" s="1297"/>
      <c r="S1066" s="1297"/>
      <c r="T1066" s="1297"/>
      <c r="U1066" s="1297"/>
      <c r="V1066" s="1297"/>
      <c r="W1066" s="1297"/>
      <c r="X1066" s="1297"/>
      <c r="Y1066" s="1297"/>
      <c r="Z1066" s="1297"/>
      <c r="AA1066" s="1297"/>
      <c r="AB1066" s="1297"/>
      <c r="AC1066" s="1297"/>
      <c r="AD1066" s="1297"/>
      <c r="AE1066" s="1297"/>
      <c r="AF1066" s="1297"/>
      <c r="AG1066" s="1297"/>
      <c r="AH1066" s="1297"/>
      <c r="AI1066" s="1297"/>
      <c r="AJ1066" s="1297"/>
      <c r="AK1066" s="1297"/>
      <c r="AL1066" s="1298" t="s">
        <v>736</v>
      </c>
      <c r="AM1066" s="1297"/>
      <c r="AN1066" s="1297"/>
      <c r="AO1066" s="1298" t="s">
        <v>736</v>
      </c>
      <c r="AP1066" s="596"/>
      <c r="AQ1066" s="596"/>
      <c r="AR1066" s="596"/>
      <c r="AS1066" s="1297"/>
      <c r="AT1066" s="596"/>
      <c r="AU1066" s="596"/>
      <c r="AV1066" s="596"/>
      <c r="AW1066" s="596"/>
      <c r="AX1066" s="1297"/>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3">
      <c r="B1067" s="1285"/>
      <c r="C1067" s="522"/>
      <c r="D1067" s="1286" t="s">
        <v>766</v>
      </c>
      <c r="E1067" s="1297"/>
      <c r="F1067" s="1297"/>
      <c r="G1067" s="1297"/>
      <c r="H1067" s="1297"/>
      <c r="I1067" s="1297"/>
      <c r="J1067" s="1297"/>
      <c r="K1067" s="1297"/>
      <c r="L1067" s="1297"/>
      <c r="M1067" s="1297"/>
      <c r="N1067" s="1297"/>
      <c r="O1067" s="1297"/>
      <c r="P1067" s="1297"/>
      <c r="Q1067" s="1297"/>
      <c r="R1067" s="1297"/>
      <c r="S1067" s="1297"/>
      <c r="T1067" s="1297"/>
      <c r="U1067" s="1297"/>
      <c r="V1067" s="1297"/>
      <c r="W1067" s="1297"/>
      <c r="X1067" s="1297"/>
      <c r="Y1067" s="1297"/>
      <c r="Z1067" s="1297"/>
      <c r="AA1067" s="1297"/>
      <c r="AB1067" s="1297"/>
      <c r="AC1067" s="1297"/>
      <c r="AD1067" s="1297"/>
      <c r="AE1067" s="1297"/>
      <c r="AF1067" s="1297"/>
      <c r="AG1067" s="1297"/>
      <c r="AH1067" s="1297"/>
      <c r="AI1067" s="1297"/>
      <c r="AJ1067" s="1297"/>
      <c r="AK1067" s="1297"/>
      <c r="AL1067" s="1298" t="s">
        <v>736</v>
      </c>
      <c r="AM1067" s="1297"/>
      <c r="AN1067" s="1297"/>
      <c r="AO1067" s="1298" t="s">
        <v>736</v>
      </c>
      <c r="AP1067" s="596"/>
      <c r="AQ1067" s="596"/>
      <c r="AR1067" s="596"/>
      <c r="AS1067" s="1297"/>
      <c r="AT1067" s="596"/>
      <c r="AU1067" s="596"/>
      <c r="AV1067" s="596"/>
      <c r="AW1067" s="596"/>
      <c r="AX1067" s="1297"/>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3">
      <c r="B1068" s="1285"/>
      <c r="C1068" s="522"/>
      <c r="D1068" s="1286" t="s">
        <v>767</v>
      </c>
      <c r="E1068" s="1297"/>
      <c r="F1068" s="1297"/>
      <c r="G1068" s="1297"/>
      <c r="H1068" s="1297"/>
      <c r="I1068" s="1297"/>
      <c r="J1068" s="1297"/>
      <c r="K1068" s="1297"/>
      <c r="L1068" s="1297"/>
      <c r="M1068" s="1297"/>
      <c r="N1068" s="1297"/>
      <c r="O1068" s="1297"/>
      <c r="P1068" s="1297"/>
      <c r="Q1068" s="1297"/>
      <c r="R1068" s="1297"/>
      <c r="S1068" s="1297"/>
      <c r="T1068" s="1297"/>
      <c r="U1068" s="1297"/>
      <c r="V1068" s="1297"/>
      <c r="W1068" s="1297"/>
      <c r="X1068" s="1297"/>
      <c r="Y1068" s="1297"/>
      <c r="Z1068" s="1297"/>
      <c r="AA1068" s="1297"/>
      <c r="AB1068" s="1297"/>
      <c r="AC1068" s="1297"/>
      <c r="AD1068" s="1297"/>
      <c r="AE1068" s="1297"/>
      <c r="AF1068" s="1297"/>
      <c r="AG1068" s="1297"/>
      <c r="AH1068" s="1297"/>
      <c r="AI1068" s="1297"/>
      <c r="AJ1068" s="1297"/>
      <c r="AK1068" s="1297"/>
      <c r="AL1068" s="1298" t="s">
        <v>736</v>
      </c>
      <c r="AM1068" s="1297"/>
      <c r="AN1068" s="1297"/>
      <c r="AO1068" s="1298" t="s">
        <v>736</v>
      </c>
      <c r="AP1068" s="596"/>
      <c r="AQ1068" s="596"/>
      <c r="AR1068" s="596"/>
      <c r="AS1068" s="1297"/>
      <c r="AT1068" s="596"/>
      <c r="AU1068" s="596"/>
      <c r="AV1068" s="596"/>
      <c r="AW1068" s="596"/>
      <c r="AX1068" s="1297"/>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3">
      <c r="B1069" s="1285"/>
      <c r="C1069" s="522"/>
      <c r="D1069" s="1286" t="s">
        <v>768</v>
      </c>
      <c r="E1069" s="1297"/>
      <c r="F1069" s="1297"/>
      <c r="G1069" s="1297"/>
      <c r="H1069" s="1297"/>
      <c r="I1069" s="1297"/>
      <c r="J1069" s="1297"/>
      <c r="K1069" s="1297"/>
      <c r="L1069" s="1297"/>
      <c r="M1069" s="1297"/>
      <c r="N1069" s="1297"/>
      <c r="O1069" s="1297"/>
      <c r="P1069" s="1297"/>
      <c r="Q1069" s="1297"/>
      <c r="R1069" s="1297"/>
      <c r="S1069" s="1297"/>
      <c r="T1069" s="1297"/>
      <c r="U1069" s="1297"/>
      <c r="V1069" s="1297"/>
      <c r="W1069" s="1297"/>
      <c r="X1069" s="1297"/>
      <c r="Y1069" s="1297"/>
      <c r="Z1069" s="1297"/>
      <c r="AA1069" s="1297"/>
      <c r="AB1069" s="1297"/>
      <c r="AC1069" s="1297"/>
      <c r="AD1069" s="1297"/>
      <c r="AE1069" s="1297"/>
      <c r="AF1069" s="1297"/>
      <c r="AG1069" s="1297"/>
      <c r="AH1069" s="1297"/>
      <c r="AI1069" s="1297"/>
      <c r="AJ1069" s="1297"/>
      <c r="AK1069" s="1297"/>
      <c r="AL1069" s="1298" t="s">
        <v>736</v>
      </c>
      <c r="AM1069" s="1297"/>
      <c r="AN1069" s="1297"/>
      <c r="AO1069" s="1298" t="s">
        <v>736</v>
      </c>
      <c r="AP1069" s="596"/>
      <c r="AQ1069" s="596"/>
      <c r="AR1069" s="596"/>
      <c r="AS1069" s="1297"/>
      <c r="AT1069" s="596"/>
      <c r="AU1069" s="596"/>
      <c r="AV1069" s="596"/>
      <c r="AW1069" s="596"/>
      <c r="AX1069" s="1297"/>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3">
      <c r="B1070" s="1285"/>
      <c r="C1070" s="522"/>
      <c r="D1070" s="1286" t="s">
        <v>769</v>
      </c>
      <c r="E1070" s="1297"/>
      <c r="F1070" s="1297"/>
      <c r="G1070" s="1297"/>
      <c r="H1070" s="1297"/>
      <c r="I1070" s="1297"/>
      <c r="J1070" s="1297"/>
      <c r="K1070" s="1297"/>
      <c r="L1070" s="1297"/>
      <c r="M1070" s="1297"/>
      <c r="N1070" s="1297"/>
      <c r="O1070" s="1297"/>
      <c r="P1070" s="1297"/>
      <c r="Q1070" s="1297"/>
      <c r="R1070" s="1297"/>
      <c r="S1070" s="1297"/>
      <c r="T1070" s="1297"/>
      <c r="U1070" s="1297"/>
      <c r="V1070" s="1297"/>
      <c r="W1070" s="1297"/>
      <c r="X1070" s="1297"/>
      <c r="Y1070" s="1297"/>
      <c r="Z1070" s="1297"/>
      <c r="AA1070" s="1297"/>
      <c r="AB1070" s="1297"/>
      <c r="AC1070" s="1297"/>
      <c r="AD1070" s="1297"/>
      <c r="AE1070" s="1297"/>
      <c r="AF1070" s="1297"/>
      <c r="AG1070" s="1297"/>
      <c r="AH1070" s="1297"/>
      <c r="AI1070" s="1297"/>
      <c r="AJ1070" s="1297"/>
      <c r="AK1070" s="1297"/>
      <c r="AL1070" s="1298" t="s">
        <v>736</v>
      </c>
      <c r="AM1070" s="1297"/>
      <c r="AN1070" s="1297"/>
      <c r="AO1070" s="1298" t="s">
        <v>736</v>
      </c>
      <c r="AP1070" s="596"/>
      <c r="AQ1070" s="596"/>
      <c r="AR1070" s="596"/>
      <c r="AS1070" s="1297"/>
      <c r="AT1070" s="596"/>
      <c r="AU1070" s="596"/>
      <c r="AV1070" s="596"/>
      <c r="AW1070" s="596"/>
      <c r="AX1070" s="1297"/>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3">
      <c r="B1071" s="1285"/>
      <c r="C1071" s="522"/>
      <c r="D1071" s="1286" t="s">
        <v>770</v>
      </c>
      <c r="E1071" s="1297"/>
      <c r="F1071" s="1297"/>
      <c r="G1071" s="1297"/>
      <c r="H1071" s="1297"/>
      <c r="I1071" s="1297"/>
      <c r="J1071" s="1297"/>
      <c r="K1071" s="1297"/>
      <c r="L1071" s="1297"/>
      <c r="M1071" s="1297"/>
      <c r="N1071" s="1297"/>
      <c r="O1071" s="1297"/>
      <c r="P1071" s="1297"/>
      <c r="Q1071" s="1297"/>
      <c r="R1071" s="1297"/>
      <c r="S1071" s="1297"/>
      <c r="T1071" s="1297"/>
      <c r="U1071" s="1297"/>
      <c r="V1071" s="1297"/>
      <c r="W1071" s="1297"/>
      <c r="X1071" s="1297"/>
      <c r="Y1071" s="1297"/>
      <c r="Z1071" s="1297"/>
      <c r="AA1071" s="1297"/>
      <c r="AB1071" s="1297"/>
      <c r="AC1071" s="1297"/>
      <c r="AD1071" s="1297"/>
      <c r="AE1071" s="1297"/>
      <c r="AF1071" s="1297"/>
      <c r="AG1071" s="1297"/>
      <c r="AH1071" s="1297"/>
      <c r="AI1071" s="1297"/>
      <c r="AJ1071" s="1297"/>
      <c r="AK1071" s="1297"/>
      <c r="AL1071" s="1298" t="s">
        <v>736</v>
      </c>
      <c r="AM1071" s="1297"/>
      <c r="AN1071" s="1297"/>
      <c r="AO1071" s="1298" t="s">
        <v>736</v>
      </c>
      <c r="AP1071" s="596"/>
      <c r="AQ1071" s="596"/>
      <c r="AR1071" s="596"/>
      <c r="AS1071" s="1297"/>
      <c r="AT1071" s="596"/>
      <c r="AU1071" s="596"/>
      <c r="AV1071" s="596"/>
      <c r="AW1071" s="596"/>
      <c r="AX1071" s="1297"/>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3">
      <c r="B1072" s="1285"/>
      <c r="C1072" s="522"/>
      <c r="D1072" s="1286" t="s">
        <v>771</v>
      </c>
      <c r="E1072" s="1297"/>
      <c r="F1072" s="1297"/>
      <c r="G1072" s="1297"/>
      <c r="H1072" s="1297"/>
      <c r="I1072" s="1297"/>
      <c r="J1072" s="1297"/>
      <c r="K1072" s="1297"/>
      <c r="L1072" s="1297"/>
      <c r="M1072" s="1297"/>
      <c r="N1072" s="1297"/>
      <c r="O1072" s="1297"/>
      <c r="P1072" s="1297"/>
      <c r="Q1072" s="1297"/>
      <c r="R1072" s="1297"/>
      <c r="S1072" s="1297"/>
      <c r="T1072" s="1297"/>
      <c r="U1072" s="1297"/>
      <c r="V1072" s="1297"/>
      <c r="W1072" s="1297"/>
      <c r="X1072" s="1297"/>
      <c r="Y1072" s="1297"/>
      <c r="Z1072" s="1297"/>
      <c r="AA1072" s="1297"/>
      <c r="AB1072" s="1297"/>
      <c r="AC1072" s="1297"/>
      <c r="AD1072" s="1297"/>
      <c r="AE1072" s="1297"/>
      <c r="AF1072" s="1297"/>
      <c r="AG1072" s="1297"/>
      <c r="AH1072" s="1297"/>
      <c r="AI1072" s="1297"/>
      <c r="AJ1072" s="1297"/>
      <c r="AK1072" s="1297"/>
      <c r="AL1072" s="1298" t="s">
        <v>736</v>
      </c>
      <c r="AM1072" s="1297"/>
      <c r="AN1072" s="1297"/>
      <c r="AO1072" s="1298" t="s">
        <v>736</v>
      </c>
      <c r="AP1072" s="596"/>
      <c r="AQ1072" s="596"/>
      <c r="AR1072" s="596"/>
      <c r="AS1072" s="1297"/>
      <c r="AT1072" s="596"/>
      <c r="AU1072" s="596"/>
      <c r="AV1072" s="596"/>
      <c r="AW1072" s="596"/>
      <c r="AX1072" s="1297"/>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3">
      <c r="B1073" s="1285"/>
      <c r="C1073" s="522"/>
      <c r="D1073" s="1286" t="s">
        <v>772</v>
      </c>
      <c r="E1073" s="1297"/>
      <c r="F1073" s="1297"/>
      <c r="G1073" s="1297"/>
      <c r="H1073" s="1297"/>
      <c r="I1073" s="1297"/>
      <c r="J1073" s="1297"/>
      <c r="K1073" s="1297"/>
      <c r="L1073" s="1297"/>
      <c r="M1073" s="1297"/>
      <c r="N1073" s="1297"/>
      <c r="O1073" s="1297"/>
      <c r="P1073" s="1297"/>
      <c r="Q1073" s="1297"/>
      <c r="R1073" s="1297"/>
      <c r="S1073" s="1297"/>
      <c r="T1073" s="1297"/>
      <c r="U1073" s="1297"/>
      <c r="V1073" s="1297"/>
      <c r="W1073" s="1297"/>
      <c r="X1073" s="1297"/>
      <c r="Y1073" s="1297"/>
      <c r="Z1073" s="1297"/>
      <c r="AA1073" s="1297"/>
      <c r="AB1073" s="1297"/>
      <c r="AC1073" s="1297"/>
      <c r="AD1073" s="1297"/>
      <c r="AE1073" s="1297"/>
      <c r="AF1073" s="1297"/>
      <c r="AG1073" s="1297"/>
      <c r="AH1073" s="1297"/>
      <c r="AI1073" s="1297"/>
      <c r="AJ1073" s="1297"/>
      <c r="AK1073" s="1297"/>
      <c r="AL1073" s="1298" t="s">
        <v>736</v>
      </c>
      <c r="AM1073" s="1297"/>
      <c r="AN1073" s="1297"/>
      <c r="AO1073" s="1298" t="s">
        <v>736</v>
      </c>
      <c r="AP1073" s="596"/>
      <c r="AQ1073" s="596"/>
      <c r="AR1073" s="596"/>
      <c r="AS1073" s="1297"/>
      <c r="AT1073" s="596"/>
      <c r="AU1073" s="596"/>
      <c r="AV1073" s="596"/>
      <c r="AW1073" s="596"/>
      <c r="AX1073" s="1297"/>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3">
      <c r="B1074" s="1285"/>
      <c r="C1074" s="522"/>
      <c r="D1074" s="1286" t="s">
        <v>773</v>
      </c>
      <c r="E1074" s="1297"/>
      <c r="F1074" s="1297"/>
      <c r="G1074" s="1297"/>
      <c r="H1074" s="1297"/>
      <c r="I1074" s="1297"/>
      <c r="J1074" s="1297"/>
      <c r="K1074" s="1297"/>
      <c r="L1074" s="1297"/>
      <c r="M1074" s="1297"/>
      <c r="N1074" s="1297"/>
      <c r="O1074" s="1297"/>
      <c r="P1074" s="1297"/>
      <c r="Q1074" s="1297"/>
      <c r="R1074" s="1297"/>
      <c r="S1074" s="1297"/>
      <c r="T1074" s="1297"/>
      <c r="U1074" s="1297"/>
      <c r="V1074" s="1297"/>
      <c r="W1074" s="1297"/>
      <c r="X1074" s="1297"/>
      <c r="Y1074" s="1297"/>
      <c r="Z1074" s="1297"/>
      <c r="AA1074" s="1297"/>
      <c r="AB1074" s="1297"/>
      <c r="AC1074" s="1297"/>
      <c r="AD1074" s="1297"/>
      <c r="AE1074" s="1297"/>
      <c r="AF1074" s="1297"/>
      <c r="AG1074" s="1297"/>
      <c r="AH1074" s="1297"/>
      <c r="AI1074" s="1297"/>
      <c r="AJ1074" s="1297"/>
      <c r="AK1074" s="1297"/>
      <c r="AL1074" s="1298" t="s">
        <v>736</v>
      </c>
      <c r="AM1074" s="1297"/>
      <c r="AN1074" s="1297"/>
      <c r="AO1074" s="1298" t="s">
        <v>736</v>
      </c>
      <c r="AP1074" s="596"/>
      <c r="AQ1074" s="596"/>
      <c r="AR1074" s="596"/>
      <c r="AS1074" s="1297"/>
      <c r="AT1074" s="596"/>
      <c r="AU1074" s="596"/>
      <c r="AV1074" s="596"/>
      <c r="AW1074" s="596"/>
      <c r="AX1074" s="1297"/>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 thickBot="1" x14ac:dyDescent="0.35">
      <c r="B1075" s="1287"/>
      <c r="C1075" s="1290"/>
      <c r="D1075" s="1288" t="s">
        <v>774</v>
      </c>
      <c r="E1075" s="1297"/>
      <c r="F1075" s="1297"/>
      <c r="G1075" s="1297"/>
      <c r="H1075" s="1297"/>
      <c r="I1075" s="1297"/>
      <c r="J1075" s="1297"/>
      <c r="K1075" s="1297"/>
      <c r="L1075" s="1297"/>
      <c r="M1075" s="1297"/>
      <c r="N1075" s="1297"/>
      <c r="O1075" s="1297"/>
      <c r="P1075" s="1297"/>
      <c r="Q1075" s="1297"/>
      <c r="R1075" s="1297"/>
      <c r="S1075" s="1297"/>
      <c r="T1075" s="1297"/>
      <c r="U1075" s="1297"/>
      <c r="V1075" s="1297"/>
      <c r="W1075" s="1297"/>
      <c r="X1075" s="1297"/>
      <c r="Y1075" s="1297"/>
      <c r="Z1075" s="1297"/>
      <c r="AA1075" s="1297"/>
      <c r="AB1075" s="1297"/>
      <c r="AC1075" s="1297"/>
      <c r="AD1075" s="1297"/>
      <c r="AE1075" s="1297"/>
      <c r="AF1075" s="1297"/>
      <c r="AG1075" s="1297"/>
      <c r="AH1075" s="1297"/>
      <c r="AI1075" s="1297"/>
      <c r="AJ1075" s="1297"/>
      <c r="AK1075" s="1297"/>
      <c r="AL1075" s="1298" t="s">
        <v>736</v>
      </c>
      <c r="AM1075" s="1297"/>
      <c r="AN1075" s="1297"/>
      <c r="AO1075" s="1298" t="s">
        <v>736</v>
      </c>
      <c r="AP1075" s="596"/>
      <c r="AQ1075" s="596"/>
      <c r="AR1075" s="596"/>
      <c r="AS1075" s="1297"/>
      <c r="AT1075" s="596"/>
      <c r="AU1075" s="596"/>
      <c r="AV1075" s="596"/>
      <c r="AW1075" s="596"/>
      <c r="AX1075" s="1297"/>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3">
      <c r="B1076" s="1291" t="s">
        <v>1561</v>
      </c>
      <c r="C1076" s="1289" t="s">
        <v>776</v>
      </c>
      <c r="D1076" s="1284" t="s">
        <v>1562</v>
      </c>
      <c r="E1076" s="1297"/>
      <c r="F1076" s="1297"/>
      <c r="G1076" s="1297"/>
      <c r="H1076" s="1297"/>
      <c r="I1076" s="1297"/>
      <c r="J1076" s="1297"/>
      <c r="K1076" s="1297"/>
      <c r="L1076" s="1297"/>
      <c r="M1076" s="1297"/>
      <c r="N1076" s="1297"/>
      <c r="O1076" s="1297"/>
      <c r="P1076" s="1297"/>
      <c r="Q1076" s="1297"/>
      <c r="R1076" s="1297"/>
      <c r="S1076" s="1297"/>
      <c r="T1076" s="1297"/>
      <c r="U1076" s="1297"/>
      <c r="V1076" s="1297"/>
      <c r="W1076" s="1297"/>
      <c r="X1076" s="1297"/>
      <c r="Y1076" s="1297"/>
      <c r="Z1076" s="1297"/>
      <c r="AA1076" s="1297"/>
      <c r="AB1076" s="1297"/>
      <c r="AC1076" s="1297"/>
      <c r="AD1076" s="1297"/>
      <c r="AE1076" s="1297"/>
      <c r="AF1076" s="1297"/>
      <c r="AG1076" s="1297"/>
      <c r="AH1076" s="1297"/>
      <c r="AI1076" s="1297"/>
      <c r="AJ1076" s="1297"/>
      <c r="AK1076" s="1297"/>
      <c r="AL1076" s="1299" t="s">
        <v>741</v>
      </c>
      <c r="AM1076" s="1297"/>
      <c r="AN1076" s="1297"/>
      <c r="AO1076" s="1299" t="s">
        <v>741</v>
      </c>
      <c r="AP1076" s="596"/>
      <c r="AQ1076" s="596"/>
      <c r="AR1076" s="596"/>
      <c r="AS1076" s="1297"/>
      <c r="AT1076" s="596"/>
      <c r="AU1076" s="596"/>
      <c r="AV1076" s="596"/>
      <c r="AW1076" s="596"/>
      <c r="AX1076" s="1297"/>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3">
      <c r="B1077" s="1285" t="s">
        <v>1563</v>
      </c>
      <c r="C1077" s="522"/>
      <c r="D1077" s="1286" t="s">
        <v>1564</v>
      </c>
      <c r="E1077" s="1297"/>
      <c r="F1077" s="1297"/>
      <c r="G1077" s="1297"/>
      <c r="H1077" s="1297"/>
      <c r="I1077" s="1297"/>
      <c r="J1077" s="1297"/>
      <c r="K1077" s="1297"/>
      <c r="L1077" s="1297"/>
      <c r="M1077" s="1297"/>
      <c r="N1077" s="1297"/>
      <c r="O1077" s="1297"/>
      <c r="P1077" s="1297"/>
      <c r="Q1077" s="1297"/>
      <c r="R1077" s="1297"/>
      <c r="S1077" s="1297"/>
      <c r="T1077" s="1297"/>
      <c r="U1077" s="1297"/>
      <c r="V1077" s="1297"/>
      <c r="W1077" s="1297"/>
      <c r="X1077" s="1297"/>
      <c r="Y1077" s="1297"/>
      <c r="Z1077" s="1297"/>
      <c r="AA1077" s="1297"/>
      <c r="AB1077" s="1297"/>
      <c r="AC1077" s="1297"/>
      <c r="AD1077" s="1297"/>
      <c r="AE1077" s="1297"/>
      <c r="AF1077" s="1297"/>
      <c r="AG1077" s="1297"/>
      <c r="AH1077" s="1297"/>
      <c r="AI1077" s="1297"/>
      <c r="AJ1077" s="1297"/>
      <c r="AK1077" s="1297"/>
      <c r="AL1077" s="1298" t="s">
        <v>736</v>
      </c>
      <c r="AM1077" s="1297"/>
      <c r="AN1077" s="1297"/>
      <c r="AO1077" s="1298" t="s">
        <v>736</v>
      </c>
      <c r="AP1077" s="596"/>
      <c r="AQ1077" s="596"/>
      <c r="AR1077" s="596"/>
      <c r="AS1077" s="1297"/>
      <c r="AT1077" s="596"/>
      <c r="AU1077" s="596"/>
      <c r="AV1077" s="596"/>
      <c r="AW1077" s="596"/>
      <c r="AX1077" s="1297"/>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3">
      <c r="B1078" s="1285"/>
      <c r="C1078" s="522"/>
      <c r="D1078" s="1286" t="s">
        <v>1565</v>
      </c>
      <c r="E1078" s="1297"/>
      <c r="F1078" s="1297"/>
      <c r="G1078" s="1297"/>
      <c r="H1078" s="1297"/>
      <c r="I1078" s="1297"/>
      <c r="J1078" s="1297"/>
      <c r="K1078" s="1297"/>
      <c r="L1078" s="1297"/>
      <c r="M1078" s="1297"/>
      <c r="N1078" s="1297"/>
      <c r="O1078" s="1297"/>
      <c r="P1078" s="1297"/>
      <c r="Q1078" s="1297"/>
      <c r="R1078" s="1297"/>
      <c r="S1078" s="1297"/>
      <c r="T1078" s="1297"/>
      <c r="U1078" s="1297"/>
      <c r="V1078" s="1297"/>
      <c r="W1078" s="1297"/>
      <c r="X1078" s="1297"/>
      <c r="Y1078" s="1297"/>
      <c r="Z1078" s="1297"/>
      <c r="AA1078" s="1297"/>
      <c r="AB1078" s="1297"/>
      <c r="AC1078" s="1297"/>
      <c r="AD1078" s="1297"/>
      <c r="AE1078" s="1297"/>
      <c r="AF1078" s="1297"/>
      <c r="AG1078" s="1297"/>
      <c r="AH1078" s="1297"/>
      <c r="AI1078" s="1297"/>
      <c r="AJ1078" s="1297"/>
      <c r="AK1078" s="1297"/>
      <c r="AL1078" s="1298" t="s">
        <v>736</v>
      </c>
      <c r="AM1078" s="1297"/>
      <c r="AN1078" s="1297"/>
      <c r="AO1078" s="1298" t="s">
        <v>736</v>
      </c>
      <c r="AP1078" s="596"/>
      <c r="AQ1078" s="596"/>
      <c r="AR1078" s="596"/>
      <c r="AS1078" s="1297"/>
      <c r="AT1078" s="596"/>
      <c r="AU1078" s="596"/>
      <c r="AV1078" s="596"/>
      <c r="AW1078" s="596"/>
      <c r="AX1078" s="1297"/>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3">
      <c r="B1079" s="1285"/>
      <c r="C1079" s="522"/>
      <c r="D1079" s="1286" t="s">
        <v>1566</v>
      </c>
      <c r="E1079" s="1297"/>
      <c r="F1079" s="1297"/>
      <c r="G1079" s="1297"/>
      <c r="H1079" s="1297"/>
      <c r="I1079" s="1297"/>
      <c r="J1079" s="1297"/>
      <c r="K1079" s="1297"/>
      <c r="L1079" s="1297"/>
      <c r="M1079" s="1297"/>
      <c r="N1079" s="1297"/>
      <c r="O1079" s="1297"/>
      <c r="P1079" s="1297"/>
      <c r="Q1079" s="1297"/>
      <c r="R1079" s="1297"/>
      <c r="S1079" s="1297"/>
      <c r="T1079" s="1297"/>
      <c r="U1079" s="1297"/>
      <c r="V1079" s="1297"/>
      <c r="W1079" s="1297"/>
      <c r="X1079" s="1297"/>
      <c r="Y1079" s="1297"/>
      <c r="Z1079" s="1297"/>
      <c r="AA1079" s="1297"/>
      <c r="AB1079" s="1297"/>
      <c r="AC1079" s="1297"/>
      <c r="AD1079" s="1297"/>
      <c r="AE1079" s="1297"/>
      <c r="AF1079" s="1297"/>
      <c r="AG1079" s="1297"/>
      <c r="AH1079" s="1297"/>
      <c r="AI1079" s="1297"/>
      <c r="AJ1079" s="1297"/>
      <c r="AK1079" s="1297"/>
      <c r="AL1079" s="1298" t="s">
        <v>736</v>
      </c>
      <c r="AM1079" s="1297"/>
      <c r="AN1079" s="1297"/>
      <c r="AO1079" s="1298" t="s">
        <v>736</v>
      </c>
      <c r="AP1079" s="596"/>
      <c r="AQ1079" s="596"/>
      <c r="AR1079" s="596"/>
      <c r="AS1079" s="1297"/>
      <c r="AT1079" s="596"/>
      <c r="AU1079" s="596"/>
      <c r="AV1079" s="596"/>
      <c r="AW1079" s="596"/>
      <c r="AX1079" s="1297"/>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3">
      <c r="B1080" s="1285"/>
      <c r="C1080" s="522"/>
      <c r="D1080" s="1286" t="s">
        <v>1567</v>
      </c>
      <c r="E1080" s="1297"/>
      <c r="F1080" s="1297"/>
      <c r="G1080" s="1297"/>
      <c r="H1080" s="1297"/>
      <c r="I1080" s="1297"/>
      <c r="J1080" s="1297"/>
      <c r="K1080" s="1297"/>
      <c r="L1080" s="1297"/>
      <c r="M1080" s="1297"/>
      <c r="N1080" s="1297"/>
      <c r="O1080" s="1297"/>
      <c r="P1080" s="1297"/>
      <c r="Q1080" s="1297"/>
      <c r="R1080" s="1297"/>
      <c r="S1080" s="1297"/>
      <c r="T1080" s="1297"/>
      <c r="U1080" s="1297"/>
      <c r="V1080" s="1297"/>
      <c r="W1080" s="1297"/>
      <c r="X1080" s="1297"/>
      <c r="Y1080" s="1297"/>
      <c r="Z1080" s="1297"/>
      <c r="AA1080" s="1297"/>
      <c r="AB1080" s="1297"/>
      <c r="AC1080" s="1297"/>
      <c r="AD1080" s="1297"/>
      <c r="AE1080" s="1297"/>
      <c r="AF1080" s="1297"/>
      <c r="AG1080" s="1297"/>
      <c r="AH1080" s="1297"/>
      <c r="AI1080" s="1297"/>
      <c r="AJ1080" s="1297"/>
      <c r="AK1080" s="1297"/>
      <c r="AL1080" s="1298" t="s">
        <v>736</v>
      </c>
      <c r="AM1080" s="1297"/>
      <c r="AN1080" s="1297"/>
      <c r="AO1080" s="1298" t="s">
        <v>736</v>
      </c>
      <c r="AP1080" s="596"/>
      <c r="AQ1080" s="596"/>
      <c r="AR1080" s="596"/>
      <c r="AS1080" s="1297"/>
      <c r="AT1080" s="596"/>
      <c r="AU1080" s="596"/>
      <c r="AV1080" s="596"/>
      <c r="AW1080" s="596"/>
      <c r="AX1080" s="1297"/>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3">
      <c r="B1081" s="1285"/>
      <c r="C1081" s="522"/>
      <c r="D1081" s="1286" t="s">
        <v>1568</v>
      </c>
      <c r="E1081" s="1297"/>
      <c r="F1081" s="1297"/>
      <c r="G1081" s="1297"/>
      <c r="H1081" s="1297"/>
      <c r="I1081" s="1297"/>
      <c r="J1081" s="1297"/>
      <c r="K1081" s="1297"/>
      <c r="L1081" s="1297"/>
      <c r="M1081" s="1297"/>
      <c r="N1081" s="1297"/>
      <c r="O1081" s="1297"/>
      <c r="P1081" s="1297"/>
      <c r="Q1081" s="1297"/>
      <c r="R1081" s="1297"/>
      <c r="S1081" s="1297"/>
      <c r="T1081" s="1297"/>
      <c r="U1081" s="1297"/>
      <c r="V1081" s="1297"/>
      <c r="W1081" s="1297"/>
      <c r="X1081" s="1297"/>
      <c r="Y1081" s="1297"/>
      <c r="Z1081" s="1297"/>
      <c r="AA1081" s="1297"/>
      <c r="AB1081" s="1297"/>
      <c r="AC1081" s="1297"/>
      <c r="AD1081" s="1297"/>
      <c r="AE1081" s="1297"/>
      <c r="AF1081" s="1297"/>
      <c r="AG1081" s="1297"/>
      <c r="AH1081" s="1297"/>
      <c r="AI1081" s="1297"/>
      <c r="AJ1081" s="1297"/>
      <c r="AK1081" s="1297"/>
      <c r="AL1081" s="1298" t="s">
        <v>736</v>
      </c>
      <c r="AM1081" s="1297"/>
      <c r="AN1081" s="1297"/>
      <c r="AO1081" s="1298" t="s">
        <v>736</v>
      </c>
      <c r="AP1081" s="596"/>
      <c r="AQ1081" s="596"/>
      <c r="AR1081" s="596"/>
      <c r="AS1081" s="1297"/>
      <c r="AT1081" s="596"/>
      <c r="AU1081" s="596"/>
      <c r="AV1081" s="596"/>
      <c r="AW1081" s="596"/>
      <c r="AX1081" s="1297"/>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3">
      <c r="B1082" s="1285"/>
      <c r="C1082" s="522"/>
      <c r="D1082" s="1286" t="s">
        <v>1569</v>
      </c>
      <c r="E1082" s="1297"/>
      <c r="F1082" s="1297"/>
      <c r="G1082" s="1297"/>
      <c r="H1082" s="1297"/>
      <c r="I1082" s="1297"/>
      <c r="J1082" s="1297"/>
      <c r="K1082" s="1297"/>
      <c r="L1082" s="1297"/>
      <c r="M1082" s="1297"/>
      <c r="N1082" s="1297"/>
      <c r="O1082" s="1297"/>
      <c r="P1082" s="1297"/>
      <c r="Q1082" s="1297"/>
      <c r="R1082" s="1297"/>
      <c r="S1082" s="1297"/>
      <c r="T1082" s="1297"/>
      <c r="U1082" s="1297"/>
      <c r="V1082" s="1297"/>
      <c r="W1082" s="1297"/>
      <c r="X1082" s="1297"/>
      <c r="Y1082" s="1297"/>
      <c r="Z1082" s="1297"/>
      <c r="AA1082" s="1297"/>
      <c r="AB1082" s="1297"/>
      <c r="AC1082" s="1297"/>
      <c r="AD1082" s="1297"/>
      <c r="AE1082" s="1297"/>
      <c r="AF1082" s="1297"/>
      <c r="AG1082" s="1297"/>
      <c r="AH1082" s="1297"/>
      <c r="AI1082" s="1297"/>
      <c r="AJ1082" s="1297"/>
      <c r="AK1082" s="1297"/>
      <c r="AL1082" s="1298" t="s">
        <v>736</v>
      </c>
      <c r="AM1082" s="1297"/>
      <c r="AN1082" s="1297"/>
      <c r="AO1082" s="1298" t="s">
        <v>736</v>
      </c>
      <c r="AP1082" s="596"/>
      <c r="AQ1082" s="596"/>
      <c r="AR1082" s="596"/>
      <c r="AS1082" s="1297"/>
      <c r="AT1082" s="596"/>
      <c r="AU1082" s="596"/>
      <c r="AV1082" s="596"/>
      <c r="AW1082" s="596"/>
      <c r="AX1082" s="1297"/>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3">
      <c r="B1083" s="1285"/>
      <c r="C1083" s="522"/>
      <c r="D1083" s="1286" t="s">
        <v>1570</v>
      </c>
      <c r="E1083" s="1297"/>
      <c r="F1083" s="1297"/>
      <c r="G1083" s="1297"/>
      <c r="H1083" s="1297"/>
      <c r="I1083" s="1297"/>
      <c r="J1083" s="1297"/>
      <c r="K1083" s="1297"/>
      <c r="L1083" s="1297"/>
      <c r="M1083" s="1297"/>
      <c r="N1083" s="1297"/>
      <c r="O1083" s="1297"/>
      <c r="P1083" s="1297"/>
      <c r="Q1083" s="1297"/>
      <c r="R1083" s="1297"/>
      <c r="S1083" s="1297"/>
      <c r="T1083" s="1297"/>
      <c r="U1083" s="1297"/>
      <c r="V1083" s="1297"/>
      <c r="W1083" s="1297"/>
      <c r="X1083" s="1297"/>
      <c r="Y1083" s="1297"/>
      <c r="Z1083" s="1297"/>
      <c r="AA1083" s="1297"/>
      <c r="AB1083" s="1297"/>
      <c r="AC1083" s="1297"/>
      <c r="AD1083" s="1297"/>
      <c r="AE1083" s="1297"/>
      <c r="AF1083" s="1297"/>
      <c r="AG1083" s="1297"/>
      <c r="AH1083" s="1297"/>
      <c r="AI1083" s="1297"/>
      <c r="AJ1083" s="1297"/>
      <c r="AK1083" s="1297"/>
      <c r="AL1083" s="1298" t="s">
        <v>736</v>
      </c>
      <c r="AM1083" s="1297"/>
      <c r="AN1083" s="1297"/>
      <c r="AO1083" s="1298" t="s">
        <v>736</v>
      </c>
      <c r="AP1083" s="596"/>
      <c r="AQ1083" s="596"/>
      <c r="AR1083" s="596"/>
      <c r="AS1083" s="1297"/>
      <c r="AT1083" s="596"/>
      <c r="AU1083" s="596"/>
      <c r="AV1083" s="596"/>
      <c r="AW1083" s="596"/>
      <c r="AX1083" s="1297"/>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3">
      <c r="B1084" s="1285"/>
      <c r="C1084" s="522"/>
      <c r="D1084" s="1286" t="s">
        <v>1571</v>
      </c>
      <c r="E1084" s="1297"/>
      <c r="F1084" s="1297"/>
      <c r="G1084" s="1297"/>
      <c r="H1084" s="1297"/>
      <c r="I1084" s="1297"/>
      <c r="J1084" s="1297"/>
      <c r="K1084" s="1297"/>
      <c r="L1084" s="1297"/>
      <c r="M1084" s="1297"/>
      <c r="N1084" s="1297"/>
      <c r="O1084" s="1297"/>
      <c r="P1084" s="1297"/>
      <c r="Q1084" s="1297"/>
      <c r="R1084" s="1297"/>
      <c r="S1084" s="1297"/>
      <c r="T1084" s="1297"/>
      <c r="U1084" s="1297"/>
      <c r="V1084" s="1297"/>
      <c r="W1084" s="1297"/>
      <c r="X1084" s="1297"/>
      <c r="Y1084" s="1297"/>
      <c r="Z1084" s="1297"/>
      <c r="AA1084" s="1297"/>
      <c r="AB1084" s="1297"/>
      <c r="AC1084" s="1297"/>
      <c r="AD1084" s="1297"/>
      <c r="AE1084" s="1297"/>
      <c r="AF1084" s="1297"/>
      <c r="AG1084" s="1297"/>
      <c r="AH1084" s="1297"/>
      <c r="AI1084" s="1297"/>
      <c r="AJ1084" s="1297"/>
      <c r="AK1084" s="1297"/>
      <c r="AL1084" s="1298" t="s">
        <v>736</v>
      </c>
      <c r="AM1084" s="1297"/>
      <c r="AN1084" s="1297"/>
      <c r="AO1084" s="1298" t="s">
        <v>736</v>
      </c>
      <c r="AP1084" s="596"/>
      <c r="AQ1084" s="596"/>
      <c r="AR1084" s="596"/>
      <c r="AS1084" s="1297"/>
      <c r="AT1084" s="596"/>
      <c r="AU1084" s="596"/>
      <c r="AV1084" s="596"/>
      <c r="AW1084" s="596"/>
      <c r="AX1084" s="1297"/>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3">
      <c r="B1085" s="1285"/>
      <c r="C1085" s="522"/>
      <c r="D1085" s="1286" t="s">
        <v>1572</v>
      </c>
      <c r="E1085" s="1297"/>
      <c r="F1085" s="1297"/>
      <c r="G1085" s="1297"/>
      <c r="H1085" s="1297"/>
      <c r="I1085" s="1297"/>
      <c r="J1085" s="1297"/>
      <c r="K1085" s="1297"/>
      <c r="L1085" s="1297"/>
      <c r="M1085" s="1297"/>
      <c r="N1085" s="1297"/>
      <c r="O1085" s="1297"/>
      <c r="P1085" s="1297"/>
      <c r="Q1085" s="1297"/>
      <c r="R1085" s="1297"/>
      <c r="S1085" s="1297"/>
      <c r="T1085" s="1297"/>
      <c r="U1085" s="1297"/>
      <c r="V1085" s="1297"/>
      <c r="W1085" s="1297"/>
      <c r="X1085" s="1297"/>
      <c r="Y1085" s="1297"/>
      <c r="Z1085" s="1297"/>
      <c r="AA1085" s="1297"/>
      <c r="AB1085" s="1297"/>
      <c r="AC1085" s="1297"/>
      <c r="AD1085" s="1297"/>
      <c r="AE1085" s="1297"/>
      <c r="AF1085" s="1297"/>
      <c r="AG1085" s="1297"/>
      <c r="AH1085" s="1297"/>
      <c r="AI1085" s="1297"/>
      <c r="AJ1085" s="1297"/>
      <c r="AK1085" s="1297"/>
      <c r="AL1085" s="1298" t="s">
        <v>736</v>
      </c>
      <c r="AM1085" s="1297"/>
      <c r="AN1085" s="1297"/>
      <c r="AO1085" s="1298" t="s">
        <v>736</v>
      </c>
      <c r="AP1085" s="596"/>
      <c r="AQ1085" s="596"/>
      <c r="AR1085" s="596"/>
      <c r="AS1085" s="1297"/>
      <c r="AT1085" s="596"/>
      <c r="AU1085" s="596"/>
      <c r="AV1085" s="596"/>
      <c r="AW1085" s="596"/>
      <c r="AX1085" s="1297"/>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3">
      <c r="B1086" s="1285"/>
      <c r="C1086" s="522"/>
      <c r="D1086" s="1286" t="s">
        <v>1573</v>
      </c>
      <c r="E1086" s="1297"/>
      <c r="F1086" s="1297"/>
      <c r="G1086" s="1297"/>
      <c r="H1086" s="1297"/>
      <c r="I1086" s="1297"/>
      <c r="J1086" s="1297"/>
      <c r="K1086" s="1297"/>
      <c r="L1086" s="1297"/>
      <c r="M1086" s="1297"/>
      <c r="N1086" s="1297"/>
      <c r="O1086" s="1297"/>
      <c r="P1086" s="1297"/>
      <c r="Q1086" s="1297"/>
      <c r="R1086" s="1297"/>
      <c r="S1086" s="1297"/>
      <c r="T1086" s="1297"/>
      <c r="U1086" s="1297"/>
      <c r="V1086" s="1297"/>
      <c r="W1086" s="1297"/>
      <c r="X1086" s="1297"/>
      <c r="Y1086" s="1297"/>
      <c r="Z1086" s="1297"/>
      <c r="AA1086" s="1297"/>
      <c r="AB1086" s="1297"/>
      <c r="AC1086" s="1297"/>
      <c r="AD1086" s="1297"/>
      <c r="AE1086" s="1297"/>
      <c r="AF1086" s="1297"/>
      <c r="AG1086" s="1297"/>
      <c r="AH1086" s="1297"/>
      <c r="AI1086" s="1297"/>
      <c r="AJ1086" s="1297"/>
      <c r="AK1086" s="1297"/>
      <c r="AL1086" s="1298" t="s">
        <v>736</v>
      </c>
      <c r="AM1086" s="1297"/>
      <c r="AN1086" s="1297"/>
      <c r="AO1086" s="1298" t="s">
        <v>736</v>
      </c>
      <c r="AP1086" s="596"/>
      <c r="AQ1086" s="596"/>
      <c r="AR1086" s="596"/>
      <c r="AS1086" s="1297"/>
      <c r="AT1086" s="596"/>
      <c r="AU1086" s="596"/>
      <c r="AV1086" s="596"/>
      <c r="AW1086" s="596"/>
      <c r="AX1086" s="1297"/>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3">
      <c r="B1087" s="1285"/>
      <c r="C1087" s="522"/>
      <c r="D1087" s="1286" t="s">
        <v>1574</v>
      </c>
      <c r="E1087" s="1297"/>
      <c r="F1087" s="1297"/>
      <c r="G1087" s="1297"/>
      <c r="H1087" s="1297"/>
      <c r="I1087" s="1297"/>
      <c r="J1087" s="1297"/>
      <c r="K1087" s="1297"/>
      <c r="L1087" s="1297"/>
      <c r="M1087" s="1297"/>
      <c r="N1087" s="1297"/>
      <c r="O1087" s="1297"/>
      <c r="P1087" s="1297"/>
      <c r="Q1087" s="1297"/>
      <c r="R1087" s="1297"/>
      <c r="S1087" s="1297"/>
      <c r="T1087" s="1297"/>
      <c r="U1087" s="1297"/>
      <c r="V1087" s="1297"/>
      <c r="W1087" s="1297"/>
      <c r="X1087" s="1297"/>
      <c r="Y1087" s="1297"/>
      <c r="Z1087" s="1297"/>
      <c r="AA1087" s="1297"/>
      <c r="AB1087" s="1297"/>
      <c r="AC1087" s="1297"/>
      <c r="AD1087" s="1297"/>
      <c r="AE1087" s="1297"/>
      <c r="AF1087" s="1297"/>
      <c r="AG1087" s="1297"/>
      <c r="AH1087" s="1297"/>
      <c r="AI1087" s="1297"/>
      <c r="AJ1087" s="1297"/>
      <c r="AK1087" s="1297"/>
      <c r="AL1087" s="1298" t="s">
        <v>736</v>
      </c>
      <c r="AM1087" s="1297"/>
      <c r="AN1087" s="1297"/>
      <c r="AO1087" s="1298" t="s">
        <v>736</v>
      </c>
      <c r="AP1087" s="596"/>
      <c r="AQ1087" s="596"/>
      <c r="AR1087" s="596"/>
      <c r="AS1087" s="1297"/>
      <c r="AT1087" s="596"/>
      <c r="AU1087" s="596"/>
      <c r="AV1087" s="596"/>
      <c r="AW1087" s="596"/>
      <c r="AX1087" s="1297"/>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3">
      <c r="B1088" s="1285"/>
      <c r="C1088" s="522"/>
      <c r="D1088" s="1286" t="s">
        <v>1575</v>
      </c>
      <c r="E1088" s="1297"/>
      <c r="F1088" s="1297"/>
      <c r="G1088" s="1297"/>
      <c r="H1088" s="1297"/>
      <c r="I1088" s="1297"/>
      <c r="J1088" s="1297"/>
      <c r="K1088" s="1297"/>
      <c r="L1088" s="1297"/>
      <c r="M1088" s="1297"/>
      <c r="N1088" s="1297"/>
      <c r="O1088" s="1297"/>
      <c r="P1088" s="1297"/>
      <c r="Q1088" s="1297"/>
      <c r="R1088" s="1297"/>
      <c r="S1088" s="1297"/>
      <c r="T1088" s="1297"/>
      <c r="U1088" s="1297"/>
      <c r="V1088" s="1297"/>
      <c r="W1088" s="1297"/>
      <c r="X1088" s="1297"/>
      <c r="Y1088" s="1297"/>
      <c r="Z1088" s="1297"/>
      <c r="AA1088" s="1297"/>
      <c r="AB1088" s="1297"/>
      <c r="AC1088" s="1297"/>
      <c r="AD1088" s="1297"/>
      <c r="AE1088" s="1297"/>
      <c r="AF1088" s="1297"/>
      <c r="AG1088" s="1297"/>
      <c r="AH1088" s="1297"/>
      <c r="AI1088" s="1297"/>
      <c r="AJ1088" s="1297"/>
      <c r="AK1088" s="1297"/>
      <c r="AL1088" s="1298" t="s">
        <v>736</v>
      </c>
      <c r="AM1088" s="1297"/>
      <c r="AN1088" s="1297"/>
      <c r="AO1088" s="1298" t="s">
        <v>736</v>
      </c>
      <c r="AP1088" s="596"/>
      <c r="AQ1088" s="596"/>
      <c r="AR1088" s="596"/>
      <c r="AS1088" s="1297"/>
      <c r="AT1088" s="596"/>
      <c r="AU1088" s="596"/>
      <c r="AV1088" s="596"/>
      <c r="AW1088" s="596"/>
      <c r="AX1088" s="1297"/>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3">
      <c r="B1089" s="1285"/>
      <c r="C1089" s="522"/>
      <c r="D1089" s="1286" t="s">
        <v>1576</v>
      </c>
      <c r="E1089" s="1297"/>
      <c r="F1089" s="1297"/>
      <c r="G1089" s="1297"/>
      <c r="H1089" s="1297"/>
      <c r="I1089" s="1297"/>
      <c r="J1089" s="1297"/>
      <c r="K1089" s="1297"/>
      <c r="L1089" s="1297"/>
      <c r="M1089" s="1297"/>
      <c r="N1089" s="1297"/>
      <c r="O1089" s="1297"/>
      <c r="P1089" s="1297"/>
      <c r="Q1089" s="1297"/>
      <c r="R1089" s="1297"/>
      <c r="S1089" s="1297"/>
      <c r="T1089" s="1297"/>
      <c r="U1089" s="1297"/>
      <c r="V1089" s="1297"/>
      <c r="W1089" s="1297"/>
      <c r="X1089" s="1297"/>
      <c r="Y1089" s="1297"/>
      <c r="Z1089" s="1297"/>
      <c r="AA1089" s="1297"/>
      <c r="AB1089" s="1297"/>
      <c r="AC1089" s="1297"/>
      <c r="AD1089" s="1297"/>
      <c r="AE1089" s="1297"/>
      <c r="AF1089" s="1297"/>
      <c r="AG1089" s="1297"/>
      <c r="AH1089" s="1297"/>
      <c r="AI1089" s="1297"/>
      <c r="AJ1089" s="1297"/>
      <c r="AK1089" s="1297"/>
      <c r="AL1089" s="1298" t="s">
        <v>736</v>
      </c>
      <c r="AM1089" s="1297"/>
      <c r="AN1089" s="1297"/>
      <c r="AO1089" s="1298" t="s">
        <v>736</v>
      </c>
      <c r="AP1089" s="596"/>
      <c r="AQ1089" s="596"/>
      <c r="AR1089" s="596"/>
      <c r="AS1089" s="1297"/>
      <c r="AT1089" s="596"/>
      <c r="AU1089" s="596"/>
      <c r="AV1089" s="596"/>
      <c r="AW1089" s="596"/>
      <c r="AX1089" s="1297"/>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3">
      <c r="B1090" s="1285"/>
      <c r="C1090" s="522"/>
      <c r="D1090" s="1286" t="s">
        <v>1577</v>
      </c>
      <c r="E1090" s="1297"/>
      <c r="F1090" s="1297"/>
      <c r="G1090" s="1297"/>
      <c r="H1090" s="1297"/>
      <c r="I1090" s="1297"/>
      <c r="J1090" s="1297"/>
      <c r="K1090" s="1297"/>
      <c r="L1090" s="1297"/>
      <c r="M1090" s="1297"/>
      <c r="N1090" s="1297"/>
      <c r="O1090" s="1297"/>
      <c r="P1090" s="1297"/>
      <c r="Q1090" s="1297"/>
      <c r="R1090" s="1297"/>
      <c r="S1090" s="1297"/>
      <c r="T1090" s="1297"/>
      <c r="U1090" s="1297"/>
      <c r="V1090" s="1297"/>
      <c r="W1090" s="1297"/>
      <c r="X1090" s="1297"/>
      <c r="Y1090" s="1297"/>
      <c r="Z1090" s="1297"/>
      <c r="AA1090" s="1297"/>
      <c r="AB1090" s="1297"/>
      <c r="AC1090" s="1297"/>
      <c r="AD1090" s="1297"/>
      <c r="AE1090" s="1297"/>
      <c r="AF1090" s="1297"/>
      <c r="AG1090" s="1297"/>
      <c r="AH1090" s="1297"/>
      <c r="AI1090" s="1297"/>
      <c r="AJ1090" s="1297"/>
      <c r="AK1090" s="1297"/>
      <c r="AL1090" s="1298" t="s">
        <v>736</v>
      </c>
      <c r="AM1090" s="1297"/>
      <c r="AN1090" s="1297"/>
      <c r="AO1090" s="1298" t="s">
        <v>736</v>
      </c>
      <c r="AP1090" s="596"/>
      <c r="AQ1090" s="596"/>
      <c r="AR1090" s="596"/>
      <c r="AS1090" s="1297"/>
      <c r="AT1090" s="596"/>
      <c r="AU1090" s="596"/>
      <c r="AV1090" s="596"/>
      <c r="AW1090" s="596"/>
      <c r="AX1090" s="1297"/>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3">
      <c r="B1091" s="1285"/>
      <c r="C1091" s="522"/>
      <c r="D1091" s="1286" t="s">
        <v>1578</v>
      </c>
      <c r="E1091" s="1297"/>
      <c r="F1091" s="1297"/>
      <c r="G1091" s="1297"/>
      <c r="H1091" s="1297"/>
      <c r="I1091" s="1297"/>
      <c r="J1091" s="1297"/>
      <c r="K1091" s="1297"/>
      <c r="L1091" s="1297"/>
      <c r="M1091" s="1297"/>
      <c r="N1091" s="1297"/>
      <c r="O1091" s="1297"/>
      <c r="P1091" s="1297"/>
      <c r="Q1091" s="1297"/>
      <c r="R1091" s="1297"/>
      <c r="S1091" s="1297"/>
      <c r="T1091" s="1297"/>
      <c r="U1091" s="1297"/>
      <c r="V1091" s="1297"/>
      <c r="W1091" s="1297"/>
      <c r="X1091" s="1297"/>
      <c r="Y1091" s="1297"/>
      <c r="Z1091" s="1297"/>
      <c r="AA1091" s="1297"/>
      <c r="AB1091" s="1297"/>
      <c r="AC1091" s="1297"/>
      <c r="AD1091" s="1297"/>
      <c r="AE1091" s="1297"/>
      <c r="AF1091" s="1297"/>
      <c r="AG1091" s="1297"/>
      <c r="AH1091" s="1297"/>
      <c r="AI1091" s="1297"/>
      <c r="AJ1091" s="1297"/>
      <c r="AK1091" s="1297"/>
      <c r="AL1091" s="1298" t="s">
        <v>736</v>
      </c>
      <c r="AM1091" s="1297"/>
      <c r="AN1091" s="1297"/>
      <c r="AO1091" s="1298" t="s">
        <v>736</v>
      </c>
      <c r="AP1091" s="596"/>
      <c r="AQ1091" s="596"/>
      <c r="AR1091" s="596"/>
      <c r="AS1091" s="1297"/>
      <c r="AT1091" s="596"/>
      <c r="AU1091" s="596"/>
      <c r="AV1091" s="596"/>
      <c r="AW1091" s="596"/>
      <c r="AX1091" s="1297"/>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 thickBot="1" x14ac:dyDescent="0.35">
      <c r="B1092" s="1287"/>
      <c r="C1092" s="1290"/>
      <c r="D1092" s="1288" t="s">
        <v>1579</v>
      </c>
      <c r="E1092" s="1297"/>
      <c r="F1092" s="1297"/>
      <c r="G1092" s="1297"/>
      <c r="H1092" s="1297"/>
      <c r="I1092" s="1297"/>
      <c r="J1092" s="1297"/>
      <c r="K1092" s="1297"/>
      <c r="L1092" s="1297"/>
      <c r="M1092" s="1297"/>
      <c r="N1092" s="1297"/>
      <c r="O1092" s="1297"/>
      <c r="P1092" s="1297"/>
      <c r="Q1092" s="1297"/>
      <c r="R1092" s="1297"/>
      <c r="S1092" s="1297"/>
      <c r="T1092" s="1297"/>
      <c r="U1092" s="1297"/>
      <c r="V1092" s="1297"/>
      <c r="W1092" s="1297"/>
      <c r="X1092" s="1297"/>
      <c r="Y1092" s="1297"/>
      <c r="Z1092" s="1297"/>
      <c r="AA1092" s="1297"/>
      <c r="AB1092" s="1297"/>
      <c r="AC1092" s="1297"/>
      <c r="AD1092" s="1297"/>
      <c r="AE1092" s="1297"/>
      <c r="AF1092" s="1297"/>
      <c r="AG1092" s="1297"/>
      <c r="AH1092" s="1297"/>
      <c r="AI1092" s="1297"/>
      <c r="AJ1092" s="1297"/>
      <c r="AK1092" s="1297"/>
      <c r="AL1092" s="1300" t="s">
        <v>741</v>
      </c>
      <c r="AM1092" s="1297"/>
      <c r="AN1092" s="1297"/>
      <c r="AO1092" s="1300" t="s">
        <v>741</v>
      </c>
      <c r="AP1092" s="596"/>
      <c r="AQ1092" s="596"/>
      <c r="AR1092" s="596"/>
      <c r="AS1092" s="1297"/>
      <c r="AT1092" s="596"/>
      <c r="AU1092" s="596"/>
      <c r="AV1092" s="596"/>
      <c r="AW1092" s="596"/>
      <c r="AX1092" s="1297"/>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3">
      <c r="B1093" s="1285" t="s">
        <v>1580</v>
      </c>
      <c r="C1093" s="522" t="s">
        <v>1581</v>
      </c>
      <c r="D1093" s="1286" t="s">
        <v>1584</v>
      </c>
      <c r="E1093" s="1297"/>
      <c r="F1093" s="1297"/>
      <c r="G1093" s="1297"/>
      <c r="H1093" s="1297"/>
      <c r="I1093" s="1297"/>
      <c r="J1093" s="1297"/>
      <c r="K1093" s="1297"/>
      <c r="L1093" s="1297"/>
      <c r="M1093" s="1297"/>
      <c r="N1093" s="1297"/>
      <c r="O1093" s="1297"/>
      <c r="P1093" s="1297"/>
      <c r="Q1093" s="1297"/>
      <c r="R1093" s="1297"/>
      <c r="S1093" s="1297"/>
      <c r="T1093" s="1297"/>
      <c r="U1093" s="1297"/>
      <c r="V1093" s="1297"/>
      <c r="W1093" s="1297"/>
      <c r="X1093" s="1297"/>
      <c r="Y1093" s="1297"/>
      <c r="Z1093" s="1297"/>
      <c r="AA1093" s="1297"/>
      <c r="AB1093" s="1297"/>
      <c r="AC1093" s="1297"/>
      <c r="AD1093" s="1297"/>
      <c r="AE1093" s="1297"/>
      <c r="AF1093" s="1297"/>
      <c r="AG1093" s="1297"/>
      <c r="AH1093" s="1297"/>
      <c r="AI1093" s="1297"/>
      <c r="AJ1093" s="1297"/>
      <c r="AK1093" s="1297"/>
      <c r="AL1093" s="1299" t="s">
        <v>1066</v>
      </c>
      <c r="AM1093" s="1297"/>
      <c r="AN1093" s="1297"/>
      <c r="AO1093" s="1299" t="s">
        <v>1066</v>
      </c>
      <c r="AP1093" s="596"/>
      <c r="AQ1093" s="596"/>
      <c r="AR1093" s="596"/>
      <c r="AS1093" s="1297"/>
      <c r="AT1093" s="596"/>
      <c r="AU1093" s="596"/>
      <c r="AV1093" s="596"/>
      <c r="AW1093" s="596"/>
      <c r="AX1093" s="1297"/>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3">
      <c r="B1094" s="1285" t="s">
        <v>1583</v>
      </c>
      <c r="C1094" s="522"/>
      <c r="D1094" s="1286" t="s">
        <v>1582</v>
      </c>
      <c r="E1094" s="1297"/>
      <c r="F1094" s="1297"/>
      <c r="G1094" s="1297"/>
      <c r="H1094" s="1297"/>
      <c r="I1094" s="1297"/>
      <c r="J1094" s="1297"/>
      <c r="K1094" s="1297"/>
      <c r="L1094" s="1297"/>
      <c r="M1094" s="1297"/>
      <c r="N1094" s="1297"/>
      <c r="O1094" s="1297"/>
      <c r="P1094" s="1297"/>
      <c r="Q1094" s="1297"/>
      <c r="R1094" s="1297"/>
      <c r="S1094" s="1297"/>
      <c r="T1094" s="1297"/>
      <c r="U1094" s="1297"/>
      <c r="V1094" s="1297"/>
      <c r="W1094" s="1297"/>
      <c r="X1094" s="1297"/>
      <c r="Y1094" s="1297"/>
      <c r="Z1094" s="1297"/>
      <c r="AA1094" s="1297"/>
      <c r="AB1094" s="1297"/>
      <c r="AC1094" s="1297"/>
      <c r="AD1094" s="1297"/>
      <c r="AE1094" s="1297"/>
      <c r="AF1094" s="1297"/>
      <c r="AG1094" s="1297"/>
      <c r="AH1094" s="1297"/>
      <c r="AI1094" s="1297"/>
      <c r="AJ1094" s="1297"/>
      <c r="AK1094" s="1297"/>
      <c r="AL1094" s="1298" t="s">
        <v>1066</v>
      </c>
      <c r="AM1094" s="1297"/>
      <c r="AN1094" s="1297"/>
      <c r="AO1094" s="1298" t="s">
        <v>1066</v>
      </c>
      <c r="AP1094" s="596"/>
      <c r="AQ1094" s="596"/>
      <c r="AR1094" s="596"/>
      <c r="AS1094" s="1297"/>
      <c r="AT1094" s="596"/>
      <c r="AU1094" s="596"/>
      <c r="AV1094" s="596"/>
      <c r="AW1094" s="596"/>
      <c r="AX1094" s="1297"/>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3">
      <c r="B1095" s="1285"/>
      <c r="C1095" s="522"/>
      <c r="D1095" s="1286" t="s">
        <v>1582</v>
      </c>
      <c r="E1095" s="1297"/>
      <c r="F1095" s="1297"/>
      <c r="G1095" s="1297"/>
      <c r="H1095" s="1297"/>
      <c r="I1095" s="1297"/>
      <c r="J1095" s="1297"/>
      <c r="K1095" s="1297"/>
      <c r="L1095" s="1297"/>
      <c r="M1095" s="1297"/>
      <c r="N1095" s="1297"/>
      <c r="O1095" s="1297"/>
      <c r="P1095" s="1297"/>
      <c r="Q1095" s="1297"/>
      <c r="R1095" s="1297"/>
      <c r="S1095" s="1297"/>
      <c r="T1095" s="1297"/>
      <c r="U1095" s="1297"/>
      <c r="V1095" s="1297"/>
      <c r="W1095" s="1297"/>
      <c r="X1095" s="1297"/>
      <c r="Y1095" s="1297"/>
      <c r="Z1095" s="1297"/>
      <c r="AA1095" s="1297"/>
      <c r="AB1095" s="1297"/>
      <c r="AC1095" s="1297"/>
      <c r="AD1095" s="1297"/>
      <c r="AE1095" s="1297"/>
      <c r="AF1095" s="1297"/>
      <c r="AG1095" s="1297"/>
      <c r="AH1095" s="1297"/>
      <c r="AI1095" s="1297"/>
      <c r="AJ1095" s="1297"/>
      <c r="AK1095" s="1297"/>
      <c r="AL1095" s="1298" t="s">
        <v>1066</v>
      </c>
      <c r="AM1095" s="1297"/>
      <c r="AN1095" s="1297"/>
      <c r="AO1095" s="1298" t="s">
        <v>1066</v>
      </c>
      <c r="AP1095" s="596"/>
      <c r="AQ1095" s="596"/>
      <c r="AR1095" s="596"/>
      <c r="AS1095" s="1297"/>
      <c r="AT1095" s="596"/>
      <c r="AU1095" s="596"/>
      <c r="AV1095" s="596"/>
      <c r="AW1095" s="596"/>
      <c r="AX1095" s="1297"/>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3">
      <c r="B1096" s="1285"/>
      <c r="C1096" s="522"/>
      <c r="D1096" s="1286" t="s">
        <v>1582</v>
      </c>
      <c r="E1096" s="1297"/>
      <c r="F1096" s="1297"/>
      <c r="G1096" s="1297"/>
      <c r="H1096" s="1297"/>
      <c r="I1096" s="1297"/>
      <c r="J1096" s="1297"/>
      <c r="K1096" s="1297"/>
      <c r="L1096" s="1297"/>
      <c r="M1096" s="1297"/>
      <c r="N1096" s="1297"/>
      <c r="O1096" s="1297"/>
      <c r="P1096" s="1297"/>
      <c r="Q1096" s="1297"/>
      <c r="R1096" s="1297"/>
      <c r="S1096" s="1297"/>
      <c r="T1096" s="1297"/>
      <c r="U1096" s="1297"/>
      <c r="V1096" s="1297"/>
      <c r="W1096" s="1297"/>
      <c r="X1096" s="1297"/>
      <c r="Y1096" s="1297"/>
      <c r="Z1096" s="1297"/>
      <c r="AA1096" s="1297"/>
      <c r="AB1096" s="1297"/>
      <c r="AC1096" s="1297"/>
      <c r="AD1096" s="1297"/>
      <c r="AE1096" s="1297"/>
      <c r="AF1096" s="1297"/>
      <c r="AG1096" s="1297"/>
      <c r="AH1096" s="1297"/>
      <c r="AI1096" s="1297"/>
      <c r="AJ1096" s="1297"/>
      <c r="AK1096" s="1297"/>
      <c r="AL1096" s="1298" t="s">
        <v>1066</v>
      </c>
      <c r="AM1096" s="1297"/>
      <c r="AN1096" s="1297"/>
      <c r="AO1096" s="1298" t="s">
        <v>1066</v>
      </c>
      <c r="AP1096" s="596"/>
      <c r="AQ1096" s="596"/>
      <c r="AR1096" s="596"/>
      <c r="AS1096" s="1297"/>
      <c r="AT1096" s="596"/>
      <c r="AU1096" s="596"/>
      <c r="AV1096" s="596"/>
      <c r="AW1096" s="596"/>
      <c r="AX1096" s="1297"/>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3">
      <c r="B1097" s="1285"/>
      <c r="C1097" s="522"/>
      <c r="D1097" s="1286" t="s">
        <v>1582</v>
      </c>
      <c r="E1097" s="1297"/>
      <c r="F1097" s="1297"/>
      <c r="G1097" s="1297"/>
      <c r="H1097" s="1297"/>
      <c r="I1097" s="1297"/>
      <c r="J1097" s="1297"/>
      <c r="K1097" s="1297"/>
      <c r="L1097" s="1297"/>
      <c r="M1097" s="1297"/>
      <c r="N1097" s="1297"/>
      <c r="O1097" s="1297"/>
      <c r="P1097" s="1297"/>
      <c r="Q1097" s="1297"/>
      <c r="R1097" s="1297"/>
      <c r="S1097" s="1297"/>
      <c r="T1097" s="1297"/>
      <c r="U1097" s="1297"/>
      <c r="V1097" s="1297"/>
      <c r="W1097" s="1297"/>
      <c r="X1097" s="1297"/>
      <c r="Y1097" s="1297"/>
      <c r="Z1097" s="1297"/>
      <c r="AA1097" s="1297"/>
      <c r="AB1097" s="1297"/>
      <c r="AC1097" s="1297"/>
      <c r="AD1097" s="1297"/>
      <c r="AE1097" s="1297"/>
      <c r="AF1097" s="1297"/>
      <c r="AG1097" s="1297"/>
      <c r="AH1097" s="1297"/>
      <c r="AI1097" s="1297"/>
      <c r="AJ1097" s="1297"/>
      <c r="AK1097" s="1297"/>
      <c r="AL1097" s="1298" t="s">
        <v>1066</v>
      </c>
      <c r="AM1097" s="1297"/>
      <c r="AN1097" s="1297"/>
      <c r="AO1097" s="1298" t="s">
        <v>1066</v>
      </c>
      <c r="AP1097" s="596"/>
      <c r="AQ1097" s="596"/>
      <c r="AR1097" s="596"/>
      <c r="AS1097" s="1297"/>
      <c r="AT1097" s="596"/>
      <c r="AU1097" s="596"/>
      <c r="AV1097" s="596"/>
      <c r="AW1097" s="596"/>
      <c r="AX1097" s="1297"/>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3">
      <c r="B1098" s="1285"/>
      <c r="C1098" s="522"/>
      <c r="D1098" s="1286" t="s">
        <v>1582</v>
      </c>
      <c r="E1098" s="1297"/>
      <c r="F1098" s="1297"/>
      <c r="G1098" s="1297"/>
      <c r="H1098" s="1297"/>
      <c r="I1098" s="1297"/>
      <c r="J1098" s="1297"/>
      <c r="K1098" s="1297"/>
      <c r="L1098" s="1297"/>
      <c r="M1098" s="1297"/>
      <c r="N1098" s="1297"/>
      <c r="O1098" s="1297"/>
      <c r="P1098" s="1297"/>
      <c r="Q1098" s="1297"/>
      <c r="R1098" s="1297"/>
      <c r="S1098" s="1297"/>
      <c r="T1098" s="1297"/>
      <c r="U1098" s="1297"/>
      <c r="V1098" s="1297"/>
      <c r="W1098" s="1297"/>
      <c r="X1098" s="1297"/>
      <c r="Y1098" s="1297"/>
      <c r="Z1098" s="1297"/>
      <c r="AA1098" s="1297"/>
      <c r="AB1098" s="1297"/>
      <c r="AC1098" s="1297"/>
      <c r="AD1098" s="1297"/>
      <c r="AE1098" s="1297"/>
      <c r="AF1098" s="1297"/>
      <c r="AG1098" s="1297"/>
      <c r="AH1098" s="1297"/>
      <c r="AI1098" s="1297"/>
      <c r="AJ1098" s="1297"/>
      <c r="AK1098" s="1297"/>
      <c r="AL1098" s="1298" t="s">
        <v>1066</v>
      </c>
      <c r="AM1098" s="1297"/>
      <c r="AN1098" s="1297"/>
      <c r="AO1098" s="1298" t="s">
        <v>1066</v>
      </c>
      <c r="AP1098" s="596"/>
      <c r="AQ1098" s="596"/>
      <c r="AR1098" s="596"/>
      <c r="AS1098" s="1297"/>
      <c r="AT1098" s="596"/>
      <c r="AU1098" s="596"/>
      <c r="AV1098" s="596"/>
      <c r="AW1098" s="596"/>
      <c r="AX1098" s="1297"/>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3">
      <c r="B1099" s="1285"/>
      <c r="C1099" s="522"/>
      <c r="D1099" s="1286" t="s">
        <v>1582</v>
      </c>
      <c r="E1099" s="1297"/>
      <c r="F1099" s="1297"/>
      <c r="G1099" s="1297"/>
      <c r="H1099" s="1297"/>
      <c r="I1099" s="1297"/>
      <c r="J1099" s="1297"/>
      <c r="K1099" s="1297"/>
      <c r="L1099" s="1297"/>
      <c r="M1099" s="1297"/>
      <c r="N1099" s="1297"/>
      <c r="O1099" s="1297"/>
      <c r="P1099" s="1297"/>
      <c r="Q1099" s="1297"/>
      <c r="R1099" s="1297"/>
      <c r="S1099" s="1297"/>
      <c r="T1099" s="1297"/>
      <c r="U1099" s="1297"/>
      <c r="V1099" s="1297"/>
      <c r="W1099" s="1297"/>
      <c r="X1099" s="1297"/>
      <c r="Y1099" s="1297"/>
      <c r="Z1099" s="1297"/>
      <c r="AA1099" s="1297"/>
      <c r="AB1099" s="1297"/>
      <c r="AC1099" s="1297"/>
      <c r="AD1099" s="1297"/>
      <c r="AE1099" s="1297"/>
      <c r="AF1099" s="1297"/>
      <c r="AG1099" s="1297"/>
      <c r="AH1099" s="1297"/>
      <c r="AI1099" s="1297"/>
      <c r="AJ1099" s="1297"/>
      <c r="AK1099" s="1297"/>
      <c r="AL1099" s="1298" t="s">
        <v>1066</v>
      </c>
      <c r="AM1099" s="1297"/>
      <c r="AN1099" s="1297"/>
      <c r="AO1099" s="1298" t="s">
        <v>1066</v>
      </c>
      <c r="AP1099" s="596"/>
      <c r="AQ1099" s="596"/>
      <c r="AR1099" s="596"/>
      <c r="AS1099" s="1297"/>
      <c r="AT1099" s="596"/>
      <c r="AU1099" s="596"/>
      <c r="AV1099" s="596"/>
      <c r="AW1099" s="596"/>
      <c r="AX1099" s="1297"/>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3">
      <c r="B1100" s="1285"/>
      <c r="C1100" s="522"/>
      <c r="D1100" s="1286" t="s">
        <v>1582</v>
      </c>
      <c r="E1100" s="1297"/>
      <c r="F1100" s="1297"/>
      <c r="G1100" s="1297"/>
      <c r="H1100" s="1297"/>
      <c r="I1100" s="1297"/>
      <c r="J1100" s="1297"/>
      <c r="K1100" s="1297"/>
      <c r="L1100" s="1297"/>
      <c r="M1100" s="1297"/>
      <c r="N1100" s="1297"/>
      <c r="O1100" s="1297"/>
      <c r="P1100" s="1297"/>
      <c r="Q1100" s="1297"/>
      <c r="R1100" s="1297"/>
      <c r="S1100" s="1297"/>
      <c r="T1100" s="1297"/>
      <c r="U1100" s="1297"/>
      <c r="V1100" s="1297"/>
      <c r="W1100" s="1297"/>
      <c r="X1100" s="1297"/>
      <c r="Y1100" s="1297"/>
      <c r="Z1100" s="1297"/>
      <c r="AA1100" s="1297"/>
      <c r="AB1100" s="1297"/>
      <c r="AC1100" s="1297"/>
      <c r="AD1100" s="1297"/>
      <c r="AE1100" s="1297"/>
      <c r="AF1100" s="1297"/>
      <c r="AG1100" s="1297"/>
      <c r="AH1100" s="1297"/>
      <c r="AI1100" s="1297"/>
      <c r="AJ1100" s="1297"/>
      <c r="AK1100" s="1297"/>
      <c r="AL1100" s="1298" t="s">
        <v>1066</v>
      </c>
      <c r="AM1100" s="1297"/>
      <c r="AN1100" s="1297"/>
      <c r="AO1100" s="1298" t="s">
        <v>1066</v>
      </c>
      <c r="AP1100" s="596"/>
      <c r="AQ1100" s="596"/>
      <c r="AR1100" s="596"/>
      <c r="AS1100" s="1297"/>
      <c r="AT1100" s="596"/>
      <c r="AU1100" s="596"/>
      <c r="AV1100" s="596"/>
      <c r="AW1100" s="596"/>
      <c r="AX1100" s="1297"/>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3">
      <c r="B1101" s="1285"/>
      <c r="C1101" s="522"/>
      <c r="D1101" s="1286" t="s">
        <v>1582</v>
      </c>
      <c r="E1101" s="1297"/>
      <c r="F1101" s="1297"/>
      <c r="G1101" s="1297"/>
      <c r="H1101" s="1297"/>
      <c r="I1101" s="1297"/>
      <c r="J1101" s="1297"/>
      <c r="K1101" s="1297"/>
      <c r="L1101" s="1297"/>
      <c r="M1101" s="1297"/>
      <c r="N1101" s="1297"/>
      <c r="O1101" s="1297"/>
      <c r="P1101" s="1297"/>
      <c r="Q1101" s="1297"/>
      <c r="R1101" s="1297"/>
      <c r="S1101" s="1297"/>
      <c r="T1101" s="1297"/>
      <c r="U1101" s="1297"/>
      <c r="V1101" s="1297"/>
      <c r="W1101" s="1297"/>
      <c r="X1101" s="1297"/>
      <c r="Y1101" s="1297"/>
      <c r="Z1101" s="1297"/>
      <c r="AA1101" s="1297"/>
      <c r="AB1101" s="1297"/>
      <c r="AC1101" s="1297"/>
      <c r="AD1101" s="1297"/>
      <c r="AE1101" s="1297"/>
      <c r="AF1101" s="1297"/>
      <c r="AG1101" s="1297"/>
      <c r="AH1101" s="1297"/>
      <c r="AI1101" s="1297"/>
      <c r="AJ1101" s="1297"/>
      <c r="AK1101" s="1297"/>
      <c r="AL1101" s="1298" t="s">
        <v>1066</v>
      </c>
      <c r="AM1101" s="1297"/>
      <c r="AN1101" s="1297"/>
      <c r="AO1101" s="1298" t="s">
        <v>1066</v>
      </c>
      <c r="AP1101" s="596"/>
      <c r="AQ1101" s="596"/>
      <c r="AR1101" s="596"/>
      <c r="AS1101" s="1297"/>
      <c r="AT1101" s="596"/>
      <c r="AU1101" s="596"/>
      <c r="AV1101" s="596"/>
      <c r="AW1101" s="596"/>
      <c r="AX1101" s="1297"/>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3">
      <c r="B1102" s="1285"/>
      <c r="C1102" s="522"/>
      <c r="D1102" s="1286" t="s">
        <v>1582</v>
      </c>
      <c r="E1102" s="1297"/>
      <c r="F1102" s="1297"/>
      <c r="G1102" s="1297"/>
      <c r="H1102" s="1297"/>
      <c r="I1102" s="1297"/>
      <c r="J1102" s="1297"/>
      <c r="K1102" s="1297"/>
      <c r="L1102" s="1297"/>
      <c r="M1102" s="1297"/>
      <c r="N1102" s="1297"/>
      <c r="O1102" s="1297"/>
      <c r="P1102" s="1297"/>
      <c r="Q1102" s="1297"/>
      <c r="R1102" s="1297"/>
      <c r="S1102" s="1297"/>
      <c r="T1102" s="1297"/>
      <c r="U1102" s="1297"/>
      <c r="V1102" s="1297"/>
      <c r="W1102" s="1297"/>
      <c r="X1102" s="1297"/>
      <c r="Y1102" s="1297"/>
      <c r="Z1102" s="1297"/>
      <c r="AA1102" s="1297"/>
      <c r="AB1102" s="1297"/>
      <c r="AC1102" s="1297"/>
      <c r="AD1102" s="1297"/>
      <c r="AE1102" s="1297"/>
      <c r="AF1102" s="1297"/>
      <c r="AG1102" s="1297"/>
      <c r="AH1102" s="1297"/>
      <c r="AI1102" s="1297"/>
      <c r="AJ1102" s="1297"/>
      <c r="AK1102" s="1297"/>
      <c r="AL1102" s="1298" t="s">
        <v>1066</v>
      </c>
      <c r="AM1102" s="1297"/>
      <c r="AN1102" s="1297"/>
      <c r="AO1102" s="1298" t="s">
        <v>1066</v>
      </c>
      <c r="AP1102" s="596"/>
      <c r="AQ1102" s="596"/>
      <c r="AR1102" s="596"/>
      <c r="AS1102" s="1297"/>
      <c r="AT1102" s="596"/>
      <c r="AU1102" s="596"/>
      <c r="AV1102" s="596"/>
      <c r="AW1102" s="596"/>
      <c r="AX1102" s="1297"/>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3">
      <c r="B1103" s="1285"/>
      <c r="C1103" s="522"/>
      <c r="D1103" s="1286" t="s">
        <v>1582</v>
      </c>
      <c r="E1103" s="1297"/>
      <c r="F1103" s="1297"/>
      <c r="G1103" s="1297"/>
      <c r="H1103" s="1297"/>
      <c r="I1103" s="1297"/>
      <c r="J1103" s="1297"/>
      <c r="K1103" s="1297"/>
      <c r="L1103" s="1297"/>
      <c r="M1103" s="1297"/>
      <c r="N1103" s="1297"/>
      <c r="O1103" s="1297"/>
      <c r="P1103" s="1297"/>
      <c r="Q1103" s="1297"/>
      <c r="R1103" s="1297"/>
      <c r="S1103" s="1297"/>
      <c r="T1103" s="1297"/>
      <c r="U1103" s="1297"/>
      <c r="V1103" s="1297"/>
      <c r="W1103" s="1297"/>
      <c r="X1103" s="1297"/>
      <c r="Y1103" s="1297"/>
      <c r="Z1103" s="1297"/>
      <c r="AA1103" s="1297"/>
      <c r="AB1103" s="1297"/>
      <c r="AC1103" s="1297"/>
      <c r="AD1103" s="1297"/>
      <c r="AE1103" s="1297"/>
      <c r="AF1103" s="1297"/>
      <c r="AG1103" s="1297"/>
      <c r="AH1103" s="1297"/>
      <c r="AI1103" s="1297"/>
      <c r="AJ1103" s="1297"/>
      <c r="AK1103" s="1297"/>
      <c r="AL1103" s="1298" t="s">
        <v>1066</v>
      </c>
      <c r="AM1103" s="1297"/>
      <c r="AN1103" s="1297"/>
      <c r="AO1103" s="1298" t="s">
        <v>1066</v>
      </c>
      <c r="AP1103" s="596"/>
      <c r="AQ1103" s="596"/>
      <c r="AR1103" s="596"/>
      <c r="AS1103" s="1297"/>
      <c r="AT1103" s="596"/>
      <c r="AU1103" s="596"/>
      <c r="AV1103" s="596"/>
      <c r="AW1103" s="596"/>
      <c r="AX1103" s="1297"/>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3">
      <c r="B1104" s="1285"/>
      <c r="C1104" s="522"/>
      <c r="D1104" s="1286" t="s">
        <v>1582</v>
      </c>
      <c r="E1104" s="1297"/>
      <c r="F1104" s="1297"/>
      <c r="G1104" s="1297"/>
      <c r="H1104" s="1297"/>
      <c r="I1104" s="1297"/>
      <c r="J1104" s="1297"/>
      <c r="K1104" s="1297"/>
      <c r="L1104" s="1297"/>
      <c r="M1104" s="1297"/>
      <c r="N1104" s="1297"/>
      <c r="O1104" s="1297"/>
      <c r="P1104" s="1297"/>
      <c r="Q1104" s="1297"/>
      <c r="R1104" s="1297"/>
      <c r="S1104" s="1297"/>
      <c r="T1104" s="1297"/>
      <c r="U1104" s="1297"/>
      <c r="V1104" s="1297"/>
      <c r="W1104" s="1297"/>
      <c r="X1104" s="1297"/>
      <c r="Y1104" s="1297"/>
      <c r="Z1104" s="1297"/>
      <c r="AA1104" s="1297"/>
      <c r="AB1104" s="1297"/>
      <c r="AC1104" s="1297"/>
      <c r="AD1104" s="1297"/>
      <c r="AE1104" s="1297"/>
      <c r="AF1104" s="1297"/>
      <c r="AG1104" s="1297"/>
      <c r="AH1104" s="1297"/>
      <c r="AI1104" s="1297"/>
      <c r="AJ1104" s="1297"/>
      <c r="AK1104" s="1297"/>
      <c r="AL1104" s="1298" t="s">
        <v>1066</v>
      </c>
      <c r="AM1104" s="1297"/>
      <c r="AN1104" s="1297"/>
      <c r="AO1104" s="1298" t="s">
        <v>1066</v>
      </c>
      <c r="AP1104" s="596"/>
      <c r="AQ1104" s="596"/>
      <c r="AR1104" s="596"/>
      <c r="AS1104" s="1297"/>
      <c r="AT1104" s="596"/>
      <c r="AU1104" s="596"/>
      <c r="AV1104" s="596"/>
      <c r="AW1104" s="596"/>
      <c r="AX1104" s="1297"/>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3">
      <c r="B1105" s="1285"/>
      <c r="C1105" s="522"/>
      <c r="D1105" s="1286" t="s">
        <v>1582</v>
      </c>
      <c r="E1105" s="1297"/>
      <c r="F1105" s="1297"/>
      <c r="G1105" s="1297"/>
      <c r="H1105" s="1297"/>
      <c r="I1105" s="1297"/>
      <c r="J1105" s="1297"/>
      <c r="K1105" s="1297"/>
      <c r="L1105" s="1297"/>
      <c r="M1105" s="1297"/>
      <c r="N1105" s="1297"/>
      <c r="O1105" s="1297"/>
      <c r="P1105" s="1297"/>
      <c r="Q1105" s="1297"/>
      <c r="R1105" s="1297"/>
      <c r="S1105" s="1297"/>
      <c r="T1105" s="1297"/>
      <c r="U1105" s="1297"/>
      <c r="V1105" s="1297"/>
      <c r="W1105" s="1297"/>
      <c r="X1105" s="1297"/>
      <c r="Y1105" s="1297"/>
      <c r="Z1105" s="1297"/>
      <c r="AA1105" s="1297"/>
      <c r="AB1105" s="1297"/>
      <c r="AC1105" s="1297"/>
      <c r="AD1105" s="1297"/>
      <c r="AE1105" s="1297"/>
      <c r="AF1105" s="1297"/>
      <c r="AG1105" s="1297"/>
      <c r="AH1105" s="1297"/>
      <c r="AI1105" s="1297"/>
      <c r="AJ1105" s="1297"/>
      <c r="AK1105" s="1297"/>
      <c r="AL1105" s="1298" t="s">
        <v>1066</v>
      </c>
      <c r="AM1105" s="1297"/>
      <c r="AN1105" s="1297"/>
      <c r="AO1105" s="1298" t="s">
        <v>1066</v>
      </c>
      <c r="AP1105" s="596"/>
      <c r="AQ1105" s="596"/>
      <c r="AR1105" s="596"/>
      <c r="AS1105" s="1297"/>
      <c r="AT1105" s="596"/>
      <c r="AU1105" s="596"/>
      <c r="AV1105" s="596"/>
      <c r="AW1105" s="596"/>
      <c r="AX1105" s="1297"/>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3">
      <c r="B1106" s="1285"/>
      <c r="C1106" s="522"/>
      <c r="D1106" s="1286" t="s">
        <v>1582</v>
      </c>
      <c r="E1106" s="1297"/>
      <c r="F1106" s="1297"/>
      <c r="G1106" s="1297"/>
      <c r="H1106" s="1297"/>
      <c r="I1106" s="1297"/>
      <c r="J1106" s="1297"/>
      <c r="K1106" s="1297"/>
      <c r="L1106" s="1297"/>
      <c r="M1106" s="1297"/>
      <c r="N1106" s="1297"/>
      <c r="O1106" s="1297"/>
      <c r="P1106" s="1297"/>
      <c r="Q1106" s="1297"/>
      <c r="R1106" s="1297"/>
      <c r="S1106" s="1297"/>
      <c r="T1106" s="1297"/>
      <c r="U1106" s="1297"/>
      <c r="V1106" s="1297"/>
      <c r="W1106" s="1297"/>
      <c r="X1106" s="1297"/>
      <c r="Y1106" s="1297"/>
      <c r="Z1106" s="1297"/>
      <c r="AA1106" s="1297"/>
      <c r="AB1106" s="1297"/>
      <c r="AC1106" s="1297"/>
      <c r="AD1106" s="1297"/>
      <c r="AE1106" s="1297"/>
      <c r="AF1106" s="1297"/>
      <c r="AG1106" s="1297"/>
      <c r="AH1106" s="1297"/>
      <c r="AI1106" s="1297"/>
      <c r="AJ1106" s="1297"/>
      <c r="AK1106" s="1297"/>
      <c r="AL1106" s="1298" t="s">
        <v>1066</v>
      </c>
      <c r="AM1106" s="1297"/>
      <c r="AN1106" s="1297"/>
      <c r="AO1106" s="1298" t="s">
        <v>1066</v>
      </c>
      <c r="AP1106" s="596"/>
      <c r="AQ1106" s="596"/>
      <c r="AR1106" s="596"/>
      <c r="AS1106" s="1297"/>
      <c r="AT1106" s="596"/>
      <c r="AU1106" s="596"/>
      <c r="AV1106" s="596"/>
      <c r="AW1106" s="596"/>
      <c r="AX1106" s="1297"/>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3">
      <c r="B1107" s="1285"/>
      <c r="C1107" s="522"/>
      <c r="D1107" s="1286" t="s">
        <v>1582</v>
      </c>
      <c r="E1107" s="1297"/>
      <c r="F1107" s="1297"/>
      <c r="G1107" s="1297"/>
      <c r="H1107" s="1297"/>
      <c r="I1107" s="1297"/>
      <c r="J1107" s="1297"/>
      <c r="K1107" s="1297"/>
      <c r="L1107" s="1297"/>
      <c r="M1107" s="1297"/>
      <c r="N1107" s="1297"/>
      <c r="O1107" s="1297"/>
      <c r="P1107" s="1297"/>
      <c r="Q1107" s="1297"/>
      <c r="R1107" s="1297"/>
      <c r="S1107" s="1297"/>
      <c r="T1107" s="1297"/>
      <c r="U1107" s="1297"/>
      <c r="V1107" s="1297"/>
      <c r="W1107" s="1297"/>
      <c r="X1107" s="1297"/>
      <c r="Y1107" s="1297"/>
      <c r="Z1107" s="1297"/>
      <c r="AA1107" s="1297"/>
      <c r="AB1107" s="1297"/>
      <c r="AC1107" s="1297"/>
      <c r="AD1107" s="1297"/>
      <c r="AE1107" s="1297"/>
      <c r="AF1107" s="1297"/>
      <c r="AG1107" s="1297"/>
      <c r="AH1107" s="1297"/>
      <c r="AI1107" s="1297"/>
      <c r="AJ1107" s="1297"/>
      <c r="AK1107" s="1297"/>
      <c r="AL1107" s="1298" t="s">
        <v>1066</v>
      </c>
      <c r="AM1107" s="1297"/>
      <c r="AN1107" s="1297"/>
      <c r="AO1107" s="1298" t="s">
        <v>1066</v>
      </c>
      <c r="AP1107" s="596"/>
      <c r="AQ1107" s="596"/>
      <c r="AR1107" s="596"/>
      <c r="AS1107" s="1297"/>
      <c r="AT1107" s="596"/>
      <c r="AU1107" s="596"/>
      <c r="AV1107" s="596"/>
      <c r="AW1107" s="596"/>
      <c r="AX1107" s="1297"/>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3">
      <c r="B1108" s="1285"/>
      <c r="C1108" s="522"/>
      <c r="D1108" s="1286" t="s">
        <v>1582</v>
      </c>
      <c r="E1108" s="1297"/>
      <c r="F1108" s="1297"/>
      <c r="G1108" s="1297"/>
      <c r="H1108" s="1297"/>
      <c r="I1108" s="1297"/>
      <c r="J1108" s="1297"/>
      <c r="K1108" s="1297"/>
      <c r="L1108" s="1297"/>
      <c r="M1108" s="1297"/>
      <c r="N1108" s="1297"/>
      <c r="O1108" s="1297"/>
      <c r="P1108" s="1297"/>
      <c r="Q1108" s="1297"/>
      <c r="R1108" s="1297"/>
      <c r="S1108" s="1297"/>
      <c r="T1108" s="1297"/>
      <c r="U1108" s="1297"/>
      <c r="V1108" s="1297"/>
      <c r="W1108" s="1297"/>
      <c r="X1108" s="1297"/>
      <c r="Y1108" s="1297"/>
      <c r="Z1108" s="1297"/>
      <c r="AA1108" s="1297"/>
      <c r="AB1108" s="1297"/>
      <c r="AC1108" s="1297"/>
      <c r="AD1108" s="1297"/>
      <c r="AE1108" s="1297"/>
      <c r="AF1108" s="1297"/>
      <c r="AG1108" s="1297"/>
      <c r="AH1108" s="1297"/>
      <c r="AI1108" s="1297"/>
      <c r="AJ1108" s="1297"/>
      <c r="AK1108" s="1297"/>
      <c r="AL1108" s="1298" t="s">
        <v>1066</v>
      </c>
      <c r="AM1108" s="1297"/>
      <c r="AN1108" s="1297"/>
      <c r="AO1108" s="1298" t="s">
        <v>1066</v>
      </c>
      <c r="AP1108" s="596"/>
      <c r="AQ1108" s="596"/>
      <c r="AR1108" s="596"/>
      <c r="AS1108" s="1297"/>
      <c r="AT1108" s="596"/>
      <c r="AU1108" s="596"/>
      <c r="AV1108" s="596"/>
      <c r="AW1108" s="596"/>
      <c r="AX1108" s="1297"/>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 thickBot="1" x14ac:dyDescent="0.35">
      <c r="B1109" s="1287"/>
      <c r="C1109" s="1290"/>
      <c r="D1109" s="1288" t="s">
        <v>1582</v>
      </c>
      <c r="E1109" s="1297"/>
      <c r="F1109" s="1297"/>
      <c r="G1109" s="1297"/>
      <c r="H1109" s="1297"/>
      <c r="I1109" s="1297"/>
      <c r="J1109" s="1297"/>
      <c r="K1109" s="1297"/>
      <c r="L1109" s="1297"/>
      <c r="M1109" s="1297"/>
      <c r="N1109" s="1297"/>
      <c r="O1109" s="1297"/>
      <c r="P1109" s="1297"/>
      <c r="Q1109" s="1297"/>
      <c r="R1109" s="1297"/>
      <c r="S1109" s="1297"/>
      <c r="T1109" s="1297"/>
      <c r="U1109" s="1297"/>
      <c r="V1109" s="1297"/>
      <c r="W1109" s="1297"/>
      <c r="X1109" s="1297"/>
      <c r="Y1109" s="1297"/>
      <c r="Z1109" s="1297"/>
      <c r="AA1109" s="1297"/>
      <c r="AB1109" s="1297"/>
      <c r="AC1109" s="1297"/>
      <c r="AD1109" s="1297"/>
      <c r="AE1109" s="1297"/>
      <c r="AF1109" s="1297"/>
      <c r="AG1109" s="1297"/>
      <c r="AH1109" s="1297"/>
      <c r="AI1109" s="1297"/>
      <c r="AJ1109" s="1297"/>
      <c r="AK1109" s="1297"/>
      <c r="AL1109" s="1298" t="s">
        <v>1066</v>
      </c>
      <c r="AM1109" s="1297"/>
      <c r="AN1109" s="1297"/>
      <c r="AO1109" s="1298" t="s">
        <v>1066</v>
      </c>
      <c r="AP1109" s="596"/>
      <c r="AQ1109" s="596"/>
      <c r="AR1109" s="596"/>
      <c r="AS1109" s="1297"/>
      <c r="AT1109" s="596"/>
      <c r="AU1109" s="596"/>
      <c r="AV1109" s="596"/>
      <c r="AW1109" s="596"/>
      <c r="AX1109" s="1297"/>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59" customWidth="1"/>
    <col min="8" max="8" width="20.44140625" style="159" bestFit="1" customWidth="1"/>
    <col min="9" max="13" width="6.109375" style="159" customWidth="1"/>
    <col min="14" max="14" width="1.5546875" style="23" customWidth="1"/>
    <col min="15" max="17" width="6.109375" style="159"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21" t="s">
        <v>1163</v>
      </c>
    </row>
    <row r="2" spans="1:71" x14ac:dyDescent="0.3">
      <c r="C2" s="23" t="s">
        <v>1588</v>
      </c>
    </row>
    <row r="3" spans="1:71" x14ac:dyDescent="0.3">
      <c r="A3" s="23" t="s">
        <v>173</v>
      </c>
    </row>
    <row r="9" spans="1:71" x14ac:dyDescent="0.3">
      <c r="B9" s="1237" t="s">
        <v>1144</v>
      </c>
      <c r="D9" s="564" t="s">
        <v>1143</v>
      </c>
      <c r="E9" s="564"/>
      <c r="M9" s="1392">
        <v>1</v>
      </c>
      <c r="O9" s="564" t="s">
        <v>1157</v>
      </c>
      <c r="Q9" s="1392">
        <v>2</v>
      </c>
      <c r="S9" s="564" t="s">
        <v>33</v>
      </c>
      <c r="V9" s="159"/>
      <c r="W9" s="1392">
        <v>3</v>
      </c>
      <c r="Y9" s="564" t="s">
        <v>1171</v>
      </c>
      <c r="Z9" s="159"/>
      <c r="AA9" s="1392">
        <v>4</v>
      </c>
      <c r="AC9" s="564" t="s">
        <v>1172</v>
      </c>
      <c r="AD9" s="159"/>
      <c r="AE9" s="1392">
        <v>5</v>
      </c>
      <c r="AG9" s="564" t="s">
        <v>1250</v>
      </c>
      <c r="AH9" s="159"/>
      <c r="AI9" s="1392">
        <v>6</v>
      </c>
      <c r="AK9" s="564" t="s">
        <v>1187</v>
      </c>
      <c r="AL9" s="159"/>
      <c r="AM9" s="1392">
        <v>7</v>
      </c>
      <c r="AO9" s="564" t="s">
        <v>1188</v>
      </c>
      <c r="AP9" s="159"/>
      <c r="AQ9" s="1392">
        <v>8</v>
      </c>
      <c r="AS9" s="564" t="s">
        <v>1235</v>
      </c>
      <c r="AT9" s="159"/>
      <c r="AU9" s="1392">
        <v>9</v>
      </c>
      <c r="AW9" s="564" t="s">
        <v>1196</v>
      </c>
      <c r="AX9" s="159"/>
      <c r="AY9" s="1392">
        <v>10</v>
      </c>
      <c r="BA9" s="564" t="s">
        <v>1204</v>
      </c>
      <c r="BB9" s="159"/>
      <c r="BC9" s="1392">
        <v>11</v>
      </c>
      <c r="BE9" s="564" t="s">
        <v>1212</v>
      </c>
      <c r="BF9" s="159"/>
      <c r="BG9" s="1392">
        <v>12</v>
      </c>
      <c r="BI9" s="564" t="s">
        <v>1220</v>
      </c>
      <c r="BJ9" s="159"/>
      <c r="BK9" s="1392">
        <v>13</v>
      </c>
      <c r="BM9" s="564" t="s">
        <v>1158</v>
      </c>
      <c r="BN9" s="159"/>
      <c r="BO9" s="1392">
        <v>14</v>
      </c>
      <c r="BQ9" s="564" t="s">
        <v>1159</v>
      </c>
      <c r="BR9" s="159"/>
      <c r="BS9" s="1392">
        <v>15</v>
      </c>
    </row>
    <row r="10" spans="1:71" x14ac:dyDescent="0.3">
      <c r="B10" s="1237"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93"/>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93"/>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93"/>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93"/>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93"/>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93"/>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93"/>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93"/>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93"/>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93"/>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93"/>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93"/>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93"/>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93"/>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93"/>
    </row>
    <row r="11" spans="1:71" x14ac:dyDescent="0.3">
      <c r="B11" s="1237"/>
      <c r="D11" s="1394" t="str">
        <f>D9&amp;"_DFX_SECURITY_POLICY_MATRIX"</f>
        <v>CSE_DFX_SECURITY_POLICY_MATRIX</v>
      </c>
      <c r="E11" s="1389"/>
      <c r="F11" s="1389"/>
      <c r="G11" s="1389"/>
      <c r="H11" s="1389"/>
      <c r="I11" s="1389"/>
      <c r="J11" s="1389"/>
      <c r="K11" s="1389"/>
      <c r="L11" s="1389"/>
      <c r="M11" s="1390"/>
      <c r="O11" s="1389"/>
      <c r="P11" s="1389"/>
      <c r="Q11" s="1390"/>
      <c r="S11" s="619"/>
      <c r="T11" s="619"/>
      <c r="U11" s="1389"/>
      <c r="V11" s="1389"/>
      <c r="W11" s="1390"/>
      <c r="Y11" s="1389"/>
      <c r="Z11" s="1389"/>
      <c r="AA11" s="1390"/>
      <c r="AC11" s="1389"/>
      <c r="AD11" s="1389"/>
      <c r="AE11" s="1390"/>
      <c r="AG11" s="1389"/>
      <c r="AH11" s="1389"/>
      <c r="AI11" s="1390"/>
      <c r="AK11" s="1389"/>
      <c r="AL11" s="1389"/>
      <c r="AM11" s="1390"/>
      <c r="AO11" s="1389"/>
      <c r="AP11" s="1389"/>
      <c r="AQ11" s="1390"/>
      <c r="AS11" s="1389"/>
      <c r="AT11" s="1389"/>
      <c r="AU11" s="1390"/>
      <c r="AW11" s="1389"/>
      <c r="AX11" s="1389"/>
      <c r="AY11" s="1390"/>
      <c r="BA11" s="1389"/>
      <c r="BB11" s="1389"/>
      <c r="BC11" s="1390"/>
      <c r="BE11" s="1389"/>
      <c r="BF11" s="1389"/>
      <c r="BG11" s="1390"/>
      <c r="BI11" s="1389"/>
      <c r="BJ11" s="1389"/>
      <c r="BK11" s="1390"/>
      <c r="BM11" s="1389"/>
      <c r="BN11" s="1389"/>
      <c r="BO11" s="1390"/>
      <c r="BQ11" s="1389"/>
      <c r="BR11" s="1389"/>
      <c r="BS11" s="1390"/>
    </row>
    <row r="12" spans="1:71" x14ac:dyDescent="0.3">
      <c r="B12" s="1237"/>
      <c r="D12" s="1222" t="s">
        <v>1333</v>
      </c>
      <c r="E12" s="1222" t="s">
        <v>1154</v>
      </c>
      <c r="F12" s="1222" t="s">
        <v>1153</v>
      </c>
      <c r="G12" s="1222" t="s">
        <v>1134</v>
      </c>
      <c r="H12" s="1222" t="s">
        <v>1146</v>
      </c>
      <c r="I12" s="1222" t="s">
        <v>1155</v>
      </c>
      <c r="J12" s="1222" t="s">
        <v>1149</v>
      </c>
      <c r="K12" s="1222" t="s">
        <v>1150</v>
      </c>
      <c r="L12" s="1222" t="s">
        <v>1151</v>
      </c>
      <c r="M12" s="1222" t="s">
        <v>1152</v>
      </c>
      <c r="O12" s="1222" t="s">
        <v>1150</v>
      </c>
      <c r="P12" s="1222" t="s">
        <v>1151</v>
      </c>
      <c r="Q12" s="1222" t="s">
        <v>1152</v>
      </c>
      <c r="S12" s="1222" t="s">
        <v>1162</v>
      </c>
      <c r="T12" s="1222" t="s">
        <v>1149</v>
      </c>
      <c r="U12" s="1222" t="s">
        <v>1150</v>
      </c>
      <c r="V12" s="1222" t="s">
        <v>1151</v>
      </c>
      <c r="W12" s="1222" t="s">
        <v>1152</v>
      </c>
      <c r="Y12" s="1222" t="s">
        <v>1150</v>
      </c>
      <c r="Z12" s="1222" t="s">
        <v>1151</v>
      </c>
      <c r="AA12" s="1222" t="s">
        <v>1152</v>
      </c>
      <c r="AC12" s="1222" t="s">
        <v>1150</v>
      </c>
      <c r="AD12" s="1222" t="s">
        <v>1151</v>
      </c>
      <c r="AE12" s="1222" t="s">
        <v>1152</v>
      </c>
      <c r="AG12" s="1222" t="s">
        <v>1150</v>
      </c>
      <c r="AH12" s="1222" t="s">
        <v>1151</v>
      </c>
      <c r="AI12" s="1222" t="s">
        <v>1152</v>
      </c>
      <c r="AK12" s="1222" t="s">
        <v>1150</v>
      </c>
      <c r="AL12" s="1222" t="s">
        <v>1151</v>
      </c>
      <c r="AM12" s="1222" t="s">
        <v>1152</v>
      </c>
      <c r="AO12" s="1222" t="s">
        <v>1150</v>
      </c>
      <c r="AP12" s="1222" t="s">
        <v>1151</v>
      </c>
      <c r="AQ12" s="1222" t="s">
        <v>1152</v>
      </c>
      <c r="AS12" s="1222" t="s">
        <v>1150</v>
      </c>
      <c r="AT12" s="1222" t="s">
        <v>1151</v>
      </c>
      <c r="AU12" s="1222" t="s">
        <v>1152</v>
      </c>
      <c r="AW12" s="1222" t="s">
        <v>1150</v>
      </c>
      <c r="AX12" s="1222" t="s">
        <v>1151</v>
      </c>
      <c r="AY12" s="1222" t="s">
        <v>1152</v>
      </c>
      <c r="BA12" s="1222" t="s">
        <v>1150</v>
      </c>
      <c r="BB12" s="1222" t="s">
        <v>1151</v>
      </c>
      <c r="BC12" s="1222" t="s">
        <v>1152</v>
      </c>
      <c r="BE12" s="1222" t="s">
        <v>1150</v>
      </c>
      <c r="BF12" s="1222" t="s">
        <v>1151</v>
      </c>
      <c r="BG12" s="1222" t="s">
        <v>1152</v>
      </c>
      <c r="BI12" s="1222" t="s">
        <v>1150</v>
      </c>
      <c r="BJ12" s="1222" t="s">
        <v>1151</v>
      </c>
      <c r="BK12" s="1222" t="s">
        <v>1152</v>
      </c>
      <c r="BM12" s="1222" t="s">
        <v>1150</v>
      </c>
      <c r="BN12" s="1222" t="s">
        <v>1151</v>
      </c>
      <c r="BO12" s="1222" t="s">
        <v>1152</v>
      </c>
      <c r="BQ12" s="1222" t="s">
        <v>1150</v>
      </c>
      <c r="BR12" s="1222" t="s">
        <v>1151</v>
      </c>
      <c r="BS12" s="1222" t="s">
        <v>1152</v>
      </c>
    </row>
    <row r="13" spans="1:71" x14ac:dyDescent="0.3">
      <c r="D13" s="1391" t="s">
        <v>1278</v>
      </c>
      <c r="E13" s="1391"/>
      <c r="F13" s="1391"/>
      <c r="G13" s="1391"/>
      <c r="H13" s="1391"/>
      <c r="I13" s="1391"/>
      <c r="J13" s="1391"/>
      <c r="K13" s="1391"/>
      <c r="L13" s="1387" t="s">
        <v>1142</v>
      </c>
      <c r="M13" s="1387"/>
      <c r="O13" s="1221"/>
      <c r="P13" s="1387" t="s">
        <v>1142</v>
      </c>
      <c r="Q13" s="1387"/>
      <c r="S13" s="1221"/>
      <c r="T13" s="1221"/>
      <c r="U13" s="1221"/>
      <c r="V13" s="1387" t="s">
        <v>1142</v>
      </c>
      <c r="W13" s="1387"/>
      <c r="Y13" s="1221"/>
      <c r="Z13" s="1387" t="s">
        <v>1142</v>
      </c>
      <c r="AA13" s="1387"/>
      <c r="AC13" s="1221"/>
      <c r="AD13" s="1387" t="s">
        <v>1142</v>
      </c>
      <c r="AE13" s="1387"/>
      <c r="AG13" s="1221"/>
      <c r="AH13" s="1387" t="s">
        <v>1142</v>
      </c>
      <c r="AI13" s="1387"/>
      <c r="AK13" s="1221"/>
      <c r="AL13" s="1387" t="s">
        <v>1142</v>
      </c>
      <c r="AM13" s="1387"/>
      <c r="AO13" s="1221"/>
      <c r="AP13" s="1387" t="s">
        <v>1142</v>
      </c>
      <c r="AQ13" s="1387"/>
      <c r="AS13" s="1221"/>
      <c r="AT13" s="1387" t="s">
        <v>1142</v>
      </c>
      <c r="AU13" s="1387"/>
      <c r="AW13" s="1221"/>
      <c r="AX13" s="1387" t="s">
        <v>1142</v>
      </c>
      <c r="AY13" s="1387"/>
      <c r="BA13" s="1221"/>
      <c r="BB13" s="1387" t="s">
        <v>1142</v>
      </c>
      <c r="BC13" s="1387"/>
      <c r="BE13" s="1221"/>
      <c r="BF13" s="1387" t="s">
        <v>1142</v>
      </c>
      <c r="BG13" s="1387"/>
      <c r="BI13" s="1221"/>
      <c r="BJ13" s="1387" t="s">
        <v>1142</v>
      </c>
      <c r="BK13" s="1387"/>
      <c r="BM13" s="1221"/>
      <c r="BN13" s="1387" t="s">
        <v>1142</v>
      </c>
      <c r="BO13" s="1387"/>
      <c r="BQ13" s="1221"/>
      <c r="BR13" s="1387" t="s">
        <v>1142</v>
      </c>
      <c r="BS13" s="1387"/>
    </row>
    <row r="14" spans="1:71" x14ac:dyDescent="0.3">
      <c r="B14" s="560"/>
      <c r="C14" s="561"/>
      <c r="D14" s="1222" t="s">
        <v>1153</v>
      </c>
      <c r="E14" s="1222" t="s">
        <v>1134</v>
      </c>
      <c r="F14" s="1222" t="s">
        <v>1146</v>
      </c>
      <c r="G14" s="1222" t="s">
        <v>1147</v>
      </c>
      <c r="H14" s="1222" t="s">
        <v>1148</v>
      </c>
      <c r="I14" s="1222" t="s">
        <v>1156</v>
      </c>
      <c r="J14" s="1222" t="s">
        <v>1151</v>
      </c>
      <c r="K14" s="1222" t="s">
        <v>1152</v>
      </c>
      <c r="L14" s="1387"/>
      <c r="M14" s="1387"/>
      <c r="O14" s="1222" t="s">
        <v>1152</v>
      </c>
      <c r="P14" s="1387"/>
      <c r="Q14" s="1387"/>
      <c r="S14" s="1222"/>
      <c r="T14" s="1222"/>
      <c r="U14" s="1222" t="s">
        <v>1152</v>
      </c>
      <c r="V14" s="1387"/>
      <c r="W14" s="1387"/>
      <c r="Y14" s="1222" t="s">
        <v>1152</v>
      </c>
      <c r="Z14" s="1387"/>
      <c r="AA14" s="1387"/>
      <c r="AC14" s="1222" t="s">
        <v>1152</v>
      </c>
      <c r="AD14" s="1387"/>
      <c r="AE14" s="1387"/>
      <c r="AG14" s="1222" t="s">
        <v>1152</v>
      </c>
      <c r="AH14" s="1387"/>
      <c r="AI14" s="1387"/>
      <c r="AK14" s="1222" t="s">
        <v>1152</v>
      </c>
      <c r="AL14" s="1387"/>
      <c r="AM14" s="1387"/>
      <c r="AO14" s="1222" t="s">
        <v>1152</v>
      </c>
      <c r="AP14" s="1387"/>
      <c r="AQ14" s="1387"/>
      <c r="AS14" s="1222" t="s">
        <v>1152</v>
      </c>
      <c r="AT14" s="1387"/>
      <c r="AU14" s="1387"/>
      <c r="AW14" s="1222" t="s">
        <v>1152</v>
      </c>
      <c r="AX14" s="1387"/>
      <c r="AY14" s="1387"/>
      <c r="BA14" s="1222" t="s">
        <v>1152</v>
      </c>
      <c r="BB14" s="1387"/>
      <c r="BC14" s="1387"/>
      <c r="BE14" s="1222" t="s">
        <v>1152</v>
      </c>
      <c r="BF14" s="1387"/>
      <c r="BG14" s="1387"/>
      <c r="BI14" s="1222" t="s">
        <v>1152</v>
      </c>
      <c r="BJ14" s="1387"/>
      <c r="BK14" s="1387"/>
      <c r="BM14" s="1222" t="s">
        <v>1152</v>
      </c>
      <c r="BN14" s="1387"/>
      <c r="BO14" s="1387"/>
      <c r="BQ14" s="1222" t="s">
        <v>1152</v>
      </c>
      <c r="BR14" s="1387"/>
      <c r="BS14" s="1387"/>
    </row>
    <row r="15" spans="1:71" s="618" customFormat="1" ht="60" x14ac:dyDescent="0.3">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3">
      <c r="B16" s="1222"/>
      <c r="C16" s="562" t="s">
        <v>1120</v>
      </c>
      <c r="D16" s="1222"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22"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22"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22"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22"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22"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22"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22"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22"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22"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22"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22"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22"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22"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22"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22"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22"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22"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22"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22"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22"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22"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22"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22"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22"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22"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22"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22"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22"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22"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22"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22"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22"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22"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22"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22"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22"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22"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22"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22"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22"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22"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22"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22"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22"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22"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22"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22"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22"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22"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22"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22"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22"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22"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222">
        <v>0</v>
      </c>
      <c r="C17" s="562" t="s">
        <v>1121</v>
      </c>
      <c r="D17" s="1222"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22"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22"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22"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22"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22"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22"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22"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22"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22"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22"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22"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22"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22"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22"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22"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22"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22"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22"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22"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22"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22"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22"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22"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22"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22"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22"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22"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22"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22"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22"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22"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22"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22"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22"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22"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22"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22"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22"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22"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22"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22"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22"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22"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22"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22"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22"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22"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22"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22"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22"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22"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22"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222">
        <v>1</v>
      </c>
      <c r="C18" s="562" t="s">
        <v>1122</v>
      </c>
      <c r="D18" s="1222"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22"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22"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22"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22"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22"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22"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22"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22"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22"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22"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22"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22"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22"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22"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22"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22"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22"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22"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22"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22"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22"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22"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22"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22"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22"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22"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22"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22"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22"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22"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22"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22"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22"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22"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22"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22"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22"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22"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22"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22"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22"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22"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22"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22"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22"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22"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22"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22"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22"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22"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22"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22"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22"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222">
        <v>2</v>
      </c>
      <c r="C19" s="562" t="s">
        <v>1123</v>
      </c>
      <c r="D19" s="1222"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22"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22"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22"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22"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22"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22"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22"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22"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22"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22"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22"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22"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22"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22"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22"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22"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22"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22"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22"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22"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22"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22"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22"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22"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22"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22"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22"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22"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22"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22"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22"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22"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22"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22"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22"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22"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22"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22"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22"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22"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22"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22"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22"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22"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22"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22"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22"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22"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22"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22"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22"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22"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22"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222">
        <v>3</v>
      </c>
      <c r="C20" s="562" t="s">
        <v>1124</v>
      </c>
      <c r="D20" s="1222"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22"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22"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22"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22"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22"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22"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22"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22"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22"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22"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22"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22"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22"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22"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22"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22"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22"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22"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22"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22"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22"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22"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22"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22"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22"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22"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22"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22"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22"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22"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22"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22"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22"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22"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22"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22"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22"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22"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22"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22"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22"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22"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22"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22"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22"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22"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22"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22"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22"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22"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22"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22"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222">
        <v>4</v>
      </c>
      <c r="C21" s="562" t="s">
        <v>1125</v>
      </c>
      <c r="D21" s="1222"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22"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22"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22"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22"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22"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22"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22"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22"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22"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22"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22"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22"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22"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22"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22"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22"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22"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22"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22"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22"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22"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22"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22"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22"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22"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22"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22"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22"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22"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22"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22"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22"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22"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22"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22"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22"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22"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22"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22"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22"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22"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22"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22"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22"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22"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22"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22"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22"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22"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22"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22"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22"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22"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222">
        <v>5</v>
      </c>
      <c r="C22" s="562" t="s">
        <v>1126</v>
      </c>
      <c r="D22" s="1222"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22"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22"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22"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22"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22"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22"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22"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22"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22"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22"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22"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22"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22"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22"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22"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22"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22"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22"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22"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22"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22"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22"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22"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22"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22"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22"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22"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22"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22"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22"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22"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22"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22"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22"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22"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22"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22"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22"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22"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22"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22"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22"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22"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22"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22"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22"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22"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22"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22"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22"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22"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22"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22"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222">
        <v>6</v>
      </c>
      <c r="C23" s="562" t="s">
        <v>1236</v>
      </c>
      <c r="D23" s="1222"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22"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22"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22"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22"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22"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22"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22"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22"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22"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22"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22"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22"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22"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22"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22"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22"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22"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22"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22"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22"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22"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22"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22"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22"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22"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22"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22"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22"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22"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22"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22"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22"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22"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22"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22"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22"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22"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22"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22"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22"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22"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22"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22"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22"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22"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22"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22"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22"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22"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22"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22"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22"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22"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222">
        <v>7</v>
      </c>
      <c r="C24" s="562" t="s">
        <v>1127</v>
      </c>
      <c r="D24" s="1222"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22"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22"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22"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22"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22"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22"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22"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22"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22"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22"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22"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22"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22"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22"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22"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22"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22"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22"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22"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22"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22"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22"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22"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22"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22"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22"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22"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22"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22"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22"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22"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22"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22"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22"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22"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22"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22"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22"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22"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22"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22"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22"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22"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22"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22"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22"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22"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22"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22"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22"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22"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22"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22"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222">
        <v>8</v>
      </c>
      <c r="C25" s="562" t="s">
        <v>1128</v>
      </c>
      <c r="D25" s="1222"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22"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22"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22"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22"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22"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22"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22"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22"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22"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22"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22"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22"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22"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22"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22"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22"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22"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22"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22"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22"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22"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22"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22"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22"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22"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22"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22"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22"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22"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22"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22"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22"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22"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22"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22"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22"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22"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22"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22"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22"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22"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22"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22"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22"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22"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22"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22"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22"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22"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22"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22"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22"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22"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222">
        <v>9</v>
      </c>
      <c r="C26" s="562" t="s">
        <v>1129</v>
      </c>
      <c r="D26" s="1222"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22"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22"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22"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22"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22"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22"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22"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22"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22"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22"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22"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22"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22"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22"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22"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22"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22"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22"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22"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22"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22"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22"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22"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22"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22"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22"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22"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22"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22"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22"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22"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22"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22"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22"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22"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22"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22"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22"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22"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22"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22"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22"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22"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22"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22"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22"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22"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22"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22"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22"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22"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22"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22"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222">
        <v>10</v>
      </c>
      <c r="C27" s="562" t="s">
        <v>1130</v>
      </c>
      <c r="D27" s="1222"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22"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22"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22"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22"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22"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22"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22"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22"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22"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22"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22"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22"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22"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22"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22"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22"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22"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22"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22"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22"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22"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22"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22"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22"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22"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22"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22"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22"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22"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22"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22"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22"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22"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22"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22"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22"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22"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22"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22"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22"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22"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22"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22"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22"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22"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22"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22"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22"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22"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22"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22"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22"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22"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222">
        <v>11</v>
      </c>
      <c r="C28" s="562" t="s">
        <v>1130</v>
      </c>
      <c r="D28" s="1222"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22"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22"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22"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22"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22"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22"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22"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22"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22"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22"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22"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22"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22"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22"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22"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22"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22"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22"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22"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22"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22"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22"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22"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22"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22"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22"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22"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22"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22"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22"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22"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22"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22"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22"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22"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22"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22"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22"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22"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22"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22"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22"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22"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22"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22"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22"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22"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22"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22"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22"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22"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22"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22"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222">
        <v>12</v>
      </c>
      <c r="C29" s="562" t="s">
        <v>1130</v>
      </c>
      <c r="D29" s="1222"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22"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22"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22"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22"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22"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22"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22"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22"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22"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22"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22"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22"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22"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22"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22"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22"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22"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22"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22"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22"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22"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22"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22"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22"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22"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22"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22"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22"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22"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22"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22"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22"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22"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22"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22"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22"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22"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22"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22"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22"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22"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22"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22"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22"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22"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22"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22"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22"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22"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22"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22"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22"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22"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222">
        <v>13</v>
      </c>
      <c r="C30" s="562" t="s">
        <v>1130</v>
      </c>
      <c r="D30" s="1222"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22"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22"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22"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22"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22"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22"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22"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22"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22"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22"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22"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22"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22"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22"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22"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22"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22"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22"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22"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22"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22"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22"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22"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22"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22"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22"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22"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22"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22"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22"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22"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22"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22"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22"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22"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22"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22"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22"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22"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22"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22"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22"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22"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22"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22"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22"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22"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22"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22"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22"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22"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22"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22"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222">
        <v>14</v>
      </c>
      <c r="C31" s="562" t="s">
        <v>1130</v>
      </c>
      <c r="D31" s="1222"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22"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22"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22"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22"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22"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22"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22"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22"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22"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22"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22"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22"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22"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22"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22"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22"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22"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22"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22"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22"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22"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22"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22"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22"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22"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22"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22"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22"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22"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22"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22"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22"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22"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22"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22"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22"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22"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22"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22"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22"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22"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22"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22"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22"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22"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22"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22"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22"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22"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22"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22"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22"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22"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222">
        <v>15</v>
      </c>
      <c r="C32" s="562" t="s">
        <v>1131</v>
      </c>
      <c r="D32" s="1222"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22"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22"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22"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22"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22"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22"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22"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22"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22"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22"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22"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22"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22"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22"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22"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22"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22"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22"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22"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22"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22"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22"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22"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22"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22"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22"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22"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22"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22"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22"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22"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22"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22"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22"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22"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22"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22"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22"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22"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22"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22"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22"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22"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22"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22"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22"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22"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22"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22"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22"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22"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22"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22"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3">
      <c r="C35"/>
      <c r="D35" s="23"/>
      <c r="E35" s="23"/>
      <c r="F35" s="23"/>
      <c r="O35" s="23"/>
      <c r="P35" s="23"/>
      <c r="Q35" s="23"/>
    </row>
    <row r="36" spans="3:69" x14ac:dyDescent="0.3">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6" x14ac:dyDescent="0.3">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3">
      <c r="C38"/>
      <c r="D38" s="23"/>
      <c r="E38" s="23"/>
      <c r="F38" s="23"/>
      <c r="O38" s="23"/>
      <c r="P38" s="23"/>
      <c r="Q38" s="23"/>
    </row>
    <row r="39" spans="3:69" x14ac:dyDescent="0.3">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825" customFormat="1" x14ac:dyDescent="0.3">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3">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3">
      <c r="C61" s="826"/>
      <c r="G61" s="827"/>
      <c r="H61" s="827"/>
      <c r="I61" s="827"/>
      <c r="J61" s="827"/>
      <c r="K61" s="827"/>
      <c r="L61" s="827"/>
      <c r="M61" s="827"/>
      <c r="O61" s="827"/>
      <c r="P61" s="827"/>
      <c r="Q61" s="827"/>
    </row>
    <row r="62" spans="3:97" s="825" customFormat="1" x14ac:dyDescent="0.3">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388" t="s">
        <v>1435</v>
      </c>
      <c r="CI62" s="1388"/>
      <c r="CJ62" s="1388"/>
      <c r="CK62" s="1388"/>
      <c r="CL62" s="1388"/>
      <c r="CM62" s="1388"/>
      <c r="CN62" s="1388"/>
      <c r="CO62" s="1388"/>
      <c r="CP62" s="1388"/>
      <c r="CQ62" s="1388"/>
      <c r="CR62" s="1388"/>
      <c r="CS62" s="1388"/>
    </row>
    <row r="63" spans="3:97" s="825" customFormat="1" x14ac:dyDescent="0.3">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3">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3">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3">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3">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3">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3">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3">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3">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3">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3">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3">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3">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3">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3">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3">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3">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3">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3">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3">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3">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3">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3">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3">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3">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3">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3">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3">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3">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3">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3">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3">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3">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3">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3">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3">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3">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3">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3">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3">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3">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3">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3">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3">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3">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3">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3">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3">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3">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3">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3">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3">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28" t="s">
        <v>1053</v>
      </c>
      <c r="D1" s="528" t="s">
        <v>1525</v>
      </c>
      <c r="F1" s="528" t="s">
        <v>1295</v>
      </c>
    </row>
    <row r="2" spans="2:6" ht="35.4" customHeight="1" x14ac:dyDescent="0.3">
      <c r="D2" s="504" t="s">
        <v>1054</v>
      </c>
      <c r="F2" s="504" t="s">
        <v>1054</v>
      </c>
    </row>
    <row r="3" spans="2:6" ht="18" x14ac:dyDescent="0.3">
      <c r="B3" s="529" t="s">
        <v>1055</v>
      </c>
      <c r="C3" s="530" t="s">
        <v>1056</v>
      </c>
      <c r="D3" s="530" t="s">
        <v>1057</v>
      </c>
      <c r="E3" s="529" t="s">
        <v>121</v>
      </c>
      <c r="F3" s="530" t="s">
        <v>1058</v>
      </c>
    </row>
    <row r="4" spans="2:6" ht="28.8" x14ac:dyDescent="0.3">
      <c r="B4" s="531" t="s">
        <v>886</v>
      </c>
      <c r="C4" s="531" t="s">
        <v>1059</v>
      </c>
      <c r="D4" s="531" t="s">
        <v>741</v>
      </c>
      <c r="E4" s="531" t="s">
        <v>1060</v>
      </c>
      <c r="F4" s="531" t="s">
        <v>741</v>
      </c>
    </row>
    <row r="5" spans="2:6" ht="28.8" x14ac:dyDescent="0.3">
      <c r="B5" s="531" t="s">
        <v>878</v>
      </c>
      <c r="C5" s="531" t="s">
        <v>1059</v>
      </c>
      <c r="D5" s="531" t="s">
        <v>741</v>
      </c>
      <c r="E5" s="531" t="s">
        <v>1061</v>
      </c>
      <c r="F5" s="531" t="s">
        <v>741</v>
      </c>
    </row>
    <row r="6" spans="2:6" ht="28.8" x14ac:dyDescent="0.3">
      <c r="B6" s="531" t="s">
        <v>1062</v>
      </c>
      <c r="C6" s="531" t="s">
        <v>1059</v>
      </c>
      <c r="D6" s="531" t="s">
        <v>741</v>
      </c>
      <c r="E6" s="531" t="s">
        <v>1063</v>
      </c>
      <c r="F6" s="531" t="s">
        <v>741</v>
      </c>
    </row>
    <row r="7" spans="2:6" x14ac:dyDescent="0.3">
      <c r="B7" s="531" t="s">
        <v>1064</v>
      </c>
      <c r="C7" s="531" t="s">
        <v>1065</v>
      </c>
      <c r="D7" s="531" t="s">
        <v>1066</v>
      </c>
      <c r="E7" s="531" t="s">
        <v>1067</v>
      </c>
      <c r="F7" s="531" t="s">
        <v>1066</v>
      </c>
    </row>
    <row r="8" spans="2:6" x14ac:dyDescent="0.3">
      <c r="B8" s="531" t="s">
        <v>1068</v>
      </c>
      <c r="C8" s="531" t="s">
        <v>1065</v>
      </c>
      <c r="D8" s="531" t="s">
        <v>1069</v>
      </c>
      <c r="E8" s="531" t="s">
        <v>1067</v>
      </c>
      <c r="F8" s="531" t="s">
        <v>1069</v>
      </c>
    </row>
    <row r="9" spans="2:6" x14ac:dyDescent="0.3">
      <c r="B9" s="531" t="s">
        <v>1070</v>
      </c>
      <c r="C9" s="531" t="s">
        <v>1065</v>
      </c>
      <c r="D9" s="531" t="s">
        <v>1071</v>
      </c>
      <c r="E9" s="531" t="s">
        <v>1067</v>
      </c>
      <c r="F9" s="531" t="s">
        <v>1071</v>
      </c>
    </row>
    <row r="10" spans="2:6" x14ac:dyDescent="0.3">
      <c r="B10" s="531" t="s">
        <v>1072</v>
      </c>
      <c r="C10" s="531" t="s">
        <v>1065</v>
      </c>
      <c r="D10" s="531" t="s">
        <v>1073</v>
      </c>
      <c r="E10" s="531" t="s">
        <v>1067</v>
      </c>
      <c r="F10" s="531" t="s">
        <v>1073</v>
      </c>
    </row>
    <row r="11" spans="2:6" ht="28.8" x14ac:dyDescent="0.3">
      <c r="B11" s="531" t="s">
        <v>732</v>
      </c>
      <c r="C11" s="531" t="s">
        <v>1065</v>
      </c>
      <c r="D11" s="554">
        <v>10</v>
      </c>
      <c r="E11" s="551" t="s">
        <v>1074</v>
      </c>
      <c r="F11" s="557">
        <v>11</v>
      </c>
    </row>
    <row r="12" spans="2:6" ht="140.4" x14ac:dyDescent="0.3">
      <c r="B12" s="531" t="s">
        <v>1075</v>
      </c>
      <c r="C12" s="531" t="s">
        <v>1059</v>
      </c>
      <c r="D12" s="532" t="s">
        <v>1548</v>
      </c>
      <c r="E12" s="551" t="s">
        <v>1076</v>
      </c>
      <c r="F12" s="558" t="s">
        <v>1423</v>
      </c>
    </row>
    <row r="13" spans="2:6" ht="28.8" x14ac:dyDescent="0.3">
      <c r="B13" s="531" t="s">
        <v>1077</v>
      </c>
      <c r="C13" s="531" t="s">
        <v>1059</v>
      </c>
      <c r="D13" s="532" t="s">
        <v>1530</v>
      </c>
      <c r="E13" s="551" t="s">
        <v>1078</v>
      </c>
      <c r="F13" s="558" t="s">
        <v>1424</v>
      </c>
    </row>
    <row r="14" spans="2:6" ht="28.8" x14ac:dyDescent="0.3">
      <c r="B14" s="500" t="s">
        <v>1003</v>
      </c>
      <c r="C14" s="531" t="s">
        <v>1065</v>
      </c>
      <c r="D14" s="533"/>
      <c r="E14" s="551" t="s">
        <v>1074</v>
      </c>
      <c r="F14" s="559"/>
    </row>
    <row r="15" spans="2:6" ht="28.8" x14ac:dyDescent="0.3">
      <c r="B15" s="500" t="s">
        <v>1079</v>
      </c>
      <c r="C15" s="531" t="s">
        <v>1059</v>
      </c>
      <c r="D15" s="533"/>
      <c r="E15" s="551" t="s">
        <v>1076</v>
      </c>
      <c r="F15" s="558"/>
    </row>
    <row r="16" spans="2:6" ht="28.8" x14ac:dyDescent="0.3">
      <c r="B16" s="500" t="s">
        <v>1080</v>
      </c>
      <c r="C16" s="531" t="s">
        <v>1059</v>
      </c>
      <c r="D16" s="533"/>
      <c r="E16" s="551" t="s">
        <v>1078</v>
      </c>
      <c r="F16" s="558"/>
    </row>
    <row r="17" spans="2:6" ht="28.8" x14ac:dyDescent="0.3">
      <c r="B17" s="500" t="s">
        <v>1032</v>
      </c>
      <c r="C17" s="531" t="s">
        <v>1065</v>
      </c>
      <c r="D17" s="532">
        <v>1</v>
      </c>
      <c r="E17" s="551" t="s">
        <v>1074</v>
      </c>
      <c r="F17" s="559">
        <v>1</v>
      </c>
    </row>
    <row r="18" spans="2:6" ht="28.8" x14ac:dyDescent="0.3">
      <c r="B18" s="500" t="s">
        <v>1081</v>
      </c>
      <c r="C18" s="531" t="s">
        <v>1059</v>
      </c>
      <c r="D18" s="532" t="s">
        <v>1082</v>
      </c>
      <c r="E18" s="551" t="s">
        <v>1076</v>
      </c>
      <c r="F18" s="558" t="s">
        <v>1082</v>
      </c>
    </row>
    <row r="19" spans="2:6" ht="140.4" x14ac:dyDescent="0.3">
      <c r="B19" s="500" t="s">
        <v>1083</v>
      </c>
      <c r="C19" s="531" t="s">
        <v>1059</v>
      </c>
      <c r="D19" s="532" t="s">
        <v>1115</v>
      </c>
      <c r="E19" s="551" t="s">
        <v>1078</v>
      </c>
      <c r="F19" s="558" t="s">
        <v>1115</v>
      </c>
    </row>
    <row r="20" spans="2:6" ht="28.8" x14ac:dyDescent="0.3">
      <c r="B20" s="500" t="s">
        <v>1039</v>
      </c>
      <c r="C20" s="531" t="s">
        <v>1065</v>
      </c>
      <c r="D20" s="532">
        <v>1</v>
      </c>
      <c r="E20" s="551" t="s">
        <v>1074</v>
      </c>
      <c r="F20" s="559">
        <v>1</v>
      </c>
    </row>
    <row r="21" spans="2:6" ht="28.8" x14ac:dyDescent="0.3">
      <c r="B21" s="500" t="s">
        <v>1084</v>
      </c>
      <c r="C21" s="531" t="s">
        <v>1059</v>
      </c>
      <c r="D21" s="532" t="s">
        <v>1082</v>
      </c>
      <c r="E21" s="551" t="s">
        <v>1076</v>
      </c>
      <c r="F21" s="558" t="s">
        <v>1082</v>
      </c>
    </row>
    <row r="22" spans="2:6" ht="140.4" x14ac:dyDescent="0.3">
      <c r="B22" s="500" t="s">
        <v>1085</v>
      </c>
      <c r="C22" s="531" t="s">
        <v>1059</v>
      </c>
      <c r="D22" s="532" t="s">
        <v>1115</v>
      </c>
      <c r="E22" s="551" t="s">
        <v>1078</v>
      </c>
      <c r="F22" s="558" t="s">
        <v>1115</v>
      </c>
    </row>
    <row r="23" spans="2:6" x14ac:dyDescent="0.3">
      <c r="B23" s="500" t="s">
        <v>1165</v>
      </c>
      <c r="C23" s="531" t="s">
        <v>1065</v>
      </c>
      <c r="D23" s="533"/>
      <c r="E23" s="551"/>
      <c r="F23" s="559"/>
    </row>
    <row r="24" spans="2:6" x14ac:dyDescent="0.3">
      <c r="B24" s="500" t="s">
        <v>1263</v>
      </c>
      <c r="C24" s="531" t="s">
        <v>1059</v>
      </c>
      <c r="D24" s="533"/>
      <c r="E24" s="551"/>
      <c r="F24" s="558"/>
    </row>
    <row r="25" spans="2:6" x14ac:dyDescent="0.3">
      <c r="B25" s="500" t="s">
        <v>1264</v>
      </c>
      <c r="C25" s="531" t="s">
        <v>1059</v>
      </c>
      <c r="D25" s="533"/>
      <c r="E25" s="551"/>
      <c r="F25" s="558"/>
    </row>
    <row r="26" spans="2:6" x14ac:dyDescent="0.3">
      <c r="B26" s="500" t="s">
        <v>1173</v>
      </c>
      <c r="C26" s="531" t="s">
        <v>1065</v>
      </c>
      <c r="D26" s="533"/>
      <c r="E26" s="551"/>
      <c r="F26" s="559"/>
    </row>
    <row r="27" spans="2:6" x14ac:dyDescent="0.3">
      <c r="B27" s="500" t="s">
        <v>1239</v>
      </c>
      <c r="C27" s="531" t="s">
        <v>1059</v>
      </c>
      <c r="D27" s="533"/>
      <c r="E27" s="551"/>
      <c r="F27" s="558"/>
    </row>
    <row r="28" spans="2:6" x14ac:dyDescent="0.3">
      <c r="B28" s="500" t="s">
        <v>1240</v>
      </c>
      <c r="C28" s="531" t="s">
        <v>1059</v>
      </c>
      <c r="D28" s="532"/>
      <c r="E28" s="551"/>
      <c r="F28" s="558"/>
    </row>
    <row r="29" spans="2:6" x14ac:dyDescent="0.3">
      <c r="B29" s="500" t="s">
        <v>1241</v>
      </c>
      <c r="C29" s="531" t="s">
        <v>1065</v>
      </c>
      <c r="D29" s="533"/>
      <c r="E29" s="551"/>
      <c r="F29" s="559"/>
    </row>
    <row r="30" spans="2:6" x14ac:dyDescent="0.3">
      <c r="B30" s="500" t="s">
        <v>1242</v>
      </c>
      <c r="C30" s="531" t="s">
        <v>1059</v>
      </c>
      <c r="D30" s="532"/>
      <c r="E30" s="551"/>
      <c r="F30" s="558"/>
    </row>
    <row r="31" spans="2:6" x14ac:dyDescent="0.3">
      <c r="B31" s="500" t="s">
        <v>1243</v>
      </c>
      <c r="C31" s="531" t="s">
        <v>1059</v>
      </c>
      <c r="D31" s="533"/>
      <c r="E31" s="551"/>
      <c r="F31" s="558"/>
    </row>
    <row r="32" spans="2:6" x14ac:dyDescent="0.3">
      <c r="B32" s="500" t="s">
        <v>1180</v>
      </c>
      <c r="C32" s="531" t="s">
        <v>1065</v>
      </c>
      <c r="D32" s="533"/>
      <c r="E32" s="551"/>
      <c r="F32" s="559"/>
    </row>
    <row r="33" spans="2:6" x14ac:dyDescent="0.3">
      <c r="B33" s="500" t="s">
        <v>1251</v>
      </c>
      <c r="C33" s="531" t="s">
        <v>1059</v>
      </c>
      <c r="D33" s="533"/>
      <c r="E33" s="551"/>
      <c r="F33" s="558"/>
    </row>
    <row r="34" spans="2:6" x14ac:dyDescent="0.3">
      <c r="B34" s="500" t="s">
        <v>1252</v>
      </c>
      <c r="C34" s="531" t="s">
        <v>1059</v>
      </c>
      <c r="D34" s="533"/>
      <c r="E34" s="551"/>
      <c r="F34" s="558"/>
    </row>
    <row r="35" spans="2:6" x14ac:dyDescent="0.3">
      <c r="B35" s="500" t="s">
        <v>1189</v>
      </c>
      <c r="C35" s="531" t="s">
        <v>1065</v>
      </c>
      <c r="D35" s="533"/>
      <c r="E35" s="551"/>
      <c r="F35" s="559"/>
    </row>
    <row r="36" spans="2:6" x14ac:dyDescent="0.3">
      <c r="B36" s="500" t="s">
        <v>1253</v>
      </c>
      <c r="C36" s="531" t="s">
        <v>1059</v>
      </c>
      <c r="D36" s="533"/>
      <c r="E36" s="551"/>
      <c r="F36" s="558"/>
    </row>
    <row r="37" spans="2:6" x14ac:dyDescent="0.3">
      <c r="B37" s="500" t="s">
        <v>1254</v>
      </c>
      <c r="C37" s="531" t="s">
        <v>1059</v>
      </c>
      <c r="D37" s="533"/>
      <c r="E37" s="551"/>
      <c r="F37" s="558"/>
    </row>
    <row r="38" spans="2:6" x14ac:dyDescent="0.3">
      <c r="B38" s="500" t="s">
        <v>1228</v>
      </c>
      <c r="C38" s="531" t="s">
        <v>1065</v>
      </c>
      <c r="D38" s="533"/>
      <c r="E38" s="551"/>
      <c r="F38" s="559"/>
    </row>
    <row r="39" spans="2:6" x14ac:dyDescent="0.3">
      <c r="B39" s="500" t="s">
        <v>1237</v>
      </c>
      <c r="C39" s="531" t="s">
        <v>1059</v>
      </c>
      <c r="D39" s="533"/>
      <c r="E39" s="551"/>
      <c r="F39" s="558"/>
    </row>
    <row r="40" spans="2:6" x14ac:dyDescent="0.3">
      <c r="B40" s="500" t="s">
        <v>1238</v>
      </c>
      <c r="C40" s="531" t="s">
        <v>1059</v>
      </c>
      <c r="D40" s="533"/>
      <c r="E40" s="551"/>
      <c r="F40" s="558"/>
    </row>
    <row r="41" spans="2:6" x14ac:dyDescent="0.3">
      <c r="B41" s="500" t="s">
        <v>1197</v>
      </c>
      <c r="C41" s="531" t="s">
        <v>1065</v>
      </c>
      <c r="D41" s="533"/>
      <c r="E41" s="551"/>
      <c r="F41" s="559"/>
    </row>
    <row r="42" spans="2:6" x14ac:dyDescent="0.3">
      <c r="B42" s="500" t="s">
        <v>1255</v>
      </c>
      <c r="C42" s="531" t="s">
        <v>1059</v>
      </c>
      <c r="D42" s="533"/>
      <c r="E42" s="551"/>
      <c r="F42" s="558"/>
    </row>
    <row r="43" spans="2:6" x14ac:dyDescent="0.3">
      <c r="B43" s="500" t="s">
        <v>1256</v>
      </c>
      <c r="C43" s="531" t="s">
        <v>1059</v>
      </c>
      <c r="D43" s="533"/>
      <c r="E43" s="551"/>
      <c r="F43" s="558"/>
    </row>
    <row r="44" spans="2:6" x14ac:dyDescent="0.3">
      <c r="B44" s="500" t="s">
        <v>1205</v>
      </c>
      <c r="C44" s="531" t="s">
        <v>1065</v>
      </c>
      <c r="D44" s="533"/>
      <c r="E44" s="551"/>
      <c r="F44" s="559">
        <v>1</v>
      </c>
    </row>
    <row r="45" spans="2:6" ht="15.6" x14ac:dyDescent="0.3">
      <c r="B45" s="500" t="s">
        <v>1261</v>
      </c>
      <c r="C45" s="531" t="s">
        <v>1059</v>
      </c>
      <c r="D45" s="533"/>
      <c r="E45" s="551"/>
      <c r="F45" s="558" t="s">
        <v>1082</v>
      </c>
    </row>
    <row r="46" spans="2:6" ht="140.4" x14ac:dyDescent="0.3">
      <c r="B46" s="500" t="s">
        <v>1262</v>
      </c>
      <c r="C46" s="531" t="s">
        <v>1059</v>
      </c>
      <c r="D46" s="533"/>
      <c r="E46" s="551"/>
      <c r="F46" s="558" t="s">
        <v>1115</v>
      </c>
    </row>
    <row r="47" spans="2:6" x14ac:dyDescent="0.3">
      <c r="B47" s="500" t="s">
        <v>1213</v>
      </c>
      <c r="C47" s="531" t="s">
        <v>1065</v>
      </c>
      <c r="D47" s="533"/>
      <c r="E47" s="551"/>
      <c r="F47" s="559">
        <v>1</v>
      </c>
    </row>
    <row r="48" spans="2:6" ht="15.6" x14ac:dyDescent="0.3">
      <c r="B48" s="500" t="s">
        <v>1257</v>
      </c>
      <c r="C48" s="531" t="s">
        <v>1059</v>
      </c>
      <c r="D48" s="533"/>
      <c r="E48" s="551"/>
      <c r="F48" s="558" t="s">
        <v>1082</v>
      </c>
    </row>
    <row r="49" spans="2:6" ht="140.4" x14ac:dyDescent="0.3">
      <c r="B49" s="500" t="s">
        <v>1258</v>
      </c>
      <c r="C49" s="531" t="s">
        <v>1059</v>
      </c>
      <c r="D49" s="533"/>
      <c r="E49" s="551"/>
      <c r="F49" s="558" t="s">
        <v>1115</v>
      </c>
    </row>
    <row r="50" spans="2:6" x14ac:dyDescent="0.3">
      <c r="B50" s="500" t="s">
        <v>1221</v>
      </c>
      <c r="C50" s="531" t="s">
        <v>1065</v>
      </c>
      <c r="D50" s="533"/>
      <c r="E50" s="551"/>
      <c r="F50" s="559"/>
    </row>
    <row r="51" spans="2:6" x14ac:dyDescent="0.3">
      <c r="B51" s="500" t="s">
        <v>1259</v>
      </c>
      <c r="C51" s="531" t="s">
        <v>1059</v>
      </c>
      <c r="D51" s="533"/>
      <c r="E51" s="551"/>
      <c r="F51" s="558"/>
    </row>
    <row r="52" spans="2:6" x14ac:dyDescent="0.3">
      <c r="B52" s="500" t="s">
        <v>1260</v>
      </c>
      <c r="C52" s="531" t="s">
        <v>1059</v>
      </c>
      <c r="D52" s="533"/>
      <c r="E52" s="551"/>
      <c r="F52" s="558"/>
    </row>
    <row r="53" spans="2:6" x14ac:dyDescent="0.3">
      <c r="B53" s="500" t="s">
        <v>1032</v>
      </c>
      <c r="C53" s="531" t="s">
        <v>1065</v>
      </c>
      <c r="D53" s="532">
        <v>1</v>
      </c>
      <c r="E53" s="551"/>
      <c r="F53" s="559">
        <v>1</v>
      </c>
    </row>
    <row r="54" spans="2:6" ht="15.6" x14ac:dyDescent="0.3">
      <c r="B54" s="500" t="s">
        <v>1081</v>
      </c>
      <c r="C54" s="531" t="s">
        <v>1059</v>
      </c>
      <c r="D54" s="532" t="s">
        <v>1082</v>
      </c>
      <c r="E54" s="551"/>
      <c r="F54" s="558" t="s">
        <v>1082</v>
      </c>
    </row>
    <row r="55" spans="2:6" ht="140.4" x14ac:dyDescent="0.3">
      <c r="B55" s="500" t="s">
        <v>1083</v>
      </c>
      <c r="C55" s="531" t="s">
        <v>1059</v>
      </c>
      <c r="D55" s="532" t="s">
        <v>1115</v>
      </c>
      <c r="E55" s="551"/>
      <c r="F55" s="558" t="s">
        <v>1115</v>
      </c>
    </row>
    <row r="56" spans="2:6" x14ac:dyDescent="0.3">
      <c r="B56" s="500" t="s">
        <v>1039</v>
      </c>
      <c r="C56" s="531" t="s">
        <v>1065</v>
      </c>
      <c r="D56" s="532">
        <v>1</v>
      </c>
      <c r="E56" s="551"/>
      <c r="F56" s="559">
        <v>1</v>
      </c>
    </row>
    <row r="57" spans="2:6" ht="15.6" x14ac:dyDescent="0.3">
      <c r="B57" s="500" t="s">
        <v>1084</v>
      </c>
      <c r="C57" s="531" t="s">
        <v>1059</v>
      </c>
      <c r="D57" s="532" t="s">
        <v>1082</v>
      </c>
      <c r="E57" s="551"/>
      <c r="F57" s="558" t="s">
        <v>1082</v>
      </c>
    </row>
    <row r="58" spans="2:6" ht="140.4" x14ac:dyDescent="0.3">
      <c r="B58" s="500" t="s">
        <v>1085</v>
      </c>
      <c r="C58" s="531" t="s">
        <v>1059</v>
      </c>
      <c r="D58" s="532" t="s">
        <v>1115</v>
      </c>
      <c r="E58" s="551"/>
      <c r="F58" s="558" t="s">
        <v>1115</v>
      </c>
    </row>
    <row r="59" spans="2:6" x14ac:dyDescent="0.3">
      <c r="B59" s="500"/>
      <c r="C59" s="531"/>
      <c r="D59" s="552"/>
      <c r="E59" s="551"/>
      <c r="F59" s="553"/>
    </row>
    <row r="60" spans="2:6" x14ac:dyDescent="0.3">
      <c r="B60" s="500"/>
      <c r="C60" s="531"/>
      <c r="D60" s="534"/>
      <c r="E60" s="531"/>
      <c r="F60" s="535"/>
    </row>
    <row r="61" spans="2:6" x14ac:dyDescent="0.3">
      <c r="B61" s="500"/>
      <c r="C61" s="531"/>
      <c r="D61" s="534"/>
      <c r="E61" s="531"/>
      <c r="F61" s="535"/>
    </row>
    <row r="62" spans="2:6" x14ac:dyDescent="0.3">
      <c r="B62" s="500"/>
      <c r="C62" s="531"/>
      <c r="D62" s="534"/>
      <c r="E62" s="531"/>
      <c r="F62" s="535"/>
    </row>
    <row r="63" spans="2:6" x14ac:dyDescent="0.3">
      <c r="B63" s="536"/>
      <c r="C63" s="537"/>
      <c r="D63" s="537"/>
      <c r="E63" s="536"/>
    </row>
    <row r="64" spans="2:6" x14ac:dyDescent="0.3">
      <c r="B64" s="620" t="s">
        <v>1543</v>
      </c>
      <c r="D64" s="549"/>
      <c r="E64" s="550"/>
    </row>
    <row r="65" spans="2:5" x14ac:dyDescent="0.3">
      <c r="B65" s="620" t="s">
        <v>1544</v>
      </c>
      <c r="D65" s="549"/>
      <c r="E65" s="550"/>
    </row>
    <row r="66" spans="2:5" x14ac:dyDescent="0.3">
      <c r="B66" s="620" t="s">
        <v>1545</v>
      </c>
      <c r="D66" s="549"/>
      <c r="E66" s="550"/>
    </row>
    <row r="67" spans="2:5" x14ac:dyDescent="0.3">
      <c r="B67" s="620" t="s">
        <v>1419</v>
      </c>
      <c r="D67" s="549"/>
      <c r="E67" s="550"/>
    </row>
    <row r="68" spans="2:5" x14ac:dyDescent="0.3">
      <c r="B68" s="620" t="s">
        <v>1418</v>
      </c>
      <c r="D68" s="549"/>
      <c r="E68" s="550"/>
    </row>
    <row r="69" spans="2:5" x14ac:dyDescent="0.3">
      <c r="B69" s="620" t="s">
        <v>1417</v>
      </c>
      <c r="D69" s="549"/>
      <c r="E69" s="550"/>
    </row>
    <row r="70" spans="2:5" x14ac:dyDescent="0.3">
      <c r="B70" s="620" t="s">
        <v>1416</v>
      </c>
      <c r="D70" s="549"/>
      <c r="E70" s="550"/>
    </row>
    <row r="71" spans="2:5" x14ac:dyDescent="0.3">
      <c r="B71" s="620" t="s">
        <v>1588</v>
      </c>
      <c r="D71" s="549"/>
      <c r="E71" s="550"/>
    </row>
    <row r="72" spans="2:5" x14ac:dyDescent="0.3">
      <c r="B72" s="620" t="s">
        <v>1525</v>
      </c>
      <c r="D72" s="550"/>
      <c r="E72" s="550"/>
    </row>
    <row r="73" spans="2:5" x14ac:dyDescent="0.3">
      <c r="B73" s="620" t="s">
        <v>1524</v>
      </c>
      <c r="D73" s="550"/>
      <c r="E73" s="550"/>
    </row>
    <row r="74" spans="2:5" x14ac:dyDescent="0.3">
      <c r="B74" s="620" t="s">
        <v>1412</v>
      </c>
      <c r="D74" s="550"/>
      <c r="E74" s="550"/>
    </row>
    <row r="75" spans="2:5" x14ac:dyDescent="0.3">
      <c r="B75" s="620" t="s">
        <v>1295</v>
      </c>
      <c r="D75" s="550"/>
      <c r="E75" s="550"/>
    </row>
    <row r="76" spans="2:5" x14ac:dyDescent="0.3">
      <c r="B76" s="620" t="s">
        <v>1294</v>
      </c>
      <c r="D76" s="550"/>
      <c r="E76" s="550"/>
    </row>
    <row r="77" spans="2:5" x14ac:dyDescent="0.3">
      <c r="B77" s="620" t="s">
        <v>1293</v>
      </c>
      <c r="D77" s="550"/>
      <c r="E77" s="550"/>
    </row>
    <row r="78" spans="2:5" x14ac:dyDescent="0.3">
      <c r="B78" s="620" t="s">
        <v>1110</v>
      </c>
      <c r="D78" s="550"/>
      <c r="E78" s="550"/>
    </row>
    <row r="79" spans="2:5" x14ac:dyDescent="0.3">
      <c r="B79" s="620" t="s">
        <v>1109</v>
      </c>
      <c r="D79" s="550"/>
      <c r="E79" s="550"/>
    </row>
    <row r="80" spans="2:5" x14ac:dyDescent="0.3">
      <c r="B80" s="620" t="s">
        <v>1108</v>
      </c>
      <c r="D80" s="550"/>
      <c r="E80" s="550"/>
    </row>
    <row r="81" spans="2:5" x14ac:dyDescent="0.3">
      <c r="B81" s="620" t="s">
        <v>1096</v>
      </c>
      <c r="D81" s="550"/>
      <c r="E81" s="550"/>
    </row>
    <row r="82" spans="2:5" x14ac:dyDescent="0.3">
      <c r="B82" s="620" t="s">
        <v>1116</v>
      </c>
      <c r="D82" s="550"/>
      <c r="E82" s="550"/>
    </row>
    <row r="83" spans="2:5" x14ac:dyDescent="0.3">
      <c r="B83" s="620" t="s">
        <v>1095</v>
      </c>
      <c r="D83" s="550"/>
      <c r="E83" s="550"/>
    </row>
    <row r="84" spans="2:5" x14ac:dyDescent="0.3">
      <c r="B84" s="620" t="s">
        <v>1092</v>
      </c>
      <c r="D84" s="550"/>
      <c r="E84" s="550"/>
    </row>
    <row r="85" spans="2:5" x14ac:dyDescent="0.3">
      <c r="B85" s="620" t="s">
        <v>1093</v>
      </c>
      <c r="D85" s="550"/>
      <c r="E85" s="550"/>
    </row>
    <row r="86" spans="2:5" x14ac:dyDescent="0.3">
      <c r="B86" s="620" t="s">
        <v>478</v>
      </c>
      <c r="D86" s="550"/>
      <c r="E86" s="549"/>
    </row>
    <row r="87" spans="2:5" x14ac:dyDescent="0.3">
      <c r="B87" s="620" t="s">
        <v>448</v>
      </c>
      <c r="D87" s="550"/>
      <c r="E87" s="549"/>
    </row>
    <row r="88" spans="2:5" x14ac:dyDescent="0.3">
      <c r="B88" s="620" t="s">
        <v>1355</v>
      </c>
      <c r="D88" s="550"/>
      <c r="E88" s="549"/>
    </row>
    <row r="89" spans="2:5" x14ac:dyDescent="0.3">
      <c r="B89" s="620" t="s">
        <v>471</v>
      </c>
      <c r="D89" s="550"/>
      <c r="E89" s="549"/>
    </row>
    <row r="90" spans="2:5" x14ac:dyDescent="0.3">
      <c r="B90" s="620" t="s">
        <v>385</v>
      </c>
      <c r="D90" s="550"/>
      <c r="E90" s="549"/>
    </row>
    <row r="91" spans="2:5" x14ac:dyDescent="0.3">
      <c r="B91" s="620" t="s">
        <v>384</v>
      </c>
      <c r="D91" s="550"/>
      <c r="E91" s="549"/>
    </row>
    <row r="92" spans="2:5" x14ac:dyDescent="0.3">
      <c r="B92" s="620" t="s">
        <v>731</v>
      </c>
      <c r="D92" s="550"/>
      <c r="E92" s="549"/>
    </row>
    <row r="93" spans="2:5" x14ac:dyDescent="0.3">
      <c r="B93" s="620" t="s">
        <v>730</v>
      </c>
      <c r="D93" s="550"/>
      <c r="E93" s="549"/>
    </row>
    <row r="94" spans="2:5" x14ac:dyDescent="0.3">
      <c r="B94" s="620" t="s">
        <v>729</v>
      </c>
    </row>
    <row r="95" spans="2:5" x14ac:dyDescent="0.3">
      <c r="B95" s="620" t="s">
        <v>728</v>
      </c>
    </row>
    <row r="96" spans="2:5" x14ac:dyDescent="0.3">
      <c r="B96" s="620" t="s">
        <v>727</v>
      </c>
    </row>
    <row r="97" spans="2:2" x14ac:dyDescent="0.3">
      <c r="B97" s="620" t="s">
        <v>284</v>
      </c>
    </row>
    <row r="98" spans="2:2" x14ac:dyDescent="0.3">
      <c r="B98" s="620" t="s">
        <v>98</v>
      </c>
    </row>
    <row r="99" spans="2:2" x14ac:dyDescent="0.3">
      <c r="B99" s="620" t="s">
        <v>523</v>
      </c>
    </row>
    <row r="100" spans="2:2" x14ac:dyDescent="0.3">
      <c r="B100" s="620" t="s">
        <v>439</v>
      </c>
    </row>
    <row r="101" spans="2:2" x14ac:dyDescent="0.3">
      <c r="B101" s="620" t="s">
        <v>726</v>
      </c>
    </row>
    <row r="102" spans="2:2" x14ac:dyDescent="0.3">
      <c r="B102" s="620" t="s">
        <v>725</v>
      </c>
    </row>
    <row r="103" spans="2:2" x14ac:dyDescent="0.3">
      <c r="B103" s="620" t="s">
        <v>724</v>
      </c>
    </row>
    <row r="104" spans="2:2" x14ac:dyDescent="0.3">
      <c r="B104" s="620" t="s">
        <v>156</v>
      </c>
    </row>
    <row r="105" spans="2:2" x14ac:dyDescent="0.3">
      <c r="B105" s="620" t="s">
        <v>2</v>
      </c>
    </row>
    <row r="106" spans="2:2" x14ac:dyDescent="0.3">
      <c r="B106" s="620" t="s">
        <v>396</v>
      </c>
    </row>
    <row r="107" spans="2:2" x14ac:dyDescent="0.3">
      <c r="B107" s="620"/>
    </row>
    <row r="108" spans="2:2" x14ac:dyDescent="0.3">
      <c r="B108" s="620"/>
    </row>
    <row r="109" spans="2:2" x14ac:dyDescent="0.3">
      <c r="B109" s="620"/>
    </row>
    <row r="110" spans="2:2" x14ac:dyDescent="0.3">
      <c r="B110" s="620"/>
    </row>
    <row r="111" spans="2:2" x14ac:dyDescent="0.3">
      <c r="B111" s="620"/>
    </row>
    <row r="112" spans="2:2" x14ac:dyDescent="0.3">
      <c r="B112" s="620"/>
    </row>
    <row r="113" spans="2:2" x14ac:dyDescent="0.3">
      <c r="B113" s="620"/>
    </row>
    <row r="114" spans="2:2" x14ac:dyDescent="0.3">
      <c r="B114" s="620"/>
    </row>
    <row r="115" spans="2:2" x14ac:dyDescent="0.3">
      <c r="B115" s="620"/>
    </row>
    <row r="116" spans="2:2" x14ac:dyDescent="0.3">
      <c r="B116" s="620"/>
    </row>
    <row r="117" spans="2:2" x14ac:dyDescent="0.3">
      <c r="B117" s="620"/>
    </row>
    <row r="118" spans="2:2" x14ac:dyDescent="0.3">
      <c r="B118" s="620"/>
    </row>
    <row r="119" spans="2:2" x14ac:dyDescent="0.3">
      <c r="B119" s="620"/>
    </row>
    <row r="120" spans="2:2" x14ac:dyDescent="0.3">
      <c r="B120" s="620"/>
    </row>
    <row r="121" spans="2:2" x14ac:dyDescent="0.3">
      <c r="B121" s="620"/>
    </row>
    <row r="122" spans="2:2" x14ac:dyDescent="0.3">
      <c r="B122" s="620"/>
    </row>
    <row r="123" spans="2:2" x14ac:dyDescent="0.3">
      <c r="B123" s="620"/>
    </row>
    <row r="124" spans="2:2" x14ac:dyDescent="0.3">
      <c r="B124" s="620"/>
    </row>
    <row r="125" spans="2:2" x14ac:dyDescent="0.3">
      <c r="B125" s="620"/>
    </row>
    <row r="126" spans="2:2" x14ac:dyDescent="0.3">
      <c r="B126" s="620"/>
    </row>
    <row r="127" spans="2:2" x14ac:dyDescent="0.3">
      <c r="B127" s="620"/>
    </row>
    <row r="128" spans="2:2" x14ac:dyDescent="0.3">
      <c r="B128" s="620"/>
    </row>
    <row r="129" spans="2:2" x14ac:dyDescent="0.3">
      <c r="B129" s="620"/>
    </row>
    <row r="130" spans="2:2" x14ac:dyDescent="0.3">
      <c r="B130" s="620"/>
    </row>
    <row r="131" spans="2:2" x14ac:dyDescent="0.3">
      <c r="B131" s="620"/>
    </row>
    <row r="132" spans="2:2" x14ac:dyDescent="0.3">
      <c r="B132" s="620"/>
    </row>
    <row r="133" spans="2:2" x14ac:dyDescent="0.3">
      <c r="B133" s="620"/>
    </row>
    <row r="134" spans="2:2" x14ac:dyDescent="0.3">
      <c r="B134" s="620"/>
    </row>
    <row r="135" spans="2:2" x14ac:dyDescent="0.3">
      <c r="B135" s="620"/>
    </row>
    <row r="136" spans="2:2" x14ac:dyDescent="0.3">
      <c r="B136" s="620"/>
    </row>
    <row r="137" spans="2:2" x14ac:dyDescent="0.3">
      <c r="B137" s="620"/>
    </row>
    <row r="138" spans="2:2" x14ac:dyDescent="0.3">
      <c r="B138" s="620"/>
    </row>
    <row r="139" spans="2:2" x14ac:dyDescent="0.3">
      <c r="B139" s="620"/>
    </row>
    <row r="140" spans="2:2" x14ac:dyDescent="0.3">
      <c r="B140" s="620"/>
    </row>
    <row r="141" spans="2:2" x14ac:dyDescent="0.3">
      <c r="B141" s="620"/>
    </row>
    <row r="142" spans="2:2" x14ac:dyDescent="0.3">
      <c r="B142" s="620"/>
    </row>
    <row r="143" spans="2:2" x14ac:dyDescent="0.3">
      <c r="B143" s="620"/>
    </row>
    <row r="144" spans="2:2" x14ac:dyDescent="0.3">
      <c r="B144" s="620"/>
    </row>
    <row r="145" spans="2:2" x14ac:dyDescent="0.3">
      <c r="B145" s="620"/>
    </row>
    <row r="146" spans="2:2" x14ac:dyDescent="0.3">
      <c r="B146" s="620"/>
    </row>
    <row r="147" spans="2:2" x14ac:dyDescent="0.3">
      <c r="B147" s="620"/>
    </row>
    <row r="148" spans="2:2" x14ac:dyDescent="0.3">
      <c r="B148" s="620"/>
    </row>
    <row r="149" spans="2:2" x14ac:dyDescent="0.3">
      <c r="B149" s="620"/>
    </row>
    <row r="150" spans="2:2" x14ac:dyDescent="0.3">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496" t="s">
        <v>707</v>
      </c>
      <c r="B1" s="496" t="s">
        <v>708</v>
      </c>
      <c r="C1" s="496" t="s">
        <v>709</v>
      </c>
      <c r="D1" s="496" t="s">
        <v>121</v>
      </c>
    </row>
    <row r="2" spans="1:4" x14ac:dyDescent="0.3">
      <c r="A2" s="497">
        <v>1</v>
      </c>
      <c r="B2" s="498">
        <v>43451</v>
      </c>
      <c r="C2" s="498" t="s">
        <v>710</v>
      </c>
      <c r="D2" s="499" t="s">
        <v>711</v>
      </c>
    </row>
    <row r="3" spans="1:4" x14ac:dyDescent="0.3">
      <c r="A3" s="497">
        <v>2</v>
      </c>
      <c r="B3" s="498">
        <v>43507</v>
      </c>
      <c r="C3" s="498" t="s">
        <v>710</v>
      </c>
      <c r="D3" s="499" t="s">
        <v>712</v>
      </c>
    </row>
    <row r="4" spans="1:4" x14ac:dyDescent="0.3">
      <c r="A4" s="497">
        <v>3</v>
      </c>
      <c r="B4" s="498">
        <v>43598</v>
      </c>
      <c r="C4" s="498" t="s">
        <v>710</v>
      </c>
      <c r="D4" s="499" t="s">
        <v>713</v>
      </c>
    </row>
    <row r="5" spans="1:4" x14ac:dyDescent="0.3">
      <c r="A5" s="497">
        <v>4</v>
      </c>
      <c r="B5" s="498">
        <v>43620</v>
      </c>
      <c r="C5" s="498" t="s">
        <v>710</v>
      </c>
      <c r="D5" s="499" t="s">
        <v>714</v>
      </c>
    </row>
    <row r="6" spans="1:4" ht="57.6" x14ac:dyDescent="0.3">
      <c r="A6" s="497">
        <v>5</v>
      </c>
      <c r="B6" s="498">
        <v>43621</v>
      </c>
      <c r="C6" s="498" t="s">
        <v>710</v>
      </c>
      <c r="D6" s="499" t="s">
        <v>715</v>
      </c>
    </row>
    <row r="7" spans="1:4" x14ac:dyDescent="0.3">
      <c r="A7" s="497">
        <v>6</v>
      </c>
      <c r="B7" s="498">
        <v>43875</v>
      </c>
      <c r="C7" s="498" t="s">
        <v>716</v>
      </c>
      <c r="D7" s="500" t="s">
        <v>717</v>
      </c>
    </row>
    <row r="8" spans="1:4" ht="30.6" x14ac:dyDescent="0.3">
      <c r="A8" s="497">
        <v>7</v>
      </c>
      <c r="B8" s="498">
        <v>43883</v>
      </c>
      <c r="C8" s="498" t="s">
        <v>710</v>
      </c>
      <c r="D8" s="501" t="s">
        <v>718</v>
      </c>
    </row>
    <row r="9" spans="1:4" x14ac:dyDescent="0.3">
      <c r="A9" s="497">
        <v>8</v>
      </c>
      <c r="B9" s="498">
        <v>43885</v>
      </c>
      <c r="C9" s="498" t="s">
        <v>710</v>
      </c>
      <c r="D9" s="502" t="s">
        <v>719</v>
      </c>
    </row>
    <row r="10" spans="1:4" x14ac:dyDescent="0.3">
      <c r="A10" s="497">
        <v>9</v>
      </c>
      <c r="B10" s="498">
        <v>44014</v>
      </c>
      <c r="C10" s="498" t="s">
        <v>710</v>
      </c>
      <c r="D10" s="502" t="s">
        <v>720</v>
      </c>
    </row>
    <row r="11" spans="1:4" x14ac:dyDescent="0.3">
      <c r="A11" s="497">
        <v>10</v>
      </c>
      <c r="B11" s="498">
        <v>43895</v>
      </c>
      <c r="C11" s="502" t="s">
        <v>1091</v>
      </c>
      <c r="D11" s="502"/>
    </row>
    <row r="12" spans="1:4" x14ac:dyDescent="0.3">
      <c r="A12" s="497">
        <v>11</v>
      </c>
      <c r="B12" s="498"/>
      <c r="C12" s="498"/>
      <c r="D12" s="502"/>
    </row>
    <row r="13" spans="1:4" x14ac:dyDescent="0.3">
      <c r="A13" s="497">
        <v>12</v>
      </c>
      <c r="B13" s="498"/>
      <c r="C13" s="498"/>
      <c r="D13" s="502"/>
    </row>
    <row r="14" spans="1:4" x14ac:dyDescent="0.3">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395" t="s">
        <v>306</v>
      </c>
      <c r="E1" s="1319"/>
      <c r="F1" s="1319"/>
      <c r="G1" s="1319"/>
      <c r="H1" s="1319"/>
      <c r="I1" s="1319"/>
      <c r="J1" s="1319"/>
      <c r="K1" s="1319"/>
      <c r="L1" s="1319"/>
      <c r="M1" s="1319"/>
      <c r="N1" s="1319"/>
      <c r="O1" s="1319"/>
      <c r="P1" s="1319"/>
      <c r="Q1" s="1319"/>
      <c r="R1" s="1319"/>
      <c r="S1" s="1319"/>
      <c r="T1" s="1319"/>
      <c r="U1" s="1319"/>
      <c r="V1" s="1319"/>
      <c r="W1" s="1319"/>
      <c r="X1" s="1319"/>
      <c r="Y1" s="1319"/>
      <c r="Z1" s="1319"/>
      <c r="AA1" s="1319"/>
      <c r="AB1" s="1319"/>
      <c r="AC1" s="1319"/>
      <c r="AD1" s="1319"/>
      <c r="AE1" s="1337"/>
    </row>
    <row r="2" spans="4:31" x14ac:dyDescent="0.3">
      <c r="D2" s="1396"/>
      <c r="E2" s="1320"/>
      <c r="F2" s="1320"/>
      <c r="G2" s="1320"/>
      <c r="H2" s="1320"/>
      <c r="I2" s="1320"/>
      <c r="J2" s="1320"/>
      <c r="K2" s="1320"/>
      <c r="L2" s="1320"/>
      <c r="M2" s="1320"/>
      <c r="N2" s="1320"/>
      <c r="O2" s="1320"/>
      <c r="P2" s="1320"/>
      <c r="Q2" s="1320"/>
      <c r="R2" s="1320"/>
      <c r="S2" s="1320"/>
      <c r="T2" s="1320"/>
      <c r="U2" s="1320"/>
      <c r="V2" s="1320"/>
      <c r="W2" s="1320"/>
      <c r="X2" s="1320"/>
      <c r="Y2" s="1320"/>
      <c r="Z2" s="1320"/>
      <c r="AA2" s="1320"/>
      <c r="AB2" s="1320"/>
      <c r="AC2" s="1320"/>
      <c r="AD2" s="1320"/>
      <c r="AE2" s="1397"/>
    </row>
    <row r="3" spans="4:31" x14ac:dyDescent="0.3">
      <c r="D3" s="1396"/>
      <c r="E3" s="1320"/>
      <c r="F3" s="1320"/>
      <c r="G3" s="1320"/>
      <c r="H3" s="1320"/>
      <c r="I3" s="1320"/>
      <c r="J3" s="1320"/>
      <c r="K3" s="1320"/>
      <c r="L3" s="1320"/>
      <c r="M3" s="1320"/>
      <c r="N3" s="1320"/>
      <c r="O3" s="1320"/>
      <c r="P3" s="1320"/>
      <c r="Q3" s="1320"/>
      <c r="R3" s="1320"/>
      <c r="S3" s="1320"/>
      <c r="T3" s="1320"/>
      <c r="U3" s="1320"/>
      <c r="V3" s="1320"/>
      <c r="W3" s="1320"/>
      <c r="X3" s="1320"/>
      <c r="Y3" s="1320"/>
      <c r="Z3" s="1320"/>
      <c r="AA3" s="1320"/>
      <c r="AB3" s="1320"/>
      <c r="AC3" s="1320"/>
      <c r="AD3" s="1320"/>
      <c r="AE3" s="1397"/>
    </row>
    <row r="4" spans="4:31" x14ac:dyDescent="0.3">
      <c r="D4" s="1396"/>
      <c r="E4" s="1320"/>
      <c r="F4" s="1320"/>
      <c r="G4" s="1320"/>
      <c r="H4" s="1320"/>
      <c r="I4" s="1320"/>
      <c r="J4" s="1320"/>
      <c r="K4" s="1320"/>
      <c r="L4" s="1320"/>
      <c r="M4" s="1320"/>
      <c r="N4" s="1320"/>
      <c r="O4" s="1320"/>
      <c r="P4" s="1320"/>
      <c r="Q4" s="1320"/>
      <c r="R4" s="1320"/>
      <c r="S4" s="1320"/>
      <c r="T4" s="1320"/>
      <c r="U4" s="1320"/>
      <c r="V4" s="1320"/>
      <c r="W4" s="1320"/>
      <c r="X4" s="1320"/>
      <c r="Y4" s="1320"/>
      <c r="Z4" s="1320"/>
      <c r="AA4" s="1320"/>
      <c r="AB4" s="1320"/>
      <c r="AC4" s="1320"/>
      <c r="AD4" s="1320"/>
      <c r="AE4" s="1397"/>
    </row>
    <row r="5" spans="4:31" x14ac:dyDescent="0.3">
      <c r="D5" s="1396"/>
      <c r="E5" s="1320"/>
      <c r="F5" s="1320"/>
      <c r="G5" s="1320"/>
      <c r="H5" s="1320"/>
      <c r="I5" s="1320"/>
      <c r="J5" s="1320"/>
      <c r="K5" s="1320"/>
      <c r="L5" s="1320"/>
      <c r="M5" s="1320"/>
      <c r="N5" s="1320"/>
      <c r="O5" s="1320"/>
      <c r="P5" s="1320"/>
      <c r="Q5" s="1320"/>
      <c r="R5" s="1320"/>
      <c r="S5" s="1320"/>
      <c r="T5" s="1320"/>
      <c r="U5" s="1320"/>
      <c r="V5" s="1320"/>
      <c r="W5" s="1320"/>
      <c r="X5" s="1320"/>
      <c r="Y5" s="1320"/>
      <c r="Z5" s="1320"/>
      <c r="AA5" s="1320"/>
      <c r="AB5" s="1320"/>
      <c r="AC5" s="1320"/>
      <c r="AD5" s="1320"/>
      <c r="AE5" s="1397"/>
    </row>
    <row r="6" spans="4:31" x14ac:dyDescent="0.3">
      <c r="D6" s="1396"/>
      <c r="E6" s="1320"/>
      <c r="F6" s="1320"/>
      <c r="G6" s="1320"/>
      <c r="H6" s="1320"/>
      <c r="I6" s="1320"/>
      <c r="J6" s="1320"/>
      <c r="K6" s="1320"/>
      <c r="L6" s="1320"/>
      <c r="M6" s="1320"/>
      <c r="N6" s="1320"/>
      <c r="O6" s="1320"/>
      <c r="P6" s="1320"/>
      <c r="Q6" s="1320"/>
      <c r="R6" s="1320"/>
      <c r="S6" s="1320"/>
      <c r="T6" s="1320"/>
      <c r="U6" s="1320"/>
      <c r="V6" s="1320"/>
      <c r="W6" s="1320"/>
      <c r="X6" s="1320"/>
      <c r="Y6" s="1320"/>
      <c r="Z6" s="1320"/>
      <c r="AA6" s="1320"/>
      <c r="AB6" s="1320"/>
      <c r="AC6" s="1320"/>
      <c r="AD6" s="1320"/>
      <c r="AE6" s="1397"/>
    </row>
    <row r="7" spans="4:31" x14ac:dyDescent="0.3">
      <c r="D7" s="1396"/>
      <c r="E7" s="1320"/>
      <c r="F7" s="1320"/>
      <c r="G7" s="1320"/>
      <c r="H7" s="1320"/>
      <c r="I7" s="1320"/>
      <c r="J7" s="1320"/>
      <c r="K7" s="1320"/>
      <c r="L7" s="1320"/>
      <c r="M7" s="1320"/>
      <c r="N7" s="1320"/>
      <c r="O7" s="1320"/>
      <c r="P7" s="1320"/>
      <c r="Q7" s="1320"/>
      <c r="R7" s="1320"/>
      <c r="S7" s="1320"/>
      <c r="T7" s="1320"/>
      <c r="U7" s="1320"/>
      <c r="V7" s="1320"/>
      <c r="W7" s="1320"/>
      <c r="X7" s="1320"/>
      <c r="Y7" s="1320"/>
      <c r="Z7" s="1320"/>
      <c r="AA7" s="1320"/>
      <c r="AB7" s="1320"/>
      <c r="AC7" s="1320"/>
      <c r="AD7" s="1320"/>
      <c r="AE7" s="1397"/>
    </row>
    <row r="8" spans="4:31" x14ac:dyDescent="0.3">
      <c r="D8" s="1396"/>
      <c r="E8" s="1320"/>
      <c r="F8" s="1320"/>
      <c r="G8" s="1320"/>
      <c r="H8" s="1320"/>
      <c r="I8" s="1320"/>
      <c r="J8" s="1320"/>
      <c r="K8" s="1320"/>
      <c r="L8" s="1320"/>
      <c r="M8" s="1320"/>
      <c r="N8" s="1320"/>
      <c r="O8" s="1320"/>
      <c r="P8" s="1320"/>
      <c r="Q8" s="1320"/>
      <c r="R8" s="1320"/>
      <c r="S8" s="1320"/>
      <c r="T8" s="1320"/>
      <c r="U8" s="1320"/>
      <c r="V8" s="1320"/>
      <c r="W8" s="1320"/>
      <c r="X8" s="1320"/>
      <c r="Y8" s="1320"/>
      <c r="Z8" s="1320"/>
      <c r="AA8" s="1320"/>
      <c r="AB8" s="1320"/>
      <c r="AC8" s="1320"/>
      <c r="AD8" s="1320"/>
      <c r="AE8" s="1397"/>
    </row>
    <row r="9" spans="4:31" x14ac:dyDescent="0.3">
      <c r="D9" s="1396"/>
      <c r="E9" s="1320"/>
      <c r="F9" s="1320"/>
      <c r="G9" s="1320"/>
      <c r="H9" s="1320"/>
      <c r="I9" s="1320"/>
      <c r="J9" s="1320"/>
      <c r="K9" s="1320"/>
      <c r="L9" s="1320"/>
      <c r="M9" s="1320"/>
      <c r="N9" s="1320"/>
      <c r="O9" s="1320"/>
      <c r="P9" s="1320"/>
      <c r="Q9" s="1320"/>
      <c r="R9" s="1320"/>
      <c r="S9" s="1320"/>
      <c r="T9" s="1320"/>
      <c r="U9" s="1320"/>
      <c r="V9" s="1320"/>
      <c r="W9" s="1320"/>
      <c r="X9" s="1320"/>
      <c r="Y9" s="1320"/>
      <c r="Z9" s="1320"/>
      <c r="AA9" s="1320"/>
      <c r="AB9" s="1320"/>
      <c r="AC9" s="1320"/>
      <c r="AD9" s="1320"/>
      <c r="AE9" s="1397"/>
    </row>
    <row r="10" spans="4:31" x14ac:dyDescent="0.3">
      <c r="D10" s="1396"/>
      <c r="E10" s="1320"/>
      <c r="F10" s="1320"/>
      <c r="G10" s="1320"/>
      <c r="H10" s="1320"/>
      <c r="I10" s="1320"/>
      <c r="J10" s="1320"/>
      <c r="K10" s="1320"/>
      <c r="L10" s="1320"/>
      <c r="M10" s="1320"/>
      <c r="N10" s="1320"/>
      <c r="O10" s="1320"/>
      <c r="P10" s="1320"/>
      <c r="Q10" s="1320"/>
      <c r="R10" s="1320"/>
      <c r="S10" s="1320"/>
      <c r="T10" s="1320"/>
      <c r="U10" s="1320"/>
      <c r="V10" s="1320"/>
      <c r="W10" s="1320"/>
      <c r="X10" s="1320"/>
      <c r="Y10" s="1320"/>
      <c r="Z10" s="1320"/>
      <c r="AA10" s="1320"/>
      <c r="AB10" s="1320"/>
      <c r="AC10" s="1320"/>
      <c r="AD10" s="1320"/>
      <c r="AE10" s="1397"/>
    </row>
    <row r="11" spans="4:31" x14ac:dyDescent="0.3">
      <c r="D11" s="1396"/>
      <c r="E11" s="1320"/>
      <c r="F11" s="1320"/>
      <c r="G11" s="1320"/>
      <c r="H11" s="1320"/>
      <c r="I11" s="1320"/>
      <c r="J11" s="1320"/>
      <c r="K11" s="1320"/>
      <c r="L11" s="1320"/>
      <c r="M11" s="1320"/>
      <c r="N11" s="1320"/>
      <c r="O11" s="1320"/>
      <c r="P11" s="1320"/>
      <c r="Q11" s="1320"/>
      <c r="R11" s="1320"/>
      <c r="S11" s="1320"/>
      <c r="T11" s="1320"/>
      <c r="U11" s="1320"/>
      <c r="V11" s="1320"/>
      <c r="W11" s="1320"/>
      <c r="X11" s="1320"/>
      <c r="Y11" s="1320"/>
      <c r="Z11" s="1320"/>
      <c r="AA11" s="1320"/>
      <c r="AB11" s="1320"/>
      <c r="AC11" s="1320"/>
      <c r="AD11" s="1320"/>
      <c r="AE11" s="1397"/>
    </row>
    <row r="12" spans="4:31" x14ac:dyDescent="0.3">
      <c r="D12" s="1396"/>
      <c r="E12" s="1320"/>
      <c r="F12" s="1320"/>
      <c r="G12" s="1320"/>
      <c r="H12" s="1320"/>
      <c r="I12" s="1320"/>
      <c r="J12" s="1320"/>
      <c r="K12" s="1320"/>
      <c r="L12" s="1320"/>
      <c r="M12" s="1320"/>
      <c r="N12" s="1320"/>
      <c r="O12" s="1320"/>
      <c r="P12" s="1320"/>
      <c r="Q12" s="1320"/>
      <c r="R12" s="1320"/>
      <c r="S12" s="1320"/>
      <c r="T12" s="1320"/>
      <c r="U12" s="1320"/>
      <c r="V12" s="1320"/>
      <c r="W12" s="1320"/>
      <c r="X12" s="1320"/>
      <c r="Y12" s="1320"/>
      <c r="Z12" s="1320"/>
      <c r="AA12" s="1320"/>
      <c r="AB12" s="1320"/>
      <c r="AC12" s="1320"/>
      <c r="AD12" s="1320"/>
      <c r="AE12" s="1397"/>
    </row>
    <row r="13" spans="4:31" x14ac:dyDescent="0.3">
      <c r="D13" s="1396"/>
      <c r="E13" s="1320"/>
      <c r="F13" s="1320"/>
      <c r="G13" s="1320"/>
      <c r="H13" s="1320"/>
      <c r="I13" s="1320"/>
      <c r="J13" s="1320"/>
      <c r="K13" s="1320"/>
      <c r="L13" s="1320"/>
      <c r="M13" s="1320"/>
      <c r="N13" s="1320"/>
      <c r="O13" s="1320"/>
      <c r="P13" s="1320"/>
      <c r="Q13" s="1320"/>
      <c r="R13" s="1320"/>
      <c r="S13" s="1320"/>
      <c r="T13" s="1320"/>
      <c r="U13" s="1320"/>
      <c r="V13" s="1320"/>
      <c r="W13" s="1320"/>
      <c r="X13" s="1320"/>
      <c r="Y13" s="1320"/>
      <c r="Z13" s="1320"/>
      <c r="AA13" s="1320"/>
      <c r="AB13" s="1320"/>
      <c r="AC13" s="1320"/>
      <c r="AD13" s="1320"/>
      <c r="AE13" s="1397"/>
    </row>
    <row r="14" spans="4:31" x14ac:dyDescent="0.3">
      <c r="D14" s="1396"/>
      <c r="E14" s="1320"/>
      <c r="F14" s="1320"/>
      <c r="G14" s="1320"/>
      <c r="H14" s="1320"/>
      <c r="I14" s="1320"/>
      <c r="J14" s="1320"/>
      <c r="K14" s="1320"/>
      <c r="L14" s="1320"/>
      <c r="M14" s="1320"/>
      <c r="N14" s="1320"/>
      <c r="O14" s="1320"/>
      <c r="P14" s="1320"/>
      <c r="Q14" s="1320"/>
      <c r="R14" s="1320"/>
      <c r="S14" s="1320"/>
      <c r="T14" s="1320"/>
      <c r="U14" s="1320"/>
      <c r="V14" s="1320"/>
      <c r="W14" s="1320"/>
      <c r="X14" s="1320"/>
      <c r="Y14" s="1320"/>
      <c r="Z14" s="1320"/>
      <c r="AA14" s="1320"/>
      <c r="AB14" s="1320"/>
      <c r="AC14" s="1320"/>
      <c r="AD14" s="1320"/>
      <c r="AE14" s="1397"/>
    </row>
    <row r="15" spans="4:31" x14ac:dyDescent="0.3">
      <c r="D15" s="1396"/>
      <c r="E15" s="1320"/>
      <c r="F15" s="1320"/>
      <c r="G15" s="1320"/>
      <c r="H15" s="1320"/>
      <c r="I15" s="1320"/>
      <c r="J15" s="1320"/>
      <c r="K15" s="1320"/>
      <c r="L15" s="1320"/>
      <c r="M15" s="1320"/>
      <c r="N15" s="1320"/>
      <c r="O15" s="1320"/>
      <c r="P15" s="1320"/>
      <c r="Q15" s="1320"/>
      <c r="R15" s="1320"/>
      <c r="S15" s="1320"/>
      <c r="T15" s="1320"/>
      <c r="U15" s="1320"/>
      <c r="V15" s="1320"/>
      <c r="W15" s="1320"/>
      <c r="X15" s="1320"/>
      <c r="Y15" s="1320"/>
      <c r="Z15" s="1320"/>
      <c r="AA15" s="1320"/>
      <c r="AB15" s="1320"/>
      <c r="AC15" s="1320"/>
      <c r="AD15" s="1320"/>
      <c r="AE15" s="1397"/>
    </row>
    <row r="16" spans="4:31" x14ac:dyDescent="0.3">
      <c r="D16" s="1396"/>
      <c r="E16" s="1320"/>
      <c r="F16" s="1320"/>
      <c r="G16" s="1320"/>
      <c r="H16" s="1320"/>
      <c r="I16" s="1320"/>
      <c r="J16" s="1320"/>
      <c r="K16" s="1320"/>
      <c r="L16" s="1320"/>
      <c r="M16" s="1320"/>
      <c r="N16" s="1320"/>
      <c r="O16" s="1320"/>
      <c r="P16" s="1320"/>
      <c r="Q16" s="1320"/>
      <c r="R16" s="1320"/>
      <c r="S16" s="1320"/>
      <c r="T16" s="1320"/>
      <c r="U16" s="1320"/>
      <c r="V16" s="1320"/>
      <c r="W16" s="1320"/>
      <c r="X16" s="1320"/>
      <c r="Y16" s="1320"/>
      <c r="Z16" s="1320"/>
      <c r="AA16" s="1320"/>
      <c r="AB16" s="1320"/>
      <c r="AC16" s="1320"/>
      <c r="AD16" s="1320"/>
      <c r="AE16" s="1397"/>
    </row>
    <row r="17" spans="4:31" x14ac:dyDescent="0.3">
      <c r="D17" s="1396"/>
      <c r="E17" s="1320"/>
      <c r="F17" s="1320"/>
      <c r="G17" s="1320"/>
      <c r="H17" s="1320"/>
      <c r="I17" s="1320"/>
      <c r="J17" s="1320"/>
      <c r="K17" s="1320"/>
      <c r="L17" s="1320"/>
      <c r="M17" s="1320"/>
      <c r="N17" s="1320"/>
      <c r="O17" s="1320"/>
      <c r="P17" s="1320"/>
      <c r="Q17" s="1320"/>
      <c r="R17" s="1320"/>
      <c r="S17" s="1320"/>
      <c r="T17" s="1320"/>
      <c r="U17" s="1320"/>
      <c r="V17" s="1320"/>
      <c r="W17" s="1320"/>
      <c r="X17" s="1320"/>
      <c r="Y17" s="1320"/>
      <c r="Z17" s="1320"/>
      <c r="AA17" s="1320"/>
      <c r="AB17" s="1320"/>
      <c r="AC17" s="1320"/>
      <c r="AD17" s="1320"/>
      <c r="AE17" s="1397"/>
    </row>
    <row r="18" spans="4:31" x14ac:dyDescent="0.3">
      <c r="D18" s="1396"/>
      <c r="E18" s="1320"/>
      <c r="F18" s="1320"/>
      <c r="G18" s="1320"/>
      <c r="H18" s="1320"/>
      <c r="I18" s="1320"/>
      <c r="J18" s="1320"/>
      <c r="K18" s="1320"/>
      <c r="L18" s="1320"/>
      <c r="M18" s="1320"/>
      <c r="N18" s="1320"/>
      <c r="O18" s="1320"/>
      <c r="P18" s="1320"/>
      <c r="Q18" s="1320"/>
      <c r="R18" s="1320"/>
      <c r="S18" s="1320"/>
      <c r="T18" s="1320"/>
      <c r="U18" s="1320"/>
      <c r="V18" s="1320"/>
      <c r="W18" s="1320"/>
      <c r="X18" s="1320"/>
      <c r="Y18" s="1320"/>
      <c r="Z18" s="1320"/>
      <c r="AA18" s="1320"/>
      <c r="AB18" s="1320"/>
      <c r="AC18" s="1320"/>
      <c r="AD18" s="1320"/>
      <c r="AE18" s="1397"/>
    </row>
    <row r="19" spans="4:31" x14ac:dyDescent="0.3">
      <c r="D19" s="1396"/>
      <c r="E19" s="1320"/>
      <c r="F19" s="1320"/>
      <c r="G19" s="1320"/>
      <c r="H19" s="1320"/>
      <c r="I19" s="1320"/>
      <c r="J19" s="1320"/>
      <c r="K19" s="1320"/>
      <c r="L19" s="1320"/>
      <c r="M19" s="1320"/>
      <c r="N19" s="1320"/>
      <c r="O19" s="1320"/>
      <c r="P19" s="1320"/>
      <c r="Q19" s="1320"/>
      <c r="R19" s="1320"/>
      <c r="S19" s="1320"/>
      <c r="T19" s="1320"/>
      <c r="U19" s="1320"/>
      <c r="V19" s="1320"/>
      <c r="W19" s="1320"/>
      <c r="X19" s="1320"/>
      <c r="Y19" s="1320"/>
      <c r="Z19" s="1320"/>
      <c r="AA19" s="1320"/>
      <c r="AB19" s="1320"/>
      <c r="AC19" s="1320"/>
      <c r="AD19" s="1320"/>
      <c r="AE19" s="1397"/>
    </row>
    <row r="20" spans="4:31" x14ac:dyDescent="0.3">
      <c r="D20" s="1396"/>
      <c r="E20" s="1320"/>
      <c r="F20" s="1320"/>
      <c r="G20" s="1320"/>
      <c r="H20" s="1320"/>
      <c r="I20" s="1320"/>
      <c r="J20" s="1320"/>
      <c r="K20" s="1320"/>
      <c r="L20" s="1320"/>
      <c r="M20" s="1320"/>
      <c r="N20" s="1320"/>
      <c r="O20" s="1320"/>
      <c r="P20" s="1320"/>
      <c r="Q20" s="1320"/>
      <c r="R20" s="1320"/>
      <c r="S20" s="1320"/>
      <c r="T20" s="1320"/>
      <c r="U20" s="1320"/>
      <c r="V20" s="1320"/>
      <c r="W20" s="1320"/>
      <c r="X20" s="1320"/>
      <c r="Y20" s="1320"/>
      <c r="Z20" s="1320"/>
      <c r="AA20" s="1320"/>
      <c r="AB20" s="1320"/>
      <c r="AC20" s="1320"/>
      <c r="AD20" s="1320"/>
      <c r="AE20" s="1397"/>
    </row>
    <row r="21" spans="4:31" x14ac:dyDescent="0.3">
      <c r="D21" s="1396"/>
      <c r="E21" s="1320"/>
      <c r="F21" s="1320"/>
      <c r="G21" s="1320"/>
      <c r="H21" s="1320"/>
      <c r="I21" s="1320"/>
      <c r="J21" s="1320"/>
      <c r="K21" s="1320"/>
      <c r="L21" s="1320"/>
      <c r="M21" s="1320"/>
      <c r="N21" s="1320"/>
      <c r="O21" s="1320"/>
      <c r="P21" s="1320"/>
      <c r="Q21" s="1320"/>
      <c r="R21" s="1320"/>
      <c r="S21" s="1320"/>
      <c r="T21" s="1320"/>
      <c r="U21" s="1320"/>
      <c r="V21" s="1320"/>
      <c r="W21" s="1320"/>
      <c r="X21" s="1320"/>
      <c r="Y21" s="1320"/>
      <c r="Z21" s="1320"/>
      <c r="AA21" s="1320"/>
      <c r="AB21" s="1320"/>
      <c r="AC21" s="1320"/>
      <c r="AD21" s="1320"/>
      <c r="AE21" s="1397"/>
    </row>
    <row r="22" spans="4:31" ht="15" thickBot="1" x14ac:dyDescent="0.35">
      <c r="D22" s="1398"/>
      <c r="E22" s="1323"/>
      <c r="F22" s="1323"/>
      <c r="G22" s="1323"/>
      <c r="H22" s="1323"/>
      <c r="I22" s="1323"/>
      <c r="J22" s="1323"/>
      <c r="K22" s="1323"/>
      <c r="L22" s="1323"/>
      <c r="M22" s="1323"/>
      <c r="N22" s="1323"/>
      <c r="O22" s="1323"/>
      <c r="P22" s="1323"/>
      <c r="Q22" s="1323"/>
      <c r="R22" s="1323"/>
      <c r="S22" s="1323"/>
      <c r="T22" s="1323"/>
      <c r="U22" s="1323"/>
      <c r="V22" s="1323"/>
      <c r="W22" s="1323"/>
      <c r="X22" s="1323"/>
      <c r="Y22" s="1323"/>
      <c r="Z22" s="1323"/>
      <c r="AA22" s="1323"/>
      <c r="AB22" s="1323"/>
      <c r="AC22" s="1323"/>
      <c r="AD22" s="1323"/>
      <c r="AE22" s="1338"/>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2022-08-04T23:07:40Z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