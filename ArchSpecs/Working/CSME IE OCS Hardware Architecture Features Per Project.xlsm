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87422FB9-3167-4394-9EC0-C5C7D611E48A}"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Features'!$A$4:$MW$252</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41" i="1" l="1"/>
  <c r="BK40" i="1"/>
  <c r="BM40" i="1"/>
  <c r="BM120" i="1"/>
  <c r="BJ120" i="1" l="1"/>
  <c r="BJ71" i="1"/>
  <c r="BJ41" i="1"/>
  <c r="BJ40" i="1"/>
  <c r="BK120" i="1"/>
  <c r="BK71" i="1"/>
  <c r="AO120" i="1"/>
  <c r="BS120" i="1"/>
  <c r="BR120" i="1"/>
  <c r="BS71" i="1"/>
  <c r="BR71" i="1"/>
  <c r="BS41" i="1"/>
  <c r="BR41" i="1"/>
  <c r="BS40" i="1"/>
  <c r="BR40" i="1"/>
  <c r="BN121" i="1" l="1"/>
  <c r="BN72"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G16" i="9" a="1"/>
  <c r="E24" i="9" a="1"/>
  <c r="E26" i="9" a="1"/>
  <c r="E18" i="9" a="1"/>
  <c r="E28" i="9" a="1"/>
  <c r="E16" i="9" a="1"/>
  <c r="E21" i="9" a="1"/>
  <c r="E17" i="9" a="1"/>
  <c r="E29" i="9" a="1"/>
  <c r="E22" i="9" a="1"/>
  <c r="E23" i="9" a="1"/>
  <c r="E27" i="9" a="1"/>
  <c r="E25" i="9" a="1"/>
  <c r="D16" i="9" a="1"/>
  <c r="E30" i="9" a="1"/>
  <c r="E20" i="9" a="1"/>
  <c r="F16" i="9" a="1"/>
  <c r="E31" i="9" a="1"/>
  <c r="E32" i="9" a="1"/>
  <c r="E19"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20" i="1" l="1"/>
  <c r="BG120" i="1"/>
  <c r="BH40" i="1"/>
  <c r="BG40" i="1"/>
  <c r="BF120" i="1" l="1"/>
  <c r="BD120" i="1"/>
  <c r="BC120" i="1"/>
  <c r="BB120" i="1"/>
  <c r="BA120" i="1"/>
  <c r="AZ120" i="1"/>
  <c r="AY120" i="1"/>
  <c r="AX120" i="1"/>
  <c r="AW120" i="1"/>
  <c r="AV120" i="1"/>
  <c r="AU120" i="1"/>
  <c r="AT120" i="1"/>
  <c r="AS120" i="1"/>
  <c r="AR120" i="1"/>
  <c r="AQ120" i="1"/>
  <c r="AP120" i="1"/>
  <c r="AM120" i="1"/>
  <c r="AL120" i="1"/>
  <c r="AK120" i="1"/>
  <c r="AN120" i="1"/>
  <c r="BF40" i="1" l="1"/>
  <c r="BD71" i="1" l="1"/>
  <c r="BC71" i="1"/>
  <c r="BB40" i="1" l="1"/>
  <c r="AS71" i="1" l="1"/>
  <c r="AX71" i="1" l="1"/>
  <c r="AW71" i="1"/>
  <c r="AV71" i="1"/>
  <c r="AU71" i="1"/>
  <c r="AR71" i="1" l="1"/>
  <c r="AA21" i="9" l="1" a="1"/>
  <c r="AL20" i="9" a="1"/>
  <c r="D27" i="9" a="1"/>
  <c r="BQ27" i="9" a="1"/>
  <c r="AX16" i="9" a="1"/>
  <c r="H24" i="9" a="1"/>
  <c r="S17" i="9" a="1"/>
  <c r="P30" i="9" a="1"/>
  <c r="S28" i="9" a="1"/>
  <c r="AQ22" i="9" a="1"/>
  <c r="AO18" i="9" a="1"/>
  <c r="BA22" i="9" a="1"/>
  <c r="BE22" i="9" a="1"/>
  <c r="AS26" i="9" a="1"/>
  <c r="AP24" i="9" a="1"/>
  <c r="Z26" i="9" a="1"/>
  <c r="BM19" i="9" a="1"/>
  <c r="AG18" i="9" a="1"/>
  <c r="AQ29" i="9" a="1"/>
  <c r="AE24" i="9" a="1"/>
  <c r="O24" i="9" a="1"/>
  <c r="Y32" i="9" a="1"/>
  <c r="F28" i="9" a="1"/>
  <c r="AM18" i="9" a="1"/>
  <c r="U19" i="9" a="1"/>
  <c r="I16" i="9" a="1"/>
  <c r="Y22" i="9" a="1"/>
  <c r="AD23" i="9" a="1"/>
  <c r="AO28" i="9" a="1"/>
  <c r="BF18" i="9" a="1"/>
  <c r="BG17" i="9" a="1"/>
  <c r="AX18" i="9" a="1"/>
  <c r="V32" i="9" a="1"/>
  <c r="AL29" i="9" a="1"/>
  <c r="AS31" i="9" a="1"/>
  <c r="K27" i="9" a="1"/>
  <c r="H32" i="9" a="1"/>
  <c r="AX26" i="9" a="1"/>
  <c r="BO16" i="9" a="1"/>
  <c r="AC19" i="9" a="1"/>
  <c r="K17" i="9" a="1"/>
  <c r="BR19" i="9" a="1"/>
  <c r="S32" i="9" a="1"/>
  <c r="L17" i="9" a="1"/>
  <c r="T25" i="9" a="1"/>
  <c r="BI29" i="9" a="1"/>
  <c r="BE16" i="9" a="1"/>
  <c r="BR24" i="9" a="1"/>
  <c r="V17" i="9" a="1"/>
  <c r="S31" i="9" a="1"/>
  <c r="BK17" i="9" a="1"/>
  <c r="O32" i="9" a="1"/>
  <c r="Y16" i="9" a="1"/>
  <c r="BJ32" i="9" a="1"/>
  <c r="AA16" i="9" a="1"/>
  <c r="M22" i="9" a="1"/>
  <c r="BQ32" i="9" a="1"/>
  <c r="P26" i="9" a="1"/>
  <c r="AI32" i="9" a="1"/>
  <c r="Q29" i="9" a="1"/>
  <c r="BR29" i="9" a="1"/>
  <c r="M21" i="9" a="1"/>
  <c r="AE19" i="9" a="1"/>
  <c r="O20" i="9" a="1"/>
  <c r="AO17" i="9" a="1"/>
  <c r="P32" i="9" a="1"/>
  <c r="AC17" i="9" a="1"/>
  <c r="AT26" i="9" a="1"/>
  <c r="J23" i="9" a="1"/>
  <c r="D25" i="9" a="1"/>
  <c r="G27" i="9" a="1"/>
  <c r="T32" i="9" a="1"/>
  <c r="H29" i="9" a="1"/>
  <c r="K26" i="9" a="1"/>
  <c r="O28" i="9" a="1"/>
  <c r="J17" i="9" a="1"/>
  <c r="G29" i="9" a="1"/>
  <c r="I17" i="9" a="1"/>
  <c r="BF24" i="9" a="1"/>
  <c r="V22" i="9" a="1"/>
  <c r="BN20" i="9" a="1"/>
  <c r="AY32" i="9" a="1"/>
  <c r="W26" i="9" a="1"/>
  <c r="AE17" i="9" a="1"/>
  <c r="BI27" i="9" a="1"/>
  <c r="BI17" i="9" a="1"/>
  <c r="M25" i="9" a="1"/>
  <c r="AC10" i="9" a="1"/>
  <c r="BM27" i="9" a="1"/>
  <c r="O25" i="9" a="1"/>
  <c r="G20" i="9" a="1"/>
  <c r="BI26" i="9" a="1"/>
  <c r="H28" i="9" a="1"/>
  <c r="BG26" i="9" a="1"/>
  <c r="AL18" i="9" a="1"/>
  <c r="AE27" i="9" a="1"/>
  <c r="AW26" i="9" a="1"/>
  <c r="BG27" i="9" a="1"/>
  <c r="BO23" i="9" a="1"/>
  <c r="AS16" i="9" a="1"/>
  <c r="BB29" i="9" a="1"/>
  <c r="AO16" i="9" a="1"/>
  <c r="AA32" i="9" a="1"/>
  <c r="BM32" i="9" a="1"/>
  <c r="AH24" i="9" a="1"/>
  <c r="AS21" i="9" a="1"/>
  <c r="AC27" i="9" a="1"/>
  <c r="AP30" i="9" a="1"/>
  <c r="Y21" i="9" a="1"/>
  <c r="BK20" i="9" a="1"/>
  <c r="BS26" i="9" a="1"/>
  <c r="AS22" i="9" a="1"/>
  <c r="BF16" i="9" a="1"/>
  <c r="AP22" i="9" a="1"/>
  <c r="W28" i="9" a="1"/>
  <c r="BC24" i="9" a="1"/>
  <c r="BN32" i="9" a="1"/>
  <c r="BC22" i="9" a="1"/>
  <c r="BR28" i="9" a="1"/>
  <c r="AY30" i="9" a="1"/>
  <c r="BM24" i="9" a="1"/>
  <c r="BK27" i="9" a="1"/>
  <c r="K16" i="9" a="1"/>
  <c r="AI20" i="9" a="1"/>
  <c r="Y20" i="9" a="1"/>
  <c r="BI18" i="9" a="1"/>
  <c r="AY20" i="9" a="1"/>
  <c r="AD17" i="9" a="1"/>
  <c r="M24" i="9" a="1"/>
  <c r="U31" i="9" a="1"/>
  <c r="BF22" i="9" a="1"/>
  <c r="BG32" i="9" a="1"/>
  <c r="AU27" i="9" a="1"/>
  <c r="AD29" i="9" a="1"/>
  <c r="Z32" i="9" a="1"/>
  <c r="K19" i="9" a="1"/>
  <c r="AI26" i="9" a="1"/>
  <c r="AU28" i="9" a="1"/>
  <c r="BQ25" i="9" a="1"/>
  <c r="BN22" i="9" a="1"/>
  <c r="Q32" i="9" a="1"/>
  <c r="Z27" i="9" a="1"/>
  <c r="AH19" i="9" a="1"/>
  <c r="BB17" i="9" a="1"/>
  <c r="BC17" i="9" a="1"/>
  <c r="AK30" i="9" a="1"/>
  <c r="Y10" i="9" a="1"/>
  <c r="M31" i="9" a="1"/>
  <c r="AL27" i="9" a="1"/>
  <c r="AQ17" i="9" a="1"/>
  <c r="BE17" i="9" a="1"/>
  <c r="BS31" i="9" a="1"/>
  <c r="BG31" i="9" a="1"/>
  <c r="D28" i="9" a="1"/>
  <c r="AC23" i="9" a="1"/>
  <c r="U32" i="9" a="1"/>
  <c r="I25" i="9" a="1"/>
  <c r="BN18" i="9" a="1"/>
  <c r="BA28" i="9" a="1"/>
  <c r="M28" i="9" a="1"/>
  <c r="AA30" i="9" a="1"/>
  <c r="AA17" i="9" a="1"/>
  <c r="AG23" i="9" a="1"/>
  <c r="AT23" i="9" a="1"/>
  <c r="W31" i="9" a="1"/>
  <c r="L25" i="9" a="1"/>
  <c r="BK30" i="9" a="1"/>
  <c r="AW16" i="9" a="1"/>
  <c r="AX19" i="9" a="1"/>
  <c r="AY21" i="9" a="1"/>
  <c r="Q24" i="9" a="1"/>
  <c r="Z30" i="9" a="1"/>
  <c r="BM31" i="9" a="1"/>
  <c r="Y28" i="9" a="1"/>
  <c r="AW32" i="9" a="1"/>
  <c r="J27" i="9" a="1"/>
  <c r="W32" i="9" a="1"/>
  <c r="M18" i="9" a="1"/>
  <c r="BQ19" i="9" a="1"/>
  <c r="BO27" i="9" a="1"/>
  <c r="BE21" i="9" a="1"/>
  <c r="BJ31" i="9" a="1"/>
  <c r="T18" i="9" a="1"/>
  <c r="BG20" i="9" a="1"/>
  <c r="T30" i="9" a="1"/>
  <c r="BS27" i="9" a="1"/>
  <c r="K25" i="9" a="1"/>
  <c r="AQ24" i="9" a="1"/>
  <c r="V31" i="9" a="1"/>
  <c r="AU20" i="9" a="1"/>
  <c r="AC20" i="9" a="1"/>
  <c r="AO31" i="9" a="1"/>
  <c r="AL23" i="9" a="1"/>
  <c r="O23" i="9" a="1"/>
  <c r="H19" i="9" a="1"/>
  <c r="BJ27" i="9" a="1"/>
  <c r="BB27" i="9" a="1"/>
  <c r="M32" i="9" a="1"/>
  <c r="AW31" i="9" a="1"/>
  <c r="BO24" i="9" a="1"/>
  <c r="BI20" i="9" a="1"/>
  <c r="S16" i="9" a="1"/>
  <c r="AS27" i="9" a="1"/>
  <c r="D29" i="9" a="1"/>
  <c r="AC24" i="9" a="1"/>
  <c r="BQ21" i="9" a="1"/>
  <c r="D31" i="9" a="1"/>
  <c r="K29" i="9" a="1"/>
  <c r="BM10" i="9" a="1"/>
  <c r="BQ18" i="9" a="1"/>
  <c r="BG29" i="9" a="1"/>
  <c r="AG25" i="9" a="1"/>
  <c r="AP31" i="9" a="1"/>
  <c r="BS32" i="9" a="1"/>
  <c r="BB31" i="9" a="1"/>
  <c r="G18" i="9" a="1"/>
  <c r="BI32" i="9" a="1"/>
  <c r="Z31" i="9" a="1"/>
  <c r="V23" i="9" a="1"/>
  <c r="AE26" i="9" a="1"/>
  <c r="D26" i="9" a="1"/>
  <c r="AK17" i="9" a="1"/>
  <c r="BR25" i="9" a="1"/>
  <c r="BE24" i="9" a="1"/>
  <c r="AM20" i="9" a="1"/>
  <c r="BG30" i="9" a="1"/>
  <c r="BF30" i="9" a="1"/>
  <c r="BI28" i="9" a="1"/>
  <c r="U20" i="9" a="1"/>
  <c r="O21" i="9" a="1"/>
  <c r="AD16" i="9" a="1"/>
  <c r="AL21" i="9" a="1"/>
  <c r="BR21" i="9" a="1"/>
  <c r="BJ20" i="9" a="1"/>
  <c r="BO20" i="9" a="1"/>
  <c r="AK32" i="9" a="1"/>
  <c r="AT24" i="9" a="1"/>
  <c r="AK26" i="9" a="1"/>
  <c r="I22" i="9" a="1"/>
  <c r="AH22" i="9" a="1"/>
  <c r="BQ23" i="9" a="1"/>
  <c r="BI30" i="9" a="1"/>
  <c r="AT20" i="9" a="1"/>
  <c r="V29" i="9" a="1"/>
  <c r="L29" i="9" a="1"/>
  <c r="BF17" i="9" a="1"/>
  <c r="BR30" i="9" a="1"/>
  <c r="AM30" i="9" a="1"/>
  <c r="AY18" i="9" a="1"/>
  <c r="AX17" i="9" a="1"/>
  <c r="L31" i="9" a="1"/>
  <c r="BI16" i="9" a="1"/>
  <c r="J28" i="9" a="1"/>
  <c r="Q18" i="9" a="1"/>
  <c r="BR16" i="9" a="1"/>
  <c r="Z20" i="9" a="1"/>
  <c r="BQ20" i="9" a="1"/>
  <c r="AU17" i="9" a="1"/>
  <c r="AQ19" i="9" a="1"/>
  <c r="AO10" i="9" a="1"/>
  <c r="Q19" i="9" a="1"/>
  <c r="AC21" i="9" a="1"/>
  <c r="BR17" i="9" a="1"/>
  <c r="BN21" i="9" a="1"/>
  <c r="S24" i="9" a="1"/>
  <c r="BQ17" i="9" a="1"/>
  <c r="BG16" i="9" a="1"/>
  <c r="V19" i="9" a="1"/>
  <c r="BQ28" i="9" a="1"/>
  <c r="BO29" i="9" a="1"/>
  <c r="BK22" i="9" a="1"/>
  <c r="AG31" i="9" a="1"/>
  <c r="AG28" i="9" a="1"/>
  <c r="S29" i="9" a="1"/>
  <c r="BN16" i="9" a="1"/>
  <c r="L26" i="9" a="1"/>
  <c r="U24" i="9" a="1"/>
  <c r="AD18" i="9" a="1"/>
  <c r="W21" i="9" a="1"/>
  <c r="BA24" i="9" a="1"/>
  <c r="BE30" i="9" a="1"/>
  <c r="AO22" i="9" a="1"/>
  <c r="Z23" i="9" a="1"/>
  <c r="W30" i="9" a="1"/>
  <c r="AH16" i="9" a="1"/>
  <c r="AD28" i="9" a="1"/>
  <c r="BM30" i="9" a="1"/>
  <c r="V28" i="9" a="1"/>
  <c r="BO21" i="9" a="1"/>
  <c r="BO22" i="9" a="1"/>
  <c r="M20" i="9" a="1"/>
  <c r="T21" i="9" a="1"/>
  <c r="BN27" i="9" a="1"/>
  <c r="AY25" i="9" a="1"/>
  <c r="BE28" i="9" a="1"/>
  <c r="AD30" i="9" a="1"/>
  <c r="BA18" i="9" a="1"/>
  <c r="BA16" i="9" a="1"/>
  <c r="U22" i="9" a="1"/>
  <c r="AW29" i="9" a="1"/>
  <c r="P18" i="9" a="1"/>
  <c r="D24" i="9" a="1"/>
  <c r="AY27" i="9" a="1"/>
  <c r="BF21" i="9" a="1"/>
  <c r="AK18" i="9" a="1"/>
  <c r="L20" i="9" a="1"/>
  <c r="J30" i="9" a="1"/>
  <c r="Y25" i="9" a="1"/>
  <c r="AG29" i="9" a="1"/>
  <c r="L22" i="9" a="1"/>
  <c r="BF19" i="9" a="1"/>
  <c r="AH20" i="9" a="1"/>
  <c r="T20" i="9" a="1"/>
  <c r="AW18" i="9" a="1"/>
  <c r="AT19" i="9" a="1"/>
  <c r="AO25" i="9" a="1"/>
  <c r="AC30" i="9" a="1"/>
  <c r="AS29" i="9" a="1"/>
  <c r="O19" i="9" a="1"/>
  <c r="AA26" i="9" a="1"/>
  <c r="BS30" i="9" a="1"/>
  <c r="AU26" i="9" a="1"/>
  <c r="AK25" i="9" a="1"/>
  <c r="BM16" i="9" a="1"/>
  <c r="AL32" i="9" a="1"/>
  <c r="BI22" i="9" a="1"/>
  <c r="BF31" i="9" a="1"/>
  <c r="AW24" i="9" a="1"/>
  <c r="AW10" i="9" a="1"/>
  <c r="S18" i="9" a="1"/>
  <c r="BK19" i="9" a="1"/>
  <c r="BS20" i="9" a="1"/>
  <c r="BS17" i="9" a="1"/>
  <c r="AG30" i="9" a="1"/>
  <c r="AA18" i="9" a="1"/>
  <c r="AD27" i="9" a="1"/>
  <c r="BN25" i="9" a="1"/>
  <c r="BQ10" i="9" a="1"/>
  <c r="AH26" i="9" a="1"/>
  <c r="U28" i="9" a="1"/>
  <c r="AS30" i="9" a="1"/>
  <c r="AS10" i="9" a="1"/>
  <c r="BG28" i="9" a="1"/>
  <c r="W22" i="9" a="1"/>
  <c r="AL24" i="9" a="1"/>
  <c r="AD32" i="9" a="1"/>
  <c r="D18" i="9" a="1"/>
  <c r="O31" i="9" a="1"/>
  <c r="BC20" i="9" a="1"/>
  <c r="AO20" i="9" a="1"/>
  <c r="Y19" i="9" a="1"/>
  <c r="BG21" i="9" a="1"/>
  <c r="AG21" i="9" a="1"/>
  <c r="AL28" i="9" a="1"/>
  <c r="AM32" i="9" a="1"/>
  <c r="Q23" i="9" a="1"/>
  <c r="I27" i="9" a="1"/>
  <c r="AY22" i="9" a="1"/>
  <c r="P25" i="9" a="1"/>
  <c r="AC26" i="9" a="1"/>
  <c r="AM29" i="9" a="1"/>
  <c r="D22" i="9" a="1"/>
  <c r="M29" i="9" a="1"/>
  <c r="T17" i="9" a="1"/>
  <c r="BM20" i="9" a="1"/>
  <c r="AC25" i="9" a="1"/>
  <c r="BO26" i="9" a="1"/>
  <c r="H20" i="9" a="1"/>
  <c r="D23" i="9" a="1"/>
  <c r="AL26" i="9" a="1"/>
  <c r="W18" i="9" a="1"/>
  <c r="AO24" i="9" a="1"/>
  <c r="Z24" i="9" a="1"/>
  <c r="AI16" i="9" a="1"/>
  <c r="W29" i="9" a="1"/>
  <c r="Q17" i="9" a="1"/>
  <c r="BC27" i="9" a="1"/>
  <c r="M16" i="9" a="1"/>
  <c r="AI18" i="9" a="1"/>
  <c r="AG32" i="9" a="1"/>
  <c r="BG25" i="9" a="1"/>
  <c r="S19" i="9" a="1"/>
  <c r="I20" i="9" a="1"/>
  <c r="I26" i="9" a="1"/>
  <c r="I30" i="9" a="1"/>
  <c r="BM17" i="9" a="1"/>
  <c r="AX27" i="9" a="1"/>
  <c r="AK31" i="9" a="1"/>
  <c r="AP19" i="9" a="1"/>
  <c r="Q21" i="9" a="1"/>
  <c r="AP16" i="9" a="1"/>
  <c r="BR22" i="9" a="1"/>
  <c r="H18" i="9" a="1"/>
  <c r="Z28" i="9" a="1"/>
  <c r="BJ23" i="9" a="1"/>
  <c r="BK24" i="9" a="1"/>
  <c r="AQ23" i="9" a="1"/>
  <c r="AS25" i="9" a="1"/>
  <c r="BK29" i="9" a="1"/>
  <c r="H21" i="9" a="1"/>
  <c r="G21" i="9" a="1"/>
  <c r="Y27" i="9" a="1"/>
  <c r="AX31" i="9" a="1"/>
  <c r="BI25" i="9" a="1"/>
  <c r="F26" i="9" a="1"/>
  <c r="J18" i="9" a="1"/>
  <c r="AD24" i="9" a="1"/>
  <c r="AM16" i="9" a="1"/>
  <c r="AW25" i="9" a="1"/>
  <c r="U21" i="9" a="1"/>
  <c r="BI21" i="9" a="1"/>
  <c r="AE29" i="9" a="1"/>
  <c r="BJ16" i="9" a="1"/>
  <c r="Z21" i="9" a="1"/>
  <c r="AH23" i="9" a="1"/>
  <c r="BE27" i="9" a="1"/>
  <c r="L27" i="9" a="1"/>
  <c r="BC25" i="9" a="1"/>
  <c r="AG19" i="9" a="1"/>
  <c r="AI19" i="9" a="1"/>
  <c r="BN19" i="9" a="1"/>
  <c r="AE20" i="9" a="1"/>
  <c r="AY31" i="9" a="1"/>
  <c r="S27" i="9" a="1"/>
  <c r="P21" i="9" a="1"/>
  <c r="AQ18" i="9" a="1"/>
  <c r="U17" i="9" a="1"/>
  <c r="AA31" i="9" a="1"/>
  <c r="AW23" i="9" a="1"/>
  <c r="I24" i="9" a="1"/>
  <c r="AU25" i="9" a="1"/>
  <c r="BR20" i="9" a="1"/>
  <c r="AE30" i="9" a="1"/>
  <c r="BE18" i="9" a="1"/>
  <c r="BN29" i="9" a="1"/>
  <c r="AS19" i="9" a="1"/>
  <c r="K21" i="9" a="1"/>
  <c r="BM22" i="9" a="1"/>
  <c r="BB28" i="9" a="1"/>
  <c r="V16" i="9" a="1"/>
  <c r="F29" i="9" a="1"/>
  <c r="AM27" i="9" a="1"/>
  <c r="AH25" i="9" a="1"/>
  <c r="Z25" i="9" a="1"/>
  <c r="D10" i="9" a="1"/>
  <c r="AP26" i="9" a="1"/>
  <c r="BG23" i="9" a="1"/>
  <c r="T23" i="9" a="1"/>
  <c r="AW28" i="9" a="1"/>
  <c r="AX30" i="9" a="1"/>
  <c r="Z18" i="9" a="1"/>
  <c r="AG16" i="9" a="1"/>
  <c r="BE10" i="9" a="1"/>
  <c r="T22" i="9" a="1"/>
  <c r="U30" i="9" a="1"/>
  <c r="BA26" i="9" a="1"/>
  <c r="BK32" i="9" a="1"/>
  <c r="AP23" i="9" a="1"/>
  <c r="AK16" i="9" a="1"/>
  <c r="BM29" i="9" a="1"/>
  <c r="AM22" i="9" a="1"/>
  <c r="Q26" i="9" a="1"/>
  <c r="AX23" i="9" a="1"/>
  <c r="G22" i="9" a="1"/>
  <c r="V24" i="9" a="1"/>
  <c r="AS17" i="9" a="1"/>
  <c r="AQ28" i="9" a="1"/>
  <c r="Y24" i="9" a="1"/>
  <c r="BA29" i="9" a="1"/>
  <c r="AO26" i="9" a="1"/>
  <c r="BB16" i="9" a="1"/>
  <c r="I29" i="9" a="1"/>
  <c r="Q31" i="9" a="1"/>
  <c r="Q20" i="9" a="1"/>
  <c r="O30" i="9" a="1"/>
  <c r="AI22" i="9" a="1"/>
  <c r="AI31" i="9" a="1"/>
  <c r="M17" i="9" a="1"/>
  <c r="BF29" i="9" a="1"/>
  <c r="AS18" i="9" a="1"/>
  <c r="T19" i="9" a="1"/>
  <c r="J20" i="9" a="1"/>
  <c r="V27" i="9" a="1"/>
  <c r="BB18" i="9" a="1"/>
  <c r="BO18" i="9" a="1"/>
  <c r="BJ17" i="9" a="1"/>
  <c r="S25" i="9" a="1"/>
  <c r="P19" i="9" a="1"/>
  <c r="U16" i="9" a="1"/>
  <c r="W20" i="9" a="1"/>
  <c r="Y31" i="9" a="1"/>
  <c r="H16" i="9" a="1"/>
  <c r="M26" i="9" a="1"/>
  <c r="BN31" i="9" a="1"/>
  <c r="AL31" i="9" a="1"/>
  <c r="AY24" i="9" a="1"/>
  <c r="AK24" i="9" a="1"/>
  <c r="AQ31" i="9" a="1"/>
  <c r="BR31" i="9" a="1"/>
  <c r="T31" i="9" a="1"/>
  <c r="BO30" i="9" a="1"/>
  <c r="AS24" i="9" a="1"/>
  <c r="L16" i="9" a="1"/>
  <c r="H31" i="9" a="1"/>
  <c r="K23" i="9" a="1"/>
  <c r="AI28" i="9" a="1"/>
  <c r="BC28" i="9" a="1"/>
  <c r="BS18" i="9" a="1"/>
  <c r="BA19" i="9" a="1"/>
  <c r="J24" i="9" a="1"/>
  <c r="BF28" i="9" a="1"/>
  <c r="BJ29" i="9" a="1"/>
  <c r="BR26" i="9" a="1"/>
  <c r="AD21" i="9" a="1"/>
  <c r="J19" i="9" a="1"/>
  <c r="AX29" i="9" a="1"/>
  <c r="AY23" i="9" a="1"/>
  <c r="BE23" i="9" a="1"/>
  <c r="AL30" i="9" a="1"/>
  <c r="AT17" i="9" a="1"/>
  <c r="O10" i="9" a="1"/>
  <c r="BK23" i="9" a="1"/>
  <c r="AH31" i="9" a="1"/>
  <c r="O18" i="9" a="1"/>
  <c r="AM25" i="9" a="1"/>
  <c r="AW21" i="9" a="1"/>
  <c r="K30" i="9" a="1"/>
  <c r="Y30" i="9" a="1"/>
  <c r="M23" i="9" a="1"/>
  <c r="AD31" i="9" a="1"/>
  <c r="O29" i="9" a="1"/>
  <c r="AC29" i="9" a="1"/>
  <c r="K24" i="9" a="1"/>
  <c r="Y18" i="9" a="1"/>
  <c r="K28" i="9" a="1"/>
  <c r="U18" i="9" a="1"/>
  <c r="H27" i="9" a="1"/>
  <c r="M30" i="9" a="1"/>
  <c r="AO23" i="9" a="1"/>
  <c r="F30" i="9" a="1"/>
  <c r="F21" i="9" a="1"/>
  <c r="AM23" i="9" a="1"/>
  <c r="G24" i="9" a="1"/>
  <c r="BJ26" i="9" a="1"/>
  <c r="BM21" i="9" a="1"/>
  <c r="BQ26" i="9" a="1"/>
  <c r="J32" i="9" a="1"/>
  <c r="BC32" i="9" a="1"/>
  <c r="AQ21" i="9" a="1"/>
  <c r="BO32" i="9" a="1"/>
  <c r="BC21" i="9" a="1"/>
  <c r="BI23" i="9" a="1"/>
  <c r="AQ32" i="9" a="1"/>
  <c r="BS19" i="9" a="1"/>
  <c r="AE22" i="9" a="1"/>
  <c r="AQ16" i="9" a="1"/>
  <c r="AA29" i="9" a="1"/>
  <c r="AU30" i="9" a="1"/>
  <c r="AH17" i="9" a="1"/>
  <c r="AD25" i="9" a="1"/>
  <c r="AW19" i="9" a="1"/>
  <c r="AY19" i="9" a="1"/>
  <c r="Z16" i="9" a="1"/>
  <c r="BE25" i="9" a="1"/>
  <c r="AG17" i="9" a="1"/>
  <c r="F31" i="9" a="1"/>
  <c r="AK28" i="9" a="1"/>
  <c r="O26" i="9" a="1"/>
  <c r="P27" i="9" a="1"/>
  <c r="V18" i="9" a="1"/>
  <c r="I31" i="9" a="1"/>
  <c r="AS32" i="9" a="1"/>
  <c r="BS21" i="9" a="1"/>
  <c r="AG26" i="9" a="1"/>
  <c r="BE19" i="9" a="1"/>
  <c r="AM21" i="9" a="1"/>
  <c r="AW20" i="9" a="1"/>
  <c r="BS25" i="9" a="1"/>
  <c r="AA23" i="9" a="1"/>
  <c r="AI29" i="9" a="1"/>
  <c r="BJ28" i="9" a="1"/>
  <c r="H30" i="9" a="1"/>
  <c r="BB23" i="9" a="1"/>
  <c r="W16" i="9" a="1"/>
  <c r="M19" i="9" a="1"/>
  <c r="I19" i="9" a="1"/>
  <c r="AQ20" i="9" a="1"/>
  <c r="P22" i="9" a="1"/>
  <c r="BO19" i="9" a="1"/>
  <c r="BE20" i="9" a="1"/>
  <c r="AH29" i="9" a="1"/>
  <c r="G23" i="9" a="1"/>
  <c r="P23" i="9" a="1"/>
  <c r="AH32" i="9" a="1"/>
  <c r="BJ24" i="9" a="1"/>
  <c r="AX22" i="9" a="1"/>
  <c r="BJ25" i="9" a="1"/>
  <c r="BS29" i="9" a="1"/>
  <c r="AY16" i="9" a="1"/>
  <c r="Y26" i="9" a="1"/>
  <c r="AT25" i="9" a="1"/>
  <c r="BR18" i="9" a="1"/>
  <c r="O17" i="9" a="1"/>
  <c r="L32" i="9" a="1"/>
  <c r="BG19" i="9" a="1"/>
  <c r="BJ18" i="9" a="1"/>
  <c r="H25" i="9" a="1"/>
  <c r="J16" i="9" a="1"/>
  <c r="J25" i="9" a="1"/>
  <c r="AO29" i="9" a="1"/>
  <c r="BB21" i="9" a="1"/>
  <c r="BM25" i="9" a="1"/>
  <c r="AO21" i="9" a="1"/>
  <c r="AE32" i="9" a="1"/>
  <c r="V20" i="9" a="1"/>
  <c r="F27" i="9" a="1"/>
  <c r="G30" i="9" a="1"/>
  <c r="V26" i="9" a="1"/>
  <c r="AO30" i="9" a="1"/>
  <c r="T16" i="9" a="1"/>
  <c r="D30" i="9" a="1"/>
  <c r="AO27" i="9" a="1"/>
  <c r="AS23" i="9" a="1"/>
  <c r="J21" i="9" a="1"/>
  <c r="AG24" i="9" a="1"/>
  <c r="U26" i="9" a="1"/>
  <c r="BK26" i="9" a="1"/>
  <c r="BA10" i="9" a="1"/>
  <c r="AE23" i="9" a="1"/>
  <c r="S23" i="9" a="1"/>
  <c r="BA30" i="9" a="1"/>
  <c r="AT18" i="9" a="1"/>
  <c r="S22" i="9" a="1"/>
  <c r="AP32" i="9" a="1"/>
  <c r="BK31" i="9" a="1"/>
  <c r="Z17" i="9" a="1"/>
  <c r="AH27" i="9" a="1"/>
  <c r="F22" i="9" a="1"/>
  <c r="L19" i="9" a="1"/>
  <c r="AI17" i="9" a="1"/>
  <c r="S30" i="9" a="1"/>
  <c r="AQ27" i="9" a="1"/>
  <c r="AA24" i="9" a="1"/>
  <c r="AQ25" i="9" a="1"/>
  <c r="BS28" i="9" a="1"/>
  <c r="AY26" i="9" a="1"/>
  <c r="T29" i="9" a="1"/>
  <c r="BS22" i="9" a="1"/>
  <c r="I18" i="9" a="1"/>
  <c r="BC30" i="9" a="1"/>
  <c r="AU23" i="9" a="1"/>
  <c r="BG22" i="9" a="1"/>
  <c r="BO17" i="9" a="1"/>
  <c r="AX24" i="9" a="1"/>
  <c r="AK20" i="9" a="1"/>
  <c r="BC26" i="9" a="1"/>
  <c r="AE25" i="9" a="1"/>
  <c r="AT22" i="9" a="1"/>
  <c r="H26" i="9" a="1"/>
  <c r="AO19" i="9" a="1"/>
  <c r="BA20" i="9" a="1"/>
  <c r="H23" i="9" a="1"/>
  <c r="F25" i="9" a="1"/>
  <c r="F23" i="9" a="1"/>
  <c r="BC16" i="9" a="1"/>
  <c r="AW17" i="9" a="1"/>
  <c r="AY17" i="9" a="1"/>
  <c r="BF25" i="9" a="1"/>
  <c r="AP27" i="9" a="1"/>
  <c r="AE18" i="9" a="1"/>
  <c r="S10" i="9" a="1"/>
  <c r="AU18" i="9" a="1"/>
  <c r="AX20" i="9" a="1"/>
  <c r="AX28" i="9" a="1"/>
  <c r="BM26" i="9" a="1"/>
  <c r="AY28" i="9" a="1"/>
  <c r="AT30" i="9" a="1"/>
  <c r="AC32" i="9" a="1"/>
  <c r="D32" i="9" a="1"/>
  <c r="BM28" i="9" a="1"/>
  <c r="BI19" i="9" a="1"/>
  <c r="I21" i="9" a="1"/>
  <c r="BG18" i="9" a="1"/>
  <c r="AU24" i="9" a="1"/>
  <c r="AU21" i="9" a="1"/>
  <c r="BN24" i="9" a="1"/>
  <c r="BE31" i="9" a="1"/>
  <c r="AA19" i="9" a="1"/>
  <c r="AP28" i="9" a="1"/>
  <c r="AM24" i="9" a="1"/>
  <c r="AT16" i="9" a="1"/>
  <c r="W24" i="9" a="1"/>
  <c r="AD20" i="9" a="1"/>
  <c r="BQ31" i="9" a="1"/>
  <c r="K22" i="9" a="1"/>
  <c r="P28" i="9" a="1"/>
  <c r="AP21" i="9" a="1"/>
  <c r="Z19" i="9" a="1"/>
  <c r="BN28" i="9" a="1"/>
  <c r="BS23" i="9" a="1"/>
  <c r="BO31" i="9" a="1"/>
  <c r="S21" i="9" a="1"/>
  <c r="P29" i="9" a="1"/>
  <c r="K32" i="9" a="1"/>
  <c r="Q16" i="9" a="1"/>
  <c r="BR23" i="9" a="1"/>
  <c r="BC19" i="9" a="1"/>
  <c r="BK25" i="9" a="1"/>
  <c r="W27" i="9" a="1"/>
  <c r="AQ26" i="9" a="1"/>
  <c r="AT32" i="9" a="1"/>
  <c r="AW30" i="9" a="1"/>
  <c r="P20" i="9" a="1"/>
  <c r="BN30" i="9" a="1"/>
  <c r="AT29" i="9" a="1"/>
  <c r="AT21" i="9" a="1"/>
  <c r="BB19" i="9" a="1"/>
  <c r="AC22" i="9" a="1"/>
  <c r="AP18" i="9" a="1"/>
  <c r="AG22" i="9" a="1"/>
  <c r="AI23" i="9" a="1"/>
  <c r="L24" i="9" a="1"/>
  <c r="T26" i="9" a="1"/>
  <c r="BG24" i="9" a="1"/>
  <c r="AT27" i="9" a="1"/>
  <c r="AP25" i="9" a="1"/>
  <c r="AU22" i="9" a="1"/>
  <c r="BQ29" i="9" a="1"/>
  <c r="AU29" i="9" a="1"/>
  <c r="F19" i="9" a="1"/>
  <c r="BC31" i="9" a="1"/>
  <c r="BC29" i="9" a="1"/>
  <c r="AM19" i="9" a="1"/>
  <c r="L23" i="9" a="1"/>
  <c r="BQ16" i="9" a="1"/>
  <c r="V25" i="9" a="1"/>
  <c r="AA20" i="9" a="1"/>
  <c r="D20" i="9" a="1"/>
  <c r="BB32" i="9" a="1"/>
  <c r="P17" i="9" a="1"/>
  <c r="AE28" i="9" a="1"/>
  <c r="BB20" i="9" a="1"/>
  <c r="J22" i="9" a="1"/>
  <c r="AA22" i="9" a="1"/>
  <c r="AI25" i="9" a="1"/>
  <c r="BB22" i="9" a="1"/>
  <c r="I28" i="9" a="1"/>
  <c r="AU16" i="9" a="1"/>
  <c r="I32" i="9" a="1"/>
  <c r="AD19" i="9" a="1"/>
  <c r="BA23" i="9" a="1"/>
  <c r="AC31" i="9" a="1"/>
  <c r="BJ21" i="9" a="1"/>
  <c r="AU19" i="9" a="1"/>
  <c r="AI27" i="9" a="1"/>
  <c r="AL16" i="9" a="1"/>
  <c r="J31" i="9" a="1"/>
  <c r="BB26" i="9" a="1"/>
  <c r="W19" i="9" a="1"/>
  <c r="AL17" i="9" a="1"/>
  <c r="K18" i="9" a="1"/>
  <c r="U29" i="9" a="1"/>
  <c r="AE16" i="9" a="1"/>
  <c r="BF23" i="9" a="1"/>
  <c r="J26" i="9" a="1"/>
  <c r="BF32" i="9" a="1"/>
  <c r="AC28" i="9" a="1"/>
  <c r="AW22" i="9" a="1"/>
  <c r="V21" i="9" a="1"/>
  <c r="G31" i="9" a="1"/>
  <c r="G28" i="9" a="1"/>
  <c r="AG10" i="9" a="1"/>
  <c r="Q25" i="9" a="1"/>
  <c r="AU31" i="9" a="1"/>
  <c r="BI24" i="9" a="1"/>
  <c r="BJ22" i="9" a="1"/>
  <c r="O27" i="9" a="1"/>
  <c r="BC18" i="9" a="1"/>
  <c r="Q28" i="9" a="1"/>
  <c r="AD26" i="9" a="1"/>
  <c r="BM18" i="9" a="1"/>
  <c r="P24" i="9" a="1"/>
  <c r="BJ19" i="9" a="1"/>
  <c r="L30" i="9" a="1"/>
  <c r="AH18" i="9" a="1"/>
  <c r="BR32" i="9" a="1"/>
  <c r="F20" i="9" a="1"/>
  <c r="V30" i="9" a="1"/>
  <c r="H22" i="9" a="1"/>
  <c r="AD22" i="9" a="1"/>
  <c r="AP29" i="9" a="1"/>
  <c r="BN17" i="9" a="1"/>
  <c r="AG20" i="9" a="1"/>
  <c r="AA28" i="9" a="1"/>
  <c r="AK21" i="9" a="1"/>
  <c r="O16" i="9" a="1"/>
  <c r="BB24" i="9" a="1"/>
  <c r="H17" i="9" a="1"/>
  <c r="F17" i="9" a="1"/>
  <c r="AH28" i="9" a="1"/>
  <c r="P16" i="9" a="1"/>
  <c r="BJ30" i="9" a="1"/>
  <c r="BB25" i="9" a="1"/>
  <c r="D21" i="9" a="1"/>
  <c r="AC16" i="9" a="1"/>
  <c r="Y23" i="9" a="1"/>
  <c r="F24" i="9" a="1"/>
  <c r="AH30" i="9" a="1"/>
  <c r="Y29" i="9" a="1"/>
  <c r="AT28" i="9" a="1"/>
  <c r="G25" i="9" a="1"/>
  <c r="BN23" i="9" a="1"/>
  <c r="AK22" i="9" a="1"/>
  <c r="BO28" i="9" a="1"/>
  <c r="S20" i="9" a="1"/>
  <c r="BO25" i="9" a="1"/>
  <c r="BA32" i="9" a="1"/>
  <c r="AG27" i="9" a="1"/>
  <c r="AL19" i="9" a="1"/>
  <c r="F18" i="9" a="1"/>
  <c r="U27" i="9" a="1"/>
  <c r="G17" i="9" a="1"/>
  <c r="BI10" i="9" a="1"/>
  <c r="AX25" i="9" a="1"/>
  <c r="T28" i="9" a="1"/>
  <c r="U25" i="9" a="1"/>
  <c r="AK23" i="9" a="1"/>
  <c r="F32" i="9" a="1"/>
  <c r="BR27" i="9" a="1"/>
  <c r="BE26" i="9" a="1"/>
  <c r="BA27" i="9" a="1"/>
  <c r="BA17" i="9" a="1"/>
  <c r="AO32" i="9" a="1"/>
  <c r="BB30" i="9" a="1"/>
  <c r="L18" i="9" a="1"/>
  <c r="U23" i="9" a="1"/>
  <c r="BQ22" i="9" a="1"/>
  <c r="BC23" i="9" a="1"/>
  <c r="G19" i="9" a="1"/>
  <c r="AA25" i="9" a="1"/>
  <c r="BA25" i="9" a="1"/>
  <c r="BE32" i="9" a="1"/>
  <c r="AI30" i="9" a="1"/>
  <c r="T27" i="9" a="1"/>
  <c r="Z22" i="9" a="1"/>
  <c r="Q22" i="9" a="1"/>
  <c r="L21" i="9" a="1"/>
  <c r="BE29" i="9" a="1"/>
  <c r="G32" i="9" a="1"/>
  <c r="AM26" i="9" a="1"/>
  <c r="AX32" i="9" a="1"/>
  <c r="AM17" i="9" a="1"/>
  <c r="AS20" i="9" a="1"/>
  <c r="AM31" i="9" a="1"/>
  <c r="AK19" i="9" a="1"/>
  <c r="L28" i="9" a="1"/>
  <c r="S26" i="9" a="1"/>
  <c r="AP17" i="9" a="1"/>
  <c r="Y17" i="9" a="1"/>
  <c r="AW27" i="9" a="1"/>
  <c r="BK21" i="9" a="1"/>
  <c r="BF26" i="9" a="1"/>
  <c r="AI24" i="9" a="1"/>
  <c r="W25" i="9" a="1"/>
  <c r="AE31" i="9" a="1"/>
  <c r="W17" i="9" a="1"/>
  <c r="AE21" i="9" a="1"/>
  <c r="AK29" i="9" a="1"/>
  <c r="P31" i="9" a="1"/>
  <c r="D19" i="9" a="1"/>
  <c r="T24" i="9" a="1"/>
  <c r="BF27" i="9" a="1"/>
  <c r="M27" i="9" a="1"/>
  <c r="G26" i="9" a="1"/>
  <c r="BN26" i="9" a="1"/>
  <c r="BI31" i="9" a="1"/>
  <c r="AQ30" i="9" a="1"/>
  <c r="AX21" i="9" a="1"/>
  <c r="AL22" i="9" a="1"/>
  <c r="I23" i="9" a="1"/>
  <c r="BS24" i="9" a="1"/>
  <c r="BK28" i="9" a="1"/>
  <c r="BQ24" i="9" a="1"/>
  <c r="AA27" i="9" a="1"/>
  <c r="AP20" i="9" a="1"/>
  <c r="Q30" i="9" a="1"/>
  <c r="BS16" i="9" a="1"/>
  <c r="AI21" i="9" a="1"/>
  <c r="Z29" i="9" a="1"/>
  <c r="W23" i="9" a="1"/>
  <c r="J29" i="9" a="1"/>
  <c r="AY29" i="9" a="1"/>
  <c r="K20" i="9" a="1"/>
  <c r="AH21" i="9" a="1"/>
  <c r="AC18" i="9" a="1"/>
  <c r="AL25" i="9" a="1"/>
  <c r="BK16" i="9" a="1"/>
  <c r="BA31" i="9" a="1"/>
  <c r="AM28" i="9" a="1"/>
  <c r="O22" i="9" a="1"/>
  <c r="BK18" i="9" a="1"/>
  <c r="Q27" i="9" a="1"/>
  <c r="K31" i="9" a="1"/>
  <c r="BF20" i="9" a="1"/>
  <c r="AK10" i="9" a="1"/>
  <c r="BM23" i="9" a="1"/>
  <c r="AT31" i="9" a="1"/>
  <c r="BQ30" i="9" a="1"/>
  <c r="D17" i="9" a="1"/>
  <c r="AK27" i="9" a="1"/>
  <c r="BA21" i="9" a="1"/>
  <c r="AU32" i="9" a="1"/>
  <c r="AS28" i="9" a="1"/>
  <c r="AS28" i="9" l="1"/>
  <c r="AU32" i="9"/>
  <c r="BA21" i="9"/>
  <c r="AK27" i="9"/>
  <c r="D17" i="9"/>
  <c r="BQ30" i="9"/>
  <c r="AT31" i="9"/>
  <c r="BM23" i="9"/>
  <c r="AK10" i="9"/>
  <c r="BF20" i="9"/>
  <c r="K31" i="9"/>
  <c r="Q27" i="9"/>
  <c r="BK18" i="9"/>
  <c r="O22" i="9"/>
  <c r="AM28" i="9"/>
  <c r="BA31" i="9"/>
  <c r="BK16" i="9"/>
  <c r="AL25" i="9"/>
  <c r="AC18" i="9"/>
  <c r="AH21" i="9"/>
  <c r="K20" i="9"/>
  <c r="AY29" i="9"/>
  <c r="J29" i="9"/>
  <c r="W23" i="9"/>
  <c r="Z29" i="9"/>
  <c r="AI21" i="9"/>
  <c r="BS16" i="9"/>
  <c r="Q30" i="9"/>
  <c r="AP20" i="9"/>
  <c r="AA27" i="9"/>
  <c r="BQ24" i="9"/>
  <c r="BK28" i="9"/>
  <c r="BS24" i="9"/>
  <c r="I23" i="9"/>
  <c r="AL22" i="9"/>
  <c r="AX21" i="9"/>
  <c r="AQ30" i="9"/>
  <c r="BI31" i="9"/>
  <c r="BN26" i="9"/>
  <c r="G26" i="9"/>
  <c r="M27" i="9"/>
  <c r="BF27" i="9"/>
  <c r="T24" i="9"/>
  <c r="D19" i="9"/>
  <c r="P31" i="9"/>
  <c r="AK29" i="9"/>
  <c r="AE21" i="9"/>
  <c r="W17" i="9"/>
  <c r="AE31" i="9"/>
  <c r="W25" i="9"/>
  <c r="AI24" i="9"/>
  <c r="BF26" i="9"/>
  <c r="BK21" i="9"/>
  <c r="AW27" i="9"/>
  <c r="Y17" i="9"/>
  <c r="AP17" i="9"/>
  <c r="S26" i="9"/>
  <c r="L28" i="9"/>
  <c r="AK19" i="9"/>
  <c r="AM31" i="9"/>
  <c r="AS20" i="9"/>
  <c r="AM17" i="9"/>
  <c r="AX32" i="9"/>
  <c r="AM26" i="9"/>
  <c r="G32" i="9"/>
  <c r="BE29" i="9"/>
  <c r="L21" i="9"/>
  <c r="Q22" i="9"/>
  <c r="Z22" i="9"/>
  <c r="T27" i="9"/>
  <c r="AI30" i="9"/>
  <c r="BE32" i="9"/>
  <c r="BA25" i="9"/>
  <c r="AA25" i="9"/>
  <c r="G19" i="9"/>
  <c r="BC23" i="9"/>
  <c r="BQ22" i="9"/>
  <c r="U23" i="9"/>
  <c r="L18" i="9"/>
  <c r="BB30" i="9"/>
  <c r="AO32" i="9"/>
  <c r="BA17" i="9"/>
  <c r="BA27" i="9"/>
  <c r="BE26" i="9"/>
  <c r="BR27" i="9"/>
  <c r="F32" i="9"/>
  <c r="AK23" i="9"/>
  <c r="U25" i="9"/>
  <c r="T28" i="9"/>
  <c r="AX25" i="9"/>
  <c r="BI10" i="9"/>
  <c r="G17" i="9"/>
  <c r="U27" i="9"/>
  <c r="F18" i="9"/>
  <c r="AL19" i="9"/>
  <c r="AG27" i="9"/>
  <c r="BA32" i="9"/>
  <c r="BO25" i="9"/>
  <c r="S20" i="9"/>
  <c r="BO28" i="9"/>
  <c r="AK22" i="9"/>
  <c r="BN23" i="9"/>
  <c r="G25" i="9"/>
  <c r="AT28" i="9"/>
  <c r="Y29" i="9"/>
  <c r="AH30" i="9"/>
  <c r="F24" i="9"/>
  <c r="Y23" i="9"/>
  <c r="AC16" i="9"/>
  <c r="D21" i="9"/>
  <c r="BB25" i="9"/>
  <c r="BJ30" i="9"/>
  <c r="P16" i="9"/>
  <c r="AH28" i="9"/>
  <c r="F17" i="9"/>
  <c r="H17" i="9"/>
  <c r="BB24" i="9"/>
  <c r="O16" i="9"/>
  <c r="AK21" i="9"/>
  <c r="AA28" i="9"/>
  <c r="AG20" i="9"/>
  <c r="BN17" i="9"/>
  <c r="AP29" i="9"/>
  <c r="AD22" i="9"/>
  <c r="H22" i="9"/>
  <c r="V30" i="9"/>
  <c r="F20" i="9"/>
  <c r="BR32" i="9"/>
  <c r="AH18" i="9"/>
  <c r="L30" i="9"/>
  <c r="BJ19" i="9"/>
  <c r="P24" i="9"/>
  <c r="BM18" i="9"/>
  <c r="AD26" i="9"/>
  <c r="Q28" i="9"/>
  <c r="BC18" i="9"/>
  <c r="O27" i="9"/>
  <c r="BJ22" i="9"/>
  <c r="BI24" i="9"/>
  <c r="AU31" i="9"/>
  <c r="Q25" i="9"/>
  <c r="AG10" i="9"/>
  <c r="G28" i="9"/>
  <c r="G31" i="9"/>
  <c r="V21" i="9"/>
  <c r="AW22" i="9"/>
  <c r="AC28" i="9"/>
  <c r="BF32" i="9"/>
  <c r="J26" i="9"/>
  <c r="BF23" i="9"/>
  <c r="AE16" i="9"/>
  <c r="U29" i="9"/>
  <c r="K18" i="9"/>
  <c r="AL17" i="9"/>
  <c r="W19" i="9"/>
  <c r="BB26" i="9"/>
  <c r="J31" i="9"/>
  <c r="AL16" i="9"/>
  <c r="AI27" i="9"/>
  <c r="AU19" i="9"/>
  <c r="BJ21" i="9"/>
  <c r="AC31" i="9"/>
  <c r="BA23" i="9"/>
  <c r="AD19" i="9"/>
  <c r="I32" i="9"/>
  <c r="AU16" i="9"/>
  <c r="I28" i="9"/>
  <c r="BB22" i="9"/>
  <c r="AI25" i="9"/>
  <c r="AA22" i="9"/>
  <c r="J22" i="9"/>
  <c r="BB20" i="9"/>
  <c r="AE28" i="9"/>
  <c r="P17" i="9"/>
  <c r="BB32" i="9"/>
  <c r="D20" i="9"/>
  <c r="AA20" i="9"/>
  <c r="V25" i="9"/>
  <c r="BQ16" i="9"/>
  <c r="L23" i="9"/>
  <c r="AM19" i="9"/>
  <c r="BC29" i="9"/>
  <c r="BC31" i="9"/>
  <c r="F19" i="9"/>
  <c r="AU29" i="9"/>
  <c r="BQ29" i="9"/>
  <c r="AU22" i="9"/>
  <c r="AP25" i="9"/>
  <c r="AT27" i="9"/>
  <c r="BG24" i="9"/>
  <c r="T26" i="9"/>
  <c r="L24" i="9"/>
  <c r="AI23" i="9"/>
  <c r="AG22" i="9"/>
  <c r="AP18" i="9"/>
  <c r="AC22" i="9"/>
  <c r="BB19" i="9"/>
  <c r="AT21" i="9"/>
  <c r="AT29" i="9"/>
  <c r="BN30" i="9"/>
  <c r="P20" i="9"/>
  <c r="AW30" i="9"/>
  <c r="AT32" i="9"/>
  <c r="AQ26" i="9"/>
  <c r="W27" i="9"/>
  <c r="BK25" i="9"/>
  <c r="BC19" i="9"/>
  <c r="BR23" i="9"/>
  <c r="Q16" i="9"/>
  <c r="K32" i="9"/>
  <c r="P29" i="9"/>
  <c r="S21" i="9"/>
  <c r="BO31" i="9"/>
  <c r="BS23" i="9"/>
  <c r="BN28" i="9"/>
  <c r="Z19" i="9"/>
  <c r="AP21" i="9"/>
  <c r="P28" i="9"/>
  <c r="K22" i="9"/>
  <c r="BQ31" i="9"/>
  <c r="AD20" i="9"/>
  <c r="W24" i="9"/>
  <c r="AT16" i="9"/>
  <c r="AM24" i="9"/>
  <c r="AP28" i="9"/>
  <c r="AA19" i="9"/>
  <c r="BE31" i="9"/>
  <c r="BN24" i="9"/>
  <c r="AU21" i="9"/>
  <c r="AU24" i="9"/>
  <c r="BG18" i="9"/>
  <c r="I21" i="9"/>
  <c r="BI19" i="9"/>
  <c r="BM28" i="9"/>
  <c r="D32" i="9"/>
  <c r="AC32" i="9"/>
  <c r="AT30" i="9"/>
  <c r="AY28" i="9"/>
  <c r="BM26" i="9"/>
  <c r="AX28" i="9"/>
  <c r="AX20" i="9"/>
  <c r="AU18" i="9"/>
  <c r="S10" i="9"/>
  <c r="AE18" i="9"/>
  <c r="AP27" i="9"/>
  <c r="BF25" i="9"/>
  <c r="AY17" i="9"/>
  <c r="AW17" i="9"/>
  <c r="BC16" i="9"/>
  <c r="F23" i="9"/>
  <c r="F25" i="9"/>
  <c r="H23" i="9"/>
  <c r="BA20" i="9"/>
  <c r="AO19" i="9"/>
  <c r="H26" i="9"/>
  <c r="AT22" i="9"/>
  <c r="AE25" i="9"/>
  <c r="BC26" i="9"/>
  <c r="AK20" i="9"/>
  <c r="AX24" i="9"/>
  <c r="BO17" i="9"/>
  <c r="BG22" i="9"/>
  <c r="AU23" i="9"/>
  <c r="BC30" i="9"/>
  <c r="I18" i="9"/>
  <c r="BS22" i="9"/>
  <c r="T29" i="9"/>
  <c r="AY26" i="9"/>
  <c r="BS28" i="9"/>
  <c r="AQ25" i="9"/>
  <c r="AA24" i="9"/>
  <c r="AQ27" i="9"/>
  <c r="S30" i="9"/>
  <c r="AI17" i="9"/>
  <c r="L19" i="9"/>
  <c r="F22" i="9"/>
  <c r="AH27" i="9"/>
  <c r="Z17" i="9"/>
  <c r="BK31" i="9"/>
  <c r="AP32" i="9"/>
  <c r="S22" i="9"/>
  <c r="AT18" i="9"/>
  <c r="BA30" i="9"/>
  <c r="S23" i="9"/>
  <c r="AE23" i="9"/>
  <c r="BA10" i="9"/>
  <c r="BK26" i="9"/>
  <c r="U26" i="9"/>
  <c r="AG24" i="9"/>
  <c r="J21" i="9"/>
  <c r="AS23" i="9"/>
  <c r="AO27" i="9"/>
  <c r="D30" i="9"/>
  <c r="T16" i="9"/>
  <c r="AO30" i="9"/>
  <c r="V26" i="9"/>
  <c r="G30" i="9"/>
  <c r="F27" i="9"/>
  <c r="V20" i="9"/>
  <c r="AE32" i="9"/>
  <c r="AO21" i="9"/>
  <c r="BM25" i="9"/>
  <c r="BB21" i="9"/>
  <c r="AO29" i="9"/>
  <c r="J25" i="9"/>
  <c r="J16" i="9"/>
  <c r="H25" i="9"/>
  <c r="BJ18" i="9"/>
  <c r="BG19" i="9"/>
  <c r="L32" i="9"/>
  <c r="O17" i="9"/>
  <c r="BR18" i="9"/>
  <c r="AT25" i="9"/>
  <c r="Y26" i="9"/>
  <c r="AY16" i="9"/>
  <c r="BS29" i="9"/>
  <c r="BJ25" i="9"/>
  <c r="AX22" i="9"/>
  <c r="BJ24" i="9"/>
  <c r="AH32" i="9"/>
  <c r="P23" i="9"/>
  <c r="G23" i="9"/>
  <c r="AH29" i="9"/>
  <c r="BE20" i="9"/>
  <c r="BO19" i="9"/>
  <c r="P22" i="9"/>
  <c r="AQ20" i="9"/>
  <c r="I19" i="9"/>
  <c r="M19" i="9"/>
  <c r="W16" i="9"/>
  <c r="BB23" i="9"/>
  <c r="H30" i="9"/>
  <c r="BJ28" i="9"/>
  <c r="AI29" i="9"/>
  <c r="AA23" i="9"/>
  <c r="BS25" i="9"/>
  <c r="AW20" i="9"/>
  <c r="AM21" i="9"/>
  <c r="BE19" i="9"/>
  <c r="AG26" i="9"/>
  <c r="BS21" i="9"/>
  <c r="AS32" i="9"/>
  <c r="I31" i="9"/>
  <c r="V18" i="9"/>
  <c r="P27" i="9"/>
  <c r="O26" i="9"/>
  <c r="AK28" i="9"/>
  <c r="F31" i="9"/>
  <c r="AG17" i="9"/>
  <c r="BE25" i="9"/>
  <c r="Z16" i="9"/>
  <c r="AY19" i="9"/>
  <c r="AW19" i="9"/>
  <c r="AD25" i="9"/>
  <c r="AH17" i="9"/>
  <c r="AU30" i="9"/>
  <c r="AA29" i="9"/>
  <c r="AQ16" i="9"/>
  <c r="AE22" i="9"/>
  <c r="BS19" i="9"/>
  <c r="AQ32" i="9"/>
  <c r="BI23" i="9"/>
  <c r="BC21" i="9"/>
  <c r="BO32" i="9"/>
  <c r="AQ21" i="9"/>
  <c r="BC32" i="9"/>
  <c r="J32" i="9"/>
  <c r="BQ26" i="9"/>
  <c r="BM21" i="9"/>
  <c r="BJ26" i="9"/>
  <c r="G24" i="9"/>
  <c r="AM23" i="9"/>
  <c r="F21" i="9"/>
  <c r="F30" i="9"/>
  <c r="AO23" i="9"/>
  <c r="M30" i="9"/>
  <c r="H27" i="9"/>
  <c r="U18" i="9"/>
  <c r="K28" i="9"/>
  <c r="Y18" i="9"/>
  <c r="K24" i="9"/>
  <c r="AC29" i="9"/>
  <c r="O29" i="9"/>
  <c r="AD31" i="9"/>
  <c r="M23" i="9"/>
  <c r="Y30" i="9"/>
  <c r="K30" i="9"/>
  <c r="AW21" i="9"/>
  <c r="AM25" i="9"/>
  <c r="O18" i="9"/>
  <c r="AH31" i="9"/>
  <c r="BK23" i="9"/>
  <c r="O10" i="9"/>
  <c r="AT17" i="9"/>
  <c r="AL30" i="9"/>
  <c r="BE23" i="9"/>
  <c r="AY23" i="9"/>
  <c r="AX29" i="9"/>
  <c r="J19" i="9"/>
  <c r="AD21" i="9"/>
  <c r="BR26" i="9"/>
  <c r="BJ29" i="9"/>
  <c r="BF28" i="9"/>
  <c r="J24" i="9"/>
  <c r="BA19" i="9"/>
  <c r="BS18" i="9"/>
  <c r="BC28" i="9"/>
  <c r="AI28" i="9"/>
  <c r="K23" i="9"/>
  <c r="H31" i="9"/>
  <c r="L16" i="9"/>
  <c r="AS24" i="9"/>
  <c r="BO30" i="9"/>
  <c r="T31" i="9"/>
  <c r="BR31" i="9"/>
  <c r="AQ31" i="9"/>
  <c r="AK24" i="9"/>
  <c r="AY24" i="9"/>
  <c r="AL31" i="9"/>
  <c r="BN31" i="9"/>
  <c r="M26" i="9"/>
  <c r="H16" i="9"/>
  <c r="Y31" i="9"/>
  <c r="W20" i="9"/>
  <c r="U16" i="9"/>
  <c r="P19" i="9"/>
  <c r="S25" i="9"/>
  <c r="BJ17" i="9"/>
  <c r="BO18" i="9"/>
  <c r="BB18" i="9"/>
  <c r="V27" i="9"/>
  <c r="J20" i="9"/>
  <c r="T19" i="9"/>
  <c r="AS18" i="9"/>
  <c r="BF29" i="9"/>
  <c r="M17" i="9"/>
  <c r="AI31" i="9"/>
  <c r="AI22" i="9"/>
  <c r="O30" i="9"/>
  <c r="Q20" i="9"/>
  <c r="Q31" i="9"/>
  <c r="I29" i="9"/>
  <c r="BB16" i="9"/>
  <c r="AO26" i="9"/>
  <c r="BA29" i="9"/>
  <c r="Y24" i="9"/>
  <c r="AQ28" i="9"/>
  <c r="AS17" i="9"/>
  <c r="V24" i="9"/>
  <c r="G22" i="9"/>
  <c r="AX23" i="9"/>
  <c r="Q26" i="9"/>
  <c r="AM22" i="9"/>
  <c r="BM29" i="9"/>
  <c r="AK16" i="9"/>
  <c r="AP23" i="9"/>
  <c r="BK32" i="9"/>
  <c r="BA26" i="9"/>
  <c r="U30" i="9"/>
  <c r="T22" i="9"/>
  <c r="BE10" i="9"/>
  <c r="AG16" i="9"/>
  <c r="Z18" i="9"/>
  <c r="AX30" i="9"/>
  <c r="AW28" i="9"/>
  <c r="T23" i="9"/>
  <c r="BG23" i="9"/>
  <c r="AP26" i="9"/>
  <c r="D10" i="9"/>
  <c r="Z25" i="9"/>
  <c r="AH25" i="9"/>
  <c r="AM27" i="9"/>
  <c r="F29" i="9"/>
  <c r="V16" i="9"/>
  <c r="BB28" i="9"/>
  <c r="BM22" i="9"/>
  <c r="K21" i="9"/>
  <c r="AS19" i="9"/>
  <c r="BN29" i="9"/>
  <c r="BE18" i="9"/>
  <c r="AE30" i="9"/>
  <c r="BR20" i="9"/>
  <c r="AU25" i="9"/>
  <c r="I24" i="9"/>
  <c r="AW23" i="9"/>
  <c r="AA31" i="9"/>
  <c r="U17" i="9"/>
  <c r="AQ18" i="9"/>
  <c r="P21" i="9"/>
  <c r="S27" i="9"/>
  <c r="AY31" i="9"/>
  <c r="AE20" i="9"/>
  <c r="BN19" i="9"/>
  <c r="AI19" i="9"/>
  <c r="AG19" i="9"/>
  <c r="BC25" i="9"/>
  <c r="L27" i="9"/>
  <c r="BE27" i="9"/>
  <c r="AH23" i="9"/>
  <c r="Z21" i="9"/>
  <c r="BJ16" i="9"/>
  <c r="AE29" i="9"/>
  <c r="BI21" i="9"/>
  <c r="U21" i="9"/>
  <c r="AW25" i="9"/>
  <c r="AM16" i="9"/>
  <c r="AD24" i="9"/>
  <c r="J18" i="9"/>
  <c r="F26" i="9"/>
  <c r="BI25" i="9"/>
  <c r="AX31" i="9"/>
  <c r="Y27" i="9"/>
  <c r="G21" i="9"/>
  <c r="H21" i="9"/>
  <c r="BK29" i="9"/>
  <c r="AS25" i="9"/>
  <c r="AQ23" i="9"/>
  <c r="BK24" i="9"/>
  <c r="BJ23" i="9"/>
  <c r="Z28" i="9"/>
  <c r="H18" i="9"/>
  <c r="BR22" i="9"/>
  <c r="AP16" i="9"/>
  <c r="Q21" i="9"/>
  <c r="AP19" i="9"/>
  <c r="AK31" i="9"/>
  <c r="AX27" i="9"/>
  <c r="BM17" i="9"/>
  <c r="I30" i="9"/>
  <c r="I26" i="9"/>
  <c r="I20" i="9"/>
  <c r="S19" i="9"/>
  <c r="BG25" i="9"/>
  <c r="AG32" i="9"/>
  <c r="AI18" i="9"/>
  <c r="M16" i="9"/>
  <c r="BC27" i="9"/>
  <c r="Q17" i="9"/>
  <c r="W29" i="9"/>
  <c r="AI16" i="9"/>
  <c r="Z24" i="9"/>
  <c r="AO24" i="9"/>
  <c r="W18" i="9"/>
  <c r="AL26" i="9"/>
  <c r="D23" i="9"/>
  <c r="H20" i="9"/>
  <c r="BO26" i="9"/>
  <c r="AC25" i="9"/>
  <c r="BM20" i="9"/>
  <c r="T17" i="9"/>
  <c r="M29" i="9"/>
  <c r="D22" i="9"/>
  <c r="AM29" i="9"/>
  <c r="AC26" i="9"/>
  <c r="P25" i="9"/>
  <c r="AY22" i="9"/>
  <c r="I27" i="9"/>
  <c r="Q23" i="9"/>
  <c r="AM32" i="9"/>
  <c r="AL28" i="9"/>
  <c r="AG21" i="9"/>
  <c r="BG21" i="9"/>
  <c r="Y19" i="9"/>
  <c r="AO20" i="9"/>
  <c r="BC20" i="9"/>
  <c r="O31" i="9"/>
  <c r="D18" i="9"/>
  <c r="AD32" i="9"/>
  <c r="AL24" i="9"/>
  <c r="W22" i="9"/>
  <c r="BG28" i="9"/>
  <c r="AS10" i="9"/>
  <c r="AS30" i="9"/>
  <c r="U28" i="9"/>
  <c r="AH26" i="9"/>
  <c r="BQ10" i="9"/>
  <c r="BN25" i="9"/>
  <c r="AD27" i="9"/>
  <c r="AA18" i="9"/>
  <c r="AG30" i="9"/>
  <c r="BS17" i="9"/>
  <c r="BS20" i="9"/>
  <c r="BK19" i="9"/>
  <c r="S18" i="9"/>
  <c r="AW10" i="9"/>
  <c r="AW24" i="9"/>
  <c r="BF31" i="9"/>
  <c r="BI22" i="9"/>
  <c r="AL32" i="9"/>
  <c r="BM16" i="9"/>
  <c r="AK25" i="9"/>
  <c r="AU26" i="9"/>
  <c r="BS30" i="9"/>
  <c r="AA26" i="9"/>
  <c r="O19" i="9"/>
  <c r="AS29" i="9"/>
  <c r="AC30" i="9"/>
  <c r="AO25" i="9"/>
  <c r="AT19" i="9"/>
  <c r="AW18" i="9"/>
  <c r="T20" i="9"/>
  <c r="AH20" i="9"/>
  <c r="BF19" i="9"/>
  <c r="L22" i="9"/>
  <c r="AG29" i="9"/>
  <c r="Y25" i="9"/>
  <c r="J30" i="9"/>
  <c r="L20" i="9"/>
  <c r="AK18" i="9"/>
  <c r="BF21" i="9"/>
  <c r="AY27" i="9"/>
  <c r="D24" i="9"/>
  <c r="P18" i="9"/>
  <c r="AW29" i="9"/>
  <c r="U22" i="9"/>
  <c r="BA16" i="9"/>
  <c r="BA18" i="9"/>
  <c r="AD30" i="9"/>
  <c r="BE28" i="9"/>
  <c r="AY25" i="9"/>
  <c r="BN27" i="9"/>
  <c r="T21" i="9"/>
  <c r="M20" i="9"/>
  <c r="BO22" i="9"/>
  <c r="BO21" i="9"/>
  <c r="V28" i="9"/>
  <c r="BM30" i="9"/>
  <c r="AD28" i="9"/>
  <c r="AH16" i="9"/>
  <c r="W30" i="9"/>
  <c r="Z23" i="9"/>
  <c r="AO22" i="9"/>
  <c r="BE30" i="9"/>
  <c r="BA24" i="9"/>
  <c r="W21" i="9"/>
  <c r="AD18" i="9"/>
  <c r="U24" i="9"/>
  <c r="L26" i="9"/>
  <c r="BN16" i="9"/>
  <c r="S29" i="9"/>
  <c r="AG28" i="9"/>
  <c r="AG31" i="9"/>
  <c r="BK22" i="9"/>
  <c r="BO29" i="9"/>
  <c r="BQ28" i="9"/>
  <c r="V19" i="9"/>
  <c r="BG16" i="9"/>
  <c r="BQ17" i="9"/>
  <c r="S24" i="9"/>
  <c r="BN21" i="9"/>
  <c r="BR17" i="9"/>
  <c r="AC21" i="9"/>
  <c r="Q19" i="9"/>
  <c r="AO10" i="9"/>
  <c r="AQ19" i="9"/>
  <c r="AU17" i="9"/>
  <c r="BQ20" i="9"/>
  <c r="Z20" i="9"/>
  <c r="BR16" i="9"/>
  <c r="Q18" i="9"/>
  <c r="J28" i="9"/>
  <c r="BI16" i="9"/>
  <c r="L31" i="9"/>
  <c r="AX17" i="9"/>
  <c r="AY18" i="9"/>
  <c r="AM30" i="9"/>
  <c r="BR30" i="9"/>
  <c r="BF17" i="9"/>
  <c r="L29" i="9"/>
  <c r="V29" i="9"/>
  <c r="AT20" i="9"/>
  <c r="BI30" i="9"/>
  <c r="BQ23" i="9"/>
  <c r="AH22" i="9"/>
  <c r="I22" i="9"/>
  <c r="AK26" i="9"/>
  <c r="AT24" i="9"/>
  <c r="AK32" i="9"/>
  <c r="BO20" i="9"/>
  <c r="BJ20" i="9"/>
  <c r="BR21" i="9"/>
  <c r="AL21" i="9"/>
  <c r="AD16" i="9"/>
  <c r="O21" i="9"/>
  <c r="U20" i="9"/>
  <c r="BI28" i="9"/>
  <c r="BF30" i="9"/>
  <c r="BG30" i="9"/>
  <c r="AM20" i="9"/>
  <c r="BE24" i="9"/>
  <c r="BR25" i="9"/>
  <c r="AK17" i="9"/>
  <c r="D26" i="9"/>
  <c r="AE26" i="9"/>
  <c r="V23" i="9"/>
  <c r="Z31" i="9"/>
  <c r="BI32" i="9"/>
  <c r="G18" i="9"/>
  <c r="BB31" i="9"/>
  <c r="BS32" i="9"/>
  <c r="AP31" i="9"/>
  <c r="AG25" i="9"/>
  <c r="BG29" i="9"/>
  <c r="BQ18" i="9"/>
  <c r="BM10" i="9"/>
  <c r="K29" i="9"/>
  <c r="D31" i="9"/>
  <c r="BQ21" i="9"/>
  <c r="AC24" i="9"/>
  <c r="D29" i="9"/>
  <c r="AS27" i="9"/>
  <c r="S16" i="9"/>
  <c r="BI20" i="9"/>
  <c r="BO24" i="9"/>
  <c r="AW31" i="9"/>
  <c r="M32" i="9"/>
  <c r="BB27" i="9"/>
  <c r="BJ27" i="9"/>
  <c r="H19" i="9"/>
  <c r="O23" i="9"/>
  <c r="AL23" i="9"/>
  <c r="AO31" i="9"/>
  <c r="AC20" i="9"/>
  <c r="AU20" i="9"/>
  <c r="V31" i="9"/>
  <c r="AQ24" i="9"/>
  <c r="K25" i="9"/>
  <c r="BS27" i="9"/>
  <c r="T30" i="9"/>
  <c r="BG20" i="9"/>
  <c r="T18" i="9"/>
  <c r="BJ31" i="9"/>
  <c r="BE21" i="9"/>
  <c r="BO27" i="9"/>
  <c r="BQ19" i="9"/>
  <c r="M18" i="9"/>
  <c r="W32" i="9"/>
  <c r="J27" i="9"/>
  <c r="AW32" i="9"/>
  <c r="Y28" i="9"/>
  <c r="BM31" i="9"/>
  <c r="Z30" i="9"/>
  <c r="Q24" i="9"/>
  <c r="AY21" i="9"/>
  <c r="AX19" i="9"/>
  <c r="AW16" i="9"/>
  <c r="BK30" i="9"/>
  <c r="L25" i="9"/>
  <c r="W31" i="9"/>
  <c r="AT23" i="9"/>
  <c r="AG23" i="9"/>
  <c r="AA17" i="9"/>
  <c r="AA30" i="9"/>
  <c r="M28" i="9"/>
  <c r="BA28" i="9"/>
  <c r="BN18" i="9"/>
  <c r="I25" i="9"/>
  <c r="U32" i="9"/>
  <c r="AC23" i="9"/>
  <c r="D28" i="9"/>
  <c r="BG31" i="9"/>
  <c r="BS31" i="9"/>
  <c r="BE17" i="9"/>
  <c r="AQ17" i="9"/>
  <c r="AL27" i="9"/>
  <c r="M31" i="9"/>
  <c r="Y10" i="9"/>
  <c r="AK30" i="9"/>
  <c r="BC17" i="9"/>
  <c r="BB17" i="9"/>
  <c r="AH19" i="9"/>
  <c r="Z27" i="9"/>
  <c r="Q32" i="9"/>
  <c r="BN22" i="9"/>
  <c r="BQ25" i="9"/>
  <c r="AU28" i="9"/>
  <c r="AI26" i="9"/>
  <c r="K19" i="9"/>
  <c r="Z32" i="9"/>
  <c r="AD29" i="9"/>
  <c r="AU27" i="9"/>
  <c r="BG32" i="9"/>
  <c r="BF22" i="9"/>
  <c r="U31" i="9"/>
  <c r="M24" i="9"/>
  <c r="AD17" i="9"/>
  <c r="AY20" i="9"/>
  <c r="BI18" i="9"/>
  <c r="Y20" i="9"/>
  <c r="AI20" i="9"/>
  <c r="K16" i="9"/>
  <c r="BK27" i="9"/>
  <c r="BM24" i="9"/>
  <c r="AY30" i="9"/>
  <c r="BR28" i="9"/>
  <c r="BC22" i="9"/>
  <c r="BN32" i="9"/>
  <c r="BC24" i="9"/>
  <c r="W28" i="9"/>
  <c r="AP22" i="9"/>
  <c r="BF16" i="9"/>
  <c r="AS22" i="9"/>
  <c r="BS26" i="9"/>
  <c r="BK20" i="9"/>
  <c r="Y21" i="9"/>
  <c r="AP30" i="9"/>
  <c r="AC27" i="9"/>
  <c r="AS21" i="9"/>
  <c r="AH24" i="9"/>
  <c r="BM32" i="9"/>
  <c r="AA32" i="9"/>
  <c r="AO16" i="9"/>
  <c r="BB29" i="9"/>
  <c r="AS16" i="9"/>
  <c r="BO23" i="9"/>
  <c r="BG27" i="9"/>
  <c r="AW26" i="9"/>
  <c r="AE27" i="9"/>
  <c r="AL18" i="9"/>
  <c r="BG26" i="9"/>
  <c r="H28" i="9"/>
  <c r="BI26" i="9"/>
  <c r="G20" i="9"/>
  <c r="O25" i="9"/>
  <c r="BM27" i="9"/>
  <c r="AC10" i="9"/>
  <c r="M25" i="9"/>
  <c r="BI17" i="9"/>
  <c r="BI27" i="9"/>
  <c r="AE17" i="9"/>
  <c r="W26" i="9"/>
  <c r="AY32" i="9"/>
  <c r="BN20" i="9"/>
  <c r="V22" i="9"/>
  <c r="BF24" i="9"/>
  <c r="I17" i="9"/>
  <c r="G29" i="9"/>
  <c r="J17" i="9"/>
  <c r="O28" i="9"/>
  <c r="K26" i="9"/>
  <c r="H29" i="9"/>
  <c r="T32" i="9"/>
  <c r="G27" i="9"/>
  <c r="D25" i="9"/>
  <c r="J23" i="9"/>
  <c r="AT26" i="9"/>
  <c r="AC17" i="9"/>
  <c r="P32" i="9"/>
  <c r="AO17" i="9"/>
  <c r="O20" i="9"/>
  <c r="AE19" i="9"/>
  <c r="M21" i="9"/>
  <c r="BR29" i="9"/>
  <c r="Q29" i="9"/>
  <c r="AI32" i="9"/>
  <c r="P26" i="9"/>
  <c r="BQ32" i="9"/>
  <c r="M22" i="9"/>
  <c r="AA16" i="9"/>
  <c r="BJ32" i="9"/>
  <c r="Y16" i="9"/>
  <c r="O32" i="9"/>
  <c r="BK17" i="9"/>
  <c r="S31" i="9"/>
  <c r="V17" i="9"/>
  <c r="BR24" i="9"/>
  <c r="BE16" i="9"/>
  <c r="BI29" i="9"/>
  <c r="T25" i="9"/>
  <c r="L17" i="9"/>
  <c r="S32" i="9"/>
  <c r="BR19" i="9"/>
  <c r="K17" i="9"/>
  <c r="AC19" i="9"/>
  <c r="BO16" i="9"/>
  <c r="AX26" i="9"/>
  <c r="H32" i="9"/>
  <c r="K27" i="9"/>
  <c r="AS31" i="9"/>
  <c r="AL29" i="9"/>
  <c r="V32" i="9"/>
  <c r="AX18" i="9"/>
  <c r="BG17" i="9"/>
  <c r="BF18" i="9"/>
  <c r="AO28" i="9"/>
  <c r="AD23" i="9"/>
  <c r="Y22" i="9"/>
  <c r="I16" i="9"/>
  <c r="U19" i="9"/>
  <c r="AM18" i="9"/>
  <c r="F28" i="9"/>
  <c r="Y32" i="9"/>
  <c r="O24" i="9"/>
  <c r="AE24" i="9"/>
  <c r="AQ29" i="9"/>
  <c r="AG18" i="9"/>
  <c r="BM19" i="9"/>
  <c r="Z26" i="9"/>
  <c r="AP24" i="9"/>
  <c r="AS26" i="9"/>
  <c r="BE22" i="9"/>
  <c r="BA22" i="9"/>
  <c r="AO18" i="9"/>
  <c r="AQ22" i="9"/>
  <c r="S28" i="9"/>
  <c r="P30" i="9"/>
  <c r="S17" i="9"/>
  <c r="H24" i="9"/>
  <c r="AX16" i="9"/>
  <c r="BQ27" i="9"/>
  <c r="D27" i="9"/>
  <c r="AL20" i="9"/>
  <c r="AA21" i="9"/>
  <c r="BE60" i="9" l="1"/>
  <c r="D60" i="9"/>
  <c r="BM60" i="9"/>
  <c r="BQ60" i="9"/>
  <c r="BI60" i="9"/>
  <c r="BA60" i="9"/>
  <c r="BJ68" i="9" l="1"/>
  <c r="BK68" i="9" s="1"/>
  <c r="BJ64" i="9"/>
  <c r="BK64" i="9" s="1"/>
  <c r="BJ65" i="9"/>
  <c r="BK65" i="9" s="1"/>
  <c r="BJ69" i="9"/>
  <c r="BK69" i="9" s="1"/>
  <c r="BJ73" i="9"/>
  <c r="BK73" i="9" s="1"/>
  <c r="BJ63" i="9"/>
  <c r="BK63" i="9" s="1"/>
  <c r="BI37" i="9" s="1"/>
  <c r="BJ70" i="9"/>
  <c r="BK70" i="9" s="1"/>
  <c r="BJ71" i="9"/>
  <c r="BK71" i="9" s="1"/>
  <c r="BJ66" i="9"/>
  <c r="BK66" i="9" s="1"/>
  <c r="BJ67" i="9"/>
  <c r="BK67" i="9" s="1"/>
  <c r="BJ74" i="9"/>
  <c r="BK74" i="9" s="1"/>
  <c r="BJ72" i="9"/>
  <c r="BK72" i="9" s="1"/>
  <c r="BB63" i="9"/>
  <c r="BC63" i="9" s="1"/>
  <c r="BA37" i="9" s="1"/>
  <c r="BB71" i="9"/>
  <c r="BC71" i="9" s="1"/>
  <c r="BB69" i="9"/>
  <c r="BC69" i="9" s="1"/>
  <c r="BB73" i="9"/>
  <c r="BC73" i="9" s="1"/>
  <c r="BB65" i="9"/>
  <c r="BC65" i="9" s="1"/>
  <c r="BB66" i="9"/>
  <c r="BC66" i="9" s="1"/>
  <c r="BB70" i="9"/>
  <c r="BC70" i="9" s="1"/>
  <c r="BB74" i="9"/>
  <c r="BC74" i="9" s="1"/>
  <c r="BB68" i="9"/>
  <c r="BC68" i="9" s="1"/>
  <c r="BB72" i="9"/>
  <c r="BC72" i="9" s="1"/>
  <c r="BB64" i="9"/>
  <c r="BC64" i="9" s="1"/>
  <c r="BB67" i="9"/>
  <c r="BC67" i="9" s="1"/>
  <c r="BR71" i="9"/>
  <c r="BS71" i="9" s="1"/>
  <c r="BR68" i="9"/>
  <c r="BS68" i="9" s="1"/>
  <c r="BR72" i="9"/>
  <c r="BS72" i="9" s="1"/>
  <c r="BR70" i="9"/>
  <c r="BS70" i="9" s="1"/>
  <c r="BR64" i="9"/>
  <c r="BS64" i="9" s="1"/>
  <c r="BR69" i="9"/>
  <c r="BS69" i="9" s="1"/>
  <c r="BR73" i="9"/>
  <c r="BS73" i="9" s="1"/>
  <c r="BR66" i="9"/>
  <c r="BS66" i="9" s="1"/>
  <c r="BR74" i="9"/>
  <c r="BS74" i="9" s="1"/>
  <c r="BR67" i="9"/>
  <c r="BS67" i="9" s="1"/>
  <c r="BR65" i="9"/>
  <c r="BS65" i="9" s="1"/>
  <c r="BR63" i="9"/>
  <c r="BS63" i="9" s="1"/>
  <c r="BQ37" i="9" s="1"/>
  <c r="BN72" i="9"/>
  <c r="BO72" i="9" s="1"/>
  <c r="BN70" i="9"/>
  <c r="BO70" i="9" s="1"/>
  <c r="BN69" i="9"/>
  <c r="BO69" i="9" s="1"/>
  <c r="BN64" i="9"/>
  <c r="BO64" i="9" s="1"/>
  <c r="BN68" i="9"/>
  <c r="BO68" i="9" s="1"/>
  <c r="BN65" i="9"/>
  <c r="BO65" i="9" s="1"/>
  <c r="BN71" i="9"/>
  <c r="BO71" i="9" s="1"/>
  <c r="BN73" i="9"/>
  <c r="BO73" i="9" s="1"/>
  <c r="BN66" i="9"/>
  <c r="BO66" i="9" s="1"/>
  <c r="BN67" i="9"/>
  <c r="BO67" i="9" s="1"/>
  <c r="BN63" i="9"/>
  <c r="BO63" i="9" s="1"/>
  <c r="BM37" i="9" s="1"/>
  <c r="BN74" i="9"/>
  <c r="BO74" i="9" s="1"/>
  <c r="E98" i="9"/>
  <c r="F98" i="9" s="1"/>
  <c r="E102" i="9"/>
  <c r="F102" i="9" s="1"/>
  <c r="E84" i="9"/>
  <c r="F84" i="9" s="1"/>
  <c r="E88" i="9"/>
  <c r="F88" i="9" s="1"/>
  <c r="E103" i="9"/>
  <c r="F103" i="9" s="1"/>
  <c r="E94" i="9"/>
  <c r="F94" i="9" s="1"/>
  <c r="E111" i="9"/>
  <c r="F111" i="9" s="1"/>
  <c r="E75" i="9"/>
  <c r="F75" i="9" s="1"/>
  <c r="E92" i="9"/>
  <c r="F92" i="9" s="1"/>
  <c r="E69" i="9"/>
  <c r="F69" i="9" s="1"/>
  <c r="E72" i="9"/>
  <c r="F72" i="9" s="1"/>
  <c r="E78" i="9"/>
  <c r="F78" i="9" s="1"/>
  <c r="E81" i="9"/>
  <c r="F81" i="9" s="1"/>
  <c r="E95" i="9"/>
  <c r="F95" i="9" s="1"/>
  <c r="E107" i="9"/>
  <c r="F107" i="9" s="1"/>
  <c r="E83" i="9"/>
  <c r="F83" i="9" s="1"/>
  <c r="E109" i="9"/>
  <c r="F109" i="9" s="1"/>
  <c r="E89" i="9"/>
  <c r="F89" i="9" s="1"/>
  <c r="E90" i="9"/>
  <c r="F90" i="9" s="1"/>
  <c r="E86" i="9"/>
  <c r="F86" i="9" s="1"/>
  <c r="E65" i="9"/>
  <c r="F65" i="9" s="1"/>
  <c r="E79" i="9"/>
  <c r="F79" i="9" s="1"/>
  <c r="E87" i="9"/>
  <c r="F87" i="9" s="1"/>
  <c r="E100" i="9"/>
  <c r="F100" i="9" s="1"/>
  <c r="E96" i="9"/>
  <c r="F96" i="9" s="1"/>
  <c r="E74" i="9"/>
  <c r="F74" i="9" s="1"/>
  <c r="E85" i="9"/>
  <c r="F85" i="9" s="1"/>
  <c r="E64" i="9"/>
  <c r="F64" i="9" s="1"/>
  <c r="E67" i="9"/>
  <c r="F67" i="9" s="1"/>
  <c r="E82" i="9"/>
  <c r="F82" i="9" s="1"/>
  <c r="E114" i="9"/>
  <c r="F114" i="9" s="1"/>
  <c r="E97" i="9"/>
  <c r="F97" i="9" s="1"/>
  <c r="E70" i="9"/>
  <c r="F70" i="9" s="1"/>
  <c r="E112" i="9"/>
  <c r="F112" i="9" s="1"/>
  <c r="E99" i="9"/>
  <c r="F99" i="9" s="1"/>
  <c r="E106" i="9"/>
  <c r="F106" i="9" s="1"/>
  <c r="E76" i="9"/>
  <c r="F76" i="9" s="1"/>
  <c r="E110" i="9"/>
  <c r="F110" i="9" s="1"/>
  <c r="E113" i="9"/>
  <c r="F113" i="9" s="1"/>
  <c r="E104" i="9"/>
  <c r="F104" i="9" s="1"/>
  <c r="E93" i="9"/>
  <c r="F93" i="9" s="1"/>
  <c r="E71" i="9"/>
  <c r="F71" i="9" s="1"/>
  <c r="E66" i="9"/>
  <c r="F66" i="9" s="1"/>
  <c r="E73" i="9"/>
  <c r="F73" i="9" s="1"/>
  <c r="E108" i="9"/>
  <c r="F108" i="9" s="1"/>
  <c r="E105" i="9"/>
  <c r="F105" i="9" s="1"/>
  <c r="E80" i="9"/>
  <c r="F80" i="9" s="1"/>
  <c r="E77" i="9"/>
  <c r="F77" i="9" s="1"/>
  <c r="E91" i="9"/>
  <c r="F91" i="9" s="1"/>
  <c r="E68" i="9"/>
  <c r="F68" i="9" s="1"/>
  <c r="E101" i="9"/>
  <c r="F101" i="9" s="1"/>
  <c r="E63" i="9"/>
  <c r="F63" i="9" s="1"/>
  <c r="D37" i="9" s="1"/>
  <c r="BF63" i="9"/>
  <c r="BG63" i="9" s="1"/>
  <c r="BE37" i="9" s="1"/>
  <c r="BF73" i="9"/>
  <c r="BG73" i="9" s="1"/>
  <c r="BF72" i="9"/>
  <c r="BG72" i="9" s="1"/>
  <c r="BF71" i="9"/>
  <c r="BG71" i="9" s="1"/>
  <c r="BF70" i="9"/>
  <c r="BG70" i="9" s="1"/>
  <c r="BF67" i="9"/>
  <c r="BG67" i="9" s="1"/>
  <c r="BF68" i="9"/>
  <c r="BG68" i="9" s="1"/>
  <c r="BF74" i="9"/>
  <c r="BG74" i="9" s="1"/>
  <c r="BF65" i="9"/>
  <c r="BG65" i="9" s="1"/>
  <c r="BF69" i="9"/>
  <c r="BG69" i="9" s="1"/>
  <c r="BF66" i="9"/>
  <c r="BG66" i="9" s="1"/>
  <c r="BF64" i="9"/>
  <c r="BG6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7" authorId="0" shapeId="0" xr:uid="{27AFFC88-9F6D-4A72-9744-9F4612D8E2DB}">
      <text>
        <r>
          <rPr>
            <b/>
            <sz val="9"/>
            <color indexed="81"/>
            <rFont val="Tahoma"/>
            <family val="2"/>
          </rPr>
          <t xml:space="preserve">Author: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71"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71"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71"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71" authorId="0" shapeId="0" xr:uid="{00000000-0006-0000-0100-000030000000}">
      <text>
        <r>
          <rPr>
            <b/>
            <sz val="9"/>
            <color indexed="81"/>
            <rFont val="Tahoma"/>
            <family val="2"/>
          </rPr>
          <t>Author:</t>
        </r>
        <r>
          <rPr>
            <sz val="9"/>
            <color indexed="81"/>
            <rFont val="Tahoma"/>
            <family val="2"/>
          </rPr>
          <t xml:space="preserve">
T.B.D
</t>
        </r>
      </text>
    </comment>
    <comment ref="AL71"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71"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71"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71"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71"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71"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71"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71"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71"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71"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71"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71"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71"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71"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71"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Q71"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71"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2"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2"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2"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2"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2"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2"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2"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2"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74"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4"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4"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4"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4"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4"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80" authorId="0" shapeId="0" xr:uid="{00000000-0006-0000-0100-00003B000000}">
      <text>
        <r>
          <rPr>
            <b/>
            <sz val="9"/>
            <color indexed="81"/>
            <rFont val="Tahoma"/>
            <family val="2"/>
          </rPr>
          <t>Author:</t>
        </r>
        <r>
          <rPr>
            <sz val="9"/>
            <color indexed="81"/>
            <rFont val="Tahoma"/>
            <family val="2"/>
          </rPr>
          <t xml:space="preserve">
* Per Daniel’s input on 5/19/16</t>
        </r>
      </text>
    </comment>
    <comment ref="AF80" authorId="0" shapeId="0" xr:uid="{00000000-0006-0000-0100-00003C000000}">
      <text>
        <r>
          <rPr>
            <b/>
            <sz val="9"/>
            <color indexed="81"/>
            <rFont val="Tahoma"/>
            <family val="2"/>
          </rPr>
          <t>Can exclude if there is area concern</t>
        </r>
        <r>
          <rPr>
            <sz val="9"/>
            <color indexed="81"/>
            <rFont val="Tahoma"/>
            <family val="2"/>
          </rPr>
          <t xml:space="preserve">
</t>
        </r>
      </text>
    </comment>
    <comment ref="AY80"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81"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81"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81"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81"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81"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81"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3" authorId="0" shapeId="0" xr:uid="{00000000-0006-0000-0100-00003E000000}">
      <text>
        <r>
          <rPr>
            <b/>
            <sz val="9"/>
            <color indexed="81"/>
            <rFont val="Tahoma"/>
            <family val="2"/>
          </rPr>
          <t>Author:</t>
        </r>
        <r>
          <rPr>
            <sz val="9"/>
            <color indexed="81"/>
            <rFont val="Tahoma"/>
            <family val="2"/>
          </rPr>
          <t xml:space="preserve">
* Per Daniel’s input on 5/19/16</t>
        </r>
      </text>
    </comment>
    <comment ref="AF83"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3"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9"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91" authorId="0" shapeId="0" xr:uid="{00000000-0006-0000-0100-000041000000}">
      <text>
        <r>
          <rPr>
            <b/>
            <sz val="9"/>
            <color indexed="81"/>
            <rFont val="Tahoma"/>
            <family val="2"/>
          </rPr>
          <t>Author:</t>
        </r>
        <r>
          <rPr>
            <sz val="9"/>
            <color indexed="81"/>
            <rFont val="Tahoma"/>
            <family val="2"/>
          </rPr>
          <t xml:space="preserve">
* Per Daniel’s input on 5/19/16</t>
        </r>
      </text>
    </comment>
    <comment ref="AF91" authorId="0" shapeId="0" xr:uid="{00000000-0006-0000-0100-000042000000}">
      <text>
        <r>
          <rPr>
            <b/>
            <sz val="9"/>
            <color indexed="81"/>
            <rFont val="Tahoma"/>
            <family val="2"/>
          </rPr>
          <t>Can exclude if there is area concern</t>
        </r>
        <r>
          <rPr>
            <sz val="9"/>
            <color indexed="81"/>
            <rFont val="Tahoma"/>
            <family val="2"/>
          </rPr>
          <t xml:space="preserve">
</t>
        </r>
      </text>
    </comment>
    <comment ref="Z92" authorId="0" shapeId="0" xr:uid="{00000000-0006-0000-0100-000044000000}">
      <text>
        <r>
          <rPr>
            <b/>
            <sz val="9"/>
            <color indexed="81"/>
            <rFont val="Tahoma"/>
            <family val="2"/>
          </rPr>
          <t>Author:</t>
        </r>
        <r>
          <rPr>
            <sz val="9"/>
            <color indexed="81"/>
            <rFont val="Tahoma"/>
            <family val="2"/>
          </rPr>
          <t xml:space="preserve">
* Per Daniel’s input on 5/19/16</t>
        </r>
      </text>
    </comment>
    <comment ref="AF92"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3" authorId="0" shapeId="0" xr:uid="{71D7660C-17BD-4DF6-8BB1-B3881109207E}">
      <text>
        <r>
          <rPr>
            <b/>
            <sz val="9"/>
            <color indexed="81"/>
            <rFont val="Tahoma"/>
            <family val="2"/>
          </rPr>
          <t>Author:</t>
        </r>
        <r>
          <rPr>
            <sz val="9"/>
            <color indexed="81"/>
            <rFont val="Tahoma"/>
            <family val="2"/>
          </rPr>
          <t xml:space="preserve">
This is still needed for PAVP</t>
        </r>
      </text>
    </comment>
    <comment ref="AU93" authorId="0" shapeId="0" xr:uid="{B56E4F0F-CA1C-46C4-AA27-6BB70124401D}">
      <text>
        <r>
          <rPr>
            <b/>
            <sz val="9"/>
            <color indexed="81"/>
            <rFont val="Tahoma"/>
            <family val="2"/>
          </rPr>
          <t>Author:</t>
        </r>
        <r>
          <rPr>
            <sz val="9"/>
            <color indexed="81"/>
            <rFont val="Tahoma"/>
            <family val="2"/>
          </rPr>
          <t xml:space="preserve">
This is still needed for PAVP</t>
        </r>
      </text>
    </comment>
    <comment ref="AW93" authorId="0" shapeId="0" xr:uid="{7B2F7574-7E49-4D1F-99FF-2E20E9907237}">
      <text>
        <r>
          <rPr>
            <b/>
            <sz val="9"/>
            <color indexed="81"/>
            <rFont val="Tahoma"/>
            <family val="2"/>
          </rPr>
          <t>Author:</t>
        </r>
        <r>
          <rPr>
            <sz val="9"/>
            <color indexed="81"/>
            <rFont val="Tahoma"/>
            <family val="2"/>
          </rPr>
          <t xml:space="preserve">
This is still needed for PAVP</t>
        </r>
      </text>
    </comment>
    <comment ref="BC93" authorId="0" shapeId="0" xr:uid="{A7E836FE-8ED6-4EFA-8FB6-D09DE58ED60A}">
      <text>
        <r>
          <rPr>
            <b/>
            <sz val="9"/>
            <color indexed="81"/>
            <rFont val="Tahoma"/>
            <family val="2"/>
          </rPr>
          <t>Author:</t>
        </r>
        <r>
          <rPr>
            <sz val="9"/>
            <color indexed="81"/>
            <rFont val="Tahoma"/>
            <family val="2"/>
          </rPr>
          <t xml:space="preserve">
AMT uses MD5/SHA1</t>
        </r>
      </text>
    </comment>
    <comment ref="BJ93" authorId="0" shapeId="0" xr:uid="{6B5CC3ED-2019-4332-905E-AEF735AE422E}">
      <text>
        <r>
          <rPr>
            <b/>
            <sz val="9"/>
            <color indexed="81"/>
            <rFont val="Tahoma"/>
            <family val="2"/>
          </rPr>
          <t>Author:</t>
        </r>
        <r>
          <rPr>
            <sz val="9"/>
            <color indexed="81"/>
            <rFont val="Tahoma"/>
            <family val="2"/>
          </rPr>
          <t xml:space="preserve">
AMT uses MD5/SHA1</t>
        </r>
      </text>
    </comment>
    <comment ref="BP93" authorId="0" shapeId="0" xr:uid="{B6FAD1EC-F167-4789-8902-9482A9455040}">
      <text>
        <r>
          <rPr>
            <b/>
            <sz val="9"/>
            <color indexed="81"/>
            <rFont val="Tahoma"/>
            <family val="2"/>
          </rPr>
          <t>Author:</t>
        </r>
        <r>
          <rPr>
            <sz val="9"/>
            <color indexed="81"/>
            <rFont val="Tahoma"/>
            <family val="2"/>
          </rPr>
          <t xml:space="preserve">
AMT uses MD5/SHA1</t>
        </r>
      </text>
    </comment>
    <comment ref="BR93" authorId="0" shapeId="0" xr:uid="{1727C960-90AF-4EBC-92AA-5C20BBCD89DA}">
      <text>
        <r>
          <rPr>
            <b/>
            <sz val="9"/>
            <color indexed="81"/>
            <rFont val="Tahoma"/>
            <family val="2"/>
          </rPr>
          <t>Author:</t>
        </r>
        <r>
          <rPr>
            <sz val="9"/>
            <color indexed="81"/>
            <rFont val="Tahoma"/>
            <family val="2"/>
          </rPr>
          <t xml:space="preserve">
This is still needed for PAVP</t>
        </r>
      </text>
    </comment>
    <comment ref="Z96" authorId="0" shapeId="0" xr:uid="{00000000-0006-0000-0100-000048000000}">
      <text>
        <r>
          <rPr>
            <b/>
            <sz val="9"/>
            <color indexed="81"/>
            <rFont val="Tahoma"/>
            <family val="2"/>
          </rPr>
          <t>Author:</t>
        </r>
        <r>
          <rPr>
            <sz val="9"/>
            <color indexed="81"/>
            <rFont val="Tahoma"/>
            <family val="2"/>
          </rPr>
          <t xml:space="preserve">
* Per Daniel’s input on 5/19/16</t>
        </r>
      </text>
    </comment>
    <comment ref="AF96"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6" authorId="0" shapeId="0" xr:uid="{3FFB25DA-8C02-4BAA-A62D-10660CDCE76E}">
      <text>
        <r>
          <rPr>
            <b/>
            <sz val="9"/>
            <color indexed="81"/>
            <rFont val="Tahoma"/>
            <family val="2"/>
          </rPr>
          <t>Author:</t>
        </r>
        <r>
          <rPr>
            <sz val="9"/>
            <color indexed="81"/>
            <rFont val="Tahoma"/>
            <family val="2"/>
          </rPr>
          <t xml:space="preserve">
AMT and TPM only</t>
        </r>
      </text>
    </comment>
    <comment ref="AT96" authorId="0" shapeId="0" xr:uid="{08994962-2C66-4D0C-BE53-CB76884FA08C}">
      <text>
        <r>
          <rPr>
            <b/>
            <sz val="9"/>
            <color indexed="81"/>
            <rFont val="Tahoma"/>
            <family val="2"/>
          </rPr>
          <t>Author:</t>
        </r>
        <r>
          <rPr>
            <sz val="9"/>
            <color indexed="81"/>
            <rFont val="Tahoma"/>
            <family val="2"/>
          </rPr>
          <t xml:space="preserve">
AMT and TPM only</t>
        </r>
      </text>
    </comment>
    <comment ref="AV96" authorId="0" shapeId="0" xr:uid="{BE46728A-D194-4D10-83A4-96E3F8A80A0B}">
      <text>
        <r>
          <rPr>
            <b/>
            <sz val="9"/>
            <color indexed="81"/>
            <rFont val="Tahoma"/>
            <family val="2"/>
          </rPr>
          <t>Author:</t>
        </r>
        <r>
          <rPr>
            <sz val="9"/>
            <color indexed="81"/>
            <rFont val="Tahoma"/>
            <family val="2"/>
          </rPr>
          <t xml:space="preserve">
AMT and TPM only</t>
        </r>
      </text>
    </comment>
    <comment ref="AW96"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6" authorId="0" shapeId="0" xr:uid="{8FF6FC40-8A83-42F6-AE21-2BD110D6E261}">
      <text>
        <r>
          <rPr>
            <b/>
            <sz val="9"/>
            <color indexed="81"/>
            <rFont val="Tahoma"/>
            <family val="2"/>
          </rPr>
          <t>Author:</t>
        </r>
        <r>
          <rPr>
            <sz val="9"/>
            <color indexed="81"/>
            <rFont val="Tahoma"/>
            <family val="2"/>
          </rPr>
          <t xml:space="preserve">
AMT and TPM only</t>
        </r>
      </text>
    </comment>
    <comment ref="AY96" authorId="0" shapeId="0" xr:uid="{627EAF99-6294-495F-8214-CC7BD7649281}">
      <text>
        <r>
          <rPr>
            <b/>
            <sz val="9"/>
            <color indexed="81"/>
            <rFont val="Tahoma"/>
            <family val="2"/>
          </rPr>
          <t>Author:</t>
        </r>
        <r>
          <rPr>
            <sz val="9"/>
            <color indexed="81"/>
            <rFont val="Tahoma"/>
            <family val="2"/>
          </rPr>
          <t xml:space="preserve">
AMT and TPM only</t>
        </r>
      </text>
    </comment>
    <comment ref="AZ96" authorId="0" shapeId="0" xr:uid="{F5287259-93A4-40E5-BBEE-A72A34FDBF00}">
      <text>
        <r>
          <rPr>
            <b/>
            <sz val="9"/>
            <color indexed="81"/>
            <rFont val="Tahoma"/>
            <family val="2"/>
          </rPr>
          <t>Author:</t>
        </r>
        <r>
          <rPr>
            <sz val="9"/>
            <color indexed="81"/>
            <rFont val="Tahoma"/>
            <family val="2"/>
          </rPr>
          <t xml:space="preserve">
AMT and TPM only</t>
        </r>
      </text>
    </comment>
    <comment ref="BB96" authorId="0" shapeId="0" xr:uid="{61D805B9-5FAA-4599-B80C-FAB85DD5D795}">
      <text>
        <r>
          <rPr>
            <b/>
            <sz val="9"/>
            <color indexed="81"/>
            <rFont val="Tahoma"/>
            <family val="2"/>
          </rPr>
          <t>Author:</t>
        </r>
        <r>
          <rPr>
            <sz val="9"/>
            <color indexed="81"/>
            <rFont val="Tahoma"/>
            <family val="2"/>
          </rPr>
          <t xml:space="preserve">
AMT and TPM only</t>
        </r>
      </text>
    </comment>
    <comment ref="BD96" authorId="0" shapeId="0" xr:uid="{B2E6722C-E093-4601-B829-1BADD18E1E53}">
      <text>
        <r>
          <rPr>
            <b/>
            <sz val="9"/>
            <color indexed="81"/>
            <rFont val="Tahoma"/>
            <family val="2"/>
          </rPr>
          <t>Author:</t>
        </r>
        <r>
          <rPr>
            <sz val="9"/>
            <color indexed="81"/>
            <rFont val="Tahoma"/>
            <family val="2"/>
          </rPr>
          <t xml:space="preserve">
AMT and TPM only</t>
        </r>
      </text>
    </comment>
    <comment ref="BE96"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6" authorId="0" shapeId="0" xr:uid="{57D3F302-3DC9-40CF-8610-DED0E43383D3}">
      <text>
        <r>
          <rPr>
            <b/>
            <sz val="9"/>
            <color indexed="81"/>
            <rFont val="Tahoma"/>
            <family val="2"/>
          </rPr>
          <t>Author:</t>
        </r>
        <r>
          <rPr>
            <sz val="9"/>
            <color indexed="81"/>
            <rFont val="Tahoma"/>
            <family val="2"/>
          </rPr>
          <t xml:space="preserve">
AMT and TPM only</t>
        </r>
      </text>
    </comment>
    <comment ref="BH96" authorId="0" shapeId="0" xr:uid="{826CB4C8-43CC-418D-BDC7-C9CF7B36BFDF}">
      <text>
        <r>
          <rPr>
            <b/>
            <sz val="9"/>
            <color indexed="81"/>
            <rFont val="Tahoma"/>
            <family val="2"/>
          </rPr>
          <t>Author:</t>
        </r>
        <r>
          <rPr>
            <sz val="9"/>
            <color indexed="81"/>
            <rFont val="Tahoma"/>
            <family val="2"/>
          </rPr>
          <t xml:space="preserve">
AMT and TPM only</t>
        </r>
      </text>
    </comment>
    <comment ref="BI96" authorId="0" shapeId="0" xr:uid="{72C9846E-A1BD-4426-AA04-7761AC3B8924}">
      <text>
        <r>
          <rPr>
            <b/>
            <sz val="9"/>
            <color indexed="81"/>
            <rFont val="Tahoma"/>
            <family val="2"/>
          </rPr>
          <t>Author:</t>
        </r>
        <r>
          <rPr>
            <sz val="9"/>
            <color indexed="81"/>
            <rFont val="Tahoma"/>
            <family val="2"/>
          </rPr>
          <t xml:space="preserve">
AMT and TPM only</t>
        </r>
      </text>
    </comment>
    <comment ref="BK96" authorId="0" shapeId="0" xr:uid="{2809355E-D378-4DE6-99A8-40AB02485093}">
      <text>
        <r>
          <rPr>
            <b/>
            <sz val="9"/>
            <color indexed="81"/>
            <rFont val="Tahoma"/>
            <family val="2"/>
          </rPr>
          <t>Author:</t>
        </r>
        <r>
          <rPr>
            <sz val="9"/>
            <color indexed="81"/>
            <rFont val="Tahoma"/>
            <family val="2"/>
          </rPr>
          <t xml:space="preserve">
AMT and TPM only</t>
        </r>
      </text>
    </comment>
    <comment ref="BL96"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6" authorId="0" shapeId="0" xr:uid="{4C72A67A-0A1A-4635-BCE3-3B107804FEB0}">
      <text>
        <r>
          <rPr>
            <b/>
            <sz val="9"/>
            <color indexed="81"/>
            <rFont val="Tahoma"/>
            <family val="2"/>
          </rPr>
          <t>Author:</t>
        </r>
        <r>
          <rPr>
            <sz val="9"/>
            <color indexed="81"/>
            <rFont val="Tahoma"/>
            <family val="2"/>
          </rPr>
          <t xml:space="preserve">
AMT and TPM only</t>
        </r>
      </text>
    </comment>
    <comment ref="BO96" authorId="0" shapeId="0" xr:uid="{EA6D9149-1854-44F2-94AA-B2EA8D7B4B59}">
      <text>
        <r>
          <rPr>
            <b/>
            <sz val="9"/>
            <color indexed="81"/>
            <rFont val="Tahoma"/>
            <family val="2"/>
          </rPr>
          <t>Author:</t>
        </r>
        <r>
          <rPr>
            <sz val="9"/>
            <color indexed="81"/>
            <rFont val="Tahoma"/>
            <family val="2"/>
          </rPr>
          <t xml:space="preserve">
AMT and TPM only</t>
        </r>
      </text>
    </comment>
    <comment ref="BQ96"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6" authorId="0" shapeId="0" xr:uid="{8710F31C-B80F-47C0-909A-9FB63A66CCEB}">
      <text>
        <r>
          <rPr>
            <b/>
            <sz val="9"/>
            <color indexed="81"/>
            <rFont val="Tahoma"/>
            <family val="2"/>
          </rPr>
          <t>Author:</t>
        </r>
        <r>
          <rPr>
            <sz val="9"/>
            <color indexed="81"/>
            <rFont val="Tahoma"/>
            <family val="2"/>
          </rPr>
          <t xml:space="preserve">
AMT and TPM only</t>
        </r>
      </text>
    </comment>
    <comment ref="AF97"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9"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9"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9"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9"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9"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9"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9"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9"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100" authorId="0" shapeId="0" xr:uid="{D832EEAB-DF75-4501-AB50-B452E1F63FC1}">
      <text>
        <r>
          <rPr>
            <b/>
            <sz val="9"/>
            <color indexed="81"/>
            <rFont val="Tahoma"/>
            <family val="2"/>
          </rPr>
          <t>Author:</t>
        </r>
        <r>
          <rPr>
            <sz val="9"/>
            <color indexed="81"/>
            <rFont val="Tahoma"/>
            <family val="2"/>
          </rPr>
          <t xml:space="preserve">
AMT only
</t>
        </r>
      </text>
    </comment>
    <comment ref="AT100" authorId="0" shapeId="0" xr:uid="{EB14FEDB-0AB9-461B-B0B9-8171B8D9AB0A}">
      <text>
        <r>
          <rPr>
            <b/>
            <sz val="9"/>
            <color indexed="81"/>
            <rFont val="Tahoma"/>
            <family val="2"/>
          </rPr>
          <t>Author:</t>
        </r>
        <r>
          <rPr>
            <sz val="9"/>
            <color indexed="81"/>
            <rFont val="Tahoma"/>
            <family val="2"/>
          </rPr>
          <t xml:space="preserve">
AMT only</t>
        </r>
      </text>
    </comment>
    <comment ref="AV100" authorId="0" shapeId="0" xr:uid="{DC92F0C2-A04E-4BC7-AEB2-B27AE4B6A0B2}">
      <text>
        <r>
          <rPr>
            <b/>
            <sz val="9"/>
            <color indexed="81"/>
            <rFont val="Tahoma"/>
            <family val="2"/>
          </rPr>
          <t>Author:</t>
        </r>
        <r>
          <rPr>
            <sz val="9"/>
            <color indexed="81"/>
            <rFont val="Tahoma"/>
            <family val="2"/>
          </rPr>
          <t xml:space="preserve">
AMT only
</t>
        </r>
      </text>
    </comment>
    <comment ref="AW100"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100" authorId="0" shapeId="0" xr:uid="{7A9F7A73-99E0-458B-9D93-D85FEB8EA52D}">
      <text>
        <r>
          <rPr>
            <b/>
            <sz val="9"/>
            <color indexed="81"/>
            <rFont val="Tahoma"/>
            <family val="2"/>
          </rPr>
          <t>Author:</t>
        </r>
        <r>
          <rPr>
            <sz val="9"/>
            <color indexed="81"/>
            <rFont val="Tahoma"/>
            <family val="2"/>
          </rPr>
          <t xml:space="preserve">
AMT only
</t>
        </r>
      </text>
    </comment>
    <comment ref="AY100" authorId="0" shapeId="0" xr:uid="{FD2E92BC-38AD-4958-8A8C-CC54227D9307}">
      <text>
        <r>
          <rPr>
            <b/>
            <sz val="9"/>
            <color indexed="81"/>
            <rFont val="Tahoma"/>
            <family val="2"/>
          </rPr>
          <t>Author:</t>
        </r>
        <r>
          <rPr>
            <sz val="9"/>
            <color indexed="81"/>
            <rFont val="Tahoma"/>
            <family val="2"/>
          </rPr>
          <t xml:space="preserve">
AMT only
</t>
        </r>
      </text>
    </comment>
    <comment ref="AZ100" authorId="0" shapeId="0" xr:uid="{06F8B739-611B-42AD-A296-40C0199E7E63}">
      <text>
        <r>
          <rPr>
            <b/>
            <sz val="9"/>
            <color indexed="81"/>
            <rFont val="Tahoma"/>
            <family val="2"/>
          </rPr>
          <t>Author:</t>
        </r>
        <r>
          <rPr>
            <sz val="9"/>
            <color indexed="81"/>
            <rFont val="Tahoma"/>
            <family val="2"/>
          </rPr>
          <t xml:space="preserve">
AMT only</t>
        </r>
      </text>
    </comment>
    <comment ref="BB100" authorId="0" shapeId="0" xr:uid="{B53187EB-0513-4D68-8D3D-387252AB75E6}">
      <text>
        <r>
          <rPr>
            <b/>
            <sz val="9"/>
            <color indexed="81"/>
            <rFont val="Tahoma"/>
            <family val="2"/>
          </rPr>
          <t>Author:</t>
        </r>
        <r>
          <rPr>
            <sz val="9"/>
            <color indexed="81"/>
            <rFont val="Tahoma"/>
            <family val="2"/>
          </rPr>
          <t xml:space="preserve">
AMT only</t>
        </r>
      </text>
    </comment>
    <comment ref="BD100" authorId="0" shapeId="0" xr:uid="{A3249709-6DA2-48C0-93DF-F0E9FC5AA122}">
      <text>
        <r>
          <rPr>
            <b/>
            <sz val="9"/>
            <color indexed="81"/>
            <rFont val="Tahoma"/>
            <family val="2"/>
          </rPr>
          <t>Author:</t>
        </r>
        <r>
          <rPr>
            <sz val="9"/>
            <color indexed="81"/>
            <rFont val="Tahoma"/>
            <family val="2"/>
          </rPr>
          <t xml:space="preserve">
AMT only
</t>
        </r>
      </text>
    </comment>
    <comment ref="BE100"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100" authorId="0" shapeId="0" xr:uid="{8699D429-BAA4-4E95-91CA-794E14ED5DD0}">
      <text>
        <r>
          <rPr>
            <b/>
            <sz val="9"/>
            <color indexed="81"/>
            <rFont val="Tahoma"/>
            <family val="2"/>
          </rPr>
          <t>Author:</t>
        </r>
        <r>
          <rPr>
            <sz val="9"/>
            <color indexed="81"/>
            <rFont val="Tahoma"/>
            <family val="2"/>
          </rPr>
          <t xml:space="preserve">
AMT only</t>
        </r>
      </text>
    </comment>
    <comment ref="BH100" authorId="0" shapeId="0" xr:uid="{18DD1FEE-3134-4BD0-98D5-7377FCBFC859}">
      <text>
        <r>
          <rPr>
            <b/>
            <sz val="9"/>
            <color indexed="81"/>
            <rFont val="Tahoma"/>
            <family val="2"/>
          </rPr>
          <t>Author:</t>
        </r>
        <r>
          <rPr>
            <sz val="9"/>
            <color indexed="81"/>
            <rFont val="Tahoma"/>
            <family val="2"/>
          </rPr>
          <t xml:space="preserve">
AMT only</t>
        </r>
      </text>
    </comment>
    <comment ref="BI100" authorId="0" shapeId="0" xr:uid="{EC282F5C-3126-4D9E-AA2E-1687454251EE}">
      <text>
        <r>
          <rPr>
            <b/>
            <sz val="9"/>
            <color indexed="81"/>
            <rFont val="Tahoma"/>
            <family val="2"/>
          </rPr>
          <t>Author:</t>
        </r>
        <r>
          <rPr>
            <sz val="9"/>
            <color indexed="81"/>
            <rFont val="Tahoma"/>
            <family val="2"/>
          </rPr>
          <t xml:space="preserve">
AMT only</t>
        </r>
      </text>
    </comment>
    <comment ref="BK100" authorId="0" shapeId="0" xr:uid="{63979348-CAA0-42B5-8FF4-C03A318A940A}">
      <text>
        <r>
          <rPr>
            <b/>
            <sz val="9"/>
            <color indexed="81"/>
            <rFont val="Tahoma"/>
            <family val="2"/>
          </rPr>
          <t>Author:</t>
        </r>
        <r>
          <rPr>
            <sz val="9"/>
            <color indexed="81"/>
            <rFont val="Tahoma"/>
            <family val="2"/>
          </rPr>
          <t xml:space="preserve">
AMT only
</t>
        </r>
      </text>
    </comment>
    <comment ref="BL100"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100" authorId="0" shapeId="0" xr:uid="{61832EAC-9A98-4A42-956F-D0C528769B49}">
      <text>
        <r>
          <rPr>
            <b/>
            <sz val="9"/>
            <color indexed="81"/>
            <rFont val="Tahoma"/>
            <family val="2"/>
          </rPr>
          <t>Author:</t>
        </r>
        <r>
          <rPr>
            <sz val="9"/>
            <color indexed="81"/>
            <rFont val="Tahoma"/>
            <family val="2"/>
          </rPr>
          <t xml:space="preserve">
AMT only</t>
        </r>
      </text>
    </comment>
    <comment ref="BO100" authorId="0" shapeId="0" xr:uid="{BD2EFD36-BC8D-4B0E-8A39-6B446989D756}">
      <text>
        <r>
          <rPr>
            <b/>
            <sz val="9"/>
            <color indexed="81"/>
            <rFont val="Tahoma"/>
            <family val="2"/>
          </rPr>
          <t>Author:</t>
        </r>
        <r>
          <rPr>
            <sz val="9"/>
            <color indexed="81"/>
            <rFont val="Tahoma"/>
            <family val="2"/>
          </rPr>
          <t xml:space="preserve">
AMT only
</t>
        </r>
      </text>
    </comment>
    <comment ref="BQ100"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100" authorId="0" shapeId="0" xr:uid="{5EF19754-8C7B-4092-93F4-F304FE3672CD}">
      <text>
        <r>
          <rPr>
            <b/>
            <sz val="9"/>
            <color indexed="81"/>
            <rFont val="Tahoma"/>
            <family val="2"/>
          </rPr>
          <t>Author:</t>
        </r>
        <r>
          <rPr>
            <sz val="9"/>
            <color indexed="81"/>
            <rFont val="Tahoma"/>
            <family val="2"/>
          </rPr>
          <t xml:space="preserve">
AMT only
</t>
        </r>
      </text>
    </comment>
    <comment ref="C101"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2"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2"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4" authorId="0" shapeId="0" xr:uid="{C6B0221C-665D-426D-B4B4-C86581FB904A}">
      <text>
        <r>
          <rPr>
            <b/>
            <sz val="9"/>
            <color indexed="81"/>
            <rFont val="Tahoma"/>
            <family val="2"/>
          </rPr>
          <t>Author:</t>
        </r>
        <r>
          <rPr>
            <sz val="9"/>
            <color indexed="81"/>
            <rFont val="Tahoma"/>
            <family val="2"/>
          </rPr>
          <t xml:space="preserve">
Keep, but can be no ECO</t>
        </r>
      </text>
    </comment>
    <comment ref="AU10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4" authorId="0" shapeId="0" xr:uid="{422BB42C-6257-4958-92CC-0E8778AB526C}">
      <text>
        <r>
          <rPr>
            <b/>
            <sz val="9"/>
            <color indexed="81"/>
            <rFont val="Tahoma"/>
            <family val="2"/>
          </rPr>
          <t>Author:</t>
        </r>
        <r>
          <rPr>
            <sz val="9"/>
            <color indexed="81"/>
            <rFont val="Tahoma"/>
            <family val="2"/>
          </rPr>
          <t xml:space="preserve">
Keep, but can be no ECO</t>
        </r>
      </text>
    </comment>
    <comment ref="BJ104" authorId="0" shapeId="0" xr:uid="{03ABAF06-9F3D-4E0C-80AB-AB4B8628B42A}">
      <text>
        <r>
          <rPr>
            <b/>
            <sz val="9"/>
            <color indexed="81"/>
            <rFont val="Tahoma"/>
            <family val="2"/>
          </rPr>
          <t>Author:</t>
        </r>
        <r>
          <rPr>
            <sz val="9"/>
            <color indexed="81"/>
            <rFont val="Tahoma"/>
            <family val="2"/>
          </rPr>
          <t xml:space="preserve">
Keep, but can be no ECO</t>
        </r>
      </text>
    </comment>
    <comment ref="BP104" authorId="0" shapeId="0" xr:uid="{05515F46-5511-4139-80C3-8A78D357018E}">
      <text>
        <r>
          <rPr>
            <b/>
            <sz val="9"/>
            <color indexed="81"/>
            <rFont val="Tahoma"/>
            <family val="2"/>
          </rPr>
          <t>Author:</t>
        </r>
        <r>
          <rPr>
            <sz val="9"/>
            <color indexed="81"/>
            <rFont val="Tahoma"/>
            <family val="2"/>
          </rPr>
          <t xml:space="preserve">
Keep, but can be no ECO</t>
        </r>
      </text>
    </comment>
    <comment ref="BR104" authorId="0" shapeId="0" xr:uid="{4E903476-C404-4F9A-A191-191D60589CC6}">
      <text>
        <r>
          <rPr>
            <b/>
            <sz val="9"/>
            <color indexed="81"/>
            <rFont val="Tahoma"/>
            <family val="2"/>
          </rPr>
          <t>Author:</t>
        </r>
        <r>
          <rPr>
            <sz val="9"/>
            <color indexed="81"/>
            <rFont val="Tahoma"/>
            <family val="2"/>
          </rPr>
          <t xml:space="preserve">
Keep, but can be no ECO</t>
        </r>
      </text>
    </comment>
    <comment ref="W10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5"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5"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6"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6" authorId="0" shapeId="0" xr:uid="{30C64769-4BF5-4EAA-8D2C-8DFDFA0A73FC}">
      <text>
        <r>
          <rPr>
            <b/>
            <sz val="9"/>
            <color indexed="81"/>
            <rFont val="Tahoma"/>
            <family val="2"/>
          </rPr>
          <t>Author:</t>
        </r>
        <r>
          <rPr>
            <sz val="9"/>
            <color indexed="81"/>
            <rFont val="Tahoma"/>
            <family val="2"/>
          </rPr>
          <t xml:space="preserve">
Back up for GSC
</t>
        </r>
      </text>
    </comment>
    <comment ref="AS10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6"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6"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6"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6"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6"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6"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6"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P106"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Q106"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6" authorId="0" shapeId="0" xr:uid="{1A9DA14D-200B-466E-A40F-35C51212522E}">
      <text>
        <r>
          <rPr>
            <b/>
            <sz val="9"/>
            <color indexed="81"/>
            <rFont val="Tahoma"/>
            <family val="2"/>
          </rPr>
          <t>Author:</t>
        </r>
        <r>
          <rPr>
            <sz val="9"/>
            <color indexed="81"/>
            <rFont val="Tahoma"/>
            <family val="2"/>
          </rPr>
          <t xml:space="preserve">
Back up for GSC
</t>
        </r>
      </text>
    </comment>
    <comment ref="BS106"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7"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7"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7"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7"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Q107"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8"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8"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8"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8"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8"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9" authorId="0" shapeId="0" xr:uid="{00000000-0006-0000-0100-000054000000}">
      <text>
        <r>
          <rPr>
            <sz val="9"/>
            <color indexed="81"/>
            <rFont val="Tahoma"/>
            <family val="2"/>
          </rPr>
          <t xml:space="preserve">“The #128bit slot inlcude slot0/1 which are reserved and cannot be used by FW for other purposes.”
</t>
        </r>
      </text>
    </comment>
    <comment ref="M109"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9"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9"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9"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9"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9"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9"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9"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9"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9"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9" authorId="0" shapeId="0" xr:uid="{A88A6CCA-320E-45A0-BA9E-2ECD7993608A}">
      <text>
        <r>
          <rPr>
            <sz val="9"/>
            <color indexed="81"/>
            <rFont val="Tahoma"/>
            <family val="2"/>
          </rPr>
          <t>Slot 0 - 128 bits (reserved and not counted in cell value)
Slots 1-30 – 256 bits
Slots 31-34 – 128 bits
Slots 35-46 – 384 bits</t>
        </r>
      </text>
    </comment>
    <comment ref="BP109" authorId="0" shapeId="0" xr:uid="{CC2F7A70-3677-4095-99E0-C49C651E54B4}">
      <text>
        <r>
          <rPr>
            <sz val="9"/>
            <color indexed="81"/>
            <rFont val="Tahoma"/>
            <family val="2"/>
          </rPr>
          <t>Slot 0 - 128 bits (reserved and not counted in cell value)
Slots 1-30 – 256 bits
Slots 31-34 – 128 bits
Slots 35-46 – 384 bits</t>
        </r>
      </text>
    </comment>
    <comment ref="BQ109"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10"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3"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3"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P11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R113"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3"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8"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2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2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2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20"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20"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2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P12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3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3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3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3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3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3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3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3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3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3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3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3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3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3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3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3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3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31"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31"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31"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3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31"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5" authorId="0" shapeId="0" xr:uid="{F5E9D884-638E-4792-B524-33ED0FCC964F}">
      <text>
        <r>
          <rPr>
            <sz val="9"/>
            <color indexed="81"/>
            <rFont val="Tahoma"/>
            <family val="2"/>
          </rPr>
          <t>10 June 2021 sianglin:
same as ESE:
LNL.OSSE:
1. send PCIE_Error SB message
2. drive wire (not used)
3. HECI interrupt</t>
        </r>
      </text>
    </comment>
    <comment ref="BG13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5"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5"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5" authorId="0" shapeId="0" xr:uid="{7A42748F-A21C-4A87-86FE-18AF2D2EAB83}">
      <text>
        <r>
          <rPr>
            <sz val="9"/>
            <color indexed="81"/>
            <rFont val="Tahoma"/>
            <family val="2"/>
          </rPr>
          <t>10 June 2021 sianglin:
same as ESE:
LNL.OSSE:
1. send PCIE_Error SB message
2. drive wire (not used)
3. HECI interrupt</t>
        </r>
      </text>
    </comment>
    <comment ref="BO135"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P135"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Q135" authorId="0" shapeId="0" xr:uid="{81E02778-CFD0-4426-8316-0182156FE442}">
      <text>
        <r>
          <rPr>
            <sz val="9"/>
            <color indexed="81"/>
            <rFont val="Tahoma"/>
            <family val="2"/>
          </rPr>
          <t>10 June 2021 sianglin:
same as ESE:
LNL.OSSE:
1. send PCIE_Error SB message
2. drive wire (not used)
3. HECI interrupt</t>
        </r>
      </text>
    </comment>
    <comment ref="C13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6"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6"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6"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6" authorId="0" shapeId="0" xr:uid="{3E6EF6DD-4CA2-42EB-8C9E-8696CF764F1B}">
      <text>
        <r>
          <rPr>
            <b/>
            <sz val="9"/>
            <color indexed="81"/>
            <rFont val="Tahoma"/>
            <family val="2"/>
          </rPr>
          <t xml:space="preserve">Author:
</t>
        </r>
        <r>
          <rPr>
            <sz val="9"/>
            <color indexed="81"/>
            <rFont val="Tahoma"/>
            <family val="2"/>
          </rPr>
          <t xml:space="preserve">
FTPM_DISABLE=1</t>
        </r>
      </text>
    </comment>
    <comment ref="BQ13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6"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7" authorId="0" shapeId="0" xr:uid="{724ABB2A-D4FC-41E4-B5C3-A570D38DE545}">
      <text>
        <r>
          <rPr>
            <b/>
            <sz val="9"/>
            <color indexed="81"/>
            <rFont val="Tahoma"/>
            <family val="2"/>
          </rPr>
          <t>Author:</t>
        </r>
        <r>
          <rPr>
            <sz val="9"/>
            <color indexed="81"/>
            <rFont val="Tahoma"/>
            <family val="2"/>
          </rPr>
          <t xml:space="preserve">
FTPM_DISABLE=1</t>
        </r>
      </text>
    </comment>
    <comment ref="AT137" authorId="0" shapeId="0" xr:uid="{AAFEE00F-4B7C-4A0B-8F67-91277C827231}">
      <text>
        <r>
          <rPr>
            <b/>
            <sz val="9"/>
            <color indexed="81"/>
            <rFont val="Tahoma"/>
            <family val="2"/>
          </rPr>
          <t>Author:</t>
        </r>
        <r>
          <rPr>
            <sz val="9"/>
            <color indexed="81"/>
            <rFont val="Tahoma"/>
            <family val="2"/>
          </rPr>
          <t xml:space="preserve">
FTPM_DISABLE=1</t>
        </r>
      </text>
    </comment>
    <comment ref="AV137" authorId="0" shapeId="0" xr:uid="{D5371E34-2B76-4ACD-938E-0E691C3FD5B8}">
      <text>
        <r>
          <rPr>
            <b/>
            <sz val="9"/>
            <color indexed="81"/>
            <rFont val="Tahoma"/>
            <family val="2"/>
          </rPr>
          <t>Author:</t>
        </r>
        <r>
          <rPr>
            <sz val="9"/>
            <color indexed="81"/>
            <rFont val="Tahoma"/>
            <family val="2"/>
          </rPr>
          <t xml:space="preserve">
FTPM_DISABLE=1</t>
        </r>
      </text>
    </comment>
    <comment ref="AX137" authorId="0" shapeId="0" xr:uid="{BF365A3B-393B-44AB-B2F0-3611D57A374A}">
      <text>
        <r>
          <rPr>
            <b/>
            <sz val="9"/>
            <color indexed="81"/>
            <rFont val="Tahoma"/>
            <family val="2"/>
          </rPr>
          <t>Author:</t>
        </r>
        <r>
          <rPr>
            <sz val="9"/>
            <color indexed="81"/>
            <rFont val="Tahoma"/>
            <family val="2"/>
          </rPr>
          <t xml:space="preserve">
FTPM_DISABLE=1</t>
        </r>
      </text>
    </comment>
    <comment ref="AY137" authorId="0" shapeId="0" xr:uid="{6DC10534-D0F1-44E7-B924-D2CE40FAEB56}">
      <text>
        <r>
          <rPr>
            <b/>
            <sz val="9"/>
            <color indexed="81"/>
            <rFont val="Tahoma"/>
            <family val="2"/>
          </rPr>
          <t>Author:</t>
        </r>
        <r>
          <rPr>
            <sz val="9"/>
            <color indexed="81"/>
            <rFont val="Tahoma"/>
            <family val="2"/>
          </rPr>
          <t xml:space="preserve">
FTPM_DISABLE=1</t>
        </r>
      </text>
    </comment>
    <comment ref="AZ137" authorId="0" shapeId="0" xr:uid="{A8948C57-54A6-4458-8CCE-053AEF651EED}">
      <text>
        <r>
          <rPr>
            <b/>
            <sz val="9"/>
            <color indexed="81"/>
            <rFont val="Tahoma"/>
            <family val="2"/>
          </rPr>
          <t>Author:</t>
        </r>
        <r>
          <rPr>
            <sz val="9"/>
            <color indexed="81"/>
            <rFont val="Tahoma"/>
            <family val="2"/>
          </rPr>
          <t xml:space="preserve">
FTPM_DISABLE=1</t>
        </r>
      </text>
    </comment>
    <comment ref="BB137" authorId="0" shapeId="0" xr:uid="{6137B1DE-66CA-4ABC-AA46-CE0C12EC209D}">
      <text>
        <r>
          <rPr>
            <b/>
            <sz val="9"/>
            <color indexed="81"/>
            <rFont val="Tahoma"/>
            <family val="2"/>
          </rPr>
          <t>Author:</t>
        </r>
        <r>
          <rPr>
            <sz val="9"/>
            <color indexed="81"/>
            <rFont val="Tahoma"/>
            <family val="2"/>
          </rPr>
          <t xml:space="preserve">
FTPM_DISABLE=1</t>
        </r>
      </text>
    </comment>
    <comment ref="BD137" authorId="0" shapeId="0" xr:uid="{2C0D6EFC-3626-4214-B4E5-330CE3D7AD83}">
      <text>
        <r>
          <rPr>
            <b/>
            <sz val="9"/>
            <color indexed="81"/>
            <rFont val="Tahoma"/>
            <family val="2"/>
          </rPr>
          <t>Author:</t>
        </r>
        <r>
          <rPr>
            <sz val="9"/>
            <color indexed="81"/>
            <rFont val="Tahoma"/>
            <family val="2"/>
          </rPr>
          <t xml:space="preserve">
FTPM_DISABLE=1</t>
        </r>
      </text>
    </comment>
    <comment ref="BF137" authorId="0" shapeId="0" xr:uid="{4D980022-8472-47EA-BCCE-D97226FB2484}">
      <text>
        <r>
          <rPr>
            <b/>
            <sz val="9"/>
            <color indexed="81"/>
            <rFont val="Tahoma"/>
            <family val="2"/>
          </rPr>
          <t>Author:</t>
        </r>
        <r>
          <rPr>
            <sz val="9"/>
            <color indexed="81"/>
            <rFont val="Tahoma"/>
            <family val="2"/>
          </rPr>
          <t xml:space="preserve">
FTPM_DISABLE=1</t>
        </r>
      </text>
    </comment>
    <comment ref="BH137" authorId="0" shapeId="0" xr:uid="{42EC86BD-5134-4C89-B014-46267ABAF875}">
      <text>
        <r>
          <rPr>
            <b/>
            <sz val="9"/>
            <color indexed="81"/>
            <rFont val="Tahoma"/>
            <family val="2"/>
          </rPr>
          <t>Author:</t>
        </r>
        <r>
          <rPr>
            <sz val="9"/>
            <color indexed="81"/>
            <rFont val="Tahoma"/>
            <family val="2"/>
          </rPr>
          <t xml:space="preserve">
FTPM_DISABLE=1</t>
        </r>
      </text>
    </comment>
    <comment ref="BK137" authorId="0" shapeId="0" xr:uid="{B7CD1CA8-7A54-490C-8ABB-ABCC0E72559B}">
      <text>
        <r>
          <rPr>
            <b/>
            <sz val="9"/>
            <color indexed="81"/>
            <rFont val="Tahoma"/>
            <family val="2"/>
          </rPr>
          <t>Author:</t>
        </r>
        <r>
          <rPr>
            <sz val="9"/>
            <color indexed="81"/>
            <rFont val="Tahoma"/>
            <family val="2"/>
          </rPr>
          <t xml:space="preserve">
FTPM_DISABLE=1</t>
        </r>
      </text>
    </comment>
    <comment ref="BM137" authorId="0" shapeId="0" xr:uid="{2FEA3156-CD2D-478B-9940-09C04108EB6C}">
      <text>
        <r>
          <rPr>
            <b/>
            <sz val="9"/>
            <color indexed="81"/>
            <rFont val="Tahoma"/>
            <family val="2"/>
          </rPr>
          <t>Author:</t>
        </r>
        <r>
          <rPr>
            <sz val="9"/>
            <color indexed="81"/>
            <rFont val="Tahoma"/>
            <family val="2"/>
          </rPr>
          <t xml:space="preserve">
FTPM_DISABLE=1</t>
        </r>
      </text>
    </comment>
    <comment ref="BO137" authorId="0" shapeId="0" xr:uid="{FE53574B-08F0-4A4B-B7BD-883A7382A275}">
      <text>
        <r>
          <rPr>
            <b/>
            <sz val="9"/>
            <color indexed="81"/>
            <rFont val="Tahoma"/>
            <family val="2"/>
          </rPr>
          <t>Author:</t>
        </r>
        <r>
          <rPr>
            <sz val="9"/>
            <color indexed="81"/>
            <rFont val="Tahoma"/>
            <family val="2"/>
          </rPr>
          <t xml:space="preserve">
FTPM_DISABLE=1</t>
        </r>
      </text>
    </comment>
    <comment ref="BS137" authorId="0" shapeId="0" xr:uid="{7AE21B4F-7F35-4B65-892B-2196AFAE4101}">
      <text>
        <r>
          <rPr>
            <b/>
            <sz val="9"/>
            <color indexed="81"/>
            <rFont val="Tahoma"/>
            <family val="2"/>
          </rPr>
          <t>Author:</t>
        </r>
        <r>
          <rPr>
            <sz val="9"/>
            <color indexed="81"/>
            <rFont val="Tahoma"/>
            <family val="2"/>
          </rPr>
          <t xml:space="preserve">
FTPM_DISABLE=1</t>
        </r>
      </text>
    </comment>
    <comment ref="C13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8" authorId="0" shapeId="0" xr:uid="{2569165A-DED6-45B0-B2D9-8181AAFCEB22}">
      <text>
        <r>
          <rPr>
            <b/>
            <sz val="9"/>
            <color indexed="81"/>
            <rFont val="Tahoma"/>
            <family val="2"/>
          </rPr>
          <t>Author:</t>
        </r>
        <r>
          <rPr>
            <sz val="9"/>
            <color indexed="81"/>
            <rFont val="Tahoma"/>
            <family val="2"/>
          </rPr>
          <t xml:space="preserve">
FTPM_DISABLE=1</t>
        </r>
      </text>
    </comment>
    <comment ref="AT138" authorId="0" shapeId="0" xr:uid="{69000CA2-4BC7-4D3D-965B-ED35B1D22174}">
      <text>
        <r>
          <rPr>
            <b/>
            <sz val="9"/>
            <color indexed="81"/>
            <rFont val="Tahoma"/>
            <family val="2"/>
          </rPr>
          <t>Author:</t>
        </r>
        <r>
          <rPr>
            <sz val="9"/>
            <color indexed="81"/>
            <rFont val="Tahoma"/>
            <family val="2"/>
          </rPr>
          <t xml:space="preserve">
FTPM_DISABLE=1</t>
        </r>
      </text>
    </comment>
    <comment ref="AU13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8" authorId="0" shapeId="0" xr:uid="{DB434571-97A1-4483-AA61-3E3F3AA8E6ED}">
      <text>
        <r>
          <rPr>
            <b/>
            <sz val="9"/>
            <color indexed="81"/>
            <rFont val="Tahoma"/>
            <family val="2"/>
          </rPr>
          <t>Author:</t>
        </r>
        <r>
          <rPr>
            <sz val="9"/>
            <color indexed="81"/>
            <rFont val="Tahoma"/>
            <family val="2"/>
          </rPr>
          <t xml:space="preserve">
FTPM_DISABLE=1</t>
        </r>
      </text>
    </comment>
    <comment ref="AX138" authorId="0" shapeId="0" xr:uid="{BC422A22-9226-4ADE-B1BB-48FEB251C4E5}">
      <text>
        <r>
          <rPr>
            <b/>
            <sz val="9"/>
            <color indexed="81"/>
            <rFont val="Tahoma"/>
            <family val="2"/>
          </rPr>
          <t>Author:</t>
        </r>
        <r>
          <rPr>
            <sz val="9"/>
            <color indexed="81"/>
            <rFont val="Tahoma"/>
            <family val="2"/>
          </rPr>
          <t xml:space="preserve">
FTPM_DISABLE=1</t>
        </r>
      </text>
    </comment>
    <comment ref="AY138" authorId="0" shapeId="0" xr:uid="{899F6571-6C72-41E3-9805-1CF7681E1A61}">
      <text>
        <r>
          <rPr>
            <b/>
            <sz val="9"/>
            <color indexed="81"/>
            <rFont val="Tahoma"/>
            <family val="2"/>
          </rPr>
          <t>Author:</t>
        </r>
        <r>
          <rPr>
            <sz val="9"/>
            <color indexed="81"/>
            <rFont val="Tahoma"/>
            <family val="2"/>
          </rPr>
          <t xml:space="preserve">
FTPM_DISABLE=1</t>
        </r>
      </text>
    </comment>
    <comment ref="AZ138" authorId="0" shapeId="0" xr:uid="{DAB0A6D7-72DE-4616-9921-B96F2D4778B6}">
      <text>
        <r>
          <rPr>
            <b/>
            <sz val="9"/>
            <color indexed="81"/>
            <rFont val="Tahoma"/>
            <family val="2"/>
          </rPr>
          <t>Author:</t>
        </r>
        <r>
          <rPr>
            <sz val="9"/>
            <color indexed="81"/>
            <rFont val="Tahoma"/>
            <family val="2"/>
          </rPr>
          <t xml:space="preserve">
FTPM_DISABLE=1</t>
        </r>
      </text>
    </comment>
    <comment ref="BB138" authorId="0" shapeId="0" xr:uid="{F35AA61A-C4D3-492B-ACEC-C2C03F42865A}">
      <text>
        <r>
          <rPr>
            <b/>
            <sz val="9"/>
            <color indexed="81"/>
            <rFont val="Tahoma"/>
            <family val="2"/>
          </rPr>
          <t>Author:</t>
        </r>
        <r>
          <rPr>
            <sz val="9"/>
            <color indexed="81"/>
            <rFont val="Tahoma"/>
            <family val="2"/>
          </rPr>
          <t xml:space="preserve">
FTPM_DISABLE=1</t>
        </r>
      </text>
    </comment>
    <comment ref="BD138" authorId="0" shapeId="0" xr:uid="{9875510D-1C18-4E09-BD45-0C3FF08D8AE9}">
      <text>
        <r>
          <rPr>
            <b/>
            <sz val="9"/>
            <color indexed="81"/>
            <rFont val="Tahoma"/>
            <family val="2"/>
          </rPr>
          <t>Author:</t>
        </r>
        <r>
          <rPr>
            <sz val="9"/>
            <color indexed="81"/>
            <rFont val="Tahoma"/>
            <family val="2"/>
          </rPr>
          <t xml:space="preserve">
FTPM_DISABLE=1</t>
        </r>
      </text>
    </comment>
    <comment ref="BF138" authorId="0" shapeId="0" xr:uid="{9A156446-60E7-4E51-B4A8-B0A706B1B32B}">
      <text>
        <r>
          <rPr>
            <b/>
            <sz val="9"/>
            <color indexed="81"/>
            <rFont val="Tahoma"/>
            <family val="2"/>
          </rPr>
          <t>Author:</t>
        </r>
        <r>
          <rPr>
            <sz val="9"/>
            <color indexed="81"/>
            <rFont val="Tahoma"/>
            <family val="2"/>
          </rPr>
          <t xml:space="preserve">
FTPM_DISABLE=1</t>
        </r>
      </text>
    </comment>
    <comment ref="BH138" authorId="0" shapeId="0" xr:uid="{66EA7059-F246-43A6-8292-18D7529C8C26}">
      <text>
        <r>
          <rPr>
            <b/>
            <sz val="9"/>
            <color indexed="81"/>
            <rFont val="Tahoma"/>
            <family val="2"/>
          </rPr>
          <t>Author:</t>
        </r>
        <r>
          <rPr>
            <sz val="9"/>
            <color indexed="81"/>
            <rFont val="Tahoma"/>
            <family val="2"/>
          </rPr>
          <t xml:space="preserve">
FTPM_DISABLE=1</t>
        </r>
      </text>
    </comment>
    <comment ref="BM138" authorId="0" shapeId="0" xr:uid="{8929DFD8-76D4-43DD-B876-94055F5356C9}">
      <text>
        <r>
          <rPr>
            <b/>
            <sz val="9"/>
            <color indexed="81"/>
            <rFont val="Tahoma"/>
            <family val="2"/>
          </rPr>
          <t>Author:</t>
        </r>
        <r>
          <rPr>
            <sz val="9"/>
            <color indexed="81"/>
            <rFont val="Tahoma"/>
            <family val="2"/>
          </rPr>
          <t xml:space="preserve">
FTPM_DISABLE=1</t>
        </r>
      </text>
    </comment>
    <comment ref="BO138" authorId="0" shapeId="0" xr:uid="{C7345CD1-1CD5-4CAA-996A-40A3E9EA1B48}">
      <text>
        <r>
          <rPr>
            <b/>
            <sz val="9"/>
            <color indexed="81"/>
            <rFont val="Tahoma"/>
            <family val="2"/>
          </rPr>
          <t>Author:</t>
        </r>
        <r>
          <rPr>
            <sz val="9"/>
            <color indexed="81"/>
            <rFont val="Tahoma"/>
            <family val="2"/>
          </rPr>
          <t xml:space="preserve">
FTPM_DISABLE=1</t>
        </r>
      </text>
    </comment>
    <comment ref="BS138" authorId="0" shapeId="0" xr:uid="{5CE849C4-86E9-4AA8-959F-71519A196BDC}">
      <text>
        <r>
          <rPr>
            <b/>
            <sz val="9"/>
            <color indexed="81"/>
            <rFont val="Tahoma"/>
            <family val="2"/>
          </rPr>
          <t>Author:</t>
        </r>
        <r>
          <rPr>
            <sz val="9"/>
            <color indexed="81"/>
            <rFont val="Tahoma"/>
            <family val="2"/>
          </rPr>
          <t xml:space="preserve">
FTPM_DISABLE=1</t>
        </r>
      </text>
    </comment>
    <comment ref="C13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4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4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4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4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4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4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0" authorId="0" shapeId="0" xr:uid="{F1D32511-D080-4D70-B655-80C30F46EC85}">
      <text>
        <r>
          <rPr>
            <sz val="9"/>
            <color indexed="81"/>
            <rFont val="Tahoma"/>
            <family val="2"/>
          </rPr>
          <t>17 June 2021 sianglin
same as ESE. This feature is not needed. But no knob to disable it</t>
        </r>
      </text>
    </comment>
    <comment ref="BF14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40"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0" authorId="0" shapeId="0" xr:uid="{FD1F708A-2C64-4356-A9D0-5E9639CD776F}">
      <text>
        <r>
          <rPr>
            <sz val="9"/>
            <color indexed="81"/>
            <rFont val="Tahoma"/>
            <family val="2"/>
          </rPr>
          <t>10 March 2022 sianglin
same as ESE. This feature is not needed. But no knob to disable it</t>
        </r>
      </text>
    </comment>
    <comment ref="BM140"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Q140" authorId="0" shapeId="0" xr:uid="{31F512EB-5CD4-497E-9DE8-C45A44141E0F}">
      <text>
        <r>
          <rPr>
            <sz val="9"/>
            <color indexed="81"/>
            <rFont val="Tahoma"/>
            <family val="2"/>
          </rPr>
          <t>17 June 2021 sianglin
same as ESE. This feature is not needed. But no knob to disable it</t>
        </r>
      </text>
    </comment>
    <comment ref="BR140"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40"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41" authorId="0" shapeId="0" xr:uid="{00000000-0006-0000-0100-000069000000}">
      <text>
        <r>
          <rPr>
            <b/>
            <sz val="9"/>
            <color indexed="81"/>
            <rFont val="Tahoma"/>
            <family val="2"/>
          </rPr>
          <t>Author:</t>
        </r>
        <r>
          <rPr>
            <sz val="9"/>
            <color indexed="81"/>
            <rFont val="Tahoma"/>
            <family val="2"/>
          </rPr>
          <t xml:space="preserve">
* For AnC</t>
        </r>
      </text>
    </comment>
    <comment ref="X14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41" authorId="0" shapeId="0" xr:uid="{00000000-0006-0000-0100-00006B000000}">
      <text>
        <r>
          <rPr>
            <b/>
            <sz val="9"/>
            <color indexed="81"/>
            <rFont val="Tahoma"/>
            <family val="2"/>
          </rPr>
          <t>Author:</t>
        </r>
        <r>
          <rPr>
            <sz val="9"/>
            <color indexed="81"/>
            <rFont val="Tahoma"/>
            <family val="2"/>
          </rPr>
          <t xml:space="preserve">
* For AnC</t>
        </r>
      </text>
    </comment>
    <comment ref="AG141" authorId="0" shapeId="0" xr:uid="{00000000-0006-0000-0100-00006C000000}">
      <text>
        <r>
          <rPr>
            <b/>
            <sz val="9"/>
            <color indexed="81"/>
            <rFont val="Tahoma"/>
            <family val="2"/>
          </rPr>
          <t>Author:</t>
        </r>
        <r>
          <rPr>
            <sz val="9"/>
            <color indexed="81"/>
            <rFont val="Tahoma"/>
            <family val="2"/>
          </rPr>
          <t xml:space="preserve">
* For AnC</t>
        </r>
      </text>
    </comment>
    <comment ref="AS14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1" authorId="0" shapeId="0" xr:uid="{2B9CFA42-E2ED-4B9C-A795-5CD783428F79}">
      <text>
        <r>
          <rPr>
            <sz val="9"/>
            <color indexed="81"/>
            <rFont val="Tahoma"/>
            <family val="2"/>
          </rPr>
          <t>17 June 2021 sianglin
same as CSME. This feature is not needed. But no knob to disable it</t>
        </r>
      </text>
    </comment>
    <comment ref="BF14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1"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1" authorId="0" shapeId="0" xr:uid="{27E86428-54B9-4B84-93EE-0F6CC03F1541}">
      <text>
        <r>
          <rPr>
            <sz val="9"/>
            <color indexed="81"/>
            <rFont val="Tahoma"/>
            <family val="2"/>
          </rPr>
          <t>10 March 2022 sianglin
same as CSME. This feature is not needed. But no knob to disable it</t>
        </r>
      </text>
    </comment>
    <comment ref="BM141"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1"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41" authorId="0" shapeId="0" xr:uid="{6FA84392-31D3-46F4-AD7D-E694833A218F}">
      <text>
        <r>
          <rPr>
            <sz val="9"/>
            <color indexed="81"/>
            <rFont val="Tahoma"/>
            <family val="2"/>
          </rPr>
          <t>17 June 2021 sianglin
same as CSME. This feature is not needed. But no knob to disable it</t>
        </r>
      </text>
    </comment>
    <comment ref="BS141"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2" authorId="0" shapeId="0" xr:uid="{00000000-0006-0000-0100-00006E000000}">
      <text>
        <r>
          <rPr>
            <b/>
            <sz val="9"/>
            <color indexed="81"/>
            <rFont val="Tahoma"/>
            <family val="2"/>
          </rPr>
          <t>Author:</t>
        </r>
        <r>
          <rPr>
            <sz val="9"/>
            <color indexed="81"/>
            <rFont val="Tahoma"/>
            <family val="2"/>
          </rPr>
          <t xml:space="preserve">
** For IE verified boot</t>
        </r>
      </text>
    </comment>
    <comment ref="AS14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2"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S142"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3" authorId="0" shapeId="0" xr:uid="{365D230A-3656-4C20-8951-D84A3DDCCBA1}">
      <text>
        <r>
          <rPr>
            <b/>
            <sz val="9"/>
            <color indexed="81"/>
            <rFont val="Tahoma"/>
            <family val="2"/>
          </rPr>
          <t>Author:</t>
        </r>
        <r>
          <rPr>
            <sz val="9"/>
            <color indexed="81"/>
            <rFont val="Tahoma"/>
            <family val="2"/>
          </rPr>
          <t xml:space="preserve">
SE_DISABLE=1</t>
        </r>
      </text>
    </comment>
    <comment ref="AT143" authorId="0" shapeId="0" xr:uid="{EFCAEAC5-A383-4A1D-96E3-E43B67478312}">
      <text>
        <r>
          <rPr>
            <b/>
            <sz val="9"/>
            <color indexed="81"/>
            <rFont val="Tahoma"/>
            <family val="2"/>
          </rPr>
          <t>Author:</t>
        </r>
        <r>
          <rPr>
            <sz val="9"/>
            <color indexed="81"/>
            <rFont val="Tahoma"/>
            <family val="2"/>
          </rPr>
          <t xml:space="preserve">
SE_DISABLE=1</t>
        </r>
      </text>
    </comment>
    <comment ref="AV143" authorId="0" shapeId="0" xr:uid="{9B6D6264-C87D-42FF-8093-29B671380B63}">
      <text>
        <r>
          <rPr>
            <b/>
            <sz val="9"/>
            <color indexed="81"/>
            <rFont val="Tahoma"/>
            <family val="2"/>
          </rPr>
          <t>Author:</t>
        </r>
        <r>
          <rPr>
            <sz val="9"/>
            <color indexed="81"/>
            <rFont val="Tahoma"/>
            <family val="2"/>
          </rPr>
          <t xml:space="preserve">
SE_DISABLE=1</t>
        </r>
      </text>
    </comment>
    <comment ref="AX143" authorId="0" shapeId="0" xr:uid="{D154FA3E-157F-4971-BE2E-C430705F39E4}">
      <text>
        <r>
          <rPr>
            <b/>
            <sz val="9"/>
            <color indexed="81"/>
            <rFont val="Tahoma"/>
            <family val="2"/>
          </rPr>
          <t>Author:</t>
        </r>
        <r>
          <rPr>
            <sz val="9"/>
            <color indexed="81"/>
            <rFont val="Tahoma"/>
            <family val="2"/>
          </rPr>
          <t xml:space="preserve">
SE_DISABLE=1</t>
        </r>
      </text>
    </comment>
    <comment ref="AY143" authorId="0" shapeId="0" xr:uid="{F2B9315C-2EDF-4CCC-818E-A748B5486D44}">
      <text>
        <r>
          <rPr>
            <b/>
            <sz val="9"/>
            <color indexed="81"/>
            <rFont val="Tahoma"/>
            <family val="2"/>
          </rPr>
          <t>Author:</t>
        </r>
        <r>
          <rPr>
            <sz val="9"/>
            <color indexed="81"/>
            <rFont val="Tahoma"/>
            <family val="2"/>
          </rPr>
          <t xml:space="preserve">
SE_DISABLE=1</t>
        </r>
      </text>
    </comment>
    <comment ref="AZ143" authorId="0" shapeId="0" xr:uid="{2B15D2E4-D123-4212-A690-D0BD73D39109}">
      <text>
        <r>
          <rPr>
            <b/>
            <sz val="9"/>
            <color indexed="81"/>
            <rFont val="Tahoma"/>
            <family val="2"/>
          </rPr>
          <t>Author:</t>
        </r>
        <r>
          <rPr>
            <sz val="9"/>
            <color indexed="81"/>
            <rFont val="Tahoma"/>
            <family val="2"/>
          </rPr>
          <t xml:space="preserve">
SE_DISABLE=1</t>
        </r>
      </text>
    </comment>
    <comment ref="BB143" authorId="0" shapeId="0" xr:uid="{75CB548E-F0E7-4EF7-834D-664C0C60E0F8}">
      <text>
        <r>
          <rPr>
            <b/>
            <sz val="9"/>
            <color indexed="81"/>
            <rFont val="Tahoma"/>
            <family val="2"/>
          </rPr>
          <t>Author:</t>
        </r>
        <r>
          <rPr>
            <sz val="9"/>
            <color indexed="81"/>
            <rFont val="Tahoma"/>
            <family val="2"/>
          </rPr>
          <t xml:space="preserve">
SE_DISABLE=1</t>
        </r>
      </text>
    </comment>
    <comment ref="BD143" authorId="0" shapeId="0" xr:uid="{C4A565B7-2163-4A44-8C14-67F08F2F5421}">
      <text>
        <r>
          <rPr>
            <b/>
            <sz val="9"/>
            <color indexed="81"/>
            <rFont val="Tahoma"/>
            <family val="2"/>
          </rPr>
          <t>Author:</t>
        </r>
        <r>
          <rPr>
            <sz val="9"/>
            <color indexed="81"/>
            <rFont val="Tahoma"/>
            <family val="2"/>
          </rPr>
          <t xml:space="preserve">
SE_DISABLE=1</t>
        </r>
      </text>
    </comment>
    <comment ref="BE143" authorId="0" shapeId="0" xr:uid="{1DD9EF29-C9FA-4FA7-8924-F67C4C7E4780}">
      <text>
        <r>
          <rPr>
            <b/>
            <sz val="9"/>
            <color indexed="81"/>
            <rFont val="Tahoma"/>
            <family val="2"/>
          </rPr>
          <t>Author:</t>
        </r>
        <r>
          <rPr>
            <sz val="9"/>
            <color indexed="81"/>
            <rFont val="Tahoma"/>
            <family val="2"/>
          </rPr>
          <t xml:space="preserve">
SE_DISABLE=1</t>
        </r>
      </text>
    </comment>
    <comment ref="BF143" authorId="0" shapeId="0" xr:uid="{FDFFD78A-08DE-463C-9422-3FE2316C3F28}">
      <text>
        <r>
          <rPr>
            <b/>
            <sz val="9"/>
            <color indexed="81"/>
            <rFont val="Tahoma"/>
            <family val="2"/>
          </rPr>
          <t>Author:</t>
        </r>
        <r>
          <rPr>
            <sz val="9"/>
            <color indexed="81"/>
            <rFont val="Tahoma"/>
            <family val="2"/>
          </rPr>
          <t xml:space="preserve">
SE_DISABLE=1</t>
        </r>
      </text>
    </comment>
    <comment ref="BH143" authorId="0" shapeId="0" xr:uid="{E6903B60-75DD-4A20-BC11-59C1CAC2855E}">
      <text>
        <r>
          <rPr>
            <b/>
            <sz val="9"/>
            <color indexed="81"/>
            <rFont val="Tahoma"/>
            <family val="2"/>
          </rPr>
          <t>Author:</t>
        </r>
        <r>
          <rPr>
            <sz val="9"/>
            <color indexed="81"/>
            <rFont val="Tahoma"/>
            <family val="2"/>
          </rPr>
          <t xml:space="preserve">
SE_DISABLE=1</t>
        </r>
      </text>
    </comment>
    <comment ref="BK143" authorId="0" shapeId="0" xr:uid="{CC551451-86CC-430B-A9B4-AFD45667EF31}">
      <text>
        <r>
          <rPr>
            <b/>
            <sz val="9"/>
            <color indexed="81"/>
            <rFont val="Tahoma"/>
            <family val="2"/>
          </rPr>
          <t>Author:</t>
        </r>
        <r>
          <rPr>
            <sz val="9"/>
            <color indexed="81"/>
            <rFont val="Tahoma"/>
            <family val="2"/>
          </rPr>
          <t xml:space="preserve">
SE_DISABLE=1</t>
        </r>
      </text>
    </comment>
    <comment ref="BL143" authorId="0" shapeId="0" xr:uid="{7228C705-A261-4F65-83BA-C8186EE9AE3A}">
      <text>
        <r>
          <rPr>
            <b/>
            <sz val="9"/>
            <color indexed="81"/>
            <rFont val="Tahoma"/>
            <family val="2"/>
          </rPr>
          <t>Author:</t>
        </r>
        <r>
          <rPr>
            <sz val="9"/>
            <color indexed="81"/>
            <rFont val="Tahoma"/>
            <family val="2"/>
          </rPr>
          <t xml:space="preserve">
SE_DISABLE=1</t>
        </r>
      </text>
    </comment>
    <comment ref="BM143" authorId="0" shapeId="0" xr:uid="{230864A9-4968-4891-A3DB-2C208FF30B6E}">
      <text>
        <r>
          <rPr>
            <b/>
            <sz val="9"/>
            <color indexed="81"/>
            <rFont val="Tahoma"/>
            <family val="2"/>
          </rPr>
          <t>Author:</t>
        </r>
        <r>
          <rPr>
            <sz val="9"/>
            <color indexed="81"/>
            <rFont val="Tahoma"/>
            <family val="2"/>
          </rPr>
          <t xml:space="preserve">
SE_DISABLE=1</t>
        </r>
      </text>
    </comment>
    <comment ref="BO143" authorId="0" shapeId="0" xr:uid="{B15D0428-BD98-4B6A-BAFF-68819F496E7C}">
      <text>
        <r>
          <rPr>
            <b/>
            <sz val="9"/>
            <color indexed="81"/>
            <rFont val="Tahoma"/>
            <family val="2"/>
          </rPr>
          <t>Author:</t>
        </r>
        <r>
          <rPr>
            <sz val="9"/>
            <color indexed="81"/>
            <rFont val="Tahoma"/>
            <family val="2"/>
          </rPr>
          <t xml:space="preserve">
SE_DISABLE=1</t>
        </r>
      </text>
    </comment>
    <comment ref="BQ143" authorId="0" shapeId="0" xr:uid="{D4FBBDDA-E3E1-4C62-9FC5-99AF9BA17905}">
      <text>
        <r>
          <rPr>
            <b/>
            <sz val="9"/>
            <color indexed="81"/>
            <rFont val="Tahoma"/>
            <family val="2"/>
          </rPr>
          <t>Author:</t>
        </r>
        <r>
          <rPr>
            <sz val="9"/>
            <color indexed="81"/>
            <rFont val="Tahoma"/>
            <family val="2"/>
          </rPr>
          <t xml:space="preserve">
SE_DISABLE=1</t>
        </r>
      </text>
    </comment>
    <comment ref="BS143" authorId="0" shapeId="0" xr:uid="{C76FE613-81AB-4B90-9C4E-F7DEC15E8A70}">
      <text>
        <r>
          <rPr>
            <b/>
            <sz val="9"/>
            <color indexed="81"/>
            <rFont val="Tahoma"/>
            <family val="2"/>
          </rPr>
          <t>Author:</t>
        </r>
        <r>
          <rPr>
            <sz val="9"/>
            <color indexed="81"/>
            <rFont val="Tahoma"/>
            <family val="2"/>
          </rPr>
          <t xml:space="preserve">
SE_DISABLE=1</t>
        </r>
      </text>
    </comment>
    <comment ref="AS144" authorId="0" shapeId="0" xr:uid="{472892B0-CC45-4DC7-9B66-47D57F1A4582}">
      <text>
        <r>
          <rPr>
            <b/>
            <sz val="9"/>
            <color indexed="81"/>
            <rFont val="Tahoma"/>
            <family val="2"/>
          </rPr>
          <t>Author:</t>
        </r>
        <r>
          <rPr>
            <sz val="9"/>
            <color indexed="81"/>
            <rFont val="Tahoma"/>
            <family val="2"/>
          </rPr>
          <t xml:space="preserve">
MSG_DISABLE=1</t>
        </r>
      </text>
    </comment>
    <comment ref="AT144" authorId="0" shapeId="0" xr:uid="{77A465EE-C1BB-45BB-AEFD-76CE96AC447C}">
      <text>
        <r>
          <rPr>
            <b/>
            <sz val="9"/>
            <color indexed="81"/>
            <rFont val="Tahoma"/>
            <family val="2"/>
          </rPr>
          <t>Author:</t>
        </r>
        <r>
          <rPr>
            <sz val="9"/>
            <color indexed="81"/>
            <rFont val="Tahoma"/>
            <family val="2"/>
          </rPr>
          <t xml:space="preserve">
MSG_DISABLE=1</t>
        </r>
      </text>
    </comment>
    <comment ref="AV144" authorId="0" shapeId="0" xr:uid="{062FD0EF-70C7-4D6F-A3F4-FCC4801627D8}">
      <text>
        <r>
          <rPr>
            <b/>
            <sz val="9"/>
            <color indexed="81"/>
            <rFont val="Tahoma"/>
            <family val="2"/>
          </rPr>
          <t>Author:</t>
        </r>
        <r>
          <rPr>
            <sz val="9"/>
            <color indexed="81"/>
            <rFont val="Tahoma"/>
            <family val="2"/>
          </rPr>
          <t xml:space="preserve">
MSG_DISABLE=1</t>
        </r>
      </text>
    </comment>
    <comment ref="AX144" authorId="0" shapeId="0" xr:uid="{2FB25D2C-0881-4C1B-A4FF-2EEDDF50E6DA}">
      <text>
        <r>
          <rPr>
            <b/>
            <sz val="9"/>
            <color indexed="81"/>
            <rFont val="Tahoma"/>
            <family val="2"/>
          </rPr>
          <t>Author:</t>
        </r>
        <r>
          <rPr>
            <sz val="9"/>
            <color indexed="81"/>
            <rFont val="Tahoma"/>
            <family val="2"/>
          </rPr>
          <t xml:space="preserve">
MSG_DISABLE=1</t>
        </r>
      </text>
    </comment>
    <comment ref="AY144" authorId="0" shapeId="0" xr:uid="{AE2E5FE7-1213-47D5-916E-F2A65974F355}">
      <text>
        <r>
          <rPr>
            <b/>
            <sz val="9"/>
            <color indexed="81"/>
            <rFont val="Tahoma"/>
            <family val="2"/>
          </rPr>
          <t>Author:</t>
        </r>
        <r>
          <rPr>
            <sz val="9"/>
            <color indexed="81"/>
            <rFont val="Tahoma"/>
            <family val="2"/>
          </rPr>
          <t xml:space="preserve">
MSG_DISABLE=1</t>
        </r>
      </text>
    </comment>
    <comment ref="AZ144" authorId="0" shapeId="0" xr:uid="{B2F34B91-4061-4735-89A7-18D2DE5BF507}">
      <text>
        <r>
          <rPr>
            <b/>
            <sz val="9"/>
            <color indexed="81"/>
            <rFont val="Tahoma"/>
            <family val="2"/>
          </rPr>
          <t>Author:</t>
        </r>
        <r>
          <rPr>
            <sz val="9"/>
            <color indexed="81"/>
            <rFont val="Tahoma"/>
            <family val="2"/>
          </rPr>
          <t xml:space="preserve">
MSG_DISABLE=1</t>
        </r>
      </text>
    </comment>
    <comment ref="BB144" authorId="0" shapeId="0" xr:uid="{4568CFA0-134A-4BF6-877F-67AEFD7F702B}">
      <text>
        <r>
          <rPr>
            <b/>
            <sz val="9"/>
            <color indexed="81"/>
            <rFont val="Tahoma"/>
            <family val="2"/>
          </rPr>
          <t>Author:</t>
        </r>
        <r>
          <rPr>
            <sz val="9"/>
            <color indexed="81"/>
            <rFont val="Tahoma"/>
            <family val="2"/>
          </rPr>
          <t xml:space="preserve">
MSG_DISABLE=1</t>
        </r>
      </text>
    </comment>
    <comment ref="BD144" authorId="0" shapeId="0" xr:uid="{C307D8AE-0140-4754-80C6-7AC16BA98AAD}">
      <text>
        <r>
          <rPr>
            <b/>
            <sz val="9"/>
            <color indexed="81"/>
            <rFont val="Tahoma"/>
            <family val="2"/>
          </rPr>
          <t>Author:</t>
        </r>
        <r>
          <rPr>
            <sz val="9"/>
            <color indexed="81"/>
            <rFont val="Tahoma"/>
            <family val="2"/>
          </rPr>
          <t xml:space="preserve">
MSG_DISABLE=1</t>
        </r>
      </text>
    </comment>
    <comment ref="BE144" authorId="0" shapeId="0" xr:uid="{1CA54EBB-3FC8-4ABF-A012-C228DEE95F7D}">
      <text>
        <r>
          <rPr>
            <b/>
            <sz val="9"/>
            <color indexed="81"/>
            <rFont val="Tahoma"/>
            <family val="2"/>
          </rPr>
          <t>Author:</t>
        </r>
        <r>
          <rPr>
            <sz val="9"/>
            <color indexed="81"/>
            <rFont val="Tahoma"/>
            <family val="2"/>
          </rPr>
          <t xml:space="preserve">
MSG_DISABLE=1</t>
        </r>
      </text>
    </comment>
    <comment ref="BF144" authorId="0" shapeId="0" xr:uid="{E0817015-EC29-4456-BFD7-574BDFDFB10F}">
      <text>
        <r>
          <rPr>
            <b/>
            <sz val="9"/>
            <color indexed="81"/>
            <rFont val="Tahoma"/>
            <family val="2"/>
          </rPr>
          <t>Author:</t>
        </r>
        <r>
          <rPr>
            <sz val="9"/>
            <color indexed="81"/>
            <rFont val="Tahoma"/>
            <family val="2"/>
          </rPr>
          <t xml:space="preserve">
MSG_DISABLE=1</t>
        </r>
      </text>
    </comment>
    <comment ref="BH144" authorId="0" shapeId="0" xr:uid="{F25DB9B4-8675-4C51-8954-773F7E6AE242}">
      <text>
        <r>
          <rPr>
            <b/>
            <sz val="9"/>
            <color indexed="81"/>
            <rFont val="Tahoma"/>
            <family val="2"/>
          </rPr>
          <t>Author:</t>
        </r>
        <r>
          <rPr>
            <sz val="9"/>
            <color indexed="81"/>
            <rFont val="Tahoma"/>
            <family val="2"/>
          </rPr>
          <t xml:space="preserve">
MSG_DISABLE=1</t>
        </r>
      </text>
    </comment>
    <comment ref="BK144" authorId="0" shapeId="0" xr:uid="{57144A18-4661-4702-A135-1DC45F456DEE}">
      <text>
        <r>
          <rPr>
            <b/>
            <sz val="9"/>
            <color indexed="81"/>
            <rFont val="Tahoma"/>
            <family val="2"/>
          </rPr>
          <t>Author:</t>
        </r>
        <r>
          <rPr>
            <sz val="9"/>
            <color indexed="81"/>
            <rFont val="Tahoma"/>
            <family val="2"/>
          </rPr>
          <t xml:space="preserve">
MSG_DISABLE=1</t>
        </r>
      </text>
    </comment>
    <comment ref="BL144" authorId="0" shapeId="0" xr:uid="{709C565B-C30A-4A05-A4E0-6C41BB4A64F2}">
      <text>
        <r>
          <rPr>
            <b/>
            <sz val="9"/>
            <color indexed="81"/>
            <rFont val="Tahoma"/>
            <family val="2"/>
          </rPr>
          <t>Author:</t>
        </r>
        <r>
          <rPr>
            <sz val="9"/>
            <color indexed="81"/>
            <rFont val="Tahoma"/>
            <family val="2"/>
          </rPr>
          <t xml:space="preserve">
MSG_DISABLE=1</t>
        </r>
      </text>
    </comment>
    <comment ref="BM144" authorId="0" shapeId="0" xr:uid="{4822E81C-3441-4D59-B9F2-F3F7573421F5}">
      <text>
        <r>
          <rPr>
            <b/>
            <sz val="9"/>
            <color indexed="81"/>
            <rFont val="Tahoma"/>
            <family val="2"/>
          </rPr>
          <t>Author:</t>
        </r>
        <r>
          <rPr>
            <sz val="9"/>
            <color indexed="81"/>
            <rFont val="Tahoma"/>
            <family val="2"/>
          </rPr>
          <t xml:space="preserve">
MSG_DISABLE=1</t>
        </r>
      </text>
    </comment>
    <comment ref="BO144" authorId="0" shapeId="0" xr:uid="{DBDDEF1D-8307-4422-88D3-48E7222673E7}">
      <text>
        <r>
          <rPr>
            <b/>
            <sz val="9"/>
            <color indexed="81"/>
            <rFont val="Tahoma"/>
            <family val="2"/>
          </rPr>
          <t>Author:</t>
        </r>
        <r>
          <rPr>
            <sz val="9"/>
            <color indexed="81"/>
            <rFont val="Tahoma"/>
            <family val="2"/>
          </rPr>
          <t xml:space="preserve">
MSG_DISABLE=1</t>
        </r>
      </text>
    </comment>
    <comment ref="BQ144" authorId="0" shapeId="0" xr:uid="{4A5082B4-6E52-43BA-953C-56A9C865F4DF}">
      <text>
        <r>
          <rPr>
            <b/>
            <sz val="9"/>
            <color indexed="81"/>
            <rFont val="Tahoma"/>
            <family val="2"/>
          </rPr>
          <t>Author:</t>
        </r>
        <r>
          <rPr>
            <sz val="9"/>
            <color indexed="81"/>
            <rFont val="Tahoma"/>
            <family val="2"/>
          </rPr>
          <t xml:space="preserve">
MSG_DISABLE=1</t>
        </r>
      </text>
    </comment>
    <comment ref="BS144" authorId="0" shapeId="0" xr:uid="{7A2CFB60-4EFE-4EF6-B5B5-28D58D61DDEE}">
      <text>
        <r>
          <rPr>
            <b/>
            <sz val="9"/>
            <color indexed="81"/>
            <rFont val="Tahoma"/>
            <family val="2"/>
          </rPr>
          <t>Author:</t>
        </r>
        <r>
          <rPr>
            <sz val="9"/>
            <color indexed="81"/>
            <rFont val="Tahoma"/>
            <family val="2"/>
          </rPr>
          <t xml:space="preserve">
MSG_DISABLE=1</t>
        </r>
      </text>
    </comment>
    <comment ref="C14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5" authorId="0" shapeId="0" xr:uid="{0D337AB3-1681-49B2-850D-C9715C13CF44}">
      <text>
        <r>
          <rPr>
            <b/>
            <sz val="9"/>
            <color indexed="81"/>
            <rFont val="Tahoma"/>
            <family val="2"/>
          </rPr>
          <t>Author:</t>
        </r>
        <r>
          <rPr>
            <sz val="9"/>
            <color indexed="81"/>
            <rFont val="Tahoma"/>
            <family val="2"/>
          </rPr>
          <t xml:space="preserve">
PP_DISABLE=1</t>
        </r>
      </text>
    </comment>
    <comment ref="AT145" authorId="0" shapeId="0" xr:uid="{46712603-F4C1-4768-8605-1CC58E8A937B}">
      <text>
        <r>
          <rPr>
            <b/>
            <sz val="9"/>
            <color indexed="81"/>
            <rFont val="Tahoma"/>
            <family val="2"/>
          </rPr>
          <t>Author:</t>
        </r>
        <r>
          <rPr>
            <sz val="9"/>
            <color indexed="81"/>
            <rFont val="Tahoma"/>
            <family val="2"/>
          </rPr>
          <t xml:space="preserve">
PP_DISABLE=1</t>
        </r>
      </text>
    </comment>
    <comment ref="AV145" authorId="0" shapeId="0" xr:uid="{23743A63-D102-4621-BAF6-41211C819DFF}">
      <text>
        <r>
          <rPr>
            <b/>
            <sz val="9"/>
            <color indexed="81"/>
            <rFont val="Tahoma"/>
            <family val="2"/>
          </rPr>
          <t>Author:</t>
        </r>
        <r>
          <rPr>
            <sz val="9"/>
            <color indexed="81"/>
            <rFont val="Tahoma"/>
            <family val="2"/>
          </rPr>
          <t xml:space="preserve">
PP_DISABLE=1</t>
        </r>
      </text>
    </comment>
    <comment ref="AX145" authorId="0" shapeId="0" xr:uid="{D5205DDB-F8A3-4CE0-9E7C-918E5BF70200}">
      <text>
        <r>
          <rPr>
            <b/>
            <sz val="9"/>
            <color indexed="81"/>
            <rFont val="Tahoma"/>
            <family val="2"/>
          </rPr>
          <t>Author:</t>
        </r>
        <r>
          <rPr>
            <sz val="9"/>
            <color indexed="81"/>
            <rFont val="Tahoma"/>
            <family val="2"/>
          </rPr>
          <t xml:space="preserve">
PP_DISABLE=1</t>
        </r>
      </text>
    </comment>
    <comment ref="AY145" authorId="0" shapeId="0" xr:uid="{E94C5F9B-F6A6-43F3-AE12-84F61600DAB8}">
      <text>
        <r>
          <rPr>
            <b/>
            <sz val="9"/>
            <color indexed="81"/>
            <rFont val="Tahoma"/>
            <family val="2"/>
          </rPr>
          <t>Author:</t>
        </r>
        <r>
          <rPr>
            <sz val="9"/>
            <color indexed="81"/>
            <rFont val="Tahoma"/>
            <family val="2"/>
          </rPr>
          <t xml:space="preserve">
PP_DISABLE=1</t>
        </r>
      </text>
    </comment>
    <comment ref="AZ145" authorId="0" shapeId="0" xr:uid="{C33C0C40-76B7-46A2-B2A3-83C40BE94072}">
      <text>
        <r>
          <rPr>
            <b/>
            <sz val="9"/>
            <color indexed="81"/>
            <rFont val="Tahoma"/>
            <family val="2"/>
          </rPr>
          <t>Author:</t>
        </r>
        <r>
          <rPr>
            <sz val="9"/>
            <color indexed="81"/>
            <rFont val="Tahoma"/>
            <family val="2"/>
          </rPr>
          <t xml:space="preserve">
PP_DISABLE=1</t>
        </r>
      </text>
    </comment>
    <comment ref="BB145" authorId="0" shapeId="0" xr:uid="{E28CF704-A465-4B46-A609-214BDC297842}">
      <text>
        <r>
          <rPr>
            <b/>
            <sz val="9"/>
            <color indexed="81"/>
            <rFont val="Tahoma"/>
            <family val="2"/>
          </rPr>
          <t>Author:</t>
        </r>
        <r>
          <rPr>
            <sz val="9"/>
            <color indexed="81"/>
            <rFont val="Tahoma"/>
            <family val="2"/>
          </rPr>
          <t xml:space="preserve">
PP_DISABLE=1</t>
        </r>
      </text>
    </comment>
    <comment ref="BD145" authorId="0" shapeId="0" xr:uid="{9786E68D-4509-4B2E-B1F6-5ADB07BF8B60}">
      <text>
        <r>
          <rPr>
            <b/>
            <sz val="9"/>
            <color indexed="81"/>
            <rFont val="Tahoma"/>
            <family val="2"/>
          </rPr>
          <t>Author:</t>
        </r>
        <r>
          <rPr>
            <sz val="9"/>
            <color indexed="81"/>
            <rFont val="Tahoma"/>
            <family val="2"/>
          </rPr>
          <t xml:space="preserve">
PP_DISABLE=1</t>
        </r>
      </text>
    </comment>
    <comment ref="BE145" authorId="0" shapeId="0" xr:uid="{0EBDA1B6-C786-422F-9EBB-6242B5A8F7E8}">
      <text>
        <r>
          <rPr>
            <b/>
            <sz val="9"/>
            <color indexed="81"/>
            <rFont val="Tahoma"/>
            <family val="2"/>
          </rPr>
          <t>Author:</t>
        </r>
        <r>
          <rPr>
            <sz val="9"/>
            <color indexed="81"/>
            <rFont val="Tahoma"/>
            <family val="2"/>
          </rPr>
          <t xml:space="preserve">
PP_DISABLE=1</t>
        </r>
      </text>
    </comment>
    <comment ref="BF145" authorId="0" shapeId="0" xr:uid="{44A0691B-495D-4D0A-BBD0-4727810C5FEE}">
      <text>
        <r>
          <rPr>
            <b/>
            <sz val="9"/>
            <color indexed="81"/>
            <rFont val="Tahoma"/>
            <family val="2"/>
          </rPr>
          <t>Author:</t>
        </r>
        <r>
          <rPr>
            <sz val="9"/>
            <color indexed="81"/>
            <rFont val="Tahoma"/>
            <family val="2"/>
          </rPr>
          <t xml:space="preserve">
PP_DISABLE=1</t>
        </r>
      </text>
    </comment>
    <comment ref="BH145" authorId="0" shapeId="0" xr:uid="{011A8C45-876E-49AC-97BA-0061FF1C6ACC}">
      <text>
        <r>
          <rPr>
            <b/>
            <sz val="9"/>
            <color indexed="81"/>
            <rFont val="Tahoma"/>
            <family val="2"/>
          </rPr>
          <t>Author:</t>
        </r>
        <r>
          <rPr>
            <sz val="9"/>
            <color indexed="81"/>
            <rFont val="Tahoma"/>
            <family val="2"/>
          </rPr>
          <t xml:space="preserve">
PP_DISABLE=1</t>
        </r>
      </text>
    </comment>
    <comment ref="BK145" authorId="0" shapeId="0" xr:uid="{C96DD730-C60B-4C2C-96EC-7DFE0F7511BC}">
      <text>
        <r>
          <rPr>
            <b/>
            <sz val="9"/>
            <color indexed="81"/>
            <rFont val="Tahoma"/>
            <family val="2"/>
          </rPr>
          <t>Author:</t>
        </r>
        <r>
          <rPr>
            <sz val="9"/>
            <color indexed="81"/>
            <rFont val="Tahoma"/>
            <family val="2"/>
          </rPr>
          <t xml:space="preserve">
PP_DISABLE=1</t>
        </r>
      </text>
    </comment>
    <comment ref="BL145" authorId="0" shapeId="0" xr:uid="{011868A7-0668-48CA-B1CC-DB22CC932B98}">
      <text>
        <r>
          <rPr>
            <b/>
            <sz val="9"/>
            <color indexed="81"/>
            <rFont val="Tahoma"/>
            <family val="2"/>
          </rPr>
          <t>Author:</t>
        </r>
        <r>
          <rPr>
            <sz val="9"/>
            <color indexed="81"/>
            <rFont val="Tahoma"/>
            <family val="2"/>
          </rPr>
          <t xml:space="preserve">
PP_DISABLE=1</t>
        </r>
      </text>
    </comment>
    <comment ref="BM145" authorId="0" shapeId="0" xr:uid="{8FDC3403-2FB0-4E4F-AE09-B2BA81F6FED7}">
      <text>
        <r>
          <rPr>
            <b/>
            <sz val="9"/>
            <color indexed="81"/>
            <rFont val="Tahoma"/>
            <family val="2"/>
          </rPr>
          <t>Author:</t>
        </r>
        <r>
          <rPr>
            <sz val="9"/>
            <color indexed="81"/>
            <rFont val="Tahoma"/>
            <family val="2"/>
          </rPr>
          <t xml:space="preserve">
PP_DISABLE=1</t>
        </r>
      </text>
    </comment>
    <comment ref="BO145" authorId="0" shapeId="0" xr:uid="{B730B8E9-E9C2-48DA-957C-7E2752C55F7F}">
      <text>
        <r>
          <rPr>
            <b/>
            <sz val="9"/>
            <color indexed="81"/>
            <rFont val="Tahoma"/>
            <family val="2"/>
          </rPr>
          <t>Author:</t>
        </r>
        <r>
          <rPr>
            <sz val="9"/>
            <color indexed="81"/>
            <rFont val="Tahoma"/>
            <family val="2"/>
          </rPr>
          <t xml:space="preserve">
PP_DISABLE=1</t>
        </r>
      </text>
    </comment>
    <comment ref="BQ145" authorId="0" shapeId="0" xr:uid="{12C29CBF-85F6-4D0C-AFBB-011F211CC61B}">
      <text>
        <r>
          <rPr>
            <b/>
            <sz val="9"/>
            <color indexed="81"/>
            <rFont val="Tahoma"/>
            <family val="2"/>
          </rPr>
          <t>Author:</t>
        </r>
        <r>
          <rPr>
            <sz val="9"/>
            <color indexed="81"/>
            <rFont val="Tahoma"/>
            <family val="2"/>
          </rPr>
          <t xml:space="preserve">
PP_DISABLE=1</t>
        </r>
      </text>
    </comment>
    <comment ref="BS145" authorId="0" shapeId="0" xr:uid="{BB0B153D-AB92-47C9-AF70-1C49B4E4F85B}">
      <text>
        <r>
          <rPr>
            <b/>
            <sz val="9"/>
            <color indexed="81"/>
            <rFont val="Tahoma"/>
            <family val="2"/>
          </rPr>
          <t>Author:</t>
        </r>
        <r>
          <rPr>
            <sz val="9"/>
            <color indexed="81"/>
            <rFont val="Tahoma"/>
            <family val="2"/>
          </rPr>
          <t xml:space="preserve">
PP_DISABLE=1</t>
        </r>
      </text>
    </comment>
    <comment ref="C14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6" authorId="0" shapeId="0" xr:uid="{14E2019E-D19C-4F96-876B-56E8CC18B11B}">
      <text>
        <r>
          <rPr>
            <b/>
            <sz val="9"/>
            <color indexed="81"/>
            <rFont val="Tahoma"/>
            <family val="2"/>
          </rPr>
          <t>Author:</t>
        </r>
        <r>
          <rPr>
            <sz val="9"/>
            <color indexed="81"/>
            <rFont val="Tahoma"/>
            <family val="2"/>
          </rPr>
          <t xml:space="preserve">
KEY_LOCKER_DISABLE=1</t>
        </r>
      </text>
    </comment>
    <comment ref="AT146" authorId="0" shapeId="0" xr:uid="{20CD3746-4B55-401A-B8F6-3B5256E512D3}">
      <text>
        <r>
          <rPr>
            <b/>
            <sz val="9"/>
            <color indexed="81"/>
            <rFont val="Tahoma"/>
            <family val="2"/>
          </rPr>
          <t>Author:</t>
        </r>
        <r>
          <rPr>
            <sz val="9"/>
            <color indexed="81"/>
            <rFont val="Tahoma"/>
            <family val="2"/>
          </rPr>
          <t xml:space="preserve">
KEY_LOCKER_DISABLE=1</t>
        </r>
      </text>
    </comment>
    <comment ref="AV146" authorId="0" shapeId="0" xr:uid="{4816796B-EAD5-460F-BDB9-7F8C6489510B}">
      <text>
        <r>
          <rPr>
            <b/>
            <sz val="9"/>
            <color indexed="81"/>
            <rFont val="Tahoma"/>
            <family val="2"/>
          </rPr>
          <t>Author:</t>
        </r>
        <r>
          <rPr>
            <sz val="9"/>
            <color indexed="81"/>
            <rFont val="Tahoma"/>
            <family val="2"/>
          </rPr>
          <t xml:space="preserve">
KEY_LOCKER_DISABLE=1</t>
        </r>
      </text>
    </comment>
    <comment ref="AW14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6" authorId="0" shapeId="0" xr:uid="{27FDB952-86B6-4966-BEE0-A8D8538E0BA8}">
      <text>
        <r>
          <rPr>
            <b/>
            <sz val="9"/>
            <color indexed="81"/>
            <rFont val="Tahoma"/>
            <family val="2"/>
          </rPr>
          <t>Author:</t>
        </r>
        <r>
          <rPr>
            <sz val="9"/>
            <color indexed="81"/>
            <rFont val="Tahoma"/>
            <family val="2"/>
          </rPr>
          <t xml:space="preserve">
KEY_LOCKER_DISABLE=1</t>
        </r>
      </text>
    </comment>
    <comment ref="AZ146" authorId="0" shapeId="0" xr:uid="{E1A6F829-B4C3-4E2F-A7E7-7EE28FF276E7}">
      <text>
        <r>
          <rPr>
            <b/>
            <sz val="9"/>
            <color indexed="81"/>
            <rFont val="Tahoma"/>
            <family val="2"/>
          </rPr>
          <t>Author:</t>
        </r>
        <r>
          <rPr>
            <sz val="9"/>
            <color indexed="81"/>
            <rFont val="Tahoma"/>
            <family val="2"/>
          </rPr>
          <t xml:space="preserve">
KEY_LOCKER_DISABLE=1</t>
        </r>
      </text>
    </comment>
    <comment ref="BB146" authorId="0" shapeId="0" xr:uid="{85413764-7889-4438-A904-C56D881102B5}">
      <text>
        <r>
          <rPr>
            <b/>
            <sz val="9"/>
            <color indexed="81"/>
            <rFont val="Tahoma"/>
            <family val="2"/>
          </rPr>
          <t>Author:</t>
        </r>
        <r>
          <rPr>
            <sz val="9"/>
            <color indexed="81"/>
            <rFont val="Tahoma"/>
            <family val="2"/>
          </rPr>
          <t xml:space="preserve">
KEY_LOCKER_DISABLE=1</t>
        </r>
      </text>
    </comment>
    <comment ref="BC146" authorId="0" shapeId="0" xr:uid="{AB438D64-7041-4AE5-946E-22BDAD99E3D7}">
      <text>
        <r>
          <rPr>
            <b/>
            <sz val="9"/>
            <color indexed="81"/>
            <rFont val="Tahoma"/>
            <family val="2"/>
          </rPr>
          <t>Author:</t>
        </r>
        <r>
          <rPr>
            <sz val="9"/>
            <color indexed="81"/>
            <rFont val="Tahoma"/>
            <family val="2"/>
          </rPr>
          <t xml:space="preserve">
KEY_LOCKER_DISABLE=1</t>
        </r>
      </text>
    </comment>
    <comment ref="BE146" authorId="0" shapeId="0" xr:uid="{5D541D72-76C8-4CAC-BE4B-1A20F54EEE13}">
      <text>
        <r>
          <rPr>
            <sz val="9"/>
            <color indexed="81"/>
            <rFont val="Tahoma"/>
            <family val="2"/>
          </rPr>
          <t>17 June 2021 sianglin
same as CSME. 
KEY_LOCKER_DISABLE=1</t>
        </r>
      </text>
    </comment>
    <comment ref="BF146" authorId="0" shapeId="0" xr:uid="{FCA79A30-9702-431B-A397-07035BFF3587}">
      <text>
        <r>
          <rPr>
            <b/>
            <sz val="9"/>
            <color indexed="81"/>
            <rFont val="Tahoma"/>
            <family val="2"/>
          </rPr>
          <t>Author:</t>
        </r>
        <r>
          <rPr>
            <sz val="9"/>
            <color indexed="81"/>
            <rFont val="Tahoma"/>
            <family val="2"/>
          </rPr>
          <t xml:space="preserve">
KEY_LOCKER_DISABLE=1</t>
        </r>
      </text>
    </comment>
    <comment ref="BH146" authorId="0" shapeId="0" xr:uid="{354FCED1-4510-4716-992A-8146F38E41A1}">
      <text>
        <r>
          <rPr>
            <b/>
            <sz val="9"/>
            <color indexed="81"/>
            <rFont val="Tahoma"/>
            <family val="2"/>
          </rPr>
          <t>Author:</t>
        </r>
        <r>
          <rPr>
            <sz val="9"/>
            <color indexed="81"/>
            <rFont val="Tahoma"/>
            <family val="2"/>
          </rPr>
          <t xml:space="preserve">
KEY_LOCKER_DISABLE=1</t>
        </r>
      </text>
    </comment>
    <comment ref="BJ146" authorId="0" shapeId="0" xr:uid="{2171AC98-3FF8-4715-96D2-D25A15034693}">
      <text>
        <r>
          <rPr>
            <b/>
            <sz val="9"/>
            <color indexed="81"/>
            <rFont val="Tahoma"/>
            <family val="2"/>
          </rPr>
          <t>Author:</t>
        </r>
        <r>
          <rPr>
            <sz val="9"/>
            <color indexed="81"/>
            <rFont val="Tahoma"/>
            <family val="2"/>
          </rPr>
          <t xml:space="preserve">
KEY_LOCKER_DISABLE=1</t>
        </r>
      </text>
    </comment>
    <comment ref="BL146" authorId="0" shapeId="0" xr:uid="{AFD9D8E5-A856-4B6B-B386-BBDF3FAB4CCF}">
      <text>
        <r>
          <rPr>
            <sz val="9"/>
            <color indexed="81"/>
            <rFont val="Tahoma"/>
            <family val="2"/>
          </rPr>
          <t>17 June 2021 sianglin
same as CSME. 
KEY_LOCKER_DISABLE=1</t>
        </r>
      </text>
    </comment>
    <comment ref="BM146" authorId="0" shapeId="0" xr:uid="{1C744E1C-10B1-4F3D-8628-9FE6C55B7297}">
      <text>
        <r>
          <rPr>
            <b/>
            <sz val="9"/>
            <color indexed="81"/>
            <rFont val="Tahoma"/>
            <family val="2"/>
          </rPr>
          <t>Author:</t>
        </r>
        <r>
          <rPr>
            <sz val="9"/>
            <color indexed="81"/>
            <rFont val="Tahoma"/>
            <family val="2"/>
          </rPr>
          <t xml:space="preserve">
KEY_LOCKER_DISABLE=1</t>
        </r>
      </text>
    </comment>
    <comment ref="BP146" authorId="0" shapeId="0" xr:uid="{C47A7B98-FFF0-415E-8C27-EEB7FBB53796}">
      <text>
        <r>
          <rPr>
            <b/>
            <sz val="9"/>
            <color indexed="81"/>
            <rFont val="Tahoma"/>
            <family val="2"/>
          </rPr>
          <t>Author:</t>
        </r>
        <r>
          <rPr>
            <sz val="9"/>
            <color indexed="81"/>
            <rFont val="Tahoma"/>
            <family val="2"/>
          </rPr>
          <t xml:space="preserve">
KEY_LOCKER_DISABLE=1</t>
        </r>
      </text>
    </comment>
    <comment ref="BQ146" authorId="0" shapeId="0" xr:uid="{EBBC4C52-8825-4183-9EE3-91D063CA65D4}">
      <text>
        <r>
          <rPr>
            <sz val="9"/>
            <color indexed="81"/>
            <rFont val="Tahoma"/>
            <family val="2"/>
          </rPr>
          <t>17 June 2021 sianglin
same as CSME. 
KEY_LOCKER_DISABLE=1</t>
        </r>
      </text>
    </comment>
    <comment ref="BS146" authorId="0" shapeId="0" xr:uid="{774FB363-338C-4F1E-9A9F-4BA75151C296}">
      <text>
        <r>
          <rPr>
            <b/>
            <sz val="9"/>
            <color indexed="81"/>
            <rFont val="Tahoma"/>
            <family val="2"/>
          </rPr>
          <t>Author:</t>
        </r>
        <r>
          <rPr>
            <sz val="9"/>
            <color indexed="81"/>
            <rFont val="Tahoma"/>
            <family val="2"/>
          </rPr>
          <t xml:space="preserve">
KEY_LOCKER_DISABLE=1</t>
        </r>
      </text>
    </comment>
    <comment ref="C14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7" authorId="0" shapeId="0" xr:uid="{00000000-0006-0000-0100-000070000000}">
      <text>
        <r>
          <rPr>
            <b/>
            <sz val="9"/>
            <color indexed="81"/>
            <rFont val="Tahoma"/>
            <family val="2"/>
          </rPr>
          <t>Kep for HW consistency</t>
        </r>
        <r>
          <rPr>
            <sz val="9"/>
            <color indexed="81"/>
            <rFont val="Tahoma"/>
            <family val="2"/>
          </rPr>
          <t xml:space="preserve">
</t>
        </r>
      </text>
    </comment>
    <comment ref="AG14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7" authorId="0" shapeId="0" xr:uid="{22E79234-FE57-4A71-88CB-AC69B4B34B26}">
      <text>
        <r>
          <rPr>
            <b/>
            <sz val="9"/>
            <color indexed="81"/>
            <rFont val="Tahoma"/>
            <family val="2"/>
          </rPr>
          <t>Author:</t>
        </r>
        <r>
          <rPr>
            <sz val="9"/>
            <color indexed="81"/>
            <rFont val="Tahoma"/>
            <family val="2"/>
          </rPr>
          <t xml:space="preserve">
TME_EPHM_KEY_DIS=1</t>
        </r>
      </text>
    </comment>
    <comment ref="AT147" authorId="0" shapeId="0" xr:uid="{ED5D1047-9415-4943-9076-4B65B86F24E3}">
      <text>
        <r>
          <rPr>
            <b/>
            <sz val="9"/>
            <color indexed="81"/>
            <rFont val="Tahoma"/>
            <family val="2"/>
          </rPr>
          <t>Author:</t>
        </r>
        <r>
          <rPr>
            <sz val="9"/>
            <color indexed="81"/>
            <rFont val="Tahoma"/>
            <family val="2"/>
          </rPr>
          <t xml:space="preserve">
TME_EPHM_KEY_DIS=1</t>
        </r>
      </text>
    </comment>
    <comment ref="AV147" authorId="0" shapeId="0" xr:uid="{202C738E-90F1-4EB7-B594-374D2B27572B}">
      <text>
        <r>
          <rPr>
            <b/>
            <sz val="9"/>
            <color indexed="81"/>
            <rFont val="Tahoma"/>
            <family val="2"/>
          </rPr>
          <t>Author:</t>
        </r>
        <r>
          <rPr>
            <sz val="9"/>
            <color indexed="81"/>
            <rFont val="Tahoma"/>
            <family val="2"/>
          </rPr>
          <t xml:space="preserve">
TME_EPHM_KEY_DIS=1</t>
        </r>
      </text>
    </comment>
    <comment ref="AW147" authorId="0" shapeId="0" xr:uid="{59B7E6A8-450B-4406-B1E6-64694458BD15}">
      <text>
        <r>
          <rPr>
            <b/>
            <sz val="9"/>
            <color indexed="81"/>
            <rFont val="Tahoma"/>
            <family val="2"/>
          </rPr>
          <t>Author:</t>
        </r>
        <r>
          <rPr>
            <sz val="9"/>
            <color indexed="81"/>
            <rFont val="Tahoma"/>
            <family val="2"/>
          </rPr>
          <t xml:space="preserve">
Yes for CSME, no for CSE</t>
        </r>
      </text>
    </comment>
    <comment ref="AX147" authorId="0" shapeId="0" xr:uid="{624002FE-FD84-484C-B8DD-9A263C36D8B3}">
      <text>
        <r>
          <rPr>
            <b/>
            <sz val="9"/>
            <color indexed="81"/>
            <rFont val="Tahoma"/>
            <family val="2"/>
          </rPr>
          <t>Author:</t>
        </r>
        <r>
          <rPr>
            <sz val="9"/>
            <color indexed="81"/>
            <rFont val="Tahoma"/>
            <family val="2"/>
          </rPr>
          <t xml:space="preserve">
TME_EPHM_KEY_DIS=1</t>
        </r>
      </text>
    </comment>
    <comment ref="AY147" authorId="0" shapeId="0" xr:uid="{5027636B-A5A9-43E5-8C9E-A6B290D4C090}">
      <text>
        <r>
          <rPr>
            <b/>
            <sz val="9"/>
            <color indexed="81"/>
            <rFont val="Tahoma"/>
            <family val="2"/>
          </rPr>
          <t>Author:</t>
        </r>
        <r>
          <rPr>
            <sz val="9"/>
            <color indexed="81"/>
            <rFont val="Tahoma"/>
            <family val="2"/>
          </rPr>
          <t xml:space="preserve">
TME_EPHM_KEY_DIS=1</t>
        </r>
      </text>
    </comment>
    <comment ref="AZ147" authorId="0" shapeId="0" xr:uid="{518E47E6-1EAE-4880-BBFE-2B0DFB51ABDA}">
      <text>
        <r>
          <rPr>
            <b/>
            <sz val="9"/>
            <color indexed="81"/>
            <rFont val="Tahoma"/>
            <family val="2"/>
          </rPr>
          <t>Author:</t>
        </r>
        <r>
          <rPr>
            <sz val="9"/>
            <color indexed="81"/>
            <rFont val="Tahoma"/>
            <family val="2"/>
          </rPr>
          <t xml:space="preserve">
TME_EPHM_KEY_DIS=1</t>
        </r>
      </text>
    </comment>
    <comment ref="BB147" authorId="0" shapeId="0" xr:uid="{8B5808FF-493E-4185-9B92-B4299DCB54B1}">
      <text>
        <r>
          <rPr>
            <b/>
            <sz val="9"/>
            <color indexed="81"/>
            <rFont val="Tahoma"/>
            <family val="2"/>
          </rPr>
          <t>Author:</t>
        </r>
        <r>
          <rPr>
            <sz val="9"/>
            <color indexed="81"/>
            <rFont val="Tahoma"/>
            <family val="2"/>
          </rPr>
          <t xml:space="preserve">
TME_EPHM_KEY_DIS=1</t>
        </r>
      </text>
    </comment>
    <comment ref="BC147" authorId="0" shapeId="0" xr:uid="{C81F8CEC-24C8-4563-933F-CDB5AEF5884D}">
      <text>
        <r>
          <rPr>
            <b/>
            <sz val="9"/>
            <color indexed="81"/>
            <rFont val="Tahoma"/>
            <family val="2"/>
          </rPr>
          <t>Author:</t>
        </r>
        <r>
          <rPr>
            <sz val="9"/>
            <color indexed="81"/>
            <rFont val="Tahoma"/>
            <family val="2"/>
          </rPr>
          <t xml:space="preserve">
TME_EPHM_KEY_DIS=1</t>
        </r>
      </text>
    </comment>
    <comment ref="BD147" authorId="0" shapeId="0" xr:uid="{EE3DCB52-8A8F-405C-A8C1-A0E28B69FEC2}">
      <text>
        <r>
          <rPr>
            <b/>
            <sz val="9"/>
            <color indexed="81"/>
            <rFont val="Tahoma"/>
            <family val="2"/>
          </rPr>
          <t>Author:</t>
        </r>
        <r>
          <rPr>
            <sz val="9"/>
            <color indexed="81"/>
            <rFont val="Tahoma"/>
            <family val="2"/>
          </rPr>
          <t xml:space="preserve">
TME_EPHMK_NUM = 2</t>
        </r>
      </text>
    </comment>
    <comment ref="BE147" authorId="0" shapeId="0" xr:uid="{4E9CAC6B-E51F-4A2A-BF5D-AFB13C9285CA}">
      <text>
        <r>
          <rPr>
            <sz val="9"/>
            <color indexed="81"/>
            <rFont val="Tahoma"/>
            <family val="2"/>
          </rPr>
          <t>17 June 2021 sianglin
same as CSME. TME_EPHM_KEY_DIS=1</t>
        </r>
      </text>
    </comment>
    <comment ref="BF147" authorId="0" shapeId="0" xr:uid="{8910D5FF-403E-46A2-A4C1-DEAB80A6E818}">
      <text>
        <r>
          <rPr>
            <b/>
            <sz val="9"/>
            <color indexed="81"/>
            <rFont val="Tahoma"/>
            <family val="2"/>
          </rPr>
          <t>Author:</t>
        </r>
        <r>
          <rPr>
            <sz val="9"/>
            <color indexed="81"/>
            <rFont val="Tahoma"/>
            <family val="2"/>
          </rPr>
          <t xml:space="preserve">
TME_EPHM_KEY_DIS=1</t>
        </r>
      </text>
    </comment>
    <comment ref="BH147" authorId="0" shapeId="0" xr:uid="{CEFB3A19-A609-47CE-A9DC-1ECD145CC36A}">
      <text>
        <r>
          <rPr>
            <b/>
            <sz val="9"/>
            <color indexed="81"/>
            <rFont val="Tahoma"/>
            <family val="2"/>
          </rPr>
          <t>Author:</t>
        </r>
        <r>
          <rPr>
            <sz val="9"/>
            <color indexed="81"/>
            <rFont val="Tahoma"/>
            <family val="2"/>
          </rPr>
          <t xml:space="preserve">
TME_EPHM_KEY_DIS=1</t>
        </r>
      </text>
    </comment>
    <comment ref="BJ147" authorId="0" shapeId="0" xr:uid="{2D52223A-30F2-4325-A190-7D5C3D795B3C}">
      <text>
        <r>
          <rPr>
            <b/>
            <sz val="9"/>
            <color indexed="81"/>
            <rFont val="Tahoma"/>
            <family val="2"/>
          </rPr>
          <t>Author:</t>
        </r>
        <r>
          <rPr>
            <sz val="9"/>
            <color indexed="81"/>
            <rFont val="Tahoma"/>
            <family val="2"/>
          </rPr>
          <t xml:space="preserve">
TME_EPHM_KEY_DIS=1</t>
        </r>
      </text>
    </comment>
    <comment ref="BK147" authorId="0" shapeId="0" xr:uid="{D177F8F0-E21E-4806-A7B8-9EDD63D0BC9F}">
      <text>
        <r>
          <rPr>
            <b/>
            <sz val="9"/>
            <color indexed="81"/>
            <rFont val="Tahoma"/>
            <family val="2"/>
          </rPr>
          <t>Author:</t>
        </r>
        <r>
          <rPr>
            <sz val="9"/>
            <color indexed="81"/>
            <rFont val="Tahoma"/>
            <family val="2"/>
          </rPr>
          <t xml:space="preserve">
TME_EPHMK_NUM = 2</t>
        </r>
      </text>
    </comment>
    <comment ref="BL147" authorId="0" shapeId="0" xr:uid="{0F59313B-7BD3-472C-A192-2F908EE882E9}">
      <text>
        <r>
          <rPr>
            <sz val="9"/>
            <color indexed="81"/>
            <rFont val="Tahoma"/>
            <family val="2"/>
          </rPr>
          <t>17 June 2021 sianglin
same as CSME. TME_EPHM_KEY_DIS=1</t>
        </r>
      </text>
    </comment>
    <comment ref="BM147" authorId="0" shapeId="0" xr:uid="{B36BBDB3-7628-4697-A190-89BC5F66411A}">
      <text>
        <r>
          <rPr>
            <b/>
            <sz val="9"/>
            <color indexed="81"/>
            <rFont val="Tahoma"/>
            <family val="2"/>
          </rPr>
          <t>Author:</t>
        </r>
        <r>
          <rPr>
            <sz val="9"/>
            <color indexed="81"/>
            <rFont val="Tahoma"/>
            <family val="2"/>
          </rPr>
          <t xml:space="preserve">
TME_EPHM_KEY_DIS=1</t>
        </r>
      </text>
    </comment>
    <comment ref="BO147" authorId="0" shapeId="0" xr:uid="{BCD3F8A1-9A15-4278-8C83-B406AC1C5811}">
      <text>
        <r>
          <rPr>
            <b/>
            <sz val="9"/>
            <color indexed="81"/>
            <rFont val="Tahoma"/>
            <family val="2"/>
          </rPr>
          <t>Author:</t>
        </r>
        <r>
          <rPr>
            <sz val="9"/>
            <color indexed="81"/>
            <rFont val="Tahoma"/>
            <family val="2"/>
          </rPr>
          <t xml:space="preserve">
TME_EPHMK_NUM = 2</t>
        </r>
      </text>
    </comment>
    <comment ref="BP147" authorId="0" shapeId="0" xr:uid="{01BCF5F4-4692-4FF9-B15B-88EADED20B08}">
      <text>
        <r>
          <rPr>
            <b/>
            <sz val="9"/>
            <color indexed="81"/>
            <rFont val="Tahoma"/>
            <family val="2"/>
          </rPr>
          <t>Author:</t>
        </r>
        <r>
          <rPr>
            <sz val="9"/>
            <color indexed="81"/>
            <rFont val="Tahoma"/>
            <family val="2"/>
          </rPr>
          <t xml:space="preserve">
TME_EPHM_KEY_DIS=1</t>
        </r>
      </text>
    </comment>
    <comment ref="BQ147" authorId="0" shapeId="0" xr:uid="{17A65D0C-4210-4E83-AB75-7F8B602A3EFC}">
      <text>
        <r>
          <rPr>
            <sz val="9"/>
            <color indexed="81"/>
            <rFont val="Tahoma"/>
            <family val="2"/>
          </rPr>
          <t>17 June 2021 sianglin
same as CSME. TME_EPHM_KEY_DIS=1</t>
        </r>
      </text>
    </comment>
    <comment ref="BS147" authorId="0" shapeId="0" xr:uid="{E36F80BB-1B70-42F5-808B-88EF73CB6006}">
      <text>
        <r>
          <rPr>
            <b/>
            <sz val="9"/>
            <color indexed="81"/>
            <rFont val="Tahoma"/>
            <family val="2"/>
          </rPr>
          <t>Author:</t>
        </r>
        <r>
          <rPr>
            <sz val="9"/>
            <color indexed="81"/>
            <rFont val="Tahoma"/>
            <family val="2"/>
          </rPr>
          <t xml:space="preserve">
TME_EPHM_KEY_DIS=1</t>
        </r>
      </text>
    </comment>
    <comment ref="AW148" authorId="0" shapeId="0" xr:uid="{1236D0A8-8BAF-4080-80C5-E62E41E6A838}">
      <text>
        <r>
          <rPr>
            <b/>
            <sz val="9"/>
            <color indexed="81"/>
            <rFont val="Tahoma"/>
            <family val="2"/>
          </rPr>
          <t>Author:</t>
        </r>
        <r>
          <rPr>
            <sz val="9"/>
            <color indexed="81"/>
            <rFont val="Tahoma"/>
            <family val="2"/>
          </rPr>
          <t xml:space="preserve">
Yes for CSME, No for CSE</t>
        </r>
      </text>
    </comment>
    <comment ref="C14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9" authorId="0" shapeId="0" xr:uid="{E3E6CACA-DECE-4CC6-A66E-F4961011D61E}">
      <text>
        <r>
          <rPr>
            <b/>
            <sz val="9"/>
            <color indexed="81"/>
            <rFont val="Tahoma"/>
            <family val="2"/>
          </rPr>
          <t>Author:</t>
        </r>
        <r>
          <rPr>
            <sz val="9"/>
            <color indexed="81"/>
            <rFont val="Tahoma"/>
            <family val="2"/>
          </rPr>
          <t xml:space="preserve">
work with Eli and Ruben</t>
        </r>
      </text>
    </comment>
    <comment ref="AY14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BK149" authorId="0" shapeId="0" xr:uid="{F32B23DF-5C14-497B-A8E3-2587087349BB}">
      <text>
        <r>
          <rPr>
            <b/>
            <sz val="9"/>
            <color indexed="81"/>
            <rFont val="Tahoma"/>
            <family val="2"/>
          </rPr>
          <t>Author:</t>
        </r>
        <r>
          <rPr>
            <sz val="9"/>
            <color indexed="81"/>
            <rFont val="Tahoma"/>
            <family val="2"/>
          </rPr>
          <t xml:space="preserve">
Similar mailbox will be added by another DCN</t>
        </r>
      </text>
    </comment>
    <comment ref="AS15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50" authorId="0" shapeId="0" xr:uid="{FCFACCF7-8AB7-48E7-B223-AC7CD0E7D08D}">
      <text>
        <r>
          <rPr>
            <b/>
            <sz val="9"/>
            <color indexed="81"/>
            <rFont val="Tahoma"/>
            <family val="2"/>
          </rPr>
          <t>Author:</t>
        </r>
        <r>
          <rPr>
            <sz val="9"/>
            <color indexed="81"/>
            <rFont val="Tahoma"/>
            <family val="2"/>
          </rPr>
          <t xml:space="preserve">
</t>
        </r>
      </text>
    </comment>
    <comment ref="AV15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5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5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50" authorId="0" shapeId="0" xr:uid="{E5B4CB8D-C702-4639-BCD5-9453143144BF}">
      <text>
        <r>
          <rPr>
            <b/>
            <sz val="9"/>
            <color indexed="81"/>
            <rFont val="Tahoma"/>
            <family val="2"/>
          </rPr>
          <t>Author:</t>
        </r>
        <r>
          <rPr>
            <sz val="9"/>
            <color indexed="81"/>
            <rFont val="Tahoma"/>
            <family val="2"/>
          </rPr>
          <t xml:space="preserve">
</t>
        </r>
      </text>
    </comment>
    <comment ref="BB150" authorId="0" shapeId="0" xr:uid="{F86F1B5C-E6D5-4576-9754-168DEFAAF7A3}">
      <text>
        <r>
          <rPr>
            <b/>
            <sz val="9"/>
            <color indexed="81"/>
            <rFont val="Tahoma"/>
            <family val="2"/>
          </rPr>
          <t>Author:</t>
        </r>
        <r>
          <rPr>
            <sz val="9"/>
            <color indexed="81"/>
            <rFont val="Tahoma"/>
            <family val="2"/>
          </rPr>
          <t xml:space="preserve">
</t>
        </r>
      </text>
    </comment>
    <comment ref="BD15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50" authorId="0" shapeId="0" xr:uid="{F4CC7ADA-7324-49AC-8298-B1AC23760F86}">
      <text>
        <r>
          <rPr>
            <b/>
            <sz val="9"/>
            <color indexed="81"/>
            <rFont val="Tahoma"/>
            <family val="2"/>
          </rPr>
          <t>Author:</t>
        </r>
        <r>
          <rPr>
            <sz val="9"/>
            <color indexed="81"/>
            <rFont val="Tahoma"/>
            <family val="2"/>
          </rPr>
          <t xml:space="preserve">
</t>
        </r>
      </text>
    </comment>
    <comment ref="BH150" authorId="0" shapeId="0" xr:uid="{680D96E8-5621-4BB0-9173-43F20D8A253B}">
      <text>
        <r>
          <rPr>
            <b/>
            <sz val="9"/>
            <color indexed="81"/>
            <rFont val="Tahoma"/>
            <family val="2"/>
          </rPr>
          <t>Author:</t>
        </r>
        <r>
          <rPr>
            <sz val="9"/>
            <color indexed="81"/>
            <rFont val="Tahoma"/>
            <family val="2"/>
          </rPr>
          <t xml:space="preserve">
</t>
        </r>
      </text>
    </comment>
    <comment ref="BM150" authorId="0" shapeId="0" xr:uid="{ECF9B47F-8A92-41F1-817E-0D1E2B55E145}">
      <text>
        <r>
          <rPr>
            <b/>
            <sz val="9"/>
            <color indexed="81"/>
            <rFont val="Tahoma"/>
            <family val="2"/>
          </rPr>
          <t>Author:</t>
        </r>
        <r>
          <rPr>
            <sz val="9"/>
            <color indexed="81"/>
            <rFont val="Tahoma"/>
            <family val="2"/>
          </rPr>
          <t xml:space="preserve">
</t>
        </r>
      </text>
    </comment>
    <comment ref="BO150"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S150"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5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5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5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5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5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5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5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5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5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51"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51"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3" authorId="0" shapeId="0" xr:uid="{4B14FDD1-14FC-41A1-BF73-68C76E6802E9}">
      <text>
        <r>
          <rPr>
            <b/>
            <sz val="9"/>
            <color indexed="81"/>
            <rFont val="Tahoma"/>
            <family val="2"/>
          </rPr>
          <t>Author:</t>
        </r>
        <r>
          <rPr>
            <sz val="9"/>
            <color indexed="81"/>
            <rFont val="Tahoma"/>
            <family val="2"/>
          </rPr>
          <t xml:space="preserve">
RAVDM_DISABLE=1</t>
        </r>
      </text>
    </comment>
    <comment ref="AT153" authorId="0" shapeId="0" xr:uid="{E6198654-3A75-4F1C-B8FC-6BCC184D0108}">
      <text>
        <r>
          <rPr>
            <b/>
            <sz val="9"/>
            <color indexed="81"/>
            <rFont val="Tahoma"/>
            <family val="2"/>
          </rPr>
          <t>Author:</t>
        </r>
        <r>
          <rPr>
            <sz val="9"/>
            <color indexed="81"/>
            <rFont val="Tahoma"/>
            <family val="2"/>
          </rPr>
          <t xml:space="preserve">
RAVDM_DISABLE=1</t>
        </r>
      </text>
    </comment>
    <comment ref="AV153" authorId="0" shapeId="0" xr:uid="{3C2E038C-2192-4482-9B2E-A0D33E4D84FE}">
      <text>
        <r>
          <rPr>
            <b/>
            <sz val="9"/>
            <color indexed="81"/>
            <rFont val="Tahoma"/>
            <family val="2"/>
          </rPr>
          <t>Author:</t>
        </r>
        <r>
          <rPr>
            <sz val="9"/>
            <color indexed="81"/>
            <rFont val="Tahoma"/>
            <family val="2"/>
          </rPr>
          <t xml:space="preserve">
RAVDM_DISABLE=1</t>
        </r>
      </text>
    </comment>
    <comment ref="AW15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3" authorId="0" shapeId="0" xr:uid="{054EBBB3-0E97-4D47-8F5E-399CCCAECA0E}">
      <text>
        <r>
          <rPr>
            <b/>
            <sz val="9"/>
            <color indexed="81"/>
            <rFont val="Tahoma"/>
            <family val="2"/>
          </rPr>
          <t>Author:</t>
        </r>
        <r>
          <rPr>
            <sz val="9"/>
            <color indexed="81"/>
            <rFont val="Tahoma"/>
            <family val="2"/>
          </rPr>
          <t xml:space="preserve">
RAVDM_DISABLE=1</t>
        </r>
      </text>
    </comment>
    <comment ref="AY153" authorId="0" shapeId="0" xr:uid="{8EC6EBD7-DF41-4ED1-B34C-52BA07C33B87}">
      <text>
        <r>
          <rPr>
            <b/>
            <sz val="9"/>
            <color indexed="81"/>
            <rFont val="Tahoma"/>
            <family val="2"/>
          </rPr>
          <t>Author:</t>
        </r>
        <r>
          <rPr>
            <sz val="9"/>
            <color indexed="81"/>
            <rFont val="Tahoma"/>
            <family val="2"/>
          </rPr>
          <t xml:space="preserve">
RAVDM_DISABLE=1</t>
        </r>
      </text>
    </comment>
    <comment ref="AZ153" authorId="0" shapeId="0" xr:uid="{7FA6C9C1-1F58-4ADC-85C6-5AF0E9EA6D0C}">
      <text>
        <r>
          <rPr>
            <b/>
            <sz val="9"/>
            <color indexed="81"/>
            <rFont val="Tahoma"/>
            <family val="2"/>
          </rPr>
          <t>Author:</t>
        </r>
        <r>
          <rPr>
            <sz val="9"/>
            <color indexed="81"/>
            <rFont val="Tahoma"/>
            <family val="2"/>
          </rPr>
          <t xml:space="preserve">
RAVDM_DISABLE=1</t>
        </r>
      </text>
    </comment>
    <comment ref="BB153" authorId="0" shapeId="0" xr:uid="{4AE8DB4D-4C3A-4703-B1EE-63A79E2031D1}">
      <text>
        <r>
          <rPr>
            <b/>
            <sz val="9"/>
            <color indexed="81"/>
            <rFont val="Tahoma"/>
            <family val="2"/>
          </rPr>
          <t>Author:</t>
        </r>
        <r>
          <rPr>
            <sz val="9"/>
            <color indexed="81"/>
            <rFont val="Tahoma"/>
            <family val="2"/>
          </rPr>
          <t xml:space="preserve">
RAVDM_DISABLE=1</t>
        </r>
      </text>
    </comment>
    <comment ref="BF153" authorId="0" shapeId="0" xr:uid="{F0659C9D-8D4F-435A-B210-7AC715817657}">
      <text>
        <r>
          <rPr>
            <b/>
            <sz val="9"/>
            <color indexed="81"/>
            <rFont val="Tahoma"/>
            <family val="2"/>
          </rPr>
          <t>Author:</t>
        </r>
        <r>
          <rPr>
            <sz val="9"/>
            <color indexed="81"/>
            <rFont val="Tahoma"/>
            <family val="2"/>
          </rPr>
          <t xml:space="preserve">
RAVDM_DISABLE=1</t>
        </r>
      </text>
    </comment>
    <comment ref="BH153" authorId="0" shapeId="0" xr:uid="{DDE0850B-D245-4ADF-BD04-A01F86F9DD71}">
      <text>
        <r>
          <rPr>
            <b/>
            <sz val="9"/>
            <color indexed="81"/>
            <rFont val="Tahoma"/>
            <family val="2"/>
          </rPr>
          <t>Author:</t>
        </r>
        <r>
          <rPr>
            <sz val="9"/>
            <color indexed="81"/>
            <rFont val="Tahoma"/>
            <family val="2"/>
          </rPr>
          <t xml:space="preserve">
RAVDM_DISABLE=1</t>
        </r>
      </text>
    </comment>
    <comment ref="BM153" authorId="0" shapeId="0" xr:uid="{AFD52A5C-1372-4C11-AE51-982EC6D05B2F}">
      <text>
        <r>
          <rPr>
            <b/>
            <sz val="9"/>
            <color indexed="81"/>
            <rFont val="Tahoma"/>
            <family val="2"/>
          </rPr>
          <t>Author:</t>
        </r>
        <r>
          <rPr>
            <sz val="9"/>
            <color indexed="81"/>
            <rFont val="Tahoma"/>
            <family val="2"/>
          </rPr>
          <t xml:space="preserve">
RAVDM_DISABLE=1</t>
        </r>
      </text>
    </comment>
    <comment ref="BS153" authorId="0" shapeId="0" xr:uid="{96FBDBEE-CEC0-4DB3-805A-F1EAADF3C5A3}">
      <text>
        <r>
          <rPr>
            <b/>
            <sz val="9"/>
            <color indexed="81"/>
            <rFont val="Tahoma"/>
            <family val="2"/>
          </rPr>
          <t>Author:</t>
        </r>
        <r>
          <rPr>
            <sz val="9"/>
            <color indexed="81"/>
            <rFont val="Tahoma"/>
            <family val="2"/>
          </rPr>
          <t xml:space="preserve">
RAVDM_DISABLE=1</t>
        </r>
      </text>
    </comment>
    <comment ref="BC15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6"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6"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P156"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7" authorId="0" shapeId="0" xr:uid="{C7D075C8-332A-4230-A2C6-5E24C5C6F814}">
      <text>
        <r>
          <rPr>
            <b/>
            <sz val="9"/>
            <color indexed="81"/>
            <rFont val="Tahoma"/>
            <family val="2"/>
          </rPr>
          <t>Author:</t>
        </r>
        <r>
          <rPr>
            <sz val="9"/>
            <color indexed="81"/>
            <rFont val="Tahoma"/>
            <family val="2"/>
          </rPr>
          <t xml:space="preserve">
GPIO_PROXY_VWM_EN</t>
        </r>
      </text>
    </comment>
    <comment ref="AT157" authorId="0" shapeId="0" xr:uid="{DC02E173-B872-4A7B-96E2-9A686EC4D23F}">
      <text>
        <r>
          <rPr>
            <b/>
            <sz val="9"/>
            <color indexed="81"/>
            <rFont val="Tahoma"/>
            <family val="2"/>
          </rPr>
          <t>Author:</t>
        </r>
        <r>
          <rPr>
            <sz val="9"/>
            <color indexed="81"/>
            <rFont val="Tahoma"/>
            <family val="2"/>
          </rPr>
          <t xml:space="preserve">
GPIO_PROXY_VWM_EN</t>
        </r>
      </text>
    </comment>
    <comment ref="AV157" authorId="0" shapeId="0" xr:uid="{7005FD04-A36D-48DF-AF7C-11A88B4695A5}">
      <text>
        <r>
          <rPr>
            <b/>
            <sz val="9"/>
            <color indexed="81"/>
            <rFont val="Tahoma"/>
            <family val="2"/>
          </rPr>
          <t>Author:</t>
        </r>
        <r>
          <rPr>
            <sz val="9"/>
            <color indexed="81"/>
            <rFont val="Tahoma"/>
            <family val="2"/>
          </rPr>
          <t xml:space="preserve">
GPIO_PROXY_VWM_EN</t>
        </r>
      </text>
    </comment>
    <comment ref="AW15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7" authorId="0" shapeId="0" xr:uid="{1F0A900C-735F-4E78-BE90-CF659EBCE6CB}">
      <text>
        <r>
          <rPr>
            <b/>
            <sz val="9"/>
            <color indexed="81"/>
            <rFont val="Tahoma"/>
            <family val="2"/>
          </rPr>
          <t>Author:</t>
        </r>
        <r>
          <rPr>
            <sz val="9"/>
            <color indexed="81"/>
            <rFont val="Tahoma"/>
            <family val="2"/>
          </rPr>
          <t xml:space="preserve">
GPIO_PROXY_VWM_EN</t>
        </r>
      </text>
    </comment>
    <comment ref="AZ157" authorId="0" shapeId="0" xr:uid="{FA1DDABB-949D-49DB-AB26-CB49083F0C2C}">
      <text>
        <r>
          <rPr>
            <b/>
            <sz val="9"/>
            <color indexed="81"/>
            <rFont val="Tahoma"/>
            <family val="2"/>
          </rPr>
          <t>Author:</t>
        </r>
        <r>
          <rPr>
            <sz val="9"/>
            <color indexed="81"/>
            <rFont val="Tahoma"/>
            <family val="2"/>
          </rPr>
          <t xml:space="preserve">
GPIO_PROXY_VWM_EN</t>
        </r>
      </text>
    </comment>
    <comment ref="BB157" authorId="0" shapeId="0" xr:uid="{468D7F8F-740B-4050-BAC4-E779FE3D7B19}">
      <text>
        <r>
          <rPr>
            <b/>
            <sz val="9"/>
            <color indexed="81"/>
            <rFont val="Tahoma"/>
            <family val="2"/>
          </rPr>
          <t>Author:</t>
        </r>
        <r>
          <rPr>
            <sz val="9"/>
            <color indexed="81"/>
            <rFont val="Tahoma"/>
            <family val="2"/>
          </rPr>
          <t xml:space="preserve">
GPIO_PROXY_VWM_EN</t>
        </r>
      </text>
    </comment>
    <comment ref="BF157" authorId="0" shapeId="0" xr:uid="{CE073B92-1C0C-4CCA-936B-FBA13EDE0056}">
      <text>
        <r>
          <rPr>
            <b/>
            <sz val="9"/>
            <color indexed="81"/>
            <rFont val="Tahoma"/>
            <family val="2"/>
          </rPr>
          <t>Author:</t>
        </r>
        <r>
          <rPr>
            <sz val="9"/>
            <color indexed="81"/>
            <rFont val="Tahoma"/>
            <family val="2"/>
          </rPr>
          <t xml:space="preserve">
GPIO_PROXY_VWM_EN</t>
        </r>
      </text>
    </comment>
    <comment ref="BH157" authorId="0" shapeId="0" xr:uid="{5F86D480-2214-4EBD-95D3-BE959820AED0}">
      <text>
        <r>
          <rPr>
            <b/>
            <sz val="9"/>
            <color indexed="81"/>
            <rFont val="Tahoma"/>
            <family val="2"/>
          </rPr>
          <t>Author:</t>
        </r>
        <r>
          <rPr>
            <sz val="9"/>
            <color indexed="81"/>
            <rFont val="Tahoma"/>
            <family val="2"/>
          </rPr>
          <t xml:space="preserve">
GPIO_PROXY_VWM_EN</t>
        </r>
      </text>
    </comment>
    <comment ref="BM157" authorId="0" shapeId="0" xr:uid="{AA85F158-E9D0-49AB-901C-6E2EDE80E571}">
      <text>
        <r>
          <rPr>
            <b/>
            <sz val="9"/>
            <color indexed="81"/>
            <rFont val="Tahoma"/>
            <family val="2"/>
          </rPr>
          <t>Author:</t>
        </r>
        <r>
          <rPr>
            <sz val="9"/>
            <color indexed="81"/>
            <rFont val="Tahoma"/>
            <family val="2"/>
          </rPr>
          <t xml:space="preserve">
GPIO_PROXY_VWM_EN</t>
        </r>
      </text>
    </comment>
    <comment ref="BS157" authorId="0" shapeId="0" xr:uid="{EE87AF89-33E8-4D36-B87B-DEEE978DF464}">
      <text>
        <r>
          <rPr>
            <b/>
            <sz val="9"/>
            <color indexed="81"/>
            <rFont val="Tahoma"/>
            <family val="2"/>
          </rPr>
          <t>Author:</t>
        </r>
        <r>
          <rPr>
            <sz val="9"/>
            <color indexed="81"/>
            <rFont val="Tahoma"/>
            <family val="2"/>
          </rPr>
          <t xml:space="preserve">
GPIO_PROXY_VWM_EN</t>
        </r>
      </text>
    </comment>
    <comment ref="C15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8"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8"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8"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Q15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8"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9" authorId="0" shapeId="0" xr:uid="{FA611747-0F89-4A59-BBE0-EF602001B90A}">
      <text>
        <r>
          <rPr>
            <b/>
            <sz val="9"/>
            <color indexed="81"/>
            <rFont val="Tahoma"/>
            <family val="2"/>
          </rPr>
          <t>Author:</t>
        </r>
        <r>
          <rPr>
            <sz val="9"/>
            <color indexed="81"/>
            <rFont val="Tahoma"/>
            <family val="2"/>
          </rPr>
          <t xml:space="preserve">
GSC Measurement</t>
        </r>
      </text>
    </comment>
    <comment ref="BO159"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R159"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9"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6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6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6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6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2" authorId="0" shapeId="0" xr:uid="{00000000-0006-0000-0100-00007D000000}">
      <text>
        <r>
          <rPr>
            <sz val="9"/>
            <color indexed="81"/>
            <rFont val="Tahoma"/>
            <family val="2"/>
          </rPr>
          <t>Added 9/28/18.
PCR: 2205532397</t>
        </r>
      </text>
    </comment>
    <comment ref="AU16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2"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O162"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3" authorId="0" shapeId="0" xr:uid="{00000000-0006-0000-0100-00007E000000}">
      <text>
        <r>
          <rPr>
            <b/>
            <sz val="9"/>
            <color indexed="81"/>
            <rFont val="Tahoma"/>
            <family val="2"/>
          </rPr>
          <t>No PUNIT in CDF.  Added as backup</t>
        </r>
        <r>
          <rPr>
            <sz val="9"/>
            <color indexed="81"/>
            <rFont val="Tahoma"/>
            <family val="2"/>
          </rPr>
          <t xml:space="preserve">
</t>
        </r>
      </text>
    </comment>
    <comment ref="AS16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3"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3"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S163"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4" authorId="0" shapeId="0" xr:uid="{C4E436D1-E09E-4B61-87AB-51F86032D343}">
      <text>
        <r>
          <rPr>
            <b/>
            <sz val="9"/>
            <color indexed="81"/>
            <rFont val="Tahoma"/>
            <family val="2"/>
          </rPr>
          <t>Author:</t>
        </r>
        <r>
          <rPr>
            <sz val="9"/>
            <color indexed="81"/>
            <rFont val="Tahoma"/>
            <family val="2"/>
          </rPr>
          <t xml:space="preserve">
Reserved  - not POR yet</t>
        </r>
      </text>
    </comment>
    <comment ref="AS16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4"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P164"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4" authorId="0" shapeId="0" xr:uid="{8B4D3673-3322-4D16-A28D-6B47F1F3FEF9}">
      <text>
        <r>
          <rPr>
            <b/>
            <sz val="9"/>
            <color indexed="81"/>
            <rFont val="Tahoma"/>
            <family val="2"/>
          </rPr>
          <t>Author:</t>
        </r>
        <r>
          <rPr>
            <sz val="9"/>
            <color indexed="81"/>
            <rFont val="Tahoma"/>
            <family val="2"/>
          </rPr>
          <t xml:space="preserve">
Reserved  - not POR yet</t>
        </r>
      </text>
    </comment>
    <comment ref="BS164"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5" authorId="0" shapeId="0" xr:uid="{00000000-0006-0000-0100-000081000000}">
      <text>
        <r>
          <rPr>
            <b/>
            <sz val="9"/>
            <color indexed="81"/>
            <rFont val="Tahoma"/>
            <family val="2"/>
          </rPr>
          <t>Author:</t>
        </r>
        <r>
          <rPr>
            <sz val="9"/>
            <color indexed="81"/>
            <rFont val="Tahoma"/>
            <family val="2"/>
          </rPr>
          <t xml:space="preserve">
^^ CNV is discrete in LKF</t>
        </r>
      </text>
    </comment>
    <comment ref="AB165" authorId="0" shapeId="0" xr:uid="{00000000-0006-0000-0100-000082000000}">
      <text>
        <r>
          <rPr>
            <b/>
            <sz val="9"/>
            <color indexed="81"/>
            <rFont val="Tahoma"/>
            <family val="2"/>
          </rPr>
          <t>Author:</t>
        </r>
        <r>
          <rPr>
            <sz val="9"/>
            <color indexed="81"/>
            <rFont val="Tahoma"/>
            <family val="2"/>
          </rPr>
          <t xml:space="preserve">
^^ CNV is discrete in LKF</t>
        </r>
      </text>
    </comment>
    <comment ref="AD16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5"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5"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5"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O165"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P165"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R165"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6"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6"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6" authorId="0" shapeId="0" xr:uid="{CE54ACAE-3499-4426-BA69-F6A6B4C0C600}">
      <text>
        <r>
          <rPr>
            <b/>
            <sz val="9"/>
            <color indexed="81"/>
            <rFont val="Tahoma"/>
            <family val="2"/>
          </rPr>
          <t>Author:</t>
        </r>
        <r>
          <rPr>
            <sz val="9"/>
            <color indexed="81"/>
            <rFont val="Tahoma"/>
            <family val="2"/>
          </rPr>
          <t xml:space="preserve">
This will be removed.</t>
        </r>
      </text>
    </comment>
    <comment ref="AS16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6"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6"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O166"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P166"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Q16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6" authorId="0" shapeId="0" xr:uid="{57E1B533-C036-4455-96B2-BE45140C9819}">
      <text>
        <r>
          <rPr>
            <b/>
            <sz val="9"/>
            <color indexed="81"/>
            <rFont val="Tahoma"/>
            <family val="2"/>
          </rPr>
          <t>Author:</t>
        </r>
        <r>
          <rPr>
            <sz val="9"/>
            <color indexed="81"/>
            <rFont val="Tahoma"/>
            <family val="2"/>
          </rPr>
          <t xml:space="preserve">
This will be removed.</t>
        </r>
      </text>
    </comment>
    <comment ref="BS166"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993507E-CF74-45D6-874F-7BC2978070BF}">
      <text/>
    </comment>
    <comment ref="BF16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B707696-D251-48AA-97D3-A85D0E13F987}">
      <text/>
    </comment>
    <comment ref="BM167"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41B400C0-5487-4B71-A827-304D5A356713}">
      <text/>
    </comment>
    <comment ref="BS167"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8"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9"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9"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7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7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7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7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7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7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0"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70"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0"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70"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7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7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1"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71"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1"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71"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2"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2"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2"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2"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2"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2"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3"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3"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4" authorId="0" shapeId="0" xr:uid="{5D6EA251-6178-4A58-A735-495C4E27DAEC}">
      <text>
        <r>
          <rPr>
            <b/>
            <sz val="9"/>
            <color indexed="81"/>
            <rFont val="Tahoma"/>
            <family val="2"/>
          </rPr>
          <t>Author:</t>
        </r>
        <r>
          <rPr>
            <sz val="9"/>
            <color indexed="81"/>
            <rFont val="Tahoma"/>
            <family val="2"/>
          </rPr>
          <t xml:space="preserve">
confirm if any FW usage</t>
        </r>
      </text>
    </comment>
    <comment ref="AC175" authorId="0" shapeId="0" xr:uid="{00000000-0006-0000-0100-0000A0000000}">
      <text>
        <r>
          <rPr>
            <b/>
            <sz val="9"/>
            <color indexed="81"/>
            <rFont val="Tahoma"/>
            <family val="2"/>
          </rPr>
          <t xml:space="preserve">LP=LPSS
</t>
        </r>
        <r>
          <rPr>
            <sz val="9"/>
            <color indexed="81"/>
            <rFont val="Tahoma"/>
            <family val="2"/>
          </rPr>
          <t xml:space="preserve">
</t>
        </r>
      </text>
    </comment>
    <comment ref="AR17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5"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5"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9"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9"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9"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9"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1000000}">
      <text>
        <r>
          <rPr>
            <b/>
            <sz val="9"/>
            <color indexed="81"/>
            <rFont val="Tahoma"/>
            <family val="2"/>
          </rPr>
          <t xml:space="preserve">LPSS-UART
</t>
        </r>
        <r>
          <rPr>
            <sz val="9"/>
            <color indexed="81"/>
            <rFont val="Tahoma"/>
            <family val="2"/>
          </rPr>
          <t xml:space="preserve">
</t>
        </r>
      </text>
    </comment>
    <comment ref="AR18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0"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2" authorId="0" shapeId="0" xr:uid="{00000000-0006-0000-0100-0000A2000000}">
      <text>
        <r>
          <rPr>
            <b/>
            <sz val="9"/>
            <color indexed="81"/>
            <rFont val="Tahoma"/>
            <family val="2"/>
          </rPr>
          <t>SATA-SMART</t>
        </r>
        <r>
          <rPr>
            <sz val="9"/>
            <color indexed="81"/>
            <rFont val="Tahoma"/>
            <family val="2"/>
          </rPr>
          <t xml:space="preserve">
</t>
        </r>
      </text>
    </comment>
    <comment ref="AD18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2"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2"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2"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2"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5" authorId="0" shapeId="0" xr:uid="{D38AFD17-6895-4C9E-9A9F-976066DABB9B}">
      <text>
        <r>
          <rPr>
            <b/>
            <sz val="9"/>
            <color indexed="81"/>
            <rFont val="Tahoma"/>
            <family val="2"/>
          </rPr>
          <t>Author:</t>
        </r>
        <r>
          <rPr>
            <sz val="9"/>
            <color indexed="81"/>
            <rFont val="Tahoma"/>
            <family val="2"/>
          </rPr>
          <t xml:space="preserve">
INCLUDE_MROM</t>
        </r>
      </text>
    </comment>
    <comment ref="AT185" authorId="0" shapeId="0" xr:uid="{681B3753-FF9E-45CD-9B4E-52194D7E76ED}">
      <text>
        <r>
          <rPr>
            <b/>
            <sz val="9"/>
            <color indexed="81"/>
            <rFont val="Tahoma"/>
            <family val="2"/>
          </rPr>
          <t>Author:</t>
        </r>
        <r>
          <rPr>
            <sz val="9"/>
            <color indexed="81"/>
            <rFont val="Tahoma"/>
            <family val="2"/>
          </rPr>
          <t xml:space="preserve">
INCLUDE_MROM</t>
        </r>
      </text>
    </comment>
    <comment ref="AV185" authorId="0" shapeId="0" xr:uid="{8E88AEB8-5FE2-4922-88A6-CE76E5AA5592}">
      <text>
        <r>
          <rPr>
            <b/>
            <sz val="9"/>
            <color indexed="81"/>
            <rFont val="Tahoma"/>
            <family val="2"/>
          </rPr>
          <t>Author:</t>
        </r>
        <r>
          <rPr>
            <sz val="9"/>
            <color indexed="81"/>
            <rFont val="Tahoma"/>
            <family val="2"/>
          </rPr>
          <t xml:space="preserve">
INCLUDE_MROM</t>
        </r>
      </text>
    </comment>
    <comment ref="AX185" authorId="0" shapeId="0" xr:uid="{AFB7E78D-8F50-4A92-BD6C-E08A018611EB}">
      <text>
        <r>
          <rPr>
            <b/>
            <sz val="9"/>
            <color indexed="81"/>
            <rFont val="Tahoma"/>
            <family val="2"/>
          </rPr>
          <t>Author:</t>
        </r>
        <r>
          <rPr>
            <sz val="9"/>
            <color indexed="81"/>
            <rFont val="Tahoma"/>
            <family val="2"/>
          </rPr>
          <t xml:space="preserve">
INCLUDE_MROM</t>
        </r>
      </text>
    </comment>
    <comment ref="AY185" authorId="0" shapeId="0" xr:uid="{8C2E2DB9-2E0F-4715-8924-10E7F2B7CCCD}">
      <text>
        <r>
          <rPr>
            <b/>
            <sz val="9"/>
            <color indexed="81"/>
            <rFont val="Tahoma"/>
            <family val="2"/>
          </rPr>
          <t>Author:</t>
        </r>
        <r>
          <rPr>
            <sz val="9"/>
            <color indexed="81"/>
            <rFont val="Tahoma"/>
            <family val="2"/>
          </rPr>
          <t xml:space="preserve">
INCLUDE_MROM</t>
        </r>
      </text>
    </comment>
    <comment ref="AZ185" authorId="0" shapeId="0" xr:uid="{DCFA4564-8C8A-4D40-9D6E-64AB94C33E56}">
      <text>
        <r>
          <rPr>
            <b/>
            <sz val="9"/>
            <color indexed="81"/>
            <rFont val="Tahoma"/>
            <family val="2"/>
          </rPr>
          <t>Author:</t>
        </r>
        <r>
          <rPr>
            <sz val="9"/>
            <color indexed="81"/>
            <rFont val="Tahoma"/>
            <family val="2"/>
          </rPr>
          <t xml:space="preserve">
INCLUDE_MROM</t>
        </r>
      </text>
    </comment>
    <comment ref="BB185" authorId="0" shapeId="0" xr:uid="{7C5671DB-C369-453C-BDFC-4836796D95C2}">
      <text>
        <r>
          <rPr>
            <b/>
            <sz val="9"/>
            <color indexed="81"/>
            <rFont val="Tahoma"/>
            <family val="2"/>
          </rPr>
          <t>Author:</t>
        </r>
        <r>
          <rPr>
            <sz val="9"/>
            <color indexed="81"/>
            <rFont val="Tahoma"/>
            <family val="2"/>
          </rPr>
          <t xml:space="preserve">
INCLUDE_MROM</t>
        </r>
      </text>
    </comment>
    <comment ref="BD185" authorId="0" shapeId="0" xr:uid="{FA64C32A-C8D8-44DA-8740-74C89B7493EC}">
      <text>
        <r>
          <rPr>
            <b/>
            <sz val="9"/>
            <color indexed="81"/>
            <rFont val="Tahoma"/>
            <family val="2"/>
          </rPr>
          <t>Author:</t>
        </r>
        <r>
          <rPr>
            <sz val="9"/>
            <color indexed="81"/>
            <rFont val="Tahoma"/>
            <family val="2"/>
          </rPr>
          <t xml:space="preserve">
INCLUDE_MROM</t>
        </r>
      </text>
    </comment>
    <comment ref="BE185" authorId="0" shapeId="0" xr:uid="{C6A0402C-7DE3-471F-8594-957E6C2E3ACF}">
      <text>
        <r>
          <rPr>
            <b/>
            <sz val="9"/>
            <color indexed="81"/>
            <rFont val="Tahoma"/>
            <family val="2"/>
          </rPr>
          <t>Author:</t>
        </r>
        <r>
          <rPr>
            <sz val="9"/>
            <color indexed="81"/>
            <rFont val="Tahoma"/>
            <family val="2"/>
          </rPr>
          <t xml:space="preserve">
INCLUDE_MROM</t>
        </r>
      </text>
    </comment>
    <comment ref="BF185" authorId="0" shapeId="0" xr:uid="{E5321B5B-5D63-44BD-8249-E43F48F755E7}">
      <text>
        <r>
          <rPr>
            <b/>
            <sz val="9"/>
            <color indexed="81"/>
            <rFont val="Tahoma"/>
            <family val="2"/>
          </rPr>
          <t>Author:</t>
        </r>
        <r>
          <rPr>
            <sz val="9"/>
            <color indexed="81"/>
            <rFont val="Tahoma"/>
            <family val="2"/>
          </rPr>
          <t xml:space="preserve">
INCLUDE_MROM</t>
        </r>
      </text>
    </comment>
    <comment ref="BH185" authorId="0" shapeId="0" xr:uid="{FEA0F16A-807C-4CA3-BB70-0E72FBB402FF}">
      <text>
        <r>
          <rPr>
            <b/>
            <sz val="9"/>
            <color indexed="81"/>
            <rFont val="Tahoma"/>
            <family val="2"/>
          </rPr>
          <t>Author:</t>
        </r>
        <r>
          <rPr>
            <sz val="9"/>
            <color indexed="81"/>
            <rFont val="Tahoma"/>
            <family val="2"/>
          </rPr>
          <t xml:space="preserve">
INCLUDE_MROM</t>
        </r>
      </text>
    </comment>
    <comment ref="BK185" authorId="0" shapeId="0" xr:uid="{9713AEE5-C127-4C47-A78F-4896AC5D8511}">
      <text>
        <r>
          <rPr>
            <b/>
            <sz val="9"/>
            <color indexed="81"/>
            <rFont val="Tahoma"/>
            <family val="2"/>
          </rPr>
          <t>Author:</t>
        </r>
        <r>
          <rPr>
            <sz val="9"/>
            <color indexed="81"/>
            <rFont val="Tahoma"/>
            <family val="2"/>
          </rPr>
          <t xml:space="preserve">
INCLUDE_MROM</t>
        </r>
      </text>
    </comment>
    <comment ref="BM185" authorId="0" shapeId="0" xr:uid="{5923FA06-FAAC-440E-B32D-792940C74863}">
      <text>
        <r>
          <rPr>
            <b/>
            <sz val="9"/>
            <color indexed="81"/>
            <rFont val="Tahoma"/>
            <family val="2"/>
          </rPr>
          <t>Author:</t>
        </r>
        <r>
          <rPr>
            <sz val="9"/>
            <color indexed="81"/>
            <rFont val="Tahoma"/>
            <family val="2"/>
          </rPr>
          <t xml:space="preserve">
INCLUDE_MROM</t>
        </r>
      </text>
    </comment>
    <comment ref="BO185" authorId="0" shapeId="0" xr:uid="{256B1C84-3539-40EA-B739-D29F22D2F908}">
      <text>
        <r>
          <rPr>
            <b/>
            <sz val="9"/>
            <color indexed="81"/>
            <rFont val="Tahoma"/>
            <family val="2"/>
          </rPr>
          <t>Author:</t>
        </r>
        <r>
          <rPr>
            <sz val="9"/>
            <color indexed="81"/>
            <rFont val="Tahoma"/>
            <family val="2"/>
          </rPr>
          <t xml:space="preserve">
INCLUDE_MROM</t>
        </r>
      </text>
    </comment>
    <comment ref="BQ185" authorId="0" shapeId="0" xr:uid="{ADE0D9F4-81AF-4640-9F56-DC1BD081A46D}">
      <text>
        <r>
          <rPr>
            <b/>
            <sz val="9"/>
            <color indexed="81"/>
            <rFont val="Tahoma"/>
            <family val="2"/>
          </rPr>
          <t>Author:</t>
        </r>
        <r>
          <rPr>
            <sz val="9"/>
            <color indexed="81"/>
            <rFont val="Tahoma"/>
            <family val="2"/>
          </rPr>
          <t xml:space="preserve">
INCLUDE_MROM</t>
        </r>
      </text>
    </comment>
    <comment ref="BS185" authorId="0" shapeId="0" xr:uid="{20BFD38C-9992-4EE6-8761-91384412842B}">
      <text>
        <r>
          <rPr>
            <b/>
            <sz val="9"/>
            <color indexed="81"/>
            <rFont val="Tahoma"/>
            <family val="2"/>
          </rPr>
          <t>Author:</t>
        </r>
        <r>
          <rPr>
            <sz val="9"/>
            <color indexed="81"/>
            <rFont val="Tahoma"/>
            <family val="2"/>
          </rPr>
          <t xml:space="preserve">
INCLUDE_MROM</t>
        </r>
      </text>
    </comment>
    <comment ref="BE188"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8"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9"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9"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9"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90"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90"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90"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90"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90"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90"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2"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2"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2"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2"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2"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2"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4"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4"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4"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4"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4"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5"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5"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5"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8" authorId="0" shapeId="0" xr:uid="{00000000-0006-0000-0100-0000AC000000}">
      <text>
        <r>
          <rPr>
            <b/>
            <sz val="9"/>
            <color indexed="81"/>
            <rFont val="Tahoma"/>
            <family val="2"/>
          </rPr>
          <t>Supports MSIs and wakes to CSE FW</t>
        </r>
        <r>
          <rPr>
            <sz val="9"/>
            <color indexed="81"/>
            <rFont val="Tahoma"/>
            <family val="2"/>
          </rPr>
          <t xml:space="preserve">
</t>
        </r>
      </text>
    </comment>
    <comment ref="BE198"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8"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8"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2"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5"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5"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7" authorId="0" shapeId="0" xr:uid="{7C36B24F-E87F-4A53-9A77-C7821B7F33B3}">
      <text>
        <r>
          <rPr>
            <b/>
            <sz val="9"/>
            <color indexed="81"/>
            <rFont val="Tahoma"/>
            <family val="2"/>
          </rPr>
          <t xml:space="preserve">Author:
</t>
        </r>
      </text>
    </comment>
    <comment ref="C208"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9"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10"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5"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76E2169A-2C65-4C4D-8AA8-B93574B4039E}">
      <text>
        <r>
          <rPr>
            <b/>
            <sz val="9"/>
            <color indexed="81"/>
            <rFont val="Tahoma"/>
            <family val="2"/>
          </rPr>
          <t>Author:</t>
        </r>
        <r>
          <rPr>
            <sz val="9"/>
            <color indexed="81"/>
            <rFont val="Tahoma"/>
            <family val="2"/>
          </rPr>
          <t xml:space="preserve">
768 Bytes</t>
        </r>
      </text>
    </comment>
    <comment ref="BP216" authorId="0" shapeId="0" xr:uid="{2E6076D2-B373-43BD-A592-9390EE8CA73C}">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2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2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2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9"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9"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P22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2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1" authorId="0" shapeId="0" xr:uid="{00000000-0006-0000-0100-0000BB000000}">
      <text>
        <r>
          <rPr>
            <b/>
            <sz val="9"/>
            <color indexed="81"/>
            <rFont val="Tahoma"/>
            <family val="2"/>
          </rPr>
          <t>* To be further limited by SOC.</t>
        </r>
        <r>
          <rPr>
            <sz val="9"/>
            <color indexed="81"/>
            <rFont val="Tahoma"/>
            <family val="2"/>
          </rPr>
          <t xml:space="preserve">
</t>
        </r>
      </text>
    </comment>
    <comment ref="T231" authorId="0" shapeId="0" xr:uid="{00000000-0006-0000-0100-0000BC000000}">
      <text>
        <r>
          <rPr>
            <b/>
            <sz val="9"/>
            <color indexed="81"/>
            <rFont val="Tahoma"/>
            <family val="2"/>
          </rPr>
          <t>* To be further limited by SOC.</t>
        </r>
        <r>
          <rPr>
            <sz val="9"/>
            <color indexed="81"/>
            <rFont val="Tahoma"/>
            <family val="2"/>
          </rPr>
          <t xml:space="preserve">
</t>
        </r>
      </text>
    </comment>
    <comment ref="X23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1" authorId="0" shapeId="0" xr:uid="{00000000-0006-0000-0100-0000C4000000}">
      <text>
        <r>
          <rPr>
            <b/>
            <sz val="9"/>
            <color indexed="81"/>
            <rFont val="Tahoma"/>
            <family val="2"/>
          </rPr>
          <t>No PECI Pin in DNV</t>
        </r>
        <r>
          <rPr>
            <sz val="9"/>
            <color indexed="81"/>
            <rFont val="Tahoma"/>
            <family val="2"/>
          </rPr>
          <t xml:space="preserve">
</t>
        </r>
      </text>
    </comment>
    <comment ref="W24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1" authorId="0" shapeId="0" xr:uid="{00000000-0006-0000-0100-0000C7000000}">
      <text>
        <r>
          <rPr>
            <b/>
            <sz val="9"/>
            <color indexed="81"/>
            <rFont val="Tahoma"/>
            <family val="2"/>
          </rPr>
          <t>No Vnn removal support</t>
        </r>
        <r>
          <rPr>
            <sz val="9"/>
            <color indexed="81"/>
            <rFont val="Tahoma"/>
            <family val="2"/>
          </rPr>
          <t xml:space="preserve">
</t>
        </r>
      </text>
    </comment>
    <comment ref="AI241" authorId="0" shapeId="0" xr:uid="{00000000-0006-0000-0100-0000C8000000}">
      <text>
        <r>
          <rPr>
            <b/>
            <sz val="9"/>
            <color indexed="81"/>
            <rFont val="Tahoma"/>
            <family val="2"/>
          </rPr>
          <t>No Vnn removal support</t>
        </r>
        <r>
          <rPr>
            <sz val="9"/>
            <color indexed="81"/>
            <rFont val="Tahoma"/>
            <family val="2"/>
          </rPr>
          <t xml:space="preserve">
</t>
        </r>
      </text>
    </comment>
    <comment ref="AU24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4" authorId="0" shapeId="0" xr:uid="{00000000-0006-0000-0100-0000CE000000}">
      <text>
        <r>
          <rPr>
            <b/>
            <sz val="9"/>
            <color indexed="81"/>
            <rFont val="Tahoma"/>
            <family val="2"/>
          </rPr>
          <t>PCR 220850427</t>
        </r>
        <r>
          <rPr>
            <sz val="9"/>
            <color indexed="81"/>
            <rFont val="Tahoma"/>
            <family val="2"/>
          </rPr>
          <t xml:space="preserve">
</t>
        </r>
      </text>
    </comment>
    <comment ref="AH24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6"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6"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Q24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6"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8" authorId="0" shapeId="0" xr:uid="{E780B7E2-86E0-428B-808D-113171EFFB63}">
      <text>
        <r>
          <rPr>
            <sz val="9"/>
            <color indexed="81"/>
            <rFont val="Tahoma"/>
            <family val="2"/>
          </rPr>
          <t>9 July 2021 sianglin:
Channel 0 is for ESE, Channel 1 is for OSSE</t>
        </r>
      </text>
    </comment>
    <comment ref="BJ248" authorId="0" shapeId="0" xr:uid="{33030366-671D-481B-A280-C9C856921465}">
      <text>
        <r>
          <rPr>
            <sz val="9"/>
            <color indexed="81"/>
            <rFont val="Tahoma"/>
            <family val="2"/>
          </rPr>
          <t>9 July 2021 sianglin:
Channel 0 is for ESE, Channel 1 is for OSSE</t>
        </r>
      </text>
    </comment>
    <comment ref="BN248" authorId="0" shapeId="0" xr:uid="{74480E5F-209C-421D-913D-EF97AAA71E3B}">
      <text>
        <r>
          <rPr>
            <sz val="9"/>
            <color indexed="81"/>
            <rFont val="Tahoma"/>
            <family val="2"/>
          </rPr>
          <t>9 July 2021 sianglin:
Channel 0 is for ESE, Channel 1 is for OSSE</t>
        </r>
      </text>
    </comment>
    <comment ref="BP248" authorId="0" shapeId="0" xr:uid="{85CD9269-8249-4744-886F-5A9438995849}">
      <text>
        <r>
          <rPr>
            <sz val="9"/>
            <color indexed="81"/>
            <rFont val="Tahoma"/>
            <family val="2"/>
          </rPr>
          <t>9 July 2021 sianglin:
Channel 0 is for ESE, Channel 1 is for OSSE</t>
        </r>
      </text>
    </comment>
    <comment ref="AS24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4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4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4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4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4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4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49"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4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4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Q24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49"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0" authorId="0" shapeId="0" xr:uid="{00000000-0006-0000-0100-0000D3000000}">
      <text>
        <r>
          <rPr>
            <b/>
            <sz val="9"/>
            <color indexed="81"/>
            <rFont val="Tahoma"/>
            <family val="2"/>
          </rPr>
          <t xml:space="preserve">* DNV will have same FSC
block in IE SIP but will only
expose half of it on SoC
pins
</t>
        </r>
      </text>
    </comment>
    <comment ref="W25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2" authorId="0" shapeId="0" xr:uid="{00000000-0006-0000-0100-0000D5000000}">
      <text>
        <r>
          <rPr>
            <b/>
            <sz val="9"/>
            <color indexed="81"/>
            <rFont val="Tahoma"/>
            <family val="2"/>
          </rPr>
          <t>Standalone SMS (PCR 1209633796)</t>
        </r>
        <r>
          <rPr>
            <sz val="9"/>
            <color indexed="81"/>
            <rFont val="Tahoma"/>
            <family val="2"/>
          </rPr>
          <t xml:space="preserve">
</t>
        </r>
      </text>
    </comment>
    <comment ref="AD25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<sst xmlns="http://schemas.openxmlformats.org/spreadsheetml/2006/main" count="27036" uniqueCount="1521">
  <si>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</si>
  <si>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</si>
  <si>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</si>
  <si>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</si>
  <si>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</si>
  <si>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</si>
  <si>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</si>
  <si>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</si>
  <si>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</si>
  <si>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</si>
  <si>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</si>
  <si>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</si>
  <si>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</si>
  <si>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</si>
  <si>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</si>
  <si>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</si>
  <si>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</si>
  <si>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</si>
  <si>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</si>
  <si>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</si>
  <si>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</si>
  <si>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</si>
  <si>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</si>
  <si>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</si>
  <si>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</si>
  <si>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</si>
  <si>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</si>
  <si>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</si>
  <si>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</si>
  <si>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</si>
  <si>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</si>
  <si>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</si>
  <si>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</si>
  <si>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</si>
  <si>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</si>
  <si>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</si>
  <si>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</si>
  <si>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</si>
  <si>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</si>
  <si>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</si>
  <si>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</si>
  <si>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</si>
  <si>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</si>
  <si>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</si>
  <si>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</si>
  <si>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</si>
  <si>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</si>
  <si>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</si>
  <si>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</si>
  <si>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</si>
  <si>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</si>
  <si>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</si>
  <si>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</si>
  <si>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</si>
  <si>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</si>
  <si>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</si>
  <si>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</si>
  <si>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</si>
  <si>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</si>
  <si>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</si>
  <si>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</si>
  <si>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</si>
  <si>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</si>
  <si>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</si>
  <si>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</si>
  <si>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</si>
  <si>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</si>
  <si>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</si>
  <si>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</si>
  <si>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</si>
  <si>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</si>
  <si>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</si>
  <si>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</si>
  <si>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</si>
  <si>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</si>
  <si>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</si>
  <si>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</si>
  <si>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</si>
  <si>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</si>
  <si>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</si>
  <si>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</si>
  <si>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</si>
  <si>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</si>
  <si>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</si>
  <si>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</si>
  <si>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</si>
  <si>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</si>
  <si>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</si>
  <si>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</si>
  <si>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</si>
  <si>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</si>
  <si>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</si>
  <si>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</si>
  <si>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</si>
  <si>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</si>
  <si>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</si>
  <si>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</si>
  <si>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</si>
  <si>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</si>
  <si>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</si>
  <si>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</si>
  <si>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</si>
  <si>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</si>
  <si>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</si>
  <si>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</si>
  <si>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</si>
  <si>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</si>
  <si>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</si>
  <si>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</si>
  <si>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</si>
  <si>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</si>
  <si>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</si>
  <si>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</si>
  <si>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</si>
  <si>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</si>
  <si>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</si>
  <si>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</si>
  <si>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</si>
  <si>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</si>
  <si>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</si>
  <si>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</si>
  <si>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</si>
  <si>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</si>
  <si>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</si>
  <si>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</si>
  <si>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</si>
  <si>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</si>
  <si>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</si>
  <si>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</si>
  <si>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</si>
  <si>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</si>
  <si>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</si>
  <si>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</si>
  <si>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</si>
  <si>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</si>
  <si>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</si>
  <si>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</si>
  <si>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</si>
  <si>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</si>
  <si>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</si>
  <si>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</si>
  <si>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</si>
  <si>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</si>
  <si>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</si>
  <si>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</si>
  <si>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</si>
  <si>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</si>
  <si>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</si>
  <si>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</si>
  <si>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</si>
  <si>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</si>
  <si>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</si>
  <si>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</si>
  <si>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</si>
  <si>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</si>
  <si>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</si>
  <si>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</si>
  <si>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</si>
  <si>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</si>
  <si>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</si>
  <si>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</si>
  <si>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</si>
  <si>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</si>
  <si>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</si>
  <si>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</si>
  <si>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</si>
  <si>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</si>
  <si>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</si>
  <si>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</si>
  <si>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</si>
  <si>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</si>
  <si>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</si>
  <si>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</si>
  <si>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</si>
  <si>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</si>
  <si>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</si>
  <si>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</si>
  <si>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</si>
  <si>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</si>
  <si>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</si>
  <si>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</si>
  <si>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</si>
  <si>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</si>
  <si>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</si>
  <si>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</si>
  <si>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</si>
  <si>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</si>
  <si>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</si>
  <si>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</si>
  <si>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</si>
  <si>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</si>
  <si>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</si>
  <si>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</si>
  <si>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</si>
  <si>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</si>
  <si>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</si>
  <si>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</si>
  <si>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</si>
  <si>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</si>
  <si>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</si>
  <si>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</si>
  <si>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</si>
  <si>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</si>
  <si>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</si>
  <si>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</si>
  <si>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</si>
  <si>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</si>
  <si>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</si>
  <si>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</si>
  <si>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</si>
  <si>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</si>
  <si>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</si>
  <si>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</si>
  <si>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</si>
  <si>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</si>
  <si>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</si>
  <si>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</si>
  <si>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</si>
  <si>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</si>
  <si>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</si>
  <si>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</si>
  <si>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</si>
  <si>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</si>
  <si>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</si>
  <si>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</si>
  <si>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</si>
  <si>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</si>
  <si>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</si>
  <si>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</si>
  <si>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</si>
  <si>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</si>
  <si>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</si>
  <si>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</si>
  <si>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</si>
  <si>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</si>
  <si>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</si>
  <si>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</si>
  <si>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</si>
  <si>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</si>
  <si>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</si>
  <si>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</si>
  <si>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</si>
  <si>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</si>
  <si>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</si>
  <si>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</si>
  <si>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</si>
  <si>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</si>
  <si>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</si>
  <si>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</si>
  <si>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</si>
  <si>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</si>
  <si>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</si>
  <si>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</si>
  <si>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</si>
  <si>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</si>
  <si>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</si>
  <si>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</si>
  <si>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</si>
  <si>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</si>
  <si>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</si>
  <si>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</si>
  <si>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</si>
  <si>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</si>
  <si>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</si>
  <si>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</si>
  <si>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</si>
  <si>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</si>
  <si>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</si>
  <si>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</si>
  <si>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</si>
  <si>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</si>
  <si>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</si>
  <si>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</si>
  <si>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</si>
  <si>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</si>
  <si>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</si>
  <si>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</si>
  <si>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</si>
  <si>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</si>
  <si>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</si>
  <si>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</si>
  <si>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</si>
  <si>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</si>
  <si>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</si>
  <si>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</si>
  <si>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</si>
  <si>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</si>
  <si>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</si>
  <si>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</si>
  <si>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</si>
  <si>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</si>
  <si>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</si>
  <si>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</si>
  <si>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</si>
  <si>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</si>
  <si>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</si>
  <si>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</si>
  <si>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</si>
  <si>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</si>
  <si>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</si>
  <si>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</si>
  <si>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</si>
  <si>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</si>
  <si>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</si>
  <si>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</si>
  <si>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</si>
  <si>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</si>
  <si>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</si>
  <si>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</si>
  <si>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</si>
  <si>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</si>
  <si>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</si>
  <si>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</si>
  <si>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</si>
  <si>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</si>
  <si>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</si>
  <si>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</si>
  <si>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</si>
  <si>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</si>
  <si>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</si>
  <si>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</si>
  <si>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</si>
  <si>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</si>
  <si>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</si>
  <si>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</si>
  <si>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</si>
  <si>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</si>
  <si>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</si>
  <si>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</si>
  <si>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</si>
  <si>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</si>
  <si>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</si>
  <si>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</si>
  <si>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</si>
  <si>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</si>
  <si>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</si>
  <si>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</si>
  <si>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</si>
  <si>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</si>
  <si>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</si>
  <si>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</si>
  <si>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</si>
  <si>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</si>
  <si>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</si>
  <si>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</si>
  <si>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</si>
  <si>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</si>
  <si>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</si>
  <si>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</si>
  <si>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</si>
  <si>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</si>
  <si>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</si>
  <si>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</si>
  <si>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</si>
  <si>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</si>
  <si>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</si>
  <si>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</si>
  <si>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</si>
  <si>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</si>
  <si>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</si>
  <si>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</si>
  <si>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</si>
  <si>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</si>
  <si>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</si>
  <si>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</si>
  <si>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</si>
  <si>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</si>
  <si>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</si>
  <si>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</si>
  <si>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</si>
  <si>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</si>
  <si>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</si>
  <si>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</si>
  <si>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</si>
  <si>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</si>
  <si>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</si>
  <si>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</si>
  <si>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</si>
  <si>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</si>
  <si>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</si>
  <si>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</si>
  <si>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</si>
  <si>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</si>
  <si>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</si>
  <si>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</si>
  <si>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</si>
  <si>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</si>
  <si>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</si>
  <si>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</si>
  <si>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</si>
  <si>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</si>
  <si>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</si>
  <si>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</si>
  <si>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</si>
  <si>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</si>
  <si>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</si>
  <si>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</si>
  <si>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</si>
  <si>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</si>
  <si>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</si>
  <si>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</si>
  <si>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</si>
  <si>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</si>
  <si>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</si>
  <si>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</si>
  <si>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</si>
  <si>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</si>
  <si>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</si>
  <si>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</si>
  <si>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</si>
  <si>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</si>
  <si>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</si>
  <si>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</si>
  <si>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</si>
  <si>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</si>
  <si>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</si>
  <si>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</si>
  <si>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</si>
  <si>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</si>
  <si>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</si>
  <si>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</si>
  <si>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</si>
  <si>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</si>
  <si>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</si>
  <si>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</si>
  <si>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</si>
  <si>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</si>
  <si>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</si>
  <si>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</si>
  <si>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</si>
  <si>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</si>
  <si>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</si>
  <si>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</si>
  <si>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</si>
  <si>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</si>
  <si>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</si>
  <si>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</si>
  <si>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</si>
  <si>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</si>
  <si>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</si>
  <si>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</si>
  <si>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</si>
  <si>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</si>
  <si>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</si>
  <si>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</si>
  <si>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</si>
  <si>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</si>
  <si>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</si>
  <si>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</si>
  <si>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</si>
  <si>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</si>
  <si>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</si>
  <si>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</si>
  <si>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</si>
  <si>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</si>
  <si>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</si>
  <si>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</si>
  <si>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</si>
  <si>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</si>
  <si>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</si>
  <si>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</si>
  <si>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</si>
  <si>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</si>
  <si>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</si>
  <si>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</si>
  <si>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</si>
  <si>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</si>
  <si>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</si>
  <si>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</si>
  <si>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</si>
  <si>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</si>
  <si>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</si>
  <si>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</si>
  <si>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</si>
  <si>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</si>
  <si>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</si>
  <si>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</si>
  <si>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</si>
  <si>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</si>
  <si>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</si>
  <si>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</si>
  <si>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</si>
  <si>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</si>
  <si>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</si>
  <si>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</si>
  <si>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</si>
  <si>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</si>
  <si>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</si>
  <si>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</si>
  <si>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</si>
  <si>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</si>
  <si>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</si>
  <si>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</si>
  <si>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</si>
  <si>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</si>
  <si>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</si>
  <si>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</si>
  <si>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</si>
  <si>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</si>
  <si>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</si>
  <si>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</si>
  <si>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</si>
  <si>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</si>
  <si>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</si>
  <si>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</si>
  <si>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</si>
  <si>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</si>
  <si>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</si>
  <si>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</si>
  <si>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</si>
  <si>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</si>
  <si>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</si>
  <si>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</si>
  <si>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</si>
  <si>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</si>
  <si>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</si>
  <si>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</si>
  <si>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</si>
  <si>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</si>
  <si>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</si>
  <si>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</si>
  <si>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</si>
  <si>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</si>
  <si>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</si>
  <si>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</si>
  <si>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</si>
  <si>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</si>
  <si>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</si>
  <si>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</si>
  <si>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</si>
  <si>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</si>
  <si>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</si>
  <si>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</si>
  <si>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</si>
  <si>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</si>
  <si>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</si>
  <si>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</si>
  <si>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</si>
  <si>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</si>
  <si>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</si>
  <si>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</si>
  <si>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</si>
  <si>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</si>
  <si>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</si>
  <si>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</si>
  <si>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</si>
  <si>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</si>
  <si>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</si>
  <si>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</si>
  <si>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</si>
  <si>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</si>
  <si>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</si>
  <si>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</si>
  <si>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</si>
  <si>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</si>
  <si>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</si>
  <si>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</si>
  <si>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</si>
  <si>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</si>
  <si>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</si>
  <si>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</si>
  <si>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</si>
  <si>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</si>
  <si>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</si>
  <si>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</si>
  <si>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</si>
  <si>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</si>
  <si>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</si>
  <si>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</si>
  <si>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</si>
  <si>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</si>
  <si>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</si>
  <si>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</si>
  <si>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</si>
  <si>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</si>
  <si>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</si>
  <si>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</si>
  <si>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</si>
  <si>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</si>
  <si>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</si>
  <si>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</si>
  <si>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</si>
  <si>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</si>
  <si>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</si>
  <si>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</si>
  <si>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</si>
  <si>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</si>
  <si>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</si>
  <si>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</si>
  <si>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</si>
  <si>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</si>
  <si>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</si>
  <si>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</si>
  <si>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</si>
  <si>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</si>
  <si>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</si>
  <si>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</si>
  <si>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</si>
  <si>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</si>
  <si>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</si>
  <si>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</si>
  <si>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</si>
  <si>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</si>
  <si>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</si>
  <si>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</si>
  <si>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</si>
  <si>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</si>
  <si>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</si>
  <si>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</si>
  <si>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</si>
  <si>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</si>
  <si>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</si>
  <si>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</si>
  <si>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</si>
  <si>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</si>
  <si>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</si>
  <si>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</si>
  <si>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</si>
  <si>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</si>
  <si>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</si>
  <si>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</si>
  <si>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</si>
  <si>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</si>
  <si>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</si>
  <si>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</si>
  <si>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</si>
  <si>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</si>
  <si>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</si>
  <si>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</si>
  <si>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</si>
  <si>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</si>
  <si>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</si>
  <si>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</si>
  <si>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</si>
  <si>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</si>
  <si>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</si>
  <si>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</si>
  <si>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</si>
  <si>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</si>
  <si>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</si>
  <si>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</si>
  <si>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</si>
  <si>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</si>
  <si>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</si>
  <si>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</si>
  <si>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</si>
  <si>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</si>
  <si>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</si>
  <si>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</si>
  <si>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</si>
  <si>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</si>
  <si>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</si>
  <si>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</si>
  <si>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</si>
  <si>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</si>
  <si>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</si>
  <si>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</si>
  <si>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</si>
  <si>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</si>
  <si>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</si>
  <si>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</si>
  <si>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</si>
  <si>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</si>
  <si>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</si>
  <si>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</si>
  <si>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</si>
  <si>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</si>
  <si>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</si>
  <si>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</si>
  <si>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</si>
  <si>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</si>
  <si>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</si>
  <si>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</si>
  <si>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</si>
  <si>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</si>
  <si>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</si>
  <si>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</si>
  <si>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</si>
  <si>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</si>
  <si>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</si>
  <si>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</si>
  <si>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</si>
  <si>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</si>
  <si>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</si>
  <si>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</si>
  <si>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</si>
  <si>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</si>
  <si>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</si>
  <si>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</si>
  <si>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</si>
  <si>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</si>
  <si>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</si>
  <si>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</si>
  <si>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</si>
  <si>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</si>
  <si>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</si>
  <si>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</si>
  <si>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</si>
  <si>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</si>
  <si>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</si>
  <si>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</si>
  <si>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</si>
  <si>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</si>
  <si>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</si>
  <si>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</si>
  <si>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</si>
  <si>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</si>
  <si>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</si>
  <si>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</si>
  <si>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</si>
  <si>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</si>
  <si>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</si>
  <si>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</si>
  <si>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</si>
  <si>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</si>
  <si>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</si>
  <si>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</si>
  <si>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</si>
  <si>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</si>
  <si>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</si>
  <si>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</si>
  <si>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</si>
  <si>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</si>
  <si>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</si>
  <si>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</si>
  <si>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</si>
  <si>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</si>
  <si>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</si>
  <si>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</si>
  <si>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</si>
  <si>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</si>
  <si>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</si>
  <si>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</si>
  <si>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</si>
  <si>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</si>
  <si>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</si>
  <si>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</si>
  <si>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</si>
  <si>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</si>
  <si>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</si>
  <si>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</si>
  <si>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</si>
  <si>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</si>
  <si>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</si>
  <si>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</si>
  <si>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</si>
  <si>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</si>
  <si>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</si>
  <si>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</si>
  <si>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</si>
  <si>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</si>
  <si>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</si>
  <si>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</si>
  <si>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</si>
  <si>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</si>
  <si>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</si>
  <si>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</si>
  <si>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</si>
  <si>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</si>
  <si>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</si>
  <si>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</si>
  <si>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</si>
  <si>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</si>
  <si>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</si>
  <si>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</si>
  <si>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</si>
  <si>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</si>
  <si>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</si>
  <si>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</si>
  <si>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</si>
  <si>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</si>
  <si>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</si>
  <si>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</si>
  <si>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</si>
  <si>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</si>
  <si>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</si>
  <si>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</si>
  <si>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</si>
  <si>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</si>
  <si>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</si>
  <si>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</si>
  <si>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</si>
  <si>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</si>
  <si>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</si>
  <si>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</si>
  <si>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</si>
  <si>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</si>
  <si>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</si>
  <si>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</si>
  <si>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</si>
  <si>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</si>
  <si>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</si>
  <si>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</si>
  <si>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</si>
  <si>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</si>
  <si>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</si>
  <si>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</si>
  <si>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</si>
  <si>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</si>
  <si>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</si>
  <si>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</si>
  <si>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</si>
  <si>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</si>
  <si>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</si>
  <si>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</si>
  <si>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</si>
  <si>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</si>
  <si>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</si>
  <si>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</si>
  <si>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</si>
  <si>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</si>
  <si>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</si>
  <si>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</si>
  <si>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</si>
  <si>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</si>
  <si>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</si>
  <si>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</si>
  <si>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</si>
  <si>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</si>
  <si>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</si>
  <si>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</si>
  <si>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</si>
  <si>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</si>
  <si>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</si>
  <si>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</si>
  <si>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</si>
  <si>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</si>
  <si>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</si>
  <si>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</si>
  <si>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</si>
  <si>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</si>
  <si>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</si>
  <si>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</si>
  <si>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</si>
  <si>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</si>
  <si>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</si>
  <si>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</si>
  <si>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</si>
  <si>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</si>
  <si>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</si>
  <si>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</si>
  <si>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</si>
  <si>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</si>
  <si>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</si>
  <si>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</si>
  <si>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</si>
  <si>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</si>
  <si>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</si>
  <si>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</si>
  <si>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</si>
  <si>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</si>
  <si>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</si>
  <si>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</si>
  <si>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</si>
  <si>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</si>
  <si>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</si>
  <si>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</si>
  <si>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</si>
  <si>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</si>
  <si>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</si>
  <si>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</si>
  <si>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</si>
  <si>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</si>
  <si>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</si>
  <si>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</si>
  <si>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</si>
  <si>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</si>
  <si>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</si>
  <si>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</si>
  <si>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</si>
  <si>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</si>
  <si>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</si>
  <si>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</si>
  <si>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</si>
  <si>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</si>
  <si>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</si>
  <si>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</si>
  <si>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</si>
  <si>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</si>
  <si>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</si>
  <si>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</si>
  <si>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</si>
  <si>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</si>
  <si>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</si>
  <si>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</si>
  <si>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</si>
  <si>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</si>
  <si>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</si>
  <si>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</si>
  <si>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</si>
  <si>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</si>
  <si>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</si>
  <si>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</si>
  <si>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</si>
  <si>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</si>
  <si>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</si>
  <si>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</si>
  <si>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</si>
  <si>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</si>
  <si>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</si>
  <si>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</si>
  <si>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</si>
  <si>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</si>
  <si>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</si>
  <si>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</si>
  <si>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</si>
  <si>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</si>
  <si>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</si>
  <si>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</si>
  <si>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</si>
  <si>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</si>
  <si>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</si>
  <si>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</si>
  <si>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</si>
  <si>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</si>
  <si>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</si>
  <si>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</si>
  <si>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</si>
  <si>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</si>
  <si>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</si>
  <si>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</si>
  <si>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</si>
  <si>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</si>
  <si>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</si>
  <si>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</si>
  <si>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</si>
  <si>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</si>
  <si>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</si>
  <si>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</si>
  <si>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</si>
  <si>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</si>
  <si>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</si>
  <si>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</si>
  <si>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</si>
  <si>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</si>
  <si>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</si>
  <si>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</si>
  <si>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</si>
  <si>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</si>
  <si>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</si>
  <si>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</si>
  <si>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</si>
  <si>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</si>
  <si>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</si>
  <si>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</si>
  <si>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</si>
  <si>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</si>
  <si>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</si>
  <si>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</si>
  <si>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</si>
  <si>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</si>
  <si>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</si>
  <si>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</si>
  <si>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</si>
  <si>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</si>
  <si>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</si>
  <si>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</si>
  <si>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</si>
  <si>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</si>
  <si>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</si>
  <si>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</si>
  <si>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</si>
  <si>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</si>
  <si>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</si>
  <si>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</si>
  <si>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</si>
  <si>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</si>
  <si>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</si>
  <si>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</si>
  <si>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</si>
  <si>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</si>
  <si>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</si>
  <si>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</si>
  <si>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</si>
  <si>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</si>
  <si>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</si>
  <si>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</si>
  <si>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</si>
  <si>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</si>
  <si>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</si>
  <si>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</si>
  <si>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</si>
  <si>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</si>
  <si>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</si>
  <si>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</si>
  <si>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</si>
  <si>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</si>
  <si>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</si>
  <si>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</si>
  <si>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</si>
  <si>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</si>
  <si>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</si>
  <si>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</si>
  <si>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</si>
  <si>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</si>
  <si>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</si>
  <si>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</si>
  <si>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</si>
  <si>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</si>
  <si>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</si>
  <si>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</si>
  <si>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</si>
  <si>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</si>
  <si>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</si>
  <si>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</si>
  <si>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</si>
  <si>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</si>
  <si>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</si>
  <si>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</si>
  <si>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</si>
  <si>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</si>
  <si>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</si>
  <si>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</si>
  <si>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</si>
  <si>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</si>
  <si>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</si>
  <si>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</si>
  <si>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</si>
  <si>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</si>
  <si>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</si>
  <si>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</si>
  <si>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</si>
  <si>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</si>
  <si>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</si>
  <si>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</si>
  <si>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</si>
  <si>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</si>
  <si>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</si>
  <si>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</si>
  <si>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</si>
  <si>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</si>
  <si>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</si>
  <si>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</si>
  <si>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</si>
  <si>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</si>
  <si>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</si>
  <si>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</si>
  <si>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</si>
  <si>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</si>
  <si>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</si>
  <si>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</si>
  <si>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</si>
  <si>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</si>
  <si>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</si>
  <si>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</si>
  <si>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</si>
  <si>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</si>
  <si>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</si>
  <si>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</si>
  <si>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</si>
  <si>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</si>
  <si>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</si>
  <si>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</si>
  <si>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</si>
  <si>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</si>
  <si>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</si>
  <si>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</si>
  <si>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</si>
  <si>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</si>
  <si>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</si>
  <si>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</si>
  <si>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</si>
  <si>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</si>
  <si>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</si>
  <si>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</si>
  <si>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</si>
  <si>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</si>
  <si>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</si>
  <si>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</si>
  <si>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</si>
  <si>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</si>
  <si>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</si>
  <si>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</si>
  <si>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</si>
  <si>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</si>
  <si>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</si>
  <si>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</si>
  <si>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</si>
  <si>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</si>
  <si>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</si>
  <si>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</si>
  <si>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</si>
  <si>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</si>
  <si>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</si>
  <si>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</si>
  <si>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</si>
  <si>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</si>
  <si>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</si>
  <si>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</si>
  <si>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</si>
  <si>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</si>
  <si>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</si>
  <si>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</si>
  <si>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</si>
  <si>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</si>
  <si>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</si>
  <si>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</si>
  <si>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</si>
  <si>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</si>
  <si>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</si>
  <si>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</si>
  <si>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</si>
  <si>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</si>
  <si>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</si>
  <si>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</si>
  <si>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</si>
  <si>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</si>
  <si>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</si>
  <si>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</si>
  <si>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</si>
  <si>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</si>
  <si>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</si>
  <si>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</si>
  <si>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</si>
  <si>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</si>
  <si>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</si>
  <si>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</si>
  <si>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</si>
  <si>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</si>
  <si>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</si>
  <si>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</si>
  <si>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</si>
  <si>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</si>
  <si>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</si>
  <si>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</si>
  <si>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</si>
  <si>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</si>
  <si>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</si>
  <si>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</si>
  <si>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</si>
  <si>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</si>
  <si>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</si>
  <si>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</si>
  <si>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</si>
  <si>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</si>
  <si>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</si>
  <si>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</si>
  <si>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</si>
  <si>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</si>
  <si>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</si>
  <si>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</si>
  <si>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</si>
  <si>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</si>
  <si>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</si>
  <si>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</si>
  <si>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</si>
  <si>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</si>
  <si>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</si>
  <si>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</si>
  <si>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</si>
  <si>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</si>
  <si>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</si>
  <si>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</si>
  <si>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</si>
  <si>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</si>
  <si>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</si>
  <si>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</si>
  <si>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</si>
  <si>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</si>
  <si>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</si>
  <si>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</si>
  <si>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</si>
  <si>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</si>
  <si>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</si>
  <si>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</si>
  <si>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</si>
  <si>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</si>
  <si>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</si>
  <si>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</si>
  <si>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</si>
  <si>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</si>
  <si>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</si>
  <si>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</si>
  <si>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</si>
  <si>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</si>
  <si>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</si>
  <si>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</si>
  <si>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</si>
  <si>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</si>
  <si>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</si>
  <si>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</si>
  <si>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</si>
  <si>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</si>
  <si>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</si>
  <si>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</si>
  <si>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</si>
  <si>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</si>
  <si>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</si>
  <si>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</si>
  <si>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</si>
  <si>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</si>
  <si>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</si>
  <si>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</si>
  <si>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</si>
  <si>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</si>
  <si>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</si>
  <si>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</si>
  <si>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</si>
  <si>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</si>
  <si>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</si>
  <si>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</si>
  <si>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</si>
  <si>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</si>
  <si>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</si>
  <si>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</si>
  <si>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</si>
  <si>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</si>
  <si>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</si>
  <si>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</si>
  <si>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</si>
  <si>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</si>
  <si>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</si>
  <si>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</si>
  <si>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</si>
  <si>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</si>
  <si>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</si>
  <si>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</si>
  <si>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</si>
  <si>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</si>
  <si>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</si>
  <si>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</si>
  <si>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</si>
  <si>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</si>
  <si>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</si>
  <si>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</si>
  <si>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</si>
  <si>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</si>
  <si>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</si>
  <si>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</si>
  <si>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</si>
  <si>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</si>
  <si>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</si>
  <si>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</si>
  <si>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</si>
  <si>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</si>
  <si>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</si>
  <si>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</si>
  <si>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</si>
  <si>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</si>
  <si>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</si>
  <si>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</si>
  <si>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</si>
  <si>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</si>
  <si>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</si>
  <si>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</si>
  <si>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</si>
  <si>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</si>
  <si>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</si>
  <si>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</si>
  <si>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</si>
  <si>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</si>
  <si>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</si>
  <si>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</si>
  <si>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</si>
  <si>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</si>
  <si>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</si>
  <si>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</si>
  <si>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</si>
  <si>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</si>
  <si>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</si>
  <si>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</si>
  <si>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</si>
  <si>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</si>
  <si>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</si>
  <si>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</si>
  <si>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</si>
  <si>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</si>
  <si>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</si>
  <si>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</si>
  <si>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</si>
  <si>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</si>
  <si>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</si>
  <si>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</si>
  <si>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</si>
  <si>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</si>
  <si>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</si>
  <si>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</si>
  <si>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</si>
  <si>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</si>
  <si>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</si>
  <si>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</si>
  <si>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</si>
  <si>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</si>
  <si>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</si>
  <si>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</si>
  <si>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</si>
  <si>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</si>
  <si>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</si>
  <si>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</si>
  <si>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</si>
  <si>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</si>
  <si>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</si>
  <si>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</si>
  <si>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</si>
  <si>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</si>
  <si>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</si>
  <si>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</si>
  <si>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</si>
  <si>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</si>
  <si>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</si>
  <si>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</si>
  <si>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</si>
  <si>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</si>
  <si>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</si>
  <si>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</si>
  <si>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</si>
  <si>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</si>
  <si>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</si>
  <si>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</si>
  <si>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</si>
  <si>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</si>
  <si>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</si>
  <si>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</si>
  <si>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</si>
  <si>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</si>
  <si>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</si>
  <si>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</si>
  <si>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</si>
  <si>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</si>
  <si>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</si>
  <si>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</si>
  <si>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</si>
  <si>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</si>
  <si>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</si>
  <si>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</si>
  <si>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</si>
  <si>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</si>
  <si>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</si>
  <si>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</si>
  <si>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</si>
  <si>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</si>
  <si>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</si>
  <si>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</si>
  <si>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</si>
  <si>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</si>
  <si>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</si>
  <si>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</si>
  <si>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</si>
  <si>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</si>
  <si>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</si>
  <si>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</si>
  <si>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</si>
  <si>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</si>
  <si>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</si>
  <si>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</si>
  <si>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</si>
  <si>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</si>
  <si>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</si>
  <si>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</si>
  <si>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</si>
  <si>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</si>
  <si>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</si>
  <si>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</si>
  <si>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</si>
  <si>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</si>
  <si>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</si>
  <si>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</si>
  <si>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</si>
  <si>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</si>
  <si>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</si>
  <si>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</si>
  <si>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</si>
  <si>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</si>
  <si>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</si>
  <si>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</si>
  <si>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</si>
  <si>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</si>
  <si>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</si>
  <si>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</si>
  <si>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</si>
  <si>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</si>
  <si>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</si>
  <si>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</si>
  <si>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</si>
  <si>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</si>
  <si>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</si>
  <si>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</si>
  <si>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</si>
  <si>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</si>
  <si>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</si>
  <si>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</si>
  <si>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</si>
  <si>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</si>
  <si>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</si>
  <si>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</si>
  <si>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</si>
  <si>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</si>
  <si>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</si>
  <si>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</si>
  <si>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</si>
  <si>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</si>
  <si>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</si>
  <si>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</si>
  <si>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</si>
  <si>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</si>
  <si>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</si>
  <si>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</si>
  <si>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</si>
  <si>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</si>
  <si>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</si>
  <si>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</si>
  <si>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</si>
  <si>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</si>
  <si>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</si>
  <si>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</si>
  <si>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</si>
  <si>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</si>
  <si>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</si>
  <si>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</si>
  <si>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</si>
  <si>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</si>
  <si>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</si>
  <si>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</si>
  <si>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</si>
  <si>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</si>
  <si>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</si>
  <si>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</si>
  <si>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</si>
  <si>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</si>
  <si>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</si>
  <si>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</si>
  <si>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</si>
  <si>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</si>
  <si>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</si>
  <si>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</si>
  <si>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</si>
  <si>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</si>
  <si>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</si>
  <si>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</si>
  <si>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</si>
  <si>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</si>
  <si>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</si>
  <si>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</si>
  <si>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</si>
  <si>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</si>
  <si>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</si>
  <si>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</si>
  <si>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</si>
  <si>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</si>
  <si>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</si>
  <si>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</si>
  <si>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</si>
  <si>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</si>
  <si>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</si>
  <si>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</si>
  <si>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</si>
  <si>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</si>
  <si>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</si>
  <si>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</si>
  <si>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</si>
  <si>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</si>
  <si>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</si>
  <si>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</si>
  <si>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</si>
  <si>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</si>
  <si>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</si>
  <si>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</si>
  <si>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</si>
  <si>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</si>
  <si>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</si>
  <si>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</si>
  <si>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</si>
  <si>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</si>
  <si>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</si>
  <si>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</si>
  <si>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</si>
  <si>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</si>
  <si>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</si>
  <si>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</si>
  <si>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</si>
  <si>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</si>
  <si>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</si>
  <si>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</si>
  <si>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</si>
  <si>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</si>
  <si>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</si>
  <si>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</si>
  <si>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</si>
  <si>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</si>
  <si>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</si>
  <si>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</si>
  <si>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</si>
  <si>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</si>
  <si>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</si>
  <si>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</si>
  <si>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</si>
  <si>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</si>
  <si>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</si>
  <si>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</si>
  <si>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</si>
  <si>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</si>
  <si>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</si>
  <si>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</si>
  <si>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</si>
  <si>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</si>
  <si>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</si>
  <si>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</si>
  <si>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</si>
  <si>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</si>
  <si>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</si>
  <si>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</si>
  <si>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</si>
  <si>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</si>
  <si>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</si>
  <si>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</si>
  <si>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</si>
  <si>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</si>
  <si>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</si>
  <si>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</si>
  <si>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</si>
  <si>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</si>
  <si>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</si>
  <si>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</si>
  <si>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</si>
  <si>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</si>
  <si>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Remove external access to CSE SRAM</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</si>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</sst>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5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6"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5" fillId="0" borderId="35"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8" borderId="35" xfId="0" applyFont="1" applyFill="1" applyBorder="1" applyAlignment="1">
      <alignment horizontal="center" vertical="top" wrapText="1"/>
    </xf>
    <xf numFmtId="0" fontId="2" fillId="8" borderId="1"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7" borderId="34" xfId="0" applyFont="1" applyFill="1" applyBorder="1" applyAlignment="1">
      <alignment horizontal="center" vertical="top" wrapText="1"/>
    </xf>
    <xf numFmtId="0" fontId="2" fillId="5" borderId="34" xfId="0" applyFont="1" applyFill="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46"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45" xfId="0" applyFont="1" applyFill="1" applyBorder="1" applyAlignment="1">
      <alignment horizontal="center" vertical="center"/>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7"/>
  <sheetViews>
    <sheetView tabSelected="1" topLeftCell="A233" workbookViewId="0">
      <selection activeCell="E253" sqref="E243:E253"/>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276</v>
      </c>
      <c r="C2" s="6" t="s">
        <v>119</v>
      </c>
      <c r="D2" s="7" t="s">
        <v>120</v>
      </c>
      <c r="E2" s="8" t="s">
        <v>121</v>
      </c>
    </row>
    <row r="3" spans="2:5" ht="29" x14ac:dyDescent="0.35">
      <c r="B3" s="939">
        <v>1</v>
      </c>
      <c r="C3" s="9">
        <v>42734</v>
      </c>
      <c r="D3" s="10" t="s">
        <v>122</v>
      </c>
      <c r="E3" s="4" t="s">
        <v>123</v>
      </c>
    </row>
    <row r="4" spans="2:5" ht="58" x14ac:dyDescent="0.35">
      <c r="B4" s="939">
        <v>2</v>
      </c>
      <c r="C4" s="9">
        <v>42739</v>
      </c>
      <c r="D4" s="10" t="s">
        <v>122</v>
      </c>
      <c r="E4" s="11" t="s">
        <v>143</v>
      </c>
    </row>
    <row r="5" spans="2:5" ht="29" x14ac:dyDescent="0.35">
      <c r="B5" s="939">
        <v>3</v>
      </c>
      <c r="C5" s="9">
        <v>42740</v>
      </c>
      <c r="D5" s="10" t="s">
        <v>122</v>
      </c>
      <c r="E5" s="11" t="s">
        <v>157</v>
      </c>
    </row>
    <row r="6" spans="2:5" ht="58" x14ac:dyDescent="0.35">
      <c r="B6" s="939">
        <v>4</v>
      </c>
      <c r="C6" s="9">
        <v>42744</v>
      </c>
      <c r="D6" s="10" t="s">
        <v>122</v>
      </c>
      <c r="E6" s="11" t="s">
        <v>160</v>
      </c>
    </row>
    <row r="7" spans="2:5" ht="29" x14ac:dyDescent="0.35">
      <c r="B7" s="939">
        <v>5</v>
      </c>
      <c r="C7" s="9">
        <v>42746</v>
      </c>
      <c r="D7" s="10" t="s">
        <v>122</v>
      </c>
      <c r="E7" s="11" t="s">
        <v>171</v>
      </c>
    </row>
    <row r="8" spans="2:5" ht="58" x14ac:dyDescent="0.35">
      <c r="B8" s="939">
        <v>6</v>
      </c>
      <c r="C8" s="9">
        <v>42758</v>
      </c>
      <c r="D8" s="10" t="s">
        <v>122</v>
      </c>
      <c r="E8" s="11" t="s">
        <v>179</v>
      </c>
    </row>
    <row r="9" spans="2:5" x14ac:dyDescent="0.35">
      <c r="B9" s="939">
        <v>7</v>
      </c>
      <c r="C9" s="9">
        <v>42761</v>
      </c>
      <c r="D9" s="10" t="s">
        <v>122</v>
      </c>
      <c r="E9" s="11" t="s">
        <v>182</v>
      </c>
    </row>
    <row r="10" spans="2:5" x14ac:dyDescent="0.35">
      <c r="B10" s="939">
        <v>8</v>
      </c>
      <c r="C10" s="9">
        <v>42782</v>
      </c>
      <c r="D10" s="10" t="s">
        <v>122</v>
      </c>
      <c r="E10" s="11" t="s">
        <v>183</v>
      </c>
    </row>
    <row r="11" spans="2:5" ht="29" x14ac:dyDescent="0.35">
      <c r="B11" s="939">
        <v>9</v>
      </c>
      <c r="C11" s="9">
        <v>42800</v>
      </c>
      <c r="D11" s="10" t="s">
        <v>122</v>
      </c>
      <c r="E11" s="11" t="s">
        <v>184</v>
      </c>
    </row>
    <row r="12" spans="2:5" x14ac:dyDescent="0.35">
      <c r="B12" s="939">
        <v>10</v>
      </c>
      <c r="C12" s="9">
        <v>42810</v>
      </c>
      <c r="D12" s="10" t="s">
        <v>122</v>
      </c>
      <c r="E12" s="11" t="s">
        <v>199</v>
      </c>
    </row>
    <row r="13" spans="2:5" x14ac:dyDescent="0.35">
      <c r="B13" s="939">
        <v>11</v>
      </c>
      <c r="C13" s="9">
        <v>42816</v>
      </c>
      <c r="D13" s="10" t="s">
        <v>122</v>
      </c>
      <c r="E13" s="11" t="s">
        <v>201</v>
      </c>
    </row>
    <row r="14" spans="2:5" x14ac:dyDescent="0.35">
      <c r="B14" s="939">
        <v>12</v>
      </c>
      <c r="C14" s="9">
        <v>42824</v>
      </c>
      <c r="D14" s="10" t="s">
        <v>122</v>
      </c>
      <c r="E14" s="11" t="s">
        <v>205</v>
      </c>
    </row>
    <row r="15" spans="2:5" ht="43.5" x14ac:dyDescent="0.35">
      <c r="B15" s="939">
        <v>13</v>
      </c>
      <c r="C15" s="9">
        <v>42825</v>
      </c>
      <c r="D15" s="10" t="s">
        <v>122</v>
      </c>
      <c r="E15" s="11" t="s">
        <v>237</v>
      </c>
    </row>
    <row r="16" spans="2:5" ht="43.5" x14ac:dyDescent="0.35">
      <c r="B16" s="939">
        <v>14</v>
      </c>
      <c r="C16" s="9">
        <v>42828</v>
      </c>
      <c r="D16" s="10" t="s">
        <v>122</v>
      </c>
      <c r="E16" s="11" t="s">
        <v>238</v>
      </c>
    </row>
    <row r="17" spans="2:5" x14ac:dyDescent="0.35">
      <c r="B17" s="939">
        <v>15</v>
      </c>
      <c r="C17" s="9">
        <v>42832</v>
      </c>
      <c r="D17" s="10" t="s">
        <v>122</v>
      </c>
      <c r="E17" s="11" t="s">
        <v>240</v>
      </c>
    </row>
    <row r="18" spans="2:5" x14ac:dyDescent="0.35">
      <c r="B18" s="939">
        <v>16</v>
      </c>
      <c r="C18" s="9">
        <v>42857</v>
      </c>
      <c r="D18" s="10" t="s">
        <v>122</v>
      </c>
      <c r="E18" s="4" t="s">
        <v>241</v>
      </c>
    </row>
    <row r="19" spans="2:5" x14ac:dyDescent="0.35">
      <c r="B19" s="939">
        <v>17</v>
      </c>
      <c r="C19" s="9">
        <v>42858</v>
      </c>
      <c r="D19" s="10" t="s">
        <v>122</v>
      </c>
      <c r="E19" s="4" t="s">
        <v>242</v>
      </c>
    </row>
    <row r="20" spans="2:5" x14ac:dyDescent="0.35">
      <c r="B20" s="939">
        <v>18</v>
      </c>
      <c r="C20" s="9">
        <v>42872</v>
      </c>
      <c r="D20" s="10" t="s">
        <v>122</v>
      </c>
      <c r="E20" s="4" t="s">
        <v>243</v>
      </c>
    </row>
    <row r="21" spans="2:5" x14ac:dyDescent="0.35">
      <c r="B21" s="939">
        <v>19</v>
      </c>
      <c r="C21" s="9">
        <v>42874</v>
      </c>
      <c r="D21" s="10" t="s">
        <v>122</v>
      </c>
      <c r="E21" s="4" t="s">
        <v>251</v>
      </c>
    </row>
    <row r="22" spans="2:5" ht="29" x14ac:dyDescent="0.35">
      <c r="B22" s="939">
        <v>20</v>
      </c>
      <c r="C22" s="9">
        <v>42893</v>
      </c>
      <c r="D22" s="10" t="s">
        <v>122</v>
      </c>
      <c r="E22" s="11" t="s">
        <v>257</v>
      </c>
    </row>
    <row r="23" spans="2:5" x14ac:dyDescent="0.35">
      <c r="B23" s="939">
        <v>21</v>
      </c>
      <c r="C23" s="9">
        <v>42912</v>
      </c>
      <c r="D23" s="10" t="s">
        <v>122</v>
      </c>
      <c r="E23" s="4" t="s">
        <v>258</v>
      </c>
    </row>
    <row r="24" spans="2:5" ht="58" x14ac:dyDescent="0.35">
      <c r="B24" s="939">
        <v>22</v>
      </c>
      <c r="C24" s="9">
        <v>43024</v>
      </c>
      <c r="D24" s="10" t="s">
        <v>122</v>
      </c>
      <c r="E24" s="11" t="s">
        <v>268</v>
      </c>
    </row>
    <row r="25" spans="2:5" x14ac:dyDescent="0.35">
      <c r="B25" s="939">
        <v>23</v>
      </c>
      <c r="C25" s="9">
        <v>43031</v>
      </c>
      <c r="D25" s="10" t="s">
        <v>122</v>
      </c>
      <c r="E25" s="11" t="s">
        <v>275</v>
      </c>
    </row>
    <row r="26" spans="2:5" ht="29" x14ac:dyDescent="0.35">
      <c r="B26" s="939">
        <v>24</v>
      </c>
      <c r="C26" s="9">
        <v>43033</v>
      </c>
      <c r="D26" s="10" t="s">
        <v>122</v>
      </c>
      <c r="E26" s="11" t="s">
        <v>277</v>
      </c>
    </row>
    <row r="27" spans="2:5" ht="43.5" x14ac:dyDescent="0.35">
      <c r="B27" s="939">
        <v>25</v>
      </c>
      <c r="C27" s="9">
        <v>43040</v>
      </c>
      <c r="D27" s="10" t="s">
        <v>122</v>
      </c>
      <c r="E27" s="11" t="s">
        <v>279</v>
      </c>
    </row>
    <row r="28" spans="2:5" ht="43.5" x14ac:dyDescent="0.35">
      <c r="B28" s="939">
        <v>26</v>
      </c>
      <c r="C28" s="9">
        <v>43060</v>
      </c>
      <c r="D28" s="10" t="s">
        <v>122</v>
      </c>
      <c r="E28" s="11" t="s">
        <v>281</v>
      </c>
    </row>
    <row r="29" spans="2:5" x14ac:dyDescent="0.35">
      <c r="B29" s="939">
        <v>27</v>
      </c>
      <c r="C29" s="9">
        <v>43074</v>
      </c>
      <c r="D29" s="10" t="s">
        <v>122</v>
      </c>
      <c r="E29" s="4" t="s">
        <v>282</v>
      </c>
    </row>
    <row r="30" spans="2:5" ht="58" x14ac:dyDescent="0.35">
      <c r="B30" s="939">
        <v>28</v>
      </c>
      <c r="C30" s="9">
        <v>43080</v>
      </c>
      <c r="D30" s="10" t="s">
        <v>122</v>
      </c>
      <c r="E30" s="11" t="s">
        <v>302</v>
      </c>
    </row>
    <row r="31" spans="2:5" x14ac:dyDescent="0.35">
      <c r="B31" s="939">
        <v>29</v>
      </c>
      <c r="C31" s="9">
        <v>43081</v>
      </c>
      <c r="D31" s="10" t="s">
        <v>122</v>
      </c>
      <c r="E31" s="11" t="s">
        <v>305</v>
      </c>
    </row>
    <row r="32" spans="2:5" ht="29" x14ac:dyDescent="0.35">
      <c r="B32" s="939">
        <v>30</v>
      </c>
      <c r="C32" s="9">
        <v>43082</v>
      </c>
      <c r="D32" s="10" t="s">
        <v>122</v>
      </c>
      <c r="E32" s="11" t="s">
        <v>316</v>
      </c>
    </row>
    <row r="33" spans="2:5" x14ac:dyDescent="0.35">
      <c r="B33" s="939">
        <v>31</v>
      </c>
      <c r="C33" s="9">
        <v>43084</v>
      </c>
      <c r="D33" s="10" t="s">
        <v>122</v>
      </c>
      <c r="E33" s="11" t="s">
        <v>317</v>
      </c>
    </row>
    <row r="34" spans="2:5" ht="29" x14ac:dyDescent="0.35">
      <c r="B34" s="939">
        <v>32</v>
      </c>
      <c r="C34" s="9">
        <v>43087</v>
      </c>
      <c r="D34" s="10" t="s">
        <v>122</v>
      </c>
      <c r="E34" s="11" t="s">
        <v>318</v>
      </c>
    </row>
    <row r="35" spans="2:5" x14ac:dyDescent="0.35">
      <c r="B35" s="939">
        <v>33</v>
      </c>
      <c r="C35" s="9">
        <v>43088</v>
      </c>
      <c r="D35" s="10" t="s">
        <v>122</v>
      </c>
      <c r="E35" s="11" t="s">
        <v>319</v>
      </c>
    </row>
    <row r="36" spans="2:5" ht="29" x14ac:dyDescent="0.35">
      <c r="B36" s="939">
        <v>34</v>
      </c>
      <c r="C36" s="9">
        <v>43091</v>
      </c>
      <c r="D36" s="10" t="s">
        <v>122</v>
      </c>
      <c r="E36" s="11" t="s">
        <v>323</v>
      </c>
    </row>
    <row r="37" spans="2:5" x14ac:dyDescent="0.35">
      <c r="B37" s="939">
        <v>35</v>
      </c>
      <c r="C37" s="9">
        <v>43102</v>
      </c>
      <c r="D37" s="10" t="s">
        <v>122</v>
      </c>
      <c r="E37" s="11" t="s">
        <v>324</v>
      </c>
    </row>
    <row r="38" spans="2:5" x14ac:dyDescent="0.35">
      <c r="B38" s="939">
        <v>36</v>
      </c>
      <c r="C38" s="9">
        <v>43104</v>
      </c>
      <c r="D38" s="10" t="s">
        <v>122</v>
      </c>
      <c r="E38" s="11" t="s">
        <v>328</v>
      </c>
    </row>
    <row r="39" spans="2:5" ht="43.5" x14ac:dyDescent="0.35">
      <c r="B39" s="939">
        <v>37</v>
      </c>
      <c r="C39" s="9">
        <v>43110</v>
      </c>
      <c r="D39" s="10" t="s">
        <v>122</v>
      </c>
      <c r="E39" s="11" t="s">
        <v>329</v>
      </c>
    </row>
    <row r="40" spans="2:5" ht="29" x14ac:dyDescent="0.35">
      <c r="B40" s="939">
        <v>28</v>
      </c>
      <c r="C40" s="9">
        <v>43111</v>
      </c>
      <c r="D40" s="10" t="s">
        <v>122</v>
      </c>
      <c r="E40" s="11" t="s">
        <v>333</v>
      </c>
    </row>
    <row r="41" spans="2:5" x14ac:dyDescent="0.35">
      <c r="B41" s="939">
        <v>29</v>
      </c>
      <c r="C41" s="9">
        <v>43125</v>
      </c>
      <c r="D41" s="10" t="s">
        <v>122</v>
      </c>
      <c r="E41" s="11" t="s">
        <v>335</v>
      </c>
    </row>
    <row r="42" spans="2:5" x14ac:dyDescent="0.35">
      <c r="B42" s="939">
        <v>30</v>
      </c>
      <c r="C42" s="9">
        <v>43139</v>
      </c>
      <c r="D42" s="10" t="s">
        <v>122</v>
      </c>
      <c r="E42" s="11" t="s">
        <v>336</v>
      </c>
    </row>
    <row r="43" spans="2:5" x14ac:dyDescent="0.35">
      <c r="B43" s="939">
        <v>31</v>
      </c>
      <c r="C43" s="9">
        <v>43174</v>
      </c>
      <c r="D43" s="10" t="s">
        <v>122</v>
      </c>
      <c r="E43" s="11" t="s">
        <v>337</v>
      </c>
    </row>
    <row r="44" spans="2:5" ht="29" x14ac:dyDescent="0.35">
      <c r="B44" s="939">
        <v>32</v>
      </c>
      <c r="C44" s="9">
        <v>43183</v>
      </c>
      <c r="D44" s="10" t="s">
        <v>122</v>
      </c>
      <c r="E44" s="11" t="s">
        <v>339</v>
      </c>
    </row>
    <row r="45" spans="2:5" ht="29" x14ac:dyDescent="0.35">
      <c r="B45" s="939">
        <v>33</v>
      </c>
      <c r="C45" s="9">
        <v>43199</v>
      </c>
      <c r="D45" s="10" t="s">
        <v>122</v>
      </c>
      <c r="E45" s="11" t="s">
        <v>341</v>
      </c>
    </row>
    <row r="46" spans="2:5" ht="43.5" x14ac:dyDescent="0.35">
      <c r="B46" s="939">
        <v>34</v>
      </c>
      <c r="C46" s="9">
        <v>43202</v>
      </c>
      <c r="D46" s="10" t="s">
        <v>122</v>
      </c>
      <c r="E46" s="11" t="s">
        <v>340</v>
      </c>
    </row>
    <row r="47" spans="2:5" x14ac:dyDescent="0.35">
      <c r="B47" s="939">
        <v>35</v>
      </c>
      <c r="C47" s="9">
        <v>43206</v>
      </c>
      <c r="D47" s="10" t="s">
        <v>122</v>
      </c>
      <c r="E47" s="4" t="s">
        <v>342</v>
      </c>
    </row>
    <row r="48" spans="2:5" x14ac:dyDescent="0.35">
      <c r="B48" s="939">
        <v>36</v>
      </c>
      <c r="C48" s="9">
        <v>43206</v>
      </c>
      <c r="D48" s="10" t="s">
        <v>354</v>
      </c>
      <c r="E48" s="4" t="s">
        <v>355</v>
      </c>
    </row>
    <row r="49" spans="2:5" x14ac:dyDescent="0.35">
      <c r="B49" s="939">
        <v>37</v>
      </c>
      <c r="C49" s="9">
        <v>43208</v>
      </c>
      <c r="D49" s="10" t="s">
        <v>122</v>
      </c>
      <c r="E49" s="4" t="s">
        <v>356</v>
      </c>
    </row>
    <row r="50" spans="2:5" x14ac:dyDescent="0.35">
      <c r="B50" s="939">
        <v>38</v>
      </c>
      <c r="C50" s="9">
        <v>43214</v>
      </c>
      <c r="D50" s="10" t="s">
        <v>354</v>
      </c>
      <c r="E50" s="4" t="s">
        <v>360</v>
      </c>
    </row>
    <row r="51" spans="2:5" ht="72.5" x14ac:dyDescent="0.35">
      <c r="B51" s="939">
        <v>39</v>
      </c>
      <c r="C51" s="9">
        <v>43242</v>
      </c>
      <c r="D51" s="10" t="s">
        <v>369</v>
      </c>
      <c r="E51" s="4" t="s">
        <v>370</v>
      </c>
    </row>
    <row r="52" spans="2:5" x14ac:dyDescent="0.35">
      <c r="B52" s="939">
        <v>40</v>
      </c>
      <c r="C52" s="9">
        <v>43244</v>
      </c>
      <c r="D52" s="10" t="s">
        <v>354</v>
      </c>
      <c r="E52" s="4" t="s">
        <v>373</v>
      </c>
    </row>
    <row r="53" spans="2:5" x14ac:dyDescent="0.35">
      <c r="B53" s="939">
        <v>41</v>
      </c>
      <c r="C53" s="9">
        <v>43264</v>
      </c>
      <c r="D53" s="10" t="s">
        <v>354</v>
      </c>
      <c r="E53" s="4" t="s">
        <v>377</v>
      </c>
    </row>
    <row r="54" spans="2:5" x14ac:dyDescent="0.35">
      <c r="B54" s="939">
        <v>42</v>
      </c>
      <c r="C54" s="9">
        <v>43270</v>
      </c>
      <c r="D54" s="10" t="s">
        <v>354</v>
      </c>
      <c r="E54" s="4" t="s">
        <v>378</v>
      </c>
    </row>
    <row r="55" spans="2:5" x14ac:dyDescent="0.35">
      <c r="B55" s="939">
        <v>43</v>
      </c>
      <c r="C55" s="9">
        <v>43277</v>
      </c>
      <c r="D55" s="10" t="s">
        <v>354</v>
      </c>
      <c r="E55" s="4" t="s">
        <v>380</v>
      </c>
    </row>
    <row r="56" spans="2:5" ht="87" x14ac:dyDescent="0.35">
      <c r="B56" s="939">
        <v>44</v>
      </c>
      <c r="C56" s="9">
        <v>43294</v>
      </c>
      <c r="D56" s="10" t="s">
        <v>122</v>
      </c>
      <c r="E56" s="11" t="s">
        <v>391</v>
      </c>
    </row>
    <row r="57" spans="2:5" ht="43.5" x14ac:dyDescent="0.35">
      <c r="B57" s="939">
        <v>45</v>
      </c>
      <c r="C57" s="9">
        <v>43304</v>
      </c>
      <c r="D57" s="10" t="s">
        <v>122</v>
      </c>
      <c r="E57" s="4" t="s">
        <v>398</v>
      </c>
    </row>
    <row r="58" spans="2:5" x14ac:dyDescent="0.35">
      <c r="B58" s="939">
        <v>46</v>
      </c>
      <c r="C58" s="9">
        <v>43305</v>
      </c>
      <c r="D58" s="10" t="s">
        <v>122</v>
      </c>
      <c r="E58" s="4" t="s">
        <v>399</v>
      </c>
    </row>
    <row r="59" spans="2:5" ht="58" x14ac:dyDescent="0.35">
      <c r="B59" s="939">
        <v>47</v>
      </c>
      <c r="C59" s="9">
        <v>43305</v>
      </c>
      <c r="D59" s="10" t="s">
        <v>122</v>
      </c>
      <c r="E59" s="4" t="s">
        <v>400</v>
      </c>
    </row>
    <row r="60" spans="2:5" x14ac:dyDescent="0.35">
      <c r="B60" s="939">
        <v>48</v>
      </c>
      <c r="C60" s="9">
        <v>43306</v>
      </c>
      <c r="D60" s="10" t="s">
        <v>122</v>
      </c>
      <c r="E60" s="4" t="s">
        <v>401</v>
      </c>
    </row>
    <row r="61" spans="2:5" ht="58" x14ac:dyDescent="0.35">
      <c r="B61" s="939">
        <v>49</v>
      </c>
      <c r="C61" s="9">
        <v>43313</v>
      </c>
      <c r="D61" s="10" t="s">
        <v>354</v>
      </c>
      <c r="E61" s="4" t="s">
        <v>402</v>
      </c>
    </row>
    <row r="62" spans="2:5" ht="29" x14ac:dyDescent="0.35">
      <c r="B62" s="939">
        <v>50</v>
      </c>
      <c r="C62" s="9">
        <v>43313</v>
      </c>
      <c r="D62" s="10" t="s">
        <v>122</v>
      </c>
      <c r="E62" s="4" t="s">
        <v>403</v>
      </c>
    </row>
    <row r="63" spans="2:5" x14ac:dyDescent="0.35">
      <c r="B63" s="939">
        <v>51</v>
      </c>
      <c r="C63" s="9">
        <v>43322</v>
      </c>
      <c r="D63" s="10" t="s">
        <v>122</v>
      </c>
      <c r="E63" s="4" t="s">
        <v>404</v>
      </c>
    </row>
    <row r="64" spans="2:5" ht="29" x14ac:dyDescent="0.35">
      <c r="B64" s="939">
        <v>52</v>
      </c>
      <c r="C64" s="9">
        <v>43329</v>
      </c>
      <c r="D64" s="10" t="s">
        <v>122</v>
      </c>
      <c r="E64" s="11" t="s">
        <v>410</v>
      </c>
    </row>
    <row r="65" spans="2:5" ht="58" x14ac:dyDescent="0.35">
      <c r="B65" s="939">
        <v>53</v>
      </c>
      <c r="C65" s="9">
        <v>43334</v>
      </c>
      <c r="D65" s="10" t="s">
        <v>354</v>
      </c>
      <c r="E65" s="4" t="s">
        <v>414</v>
      </c>
    </row>
    <row r="66" spans="2:5" ht="29" x14ac:dyDescent="0.35">
      <c r="B66" s="939">
        <v>54</v>
      </c>
      <c r="C66" s="9">
        <v>43348</v>
      </c>
      <c r="D66" s="10" t="s">
        <v>354</v>
      </c>
      <c r="E66" s="4" t="s">
        <v>416</v>
      </c>
    </row>
    <row r="67" spans="2:5" ht="29" x14ac:dyDescent="0.35">
      <c r="B67" s="939">
        <v>55</v>
      </c>
      <c r="C67" s="9">
        <v>43369</v>
      </c>
      <c r="D67" s="10" t="s">
        <v>122</v>
      </c>
      <c r="E67" s="4" t="s">
        <v>418</v>
      </c>
    </row>
    <row r="68" spans="2:5" x14ac:dyDescent="0.35">
      <c r="B68" s="939">
        <v>56</v>
      </c>
      <c r="C68" s="9">
        <v>43370</v>
      </c>
      <c r="D68" s="10" t="s">
        <v>122</v>
      </c>
      <c r="E68" s="4" t="s">
        <v>419</v>
      </c>
    </row>
    <row r="69" spans="2:5" x14ac:dyDescent="0.35">
      <c r="B69" s="939">
        <v>57</v>
      </c>
      <c r="C69" s="9">
        <v>43371</v>
      </c>
      <c r="D69" s="10" t="s">
        <v>122</v>
      </c>
      <c r="E69" s="4" t="s">
        <v>420</v>
      </c>
    </row>
    <row r="70" spans="2:5" x14ac:dyDescent="0.35">
      <c r="B70" s="939">
        <v>58</v>
      </c>
      <c r="C70" s="9">
        <v>43374</v>
      </c>
      <c r="D70" s="10" t="s">
        <v>354</v>
      </c>
      <c r="E70" s="4" t="s">
        <v>422</v>
      </c>
    </row>
    <row r="71" spans="2:5" ht="43.5" x14ac:dyDescent="0.35">
      <c r="B71" s="939">
        <v>59</v>
      </c>
      <c r="C71" s="9">
        <v>43374</v>
      </c>
      <c r="D71" s="10" t="s">
        <v>354</v>
      </c>
      <c r="E71" s="4" t="s">
        <v>425</v>
      </c>
    </row>
    <row r="72" spans="2:5" ht="29" x14ac:dyDescent="0.35">
      <c r="B72" s="939">
        <v>60</v>
      </c>
      <c r="C72" s="9">
        <v>43375</v>
      </c>
      <c r="D72" s="10" t="s">
        <v>354</v>
      </c>
      <c r="E72" s="4" t="s">
        <v>428</v>
      </c>
    </row>
    <row r="73" spans="2:5" ht="29" x14ac:dyDescent="0.35">
      <c r="B73" s="939">
        <v>61</v>
      </c>
      <c r="C73" s="9">
        <v>43398</v>
      </c>
      <c r="D73" s="10" t="s">
        <v>122</v>
      </c>
      <c r="E73" s="4" t="s">
        <v>430</v>
      </c>
    </row>
    <row r="74" spans="2:5" x14ac:dyDescent="0.35">
      <c r="B74" s="939">
        <v>62</v>
      </c>
      <c r="C74" s="9">
        <v>43402</v>
      </c>
      <c r="D74" s="10" t="s">
        <v>431</v>
      </c>
      <c r="E74" s="4" t="s">
        <v>432</v>
      </c>
    </row>
    <row r="75" spans="2:5" x14ac:dyDescent="0.35">
      <c r="B75" s="939">
        <v>63</v>
      </c>
      <c r="C75" s="9">
        <v>43411</v>
      </c>
      <c r="D75" s="10" t="s">
        <v>431</v>
      </c>
      <c r="E75" s="4" t="s">
        <v>438</v>
      </c>
    </row>
    <row r="76" spans="2:5" x14ac:dyDescent="0.35">
      <c r="B76" s="939">
        <v>64</v>
      </c>
      <c r="C76" s="9">
        <v>43481</v>
      </c>
      <c r="D76" s="10" t="s">
        <v>431</v>
      </c>
      <c r="E76" s="4" t="s">
        <v>442</v>
      </c>
    </row>
    <row r="77" spans="2:5" x14ac:dyDescent="0.35">
      <c r="B77" s="939">
        <v>65</v>
      </c>
      <c r="C77" s="9">
        <v>43483</v>
      </c>
      <c r="D77" s="10" t="s">
        <v>354</v>
      </c>
      <c r="E77" s="4" t="s">
        <v>444</v>
      </c>
    </row>
    <row r="78" spans="2:5" ht="29" x14ac:dyDescent="0.35">
      <c r="B78" s="939">
        <v>66</v>
      </c>
      <c r="C78" s="9">
        <v>43488</v>
      </c>
      <c r="D78" s="10" t="s">
        <v>431</v>
      </c>
      <c r="E78" s="4" t="s">
        <v>445</v>
      </c>
    </row>
    <row r="79" spans="2:5" x14ac:dyDescent="0.35">
      <c r="B79" s="939">
        <v>67</v>
      </c>
      <c r="C79" s="9">
        <v>43488</v>
      </c>
      <c r="D79" s="10" t="s">
        <v>122</v>
      </c>
      <c r="E79" s="4" t="s">
        <v>446</v>
      </c>
    </row>
    <row r="80" spans="2:5" x14ac:dyDescent="0.35">
      <c r="B80" s="939">
        <v>68</v>
      </c>
      <c r="C80" s="9">
        <v>43500</v>
      </c>
      <c r="D80" s="10" t="s">
        <v>354</v>
      </c>
      <c r="E80" s="4" t="s">
        <v>447</v>
      </c>
    </row>
    <row r="81" spans="2:5" x14ac:dyDescent="0.35">
      <c r="B81" s="939">
        <v>69</v>
      </c>
      <c r="C81" s="9">
        <v>43529</v>
      </c>
      <c r="D81" s="10" t="s">
        <v>354</v>
      </c>
      <c r="E81" s="4" t="s">
        <v>449</v>
      </c>
    </row>
    <row r="82" spans="2:5" ht="43.5" x14ac:dyDescent="0.35">
      <c r="B82" s="939">
        <v>70</v>
      </c>
      <c r="C82" s="9">
        <v>43531</v>
      </c>
      <c r="D82" s="10" t="s">
        <v>354</v>
      </c>
      <c r="E82" s="4" t="s">
        <v>450</v>
      </c>
    </row>
    <row r="83" spans="2:5" ht="29" x14ac:dyDescent="0.35">
      <c r="B83" s="939">
        <v>71</v>
      </c>
      <c r="C83" s="9">
        <v>43571</v>
      </c>
      <c r="D83" s="10" t="s">
        <v>431</v>
      </c>
      <c r="E83" s="4" t="s">
        <v>451</v>
      </c>
    </row>
    <row r="84" spans="2:5" x14ac:dyDescent="0.35">
      <c r="B84" s="939">
        <v>72</v>
      </c>
      <c r="C84" s="9">
        <v>43586</v>
      </c>
      <c r="D84" s="10" t="s">
        <v>122</v>
      </c>
      <c r="E84" s="4" t="s">
        <v>452</v>
      </c>
    </row>
    <row r="85" spans="2:5" x14ac:dyDescent="0.35">
      <c r="B85" s="939">
        <v>73</v>
      </c>
      <c r="C85" s="9">
        <v>43588</v>
      </c>
      <c r="D85" s="10" t="s">
        <v>431</v>
      </c>
      <c r="E85" s="4" t="s">
        <v>453</v>
      </c>
    </row>
    <row r="86" spans="2:5" x14ac:dyDescent="0.35">
      <c r="B86" s="939">
        <v>74</v>
      </c>
      <c r="C86" s="9">
        <v>43592</v>
      </c>
      <c r="D86" s="10" t="s">
        <v>431</v>
      </c>
      <c r="E86" s="4" t="s">
        <v>454</v>
      </c>
    </row>
    <row r="87" spans="2:5" x14ac:dyDescent="0.35">
      <c r="B87" s="939">
        <v>75</v>
      </c>
      <c r="C87" s="9">
        <v>43592</v>
      </c>
      <c r="D87" s="10" t="s">
        <v>431</v>
      </c>
      <c r="E87" s="4" t="s">
        <v>455</v>
      </c>
    </row>
    <row r="88" spans="2:5" ht="130.5" x14ac:dyDescent="0.35">
      <c r="B88" s="939">
        <v>76</v>
      </c>
      <c r="C88" s="9">
        <v>43607</v>
      </c>
      <c r="D88" s="10" t="s">
        <v>122</v>
      </c>
      <c r="E88" s="11" t="s">
        <v>462</v>
      </c>
    </row>
    <row r="89" spans="2:5" ht="29" x14ac:dyDescent="0.35">
      <c r="B89" s="939">
        <v>77</v>
      </c>
      <c r="C89" s="9">
        <v>43628</v>
      </c>
      <c r="D89" s="10" t="s">
        <v>122</v>
      </c>
      <c r="E89" s="4" t="s">
        <v>463</v>
      </c>
    </row>
    <row r="90" spans="2:5" x14ac:dyDescent="0.35">
      <c r="B90" s="939">
        <v>78</v>
      </c>
      <c r="C90" s="9">
        <v>43630</v>
      </c>
      <c r="D90" s="10" t="s">
        <v>122</v>
      </c>
      <c r="E90" s="4" t="s">
        <v>468</v>
      </c>
    </row>
    <row r="91" spans="2:5" x14ac:dyDescent="0.35">
      <c r="B91" s="939">
        <v>79</v>
      </c>
      <c r="C91" s="9">
        <v>43634</v>
      </c>
      <c r="D91" s="10" t="s">
        <v>431</v>
      </c>
      <c r="E91" s="4" t="s">
        <v>470</v>
      </c>
    </row>
    <row r="92" spans="2:5" ht="29" x14ac:dyDescent="0.35">
      <c r="B92" s="939">
        <v>80</v>
      </c>
      <c r="C92" s="9">
        <v>43643</v>
      </c>
      <c r="D92" s="10" t="s">
        <v>122</v>
      </c>
      <c r="E92" s="4" t="s">
        <v>471</v>
      </c>
    </row>
    <row r="93" spans="2:5" x14ac:dyDescent="0.35">
      <c r="B93" s="939">
        <v>81</v>
      </c>
      <c r="C93" s="9">
        <v>43657</v>
      </c>
      <c r="D93" s="10" t="s">
        <v>354</v>
      </c>
      <c r="E93" s="4" t="s">
        <v>474</v>
      </c>
    </row>
    <row r="94" spans="2:5" x14ac:dyDescent="0.35">
      <c r="B94" s="939">
        <v>82</v>
      </c>
      <c r="C94" s="9">
        <v>43665</v>
      </c>
      <c r="D94" s="10" t="s">
        <v>431</v>
      </c>
      <c r="E94" s="4" t="s">
        <v>475</v>
      </c>
    </row>
    <row r="95" spans="2:5" ht="58" x14ac:dyDescent="0.35">
      <c r="B95" s="939">
        <v>83</v>
      </c>
      <c r="C95" s="9">
        <v>43691</v>
      </c>
      <c r="D95" s="10" t="s">
        <v>431</v>
      </c>
      <c r="E95" s="4" t="s">
        <v>476</v>
      </c>
    </row>
    <row r="96" spans="2:5" ht="43.5" x14ac:dyDescent="0.35">
      <c r="B96" s="939">
        <v>84</v>
      </c>
      <c r="C96" s="9">
        <v>43697</v>
      </c>
      <c r="D96" s="10" t="s">
        <v>431</v>
      </c>
      <c r="E96" s="4" t="s">
        <v>478</v>
      </c>
    </row>
    <row r="97" spans="2:5" ht="29" x14ac:dyDescent="0.35">
      <c r="B97" s="939">
        <v>85</v>
      </c>
      <c r="C97" s="9">
        <v>43703</v>
      </c>
      <c r="D97" s="10" t="s">
        <v>354</v>
      </c>
      <c r="E97" s="4" t="s">
        <v>481</v>
      </c>
    </row>
    <row r="98" spans="2:5" x14ac:dyDescent="0.35">
      <c r="B98" s="939">
        <v>86</v>
      </c>
      <c r="C98" s="9">
        <v>43703</v>
      </c>
      <c r="D98" s="10" t="s">
        <v>354</v>
      </c>
      <c r="E98" s="4" t="s">
        <v>482</v>
      </c>
    </row>
    <row r="99" spans="2:5" ht="43.5" x14ac:dyDescent="0.35">
      <c r="B99" s="939">
        <v>87</v>
      </c>
      <c r="C99" s="9">
        <v>43704</v>
      </c>
      <c r="D99" s="10" t="s">
        <v>431</v>
      </c>
      <c r="E99" s="4" t="s">
        <v>484</v>
      </c>
    </row>
    <row r="100" spans="2:5" x14ac:dyDescent="0.35">
      <c r="B100" s="939">
        <v>88</v>
      </c>
      <c r="C100" s="9">
        <v>43711</v>
      </c>
      <c r="D100" s="10" t="s">
        <v>431</v>
      </c>
      <c r="E100" s="4" t="s">
        <v>485</v>
      </c>
    </row>
    <row r="101" spans="2:5" x14ac:dyDescent="0.35">
      <c r="B101" s="939">
        <v>89</v>
      </c>
      <c r="C101" s="9">
        <v>43711</v>
      </c>
      <c r="D101" s="10" t="s">
        <v>431</v>
      </c>
      <c r="E101" s="4" t="s">
        <v>487</v>
      </c>
    </row>
    <row r="102" spans="2:5" x14ac:dyDescent="0.35">
      <c r="B102" s="939">
        <v>90</v>
      </c>
      <c r="C102" s="9">
        <v>43714</v>
      </c>
      <c r="D102" s="10" t="s">
        <v>431</v>
      </c>
      <c r="E102" s="4" t="s">
        <v>488</v>
      </c>
    </row>
    <row r="103" spans="2:5" ht="29" x14ac:dyDescent="0.35">
      <c r="B103" s="939">
        <v>91</v>
      </c>
      <c r="C103" s="9">
        <v>43719</v>
      </c>
      <c r="D103" s="10" t="s">
        <v>354</v>
      </c>
      <c r="E103" s="4" t="s">
        <v>497</v>
      </c>
    </row>
    <row r="104" spans="2:5" x14ac:dyDescent="0.35">
      <c r="B104" s="939">
        <v>92</v>
      </c>
      <c r="C104" s="9">
        <v>43747</v>
      </c>
      <c r="D104" s="10" t="s">
        <v>431</v>
      </c>
      <c r="E104" s="4" t="s">
        <v>500</v>
      </c>
    </row>
    <row r="105" spans="2:5" x14ac:dyDescent="0.35">
      <c r="B105" s="939">
        <v>93</v>
      </c>
      <c r="C105" s="9">
        <v>43768</v>
      </c>
      <c r="D105" s="10" t="s">
        <v>354</v>
      </c>
      <c r="E105" s="4" t="s">
        <v>502</v>
      </c>
    </row>
    <row r="106" spans="2:5" x14ac:dyDescent="0.35">
      <c r="B106" s="939">
        <v>94</v>
      </c>
      <c r="C106" s="9">
        <v>43775</v>
      </c>
      <c r="D106" s="10" t="s">
        <v>431</v>
      </c>
      <c r="E106" s="4" t="s">
        <v>504</v>
      </c>
    </row>
    <row r="107" spans="2:5" x14ac:dyDescent="0.35">
      <c r="B107" s="939">
        <v>95</v>
      </c>
      <c r="C107" s="9">
        <v>43791</v>
      </c>
      <c r="D107" s="10" t="s">
        <v>354</v>
      </c>
      <c r="E107" s="4" t="s">
        <v>506</v>
      </c>
    </row>
    <row r="108" spans="2:5" x14ac:dyDescent="0.35">
      <c r="B108" s="939">
        <v>96</v>
      </c>
      <c r="C108" s="9">
        <v>43816</v>
      </c>
      <c r="D108" s="10" t="s">
        <v>431</v>
      </c>
      <c r="E108" s="4" t="s">
        <v>507</v>
      </c>
    </row>
    <row r="109" spans="2:5" x14ac:dyDescent="0.35">
      <c r="B109" s="939">
        <v>97</v>
      </c>
      <c r="C109" s="9">
        <v>43816</v>
      </c>
      <c r="D109" s="10" t="s">
        <v>354</v>
      </c>
      <c r="E109" s="4" t="s">
        <v>518</v>
      </c>
    </row>
    <row r="110" spans="2:5" x14ac:dyDescent="0.35">
      <c r="B110" s="939">
        <v>98</v>
      </c>
      <c r="C110" s="9">
        <v>43816</v>
      </c>
      <c r="D110" s="10" t="s">
        <v>431</v>
      </c>
      <c r="E110" s="4" t="s">
        <v>519</v>
      </c>
    </row>
    <row r="111" spans="2:5" x14ac:dyDescent="0.35">
      <c r="B111" s="939">
        <v>99</v>
      </c>
      <c r="C111" s="9">
        <v>43817</v>
      </c>
      <c r="D111" s="10" t="s">
        <v>431</v>
      </c>
      <c r="E111" s="4" t="s">
        <v>521</v>
      </c>
    </row>
    <row r="112" spans="2:5" x14ac:dyDescent="0.35">
      <c r="B112" s="939">
        <v>100</v>
      </c>
      <c r="C112" s="9">
        <v>43817</v>
      </c>
      <c r="D112" s="10" t="s">
        <v>431</v>
      </c>
      <c r="E112" s="4" t="s">
        <v>522</v>
      </c>
    </row>
    <row r="113" spans="2:5" ht="29" x14ac:dyDescent="0.35">
      <c r="B113" s="939">
        <v>101</v>
      </c>
      <c r="C113" s="9">
        <v>43817</v>
      </c>
      <c r="D113" s="10" t="s">
        <v>354</v>
      </c>
      <c r="E113" s="4" t="s">
        <v>523</v>
      </c>
    </row>
    <row r="114" spans="2:5" x14ac:dyDescent="0.35">
      <c r="B114" s="939">
        <v>102</v>
      </c>
      <c r="C114" s="9">
        <v>43818</v>
      </c>
      <c r="D114" s="10" t="s">
        <v>431</v>
      </c>
      <c r="E114" s="4" t="s">
        <v>528</v>
      </c>
    </row>
    <row r="115" spans="2:5" x14ac:dyDescent="0.35">
      <c r="B115" s="939">
        <v>103</v>
      </c>
      <c r="C115" s="9">
        <v>43822</v>
      </c>
      <c r="D115" s="10" t="s">
        <v>431</v>
      </c>
      <c r="E115" s="4" t="s">
        <v>529</v>
      </c>
    </row>
    <row r="116" spans="2:5" x14ac:dyDescent="0.35">
      <c r="B116" s="939">
        <v>104</v>
      </c>
      <c r="C116" s="9">
        <v>43825</v>
      </c>
      <c r="D116" s="10" t="s">
        <v>431</v>
      </c>
      <c r="E116" s="4" t="s">
        <v>530</v>
      </c>
    </row>
    <row r="117" spans="2:5" x14ac:dyDescent="0.35">
      <c r="B117" s="939">
        <v>105</v>
      </c>
      <c r="C117" s="9">
        <v>43825</v>
      </c>
      <c r="D117" s="10" t="s">
        <v>431</v>
      </c>
      <c r="E117" s="4" t="s">
        <v>531</v>
      </c>
    </row>
    <row r="118" spans="2:5" x14ac:dyDescent="0.35">
      <c r="B118" s="939">
        <v>106</v>
      </c>
      <c r="C118" s="9">
        <v>43836</v>
      </c>
      <c r="D118" s="10" t="s">
        <v>431</v>
      </c>
      <c r="E118" s="4" t="s">
        <v>532</v>
      </c>
    </row>
    <row r="119" spans="2:5" x14ac:dyDescent="0.35">
      <c r="B119" s="939">
        <v>107</v>
      </c>
      <c r="C119" s="9">
        <v>43837</v>
      </c>
      <c r="D119" s="10" t="s">
        <v>354</v>
      </c>
      <c r="E119" s="4" t="s">
        <v>534</v>
      </c>
    </row>
    <row r="120" spans="2:5" ht="130.5" x14ac:dyDescent="0.35">
      <c r="B120" s="939">
        <v>108</v>
      </c>
      <c r="C120" s="9">
        <v>43837</v>
      </c>
      <c r="D120" s="10" t="s">
        <v>535</v>
      </c>
      <c r="E120" s="4" t="s">
        <v>536</v>
      </c>
    </row>
    <row r="121" spans="2:5" x14ac:dyDescent="0.35">
      <c r="B121" s="939">
        <v>109</v>
      </c>
      <c r="C121" s="9">
        <v>43838</v>
      </c>
      <c r="D121" s="10" t="s">
        <v>431</v>
      </c>
      <c r="E121" s="4" t="s">
        <v>542</v>
      </c>
    </row>
    <row r="122" spans="2:5" x14ac:dyDescent="0.35">
      <c r="B122" s="939">
        <v>110</v>
      </c>
      <c r="C122" s="9">
        <v>43839</v>
      </c>
      <c r="D122" s="10" t="s">
        <v>431</v>
      </c>
      <c r="E122" s="4" t="s">
        <v>543</v>
      </c>
    </row>
    <row r="123" spans="2:5" x14ac:dyDescent="0.35">
      <c r="B123" s="939">
        <v>111</v>
      </c>
      <c r="C123" s="9">
        <v>43839</v>
      </c>
      <c r="D123" s="10" t="s">
        <v>431</v>
      </c>
      <c r="E123" s="4" t="s">
        <v>544</v>
      </c>
    </row>
    <row r="124" spans="2:5" x14ac:dyDescent="0.35">
      <c r="B124" s="939">
        <v>112</v>
      </c>
      <c r="C124" s="9">
        <v>43839</v>
      </c>
      <c r="D124" s="10" t="s">
        <v>431</v>
      </c>
      <c r="E124" s="4" t="s">
        <v>546</v>
      </c>
    </row>
    <row r="125" spans="2:5" x14ac:dyDescent="0.35">
      <c r="B125" s="939">
        <v>113</v>
      </c>
      <c r="C125" s="9">
        <v>43839</v>
      </c>
      <c r="D125" s="10" t="s">
        <v>431</v>
      </c>
      <c r="E125" s="4" t="s">
        <v>547</v>
      </c>
    </row>
    <row r="126" spans="2:5" x14ac:dyDescent="0.35">
      <c r="B126" s="939">
        <v>114</v>
      </c>
      <c r="C126" s="9">
        <v>43839</v>
      </c>
      <c r="D126" s="10" t="s">
        <v>431</v>
      </c>
      <c r="E126" s="4" t="s">
        <v>552</v>
      </c>
    </row>
    <row r="127" spans="2:5" x14ac:dyDescent="0.35">
      <c r="B127" s="939">
        <v>115</v>
      </c>
      <c r="C127" s="9">
        <v>43843</v>
      </c>
      <c r="D127" s="10" t="s">
        <v>354</v>
      </c>
      <c r="E127" s="4"/>
    </row>
    <row r="128" spans="2:5" x14ac:dyDescent="0.35">
      <c r="B128" s="939">
        <v>116</v>
      </c>
      <c r="C128" s="9">
        <v>43844</v>
      </c>
      <c r="D128" s="10" t="s">
        <v>431</v>
      </c>
      <c r="E128" s="4" t="s">
        <v>560</v>
      </c>
    </row>
    <row r="129" spans="2:5" x14ac:dyDescent="0.35">
      <c r="B129" s="939">
        <v>117</v>
      </c>
      <c r="C129" s="9">
        <v>43844</v>
      </c>
      <c r="D129" s="10" t="s">
        <v>431</v>
      </c>
      <c r="E129" s="4" t="s">
        <v>561</v>
      </c>
    </row>
    <row r="130" spans="2:5" x14ac:dyDescent="0.35">
      <c r="B130" s="939">
        <v>118</v>
      </c>
      <c r="C130" s="9">
        <v>43844</v>
      </c>
      <c r="D130" s="10" t="s">
        <v>431</v>
      </c>
      <c r="E130" s="4" t="s">
        <v>562</v>
      </c>
    </row>
    <row r="131" spans="2:5" x14ac:dyDescent="0.35">
      <c r="B131" s="939">
        <v>119</v>
      </c>
      <c r="C131" s="9">
        <v>43845</v>
      </c>
      <c r="D131" s="10" t="s">
        <v>431</v>
      </c>
      <c r="E131" s="4" t="s">
        <v>563</v>
      </c>
    </row>
    <row r="132" spans="2:5" x14ac:dyDescent="0.35">
      <c r="B132" s="939">
        <v>120</v>
      </c>
      <c r="C132" s="9">
        <v>43845</v>
      </c>
      <c r="D132" s="10" t="s">
        <v>431</v>
      </c>
      <c r="E132" s="4" t="s">
        <v>564</v>
      </c>
    </row>
    <row r="133" spans="2:5" x14ac:dyDescent="0.35">
      <c r="B133" s="939">
        <v>121</v>
      </c>
      <c r="C133" s="9">
        <v>43847</v>
      </c>
      <c r="D133" s="10" t="s">
        <v>431</v>
      </c>
      <c r="E133" s="4" t="s">
        <v>568</v>
      </c>
    </row>
    <row r="134" spans="2:5" ht="29" x14ac:dyDescent="0.35">
      <c r="B134" s="939">
        <v>122</v>
      </c>
      <c r="C134" s="9">
        <v>43837</v>
      </c>
      <c r="D134" s="10" t="s">
        <v>535</v>
      </c>
      <c r="E134" s="4" t="s">
        <v>572</v>
      </c>
    </row>
    <row r="135" spans="2:5" x14ac:dyDescent="0.35">
      <c r="B135" s="939">
        <v>123</v>
      </c>
      <c r="C135" s="9">
        <v>43850</v>
      </c>
      <c r="D135" s="10" t="s">
        <v>431</v>
      </c>
      <c r="E135" s="4" t="s">
        <v>573</v>
      </c>
    </row>
    <row r="136" spans="2:5" x14ac:dyDescent="0.35">
      <c r="B136" s="939">
        <v>124</v>
      </c>
      <c r="C136" s="9">
        <v>43852</v>
      </c>
      <c r="D136" s="10" t="s">
        <v>431</v>
      </c>
      <c r="E136" s="4" t="s">
        <v>574</v>
      </c>
    </row>
    <row r="137" spans="2:5" ht="29" x14ac:dyDescent="0.35">
      <c r="B137" s="939">
        <v>125</v>
      </c>
      <c r="C137" s="9">
        <v>43853</v>
      </c>
      <c r="D137" s="10" t="s">
        <v>354</v>
      </c>
      <c r="E137" s="4" t="s">
        <v>576</v>
      </c>
    </row>
    <row r="138" spans="2:5" x14ac:dyDescent="0.35">
      <c r="B138" s="939">
        <v>126</v>
      </c>
      <c r="C138" s="9">
        <v>43857</v>
      </c>
      <c r="D138" s="10" t="s">
        <v>431</v>
      </c>
      <c r="E138" s="4" t="s">
        <v>577</v>
      </c>
    </row>
    <row r="139" spans="2:5" x14ac:dyDescent="0.35">
      <c r="B139" s="939">
        <v>127</v>
      </c>
      <c r="C139" s="9">
        <v>43872</v>
      </c>
      <c r="D139" s="10" t="s">
        <v>431</v>
      </c>
      <c r="E139" s="4" t="s">
        <v>578</v>
      </c>
    </row>
    <row r="140" spans="2:5" x14ac:dyDescent="0.35">
      <c r="B140" s="939">
        <v>128</v>
      </c>
      <c r="C140" s="9">
        <v>43888</v>
      </c>
      <c r="D140" s="10" t="s">
        <v>431</v>
      </c>
      <c r="E140" s="4" t="s">
        <v>579</v>
      </c>
    </row>
    <row r="141" spans="2:5" ht="29" x14ac:dyDescent="0.35">
      <c r="B141" s="939">
        <v>129</v>
      </c>
      <c r="C141" s="9">
        <v>43895</v>
      </c>
      <c r="D141" s="10" t="s">
        <v>431</v>
      </c>
      <c r="E141" s="4" t="s">
        <v>580</v>
      </c>
    </row>
    <row r="142" spans="2:5" x14ac:dyDescent="0.35">
      <c r="B142" s="939">
        <v>130</v>
      </c>
      <c r="C142" s="9">
        <v>43908</v>
      </c>
      <c r="D142" s="10" t="s">
        <v>354</v>
      </c>
      <c r="E142" s="4" t="s">
        <v>582</v>
      </c>
    </row>
    <row r="143" spans="2:5" x14ac:dyDescent="0.35">
      <c r="B143" s="939">
        <v>131</v>
      </c>
      <c r="C143" s="9">
        <v>43908</v>
      </c>
      <c r="D143" s="10" t="s">
        <v>431</v>
      </c>
      <c r="E143" s="4" t="s">
        <v>583</v>
      </c>
    </row>
    <row r="144" spans="2:5" x14ac:dyDescent="0.35">
      <c r="B144" s="939">
        <v>132</v>
      </c>
      <c r="C144" s="9">
        <v>43916</v>
      </c>
      <c r="D144" s="10" t="s">
        <v>354</v>
      </c>
      <c r="E144" s="4" t="s">
        <v>587</v>
      </c>
    </row>
    <row r="145" spans="2:5" ht="43.5" x14ac:dyDescent="0.35">
      <c r="B145" s="939">
        <v>133</v>
      </c>
      <c r="C145" s="9">
        <v>43929</v>
      </c>
      <c r="D145" s="10" t="s">
        <v>535</v>
      </c>
      <c r="E145" s="4" t="s">
        <v>589</v>
      </c>
    </row>
    <row r="146" spans="2:5" x14ac:dyDescent="0.35">
      <c r="B146" s="939">
        <v>134</v>
      </c>
      <c r="C146" s="9">
        <v>43908</v>
      </c>
      <c r="D146" s="10" t="s">
        <v>431</v>
      </c>
      <c r="E146" s="4" t="s">
        <v>590</v>
      </c>
    </row>
    <row r="147" spans="2:5" x14ac:dyDescent="0.35">
      <c r="B147" s="939">
        <v>135</v>
      </c>
      <c r="C147" s="9">
        <v>43978</v>
      </c>
      <c r="D147" s="10" t="s">
        <v>431</v>
      </c>
      <c r="E147" s="4" t="s">
        <v>597</v>
      </c>
    </row>
    <row r="148" spans="2:5" ht="72.5" x14ac:dyDescent="0.35">
      <c r="B148" s="939">
        <v>136</v>
      </c>
      <c r="C148" s="9">
        <v>43980</v>
      </c>
      <c r="D148" s="10" t="s">
        <v>535</v>
      </c>
      <c r="E148" s="4" t="s">
        <v>598</v>
      </c>
    </row>
    <row r="149" spans="2:5" ht="101.5" x14ac:dyDescent="0.35">
      <c r="B149" s="939">
        <v>137</v>
      </c>
      <c r="C149" s="9">
        <v>43991</v>
      </c>
      <c r="D149" s="10" t="s">
        <v>535</v>
      </c>
      <c r="E149" s="4" t="s">
        <v>608</v>
      </c>
    </row>
    <row r="150" spans="2:5" ht="29" x14ac:dyDescent="0.35">
      <c r="B150" s="939">
        <v>138</v>
      </c>
      <c r="C150" s="9">
        <v>43992</v>
      </c>
      <c r="D150" s="10" t="s">
        <v>431</v>
      </c>
      <c r="E150" s="4" t="s">
        <v>609</v>
      </c>
    </row>
    <row r="151" spans="2:5" ht="29" x14ac:dyDescent="0.35">
      <c r="B151" s="939">
        <v>139</v>
      </c>
      <c r="C151" s="9">
        <v>43993</v>
      </c>
      <c r="D151" s="10" t="s">
        <v>431</v>
      </c>
      <c r="E151" s="4" t="s">
        <v>610</v>
      </c>
    </row>
    <row r="152" spans="2:5" ht="87" x14ac:dyDescent="0.35">
      <c r="B152" s="939">
        <v>140</v>
      </c>
      <c r="C152" s="9">
        <v>43997</v>
      </c>
      <c r="D152" s="10" t="s">
        <v>535</v>
      </c>
      <c r="E152" s="4" t="s">
        <v>613</v>
      </c>
    </row>
    <row r="153" spans="2:5" ht="217.5" x14ac:dyDescent="0.35">
      <c r="B153" s="939">
        <v>141</v>
      </c>
      <c r="C153" s="9">
        <v>44004</v>
      </c>
      <c r="D153" s="10" t="s">
        <v>535</v>
      </c>
      <c r="E153" s="4" t="s">
        <v>615</v>
      </c>
    </row>
    <row r="154" spans="2:5" ht="29" x14ac:dyDescent="0.35">
      <c r="B154" s="939">
        <v>142</v>
      </c>
      <c r="C154" s="9">
        <v>44008</v>
      </c>
      <c r="D154" s="10" t="s">
        <v>535</v>
      </c>
      <c r="E154" s="4" t="s">
        <v>616</v>
      </c>
    </row>
    <row r="155" spans="2:5" x14ac:dyDescent="0.35">
      <c r="B155" s="939">
        <v>143</v>
      </c>
      <c r="C155" s="9">
        <v>44022</v>
      </c>
      <c r="D155" s="10" t="s">
        <v>535</v>
      </c>
      <c r="E155" s="4" t="s">
        <v>617</v>
      </c>
    </row>
    <row r="156" spans="2:5" x14ac:dyDescent="0.35">
      <c r="B156" s="939">
        <v>144</v>
      </c>
      <c r="C156" s="9">
        <v>44028</v>
      </c>
      <c r="D156" s="10" t="s">
        <v>431</v>
      </c>
      <c r="E156" s="4" t="s">
        <v>618</v>
      </c>
    </row>
    <row r="157" spans="2:5" ht="29" x14ac:dyDescent="0.35">
      <c r="B157" s="939">
        <v>145</v>
      </c>
      <c r="C157" s="9">
        <v>44027</v>
      </c>
      <c r="D157" s="10" t="s">
        <v>354</v>
      </c>
      <c r="E157" s="4" t="s">
        <v>627</v>
      </c>
    </row>
    <row r="158" spans="2:5" x14ac:dyDescent="0.35">
      <c r="B158" s="939">
        <v>146</v>
      </c>
      <c r="C158" s="9">
        <v>44042</v>
      </c>
      <c r="D158" s="10" t="s">
        <v>354</v>
      </c>
      <c r="E158" s="4" t="s">
        <v>629</v>
      </c>
    </row>
    <row r="159" spans="2:5" x14ac:dyDescent="0.35">
      <c r="B159" s="939">
        <v>147</v>
      </c>
      <c r="C159" s="9">
        <v>44063</v>
      </c>
      <c r="D159" s="10" t="s">
        <v>535</v>
      </c>
      <c r="E159" s="4" t="s">
        <v>633</v>
      </c>
    </row>
    <row r="160" spans="2:5" ht="58" x14ac:dyDescent="0.35">
      <c r="B160" s="939">
        <v>148</v>
      </c>
      <c r="C160" s="9">
        <v>44092</v>
      </c>
      <c r="D160" s="10" t="s">
        <v>535</v>
      </c>
      <c r="E160" s="4" t="s">
        <v>634</v>
      </c>
    </row>
    <row r="161" spans="2:5" x14ac:dyDescent="0.35">
      <c r="B161" s="939">
        <v>149</v>
      </c>
      <c r="C161" s="9">
        <v>44098</v>
      </c>
      <c r="D161" s="10" t="s">
        <v>354</v>
      </c>
      <c r="E161" s="4" t="s">
        <v>635</v>
      </c>
    </row>
    <row r="162" spans="2:5" x14ac:dyDescent="0.35">
      <c r="B162" s="939">
        <v>150</v>
      </c>
      <c r="C162" s="9">
        <v>44103</v>
      </c>
      <c r="D162" s="10" t="s">
        <v>354</v>
      </c>
      <c r="E162" s="4" t="s">
        <v>636</v>
      </c>
    </row>
    <row r="163" spans="2:5" ht="43.5" x14ac:dyDescent="0.35">
      <c r="B163" s="939">
        <v>151</v>
      </c>
      <c r="C163" s="9">
        <v>44109</v>
      </c>
      <c r="D163" s="10" t="s">
        <v>354</v>
      </c>
      <c r="E163" s="4" t="s">
        <v>638</v>
      </c>
    </row>
    <row r="164" spans="2:5" ht="29" x14ac:dyDescent="0.35">
      <c r="B164" s="939">
        <v>152</v>
      </c>
      <c r="C164" s="9">
        <v>44112</v>
      </c>
      <c r="D164" s="10" t="s">
        <v>354</v>
      </c>
      <c r="E164" s="4" t="s">
        <v>643</v>
      </c>
    </row>
    <row r="165" spans="2:5" x14ac:dyDescent="0.35">
      <c r="B165" s="939">
        <v>153</v>
      </c>
      <c r="C165" s="9">
        <v>44123</v>
      </c>
      <c r="D165" s="10" t="s">
        <v>431</v>
      </c>
      <c r="E165" s="4" t="s">
        <v>644</v>
      </c>
    </row>
    <row r="166" spans="2:5" ht="43.5" x14ac:dyDescent="0.35">
      <c r="B166" s="939">
        <v>154</v>
      </c>
      <c r="C166" s="9">
        <v>44126</v>
      </c>
      <c r="D166" s="10" t="s">
        <v>354</v>
      </c>
      <c r="E166" s="4" t="s">
        <v>645</v>
      </c>
    </row>
    <row r="167" spans="2:5" ht="58" x14ac:dyDescent="0.35">
      <c r="B167" s="939">
        <v>155</v>
      </c>
      <c r="C167" s="9">
        <v>44141</v>
      </c>
      <c r="D167" s="10" t="s">
        <v>535</v>
      </c>
      <c r="E167" s="4" t="s">
        <v>646</v>
      </c>
    </row>
    <row r="168" spans="2:5" ht="29" x14ac:dyDescent="0.35">
      <c r="B168" s="939">
        <v>156</v>
      </c>
      <c r="C168" s="9">
        <v>44148</v>
      </c>
      <c r="D168" s="10" t="s">
        <v>535</v>
      </c>
      <c r="E168" s="4" t="s">
        <v>649</v>
      </c>
    </row>
    <row r="169" spans="2:5" ht="101.5" x14ac:dyDescent="0.35">
      <c r="B169" s="939">
        <v>157</v>
      </c>
      <c r="C169" s="9">
        <v>44151</v>
      </c>
      <c r="D169" s="10" t="s">
        <v>535</v>
      </c>
      <c r="E169" s="4" t="s">
        <v>656</v>
      </c>
    </row>
    <row r="170" spans="2:5" ht="101.5" x14ac:dyDescent="0.35">
      <c r="B170" s="939">
        <v>158</v>
      </c>
      <c r="C170" s="9">
        <v>44155</v>
      </c>
      <c r="D170" s="10" t="s">
        <v>535</v>
      </c>
      <c r="E170" s="4" t="s">
        <v>658</v>
      </c>
    </row>
    <row r="171" spans="2:5" x14ac:dyDescent="0.35">
      <c r="B171" s="939">
        <v>159</v>
      </c>
      <c r="C171" s="9">
        <v>44165</v>
      </c>
      <c r="D171" s="10" t="s">
        <v>431</v>
      </c>
      <c r="E171" s="4" t="s">
        <v>660</v>
      </c>
    </row>
    <row r="172" spans="2:5" x14ac:dyDescent="0.35">
      <c r="B172" s="939">
        <v>160</v>
      </c>
      <c r="C172" s="9">
        <v>44165</v>
      </c>
      <c r="D172" s="10" t="s">
        <v>431</v>
      </c>
      <c r="E172" s="4" t="s">
        <v>664</v>
      </c>
    </row>
    <row r="173" spans="2:5" ht="43.5" x14ac:dyDescent="0.35">
      <c r="B173" s="939">
        <v>161</v>
      </c>
      <c r="C173" s="9">
        <v>44180</v>
      </c>
      <c r="D173" s="10" t="s">
        <v>535</v>
      </c>
      <c r="E173" s="4" t="s">
        <v>667</v>
      </c>
    </row>
    <row r="174" spans="2:5" ht="87" x14ac:dyDescent="0.35">
      <c r="B174" s="939">
        <v>162</v>
      </c>
      <c r="C174" s="9">
        <v>44180</v>
      </c>
      <c r="D174" s="10" t="s">
        <v>535</v>
      </c>
      <c r="E174" s="4" t="s">
        <v>668</v>
      </c>
    </row>
    <row r="175" spans="2:5" ht="43.5" x14ac:dyDescent="0.35">
      <c r="B175" s="939">
        <v>163</v>
      </c>
      <c r="C175" s="9">
        <v>44182</v>
      </c>
      <c r="D175" s="10" t="s">
        <v>431</v>
      </c>
      <c r="E175" s="4" t="s">
        <v>669</v>
      </c>
    </row>
    <row r="176" spans="2:5" x14ac:dyDescent="0.35">
      <c r="B176" s="939">
        <v>164</v>
      </c>
      <c r="C176" s="9">
        <v>44183</v>
      </c>
      <c r="D176" s="10" t="s">
        <v>431</v>
      </c>
      <c r="E176" s="4" t="s">
        <v>683</v>
      </c>
    </row>
    <row r="177" spans="2:5" ht="43.5" x14ac:dyDescent="0.35">
      <c r="B177" s="939">
        <v>165</v>
      </c>
      <c r="C177" s="9">
        <v>44207</v>
      </c>
      <c r="D177" s="10" t="s">
        <v>431</v>
      </c>
      <c r="E177" s="4" t="s">
        <v>691</v>
      </c>
    </row>
    <row r="178" spans="2:5" ht="43.5" x14ac:dyDescent="0.35">
      <c r="B178" s="939">
        <v>166</v>
      </c>
      <c r="C178" s="9">
        <v>44208</v>
      </c>
      <c r="D178" s="10" t="s">
        <v>431</v>
      </c>
      <c r="E178" s="4" t="s">
        <v>698</v>
      </c>
    </row>
    <row r="179" spans="2:5" ht="101.5" x14ac:dyDescent="0.35">
      <c r="B179" s="939">
        <v>167</v>
      </c>
      <c r="C179" s="9">
        <v>44208</v>
      </c>
      <c r="D179" s="10" t="s">
        <v>354</v>
      </c>
      <c r="E179" s="4" t="s">
        <v>703</v>
      </c>
    </row>
    <row r="180" spans="2:5" ht="58" x14ac:dyDescent="0.35">
      <c r="B180" s="939">
        <v>168</v>
      </c>
      <c r="C180" s="9">
        <v>44215</v>
      </c>
      <c r="D180" s="10" t="s">
        <v>354</v>
      </c>
      <c r="E180" s="4" t="s">
        <v>702</v>
      </c>
    </row>
    <row r="181" spans="2:5" ht="43.5" x14ac:dyDescent="0.35">
      <c r="B181" s="939">
        <v>169</v>
      </c>
      <c r="C181" s="9">
        <v>44223</v>
      </c>
      <c r="D181" s="10" t="s">
        <v>431</v>
      </c>
      <c r="E181" s="4" t="s">
        <v>704</v>
      </c>
    </row>
    <row r="182" spans="2:5" ht="29" x14ac:dyDescent="0.35">
      <c r="B182" s="939">
        <v>170</v>
      </c>
      <c r="C182" s="9">
        <v>44237</v>
      </c>
      <c r="D182" s="10" t="s">
        <v>431</v>
      </c>
      <c r="E182" s="4" t="s">
        <v>706</v>
      </c>
    </row>
    <row r="183" spans="2:5" ht="87" x14ac:dyDescent="0.35">
      <c r="B183" s="939">
        <v>171</v>
      </c>
      <c r="C183" s="9">
        <v>44244</v>
      </c>
      <c r="D183" s="10" t="s">
        <v>535</v>
      </c>
      <c r="E183" s="4" t="s">
        <v>707</v>
      </c>
    </row>
    <row r="184" spans="2:5" ht="58" x14ac:dyDescent="0.35">
      <c r="B184" s="939">
        <v>172</v>
      </c>
      <c r="C184" s="9">
        <v>44259</v>
      </c>
      <c r="D184" s="10" t="s">
        <v>431</v>
      </c>
      <c r="E184" s="4" t="s">
        <v>1088</v>
      </c>
    </row>
    <row r="185" spans="2:5" ht="87" x14ac:dyDescent="0.35">
      <c r="B185" s="939">
        <v>173</v>
      </c>
      <c r="C185" s="9">
        <v>44265</v>
      </c>
      <c r="D185" s="10" t="s">
        <v>354</v>
      </c>
      <c r="E185" s="4" t="s">
        <v>1099</v>
      </c>
    </row>
    <row r="186" spans="2:5" ht="29" x14ac:dyDescent="0.35">
      <c r="B186" s="939">
        <v>174</v>
      </c>
      <c r="C186" s="9">
        <v>44308</v>
      </c>
      <c r="D186" s="10" t="s">
        <v>354</v>
      </c>
      <c r="E186" s="4" t="s">
        <v>1100</v>
      </c>
    </row>
    <row r="187" spans="2:5" ht="43.5" x14ac:dyDescent="0.35">
      <c r="B187" s="939">
        <v>175</v>
      </c>
      <c r="C187" s="9">
        <v>44315</v>
      </c>
      <c r="D187" s="10" t="s">
        <v>535</v>
      </c>
      <c r="E187" s="4" t="s">
        <v>1113</v>
      </c>
    </row>
    <row r="188" spans="2:5" ht="87" x14ac:dyDescent="0.35">
      <c r="B188" s="939">
        <v>176</v>
      </c>
      <c r="C188" s="9">
        <v>44322</v>
      </c>
      <c r="D188" s="10" t="s">
        <v>354</v>
      </c>
      <c r="E188" s="4" t="s">
        <v>1116</v>
      </c>
    </row>
    <row r="189" spans="2:5" ht="87" x14ac:dyDescent="0.35">
      <c r="B189" s="939">
        <v>177</v>
      </c>
      <c r="C189" s="9">
        <v>44323</v>
      </c>
      <c r="D189" s="10" t="s">
        <v>1119</v>
      </c>
      <c r="E189" s="4" t="s">
        <v>1120</v>
      </c>
    </row>
    <row r="190" spans="2:5" ht="29" x14ac:dyDescent="0.35">
      <c r="B190" s="939">
        <v>178</v>
      </c>
      <c r="C190" s="9">
        <v>44323</v>
      </c>
      <c r="D190" s="10" t="s">
        <v>1119</v>
      </c>
      <c r="E190" s="4" t="s">
        <v>1121</v>
      </c>
    </row>
    <row r="191" spans="2:5" ht="101.5" x14ac:dyDescent="0.35">
      <c r="B191" s="939">
        <v>179</v>
      </c>
      <c r="C191" s="9">
        <v>44324</v>
      </c>
      <c r="D191" s="10" t="s">
        <v>1119</v>
      </c>
      <c r="E191" s="4" t="s">
        <v>1267</v>
      </c>
    </row>
    <row r="192" spans="2:5" ht="58" x14ac:dyDescent="0.35">
      <c r="B192" s="939">
        <v>180</v>
      </c>
      <c r="C192" s="9">
        <v>44335</v>
      </c>
      <c r="D192" s="10" t="s">
        <v>1119</v>
      </c>
      <c r="E192" s="4" t="s">
        <v>1268</v>
      </c>
    </row>
    <row r="193" spans="2:5" x14ac:dyDescent="0.35">
      <c r="B193" s="939">
        <v>181</v>
      </c>
      <c r="C193" s="9">
        <v>44337</v>
      </c>
      <c r="D193" s="10" t="s">
        <v>1119</v>
      </c>
      <c r="E193" s="4" t="s">
        <v>1269</v>
      </c>
    </row>
    <row r="194" spans="2:5" ht="29" x14ac:dyDescent="0.35">
      <c r="B194" s="939">
        <v>182</v>
      </c>
      <c r="C194" s="9">
        <v>44337</v>
      </c>
      <c r="D194" s="10" t="s">
        <v>535</v>
      </c>
      <c r="E194" s="4" t="s">
        <v>1270</v>
      </c>
    </row>
    <row r="195" spans="2:5" ht="72.5" x14ac:dyDescent="0.35">
      <c r="B195" s="939">
        <v>183</v>
      </c>
      <c r="C195" s="9">
        <v>44349</v>
      </c>
      <c r="D195" s="10" t="s">
        <v>1119</v>
      </c>
      <c r="E195" s="4" t="s">
        <v>1274</v>
      </c>
    </row>
    <row r="196" spans="2:5" ht="29" x14ac:dyDescent="0.35">
      <c r="B196" s="939">
        <v>184</v>
      </c>
      <c r="C196" s="9">
        <v>44349</v>
      </c>
      <c r="D196" s="10" t="s">
        <v>354</v>
      </c>
      <c r="E196" s="4" t="s">
        <v>1278</v>
      </c>
    </row>
    <row r="197" spans="2:5" ht="58" x14ac:dyDescent="0.35">
      <c r="B197" s="939">
        <v>185</v>
      </c>
      <c r="C197" s="9">
        <v>44353</v>
      </c>
      <c r="D197" s="10" t="s">
        <v>1119</v>
      </c>
      <c r="E197" s="4" t="s">
        <v>1279</v>
      </c>
    </row>
    <row r="198" spans="2:5" x14ac:dyDescent="0.35">
      <c r="B198" s="939">
        <v>186</v>
      </c>
      <c r="C198" s="9">
        <v>44364</v>
      </c>
      <c r="D198" s="10" t="s">
        <v>1119</v>
      </c>
      <c r="E198" s="4" t="s">
        <v>1282</v>
      </c>
    </row>
    <row r="199" spans="2:5" x14ac:dyDescent="0.35">
      <c r="B199" s="939">
        <v>187</v>
      </c>
      <c r="C199" s="9">
        <v>44379</v>
      </c>
      <c r="D199" s="10" t="s">
        <v>1119</v>
      </c>
      <c r="E199" s="4" t="s">
        <v>1284</v>
      </c>
    </row>
    <row r="200" spans="2:5" x14ac:dyDescent="0.35">
      <c r="B200" s="939">
        <v>188</v>
      </c>
      <c r="C200" s="9">
        <v>44382</v>
      </c>
      <c r="D200" s="10" t="s">
        <v>1119</v>
      </c>
      <c r="E200" s="4" t="s">
        <v>1285</v>
      </c>
    </row>
    <row r="201" spans="2:5" ht="29" x14ac:dyDescent="0.35">
      <c r="B201" s="939">
        <v>189</v>
      </c>
      <c r="C201" s="9">
        <v>44386</v>
      </c>
      <c r="D201" s="10" t="s">
        <v>1119</v>
      </c>
      <c r="E201" s="4" t="s">
        <v>1295</v>
      </c>
    </row>
    <row r="202" spans="2:5" ht="145" x14ac:dyDescent="0.35">
      <c r="B202" s="939">
        <v>190</v>
      </c>
      <c r="C202" s="9">
        <v>44397</v>
      </c>
      <c r="D202" s="10" t="s">
        <v>1119</v>
      </c>
      <c r="E202" s="4" t="s">
        <v>1304</v>
      </c>
    </row>
    <row r="203" spans="2:5" ht="72.5" x14ac:dyDescent="0.35">
      <c r="B203" s="939">
        <v>191</v>
      </c>
      <c r="C203" s="9">
        <v>44397</v>
      </c>
      <c r="D203" s="10" t="s">
        <v>1119</v>
      </c>
      <c r="E203" s="4" t="s">
        <v>1305</v>
      </c>
    </row>
    <row r="204" spans="2:5" ht="72.5" x14ac:dyDescent="0.35">
      <c r="B204" s="939">
        <v>192</v>
      </c>
      <c r="C204" s="9">
        <v>44402</v>
      </c>
      <c r="D204" s="10" t="s">
        <v>1119</v>
      </c>
      <c r="E204" s="4" t="s">
        <v>1306</v>
      </c>
    </row>
    <row r="205" spans="2:5" ht="58" x14ac:dyDescent="0.35">
      <c r="B205" s="939">
        <v>193</v>
      </c>
      <c r="C205" s="9">
        <v>44405</v>
      </c>
      <c r="D205" s="10" t="s">
        <v>1119</v>
      </c>
      <c r="E205" s="4" t="s">
        <v>1307</v>
      </c>
    </row>
    <row r="206" spans="2:5" ht="101.5" x14ac:dyDescent="0.35">
      <c r="B206" s="939">
        <v>194</v>
      </c>
      <c r="C206" s="9">
        <v>44407</v>
      </c>
      <c r="D206" s="10" t="s">
        <v>1119</v>
      </c>
      <c r="E206" s="4" t="s">
        <v>1321</v>
      </c>
    </row>
    <row r="207" spans="2:5" ht="87" x14ac:dyDescent="0.35">
      <c r="B207" s="939">
        <v>195</v>
      </c>
      <c r="C207" s="9">
        <v>44411</v>
      </c>
      <c r="D207" s="10" t="s">
        <v>1119</v>
      </c>
      <c r="E207" s="4" t="s">
        <v>1328</v>
      </c>
    </row>
    <row r="208" spans="2:5" ht="43.5" x14ac:dyDescent="0.35">
      <c r="B208" s="939">
        <v>196</v>
      </c>
      <c r="C208" s="9">
        <v>44413</v>
      </c>
      <c r="D208" s="10" t="s">
        <v>1329</v>
      </c>
      <c r="E208" s="4" t="s">
        <v>1331</v>
      </c>
    </row>
    <row r="209" spans="2:5" ht="58" x14ac:dyDescent="0.35">
      <c r="B209" s="939">
        <v>197</v>
      </c>
      <c r="C209" s="9">
        <v>44413</v>
      </c>
      <c r="D209" s="10" t="s">
        <v>354</v>
      </c>
      <c r="E209" s="771" t="s">
        <v>1335</v>
      </c>
    </row>
    <row r="210" spans="2:5" ht="43.5" x14ac:dyDescent="0.35">
      <c r="B210" s="939">
        <v>198</v>
      </c>
      <c r="C210" s="9">
        <v>44425</v>
      </c>
      <c r="D210" s="10" t="s">
        <v>1119</v>
      </c>
      <c r="E210" s="771" t="s">
        <v>1355</v>
      </c>
    </row>
    <row r="211" spans="2:5" ht="58" x14ac:dyDescent="0.35">
      <c r="B211" s="939">
        <v>199</v>
      </c>
      <c r="C211" s="9">
        <v>44432</v>
      </c>
      <c r="D211" s="10" t="s">
        <v>1357</v>
      </c>
      <c r="E211" s="771" t="s">
        <v>1356</v>
      </c>
    </row>
    <row r="212" spans="2:5" ht="29" x14ac:dyDescent="0.35">
      <c r="B212" s="939">
        <v>200</v>
      </c>
      <c r="C212" s="9">
        <v>44447</v>
      </c>
      <c r="D212" s="10" t="s">
        <v>354</v>
      </c>
      <c r="E212" s="4" t="s">
        <v>1377</v>
      </c>
    </row>
    <row r="213" spans="2:5" ht="29" x14ac:dyDescent="0.35">
      <c r="B213" s="939">
        <v>201</v>
      </c>
      <c r="C213" s="9">
        <v>44456</v>
      </c>
      <c r="D213" s="10" t="s">
        <v>1119</v>
      </c>
      <c r="E213" s="4" t="s">
        <v>1378</v>
      </c>
    </row>
    <row r="214" spans="2:5" x14ac:dyDescent="0.35">
      <c r="B214" s="939">
        <v>202</v>
      </c>
      <c r="C214" s="9">
        <v>44459</v>
      </c>
      <c r="D214" s="10" t="s">
        <v>1329</v>
      </c>
      <c r="E214" s="4" t="s">
        <v>1380</v>
      </c>
    </row>
    <row r="215" spans="2:5" ht="58" x14ac:dyDescent="0.35">
      <c r="B215" s="939">
        <v>203</v>
      </c>
      <c r="C215" s="9">
        <v>44501</v>
      </c>
      <c r="D215" s="10" t="s">
        <v>1119</v>
      </c>
      <c r="E215" s="4" t="s">
        <v>1381</v>
      </c>
    </row>
    <row r="216" spans="2:5" ht="87" x14ac:dyDescent="0.35">
      <c r="B216" s="939">
        <v>204</v>
      </c>
      <c r="C216" s="9">
        <v>44520</v>
      </c>
      <c r="D216" s="10" t="s">
        <v>1119</v>
      </c>
      <c r="E216" s="4" t="s">
        <v>1383</v>
      </c>
    </row>
    <row r="217" spans="2:5" ht="72.5" x14ac:dyDescent="0.35">
      <c r="B217" s="939">
        <v>205</v>
      </c>
      <c r="C217" s="9">
        <v>44524</v>
      </c>
      <c r="D217" s="10" t="s">
        <v>354</v>
      </c>
      <c r="E217" s="4" t="s">
        <v>1395</v>
      </c>
    </row>
    <row r="218" spans="2:5" ht="87" x14ac:dyDescent="0.35">
      <c r="B218" s="939">
        <v>206</v>
      </c>
      <c r="C218" s="9">
        <v>44531</v>
      </c>
      <c r="D218" s="10" t="s">
        <v>1119</v>
      </c>
      <c r="E218" s="4" t="s">
        <v>1396</v>
      </c>
    </row>
    <row r="219" spans="2:5" ht="29" x14ac:dyDescent="0.35">
      <c r="B219" s="939">
        <v>207</v>
      </c>
      <c r="C219" s="9">
        <v>44534</v>
      </c>
      <c r="D219" s="10" t="s">
        <v>1119</v>
      </c>
      <c r="E219" s="4" t="s">
        <v>1397</v>
      </c>
    </row>
    <row r="220" spans="2:5" ht="58" x14ac:dyDescent="0.35">
      <c r="B220" s="939">
        <v>208</v>
      </c>
      <c r="C220" s="9">
        <v>44545</v>
      </c>
      <c r="D220" s="10" t="s">
        <v>1119</v>
      </c>
      <c r="E220" s="4" t="s">
        <v>1400</v>
      </c>
    </row>
    <row r="221" spans="2:5" ht="58" x14ac:dyDescent="0.35">
      <c r="B221" s="939">
        <v>209</v>
      </c>
      <c r="C221" s="9">
        <v>44547</v>
      </c>
      <c r="D221" s="10" t="s">
        <v>1119</v>
      </c>
      <c r="E221" s="4" t="s">
        <v>1402</v>
      </c>
    </row>
    <row r="222" spans="2:5" ht="29" x14ac:dyDescent="0.35">
      <c r="B222" s="939">
        <v>210</v>
      </c>
      <c r="C222" s="9">
        <v>44566</v>
      </c>
      <c r="D222" s="10" t="s">
        <v>354</v>
      </c>
      <c r="E222" s="4" t="s">
        <v>1404</v>
      </c>
    </row>
    <row r="223" spans="2:5" ht="174" x14ac:dyDescent="0.35">
      <c r="B223" s="939">
        <v>211</v>
      </c>
      <c r="C223" s="9">
        <v>44574</v>
      </c>
      <c r="D223" s="10" t="s">
        <v>1119</v>
      </c>
      <c r="E223" s="4" t="s">
        <v>1419</v>
      </c>
    </row>
    <row r="224" spans="2:5" ht="145" x14ac:dyDescent="0.35">
      <c r="B224" s="939">
        <v>212</v>
      </c>
      <c r="C224" s="9">
        <v>44575</v>
      </c>
      <c r="D224" s="10" t="s">
        <v>1119</v>
      </c>
      <c r="E224" s="11" t="s">
        <v>1430</v>
      </c>
    </row>
    <row r="225" spans="2:5" ht="29" x14ac:dyDescent="0.35">
      <c r="B225" s="939">
        <v>213</v>
      </c>
      <c r="C225" s="9">
        <v>44582</v>
      </c>
      <c r="D225" s="10" t="s">
        <v>354</v>
      </c>
      <c r="E225" s="4" t="s">
        <v>1433</v>
      </c>
    </row>
    <row r="226" spans="2:5" x14ac:dyDescent="0.35">
      <c r="B226" s="939">
        <v>214</v>
      </c>
      <c r="C226" s="9">
        <v>44588</v>
      </c>
      <c r="D226" s="10" t="s">
        <v>354</v>
      </c>
      <c r="E226" s="4" t="s">
        <v>1436</v>
      </c>
    </row>
    <row r="227" spans="2:5" ht="43.5" x14ac:dyDescent="0.35">
      <c r="B227" s="939">
        <v>215</v>
      </c>
      <c r="C227" s="9">
        <v>44615</v>
      </c>
      <c r="D227" s="10" t="s">
        <v>1119</v>
      </c>
      <c r="E227" s="4" t="s">
        <v>1437</v>
      </c>
    </row>
    <row r="228" spans="2:5" ht="29" x14ac:dyDescent="0.35">
      <c r="B228" s="961">
        <v>216</v>
      </c>
      <c r="C228" s="9">
        <v>44628</v>
      </c>
      <c r="D228" s="10" t="s">
        <v>1119</v>
      </c>
      <c r="E228" s="4" t="s">
        <v>1458</v>
      </c>
    </row>
    <row r="229" spans="2:5" ht="58" x14ac:dyDescent="0.35">
      <c r="B229" s="971">
        <v>217</v>
      </c>
      <c r="C229" s="9">
        <v>44630</v>
      </c>
      <c r="D229" s="10" t="s">
        <v>1119</v>
      </c>
      <c r="E229" s="4" t="s">
        <v>1459</v>
      </c>
    </row>
    <row r="230" spans="2:5" ht="58" x14ac:dyDescent="0.35">
      <c r="B230" s="975">
        <v>218</v>
      </c>
      <c r="C230" s="9">
        <v>44637</v>
      </c>
      <c r="D230" s="10" t="s">
        <v>1119</v>
      </c>
      <c r="E230" s="4" t="s">
        <v>1460</v>
      </c>
    </row>
    <row r="231" spans="2:5" ht="29" x14ac:dyDescent="0.35">
      <c r="B231" s="976">
        <v>219</v>
      </c>
      <c r="C231" s="9">
        <v>44643</v>
      </c>
      <c r="D231" s="10" t="s">
        <v>354</v>
      </c>
      <c r="E231" s="4" t="s">
        <v>1477</v>
      </c>
    </row>
    <row r="232" spans="2:5" ht="29" x14ac:dyDescent="0.35">
      <c r="B232" s="1014">
        <v>220</v>
      </c>
      <c r="C232" s="9">
        <v>44655</v>
      </c>
      <c r="D232" s="10" t="s">
        <v>1119</v>
      </c>
      <c r="E232" s="4" t="s">
        <v>1478</v>
      </c>
    </row>
    <row r="233" spans="2:5" ht="29" x14ac:dyDescent="0.35">
      <c r="B233" s="1015">
        <v>221</v>
      </c>
      <c r="C233" s="9">
        <v>44655</v>
      </c>
      <c r="D233" s="10" t="s">
        <v>1119</v>
      </c>
      <c r="E233" s="4" t="s">
        <v>1480</v>
      </c>
    </row>
    <row r="234" spans="2:5" x14ac:dyDescent="0.35">
      <c r="B234" s="1016">
        <v>222</v>
      </c>
      <c r="C234" s="9">
        <v>44659</v>
      </c>
      <c r="D234" s="10" t="s">
        <v>354</v>
      </c>
      <c r="E234" s="4" t="s">
        <v>1484</v>
      </c>
    </row>
    <row r="235" spans="2:5" ht="174" x14ac:dyDescent="0.35">
      <c r="B235" s="1017">
        <v>223</v>
      </c>
      <c r="C235" s="9">
        <v>44680</v>
      </c>
      <c r="D235" s="10" t="s">
        <v>535</v>
      </c>
      <c r="E235" s="4" t="s">
        <v>1493</v>
      </c>
    </row>
    <row r="236" spans="2:5" ht="29" x14ac:dyDescent="0.35">
      <c r="B236" s="1018">
        <v>224</v>
      </c>
      <c r="C236" s="9">
        <v>44671</v>
      </c>
      <c r="D236" s="10" t="s">
        <v>354</v>
      </c>
      <c r="E236" s="4" t="s">
        <v>1499</v>
      </c>
    </row>
    <row r="237" spans="2:5" ht="159.5" x14ac:dyDescent="0.35">
      <c r="B237" s="1049">
        <v>225</v>
      </c>
      <c r="C237" s="9">
        <v>44677</v>
      </c>
      <c r="D237" s="10" t="s">
        <v>354</v>
      </c>
      <c r="E237" s="4" t="s">
        <v>1520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W278"/>
  <sheetViews>
    <sheetView topLeftCell="B2" zoomScaleNormal="100" workbookViewId="0">
      <pane xSplit="2" ySplit="3" topLeftCell="AP5" activePane="bottomRight" state="frozen"/>
      <selection activeCell="B3" sqref="B3"/>
      <selection pane="topRight" activeCell="D3" sqref="D3"/>
      <selection pane="bottomLeft" activeCell="B5" sqref="B5"/>
      <selection pane="bottomRight" activeCell="AU213" sqref="AU213:AY213"/>
    </sheetView>
  </sheetViews>
  <sheetFormatPr defaultColWidth="8.54296875" defaultRowHeight="13.5" customHeight="1" x14ac:dyDescent="0.3"/>
  <cols>
    <col min="1" max="1" width="6.453125" style="186" hidden="1" customWidth="1"/>
    <col min="2" max="2" width="10.26953125" style="12" customWidth="1"/>
    <col min="3" max="3" width="46.453125" style="1" customWidth="1"/>
    <col min="4" max="4" width="45.6328125" style="17" customWidth="1"/>
    <col min="5" max="9" width="6.81640625" style="17" customWidth="1"/>
    <col min="10" max="10" width="6.81640625" style="896"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051" customWidth="1"/>
    <col min="42" max="42" width="13.1796875" style="17" customWidth="1"/>
    <col min="43" max="43" width="21.453125" style="311" customWidth="1"/>
    <col min="44" max="45" width="15" style="17" customWidth="1"/>
    <col min="46" max="46" width="20.81640625" style="17" customWidth="1"/>
    <col min="47" max="47" width="12.54296875" style="17" customWidth="1"/>
    <col min="48" max="48" width="12.81640625" style="17" customWidth="1"/>
    <col min="49" max="49" width="13.81640625" style="17" customWidth="1"/>
    <col min="50" max="50" width="17.453125" style="17" customWidth="1"/>
    <col min="51" max="51" width="13.453125" style="17" customWidth="1"/>
    <col min="52" max="52" width="16.54296875" style="17" customWidth="1"/>
    <col min="53" max="54" width="15.453125" style="17" customWidth="1"/>
    <col min="55" max="55" width="13.7265625" style="715" customWidth="1"/>
    <col min="56" max="56" width="13.453125" style="715" customWidth="1"/>
    <col min="57" max="57" width="16.90625" style="17" customWidth="1"/>
    <col min="58" max="58" width="25.08984375" style="17" customWidth="1"/>
    <col min="59" max="59" width="13.81640625" style="17" hidden="1" customWidth="1"/>
    <col min="60" max="60" width="16.453125" style="17" hidden="1" customWidth="1"/>
    <col min="61" max="61" width="16.36328125" style="17" customWidth="1"/>
    <col min="62" max="62" width="19.54296875" style="715" customWidth="1"/>
    <col min="63" max="63" width="12.7265625" style="715" customWidth="1"/>
    <col min="64" max="64" width="16.54296875" style="17" customWidth="1"/>
    <col min="65" max="65" width="14.7265625" style="17" customWidth="1"/>
    <col min="66" max="66" width="16.54296875" style="715" customWidth="1"/>
    <col min="67" max="68" width="10.1796875" style="715" customWidth="1"/>
    <col min="69" max="69" width="12.81640625" style="17" customWidth="1"/>
    <col min="70" max="71" width="15" style="17" customWidth="1"/>
    <col min="72" max="72" width="58.1796875" style="1" customWidth="1"/>
    <col min="73" max="73" width="8.54296875" style="1" customWidth="1"/>
    <col min="74" max="16384" width="8.54296875" style="1"/>
  </cols>
  <sheetData>
    <row r="1" spans="1:73" ht="13.5" hidden="1" customHeight="1" x14ac:dyDescent="0.3">
      <c r="B1" s="174"/>
      <c r="C1" s="274" t="s">
        <v>334</v>
      </c>
      <c r="AN1" s="1050"/>
      <c r="AO1" s="1050"/>
      <c r="AQ1" s="174"/>
      <c r="BC1" s="174"/>
      <c r="BD1" s="174"/>
      <c r="BE1" s="972"/>
      <c r="BF1" s="174"/>
      <c r="BG1" s="174"/>
      <c r="BH1" s="174"/>
      <c r="BI1" s="174"/>
      <c r="BJ1" s="174"/>
      <c r="BK1" s="174"/>
      <c r="BL1" s="972"/>
      <c r="BM1" s="174"/>
      <c r="BN1" s="17"/>
      <c r="BO1" s="174"/>
      <c r="BP1" s="174"/>
      <c r="BQ1" s="174"/>
    </row>
    <row r="2" spans="1:73" ht="30" customHeight="1" thickBot="1" x14ac:dyDescent="0.4">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245">
        <v>54</v>
      </c>
      <c r="BD2" s="1245">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row>
    <row r="3" spans="1:73" ht="13.5" customHeight="1" thickTop="1" x14ac:dyDescent="0.35">
      <c r="B3" s="1186" t="s">
        <v>245</v>
      </c>
      <c r="C3" s="1131"/>
      <c r="D3" s="1132" t="s">
        <v>244</v>
      </c>
      <c r="E3" s="1197" t="s">
        <v>211</v>
      </c>
      <c r="F3" s="1198"/>
      <c r="G3" s="1198"/>
      <c r="H3" s="1198"/>
      <c r="I3" s="1198"/>
      <c r="J3" s="1198"/>
      <c r="K3" s="1198"/>
      <c r="L3" s="1199"/>
      <c r="M3" s="984"/>
      <c r="N3" s="1195" t="s">
        <v>397</v>
      </c>
      <c r="O3" s="1195"/>
      <c r="P3" s="1196"/>
      <c r="Q3" s="1191" t="s">
        <v>272</v>
      </c>
      <c r="R3" s="1192"/>
      <c r="S3" s="1193" t="s">
        <v>273</v>
      </c>
      <c r="T3" s="1194"/>
      <c r="U3" s="1188" t="s">
        <v>274</v>
      </c>
      <c r="V3" s="1189"/>
      <c r="W3" s="1190"/>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52" t="s">
        <v>540</v>
      </c>
      <c r="AO3" s="1052" t="s">
        <v>1497</v>
      </c>
      <c r="AP3" s="298" t="s">
        <v>505</v>
      </c>
      <c r="AQ3" s="298" t="s">
        <v>541</v>
      </c>
      <c r="AR3" s="1239" t="s">
        <v>1409</v>
      </c>
      <c r="AS3" s="1239" t="s">
        <v>1409</v>
      </c>
      <c r="AT3" s="1239" t="s">
        <v>1409</v>
      </c>
      <c r="AU3" s="1252" t="s">
        <v>1410</v>
      </c>
      <c r="AV3" s="1252" t="s">
        <v>1410</v>
      </c>
      <c r="AW3" s="1252" t="s">
        <v>1411</v>
      </c>
      <c r="AX3" s="1252" t="s">
        <v>1411</v>
      </c>
      <c r="AY3" s="1252" t="s">
        <v>1411</v>
      </c>
      <c r="AZ3" s="1240" t="s">
        <v>1411</v>
      </c>
      <c r="BA3" s="1204" t="s">
        <v>639</v>
      </c>
      <c r="BB3" s="1205"/>
      <c r="BC3" s="1246" t="s">
        <v>705</v>
      </c>
      <c r="BD3" s="1246" t="s">
        <v>705</v>
      </c>
      <c r="BE3" s="1133" t="s">
        <v>705</v>
      </c>
      <c r="BF3" s="855" t="s">
        <v>700</v>
      </c>
      <c r="BG3" s="1206" t="s">
        <v>1405</v>
      </c>
      <c r="BH3" s="1207"/>
      <c r="BI3" s="879" t="s">
        <v>1500</v>
      </c>
      <c r="BJ3" s="1133" t="s">
        <v>1501</v>
      </c>
      <c r="BK3" s="1133" t="s">
        <v>1501</v>
      </c>
      <c r="BL3" s="1133" t="s">
        <v>1501</v>
      </c>
      <c r="BM3" s="855" t="s">
        <v>1504</v>
      </c>
      <c r="BN3" s="1202" t="s">
        <v>1420</v>
      </c>
      <c r="BO3" s="1203"/>
      <c r="BP3" s="1202" t="s">
        <v>1421</v>
      </c>
      <c r="BQ3" s="1203"/>
      <c r="BR3" s="1208" t="s">
        <v>1496</v>
      </c>
      <c r="BS3" s="1209"/>
      <c r="BT3" s="1200" t="s">
        <v>5</v>
      </c>
    </row>
    <row r="4" spans="1:73" ht="13.5" customHeight="1" thickBot="1" x14ac:dyDescent="0.35">
      <c r="B4" s="1187"/>
      <c r="C4" s="240" t="s">
        <v>386</v>
      </c>
      <c r="D4" s="977" t="s">
        <v>387</v>
      </c>
      <c r="E4" s="985" t="s">
        <v>207</v>
      </c>
      <c r="F4" s="70" t="s">
        <v>212</v>
      </c>
      <c r="G4" s="70" t="s">
        <v>218</v>
      </c>
      <c r="H4" s="70" t="s">
        <v>220</v>
      </c>
      <c r="I4" s="203" t="s">
        <v>221</v>
      </c>
      <c r="J4" s="1011" t="s">
        <v>320</v>
      </c>
      <c r="K4" s="70" t="s">
        <v>408</v>
      </c>
      <c r="L4" s="263" t="s">
        <v>409</v>
      </c>
      <c r="M4" s="986" t="s">
        <v>1471</v>
      </c>
      <c r="N4" s="983"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53" t="s">
        <v>472</v>
      </c>
      <c r="AO4" s="1053" t="s">
        <v>1358</v>
      </c>
      <c r="AP4" s="424" t="s">
        <v>448</v>
      </c>
      <c r="AQ4" s="312" t="s">
        <v>479</v>
      </c>
      <c r="AR4" s="1241" t="s">
        <v>1</v>
      </c>
      <c r="AS4" s="1242" t="s">
        <v>526</v>
      </c>
      <c r="AT4" s="1243" t="s">
        <v>527</v>
      </c>
      <c r="AU4" s="1247" t="s">
        <v>599</v>
      </c>
      <c r="AV4" s="1253" t="s">
        <v>648</v>
      </c>
      <c r="AW4" s="1247" t="s">
        <v>665</v>
      </c>
      <c r="AX4" s="1248" t="s">
        <v>666</v>
      </c>
      <c r="AY4" s="1248" t="s">
        <v>657</v>
      </c>
      <c r="AZ4" s="1244" t="s">
        <v>647</v>
      </c>
      <c r="BA4" s="941" t="s">
        <v>631</v>
      </c>
      <c r="BB4" s="831" t="s">
        <v>630</v>
      </c>
      <c r="BC4" s="1247" t="s">
        <v>1408</v>
      </c>
      <c r="BD4" s="1248" t="s">
        <v>659</v>
      </c>
      <c r="BE4" s="835" t="s">
        <v>1286</v>
      </c>
      <c r="BF4" s="856" t="s">
        <v>701</v>
      </c>
      <c r="BG4" s="830" t="s">
        <v>1091</v>
      </c>
      <c r="BH4" s="822" t="s">
        <v>1092</v>
      </c>
      <c r="BI4" s="856" t="s">
        <v>1359</v>
      </c>
      <c r="BJ4" s="833" t="s">
        <v>1413</v>
      </c>
      <c r="BK4" s="834" t="s">
        <v>1414</v>
      </c>
      <c r="BL4" s="831" t="s">
        <v>1412</v>
      </c>
      <c r="BM4" s="856" t="s">
        <v>1092</v>
      </c>
      <c r="BN4" s="833" t="s">
        <v>1427</v>
      </c>
      <c r="BO4" s="831" t="s">
        <v>1428</v>
      </c>
      <c r="BP4" s="833" t="s">
        <v>1429</v>
      </c>
      <c r="BQ4" s="831" t="s">
        <v>1426</v>
      </c>
      <c r="BR4" s="820" t="s">
        <v>1494</v>
      </c>
      <c r="BS4" s="821" t="s">
        <v>1495</v>
      </c>
      <c r="BT4" s="1201"/>
    </row>
    <row r="5" spans="1:73" ht="13.5" hidden="1" customHeight="1" thickTop="1" x14ac:dyDescent="0.35">
      <c r="A5" s="683"/>
      <c r="B5" s="246" t="s">
        <v>269</v>
      </c>
      <c r="C5" s="247" t="s">
        <v>9</v>
      </c>
      <c r="D5" s="978" t="s">
        <v>8</v>
      </c>
      <c r="E5" s="1140" t="s">
        <v>456</v>
      </c>
      <c r="F5" s="1141"/>
      <c r="G5" s="1141"/>
      <c r="H5" s="1141"/>
      <c r="I5" s="1141"/>
      <c r="J5" s="1141"/>
      <c r="K5" s="1141"/>
      <c r="L5" s="1141"/>
      <c r="M5" s="1142"/>
      <c r="N5" s="1170" t="s">
        <v>306</v>
      </c>
      <c r="O5" s="1170"/>
      <c r="P5" s="1170"/>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484" t="s">
        <v>8</v>
      </c>
      <c r="AS5" s="337" t="s">
        <v>8</v>
      </c>
      <c r="AT5" s="467" t="s">
        <v>8</v>
      </c>
      <c r="AU5" s="484" t="s">
        <v>8</v>
      </c>
      <c r="AV5" s="485" t="s">
        <v>8</v>
      </c>
      <c r="AW5" s="484" t="s">
        <v>8</v>
      </c>
      <c r="AX5" s="337" t="s">
        <v>8</v>
      </c>
      <c r="AY5" s="337" t="s">
        <v>8</v>
      </c>
      <c r="AZ5" s="485" t="s">
        <v>8</v>
      </c>
      <c r="BA5" s="942" t="s">
        <v>8</v>
      </c>
      <c r="BB5" s="517" t="s">
        <v>8</v>
      </c>
      <c r="BC5" s="832" t="s">
        <v>8</v>
      </c>
      <c r="BD5" s="826" t="s">
        <v>8</v>
      </c>
      <c r="BE5" s="836" t="s">
        <v>8</v>
      </c>
      <c r="BF5" s="857" t="s">
        <v>8</v>
      </c>
      <c r="BG5" s="869" t="s">
        <v>8</v>
      </c>
      <c r="BH5" s="517" t="s">
        <v>8</v>
      </c>
      <c r="BI5" s="857" t="s">
        <v>8</v>
      </c>
      <c r="BJ5" s="832" t="s">
        <v>8</v>
      </c>
      <c r="BK5" s="826" t="s">
        <v>8</v>
      </c>
      <c r="BL5" s="517" t="s">
        <v>8</v>
      </c>
      <c r="BM5" s="857" t="s">
        <v>8</v>
      </c>
      <c r="BN5" s="832" t="s">
        <v>8</v>
      </c>
      <c r="BO5" s="926"/>
      <c r="BP5" s="898"/>
      <c r="BQ5" s="517" t="s">
        <v>8</v>
      </c>
      <c r="BR5" s="484" t="s">
        <v>8</v>
      </c>
      <c r="BS5" s="337" t="s">
        <v>8</v>
      </c>
      <c r="BT5" s="402"/>
    </row>
    <row r="6" spans="1:73" ht="13.5" hidden="1" customHeight="1" x14ac:dyDescent="0.35">
      <c r="A6" s="683"/>
      <c r="B6" s="248"/>
      <c r="C6" s="249" t="s">
        <v>1507</v>
      </c>
      <c r="D6" s="979" t="s">
        <v>8</v>
      </c>
      <c r="E6" s="1143"/>
      <c r="F6" s="1144"/>
      <c r="G6" s="1144"/>
      <c r="H6" s="1144"/>
      <c r="I6" s="1144"/>
      <c r="J6" s="1144"/>
      <c r="K6" s="1144"/>
      <c r="L6" s="1144"/>
      <c r="M6" s="1145"/>
      <c r="N6" s="1135"/>
      <c r="O6" s="1135"/>
      <c r="P6" s="1135"/>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c r="AP6" s="1135"/>
      <c r="AQ6" s="1135"/>
      <c r="AR6" s="486" t="s">
        <v>8</v>
      </c>
      <c r="AS6" s="336" t="s">
        <v>8</v>
      </c>
      <c r="AT6" s="468" t="s">
        <v>8</v>
      </c>
      <c r="AU6" s="486" t="s">
        <v>8</v>
      </c>
      <c r="AV6" s="487" t="s">
        <v>8</v>
      </c>
      <c r="AW6" s="486" t="s">
        <v>8</v>
      </c>
      <c r="AX6" s="336" t="s">
        <v>8</v>
      </c>
      <c r="AY6" s="336" t="s">
        <v>8</v>
      </c>
      <c r="AZ6" s="487" t="s">
        <v>8</v>
      </c>
      <c r="BA6" s="943"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927"/>
      <c r="BP6" s="899"/>
      <c r="BQ6" s="487" t="s">
        <v>8</v>
      </c>
      <c r="BR6" s="486" t="s">
        <v>8</v>
      </c>
      <c r="BS6" s="486" t="s">
        <v>8</v>
      </c>
      <c r="BT6" s="403"/>
    </row>
    <row r="7" spans="1:73" ht="13.5" hidden="1" customHeight="1" x14ac:dyDescent="0.35">
      <c r="A7" s="683"/>
      <c r="B7" s="248"/>
      <c r="C7" s="544" t="s">
        <v>1508</v>
      </c>
      <c r="D7" s="1237" t="s">
        <v>8</v>
      </c>
      <c r="E7" s="1143"/>
      <c r="F7" s="1144"/>
      <c r="G7" s="1144"/>
      <c r="H7" s="1144"/>
      <c r="I7" s="1144"/>
      <c r="J7" s="1144"/>
      <c r="K7" s="1144"/>
      <c r="L7" s="1144"/>
      <c r="M7" s="1145"/>
      <c r="N7" s="1135"/>
      <c r="O7" s="1135"/>
      <c r="P7" s="1135"/>
      <c r="Q7" s="1135"/>
      <c r="R7" s="1135"/>
      <c r="S7" s="1135"/>
      <c r="T7" s="1135"/>
      <c r="U7" s="1135"/>
      <c r="V7" s="1135"/>
      <c r="W7" s="1135"/>
      <c r="X7" s="1135"/>
      <c r="Y7" s="1135"/>
      <c r="Z7" s="1135"/>
      <c r="AA7" s="1135"/>
      <c r="AB7" s="1135"/>
      <c r="AC7" s="1135"/>
      <c r="AD7" s="1135"/>
      <c r="AE7" s="1135"/>
      <c r="AF7" s="1135"/>
      <c r="AG7" s="1135"/>
      <c r="AH7" s="1135"/>
      <c r="AI7" s="1135"/>
      <c r="AJ7" s="1135"/>
      <c r="AK7" s="1135"/>
      <c r="AL7" s="1135"/>
      <c r="AM7" s="1135"/>
      <c r="AN7" s="1135"/>
      <c r="AO7" s="1135"/>
      <c r="AP7" s="1135"/>
      <c r="AQ7" s="1135"/>
      <c r="AR7" s="805"/>
      <c r="AS7" s="806"/>
      <c r="AT7" s="1075"/>
      <c r="AU7" s="805"/>
      <c r="AV7" s="807"/>
      <c r="AW7" s="805"/>
      <c r="AX7" s="806"/>
      <c r="AY7" s="806"/>
      <c r="AZ7" s="807"/>
      <c r="BA7" s="1076"/>
      <c r="BB7" s="807"/>
      <c r="BC7" s="1077"/>
      <c r="BD7" s="806"/>
      <c r="BE7" s="1075"/>
      <c r="BF7" s="1078"/>
      <c r="BG7" s="486"/>
      <c r="BH7" s="487"/>
      <c r="BI7" s="386"/>
      <c r="BJ7" s="716" t="s">
        <v>8</v>
      </c>
      <c r="BK7" s="716" t="s">
        <v>8</v>
      </c>
      <c r="BL7" s="716" t="s">
        <v>8</v>
      </c>
      <c r="BM7" s="716" t="s">
        <v>8</v>
      </c>
      <c r="BN7" s="716" t="s">
        <v>8</v>
      </c>
      <c r="BO7" s="927"/>
      <c r="BP7" s="899"/>
      <c r="BQ7" s="487"/>
      <c r="BR7" s="486"/>
      <c r="BS7" s="486"/>
      <c r="BT7" s="403"/>
    </row>
    <row r="8" spans="1:73" ht="13.5" hidden="1" customHeight="1" x14ac:dyDescent="0.35">
      <c r="A8" s="683"/>
      <c r="B8" s="248"/>
      <c r="C8" s="249" t="s">
        <v>699</v>
      </c>
      <c r="D8" s="1237" t="s">
        <v>8</v>
      </c>
      <c r="E8" s="1143"/>
      <c r="F8" s="1144"/>
      <c r="G8" s="1144"/>
      <c r="H8" s="1144"/>
      <c r="I8" s="1144"/>
      <c r="J8" s="1144"/>
      <c r="K8" s="1144"/>
      <c r="L8" s="1144"/>
      <c r="M8" s="1145"/>
      <c r="N8" s="1135"/>
      <c r="O8" s="1135"/>
      <c r="P8" s="1135"/>
      <c r="Q8" s="1135"/>
      <c r="R8" s="1135"/>
      <c r="S8" s="1135"/>
      <c r="T8" s="1135"/>
      <c r="U8" s="1135"/>
      <c r="V8" s="1135"/>
      <c r="W8" s="1135"/>
      <c r="X8" s="1135"/>
      <c r="Y8" s="1135"/>
      <c r="Z8" s="1135"/>
      <c r="AA8" s="1135"/>
      <c r="AB8" s="1135"/>
      <c r="AC8" s="1135"/>
      <c r="AD8" s="1135"/>
      <c r="AE8" s="1135"/>
      <c r="AF8" s="1135"/>
      <c r="AG8" s="1135"/>
      <c r="AH8" s="1135"/>
      <c r="AI8" s="1135"/>
      <c r="AJ8" s="1135"/>
      <c r="AK8" s="1135"/>
      <c r="AL8" s="1135"/>
      <c r="AM8" s="1135"/>
      <c r="AN8" s="1135"/>
      <c r="AO8" s="1135"/>
      <c r="AP8" s="1135"/>
      <c r="AQ8" s="1135"/>
      <c r="AR8" s="805"/>
      <c r="AS8" s="806"/>
      <c r="AT8" s="807"/>
      <c r="AU8" s="805"/>
      <c r="AV8" s="807"/>
      <c r="AW8" s="805"/>
      <c r="AX8" s="806"/>
      <c r="AY8" s="806"/>
      <c r="AZ8" s="807"/>
      <c r="BA8" s="944"/>
      <c r="BB8" s="807"/>
      <c r="BC8" s="382" t="s">
        <v>8</v>
      </c>
      <c r="BD8" s="336" t="s">
        <v>8</v>
      </c>
      <c r="BE8" s="468" t="s">
        <v>8</v>
      </c>
      <c r="BF8" s="386" t="s">
        <v>8</v>
      </c>
      <c r="BG8" s="486" t="s">
        <v>8</v>
      </c>
      <c r="BH8" s="487" t="s">
        <v>8</v>
      </c>
      <c r="BI8" s="386" t="s">
        <v>8</v>
      </c>
      <c r="BJ8" s="382" t="s">
        <v>8</v>
      </c>
      <c r="BK8" s="336" t="s">
        <v>8</v>
      </c>
      <c r="BL8" s="487" t="s">
        <v>8</v>
      </c>
      <c r="BM8" s="386" t="s">
        <v>8</v>
      </c>
      <c r="BN8" s="382" t="s">
        <v>8</v>
      </c>
      <c r="BO8" s="928"/>
      <c r="BP8" s="900"/>
      <c r="BQ8" s="545" t="s">
        <v>8</v>
      </c>
      <c r="BR8" s="486" t="s">
        <v>8</v>
      </c>
      <c r="BS8" s="486" t="s">
        <v>8</v>
      </c>
      <c r="BT8" s="403"/>
    </row>
    <row r="9" spans="1:73" ht="13.5" hidden="1" customHeight="1" x14ac:dyDescent="0.35">
      <c r="A9" s="683"/>
      <c r="B9" s="248"/>
      <c r="C9" s="249" t="s">
        <v>10</v>
      </c>
      <c r="D9" s="980" t="s">
        <v>8</v>
      </c>
      <c r="E9" s="1143"/>
      <c r="F9" s="1144"/>
      <c r="G9" s="1144"/>
      <c r="H9" s="1144"/>
      <c r="I9" s="1144"/>
      <c r="J9" s="1144"/>
      <c r="K9" s="1144"/>
      <c r="L9" s="1144"/>
      <c r="M9" s="1145"/>
      <c r="N9" s="1135"/>
      <c r="O9" s="1135"/>
      <c r="P9" s="1135"/>
      <c r="Q9" s="1135"/>
      <c r="R9" s="1135"/>
      <c r="S9" s="1135"/>
      <c r="T9" s="1135"/>
      <c r="U9" s="1135"/>
      <c r="V9" s="1135"/>
      <c r="W9" s="1135"/>
      <c r="X9" s="1135"/>
      <c r="Y9" s="1135"/>
      <c r="Z9" s="1135"/>
      <c r="AA9" s="1135"/>
      <c r="AB9" s="1135"/>
      <c r="AC9" s="1135"/>
      <c r="AD9" s="1135"/>
      <c r="AE9" s="1135"/>
      <c r="AF9" s="1135"/>
      <c r="AG9" s="1135"/>
      <c r="AH9" s="1135"/>
      <c r="AI9" s="1135"/>
      <c r="AJ9" s="1135"/>
      <c r="AK9" s="1135"/>
      <c r="AL9" s="1135"/>
      <c r="AM9" s="1135"/>
      <c r="AN9" s="1135"/>
      <c r="AO9" s="1135"/>
      <c r="AP9" s="1135"/>
      <c r="AQ9" s="1135"/>
      <c r="AR9" s="486" t="s">
        <v>8</v>
      </c>
      <c r="AS9" s="336" t="s">
        <v>8</v>
      </c>
      <c r="AT9" s="468" t="s">
        <v>8</v>
      </c>
      <c r="AU9" s="486" t="s">
        <v>8</v>
      </c>
      <c r="AV9" s="487" t="s">
        <v>8</v>
      </c>
      <c r="AW9" s="486" t="s">
        <v>8</v>
      </c>
      <c r="AX9" s="336" t="s">
        <v>8</v>
      </c>
      <c r="AY9" s="336" t="s">
        <v>8</v>
      </c>
      <c r="AZ9" s="487" t="s">
        <v>8</v>
      </c>
      <c r="BA9" s="943"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927"/>
      <c r="BP9" s="899"/>
      <c r="BQ9" s="487" t="s">
        <v>8</v>
      </c>
      <c r="BR9" s="486" t="s">
        <v>8</v>
      </c>
      <c r="BS9" s="336" t="s">
        <v>8</v>
      </c>
      <c r="BT9" s="403"/>
    </row>
    <row r="10" spans="1:73" ht="13.5" hidden="1" customHeight="1" x14ac:dyDescent="0.35">
      <c r="A10" s="683"/>
      <c r="B10" s="248"/>
      <c r="C10" s="249" t="s">
        <v>11</v>
      </c>
      <c r="D10" s="980" t="s">
        <v>8</v>
      </c>
      <c r="E10" s="1143"/>
      <c r="F10" s="1144"/>
      <c r="G10" s="1144"/>
      <c r="H10" s="1144"/>
      <c r="I10" s="1144"/>
      <c r="J10" s="1144"/>
      <c r="K10" s="1144"/>
      <c r="L10" s="1144"/>
      <c r="M10" s="1145"/>
      <c r="N10" s="1135"/>
      <c r="O10" s="1135"/>
      <c r="P10" s="1135"/>
      <c r="Q10" s="1135"/>
      <c r="R10" s="1135"/>
      <c r="S10" s="1135"/>
      <c r="T10" s="1135"/>
      <c r="U10" s="1135"/>
      <c r="V10" s="1135"/>
      <c r="W10" s="1135"/>
      <c r="X10" s="1135"/>
      <c r="Y10" s="1135"/>
      <c r="Z10" s="1135"/>
      <c r="AA10" s="1135"/>
      <c r="AB10" s="1135"/>
      <c r="AC10" s="1135"/>
      <c r="AD10" s="1135"/>
      <c r="AE10" s="1135"/>
      <c r="AF10" s="1135"/>
      <c r="AG10" s="1135"/>
      <c r="AH10" s="1135"/>
      <c r="AI10" s="1135"/>
      <c r="AJ10" s="1135"/>
      <c r="AK10" s="1135"/>
      <c r="AL10" s="1135"/>
      <c r="AM10" s="1135"/>
      <c r="AN10" s="1135"/>
      <c r="AO10" s="1135"/>
      <c r="AP10" s="1135"/>
      <c r="AQ10" s="1135"/>
      <c r="AR10" s="486" t="s">
        <v>8</v>
      </c>
      <c r="AS10" s="336" t="s">
        <v>8</v>
      </c>
      <c r="AT10" s="468" t="s">
        <v>8</v>
      </c>
      <c r="AU10" s="486" t="s">
        <v>8</v>
      </c>
      <c r="AV10" s="487" t="s">
        <v>8</v>
      </c>
      <c r="AW10" s="486" t="s">
        <v>8</v>
      </c>
      <c r="AX10" s="336" t="s">
        <v>8</v>
      </c>
      <c r="AY10" s="336" t="s">
        <v>8</v>
      </c>
      <c r="AZ10" s="487" t="s">
        <v>8</v>
      </c>
      <c r="BA10" s="943"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927"/>
      <c r="BP10" s="899"/>
      <c r="BQ10" s="487" t="s">
        <v>8</v>
      </c>
      <c r="BR10" s="486" t="s">
        <v>8</v>
      </c>
      <c r="BS10" s="336" t="s">
        <v>8</v>
      </c>
      <c r="BT10" s="403"/>
    </row>
    <row r="11" spans="1:73" ht="13.5" hidden="1" customHeight="1" x14ac:dyDescent="0.35">
      <c r="A11" s="683"/>
      <c r="B11" s="248"/>
      <c r="C11" s="249" t="s">
        <v>292</v>
      </c>
      <c r="D11" s="980" t="s">
        <v>8</v>
      </c>
      <c r="E11" s="1143"/>
      <c r="F11" s="1144"/>
      <c r="G11" s="1144"/>
      <c r="H11" s="1144"/>
      <c r="I11" s="1144"/>
      <c r="J11" s="1144"/>
      <c r="K11" s="1144"/>
      <c r="L11" s="1144"/>
      <c r="M11" s="1145"/>
      <c r="N11" s="1135"/>
      <c r="O11" s="1135"/>
      <c r="P11" s="1135"/>
      <c r="Q11" s="1135"/>
      <c r="R11" s="1135"/>
      <c r="S11" s="1135"/>
      <c r="T11" s="1135"/>
      <c r="U11" s="1135"/>
      <c r="V11" s="1135"/>
      <c r="W11" s="1135"/>
      <c r="X11" s="1135"/>
      <c r="Y11" s="1135"/>
      <c r="Z11" s="1135"/>
      <c r="AA11" s="1135"/>
      <c r="AB11" s="1135"/>
      <c r="AC11" s="1135"/>
      <c r="AD11" s="1135"/>
      <c r="AE11" s="1135"/>
      <c r="AF11" s="1135"/>
      <c r="AG11" s="1135"/>
      <c r="AH11" s="1135"/>
      <c r="AI11" s="1135"/>
      <c r="AJ11" s="1135"/>
      <c r="AK11" s="1135"/>
      <c r="AL11" s="1135"/>
      <c r="AM11" s="1135"/>
      <c r="AN11" s="1135"/>
      <c r="AO11" s="1135"/>
      <c r="AP11" s="1135"/>
      <c r="AQ11" s="1135"/>
      <c r="AR11" s="486" t="s">
        <v>8</v>
      </c>
      <c r="AS11" s="336" t="s">
        <v>8</v>
      </c>
      <c r="AT11" s="468" t="s">
        <v>8</v>
      </c>
      <c r="AU11" s="486" t="s">
        <v>8</v>
      </c>
      <c r="AV11" s="487" t="s">
        <v>8</v>
      </c>
      <c r="AW11" s="486" t="s">
        <v>8</v>
      </c>
      <c r="AX11" s="336" t="s">
        <v>8</v>
      </c>
      <c r="AY11" s="336" t="s">
        <v>8</v>
      </c>
      <c r="AZ11" s="487" t="s">
        <v>8</v>
      </c>
      <c r="BA11" s="943"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927"/>
      <c r="BP11" s="899"/>
      <c r="BQ11" s="487" t="s">
        <v>8</v>
      </c>
      <c r="BR11" s="486" t="s">
        <v>8</v>
      </c>
      <c r="BS11" s="336" t="s">
        <v>8</v>
      </c>
      <c r="BT11" s="403"/>
    </row>
    <row r="12" spans="1:73" ht="13.5" hidden="1" customHeight="1" x14ac:dyDescent="0.35">
      <c r="A12" s="683"/>
      <c r="B12" s="248"/>
      <c r="C12" s="249" t="s">
        <v>164</v>
      </c>
      <c r="D12" s="980" t="s">
        <v>8</v>
      </c>
      <c r="E12" s="1143"/>
      <c r="F12" s="1144"/>
      <c r="G12" s="1144"/>
      <c r="H12" s="1144"/>
      <c r="I12" s="1144"/>
      <c r="J12" s="1144"/>
      <c r="K12" s="1144"/>
      <c r="L12" s="1144"/>
      <c r="M12" s="1145"/>
      <c r="N12" s="1135"/>
      <c r="O12" s="1135"/>
      <c r="P12" s="1135"/>
      <c r="Q12" s="1135"/>
      <c r="R12" s="1135"/>
      <c r="S12" s="1135"/>
      <c r="T12" s="1135"/>
      <c r="U12" s="1135"/>
      <c r="V12" s="1135"/>
      <c r="W12" s="1135"/>
      <c r="X12" s="1135"/>
      <c r="Y12" s="1135"/>
      <c r="Z12" s="1135"/>
      <c r="AA12" s="1135"/>
      <c r="AB12" s="1135"/>
      <c r="AC12" s="1135"/>
      <c r="AD12" s="1135"/>
      <c r="AE12" s="1135"/>
      <c r="AF12" s="1135"/>
      <c r="AG12" s="1135"/>
      <c r="AH12" s="1135"/>
      <c r="AI12" s="1135"/>
      <c r="AJ12" s="1135"/>
      <c r="AK12" s="1135"/>
      <c r="AL12" s="1135"/>
      <c r="AM12" s="1135"/>
      <c r="AN12" s="1135"/>
      <c r="AO12" s="1135"/>
      <c r="AP12" s="1135"/>
      <c r="AQ12" s="1135"/>
      <c r="AR12" s="486" t="s">
        <v>8</v>
      </c>
      <c r="AS12" s="336" t="s">
        <v>8</v>
      </c>
      <c r="AT12" s="468" t="s">
        <v>8</v>
      </c>
      <c r="AU12" s="486" t="s">
        <v>8</v>
      </c>
      <c r="AV12" s="487" t="s">
        <v>8</v>
      </c>
      <c r="AW12" s="486" t="s">
        <v>8</v>
      </c>
      <c r="AX12" s="336" t="s">
        <v>8</v>
      </c>
      <c r="AY12" s="336" t="s">
        <v>8</v>
      </c>
      <c r="AZ12" s="487" t="s">
        <v>8</v>
      </c>
      <c r="BA12" s="943"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927"/>
      <c r="BP12" s="899"/>
      <c r="BQ12" s="487" t="s">
        <v>8</v>
      </c>
      <c r="BR12" s="486" t="s">
        <v>8</v>
      </c>
      <c r="BS12" s="336" t="s">
        <v>8</v>
      </c>
      <c r="BT12" s="403"/>
    </row>
    <row r="13" spans="1:73" ht="13.5" hidden="1" customHeight="1" x14ac:dyDescent="0.35">
      <c r="A13" s="683"/>
      <c r="B13" s="248"/>
      <c r="C13" s="249" t="s">
        <v>15</v>
      </c>
      <c r="D13" s="980" t="s">
        <v>8</v>
      </c>
      <c r="E13" s="1143"/>
      <c r="F13" s="1144"/>
      <c r="G13" s="1144"/>
      <c r="H13" s="1144"/>
      <c r="I13" s="1144"/>
      <c r="J13" s="1144"/>
      <c r="K13" s="1144"/>
      <c r="L13" s="1144"/>
      <c r="M13" s="114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1135"/>
      <c r="AK13" s="1135"/>
      <c r="AL13" s="1135"/>
      <c r="AM13" s="1135"/>
      <c r="AN13" s="1135"/>
      <c r="AO13" s="1135"/>
      <c r="AP13" s="1135"/>
      <c r="AQ13" s="1135"/>
      <c r="AR13" s="486" t="s">
        <v>8</v>
      </c>
      <c r="AS13" s="336" t="s">
        <v>8</v>
      </c>
      <c r="AT13" s="468" t="s">
        <v>8</v>
      </c>
      <c r="AU13" s="486" t="s">
        <v>8</v>
      </c>
      <c r="AV13" s="487" t="s">
        <v>8</v>
      </c>
      <c r="AW13" s="486" t="s">
        <v>8</v>
      </c>
      <c r="AX13" s="336" t="s">
        <v>8</v>
      </c>
      <c r="AY13" s="336" t="s">
        <v>8</v>
      </c>
      <c r="AZ13" s="487" t="s">
        <v>8</v>
      </c>
      <c r="BA13" s="943"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927"/>
      <c r="BP13" s="899"/>
      <c r="BQ13" s="487" t="s">
        <v>8</v>
      </c>
      <c r="BR13" s="486" t="s">
        <v>8</v>
      </c>
      <c r="BS13" s="336" t="s">
        <v>8</v>
      </c>
      <c r="BT13" s="403"/>
    </row>
    <row r="14" spans="1:73" ht="13.5" hidden="1" customHeight="1" x14ac:dyDescent="0.35">
      <c r="A14" s="683"/>
      <c r="B14" s="248"/>
      <c r="C14" s="249" t="s">
        <v>16</v>
      </c>
      <c r="D14" s="980" t="s">
        <v>17</v>
      </c>
      <c r="E14" s="1143"/>
      <c r="F14" s="1144"/>
      <c r="G14" s="1144"/>
      <c r="H14" s="1144"/>
      <c r="I14" s="1144"/>
      <c r="J14" s="1144"/>
      <c r="K14" s="1144"/>
      <c r="L14" s="1144"/>
      <c r="M14" s="1145"/>
      <c r="N14" s="1135"/>
      <c r="O14" s="1135"/>
      <c r="P14" s="1135"/>
      <c r="Q14" s="1135"/>
      <c r="R14" s="1135"/>
      <c r="S14" s="1135"/>
      <c r="T14" s="1135"/>
      <c r="U14" s="1135"/>
      <c r="V14" s="1135"/>
      <c r="W14" s="1135"/>
      <c r="X14" s="1135"/>
      <c r="Y14" s="1135"/>
      <c r="Z14" s="1135"/>
      <c r="AA14" s="1135"/>
      <c r="AB14" s="1135"/>
      <c r="AC14" s="1135"/>
      <c r="AD14" s="1135"/>
      <c r="AE14" s="1135"/>
      <c r="AF14" s="1135"/>
      <c r="AG14" s="1135"/>
      <c r="AH14" s="1135"/>
      <c r="AI14" s="1135"/>
      <c r="AJ14" s="1135"/>
      <c r="AK14" s="1135"/>
      <c r="AL14" s="1135"/>
      <c r="AM14" s="1135"/>
      <c r="AN14" s="1135"/>
      <c r="AO14" s="1135"/>
      <c r="AP14" s="1135"/>
      <c r="AQ14" s="1135"/>
      <c r="AR14" s="486" t="s">
        <v>17</v>
      </c>
      <c r="AS14" s="336" t="s">
        <v>17</v>
      </c>
      <c r="AT14" s="468" t="s">
        <v>17</v>
      </c>
      <c r="AU14" s="486" t="s">
        <v>17</v>
      </c>
      <c r="AV14" s="487" t="s">
        <v>17</v>
      </c>
      <c r="AW14" s="486" t="s">
        <v>17</v>
      </c>
      <c r="AX14" s="336" t="s">
        <v>17</v>
      </c>
      <c r="AY14" s="336" t="s">
        <v>17</v>
      </c>
      <c r="AZ14" s="487" t="s">
        <v>17</v>
      </c>
      <c r="BA14" s="943"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927"/>
      <c r="BP14" s="899"/>
      <c r="BQ14" s="487" t="s">
        <v>17</v>
      </c>
      <c r="BR14" s="486" t="s">
        <v>17</v>
      </c>
      <c r="BS14" s="336" t="s">
        <v>17</v>
      </c>
      <c r="BT14" s="403"/>
    </row>
    <row r="15" spans="1:73" ht="13.5" hidden="1" customHeight="1" x14ac:dyDescent="0.35">
      <c r="A15" s="683"/>
      <c r="B15" s="248"/>
      <c r="C15" s="249" t="s">
        <v>18</v>
      </c>
      <c r="D15" s="980">
        <v>32</v>
      </c>
      <c r="E15" s="1143"/>
      <c r="F15" s="1144"/>
      <c r="G15" s="1144"/>
      <c r="H15" s="1144"/>
      <c r="I15" s="1144"/>
      <c r="J15" s="1144"/>
      <c r="K15" s="1144"/>
      <c r="L15" s="1144"/>
      <c r="M15" s="1145"/>
      <c r="N15" s="1135"/>
      <c r="O15" s="1135"/>
      <c r="P15" s="1135"/>
      <c r="Q15" s="1135"/>
      <c r="R15" s="1135"/>
      <c r="S15" s="1135"/>
      <c r="T15" s="1135"/>
      <c r="U15" s="1135"/>
      <c r="V15" s="1135"/>
      <c r="W15" s="1135"/>
      <c r="X15" s="1135"/>
      <c r="Y15" s="1135"/>
      <c r="Z15" s="1135"/>
      <c r="AA15" s="1135"/>
      <c r="AB15" s="1135"/>
      <c r="AC15" s="1135"/>
      <c r="AD15" s="1135"/>
      <c r="AE15" s="1135"/>
      <c r="AF15" s="1135"/>
      <c r="AG15" s="1135"/>
      <c r="AH15" s="1135"/>
      <c r="AI15" s="1135"/>
      <c r="AJ15" s="1135"/>
      <c r="AK15" s="1135"/>
      <c r="AL15" s="1135"/>
      <c r="AM15" s="1135"/>
      <c r="AN15" s="1135"/>
      <c r="AO15" s="1135"/>
      <c r="AP15" s="1135"/>
      <c r="AQ15" s="1135"/>
      <c r="AR15" s="486">
        <v>32</v>
      </c>
      <c r="AS15" s="336">
        <v>32</v>
      </c>
      <c r="AT15" s="468">
        <v>32</v>
      </c>
      <c r="AU15" s="486">
        <v>32</v>
      </c>
      <c r="AV15" s="487">
        <v>32</v>
      </c>
      <c r="AW15" s="486">
        <v>32</v>
      </c>
      <c r="AX15" s="336">
        <v>32</v>
      </c>
      <c r="AY15" s="336">
        <v>32</v>
      </c>
      <c r="AZ15" s="487">
        <v>32</v>
      </c>
      <c r="BA15" s="943">
        <v>32</v>
      </c>
      <c r="BB15" s="487">
        <v>32</v>
      </c>
      <c r="BC15" s="382">
        <v>32</v>
      </c>
      <c r="BD15" s="336">
        <v>32</v>
      </c>
      <c r="BE15" s="468">
        <v>32</v>
      </c>
      <c r="BF15" s="386">
        <v>32</v>
      </c>
      <c r="BG15" s="486">
        <v>32</v>
      </c>
      <c r="BH15" s="487">
        <v>32</v>
      </c>
      <c r="BI15" s="386">
        <v>32</v>
      </c>
      <c r="BJ15" s="382">
        <v>32</v>
      </c>
      <c r="BK15" s="336">
        <v>32</v>
      </c>
      <c r="BL15" s="487">
        <v>32</v>
      </c>
      <c r="BM15" s="386">
        <v>32</v>
      </c>
      <c r="BN15" s="382">
        <v>32</v>
      </c>
      <c r="BO15" s="927"/>
      <c r="BP15" s="899"/>
      <c r="BQ15" s="487">
        <v>32</v>
      </c>
      <c r="BR15" s="486">
        <v>32</v>
      </c>
      <c r="BS15" s="336">
        <v>32</v>
      </c>
      <c r="BT15" s="403"/>
    </row>
    <row r="16" spans="1:73" ht="13.5" hidden="1" customHeight="1" x14ac:dyDescent="0.35">
      <c r="A16" s="683"/>
      <c r="B16" s="248"/>
      <c r="C16" s="249" t="s">
        <v>19</v>
      </c>
      <c r="D16" s="980">
        <v>32</v>
      </c>
      <c r="E16" s="1143"/>
      <c r="F16" s="1144"/>
      <c r="G16" s="1144"/>
      <c r="H16" s="1144"/>
      <c r="I16" s="1144"/>
      <c r="J16" s="1144"/>
      <c r="K16" s="1144"/>
      <c r="L16" s="1144"/>
      <c r="M16" s="1145"/>
      <c r="N16" s="1135"/>
      <c r="O16" s="1135"/>
      <c r="P16" s="1135"/>
      <c r="Q16" s="1135"/>
      <c r="R16" s="1135"/>
      <c r="S16" s="1135"/>
      <c r="T16" s="1135"/>
      <c r="U16" s="1135"/>
      <c r="V16" s="1135"/>
      <c r="W16" s="1135"/>
      <c r="X16" s="1135"/>
      <c r="Y16" s="1135"/>
      <c r="Z16" s="1135"/>
      <c r="AA16" s="1135"/>
      <c r="AB16" s="1135"/>
      <c r="AC16" s="1135"/>
      <c r="AD16" s="1135"/>
      <c r="AE16" s="1135"/>
      <c r="AF16" s="1135"/>
      <c r="AG16" s="1135"/>
      <c r="AH16" s="1135"/>
      <c r="AI16" s="1135"/>
      <c r="AJ16" s="1135"/>
      <c r="AK16" s="1135"/>
      <c r="AL16" s="1135"/>
      <c r="AM16" s="1135"/>
      <c r="AN16" s="1135"/>
      <c r="AO16" s="1135"/>
      <c r="AP16" s="1135"/>
      <c r="AQ16" s="1135"/>
      <c r="AR16" s="486">
        <v>32</v>
      </c>
      <c r="AS16" s="336">
        <v>32</v>
      </c>
      <c r="AT16" s="468">
        <v>32</v>
      </c>
      <c r="AU16" s="486">
        <v>32</v>
      </c>
      <c r="AV16" s="487">
        <v>32</v>
      </c>
      <c r="AW16" s="486">
        <v>32</v>
      </c>
      <c r="AX16" s="336">
        <v>32</v>
      </c>
      <c r="AY16" s="336">
        <v>32</v>
      </c>
      <c r="AZ16" s="487">
        <v>32</v>
      </c>
      <c r="BA16" s="943">
        <v>32</v>
      </c>
      <c r="BB16" s="487">
        <v>32</v>
      </c>
      <c r="BC16" s="382">
        <v>32</v>
      </c>
      <c r="BD16" s="336">
        <v>32</v>
      </c>
      <c r="BE16" s="468">
        <v>32</v>
      </c>
      <c r="BF16" s="386">
        <v>32</v>
      </c>
      <c r="BG16" s="486">
        <v>32</v>
      </c>
      <c r="BH16" s="487">
        <v>32</v>
      </c>
      <c r="BI16" s="386">
        <v>32</v>
      </c>
      <c r="BJ16" s="382">
        <v>32</v>
      </c>
      <c r="BK16" s="336">
        <v>32</v>
      </c>
      <c r="BL16" s="487">
        <v>32</v>
      </c>
      <c r="BM16" s="386">
        <v>32</v>
      </c>
      <c r="BN16" s="382">
        <v>32</v>
      </c>
      <c r="BO16" s="927"/>
      <c r="BP16" s="899"/>
      <c r="BQ16" s="487">
        <v>32</v>
      </c>
      <c r="BR16" s="486">
        <v>32</v>
      </c>
      <c r="BS16" s="336">
        <v>32</v>
      </c>
      <c r="BT16" s="403"/>
    </row>
    <row r="17" spans="1:72" ht="13.5" hidden="1" customHeight="1" x14ac:dyDescent="0.35">
      <c r="A17" s="683"/>
      <c r="B17" s="248"/>
      <c r="C17" s="249" t="s">
        <v>20</v>
      </c>
      <c r="D17" s="980" t="s">
        <v>8</v>
      </c>
      <c r="E17" s="1143"/>
      <c r="F17" s="1144"/>
      <c r="G17" s="1144"/>
      <c r="H17" s="1144"/>
      <c r="I17" s="1144"/>
      <c r="J17" s="1144"/>
      <c r="K17" s="1144"/>
      <c r="L17" s="1144"/>
      <c r="M17" s="1145"/>
      <c r="N17" s="1135"/>
      <c r="O17" s="1135"/>
      <c r="P17" s="1135"/>
      <c r="Q17" s="1135"/>
      <c r="R17" s="1135"/>
      <c r="S17" s="1135"/>
      <c r="T17" s="1135"/>
      <c r="U17" s="1135"/>
      <c r="V17" s="1135"/>
      <c r="W17" s="1135"/>
      <c r="X17" s="1135"/>
      <c r="Y17" s="1135"/>
      <c r="Z17" s="1135"/>
      <c r="AA17" s="1135"/>
      <c r="AB17" s="1135"/>
      <c r="AC17" s="1135"/>
      <c r="AD17" s="1135"/>
      <c r="AE17" s="1135"/>
      <c r="AF17" s="1135"/>
      <c r="AG17" s="1135"/>
      <c r="AH17" s="1135"/>
      <c r="AI17" s="1135"/>
      <c r="AJ17" s="1135"/>
      <c r="AK17" s="1135"/>
      <c r="AL17" s="1135"/>
      <c r="AM17" s="1135"/>
      <c r="AN17" s="1135"/>
      <c r="AO17" s="1135"/>
      <c r="AP17" s="1135"/>
      <c r="AQ17" s="1135"/>
      <c r="AR17" s="486" t="s">
        <v>8</v>
      </c>
      <c r="AS17" s="336" t="s">
        <v>8</v>
      </c>
      <c r="AT17" s="468" t="s">
        <v>8</v>
      </c>
      <c r="AU17" s="486" t="s">
        <v>8</v>
      </c>
      <c r="AV17" s="487" t="s">
        <v>8</v>
      </c>
      <c r="AW17" s="486" t="s">
        <v>8</v>
      </c>
      <c r="AX17" s="336" t="s">
        <v>8</v>
      </c>
      <c r="AY17" s="336" t="s">
        <v>8</v>
      </c>
      <c r="AZ17" s="487" t="s">
        <v>8</v>
      </c>
      <c r="BA17" s="943"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927"/>
      <c r="BP17" s="899"/>
      <c r="BQ17" s="487" t="s">
        <v>8</v>
      </c>
      <c r="BR17" s="486" t="s">
        <v>8</v>
      </c>
      <c r="BS17" s="336" t="s">
        <v>8</v>
      </c>
      <c r="BT17" s="403"/>
    </row>
    <row r="18" spans="1:72" ht="13.5" hidden="1" customHeight="1" x14ac:dyDescent="0.35">
      <c r="A18" s="683"/>
      <c r="B18" s="248" t="s">
        <v>21</v>
      </c>
      <c r="C18" s="249" t="s">
        <v>162</v>
      </c>
      <c r="D18" s="979" t="s">
        <v>22</v>
      </c>
      <c r="E18" s="1143"/>
      <c r="F18" s="1144"/>
      <c r="G18" s="1144"/>
      <c r="H18" s="1144"/>
      <c r="I18" s="1144"/>
      <c r="J18" s="1144"/>
      <c r="K18" s="1144"/>
      <c r="L18" s="1144"/>
      <c r="M18" s="1145"/>
      <c r="N18" s="1135"/>
      <c r="O18" s="1135"/>
      <c r="P18" s="1135"/>
      <c r="Q18" s="1135"/>
      <c r="R18" s="1135"/>
      <c r="S18" s="1135"/>
      <c r="T18" s="1135"/>
      <c r="U18" s="1135"/>
      <c r="V18" s="1135"/>
      <c r="W18" s="1135"/>
      <c r="X18" s="1135"/>
      <c r="Y18" s="1135"/>
      <c r="Z18" s="1135"/>
      <c r="AA18" s="1135"/>
      <c r="AB18" s="1135"/>
      <c r="AC18" s="1135"/>
      <c r="AD18" s="1135"/>
      <c r="AE18" s="1135"/>
      <c r="AF18" s="1135"/>
      <c r="AG18" s="1135"/>
      <c r="AH18" s="1135"/>
      <c r="AI18" s="1135"/>
      <c r="AJ18" s="1135"/>
      <c r="AK18" s="1135"/>
      <c r="AL18" s="1135"/>
      <c r="AM18" s="1135"/>
      <c r="AN18" s="1135"/>
      <c r="AO18" s="1135"/>
      <c r="AP18" s="1135"/>
      <c r="AQ18" s="1135"/>
      <c r="AR18" s="486" t="s">
        <v>22</v>
      </c>
      <c r="AS18" s="336" t="s">
        <v>22</v>
      </c>
      <c r="AT18" s="468" t="s">
        <v>22</v>
      </c>
      <c r="AU18" s="486" t="s">
        <v>22</v>
      </c>
      <c r="AV18" s="487" t="s">
        <v>22</v>
      </c>
      <c r="AW18" s="486" t="s">
        <v>22</v>
      </c>
      <c r="AX18" s="336" t="s">
        <v>22</v>
      </c>
      <c r="AY18" s="336" t="s">
        <v>22</v>
      </c>
      <c r="AZ18" s="487" t="s">
        <v>22</v>
      </c>
      <c r="BA18" s="943" t="s">
        <v>22</v>
      </c>
      <c r="BB18" s="487" t="s">
        <v>22</v>
      </c>
      <c r="BC18" s="382" t="s">
        <v>22</v>
      </c>
      <c r="BD18" s="336" t="s">
        <v>22</v>
      </c>
      <c r="BE18" s="837" t="s">
        <v>22</v>
      </c>
      <c r="BF18" s="386" t="s">
        <v>22</v>
      </c>
      <c r="BG18" s="486" t="s">
        <v>22</v>
      </c>
      <c r="BH18" s="487" t="s">
        <v>22</v>
      </c>
      <c r="BI18" s="386" t="s">
        <v>22</v>
      </c>
      <c r="BJ18" s="382" t="s">
        <v>22</v>
      </c>
      <c r="BK18" s="336" t="s">
        <v>22</v>
      </c>
      <c r="BL18" s="545" t="s">
        <v>22</v>
      </c>
      <c r="BM18" s="386" t="s">
        <v>22</v>
      </c>
      <c r="BN18" s="382" t="s">
        <v>22</v>
      </c>
      <c r="BO18" s="927"/>
      <c r="BP18" s="899"/>
      <c r="BQ18" s="545" t="s">
        <v>22</v>
      </c>
      <c r="BR18" s="486" t="s">
        <v>22</v>
      </c>
      <c r="BS18" s="336" t="s">
        <v>22</v>
      </c>
      <c r="BT18" s="403"/>
    </row>
    <row r="19" spans="1:72" ht="13.5" hidden="1" customHeight="1" x14ac:dyDescent="0.35">
      <c r="A19" s="683"/>
      <c r="B19" s="248"/>
      <c r="C19" s="249" t="s">
        <v>25</v>
      </c>
      <c r="D19" s="979">
        <v>128</v>
      </c>
      <c r="E19" s="1143"/>
      <c r="F19" s="1144"/>
      <c r="G19" s="1144"/>
      <c r="H19" s="1144"/>
      <c r="I19" s="1144"/>
      <c r="J19" s="1144"/>
      <c r="K19" s="1144"/>
      <c r="L19" s="1144"/>
      <c r="M19" s="1145"/>
      <c r="N19" s="1135"/>
      <c r="O19" s="1135"/>
      <c r="P19" s="1135"/>
      <c r="Q19" s="1135"/>
      <c r="R19" s="1135"/>
      <c r="S19" s="1135"/>
      <c r="T19" s="1135"/>
      <c r="U19" s="1135"/>
      <c r="V19" s="1135"/>
      <c r="W19" s="1135"/>
      <c r="X19" s="1135"/>
      <c r="Y19" s="1135"/>
      <c r="Z19" s="1135"/>
      <c r="AA19" s="1135"/>
      <c r="AB19" s="1135"/>
      <c r="AC19" s="1135"/>
      <c r="AD19" s="1135"/>
      <c r="AE19" s="1135"/>
      <c r="AF19" s="1135"/>
      <c r="AG19" s="1135"/>
      <c r="AH19" s="1135"/>
      <c r="AI19" s="1135"/>
      <c r="AJ19" s="1135"/>
      <c r="AK19" s="1135"/>
      <c r="AL19" s="1135"/>
      <c r="AM19" s="1135"/>
      <c r="AN19" s="1135"/>
      <c r="AO19" s="1135"/>
      <c r="AP19" s="1135"/>
      <c r="AQ19" s="1135"/>
      <c r="AR19" s="486">
        <v>128</v>
      </c>
      <c r="AS19" s="336">
        <v>128</v>
      </c>
      <c r="AT19" s="468">
        <v>128</v>
      </c>
      <c r="AU19" s="486">
        <v>128</v>
      </c>
      <c r="AV19" s="487">
        <v>128</v>
      </c>
      <c r="AW19" s="486">
        <v>128</v>
      </c>
      <c r="AX19" s="336">
        <v>128</v>
      </c>
      <c r="AY19" s="336">
        <v>128</v>
      </c>
      <c r="AZ19" s="487">
        <v>128</v>
      </c>
      <c r="BA19" s="943">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927"/>
      <c r="BP19" s="899"/>
      <c r="BQ19" s="487">
        <v>128</v>
      </c>
      <c r="BR19" s="486">
        <v>128</v>
      </c>
      <c r="BS19" s="336">
        <v>128</v>
      </c>
      <c r="BT19" s="403"/>
    </row>
    <row r="20" spans="1:72" ht="13.5" hidden="1" customHeight="1" x14ac:dyDescent="0.35">
      <c r="A20" s="683"/>
      <c r="B20" s="248"/>
      <c r="C20" s="249" t="s">
        <v>26</v>
      </c>
      <c r="D20" s="979" t="s">
        <v>290</v>
      </c>
      <c r="E20" s="1143"/>
      <c r="F20" s="1144"/>
      <c r="G20" s="1144"/>
      <c r="H20" s="1144"/>
      <c r="I20" s="1144"/>
      <c r="J20" s="1144"/>
      <c r="K20" s="1144"/>
      <c r="L20" s="1144"/>
      <c r="M20" s="1145"/>
      <c r="N20" s="1135"/>
      <c r="O20" s="1135"/>
      <c r="P20" s="1135"/>
      <c r="Q20" s="1135"/>
      <c r="R20" s="1135"/>
      <c r="S20" s="1135"/>
      <c r="T20" s="1135"/>
      <c r="U20" s="1135"/>
      <c r="V20" s="1135"/>
      <c r="W20" s="1135"/>
      <c r="X20" s="1135"/>
      <c r="Y20" s="1135"/>
      <c r="Z20" s="1135"/>
      <c r="AA20" s="1135"/>
      <c r="AB20" s="1135"/>
      <c r="AC20" s="1135"/>
      <c r="AD20" s="1135"/>
      <c r="AE20" s="1135"/>
      <c r="AF20" s="1135"/>
      <c r="AG20" s="1135"/>
      <c r="AH20" s="1135"/>
      <c r="AI20" s="1135"/>
      <c r="AJ20" s="1135"/>
      <c r="AK20" s="1135"/>
      <c r="AL20" s="1135"/>
      <c r="AM20" s="1135"/>
      <c r="AN20" s="1135"/>
      <c r="AO20" s="1135"/>
      <c r="AP20" s="1135"/>
      <c r="AQ20" s="1135"/>
      <c r="AR20" s="486" t="s">
        <v>290</v>
      </c>
      <c r="AS20" s="336" t="s">
        <v>290</v>
      </c>
      <c r="AT20" s="468" t="s">
        <v>290</v>
      </c>
      <c r="AU20" s="486" t="s">
        <v>290</v>
      </c>
      <c r="AV20" s="487" t="s">
        <v>290</v>
      </c>
      <c r="AW20" s="486" t="s">
        <v>290</v>
      </c>
      <c r="AX20" s="336" t="s">
        <v>290</v>
      </c>
      <c r="AY20" s="336" t="s">
        <v>290</v>
      </c>
      <c r="AZ20" s="487" t="s">
        <v>290</v>
      </c>
      <c r="BA20" s="943"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927"/>
      <c r="BP20" s="899"/>
      <c r="BQ20" s="487" t="s">
        <v>290</v>
      </c>
      <c r="BR20" s="486" t="s">
        <v>290</v>
      </c>
      <c r="BS20" s="336" t="s">
        <v>290</v>
      </c>
      <c r="BT20" s="403"/>
    </row>
    <row r="21" spans="1:72" ht="13.5" hidden="1" customHeight="1" x14ac:dyDescent="0.35">
      <c r="A21" s="683"/>
      <c r="B21" s="248"/>
      <c r="C21" s="249" t="s">
        <v>27</v>
      </c>
      <c r="D21" s="979" t="s">
        <v>8</v>
      </c>
      <c r="E21" s="1143"/>
      <c r="F21" s="1144"/>
      <c r="G21" s="1144"/>
      <c r="H21" s="1144"/>
      <c r="I21" s="1144"/>
      <c r="J21" s="1144"/>
      <c r="K21" s="1144"/>
      <c r="L21" s="1144"/>
      <c r="M21" s="1145"/>
      <c r="N21" s="1135"/>
      <c r="O21" s="1135"/>
      <c r="P21" s="1135"/>
      <c r="Q21" s="1135"/>
      <c r="R21" s="1135"/>
      <c r="S21" s="1135"/>
      <c r="T21" s="1135"/>
      <c r="U21" s="1135"/>
      <c r="V21" s="1135"/>
      <c r="W21" s="1135"/>
      <c r="X21" s="1135"/>
      <c r="Y21" s="1135"/>
      <c r="Z21" s="1135"/>
      <c r="AA21" s="1135"/>
      <c r="AB21" s="1135"/>
      <c r="AC21" s="1135"/>
      <c r="AD21" s="1135"/>
      <c r="AE21" s="1135"/>
      <c r="AF21" s="1135"/>
      <c r="AG21" s="1135"/>
      <c r="AH21" s="1135"/>
      <c r="AI21" s="1135"/>
      <c r="AJ21" s="1135"/>
      <c r="AK21" s="1135"/>
      <c r="AL21" s="1135"/>
      <c r="AM21" s="1135"/>
      <c r="AN21" s="1135"/>
      <c r="AO21" s="1135"/>
      <c r="AP21" s="1135"/>
      <c r="AQ21" s="1135"/>
      <c r="AR21" s="486" t="s">
        <v>8</v>
      </c>
      <c r="AS21" s="336" t="s">
        <v>8</v>
      </c>
      <c r="AT21" s="468" t="s">
        <v>8</v>
      </c>
      <c r="AU21" s="486" t="s">
        <v>8</v>
      </c>
      <c r="AV21" s="487" t="s">
        <v>8</v>
      </c>
      <c r="AW21" s="486" t="s">
        <v>8</v>
      </c>
      <c r="AX21" s="336" t="s">
        <v>8</v>
      </c>
      <c r="AY21" s="336" t="s">
        <v>8</v>
      </c>
      <c r="AZ21" s="487" t="s">
        <v>8</v>
      </c>
      <c r="BA21" s="943"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927"/>
      <c r="BP21" s="899"/>
      <c r="BQ21" s="487" t="s">
        <v>8</v>
      </c>
      <c r="BR21" s="486" t="s">
        <v>8</v>
      </c>
      <c r="BS21" s="336" t="s">
        <v>8</v>
      </c>
      <c r="BT21" s="403"/>
    </row>
    <row r="22" spans="1:72" ht="13.5" hidden="1" customHeight="1" x14ac:dyDescent="0.35">
      <c r="A22" s="683"/>
      <c r="B22" s="248"/>
      <c r="C22" s="249" t="s">
        <v>1461</v>
      </c>
      <c r="D22" s="979" t="s">
        <v>8</v>
      </c>
      <c r="E22" s="1143"/>
      <c r="F22" s="1144"/>
      <c r="G22" s="1144"/>
      <c r="H22" s="1144"/>
      <c r="I22" s="1144"/>
      <c r="J22" s="1144"/>
      <c r="K22" s="1144"/>
      <c r="L22" s="1144"/>
      <c r="M22" s="1145"/>
      <c r="N22" s="1135"/>
      <c r="O22" s="1135"/>
      <c r="P22" s="1135"/>
      <c r="Q22" s="1135"/>
      <c r="R22" s="1135"/>
      <c r="S22" s="1135"/>
      <c r="T22" s="1135"/>
      <c r="U22" s="1135"/>
      <c r="V22" s="1135"/>
      <c r="W22" s="1135"/>
      <c r="X22" s="1135"/>
      <c r="Y22" s="1135"/>
      <c r="Z22" s="1135"/>
      <c r="AA22" s="1135"/>
      <c r="AB22" s="1135"/>
      <c r="AC22" s="1135"/>
      <c r="AD22" s="1135"/>
      <c r="AE22" s="1135"/>
      <c r="AF22" s="1135"/>
      <c r="AG22" s="1135"/>
      <c r="AH22" s="1135"/>
      <c r="AI22" s="1135"/>
      <c r="AJ22" s="1135"/>
      <c r="AK22" s="1135"/>
      <c r="AL22" s="1135"/>
      <c r="AM22" s="1135"/>
      <c r="AN22" s="1135"/>
      <c r="AO22" s="1135"/>
      <c r="AP22" s="1135"/>
      <c r="AQ22" s="1135"/>
      <c r="AR22" s="486" t="s">
        <v>1464</v>
      </c>
      <c r="AS22" s="336" t="s">
        <v>1464</v>
      </c>
      <c r="AT22" s="468" t="s">
        <v>1464</v>
      </c>
      <c r="AU22" s="486" t="s">
        <v>1464</v>
      </c>
      <c r="AV22" s="487" t="s">
        <v>1464</v>
      </c>
      <c r="AW22" s="486" t="s">
        <v>1464</v>
      </c>
      <c r="AX22" s="336" t="s">
        <v>1464</v>
      </c>
      <c r="AY22" s="336" t="s">
        <v>1464</v>
      </c>
      <c r="AZ22" s="487" t="s">
        <v>1464</v>
      </c>
      <c r="BA22" s="943" t="s">
        <v>1464</v>
      </c>
      <c r="BB22" s="487" t="s">
        <v>1464</v>
      </c>
      <c r="BC22" s="382" t="s">
        <v>1464</v>
      </c>
      <c r="BD22" s="336" t="s">
        <v>1464</v>
      </c>
      <c r="BE22" s="468" t="s">
        <v>1465</v>
      </c>
      <c r="BF22" s="386" t="s">
        <v>1464</v>
      </c>
      <c r="BG22" s="486" t="s">
        <v>1464</v>
      </c>
      <c r="BH22" s="487" t="s">
        <v>1464</v>
      </c>
      <c r="BI22" s="386" t="s">
        <v>1464</v>
      </c>
      <c r="BJ22" s="382" t="s">
        <v>1464</v>
      </c>
      <c r="BK22" s="336" t="s">
        <v>1464</v>
      </c>
      <c r="BL22" s="487" t="s">
        <v>1466</v>
      </c>
      <c r="BM22" s="386" t="s">
        <v>1464</v>
      </c>
      <c r="BN22" s="382" t="s">
        <v>1464</v>
      </c>
      <c r="BO22" s="927"/>
      <c r="BP22" s="899"/>
      <c r="BQ22" s="487" t="s">
        <v>1469</v>
      </c>
      <c r="BR22" s="486" t="s">
        <v>1464</v>
      </c>
      <c r="BS22" s="336" t="s">
        <v>1464</v>
      </c>
      <c r="BT22" s="403" t="s">
        <v>1470</v>
      </c>
    </row>
    <row r="23" spans="1:72" ht="13.5" hidden="1" customHeight="1" x14ac:dyDescent="0.35">
      <c r="A23" s="683"/>
      <c r="B23" s="248"/>
      <c r="C23" s="249" t="s">
        <v>1462</v>
      </c>
      <c r="D23" s="979" t="s">
        <v>8</v>
      </c>
      <c r="E23" s="1143"/>
      <c r="F23" s="1144"/>
      <c r="G23" s="1144"/>
      <c r="H23" s="1144"/>
      <c r="I23" s="1144"/>
      <c r="J23" s="1144"/>
      <c r="K23" s="1144"/>
      <c r="L23" s="1144"/>
      <c r="M23" s="1145"/>
      <c r="N23" s="1135"/>
      <c r="O23" s="1135"/>
      <c r="P23" s="1135"/>
      <c r="Q23" s="1135"/>
      <c r="R23" s="1135"/>
      <c r="S23" s="1135"/>
      <c r="T23" s="1135"/>
      <c r="U23" s="1135"/>
      <c r="V23" s="1135"/>
      <c r="W23" s="1135"/>
      <c r="X23" s="1135"/>
      <c r="Y23" s="1135"/>
      <c r="Z23" s="1135"/>
      <c r="AA23" s="1135"/>
      <c r="AB23" s="1135"/>
      <c r="AC23" s="1135"/>
      <c r="AD23" s="1135"/>
      <c r="AE23" s="1135"/>
      <c r="AF23" s="1135"/>
      <c r="AG23" s="1135"/>
      <c r="AH23" s="1135"/>
      <c r="AI23" s="1135"/>
      <c r="AJ23" s="1135"/>
      <c r="AK23" s="1135"/>
      <c r="AL23" s="1135"/>
      <c r="AM23" s="1135"/>
      <c r="AN23" s="1135"/>
      <c r="AO23" s="1135"/>
      <c r="AP23" s="1135"/>
      <c r="AQ23" s="1135"/>
      <c r="AR23" s="486" t="s">
        <v>45</v>
      </c>
      <c r="AS23" s="336" t="s">
        <v>45</v>
      </c>
      <c r="AT23" s="468" t="s">
        <v>45</v>
      </c>
      <c r="AU23" s="486" t="s">
        <v>45</v>
      </c>
      <c r="AV23" s="487" t="s">
        <v>45</v>
      </c>
      <c r="AW23" s="486" t="s">
        <v>45</v>
      </c>
      <c r="AX23" s="336" t="s">
        <v>45</v>
      </c>
      <c r="AY23" s="336" t="s">
        <v>45</v>
      </c>
      <c r="AZ23" s="487" t="s">
        <v>45</v>
      </c>
      <c r="BA23" s="943"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927"/>
      <c r="BP23" s="899"/>
      <c r="BQ23" s="487">
        <v>2</v>
      </c>
      <c r="BR23" s="486" t="s">
        <v>45</v>
      </c>
      <c r="BS23" s="336" t="s">
        <v>45</v>
      </c>
      <c r="BT23" s="403" t="s">
        <v>1467</v>
      </c>
    </row>
    <row r="24" spans="1:72" ht="13.5" hidden="1" customHeight="1" x14ac:dyDescent="0.35">
      <c r="A24" s="683"/>
      <c r="B24" s="248"/>
      <c r="C24" s="249" t="s">
        <v>1463</v>
      </c>
      <c r="D24" s="979" t="s">
        <v>8</v>
      </c>
      <c r="E24" s="1143"/>
      <c r="F24" s="1144"/>
      <c r="G24" s="1144"/>
      <c r="H24" s="1144"/>
      <c r="I24" s="1144"/>
      <c r="J24" s="1144"/>
      <c r="K24" s="1144"/>
      <c r="L24" s="1144"/>
      <c r="M24" s="1145"/>
      <c r="N24" s="1135"/>
      <c r="O24" s="1135"/>
      <c r="P24" s="1135"/>
      <c r="Q24" s="1135"/>
      <c r="R24" s="1135"/>
      <c r="S24" s="1135"/>
      <c r="T24" s="1135"/>
      <c r="U24" s="1135"/>
      <c r="V24" s="1135"/>
      <c r="W24" s="1135"/>
      <c r="X24" s="1135"/>
      <c r="Y24" s="1135"/>
      <c r="Z24" s="1135"/>
      <c r="AA24" s="1135"/>
      <c r="AB24" s="1135"/>
      <c r="AC24" s="1135"/>
      <c r="AD24" s="1135"/>
      <c r="AE24" s="1135"/>
      <c r="AF24" s="1135"/>
      <c r="AG24" s="1135"/>
      <c r="AH24" s="1135"/>
      <c r="AI24" s="1135"/>
      <c r="AJ24" s="1135"/>
      <c r="AK24" s="1135"/>
      <c r="AL24" s="1135"/>
      <c r="AM24" s="1135"/>
      <c r="AN24" s="1135"/>
      <c r="AO24" s="1135"/>
      <c r="AP24" s="1135"/>
      <c r="AQ24" s="1135"/>
      <c r="AR24" s="486" t="s">
        <v>45</v>
      </c>
      <c r="AS24" s="336" t="s">
        <v>45</v>
      </c>
      <c r="AT24" s="468" t="s">
        <v>45</v>
      </c>
      <c r="AU24" s="486" t="s">
        <v>45</v>
      </c>
      <c r="AV24" s="487" t="s">
        <v>45</v>
      </c>
      <c r="AW24" s="486" t="s">
        <v>45</v>
      </c>
      <c r="AX24" s="336" t="s">
        <v>45</v>
      </c>
      <c r="AY24" s="336" t="s">
        <v>45</v>
      </c>
      <c r="AZ24" s="487" t="s">
        <v>45</v>
      </c>
      <c r="BA24" s="943"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927"/>
      <c r="BP24" s="899"/>
      <c r="BQ24" s="487" t="s">
        <v>8</v>
      </c>
      <c r="BR24" s="486" t="s">
        <v>45</v>
      </c>
      <c r="BS24" s="336" t="s">
        <v>45</v>
      </c>
      <c r="BT24" s="403" t="s">
        <v>1468</v>
      </c>
    </row>
    <row r="25" spans="1:72" ht="13.5" hidden="1" customHeight="1" x14ac:dyDescent="0.35">
      <c r="A25" s="683"/>
      <c r="B25" s="248" t="s">
        <v>93</v>
      </c>
      <c r="C25" s="249" t="s">
        <v>31</v>
      </c>
      <c r="D25" s="979" t="s">
        <v>8</v>
      </c>
      <c r="E25" s="1143"/>
      <c r="F25" s="1144"/>
      <c r="G25" s="1144"/>
      <c r="H25" s="1144"/>
      <c r="I25" s="1144"/>
      <c r="J25" s="1144"/>
      <c r="K25" s="1144"/>
      <c r="L25" s="1144"/>
      <c r="M25" s="1145"/>
      <c r="N25" s="1135"/>
      <c r="O25" s="1135"/>
      <c r="P25" s="1135"/>
      <c r="Q25" s="1135"/>
      <c r="R25" s="1135"/>
      <c r="S25" s="1135"/>
      <c r="T25" s="1135"/>
      <c r="U25" s="1135"/>
      <c r="V25" s="1135"/>
      <c r="W25" s="1135"/>
      <c r="X25" s="1135"/>
      <c r="Y25" s="1135"/>
      <c r="Z25" s="1135"/>
      <c r="AA25" s="1135"/>
      <c r="AB25" s="1135"/>
      <c r="AC25" s="1135"/>
      <c r="AD25" s="1135"/>
      <c r="AE25" s="1135"/>
      <c r="AF25" s="1135"/>
      <c r="AG25" s="1135"/>
      <c r="AH25" s="1135"/>
      <c r="AI25" s="1135"/>
      <c r="AJ25" s="1135"/>
      <c r="AK25" s="1135"/>
      <c r="AL25" s="1135"/>
      <c r="AM25" s="1135"/>
      <c r="AN25" s="1135"/>
      <c r="AO25" s="1135"/>
      <c r="AP25" s="1135"/>
      <c r="AQ25" s="1135"/>
      <c r="AR25" s="486" t="s">
        <v>8</v>
      </c>
      <c r="AS25" s="336" t="s">
        <v>8</v>
      </c>
      <c r="AT25" s="468" t="s">
        <v>8</v>
      </c>
      <c r="AU25" s="486" t="s">
        <v>8</v>
      </c>
      <c r="AV25" s="487" t="s">
        <v>8</v>
      </c>
      <c r="AW25" s="486" t="s">
        <v>8</v>
      </c>
      <c r="AX25" s="336" t="s">
        <v>8</v>
      </c>
      <c r="AY25" s="336" t="s">
        <v>8</v>
      </c>
      <c r="AZ25" s="487" t="s">
        <v>8</v>
      </c>
      <c r="BA25" s="943"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927"/>
      <c r="BP25" s="899"/>
      <c r="BQ25" s="487" t="s">
        <v>8</v>
      </c>
      <c r="BR25" s="486" t="s">
        <v>8</v>
      </c>
      <c r="BS25" s="336" t="s">
        <v>8</v>
      </c>
      <c r="BT25" s="403"/>
    </row>
    <row r="26" spans="1:72" ht="13.5" hidden="1" customHeight="1" x14ac:dyDescent="0.35">
      <c r="A26" s="683"/>
      <c r="B26" s="248" t="s">
        <v>42</v>
      </c>
      <c r="C26" s="249" t="s">
        <v>291</v>
      </c>
      <c r="D26" s="979" t="s">
        <v>8</v>
      </c>
      <c r="E26" s="1143"/>
      <c r="F26" s="1144"/>
      <c r="G26" s="1144"/>
      <c r="H26" s="1144"/>
      <c r="I26" s="1144"/>
      <c r="J26" s="1144"/>
      <c r="K26" s="1144"/>
      <c r="L26" s="1144"/>
      <c r="M26" s="1145"/>
      <c r="N26" s="1135"/>
      <c r="O26" s="1135"/>
      <c r="P26" s="1135"/>
      <c r="Q26" s="1135"/>
      <c r="R26" s="1135"/>
      <c r="S26" s="1135"/>
      <c r="T26" s="1135"/>
      <c r="U26" s="1135"/>
      <c r="V26" s="1135"/>
      <c r="W26" s="1135"/>
      <c r="X26" s="1135"/>
      <c r="Y26" s="1135"/>
      <c r="Z26" s="1135"/>
      <c r="AA26" s="1135"/>
      <c r="AB26" s="1135"/>
      <c r="AC26" s="1135"/>
      <c r="AD26" s="1135"/>
      <c r="AE26" s="1135"/>
      <c r="AF26" s="1135"/>
      <c r="AG26" s="1135"/>
      <c r="AH26" s="1135"/>
      <c r="AI26" s="1135"/>
      <c r="AJ26" s="1135"/>
      <c r="AK26" s="1135"/>
      <c r="AL26" s="1135"/>
      <c r="AM26" s="1135"/>
      <c r="AN26" s="1135"/>
      <c r="AO26" s="1135"/>
      <c r="AP26" s="1135"/>
      <c r="AQ26" s="1135"/>
      <c r="AR26" s="486" t="s">
        <v>8</v>
      </c>
      <c r="AS26" s="336" t="s">
        <v>8</v>
      </c>
      <c r="AT26" s="468" t="s">
        <v>8</v>
      </c>
      <c r="AU26" s="486" t="s">
        <v>8</v>
      </c>
      <c r="AV26" s="487" t="s">
        <v>8</v>
      </c>
      <c r="AW26" s="486" t="s">
        <v>8</v>
      </c>
      <c r="AX26" s="336" t="s">
        <v>8</v>
      </c>
      <c r="AY26" s="336" t="s">
        <v>8</v>
      </c>
      <c r="AZ26" s="487" t="s">
        <v>8</v>
      </c>
      <c r="BA26" s="943"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927"/>
      <c r="BP26" s="899"/>
      <c r="BQ26" s="487" t="s">
        <v>8</v>
      </c>
      <c r="BR26" s="486" t="s">
        <v>8</v>
      </c>
      <c r="BS26" s="336" t="s">
        <v>8</v>
      </c>
      <c r="BT26" s="403"/>
    </row>
    <row r="27" spans="1:72" ht="13.5" hidden="1" customHeight="1" x14ac:dyDescent="0.35">
      <c r="A27" s="683"/>
      <c r="B27" s="248"/>
      <c r="C27" s="249" t="s">
        <v>169</v>
      </c>
      <c r="D27" s="979" t="s">
        <v>8</v>
      </c>
      <c r="E27" s="1143"/>
      <c r="F27" s="1144"/>
      <c r="G27" s="1144"/>
      <c r="H27" s="1144"/>
      <c r="I27" s="1144"/>
      <c r="J27" s="1144"/>
      <c r="K27" s="1144"/>
      <c r="L27" s="1144"/>
      <c r="M27" s="1145"/>
      <c r="N27" s="1135"/>
      <c r="O27" s="1135"/>
      <c r="P27" s="1135"/>
      <c r="Q27" s="1135"/>
      <c r="R27" s="1135"/>
      <c r="S27" s="1135"/>
      <c r="T27" s="1135"/>
      <c r="U27" s="1135"/>
      <c r="V27" s="1135"/>
      <c r="W27" s="1135"/>
      <c r="X27" s="1135"/>
      <c r="Y27" s="1135"/>
      <c r="Z27" s="1135"/>
      <c r="AA27" s="1135"/>
      <c r="AB27" s="1135"/>
      <c r="AC27" s="1135"/>
      <c r="AD27" s="1135"/>
      <c r="AE27" s="1135"/>
      <c r="AF27" s="1135"/>
      <c r="AG27" s="1135"/>
      <c r="AH27" s="1135"/>
      <c r="AI27" s="1135"/>
      <c r="AJ27" s="1135"/>
      <c r="AK27" s="1135"/>
      <c r="AL27" s="1135"/>
      <c r="AM27" s="1135"/>
      <c r="AN27" s="1135"/>
      <c r="AO27" s="1135"/>
      <c r="AP27" s="1135"/>
      <c r="AQ27" s="1135"/>
      <c r="AR27" s="486" t="s">
        <v>8</v>
      </c>
      <c r="AS27" s="336" t="s">
        <v>8</v>
      </c>
      <c r="AT27" s="468" t="s">
        <v>8</v>
      </c>
      <c r="AU27" s="486" t="s">
        <v>8</v>
      </c>
      <c r="AV27" s="487" t="s">
        <v>8</v>
      </c>
      <c r="AW27" s="486" t="s">
        <v>8</v>
      </c>
      <c r="AX27" s="336" t="s">
        <v>8</v>
      </c>
      <c r="AY27" s="336" t="s">
        <v>8</v>
      </c>
      <c r="AZ27" s="487" t="s">
        <v>8</v>
      </c>
      <c r="BA27" s="943"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927"/>
      <c r="BP27" s="899"/>
      <c r="BQ27" s="487" t="s">
        <v>8</v>
      </c>
      <c r="BR27" s="486" t="s">
        <v>8</v>
      </c>
      <c r="BS27" s="336" t="s">
        <v>8</v>
      </c>
      <c r="BT27" s="403"/>
    </row>
    <row r="28" spans="1:72" ht="13.5" hidden="1" customHeight="1" x14ac:dyDescent="0.35">
      <c r="A28" s="683"/>
      <c r="B28" s="248"/>
      <c r="C28" s="249" t="s">
        <v>68</v>
      </c>
      <c r="D28" s="979" t="s">
        <v>8</v>
      </c>
      <c r="E28" s="1143"/>
      <c r="F28" s="1144"/>
      <c r="G28" s="1144"/>
      <c r="H28" s="1144"/>
      <c r="I28" s="1144"/>
      <c r="J28" s="1144"/>
      <c r="K28" s="1144"/>
      <c r="L28" s="1144"/>
      <c r="M28" s="1145"/>
      <c r="N28" s="1135"/>
      <c r="O28" s="1135"/>
      <c r="P28" s="1135"/>
      <c r="Q28" s="1135"/>
      <c r="R28" s="1135"/>
      <c r="S28" s="1135"/>
      <c r="T28" s="1135"/>
      <c r="U28" s="1135"/>
      <c r="V28" s="1135"/>
      <c r="W28" s="1135"/>
      <c r="X28" s="1135"/>
      <c r="Y28" s="1135"/>
      <c r="Z28" s="1135"/>
      <c r="AA28" s="1135"/>
      <c r="AB28" s="1135"/>
      <c r="AC28" s="1135"/>
      <c r="AD28" s="1135"/>
      <c r="AE28" s="1135"/>
      <c r="AF28" s="1135"/>
      <c r="AG28" s="1135"/>
      <c r="AH28" s="1135"/>
      <c r="AI28" s="1135"/>
      <c r="AJ28" s="1135"/>
      <c r="AK28" s="1135"/>
      <c r="AL28" s="1135"/>
      <c r="AM28" s="1135"/>
      <c r="AN28" s="1135"/>
      <c r="AO28" s="1135"/>
      <c r="AP28" s="1135"/>
      <c r="AQ28" s="1135"/>
      <c r="AR28" s="486" t="s">
        <v>8</v>
      </c>
      <c r="AS28" s="336" t="s">
        <v>8</v>
      </c>
      <c r="AT28" s="468" t="s">
        <v>8</v>
      </c>
      <c r="AU28" s="486" t="s">
        <v>8</v>
      </c>
      <c r="AV28" s="487" t="s">
        <v>8</v>
      </c>
      <c r="AW28" s="486" t="s">
        <v>8</v>
      </c>
      <c r="AX28" s="336" t="s">
        <v>8</v>
      </c>
      <c r="AY28" s="336" t="s">
        <v>8</v>
      </c>
      <c r="AZ28" s="487" t="s">
        <v>8</v>
      </c>
      <c r="BA28" s="943"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927"/>
      <c r="BP28" s="899"/>
      <c r="BQ28" s="487" t="s">
        <v>8</v>
      </c>
      <c r="BR28" s="486" t="s">
        <v>8</v>
      </c>
      <c r="BS28" s="336" t="s">
        <v>8</v>
      </c>
      <c r="BT28" s="403"/>
    </row>
    <row r="29" spans="1:72" ht="13.5" hidden="1" customHeight="1" thickTop="1" x14ac:dyDescent="0.35">
      <c r="A29" s="683"/>
      <c r="B29" s="315"/>
      <c r="C29" s="316" t="s">
        <v>70</v>
      </c>
      <c r="D29" s="981" t="s">
        <v>8</v>
      </c>
      <c r="E29" s="1143"/>
      <c r="F29" s="1144"/>
      <c r="G29" s="1144"/>
      <c r="H29" s="1144"/>
      <c r="I29" s="1144"/>
      <c r="J29" s="1144"/>
      <c r="K29" s="1144"/>
      <c r="L29" s="1144"/>
      <c r="M29" s="1145"/>
      <c r="N29" s="1135"/>
      <c r="O29" s="1135"/>
      <c r="P29" s="1135"/>
      <c r="Q29" s="1135"/>
      <c r="R29" s="1135"/>
      <c r="S29" s="1135"/>
      <c r="T29" s="1135"/>
      <c r="U29" s="1135"/>
      <c r="V29" s="1135"/>
      <c r="W29" s="1135"/>
      <c r="X29" s="1135"/>
      <c r="Y29" s="1135"/>
      <c r="Z29" s="1135"/>
      <c r="AA29" s="1135"/>
      <c r="AB29" s="1135"/>
      <c r="AC29" s="1135"/>
      <c r="AD29" s="1135"/>
      <c r="AE29" s="1135"/>
      <c r="AF29" s="1135"/>
      <c r="AG29" s="1135"/>
      <c r="AH29" s="1135"/>
      <c r="AI29" s="1135"/>
      <c r="AJ29" s="1135"/>
      <c r="AK29" s="1135"/>
      <c r="AL29" s="1135"/>
      <c r="AM29" s="1135"/>
      <c r="AN29" s="1135"/>
      <c r="AO29" s="1135"/>
      <c r="AP29" s="1135"/>
      <c r="AQ29" s="1135"/>
      <c r="AR29" s="486" t="s">
        <v>8</v>
      </c>
      <c r="AS29" s="336" t="s">
        <v>8</v>
      </c>
      <c r="AT29" s="837" t="s">
        <v>17</v>
      </c>
      <c r="AU29" s="486" t="s">
        <v>8</v>
      </c>
      <c r="AV29" s="487" t="s">
        <v>8</v>
      </c>
      <c r="AW29" s="486" t="s">
        <v>8</v>
      </c>
      <c r="AX29" s="336" t="s">
        <v>8</v>
      </c>
      <c r="AY29" s="336" t="s">
        <v>8</v>
      </c>
      <c r="AZ29" s="545" t="s">
        <v>17</v>
      </c>
      <c r="BA29" s="943" t="s">
        <v>8</v>
      </c>
      <c r="BB29" s="545" t="s">
        <v>17</v>
      </c>
      <c r="BC29" s="382" t="s">
        <v>8</v>
      </c>
      <c r="BD29" s="336" t="s">
        <v>8</v>
      </c>
      <c r="BE29" s="837" t="s">
        <v>17</v>
      </c>
      <c r="BF29" s="596" t="s">
        <v>195</v>
      </c>
      <c r="BG29" s="486" t="s">
        <v>8</v>
      </c>
      <c r="BH29" s="487" t="s">
        <v>8</v>
      </c>
      <c r="BI29" s="386" t="s">
        <v>8</v>
      </c>
      <c r="BJ29" s="382" t="s">
        <v>8</v>
      </c>
      <c r="BK29" s="336" t="s">
        <v>8</v>
      </c>
      <c r="BL29" s="545" t="s">
        <v>17</v>
      </c>
      <c r="BM29" s="596" t="s">
        <v>17</v>
      </c>
      <c r="BN29" s="382" t="s">
        <v>8</v>
      </c>
      <c r="BO29" s="927"/>
      <c r="BP29" s="899"/>
      <c r="BQ29" s="545" t="s">
        <v>17</v>
      </c>
      <c r="BR29" s="486" t="s">
        <v>8</v>
      </c>
      <c r="BS29" s="336" t="s">
        <v>8</v>
      </c>
      <c r="BT29" s="403"/>
    </row>
    <row r="30" spans="1:72" ht="13.5" hidden="1" customHeight="1" x14ac:dyDescent="0.35">
      <c r="A30" s="683"/>
      <c r="B30" s="315"/>
      <c r="C30" s="316" t="s">
        <v>293</v>
      </c>
      <c r="D30" s="981" t="s">
        <v>8</v>
      </c>
      <c r="E30" s="1143"/>
      <c r="F30" s="1144"/>
      <c r="G30" s="1144"/>
      <c r="H30" s="1144"/>
      <c r="I30" s="1144"/>
      <c r="J30" s="1144"/>
      <c r="K30" s="1144"/>
      <c r="L30" s="1144"/>
      <c r="M30" s="1145"/>
      <c r="N30" s="1134" t="s">
        <v>493</v>
      </c>
      <c r="O30" s="1134"/>
      <c r="P30" s="1134"/>
      <c r="Q30" s="1134"/>
      <c r="R30" s="1134"/>
      <c r="S30" s="1134"/>
      <c r="T30" s="1134"/>
      <c r="U30" s="1134"/>
      <c r="V30" s="1134"/>
      <c r="W30" s="1134"/>
      <c r="X30" s="1134"/>
      <c r="Y30" s="1134"/>
      <c r="Z30" s="1134"/>
      <c r="AA30" s="1134"/>
      <c r="AB30" s="1134"/>
      <c r="AC30" s="1134"/>
      <c r="AD30" s="1134"/>
      <c r="AE30" s="1134"/>
      <c r="AF30" s="1134"/>
      <c r="AG30" s="1134"/>
      <c r="AH30" s="1134"/>
      <c r="AI30" s="1171"/>
      <c r="AJ30" s="421"/>
      <c r="AK30" s="1174" t="s">
        <v>492</v>
      </c>
      <c r="AL30" s="1176" t="s">
        <v>491</v>
      </c>
      <c r="AM30" s="1171"/>
      <c r="AN30" s="1178" t="s">
        <v>492</v>
      </c>
      <c r="AO30" s="1178"/>
      <c r="AP30" s="1178"/>
      <c r="AQ30" s="1178"/>
      <c r="AR30" s="488"/>
      <c r="AS30" s="333"/>
      <c r="AT30" s="469"/>
      <c r="AU30" s="488"/>
      <c r="AV30" s="489"/>
      <c r="AW30" s="488"/>
      <c r="AX30" s="333"/>
      <c r="AY30" s="333"/>
      <c r="AZ30" s="489"/>
      <c r="BA30" s="945"/>
      <c r="BB30" s="489"/>
      <c r="BC30" s="383"/>
      <c r="BD30" s="333"/>
      <c r="BE30" s="469"/>
      <c r="BF30" s="387"/>
      <c r="BG30" s="488"/>
      <c r="BH30" s="489"/>
      <c r="BI30" s="387"/>
      <c r="BJ30" s="383"/>
      <c r="BK30" s="333"/>
      <c r="BL30" s="489"/>
      <c r="BM30" s="387"/>
      <c r="BN30" s="383"/>
      <c r="BO30" s="927"/>
      <c r="BP30" s="899"/>
      <c r="BQ30" s="489"/>
      <c r="BR30" s="488"/>
      <c r="BS30" s="333"/>
      <c r="BT30" s="403"/>
    </row>
    <row r="31" spans="1:72" ht="13.5" hidden="1" customHeight="1" thickBot="1" x14ac:dyDescent="0.4">
      <c r="A31" s="683"/>
      <c r="B31" s="248"/>
      <c r="C31" s="249" t="s">
        <v>267</v>
      </c>
      <c r="D31" s="979" t="s">
        <v>61</v>
      </c>
      <c r="E31" s="1143"/>
      <c r="F31" s="1144"/>
      <c r="G31" s="1144"/>
      <c r="H31" s="1144"/>
      <c r="I31" s="1144"/>
      <c r="J31" s="1144"/>
      <c r="K31" s="1144"/>
      <c r="L31" s="1144"/>
      <c r="M31" s="1145"/>
      <c r="N31" s="1172"/>
      <c r="O31" s="1172"/>
      <c r="P31" s="1172"/>
      <c r="Q31" s="1172"/>
      <c r="R31" s="1172"/>
      <c r="S31" s="1172"/>
      <c r="T31" s="1172"/>
      <c r="U31" s="1172"/>
      <c r="V31" s="1172"/>
      <c r="W31" s="1172"/>
      <c r="X31" s="1172"/>
      <c r="Y31" s="1172"/>
      <c r="Z31" s="1172"/>
      <c r="AA31" s="1172"/>
      <c r="AB31" s="1172"/>
      <c r="AC31" s="1172"/>
      <c r="AD31" s="1172"/>
      <c r="AE31" s="1172"/>
      <c r="AF31" s="1172"/>
      <c r="AG31" s="1172"/>
      <c r="AH31" s="1172"/>
      <c r="AI31" s="1173"/>
      <c r="AJ31" s="422"/>
      <c r="AK31" s="1175"/>
      <c r="AL31" s="1177"/>
      <c r="AM31" s="1173"/>
      <c r="AN31" s="1179"/>
      <c r="AO31" s="1179"/>
      <c r="AP31" s="1179"/>
      <c r="AQ31" s="1179"/>
      <c r="AR31" s="488"/>
      <c r="AS31" s="333"/>
      <c r="AT31" s="469"/>
      <c r="AU31" s="488"/>
      <c r="AV31" s="489"/>
      <c r="AW31" s="488"/>
      <c r="AX31" s="333"/>
      <c r="AY31" s="333"/>
      <c r="AZ31" s="489"/>
      <c r="BA31" s="945"/>
      <c r="BB31" s="489"/>
      <c r="BC31" s="383"/>
      <c r="BD31" s="333"/>
      <c r="BE31" s="469"/>
      <c r="BF31" s="387"/>
      <c r="BG31" s="488"/>
      <c r="BH31" s="489"/>
      <c r="BI31" s="387"/>
      <c r="BJ31" s="383"/>
      <c r="BK31" s="333"/>
      <c r="BL31" s="489"/>
      <c r="BM31" s="387"/>
      <c r="BN31" s="383"/>
      <c r="BO31" s="927"/>
      <c r="BP31" s="899"/>
      <c r="BQ31" s="489"/>
      <c r="BR31" s="488"/>
      <c r="BS31" s="333"/>
      <c r="BT31" s="403"/>
    </row>
    <row r="32" spans="1:72" ht="13.5" hidden="1" customHeight="1" thickTop="1" x14ac:dyDescent="0.35">
      <c r="A32" s="683"/>
      <c r="B32" s="248" t="s">
        <v>490</v>
      </c>
      <c r="C32" s="321" t="s">
        <v>293</v>
      </c>
      <c r="D32" s="982" t="s">
        <v>8</v>
      </c>
      <c r="E32" s="1143"/>
      <c r="F32" s="1144"/>
      <c r="G32" s="1144"/>
      <c r="H32" s="1144"/>
      <c r="I32" s="1144"/>
      <c r="J32" s="1144"/>
      <c r="K32" s="1144"/>
      <c r="L32" s="1144"/>
      <c r="M32" s="1145"/>
      <c r="N32" s="1136" t="s">
        <v>494</v>
      </c>
      <c r="O32" s="1136"/>
      <c r="P32" s="1136"/>
      <c r="Q32" s="1136"/>
      <c r="R32" s="1136"/>
      <c r="S32" s="1136"/>
      <c r="T32" s="1136"/>
      <c r="U32" s="1136"/>
      <c r="V32" s="1136"/>
      <c r="W32" s="1136"/>
      <c r="X32" s="1136"/>
      <c r="Y32" s="1136"/>
      <c r="Z32" s="1136"/>
      <c r="AA32" s="1136"/>
      <c r="AB32" s="1136"/>
      <c r="AC32" s="1136"/>
      <c r="AD32" s="1136"/>
      <c r="AE32" s="1136"/>
      <c r="AF32" s="1136"/>
      <c r="AG32" s="1136"/>
      <c r="AH32" s="1136"/>
      <c r="AI32" s="1136"/>
      <c r="AJ32" s="1137"/>
      <c r="AK32" s="1184" t="s">
        <v>491</v>
      </c>
      <c r="AL32" s="1180" t="s">
        <v>495</v>
      </c>
      <c r="AM32" s="1181"/>
      <c r="AN32" s="1134" t="s">
        <v>491</v>
      </c>
      <c r="AO32" s="1134"/>
      <c r="AP32" s="1134"/>
      <c r="AQ32" s="1134"/>
      <c r="AR32" s="486" t="s">
        <v>8</v>
      </c>
      <c r="AS32" s="336" t="s">
        <v>8</v>
      </c>
      <c r="AT32" s="468" t="s">
        <v>8</v>
      </c>
      <c r="AU32" s="486" t="s">
        <v>8</v>
      </c>
      <c r="AV32" s="487" t="s">
        <v>8</v>
      </c>
      <c r="AW32" s="486" t="s">
        <v>8</v>
      </c>
      <c r="AX32" s="336" t="s">
        <v>8</v>
      </c>
      <c r="AY32" s="336" t="s">
        <v>8</v>
      </c>
      <c r="AZ32" s="487" t="s">
        <v>8</v>
      </c>
      <c r="BA32" s="946"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927"/>
      <c r="BP32" s="899"/>
      <c r="BQ32" s="487" t="s">
        <v>8</v>
      </c>
      <c r="BR32" s="486" t="s">
        <v>8</v>
      </c>
      <c r="BS32" s="336" t="s">
        <v>8</v>
      </c>
      <c r="BT32" s="403"/>
    </row>
    <row r="33" spans="1:72" ht="13.5" hidden="1" customHeight="1" thickBot="1" x14ac:dyDescent="0.4">
      <c r="A33" s="683"/>
      <c r="B33" s="248"/>
      <c r="C33" s="249" t="s">
        <v>267</v>
      </c>
      <c r="D33" s="979" t="s">
        <v>61</v>
      </c>
      <c r="E33" s="1146"/>
      <c r="F33" s="1147"/>
      <c r="G33" s="1147"/>
      <c r="H33" s="1147"/>
      <c r="I33" s="1147"/>
      <c r="J33" s="1147"/>
      <c r="K33" s="1147"/>
      <c r="L33" s="1147"/>
      <c r="M33" s="1148"/>
      <c r="N33" s="1138"/>
      <c r="O33" s="1138"/>
      <c r="P33" s="1138"/>
      <c r="Q33" s="1138"/>
      <c r="R33" s="1138"/>
      <c r="S33" s="1138"/>
      <c r="T33" s="1138"/>
      <c r="U33" s="1138"/>
      <c r="V33" s="1138"/>
      <c r="W33" s="1138"/>
      <c r="X33" s="1138"/>
      <c r="Y33" s="1138"/>
      <c r="Z33" s="1138"/>
      <c r="AA33" s="1138"/>
      <c r="AB33" s="1138"/>
      <c r="AC33" s="1138"/>
      <c r="AD33" s="1138"/>
      <c r="AE33" s="1138"/>
      <c r="AF33" s="1138"/>
      <c r="AG33" s="1138"/>
      <c r="AH33" s="1138"/>
      <c r="AI33" s="1138"/>
      <c r="AJ33" s="1139"/>
      <c r="AK33" s="1185"/>
      <c r="AL33" s="1182"/>
      <c r="AM33" s="1183"/>
      <c r="AN33" s="1135"/>
      <c r="AO33" s="1135"/>
      <c r="AP33" s="1135"/>
      <c r="AQ33" s="1135"/>
      <c r="AR33" s="486" t="s">
        <v>61</v>
      </c>
      <c r="AS33" s="336" t="s">
        <v>61</v>
      </c>
      <c r="AT33" s="468" t="s">
        <v>61</v>
      </c>
      <c r="AU33" s="486" t="s">
        <v>61</v>
      </c>
      <c r="AV33" s="487" t="s">
        <v>61</v>
      </c>
      <c r="AW33" s="486" t="s">
        <v>61</v>
      </c>
      <c r="AX33" s="336" t="s">
        <v>61</v>
      </c>
      <c r="AY33" s="336" t="s">
        <v>61</v>
      </c>
      <c r="AZ33" s="487" t="s">
        <v>61</v>
      </c>
      <c r="BA33" s="946"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927"/>
      <c r="BP33" s="899"/>
      <c r="BQ33" s="487" t="s">
        <v>61</v>
      </c>
      <c r="BR33" s="486" t="s">
        <v>61</v>
      </c>
      <c r="BS33" s="336" t="s">
        <v>61</v>
      </c>
      <c r="BT33" s="403"/>
    </row>
    <row r="34" spans="1:72" ht="20.5" hidden="1" customHeight="1" thickTop="1" x14ac:dyDescent="0.35">
      <c r="A34" s="683"/>
      <c r="B34" s="41" t="s">
        <v>269</v>
      </c>
      <c r="C34" s="42" t="s">
        <v>6</v>
      </c>
      <c r="D34" s="1130"/>
      <c r="E34" s="1149" t="s">
        <v>457</v>
      </c>
      <c r="F34" s="1150"/>
      <c r="G34" s="1150"/>
      <c r="H34" s="1150"/>
      <c r="I34" s="1150"/>
      <c r="J34" s="1150"/>
      <c r="K34" s="1150"/>
      <c r="L34" s="1150"/>
      <c r="M34" s="1151"/>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8">
        <v>3.9</v>
      </c>
      <c r="BE34" s="183">
        <v>3.9</v>
      </c>
      <c r="BF34" s="376">
        <v>3.9</v>
      </c>
      <c r="BG34" s="109">
        <v>3.9</v>
      </c>
      <c r="BH34" s="149">
        <v>3.9</v>
      </c>
      <c r="BI34" s="940">
        <v>3.9</v>
      </c>
      <c r="BJ34" s="717">
        <v>3.9</v>
      </c>
      <c r="BK34" s="865">
        <v>3.9</v>
      </c>
      <c r="BL34" s="110">
        <v>3.9</v>
      </c>
      <c r="BM34" s="376">
        <v>3.9</v>
      </c>
      <c r="BN34" s="717">
        <v>3.9</v>
      </c>
      <c r="BO34" s="110"/>
      <c r="BP34" s="890"/>
      <c r="BQ34" s="149">
        <v>3.9</v>
      </c>
      <c r="BR34" s="109">
        <v>3.8</v>
      </c>
      <c r="BS34" s="44">
        <v>3.8</v>
      </c>
      <c r="BT34" s="528"/>
    </row>
    <row r="35" spans="1:72" ht="13.5" hidden="1" customHeight="1" x14ac:dyDescent="0.35">
      <c r="A35" s="683"/>
      <c r="B35" s="47"/>
      <c r="C35" s="3" t="s">
        <v>99</v>
      </c>
      <c r="D35" s="1128"/>
      <c r="E35" s="1152"/>
      <c r="F35" s="1153"/>
      <c r="G35" s="1153"/>
      <c r="H35" s="1153"/>
      <c r="I35" s="1153"/>
      <c r="J35" s="1153"/>
      <c r="K35" s="1153"/>
      <c r="L35" s="1153"/>
      <c r="M35" s="1154"/>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9">
        <v>1.79</v>
      </c>
      <c r="BE35" s="177">
        <v>1.79</v>
      </c>
      <c r="BF35" s="377">
        <v>1.79</v>
      </c>
      <c r="BG35" s="111">
        <v>1.79</v>
      </c>
      <c r="BH35" s="112">
        <v>1.79</v>
      </c>
      <c r="BI35" s="377">
        <v>1.79</v>
      </c>
      <c r="BJ35" s="718">
        <v>1.79</v>
      </c>
      <c r="BK35" s="16">
        <v>1.79</v>
      </c>
      <c r="BL35" s="114">
        <v>1.79</v>
      </c>
      <c r="BM35" s="377">
        <v>1.79</v>
      </c>
      <c r="BN35" s="718">
        <v>1.79</v>
      </c>
      <c r="BO35" s="114"/>
      <c r="BP35" s="113"/>
      <c r="BQ35" s="112">
        <v>1.79</v>
      </c>
      <c r="BR35" s="111">
        <v>1.79</v>
      </c>
      <c r="BS35" s="16">
        <v>1.79</v>
      </c>
      <c r="BT35" s="529"/>
    </row>
    <row r="36" spans="1:72" ht="13.5" hidden="1" customHeight="1" thickTop="1" x14ac:dyDescent="0.35">
      <c r="A36" s="683"/>
      <c r="B36" s="47"/>
      <c r="C36" s="3" t="s">
        <v>260</v>
      </c>
      <c r="D36" s="1128"/>
      <c r="E36" s="1152"/>
      <c r="F36" s="1153"/>
      <c r="G36" s="1153"/>
      <c r="H36" s="1153"/>
      <c r="I36" s="1153"/>
      <c r="J36" s="1153"/>
      <c r="K36" s="1153"/>
      <c r="L36" s="1153"/>
      <c r="M36" s="1154"/>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115"/>
      <c r="BQ36" s="121"/>
      <c r="BR36" s="120"/>
      <c r="BS36" s="30"/>
      <c r="BT36" s="529"/>
    </row>
    <row r="37" spans="1:72" ht="13.5" hidden="1" customHeight="1" x14ac:dyDescent="0.35">
      <c r="A37" s="683"/>
      <c r="B37" s="47"/>
      <c r="C37" s="3" t="s">
        <v>261</v>
      </c>
      <c r="D37" s="1128"/>
      <c r="E37" s="1152"/>
      <c r="F37" s="1153"/>
      <c r="G37" s="1153"/>
      <c r="H37" s="1153"/>
      <c r="I37" s="1153"/>
      <c r="J37" s="1153"/>
      <c r="K37" s="1153"/>
      <c r="L37" s="1153"/>
      <c r="M37" s="1154"/>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283"/>
      <c r="BP37" s="465"/>
      <c r="BQ37" s="455"/>
      <c r="BR37" s="397"/>
      <c r="BS37" s="342"/>
      <c r="BT37" s="529" t="s">
        <v>371</v>
      </c>
    </row>
    <row r="38" spans="1:72" ht="13.5" hidden="1" customHeight="1" x14ac:dyDescent="0.35">
      <c r="A38" s="683"/>
      <c r="B38" s="47"/>
      <c r="C38" s="3" t="s">
        <v>545</v>
      </c>
      <c r="D38" s="1128"/>
      <c r="E38" s="1152"/>
      <c r="F38" s="1153"/>
      <c r="G38" s="1153"/>
      <c r="H38" s="1153"/>
      <c r="I38" s="1153"/>
      <c r="J38" s="1153"/>
      <c r="K38" s="1153"/>
      <c r="L38" s="1153"/>
      <c r="M38" s="1154"/>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283"/>
      <c r="BP38" s="113"/>
      <c r="BQ38" s="156">
        <v>290</v>
      </c>
      <c r="BR38" s="119">
        <v>400</v>
      </c>
      <c r="BS38" s="13">
        <v>290</v>
      </c>
      <c r="BT38" s="529"/>
    </row>
    <row r="39" spans="1:72" ht="13.5" hidden="1" customHeight="1" x14ac:dyDescent="0.35">
      <c r="A39" s="683"/>
      <c r="B39" s="47"/>
      <c r="C39" s="3" t="s">
        <v>628</v>
      </c>
      <c r="D39" s="1128"/>
      <c r="E39" s="1152"/>
      <c r="F39" s="1153"/>
      <c r="G39" s="1153"/>
      <c r="H39" s="1153"/>
      <c r="I39" s="1153"/>
      <c r="J39" s="1153"/>
      <c r="K39" s="1153"/>
      <c r="L39" s="1153"/>
      <c r="M39" s="1154"/>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8"/>
      <c r="BG39" s="117"/>
      <c r="BH39" s="870"/>
      <c r="BI39" s="858"/>
      <c r="BJ39" s="719"/>
      <c r="BK39" s="30"/>
      <c r="BL39" s="121"/>
      <c r="BM39" s="858"/>
      <c r="BN39" s="719"/>
      <c r="BO39" s="116"/>
      <c r="BP39" s="465"/>
      <c r="BQ39" s="121"/>
      <c r="BR39" s="120"/>
      <c r="BS39" s="30"/>
      <c r="BT39" s="529"/>
    </row>
    <row r="40" spans="1:72" ht="13.5" hidden="1" customHeight="1" x14ac:dyDescent="0.35">
      <c r="A40" s="683"/>
      <c r="B40" s="47"/>
      <c r="C40" s="3" t="s">
        <v>1271</v>
      </c>
      <c r="D40" s="1128"/>
      <c r="E40" s="1152"/>
      <c r="F40" s="1153"/>
      <c r="G40" s="1153"/>
      <c r="H40" s="1153"/>
      <c r="I40" s="1153"/>
      <c r="J40" s="1153"/>
      <c r="K40" s="1153"/>
      <c r="L40" s="1153"/>
      <c r="M40" s="1154"/>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9"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c r="BP40" s="113"/>
      <c r="BQ40" s="112" t="str">
        <f>CONCATENATE(BQ38*1.5, " (x1.5)")</f>
        <v>435 (x1.5)</v>
      </c>
      <c r="BR40" s="111" t="str">
        <f>CONCATENATE(BR38*1.25, " (x1.25)")</f>
        <v>500 (x1.25)</v>
      </c>
      <c r="BS40" s="16" t="str">
        <f>CONCATENATE(BS38*1.5, " (x1.5)")</f>
        <v>435 (x1.5)</v>
      </c>
      <c r="BT40" s="595" t="s">
        <v>1096</v>
      </c>
    </row>
    <row r="41" spans="1:72" ht="13.5" hidden="1" customHeight="1" x14ac:dyDescent="0.35">
      <c r="A41" s="683"/>
      <c r="B41" s="47"/>
      <c r="C41" s="3" t="s">
        <v>1272</v>
      </c>
      <c r="D41" s="1128"/>
      <c r="E41" s="1152"/>
      <c r="F41" s="1153"/>
      <c r="G41" s="1153"/>
      <c r="H41" s="1153"/>
      <c r="I41" s="1153"/>
      <c r="J41" s="1153"/>
      <c r="K41" s="1153"/>
      <c r="L41" s="1153"/>
      <c r="M41" s="1154"/>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9"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CONCATENATE(BN38*2, " (x2)")</f>
        <v>796 (x2)</v>
      </c>
      <c r="BO41" s="114"/>
      <c r="BP41" s="113"/>
      <c r="BQ41" s="112" t="str">
        <f>CONCATENATE(BQ38*2, " (x2)")</f>
        <v>580 (x2)</v>
      </c>
      <c r="BR41" s="111" t="str">
        <f>CONCATENATE(BR38*2, " (x2)")</f>
        <v>800 (x2)</v>
      </c>
      <c r="BS41" s="16" t="str">
        <f>CONCATENATE(BS38*2, " (x2)")</f>
        <v>580 (x2)</v>
      </c>
      <c r="BT41" s="595"/>
    </row>
    <row r="42" spans="1:72" ht="13.5" hidden="1" customHeight="1" x14ac:dyDescent="0.35">
      <c r="A42" s="683"/>
      <c r="B42" s="47"/>
      <c r="C42" s="3" t="s">
        <v>1273</v>
      </c>
      <c r="D42" s="1128"/>
      <c r="E42" s="1152"/>
      <c r="F42" s="1153"/>
      <c r="G42" s="1153"/>
      <c r="H42" s="1153"/>
      <c r="I42" s="1153"/>
      <c r="J42" s="1153"/>
      <c r="K42" s="1153"/>
      <c r="L42" s="1153"/>
      <c r="M42" s="1154"/>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9" t="s">
        <v>1275</v>
      </c>
      <c r="BE42" s="177" t="s">
        <v>1275</v>
      </c>
      <c r="BF42" s="391"/>
      <c r="BG42" s="111"/>
      <c r="BH42" s="503"/>
      <c r="BI42" s="111" t="s">
        <v>1275</v>
      </c>
      <c r="BJ42" s="718" t="s">
        <v>1275</v>
      </c>
      <c r="BK42" s="718" t="s">
        <v>1275</v>
      </c>
      <c r="BL42" s="112" t="s">
        <v>1275</v>
      </c>
      <c r="BM42" s="391"/>
      <c r="BN42" s="718" t="s">
        <v>1275</v>
      </c>
      <c r="BO42" s="114"/>
      <c r="BP42" s="113"/>
      <c r="BQ42" s="112" t="s">
        <v>1275</v>
      </c>
      <c r="BR42" s="111" t="s">
        <v>1275</v>
      </c>
      <c r="BS42" s="16" t="s">
        <v>1275</v>
      </c>
      <c r="BT42" s="595"/>
    </row>
    <row r="43" spans="1:72" ht="13.5" hidden="1" customHeight="1" x14ac:dyDescent="0.35">
      <c r="A43" s="683"/>
      <c r="B43" s="47"/>
      <c r="C43" s="1105" t="s">
        <v>626</v>
      </c>
      <c r="D43" s="1128"/>
      <c r="E43" s="1152"/>
      <c r="F43" s="1153"/>
      <c r="G43" s="1153"/>
      <c r="H43" s="1153"/>
      <c r="I43" s="1153"/>
      <c r="J43" s="1153"/>
      <c r="K43" s="1153"/>
      <c r="L43" s="1153"/>
      <c r="M43" s="1154"/>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80"/>
      <c r="BE43" s="527"/>
      <c r="BF43" s="859"/>
      <c r="BG43" s="117"/>
      <c r="BH43" s="533"/>
      <c r="BI43" s="859"/>
      <c r="BJ43" s="720"/>
      <c r="BK43" s="780"/>
      <c r="BL43" s="533"/>
      <c r="BM43" s="859"/>
      <c r="BN43" s="720"/>
      <c r="BO43" s="114"/>
      <c r="BP43" s="113"/>
      <c r="BQ43" s="533"/>
      <c r="BR43" s="117"/>
      <c r="BS43" s="29"/>
      <c r="BT43" s="530"/>
    </row>
    <row r="44" spans="1:72" ht="13.5" hidden="1" customHeight="1" x14ac:dyDescent="0.35">
      <c r="A44" s="683"/>
      <c r="B44" s="47"/>
      <c r="C44" s="3" t="s">
        <v>259</v>
      </c>
      <c r="D44" s="1128"/>
      <c r="E44" s="1152"/>
      <c r="F44" s="1153"/>
      <c r="G44" s="1153"/>
      <c r="H44" s="1153"/>
      <c r="I44" s="1153"/>
      <c r="J44" s="1153"/>
      <c r="K44" s="1153"/>
      <c r="L44" s="1153"/>
      <c r="M44" s="1154"/>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81" t="s">
        <v>7</v>
      </c>
      <c r="BE44" s="464" t="s">
        <v>7</v>
      </c>
      <c r="BF44" s="314" t="s">
        <v>7</v>
      </c>
      <c r="BG44" s="133" t="s">
        <v>7</v>
      </c>
      <c r="BH44" s="260" t="s">
        <v>7</v>
      </c>
      <c r="BI44" s="314" t="s">
        <v>7</v>
      </c>
      <c r="BJ44" s="721" t="s">
        <v>7</v>
      </c>
      <c r="BK44" s="781" t="s">
        <v>7</v>
      </c>
      <c r="BL44" s="260" t="s">
        <v>7</v>
      </c>
      <c r="BM44" s="314" t="s">
        <v>7</v>
      </c>
      <c r="BN44" s="721" t="s">
        <v>7</v>
      </c>
      <c r="BO44" s="134"/>
      <c r="BP44" s="712"/>
      <c r="BQ44" s="260" t="s">
        <v>7</v>
      </c>
      <c r="BR44" s="111" t="s">
        <v>7</v>
      </c>
      <c r="BS44" s="26" t="s">
        <v>7</v>
      </c>
      <c r="BT44" s="529"/>
    </row>
    <row r="45" spans="1:72" ht="13.5" hidden="1" customHeight="1" x14ac:dyDescent="0.35">
      <c r="A45" s="683"/>
      <c r="B45" s="47"/>
      <c r="C45" s="3" t="s">
        <v>264</v>
      </c>
      <c r="D45" s="1128"/>
      <c r="E45" s="1152"/>
      <c r="F45" s="1153"/>
      <c r="G45" s="1153"/>
      <c r="H45" s="1153"/>
      <c r="I45" s="1153"/>
      <c r="J45" s="1153"/>
      <c r="K45" s="1153"/>
      <c r="L45" s="1153"/>
      <c r="M45" s="1154"/>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2" t="s">
        <v>263</v>
      </c>
      <c r="BE45" s="36" t="s">
        <v>263</v>
      </c>
      <c r="BF45" s="340" t="s">
        <v>263</v>
      </c>
      <c r="BG45" s="119" t="s">
        <v>263</v>
      </c>
      <c r="BH45" s="102" t="s">
        <v>263</v>
      </c>
      <c r="BI45" s="340" t="s">
        <v>263</v>
      </c>
      <c r="BJ45" s="722" t="s">
        <v>263</v>
      </c>
      <c r="BK45" s="782" t="s">
        <v>263</v>
      </c>
      <c r="BL45" s="102" t="s">
        <v>263</v>
      </c>
      <c r="BM45" s="340" t="s">
        <v>263</v>
      </c>
      <c r="BN45" s="722" t="s">
        <v>263</v>
      </c>
      <c r="BO45" s="116"/>
      <c r="BP45" s="115"/>
      <c r="BQ45" s="102" t="s">
        <v>263</v>
      </c>
      <c r="BR45" s="119" t="s">
        <v>263</v>
      </c>
      <c r="BS45" s="13" t="s">
        <v>263</v>
      </c>
      <c r="BT45" s="529"/>
    </row>
    <row r="46" spans="1:72" ht="13.5" hidden="1" customHeight="1" x14ac:dyDescent="0.35">
      <c r="A46" s="683"/>
      <c r="B46" s="47"/>
      <c r="C46" s="3" t="s">
        <v>100</v>
      </c>
      <c r="D46" s="1128"/>
      <c r="E46" s="1152"/>
      <c r="F46" s="1153"/>
      <c r="G46" s="1153"/>
      <c r="H46" s="1153"/>
      <c r="I46" s="1153"/>
      <c r="J46" s="1153"/>
      <c r="K46" s="1153"/>
      <c r="L46" s="1153"/>
      <c r="M46" s="1154"/>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9" t="s">
        <v>17</v>
      </c>
      <c r="BE46" s="177" t="s">
        <v>17</v>
      </c>
      <c r="BF46" s="377" t="s">
        <v>17</v>
      </c>
      <c r="BG46" s="111" t="s">
        <v>17</v>
      </c>
      <c r="BH46" s="112" t="s">
        <v>17</v>
      </c>
      <c r="BI46" s="377" t="s">
        <v>17</v>
      </c>
      <c r="BJ46" s="718" t="s">
        <v>17</v>
      </c>
      <c r="BK46" s="779" t="s">
        <v>17</v>
      </c>
      <c r="BL46" s="112" t="s">
        <v>17</v>
      </c>
      <c r="BM46" s="377" t="s">
        <v>17</v>
      </c>
      <c r="BN46" s="718" t="s">
        <v>17</v>
      </c>
      <c r="BO46" s="114"/>
      <c r="BP46" s="113"/>
      <c r="BQ46" s="112" t="s">
        <v>17</v>
      </c>
      <c r="BR46" s="113" t="s">
        <v>17</v>
      </c>
      <c r="BS46" s="20" t="s">
        <v>17</v>
      </c>
      <c r="BT46" s="529"/>
    </row>
    <row r="47" spans="1:72" ht="13.5" hidden="1" customHeight="1" x14ac:dyDescent="0.35">
      <c r="A47" s="683"/>
      <c r="B47" s="47"/>
      <c r="C47" s="1105" t="s">
        <v>632</v>
      </c>
      <c r="D47" s="1128"/>
      <c r="E47" s="1152"/>
      <c r="F47" s="1153"/>
      <c r="G47" s="1153"/>
      <c r="H47" s="1153"/>
      <c r="I47" s="1153"/>
      <c r="J47" s="1153"/>
      <c r="K47" s="1153"/>
      <c r="L47" s="1153"/>
      <c r="M47" s="1154"/>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hidden="1" customHeight="1" x14ac:dyDescent="0.35">
      <c r="A48" s="683"/>
      <c r="B48" s="47"/>
      <c r="C48" s="518" t="s">
        <v>642</v>
      </c>
      <c r="D48" s="1128"/>
      <c r="E48" s="1152"/>
      <c r="F48" s="1153"/>
      <c r="G48" s="1153"/>
      <c r="H48" s="1153"/>
      <c r="I48" s="1153"/>
      <c r="J48" s="1153"/>
      <c r="K48" s="1153"/>
      <c r="L48" s="1153"/>
      <c r="M48" s="1154"/>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283"/>
      <c r="BP48" s="465"/>
      <c r="BQ48" s="455"/>
      <c r="BR48" s="117"/>
      <c r="BS48" s="29"/>
      <c r="BT48" s="529"/>
    </row>
    <row r="49" spans="1:72" ht="13.5" hidden="1" customHeight="1" x14ac:dyDescent="0.35">
      <c r="A49" s="683"/>
      <c r="B49" s="47"/>
      <c r="C49" s="3" t="s">
        <v>158</v>
      </c>
      <c r="D49" s="1128"/>
      <c r="E49" s="1152"/>
      <c r="F49" s="1153"/>
      <c r="G49" s="1153"/>
      <c r="H49" s="1153"/>
      <c r="I49" s="1153"/>
      <c r="J49" s="1153"/>
      <c r="K49" s="1153"/>
      <c r="L49" s="1153"/>
      <c r="M49" s="1154"/>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81" t="s">
        <v>8</v>
      </c>
      <c r="BE49" s="464" t="s">
        <v>8</v>
      </c>
      <c r="BF49" s="314" t="s">
        <v>8</v>
      </c>
      <c r="BG49" s="133" t="s">
        <v>8</v>
      </c>
      <c r="BH49" s="260" t="s">
        <v>8</v>
      </c>
      <c r="BI49" s="314" t="s">
        <v>8</v>
      </c>
      <c r="BJ49" s="721" t="s">
        <v>8</v>
      </c>
      <c r="BK49" s="26" t="s">
        <v>8</v>
      </c>
      <c r="BL49" s="260" t="s">
        <v>8</v>
      </c>
      <c r="BM49" s="314" t="s">
        <v>8</v>
      </c>
      <c r="BN49" s="721" t="s">
        <v>8</v>
      </c>
      <c r="BO49" s="134"/>
      <c r="BP49" s="712"/>
      <c r="BQ49" s="260" t="s">
        <v>8</v>
      </c>
      <c r="BR49" s="133" t="s">
        <v>8</v>
      </c>
      <c r="BS49" s="26" t="s">
        <v>8</v>
      </c>
      <c r="BT49" s="531"/>
    </row>
    <row r="50" spans="1:72" ht="13.5" hidden="1" customHeight="1" thickTop="1" x14ac:dyDescent="0.35">
      <c r="A50" s="683"/>
      <c r="B50" s="47"/>
      <c r="C50" s="1104" t="s">
        <v>641</v>
      </c>
      <c r="D50" s="1128"/>
      <c r="E50" s="1152"/>
      <c r="F50" s="1153"/>
      <c r="G50" s="1153"/>
      <c r="H50" s="1153"/>
      <c r="I50" s="1153"/>
      <c r="J50" s="1153"/>
      <c r="K50" s="1153"/>
      <c r="L50" s="1153"/>
      <c r="M50" s="1154"/>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9" t="s">
        <v>685</v>
      </c>
      <c r="BE50" s="280" t="s">
        <v>685</v>
      </c>
      <c r="BF50" s="378" t="s">
        <v>8</v>
      </c>
      <c r="BG50" s="113" t="s">
        <v>8</v>
      </c>
      <c r="BH50" s="114" t="s">
        <v>8</v>
      </c>
      <c r="BI50" s="378" t="s">
        <v>8</v>
      </c>
      <c r="BJ50" s="718" t="s">
        <v>8</v>
      </c>
      <c r="BK50" s="16" t="s">
        <v>8</v>
      </c>
      <c r="BL50" s="112" t="s">
        <v>685</v>
      </c>
      <c r="BM50" s="378" t="s">
        <v>8</v>
      </c>
      <c r="BN50" s="546" t="s">
        <v>8</v>
      </c>
      <c r="BO50" s="283"/>
      <c r="BP50" s="465"/>
      <c r="BQ50" s="156" t="s">
        <v>685</v>
      </c>
      <c r="BR50" s="494"/>
      <c r="BS50" s="334"/>
      <c r="BT50" s="531" t="s">
        <v>686</v>
      </c>
    </row>
    <row r="51" spans="1:72" ht="13.5" hidden="1" customHeight="1" x14ac:dyDescent="0.35">
      <c r="A51" s="683"/>
      <c r="B51" s="47"/>
      <c r="C51" s="3" t="s">
        <v>12</v>
      </c>
      <c r="D51" s="1128"/>
      <c r="E51" s="1152"/>
      <c r="F51" s="1153"/>
      <c r="G51" s="1153"/>
      <c r="H51" s="1153"/>
      <c r="I51" s="1153"/>
      <c r="J51" s="1153"/>
      <c r="K51" s="1153"/>
      <c r="L51" s="1153"/>
      <c r="M51" s="1154"/>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81" t="s">
        <v>17</v>
      </c>
      <c r="BE51" s="36" t="s">
        <v>265</v>
      </c>
      <c r="BF51" s="314" t="s">
        <v>17</v>
      </c>
      <c r="BG51" s="133" t="s">
        <v>17</v>
      </c>
      <c r="BH51" s="260" t="s">
        <v>17</v>
      </c>
      <c r="BI51" s="314" t="s">
        <v>17</v>
      </c>
      <c r="BJ51" s="721" t="s">
        <v>17</v>
      </c>
      <c r="BK51" s="26" t="s">
        <v>17</v>
      </c>
      <c r="BL51" s="102" t="s">
        <v>265</v>
      </c>
      <c r="BM51" s="314" t="s">
        <v>17</v>
      </c>
      <c r="BN51" s="721" t="s">
        <v>17</v>
      </c>
      <c r="BO51" s="134"/>
      <c r="BP51" s="712"/>
      <c r="BQ51" s="102" t="s">
        <v>265</v>
      </c>
      <c r="BR51" s="133" t="s">
        <v>17</v>
      </c>
      <c r="BS51" s="26" t="s">
        <v>17</v>
      </c>
      <c r="BT51" s="530" t="s">
        <v>569</v>
      </c>
    </row>
    <row r="52" spans="1:72" ht="13.5" hidden="1" customHeight="1" x14ac:dyDescent="0.35">
      <c r="A52" s="683"/>
      <c r="B52" s="47"/>
      <c r="C52" s="3" t="s">
        <v>13</v>
      </c>
      <c r="D52" s="1128"/>
      <c r="E52" s="1152"/>
      <c r="F52" s="1153"/>
      <c r="G52" s="1153"/>
      <c r="H52" s="1153"/>
      <c r="I52" s="1153"/>
      <c r="J52" s="1153"/>
      <c r="K52" s="1153"/>
      <c r="L52" s="1153"/>
      <c r="M52" s="1154"/>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81" t="s">
        <v>8</v>
      </c>
      <c r="BE52" s="464" t="s">
        <v>8</v>
      </c>
      <c r="BF52" s="314" t="s">
        <v>8</v>
      </c>
      <c r="BG52" s="133" t="s">
        <v>8</v>
      </c>
      <c r="BH52" s="260" t="s">
        <v>8</v>
      </c>
      <c r="BI52" s="314" t="s">
        <v>8</v>
      </c>
      <c r="BJ52" s="721" t="s">
        <v>8</v>
      </c>
      <c r="BK52" s="26" t="s">
        <v>8</v>
      </c>
      <c r="BL52" s="260" t="s">
        <v>8</v>
      </c>
      <c r="BM52" s="314" t="s">
        <v>8</v>
      </c>
      <c r="BN52" s="721" t="s">
        <v>8</v>
      </c>
      <c r="BO52" s="134"/>
      <c r="BP52" s="712"/>
      <c r="BQ52" s="260" t="s">
        <v>8</v>
      </c>
      <c r="BR52" s="133" t="s">
        <v>8</v>
      </c>
      <c r="BS52" s="26" t="s">
        <v>8</v>
      </c>
      <c r="BT52" s="529"/>
    </row>
    <row r="53" spans="1:72" ht="13.5" hidden="1" customHeight="1" x14ac:dyDescent="0.35">
      <c r="A53" s="683"/>
      <c r="B53" s="47"/>
      <c r="C53" s="3" t="s">
        <v>14</v>
      </c>
      <c r="D53" s="1128"/>
      <c r="E53" s="1152"/>
      <c r="F53" s="1153"/>
      <c r="G53" s="1153"/>
      <c r="H53" s="1153"/>
      <c r="I53" s="1153"/>
      <c r="J53" s="1153"/>
      <c r="K53" s="1153"/>
      <c r="L53" s="1153"/>
      <c r="M53" s="1154"/>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81" t="s">
        <v>101</v>
      </c>
      <c r="BE53" s="464" t="s">
        <v>101</v>
      </c>
      <c r="BF53" s="314" t="s">
        <v>101</v>
      </c>
      <c r="BG53" s="133" t="s">
        <v>101</v>
      </c>
      <c r="BH53" s="260" t="s">
        <v>101</v>
      </c>
      <c r="BI53" s="314" t="s">
        <v>101</v>
      </c>
      <c r="BJ53" s="721" t="s">
        <v>101</v>
      </c>
      <c r="BK53" s="781" t="s">
        <v>101</v>
      </c>
      <c r="BL53" s="260" t="s">
        <v>101</v>
      </c>
      <c r="BM53" s="314" t="s">
        <v>101</v>
      </c>
      <c r="BN53" s="721" t="s">
        <v>101</v>
      </c>
      <c r="BO53" s="134"/>
      <c r="BP53" s="712"/>
      <c r="BQ53" s="260" t="s">
        <v>101</v>
      </c>
      <c r="BR53" s="133" t="s">
        <v>101</v>
      </c>
      <c r="BS53" s="26" t="s">
        <v>101</v>
      </c>
      <c r="BT53" s="529" t="s">
        <v>289</v>
      </c>
    </row>
    <row r="54" spans="1:72" ht="13.5" hidden="1" customHeight="1" x14ac:dyDescent="0.35">
      <c r="A54" s="683"/>
      <c r="B54" s="47"/>
      <c r="C54" s="3" t="s">
        <v>246</v>
      </c>
      <c r="D54" s="1128"/>
      <c r="E54" s="1152"/>
      <c r="F54" s="1153"/>
      <c r="G54" s="1153"/>
      <c r="H54" s="1153"/>
      <c r="I54" s="1153"/>
      <c r="J54" s="1153"/>
      <c r="K54" s="1153"/>
      <c r="L54" s="1153"/>
      <c r="M54" s="1154"/>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81" t="s">
        <v>17</v>
      </c>
      <c r="BE54" s="464" t="s">
        <v>17</v>
      </c>
      <c r="BF54" s="314" t="s">
        <v>17</v>
      </c>
      <c r="BG54" s="133" t="s">
        <v>17</v>
      </c>
      <c r="BH54" s="260" t="s">
        <v>17</v>
      </c>
      <c r="BI54" s="314" t="s">
        <v>17</v>
      </c>
      <c r="BJ54" s="721" t="s">
        <v>17</v>
      </c>
      <c r="BK54" s="26" t="s">
        <v>17</v>
      </c>
      <c r="BL54" s="260" t="s">
        <v>17</v>
      </c>
      <c r="BM54" s="314" t="s">
        <v>17</v>
      </c>
      <c r="BN54" s="721" t="s">
        <v>17</v>
      </c>
      <c r="BO54" s="134"/>
      <c r="BP54" s="712"/>
      <c r="BQ54" s="260" t="s">
        <v>17</v>
      </c>
      <c r="BR54" s="133" t="s">
        <v>17</v>
      </c>
      <c r="BS54" s="26" t="s">
        <v>17</v>
      </c>
      <c r="BT54" s="529"/>
    </row>
    <row r="55" spans="1:72" ht="13.5" hidden="1" customHeight="1" thickBot="1" x14ac:dyDescent="0.4">
      <c r="A55" s="683"/>
      <c r="B55" s="49"/>
      <c r="C55" s="66" t="s">
        <v>390</v>
      </c>
      <c r="D55" s="1128"/>
      <c r="E55" s="1152"/>
      <c r="F55" s="1153"/>
      <c r="G55" s="1153"/>
      <c r="H55" s="1153"/>
      <c r="I55" s="1153"/>
      <c r="J55" s="1153"/>
      <c r="K55" s="1153"/>
      <c r="L55" s="1153"/>
      <c r="M55" s="1154"/>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8" t="s">
        <v>8</v>
      </c>
      <c r="AS55" s="809" t="s">
        <v>8</v>
      </c>
      <c r="AT55" s="470" t="s">
        <v>8</v>
      </c>
      <c r="AU55" s="490" t="s">
        <v>8</v>
      </c>
      <c r="AV55" s="491" t="s">
        <v>8</v>
      </c>
      <c r="AW55" s="490" t="s">
        <v>8</v>
      </c>
      <c r="AX55" s="343" t="s">
        <v>8</v>
      </c>
      <c r="AY55" s="343" t="s">
        <v>8</v>
      </c>
      <c r="AZ55" s="491" t="s">
        <v>8</v>
      </c>
      <c r="BA55" s="343" t="s">
        <v>8</v>
      </c>
      <c r="BB55" s="481" t="s">
        <v>8</v>
      </c>
      <c r="BC55" s="724" t="s">
        <v>8</v>
      </c>
      <c r="BD55" s="784" t="s">
        <v>8</v>
      </c>
      <c r="BE55" s="481" t="s">
        <v>8</v>
      </c>
      <c r="BF55" s="394" t="s">
        <v>8</v>
      </c>
      <c r="BG55" s="490" t="s">
        <v>8</v>
      </c>
      <c r="BH55" s="491" t="s">
        <v>8</v>
      </c>
      <c r="BI55" s="394" t="s">
        <v>8</v>
      </c>
      <c r="BJ55" s="724" t="s">
        <v>8</v>
      </c>
      <c r="BK55" s="343" t="s">
        <v>8</v>
      </c>
      <c r="BL55" s="491" t="s">
        <v>8</v>
      </c>
      <c r="BM55" s="394" t="s">
        <v>8</v>
      </c>
      <c r="BN55" s="724" t="s">
        <v>8</v>
      </c>
      <c r="BO55" s="921"/>
      <c r="BP55" s="808"/>
      <c r="BQ55" s="491" t="s">
        <v>8</v>
      </c>
      <c r="BR55" s="808" t="s">
        <v>8</v>
      </c>
      <c r="BS55" s="809" t="s">
        <v>8</v>
      </c>
      <c r="BT55" s="532"/>
    </row>
    <row r="56" spans="1:72" ht="13.5" hidden="1" customHeight="1" thickTop="1" x14ac:dyDescent="0.35">
      <c r="A56" s="684"/>
      <c r="B56" s="330" t="s">
        <v>511</v>
      </c>
      <c r="C56" s="42" t="s">
        <v>508</v>
      </c>
      <c r="D56" s="1128"/>
      <c r="E56" s="987"/>
      <c r="F56" s="988"/>
      <c r="G56" s="988"/>
      <c r="H56" s="988"/>
      <c r="I56" s="988"/>
      <c r="J56" s="988"/>
      <c r="K56" s="988"/>
      <c r="L56" s="988"/>
      <c r="M56" s="989"/>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7"/>
      <c r="BB56" s="493"/>
      <c r="BC56" s="725"/>
      <c r="BD56" s="785"/>
      <c r="BE56" s="838"/>
      <c r="BF56" s="388"/>
      <c r="BG56" s="871"/>
      <c r="BH56" s="493"/>
      <c r="BI56" s="881"/>
      <c r="BJ56" s="725"/>
      <c r="BK56" s="785"/>
      <c r="BL56" s="901"/>
      <c r="BM56" s="388"/>
      <c r="BN56" s="725"/>
      <c r="BO56" s="929"/>
      <c r="BP56" s="891"/>
      <c r="BQ56" s="901"/>
      <c r="BR56" s="492"/>
      <c r="BS56" s="338"/>
      <c r="BT56" s="408"/>
    </row>
    <row r="57" spans="1:72" ht="13.5" hidden="1" customHeight="1" x14ac:dyDescent="0.35">
      <c r="A57" s="684"/>
      <c r="B57" s="275"/>
      <c r="C57" s="3" t="s">
        <v>509</v>
      </c>
      <c r="D57" s="1128"/>
      <c r="E57" s="987"/>
      <c r="F57" s="988"/>
      <c r="G57" s="988"/>
      <c r="H57" s="988"/>
      <c r="I57" s="988"/>
      <c r="J57" s="988"/>
      <c r="K57" s="988"/>
      <c r="L57" s="988"/>
      <c r="M57" s="989"/>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7"/>
      <c r="BB57" s="495"/>
      <c r="BC57" s="384"/>
      <c r="BD57" s="334"/>
      <c r="BE57" s="472"/>
      <c r="BF57" s="389"/>
      <c r="BG57" s="871"/>
      <c r="BH57" s="495"/>
      <c r="BI57" s="881"/>
      <c r="BJ57" s="384"/>
      <c r="BK57" s="334"/>
      <c r="BL57" s="495"/>
      <c r="BM57" s="389"/>
      <c r="BN57" s="384"/>
      <c r="BO57" s="134"/>
      <c r="BP57" s="712"/>
      <c r="BQ57" s="495"/>
      <c r="BR57" s="494"/>
      <c r="BS57" s="334"/>
      <c r="BT57" s="408"/>
    </row>
    <row r="58" spans="1:72" ht="13.5" hidden="1" customHeight="1" x14ac:dyDescent="0.35">
      <c r="A58" s="684"/>
      <c r="B58" s="331"/>
      <c r="C58" s="3" t="s">
        <v>513</v>
      </c>
      <c r="D58" s="1128"/>
      <c r="E58" s="987"/>
      <c r="F58" s="988"/>
      <c r="G58" s="988"/>
      <c r="H58" s="988"/>
      <c r="I58" s="988"/>
      <c r="J58" s="988"/>
      <c r="K58" s="988"/>
      <c r="L58" s="988"/>
      <c r="M58" s="989"/>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7"/>
      <c r="BB58" s="495"/>
      <c r="BC58" s="384"/>
      <c r="BD58" s="334"/>
      <c r="BE58" s="472"/>
      <c r="BF58" s="389"/>
      <c r="BG58" s="871"/>
      <c r="BH58" s="495"/>
      <c r="BI58" s="881"/>
      <c r="BJ58" s="384"/>
      <c r="BK58" s="334"/>
      <c r="BL58" s="495"/>
      <c r="BM58" s="389"/>
      <c r="BN58" s="384"/>
      <c r="BO58" s="134"/>
      <c r="BP58" s="712"/>
      <c r="BQ58" s="495"/>
      <c r="BR58" s="494"/>
      <c r="BS58" s="334"/>
      <c r="BT58" s="408"/>
    </row>
    <row r="59" spans="1:72" ht="13.5" hidden="1" customHeight="1" x14ac:dyDescent="0.35">
      <c r="A59" s="684"/>
      <c r="B59" s="331"/>
      <c r="C59" s="3" t="s">
        <v>514</v>
      </c>
      <c r="D59" s="1128"/>
      <c r="E59" s="987"/>
      <c r="F59" s="988"/>
      <c r="G59" s="988"/>
      <c r="H59" s="988"/>
      <c r="I59" s="988"/>
      <c r="J59" s="988"/>
      <c r="K59" s="988"/>
      <c r="L59" s="988"/>
      <c r="M59" s="989"/>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7"/>
      <c r="BB59" s="495"/>
      <c r="BC59" s="384"/>
      <c r="BD59" s="334"/>
      <c r="BE59" s="472"/>
      <c r="BF59" s="389"/>
      <c r="BG59" s="871"/>
      <c r="BH59" s="495"/>
      <c r="BI59" s="881"/>
      <c r="BJ59" s="384"/>
      <c r="BK59" s="334"/>
      <c r="BL59" s="495"/>
      <c r="BM59" s="389"/>
      <c r="BN59" s="384"/>
      <c r="BO59" s="134"/>
      <c r="BP59" s="712"/>
      <c r="BQ59" s="495"/>
      <c r="BR59" s="494"/>
      <c r="BS59" s="334"/>
      <c r="BT59" s="408"/>
    </row>
    <row r="60" spans="1:72" ht="13.5" hidden="1" customHeight="1" x14ac:dyDescent="0.35">
      <c r="A60" s="684"/>
      <c r="B60" s="275"/>
      <c r="C60" s="3" t="s">
        <v>510</v>
      </c>
      <c r="D60" s="1128"/>
      <c r="E60" s="987"/>
      <c r="F60" s="988"/>
      <c r="G60" s="988"/>
      <c r="H60" s="988"/>
      <c r="I60" s="988"/>
      <c r="J60" s="988"/>
      <c r="K60" s="988"/>
      <c r="L60" s="988"/>
      <c r="M60" s="989"/>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7"/>
      <c r="BB60" s="495"/>
      <c r="BC60" s="384"/>
      <c r="BD60" s="334"/>
      <c r="BE60" s="472"/>
      <c r="BF60" s="389"/>
      <c r="BG60" s="871"/>
      <c r="BH60" s="495"/>
      <c r="BI60" s="881"/>
      <c r="BJ60" s="384"/>
      <c r="BK60" s="334"/>
      <c r="BL60" s="495"/>
      <c r="BM60" s="389"/>
      <c r="BN60" s="384"/>
      <c r="BO60" s="134"/>
      <c r="BP60" s="712"/>
      <c r="BQ60" s="495"/>
      <c r="BR60" s="494"/>
      <c r="BS60" s="334"/>
      <c r="BT60" s="408"/>
    </row>
    <row r="61" spans="1:72" ht="13.5" hidden="1" customHeight="1" x14ac:dyDescent="0.35">
      <c r="A61" s="684"/>
      <c r="B61" s="335"/>
      <c r="C61" s="398" t="s">
        <v>512</v>
      </c>
      <c r="D61" s="1128"/>
      <c r="E61" s="987"/>
      <c r="F61" s="988"/>
      <c r="G61" s="988"/>
      <c r="H61" s="988"/>
      <c r="I61" s="988"/>
      <c r="J61" s="988"/>
      <c r="K61" s="988"/>
      <c r="L61" s="988"/>
      <c r="M61" s="989"/>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7"/>
      <c r="BB61" s="495"/>
      <c r="BC61" s="384"/>
      <c r="BD61" s="334"/>
      <c r="BE61" s="472"/>
      <c r="BF61" s="389"/>
      <c r="BG61" s="871"/>
      <c r="BH61" s="495"/>
      <c r="BI61" s="881"/>
      <c r="BJ61" s="384"/>
      <c r="BK61" s="334"/>
      <c r="BL61" s="495"/>
      <c r="BM61" s="389"/>
      <c r="BN61" s="384"/>
      <c r="BO61" s="134"/>
      <c r="BP61" s="712"/>
      <c r="BQ61" s="495"/>
      <c r="BR61" s="494"/>
      <c r="BS61" s="334"/>
      <c r="BT61" s="408"/>
    </row>
    <row r="62" spans="1:72" ht="13.5" hidden="1" customHeight="1" thickBot="1" x14ac:dyDescent="0.4">
      <c r="A62" s="684"/>
      <c r="B62" s="332"/>
      <c r="C62" s="62" t="s">
        <v>253</v>
      </c>
      <c r="D62" s="1128"/>
      <c r="E62" s="990"/>
      <c r="F62" s="991"/>
      <c r="G62" s="991"/>
      <c r="H62" s="991"/>
      <c r="I62" s="991"/>
      <c r="J62" s="991"/>
      <c r="K62" s="991"/>
      <c r="L62" s="991"/>
      <c r="M62" s="992"/>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7"/>
      <c r="BB62" s="136"/>
      <c r="BC62" s="385"/>
      <c r="BD62" s="80"/>
      <c r="BE62" s="473"/>
      <c r="BF62" s="390"/>
      <c r="BG62" s="871"/>
      <c r="BH62" s="136"/>
      <c r="BI62" s="881"/>
      <c r="BJ62" s="385"/>
      <c r="BK62" s="80"/>
      <c r="BL62" s="136"/>
      <c r="BM62" s="390"/>
      <c r="BN62" s="385"/>
      <c r="BO62" s="921"/>
      <c r="BP62" s="808"/>
      <c r="BQ62" s="136"/>
      <c r="BR62" s="135"/>
      <c r="BS62" s="80"/>
      <c r="BT62" s="408"/>
    </row>
    <row r="63" spans="1:72" ht="13.5" hidden="1" customHeight="1" thickTop="1" x14ac:dyDescent="0.35">
      <c r="A63" s="683"/>
      <c r="B63" s="41" t="s">
        <v>21</v>
      </c>
      <c r="C63" s="42" t="s">
        <v>163</v>
      </c>
      <c r="D63" s="1128"/>
      <c r="E63" s="1155" t="s">
        <v>457</v>
      </c>
      <c r="F63" s="1156"/>
      <c r="G63" s="1156"/>
      <c r="H63" s="1156"/>
      <c r="I63" s="1156"/>
      <c r="J63" s="1156"/>
      <c r="K63" s="1156"/>
      <c r="L63" s="1156"/>
      <c r="M63" s="1157"/>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8" t="s">
        <v>24</v>
      </c>
      <c r="BE63" s="839" t="s">
        <v>24</v>
      </c>
      <c r="BF63" s="376" t="s">
        <v>24</v>
      </c>
      <c r="BG63" s="109" t="s">
        <v>24</v>
      </c>
      <c r="BH63" s="149" t="s">
        <v>24</v>
      </c>
      <c r="BI63" s="376" t="s">
        <v>24</v>
      </c>
      <c r="BJ63" s="726" t="s">
        <v>24</v>
      </c>
      <c r="BK63" s="44" t="s">
        <v>24</v>
      </c>
      <c r="BL63" s="376" t="s">
        <v>24</v>
      </c>
      <c r="BM63" s="376" t="s">
        <v>24</v>
      </c>
      <c r="BN63" s="726" t="s">
        <v>24</v>
      </c>
      <c r="BO63" s="110"/>
      <c r="BP63" s="510"/>
      <c r="BQ63" s="110" t="s">
        <v>24</v>
      </c>
      <c r="BR63" s="131" t="s">
        <v>24</v>
      </c>
      <c r="BS63" s="44" t="s">
        <v>24</v>
      </c>
      <c r="BT63" s="409"/>
    </row>
    <row r="64" spans="1:72" ht="13.5" hidden="1" customHeight="1" x14ac:dyDescent="0.35">
      <c r="A64" s="683"/>
      <c r="B64" s="457"/>
      <c r="C64" s="446" t="s">
        <v>661</v>
      </c>
      <c r="D64" s="1128"/>
      <c r="E64" s="1152"/>
      <c r="F64" s="1153"/>
      <c r="G64" s="1153"/>
      <c r="H64" s="1153"/>
      <c r="I64" s="1153"/>
      <c r="J64" s="1153"/>
      <c r="K64" s="1153"/>
      <c r="L64" s="1153"/>
      <c r="M64" s="1154"/>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6" t="s">
        <v>17</v>
      </c>
      <c r="BE64" s="840" t="s">
        <v>17</v>
      </c>
      <c r="BF64" s="395" t="s">
        <v>17</v>
      </c>
      <c r="BG64" s="292" t="s">
        <v>17</v>
      </c>
      <c r="BH64" s="227" t="s">
        <v>17</v>
      </c>
      <c r="BI64" s="395" t="s">
        <v>17</v>
      </c>
      <c r="BJ64" s="727" t="s">
        <v>596</v>
      </c>
      <c r="BK64" s="15" t="s">
        <v>17</v>
      </c>
      <c r="BL64" s="395" t="s">
        <v>17</v>
      </c>
      <c r="BM64" s="395" t="s">
        <v>17</v>
      </c>
      <c r="BN64" s="727" t="s">
        <v>596</v>
      </c>
      <c r="BO64" s="318"/>
      <c r="BP64" s="891"/>
      <c r="BQ64" s="318" t="s">
        <v>17</v>
      </c>
      <c r="BR64" s="496" t="s">
        <v>596</v>
      </c>
      <c r="BS64" s="15" t="s">
        <v>17</v>
      </c>
      <c r="BT64" s="453" t="s">
        <v>687</v>
      </c>
    </row>
    <row r="65" spans="1:73" ht="13.5" hidden="1" customHeight="1" x14ac:dyDescent="0.35">
      <c r="A65" s="683"/>
      <c r="B65" s="49"/>
      <c r="C65" s="66" t="s">
        <v>434</v>
      </c>
      <c r="D65" s="1128"/>
      <c r="E65" s="1152"/>
      <c r="F65" s="1153"/>
      <c r="G65" s="1153"/>
      <c r="H65" s="1153"/>
      <c r="I65" s="1153"/>
      <c r="J65" s="1153"/>
      <c r="K65" s="1153"/>
      <c r="L65" s="1153"/>
      <c r="M65" s="1154"/>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81" t="s">
        <v>8</v>
      </c>
      <c r="BE65" s="478" t="s">
        <v>8</v>
      </c>
      <c r="BF65" s="314" t="s">
        <v>8</v>
      </c>
      <c r="BG65" s="133" t="s">
        <v>8</v>
      </c>
      <c r="BH65" s="260" t="s">
        <v>8</v>
      </c>
      <c r="BI65" s="314" t="s">
        <v>8</v>
      </c>
      <c r="BJ65" s="721" t="s">
        <v>8</v>
      </c>
      <c r="BK65" s="16" t="s">
        <v>8</v>
      </c>
      <c r="BL65" s="134" t="s">
        <v>8</v>
      </c>
      <c r="BM65" s="314" t="s">
        <v>8</v>
      </c>
      <c r="BN65" s="721" t="s">
        <v>8</v>
      </c>
      <c r="BO65" s="134"/>
      <c r="BP65" s="712"/>
      <c r="BQ65" s="134" t="s">
        <v>8</v>
      </c>
      <c r="BR65" s="133" t="s">
        <v>8</v>
      </c>
      <c r="BS65" s="26" t="s">
        <v>8</v>
      </c>
      <c r="BT65" s="410"/>
    </row>
    <row r="66" spans="1:73" ht="13.5" hidden="1" customHeight="1" thickTop="1" x14ac:dyDescent="0.35">
      <c r="A66" s="683"/>
      <c r="B66" s="49"/>
      <c r="C66" s="1102" t="s">
        <v>1280</v>
      </c>
      <c r="D66" s="1128"/>
      <c r="E66" s="1152"/>
      <c r="F66" s="1153"/>
      <c r="G66" s="1153"/>
      <c r="H66" s="1153"/>
      <c r="I66" s="1153"/>
      <c r="J66" s="1153"/>
      <c r="K66" s="1153"/>
      <c r="L66" s="1153"/>
      <c r="M66" s="1154"/>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3" t="s">
        <v>8</v>
      </c>
      <c r="BD66" s="1070" t="s">
        <v>8</v>
      </c>
      <c r="BE66" s="841" t="s">
        <v>8</v>
      </c>
      <c r="BF66" s="701" t="s">
        <v>8</v>
      </c>
      <c r="BG66" s="605" t="s">
        <v>412</v>
      </c>
      <c r="BH66" s="507" t="s">
        <v>8</v>
      </c>
      <c r="BI66" s="701" t="s">
        <v>8</v>
      </c>
      <c r="BJ66" s="733" t="s">
        <v>8</v>
      </c>
      <c r="BK66" s="693" t="s">
        <v>8</v>
      </c>
      <c r="BL66" s="127" t="s">
        <v>8</v>
      </c>
      <c r="BM66" s="701" t="s">
        <v>8</v>
      </c>
      <c r="BN66" s="605" t="s">
        <v>8</v>
      </c>
      <c r="BO66" s="902"/>
      <c r="BP66" s="892"/>
      <c r="BQ66" s="902" t="s">
        <v>8</v>
      </c>
      <c r="BR66" s="600"/>
      <c r="BS66" s="602"/>
      <c r="BT66" s="410"/>
    </row>
    <row r="67" spans="1:73" ht="13.5" hidden="1" customHeight="1" thickBot="1" x14ac:dyDescent="0.4">
      <c r="A67" s="1032"/>
      <c r="B67" s="49"/>
      <c r="C67" s="398" t="s">
        <v>1510</v>
      </c>
      <c r="D67" s="1128"/>
      <c r="E67" s="1152"/>
      <c r="F67" s="1153"/>
      <c r="G67" s="1153"/>
      <c r="H67" s="1153"/>
      <c r="I67" s="1153"/>
      <c r="J67" s="1153"/>
      <c r="K67" s="1153"/>
      <c r="L67" s="1153"/>
      <c r="M67" s="1154"/>
      <c r="N67" s="124"/>
      <c r="O67" s="54"/>
      <c r="P67" s="125"/>
      <c r="Q67" s="124"/>
      <c r="R67" s="54"/>
      <c r="S67" s="54"/>
      <c r="T67" s="125"/>
      <c r="U67" s="122"/>
      <c r="V67" s="63"/>
      <c r="W67" s="63"/>
      <c r="X67" s="194"/>
      <c r="Y67" s="122"/>
      <c r="Z67" s="63"/>
      <c r="AA67" s="63"/>
      <c r="AB67" s="63"/>
      <c r="AC67" s="125"/>
      <c r="AD67" s="1036" t="s">
        <v>8</v>
      </c>
      <c r="AE67" s="228" t="s">
        <v>8</v>
      </c>
      <c r="AF67" s="228" t="s">
        <v>8</v>
      </c>
      <c r="AG67" s="228" t="s">
        <v>8</v>
      </c>
      <c r="AH67" s="229" t="s">
        <v>8</v>
      </c>
      <c r="AI67" s="228" t="s">
        <v>8</v>
      </c>
      <c r="AJ67" s="228" t="s">
        <v>8</v>
      </c>
      <c r="AK67" s="1037" t="s">
        <v>8</v>
      </c>
      <c r="AL67" s="1038" t="s">
        <v>17</v>
      </c>
      <c r="AM67" s="1039" t="s">
        <v>17</v>
      </c>
      <c r="AN67" s="1039" t="s">
        <v>17</v>
      </c>
      <c r="AO67" s="1039" t="s">
        <v>17</v>
      </c>
      <c r="AP67" s="1034" t="s">
        <v>17</v>
      </c>
      <c r="AQ67" s="1039"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7" t="s">
        <v>8</v>
      </c>
      <c r="BE67" s="474" t="s">
        <v>8</v>
      </c>
      <c r="BF67" s="860" t="s">
        <v>17</v>
      </c>
      <c r="BG67" s="497" t="s">
        <v>17</v>
      </c>
      <c r="BH67" s="498" t="s">
        <v>17</v>
      </c>
      <c r="BI67" s="860" t="s">
        <v>17</v>
      </c>
      <c r="BJ67" s="605" t="s">
        <v>8</v>
      </c>
      <c r="BK67" s="693" t="s">
        <v>8</v>
      </c>
      <c r="BL67" s="452" t="s">
        <v>8</v>
      </c>
      <c r="BM67" s="860" t="s">
        <v>17</v>
      </c>
      <c r="BN67" s="498" t="s">
        <v>8</v>
      </c>
      <c r="BO67" s="728" t="s">
        <v>8</v>
      </c>
      <c r="BP67" s="498"/>
      <c r="BQ67" s="497"/>
      <c r="BR67" s="1046" t="s">
        <v>17</v>
      </c>
      <c r="BS67" s="1047" t="s">
        <v>17</v>
      </c>
      <c r="BT67" s="498" t="s">
        <v>8</v>
      </c>
      <c r="BU67" s="410"/>
    </row>
    <row r="68" spans="1:73" ht="13.5" hidden="1" customHeight="1" thickTop="1" x14ac:dyDescent="0.35">
      <c r="A68" s="1032"/>
      <c r="B68" s="49"/>
      <c r="C68" s="1083" t="s">
        <v>1509</v>
      </c>
      <c r="D68" s="1128"/>
      <c r="E68" s="1152"/>
      <c r="F68" s="1153"/>
      <c r="G68" s="1153"/>
      <c r="H68" s="1153"/>
      <c r="I68" s="1153"/>
      <c r="J68" s="1153"/>
      <c r="K68" s="1153"/>
      <c r="L68" s="1153"/>
      <c r="M68" s="1154"/>
      <c r="N68" s="289"/>
      <c r="O68" s="427"/>
      <c r="P68" s="208"/>
      <c r="Q68" s="348"/>
      <c r="R68" s="345"/>
      <c r="S68" s="345"/>
      <c r="T68" s="347"/>
      <c r="U68" s="326"/>
      <c r="V68" s="327"/>
      <c r="W68" s="327"/>
      <c r="X68" s="329"/>
      <c r="Y68" s="326"/>
      <c r="Z68" s="327"/>
      <c r="AA68" s="327"/>
      <c r="AB68" s="327"/>
      <c r="AC68" s="347"/>
      <c r="AD68" s="1085"/>
      <c r="AE68" s="1086"/>
      <c r="AF68" s="1086"/>
      <c r="AG68" s="1086"/>
      <c r="AH68" s="1087"/>
      <c r="AI68" s="1086"/>
      <c r="AJ68" s="1085"/>
      <c r="AK68" s="1088"/>
      <c r="AL68" s="1089"/>
      <c r="AM68" s="1087"/>
      <c r="AN68" s="1087"/>
      <c r="AO68" s="1087"/>
      <c r="AP68" s="1086"/>
      <c r="AQ68" s="1087"/>
      <c r="AR68" s="1091"/>
      <c r="AS68" s="1092"/>
      <c r="AT68" s="1093"/>
      <c r="AU68" s="1094"/>
      <c r="AV68" s="1093"/>
      <c r="AW68" s="1091"/>
      <c r="AX68" s="1092"/>
      <c r="AY68" s="1092"/>
      <c r="AZ68" s="1093"/>
      <c r="BA68" s="1092"/>
      <c r="BB68" s="1093"/>
      <c r="BC68" s="1094"/>
      <c r="BD68" s="1092"/>
      <c r="BE68" s="1093"/>
      <c r="BF68" s="1095"/>
      <c r="BG68" s="1079"/>
      <c r="BH68" s="474"/>
      <c r="BI68" s="1074"/>
      <c r="BJ68" s="1084" t="s">
        <v>8</v>
      </c>
      <c r="BK68" s="1084" t="s">
        <v>8</v>
      </c>
      <c r="BL68" s="1084" t="s">
        <v>8</v>
      </c>
      <c r="BM68" s="1074" t="s">
        <v>17</v>
      </c>
      <c r="BN68" s="474"/>
      <c r="BO68" s="1080"/>
      <c r="BP68" s="474"/>
      <c r="BQ68" s="1079"/>
      <c r="BR68" s="1081"/>
      <c r="BS68" s="1047"/>
      <c r="BT68" s="474"/>
      <c r="BU68" s="1082"/>
    </row>
    <row r="69" spans="1:73" ht="13.5" hidden="1" customHeight="1" thickBot="1" x14ac:dyDescent="0.4">
      <c r="A69" s="1032"/>
      <c r="B69" s="1033"/>
      <c r="C69" s="1103" t="s">
        <v>1492</v>
      </c>
      <c r="D69" s="1128"/>
      <c r="E69" s="1158"/>
      <c r="F69" s="1159"/>
      <c r="G69" s="1159"/>
      <c r="H69" s="1159"/>
      <c r="I69" s="1159"/>
      <c r="J69" s="1159"/>
      <c r="K69" s="1159"/>
      <c r="L69" s="1159"/>
      <c r="M69" s="1160"/>
      <c r="N69" s="289"/>
      <c r="O69" s="427"/>
      <c r="P69" s="208"/>
      <c r="Q69" s="348"/>
      <c r="R69" s="345"/>
      <c r="S69" s="345"/>
      <c r="T69" s="347"/>
      <c r="U69" s="326"/>
      <c r="V69" s="327"/>
      <c r="W69" s="327"/>
      <c r="X69" s="329"/>
      <c r="Y69" s="326"/>
      <c r="Z69" s="327"/>
      <c r="AA69" s="327"/>
      <c r="AB69" s="327"/>
      <c r="AC69" s="347"/>
      <c r="AD69" s="1085"/>
      <c r="AE69" s="1086"/>
      <c r="AF69" s="1086"/>
      <c r="AG69" s="1086"/>
      <c r="AH69" s="1087"/>
      <c r="AI69" s="1086"/>
      <c r="AJ69" s="1085"/>
      <c r="AK69" s="1088"/>
      <c r="AL69" s="1089"/>
      <c r="AM69" s="1087"/>
      <c r="AN69" s="1087"/>
      <c r="AO69" s="1090"/>
      <c r="AP69" s="1086"/>
      <c r="AQ69" s="1087"/>
      <c r="AR69" s="1096"/>
      <c r="AS69" s="1096"/>
      <c r="AT69" s="1096"/>
      <c r="AU69" s="1097"/>
      <c r="AV69" s="1096"/>
      <c r="AW69" s="1096"/>
      <c r="AX69" s="1096"/>
      <c r="AY69" s="1096"/>
      <c r="AZ69" s="1096"/>
      <c r="BA69" s="1096"/>
      <c r="BB69" s="1096"/>
      <c r="BC69" s="1097"/>
      <c r="BD69" s="1096"/>
      <c r="BE69" s="1096"/>
      <c r="BF69" s="1096"/>
      <c r="BG69" s="80"/>
      <c r="BH69" s="80"/>
      <c r="BI69" s="80"/>
      <c r="BJ69" s="1099" t="s">
        <v>8</v>
      </c>
      <c r="BK69" s="1098" t="s">
        <v>8</v>
      </c>
      <c r="BL69" s="1099" t="s">
        <v>8</v>
      </c>
      <c r="BM69" s="809" t="s">
        <v>17</v>
      </c>
      <c r="BN69" s="1019" t="s">
        <v>8</v>
      </c>
      <c r="BO69" s="1019" t="s">
        <v>8</v>
      </c>
      <c r="BP69" s="1019" t="s">
        <v>8</v>
      </c>
      <c r="BQ69" s="1019" t="s">
        <v>8</v>
      </c>
      <c r="BR69" s="80"/>
      <c r="BS69" s="80"/>
      <c r="BT69" s="1019" t="s">
        <v>8</v>
      </c>
      <c r="BU69" s="1035"/>
    </row>
    <row r="70" spans="1:73" s="38" customFormat="1" ht="13.5" hidden="1" customHeight="1" thickTop="1" thickBot="1" x14ac:dyDescent="0.4">
      <c r="A70" s="683"/>
      <c r="B70" s="1107"/>
      <c r="C70" s="1108" t="s">
        <v>1514</v>
      </c>
      <c r="D70" s="1128"/>
      <c r="E70" s="1109"/>
      <c r="F70" s="1110"/>
      <c r="G70" s="1110"/>
      <c r="H70" s="1110"/>
      <c r="I70" s="1110"/>
      <c r="J70" s="1110"/>
      <c r="K70" s="1110"/>
      <c r="L70" s="1110"/>
      <c r="M70" s="1111"/>
      <c r="N70" s="126"/>
      <c r="O70" s="67"/>
      <c r="P70" s="127"/>
      <c r="Q70" s="1112"/>
      <c r="R70" s="1113"/>
      <c r="S70" s="1113"/>
      <c r="T70" s="1114"/>
      <c r="U70" s="1115"/>
      <c r="V70" s="1116"/>
      <c r="W70" s="1116"/>
      <c r="X70" s="1117"/>
      <c r="Y70" s="1115"/>
      <c r="Z70" s="1116"/>
      <c r="AA70" s="1116"/>
      <c r="AB70" s="1116"/>
      <c r="AC70" s="1114"/>
      <c r="AD70" s="1118"/>
      <c r="AE70" s="1113"/>
      <c r="AF70" s="1113"/>
      <c r="AG70" s="1113"/>
      <c r="AH70" s="1119"/>
      <c r="AI70" s="1113"/>
      <c r="AJ70" s="1118"/>
      <c r="AK70" s="1114"/>
      <c r="AL70" s="1112"/>
      <c r="AM70" s="1119"/>
      <c r="AN70" s="1119"/>
      <c r="AO70" s="1120"/>
      <c r="AP70" s="1113"/>
      <c r="AQ70" s="1119"/>
      <c r="AR70" s="1121"/>
      <c r="AS70" s="1122"/>
      <c r="AT70" s="1123"/>
      <c r="AU70" s="1118"/>
      <c r="AV70" s="1123"/>
      <c r="AW70" s="1121"/>
      <c r="AX70" s="1122"/>
      <c r="AY70" s="1122"/>
      <c r="AZ70" s="1123"/>
      <c r="BA70" s="1122"/>
      <c r="BB70" s="1123"/>
      <c r="BC70" s="1118"/>
      <c r="BD70" s="1122"/>
      <c r="BE70" s="1123"/>
      <c r="BF70" s="1106"/>
      <c r="BG70" s="1121"/>
      <c r="BH70" s="1123"/>
      <c r="BI70" s="1106"/>
      <c r="BJ70" s="1099" t="s">
        <v>8</v>
      </c>
      <c r="BK70" s="1098" t="s">
        <v>8</v>
      </c>
      <c r="BL70" s="1099" t="s">
        <v>8</v>
      </c>
      <c r="BM70" s="809" t="s">
        <v>17</v>
      </c>
      <c r="BN70" s="809"/>
      <c r="BO70" s="1123"/>
      <c r="BP70" s="1121"/>
      <c r="BQ70" s="1123"/>
      <c r="BR70" s="1121"/>
      <c r="BS70" s="1122"/>
      <c r="BT70" s="1106"/>
      <c r="BU70" s="1124"/>
    </row>
    <row r="71" spans="1:73" ht="13.5" hidden="1" customHeight="1" thickTop="1" thickBot="1" x14ac:dyDescent="0.4">
      <c r="A71" s="683"/>
      <c r="B71" s="41" t="s">
        <v>93</v>
      </c>
      <c r="C71" s="42" t="s">
        <v>116</v>
      </c>
      <c r="D71" s="1128"/>
      <c r="E71" s="1155" t="s">
        <v>457</v>
      </c>
      <c r="F71" s="1156"/>
      <c r="G71" s="1156"/>
      <c r="H71" s="1156"/>
      <c r="I71" s="1156"/>
      <c r="J71" s="1156"/>
      <c r="K71" s="1156"/>
      <c r="L71" s="1156"/>
      <c r="M71" s="1157"/>
      <c r="N71" s="105" t="s">
        <v>30</v>
      </c>
      <c r="O71" s="32" t="s">
        <v>28</v>
      </c>
      <c r="P71" s="95" t="s">
        <v>28</v>
      </c>
      <c r="Q71" s="109" t="s">
        <v>28</v>
      </c>
      <c r="R71" s="44" t="s">
        <v>28</v>
      </c>
      <c r="S71" s="45" t="s">
        <v>30</v>
      </c>
      <c r="T71" s="110" t="s">
        <v>30</v>
      </c>
      <c r="U71" s="123" t="s">
        <v>28</v>
      </c>
      <c r="V71" s="46" t="s">
        <v>28</v>
      </c>
      <c r="W71" s="46" t="s">
        <v>29</v>
      </c>
      <c r="X71" s="189" t="s">
        <v>30</v>
      </c>
      <c r="Y71" s="123" t="s">
        <v>28</v>
      </c>
      <c r="Z71" s="46" t="s">
        <v>142</v>
      </c>
      <c r="AA71" s="46" t="s">
        <v>315</v>
      </c>
      <c r="AB71" s="163" t="s">
        <v>503</v>
      </c>
      <c r="AC71" s="143" t="s">
        <v>29</v>
      </c>
      <c r="AD71" s="82" t="s">
        <v>28</v>
      </c>
      <c r="AE71" s="163" t="s">
        <v>29</v>
      </c>
      <c r="AF71" s="46" t="s">
        <v>142</v>
      </c>
      <c r="AG71" s="46" t="s">
        <v>29</v>
      </c>
      <c r="AH71" s="279" t="s">
        <v>315</v>
      </c>
      <c r="AI71" s="299" t="s">
        <v>29</v>
      </c>
      <c r="AJ71" s="423" t="s">
        <v>28</v>
      </c>
      <c r="AK71" s="143" t="s">
        <v>28</v>
      </c>
      <c r="AL71" s="282" t="s">
        <v>374</v>
      </c>
      <c r="AM71" s="279" t="s">
        <v>413</v>
      </c>
      <c r="AN71" s="183" t="s">
        <v>473</v>
      </c>
      <c r="AO71" s="1054" t="s">
        <v>1498</v>
      </c>
      <c r="AP71" s="299" t="s">
        <v>374</v>
      </c>
      <c r="AQ71" s="279" t="s">
        <v>480</v>
      </c>
      <c r="AR71" s="131" t="str">
        <f>CONCATENATE(128*13," KB")</f>
        <v>1664 KB</v>
      </c>
      <c r="AS71" s="78" t="str">
        <f>CONCATENATE(128*4," KB")</f>
        <v>512 KB</v>
      </c>
      <c r="AT71" s="183" t="s">
        <v>548</v>
      </c>
      <c r="AU71" s="131" t="str">
        <f>CONCATENATE(128*15," KB")</f>
        <v>1920 KB</v>
      </c>
      <c r="AV71" s="499" t="str">
        <f>CONCATENATE(128*5," KB")</f>
        <v>640 KB</v>
      </c>
      <c r="AW71" s="510" t="str">
        <f>CONCATENATE(128*7," KB")</f>
        <v>896 KB</v>
      </c>
      <c r="AX71" s="339" t="str">
        <f>CONCATENATE(128*5," KB")</f>
        <v>640 KB</v>
      </c>
      <c r="AY71" s="78">
        <v>896</v>
      </c>
      <c r="AZ71" s="149" t="s">
        <v>548</v>
      </c>
      <c r="BA71" s="339" t="s">
        <v>480</v>
      </c>
      <c r="BB71" s="149" t="s">
        <v>548</v>
      </c>
      <c r="BC71" s="726" t="str">
        <f>CONCATENATE(128*13," KB")</f>
        <v>1664 KB</v>
      </c>
      <c r="BD71" s="1066" t="str">
        <f>CONCATENATE(128*7," KB")</f>
        <v>896 KB</v>
      </c>
      <c r="BE71" s="842" t="s">
        <v>548</v>
      </c>
      <c r="BF71" s="376" t="s">
        <v>548</v>
      </c>
      <c r="BG71" s="131" t="s">
        <v>480</v>
      </c>
      <c r="BH71" s="149" t="s">
        <v>1403</v>
      </c>
      <c r="BI71" s="880" t="s">
        <v>1403</v>
      </c>
      <c r="BJ71" s="726" t="str">
        <f>CONCATENATE(128*13," KB")</f>
        <v>1664 KB</v>
      </c>
      <c r="BK71" s="1066" t="str">
        <f>CONCATENATE(128*7," KB")</f>
        <v>896 KB</v>
      </c>
      <c r="BL71" s="376" t="s">
        <v>548</v>
      </c>
      <c r="BM71" s="376" t="s">
        <v>1503</v>
      </c>
      <c r="BN71" s="1019" t="s">
        <v>8</v>
      </c>
      <c r="BO71" s="904"/>
      <c r="BP71" s="510"/>
      <c r="BQ71" s="904" t="s">
        <v>548</v>
      </c>
      <c r="BR71" s="510" t="str">
        <f>CONCATENATE(128*13," KB")</f>
        <v>1664 KB</v>
      </c>
      <c r="BS71" s="78" t="str">
        <f>CONCATENATE(128*4," KB")</f>
        <v>512 KB</v>
      </c>
      <c r="BT71" s="404" t="s">
        <v>565</v>
      </c>
    </row>
    <row r="72" spans="1:73" ht="13.5" hidden="1" customHeight="1" thickTop="1" x14ac:dyDescent="0.35">
      <c r="A72" s="683"/>
      <c r="B72" s="47"/>
      <c r="C72" s="3" t="s">
        <v>32</v>
      </c>
      <c r="D72" s="1128"/>
      <c r="E72" s="1152"/>
      <c r="F72" s="1153"/>
      <c r="G72" s="1153"/>
      <c r="H72" s="1153"/>
      <c r="I72" s="1153"/>
      <c r="J72" s="1153"/>
      <c r="K72" s="1153"/>
      <c r="L72" s="1153"/>
      <c r="M72" s="1154"/>
      <c r="N72" s="105" t="s">
        <v>286</v>
      </c>
      <c r="O72" s="32" t="s">
        <v>286</v>
      </c>
      <c r="P72" s="95" t="s">
        <v>286</v>
      </c>
      <c r="Q72" s="111" t="s">
        <v>286</v>
      </c>
      <c r="R72" s="16" t="s">
        <v>286</v>
      </c>
      <c r="S72" s="20" t="s">
        <v>286</v>
      </c>
      <c r="T72" s="114" t="s">
        <v>286</v>
      </c>
      <c r="U72" s="119" t="s">
        <v>288</v>
      </c>
      <c r="V72" s="13" t="s">
        <v>288</v>
      </c>
      <c r="W72" s="13" t="s">
        <v>288</v>
      </c>
      <c r="X72" s="190" t="s">
        <v>286</v>
      </c>
      <c r="Y72" s="119" t="s">
        <v>286</v>
      </c>
      <c r="Z72" s="13" t="s">
        <v>286</v>
      </c>
      <c r="AA72" s="13" t="s">
        <v>286</v>
      </c>
      <c r="AB72" s="13" t="s">
        <v>286</v>
      </c>
      <c r="AC72" s="102" t="s">
        <v>287</v>
      </c>
      <c r="AD72" s="83" t="s">
        <v>285</v>
      </c>
      <c r="AE72" s="13" t="s">
        <v>286</v>
      </c>
      <c r="AF72" s="13" t="s">
        <v>286</v>
      </c>
      <c r="AG72" s="13" t="s">
        <v>287</v>
      </c>
      <c r="AH72" s="36" t="s">
        <v>286</v>
      </c>
      <c r="AI72" s="13" t="s">
        <v>286</v>
      </c>
      <c r="AJ72" s="83" t="s">
        <v>285</v>
      </c>
      <c r="AK72" s="102" t="s">
        <v>285</v>
      </c>
      <c r="AL72" s="119" t="s">
        <v>285</v>
      </c>
      <c r="AM72" s="36" t="s">
        <v>285</v>
      </c>
      <c r="AN72" s="177" t="s">
        <v>285</v>
      </c>
      <c r="AO72" s="177" t="s">
        <v>285</v>
      </c>
      <c r="AP72" s="13" t="s">
        <v>285</v>
      </c>
      <c r="AQ72" s="36" t="s">
        <v>285</v>
      </c>
      <c r="AR72" s="133" t="s">
        <v>286</v>
      </c>
      <c r="AS72" s="26" t="s">
        <v>486</v>
      </c>
      <c r="AT72" s="464" t="s">
        <v>486</v>
      </c>
      <c r="AU72" s="133" t="s">
        <v>286</v>
      </c>
      <c r="AV72" s="260" t="s">
        <v>486</v>
      </c>
      <c r="AW72" s="133" t="s">
        <v>486</v>
      </c>
      <c r="AX72" s="26" t="s">
        <v>486</v>
      </c>
      <c r="AY72" s="823">
        <v>96</v>
      </c>
      <c r="AZ72" s="260" t="s">
        <v>486</v>
      </c>
      <c r="BA72" s="26" t="s">
        <v>286</v>
      </c>
      <c r="BB72" s="260" t="s">
        <v>486</v>
      </c>
      <c r="BC72" s="721" t="s">
        <v>286</v>
      </c>
      <c r="BD72" s="781" t="s">
        <v>486</v>
      </c>
      <c r="BE72" s="464" t="s">
        <v>486</v>
      </c>
      <c r="BF72" s="314" t="s">
        <v>486</v>
      </c>
      <c r="BG72" s="133" t="s">
        <v>286</v>
      </c>
      <c r="BH72" s="260" t="s">
        <v>486</v>
      </c>
      <c r="BI72" s="380" t="s">
        <v>486</v>
      </c>
      <c r="BJ72" s="721" t="s">
        <v>286</v>
      </c>
      <c r="BK72" s="779" t="s">
        <v>486</v>
      </c>
      <c r="BL72" s="260" t="s">
        <v>486</v>
      </c>
      <c r="BM72" s="314" t="s">
        <v>486</v>
      </c>
      <c r="BN72" s="1020" t="str">
        <f>CONCATENATE(128*15," KB")</f>
        <v>1920 KB</v>
      </c>
      <c r="BO72" s="134"/>
      <c r="BP72" s="712"/>
      <c r="BQ72" s="260" t="s">
        <v>486</v>
      </c>
      <c r="BR72" s="712" t="s">
        <v>286</v>
      </c>
      <c r="BS72" s="27" t="s">
        <v>486</v>
      </c>
      <c r="BT72" s="405" t="s">
        <v>566</v>
      </c>
      <c r="BU72" s="231"/>
    </row>
    <row r="73" spans="1:73" ht="13.5" hidden="1" customHeight="1" x14ac:dyDescent="0.35">
      <c r="A73" s="683"/>
      <c r="B73" s="275"/>
      <c r="C73" s="3" t="s">
        <v>159</v>
      </c>
      <c r="D73" s="1128"/>
      <c r="E73" s="1152"/>
      <c r="F73" s="1153"/>
      <c r="G73" s="1153"/>
      <c r="H73" s="1153"/>
      <c r="I73" s="1153"/>
      <c r="J73" s="1153"/>
      <c r="K73" s="1153"/>
      <c r="L73" s="1153"/>
      <c r="M73" s="1154"/>
      <c r="N73" s="253"/>
      <c r="O73" s="254"/>
      <c r="P73" s="255"/>
      <c r="Q73" s="117"/>
      <c r="R73" s="29"/>
      <c r="S73" s="29"/>
      <c r="T73" s="118"/>
      <c r="U73" s="120"/>
      <c r="V73" s="30"/>
      <c r="W73" s="30"/>
      <c r="X73" s="193"/>
      <c r="Y73" s="120"/>
      <c r="Z73" s="30"/>
      <c r="AA73" s="30"/>
      <c r="AB73" s="30"/>
      <c r="AC73" s="121"/>
      <c r="AD73" s="83" t="s">
        <v>8</v>
      </c>
      <c r="AE73" s="16" t="s">
        <v>8</v>
      </c>
      <c r="AF73" s="16" t="s">
        <v>8</v>
      </c>
      <c r="AG73" s="13" t="s">
        <v>8</v>
      </c>
      <c r="AH73" s="36" t="s">
        <v>8</v>
      </c>
      <c r="AI73" s="16" t="s">
        <v>8</v>
      </c>
      <c r="AJ73" s="83" t="s">
        <v>8</v>
      </c>
      <c r="AK73" s="102" t="s">
        <v>8</v>
      </c>
      <c r="AL73" s="119" t="s">
        <v>17</v>
      </c>
      <c r="AM73" s="36" t="s">
        <v>17</v>
      </c>
      <c r="AN73" s="177" t="s">
        <v>17</v>
      </c>
      <c r="AO73" s="177" t="s">
        <v>17</v>
      </c>
      <c r="AP73" s="13" t="s">
        <v>17</v>
      </c>
      <c r="AQ73" s="36" t="s">
        <v>17</v>
      </c>
      <c r="AR73" s="133" t="s">
        <v>8</v>
      </c>
      <c r="AS73" s="26" t="s">
        <v>8</v>
      </c>
      <c r="AT73" s="464" t="s">
        <v>17</v>
      </c>
      <c r="AU73" s="133" t="s">
        <v>8</v>
      </c>
      <c r="AV73" s="260" t="s">
        <v>8</v>
      </c>
      <c r="AW73" s="133" t="s">
        <v>8</v>
      </c>
      <c r="AX73" s="26" t="s">
        <v>8</v>
      </c>
      <c r="AY73" s="26" t="s">
        <v>8</v>
      </c>
      <c r="AZ73" s="260" t="s">
        <v>17</v>
      </c>
      <c r="BA73" s="947" t="s">
        <v>17</v>
      </c>
      <c r="BB73" s="112" t="s">
        <v>17</v>
      </c>
      <c r="BC73" s="721" t="s">
        <v>8</v>
      </c>
      <c r="BD73" s="781" t="s">
        <v>8</v>
      </c>
      <c r="BE73" s="464" t="s">
        <v>8</v>
      </c>
      <c r="BF73" s="377" t="s">
        <v>17</v>
      </c>
      <c r="BG73" s="111" t="s">
        <v>17</v>
      </c>
      <c r="BH73" s="112" t="s">
        <v>17</v>
      </c>
      <c r="BI73" s="340" t="s">
        <v>17</v>
      </c>
      <c r="BJ73" s="721" t="s">
        <v>8</v>
      </c>
      <c r="BK73" s="16" t="s">
        <v>412</v>
      </c>
      <c r="BL73" s="260" t="s">
        <v>8</v>
      </c>
      <c r="BM73" s="377" t="s">
        <v>17</v>
      </c>
      <c r="BN73" s="721" t="s">
        <v>286</v>
      </c>
      <c r="BO73" s="134"/>
      <c r="BP73" s="712"/>
      <c r="BQ73" s="260" t="s">
        <v>8</v>
      </c>
      <c r="BR73" s="712" t="s">
        <v>8</v>
      </c>
      <c r="BS73" s="27" t="s">
        <v>8</v>
      </c>
      <c r="BT73" s="406"/>
    </row>
    <row r="74" spans="1:73" ht="13.5" hidden="1" customHeight="1" x14ac:dyDescent="0.35">
      <c r="A74" s="683"/>
      <c r="B74" s="275"/>
      <c r="C74" s="3" t="s">
        <v>575</v>
      </c>
      <c r="D74" s="1128"/>
      <c r="E74" s="1152"/>
      <c r="F74" s="1153"/>
      <c r="G74" s="1153"/>
      <c r="H74" s="1153"/>
      <c r="I74" s="1153"/>
      <c r="J74" s="1153"/>
      <c r="K74" s="1153"/>
      <c r="L74" s="1153"/>
      <c r="M74" s="1154"/>
      <c r="N74" s="447"/>
      <c r="O74" s="269"/>
      <c r="P74" s="448"/>
      <c r="Q74" s="348"/>
      <c r="R74" s="427"/>
      <c r="S74" s="427"/>
      <c r="T74" s="449"/>
      <c r="U74" s="326"/>
      <c r="V74" s="350"/>
      <c r="W74" s="350"/>
      <c r="X74" s="450"/>
      <c r="Y74" s="451"/>
      <c r="Z74" s="350"/>
      <c r="AA74" s="350"/>
      <c r="AB74" s="350"/>
      <c r="AC74" s="210"/>
      <c r="AD74" s="83" t="s">
        <v>8</v>
      </c>
      <c r="AE74" s="16" t="s">
        <v>8</v>
      </c>
      <c r="AF74" s="16" t="s">
        <v>8</v>
      </c>
      <c r="AG74" s="13" t="s">
        <v>8</v>
      </c>
      <c r="AH74" s="36" t="s">
        <v>8</v>
      </c>
      <c r="AI74" s="16" t="s">
        <v>8</v>
      </c>
      <c r="AJ74" s="83" t="s">
        <v>8</v>
      </c>
      <c r="AK74" s="102" t="s">
        <v>8</v>
      </c>
      <c r="AL74" s="119" t="s">
        <v>17</v>
      </c>
      <c r="AM74" s="36" t="s">
        <v>17</v>
      </c>
      <c r="AN74" s="177" t="s">
        <v>17</v>
      </c>
      <c r="AO74" s="177" t="s">
        <v>17</v>
      </c>
      <c r="AP74" s="13" t="s">
        <v>17</v>
      </c>
      <c r="AQ74" s="36" t="s">
        <v>17</v>
      </c>
      <c r="AR74" s="133" t="s">
        <v>8</v>
      </c>
      <c r="AS74" s="452" t="s">
        <v>8</v>
      </c>
      <c r="AT74" s="474" t="s">
        <v>17</v>
      </c>
      <c r="AU74" s="133" t="s">
        <v>8</v>
      </c>
      <c r="AV74" s="498" t="s">
        <v>8</v>
      </c>
      <c r="AW74" s="133" t="s">
        <v>8</v>
      </c>
      <c r="AX74" s="452" t="s">
        <v>8</v>
      </c>
      <c r="AY74" s="452" t="s">
        <v>8</v>
      </c>
      <c r="AZ74" s="498" t="s">
        <v>17</v>
      </c>
      <c r="BA74" s="828" t="s">
        <v>17</v>
      </c>
      <c r="BB74" s="498" t="s">
        <v>17</v>
      </c>
      <c r="BC74" s="721" t="s">
        <v>8</v>
      </c>
      <c r="BD74" s="787" t="s">
        <v>8</v>
      </c>
      <c r="BE74" s="474" t="s">
        <v>8</v>
      </c>
      <c r="BF74" s="860" t="s">
        <v>17</v>
      </c>
      <c r="BG74" s="872" t="s">
        <v>17</v>
      </c>
      <c r="BH74" s="498" t="s">
        <v>17</v>
      </c>
      <c r="BI74" s="340" t="s">
        <v>17</v>
      </c>
      <c r="BJ74" s="721" t="s">
        <v>8</v>
      </c>
      <c r="BK74" s="16" t="s">
        <v>412</v>
      </c>
      <c r="BL74" s="498" t="s">
        <v>8</v>
      </c>
      <c r="BM74" s="860" t="s">
        <v>17</v>
      </c>
      <c r="BN74" s="721" t="s">
        <v>8</v>
      </c>
      <c r="BO74" s="903"/>
      <c r="BP74" s="712"/>
      <c r="BQ74" s="498" t="s">
        <v>8</v>
      </c>
      <c r="BR74" s="712" t="s">
        <v>8</v>
      </c>
      <c r="BS74" s="811" t="s">
        <v>8</v>
      </c>
      <c r="BT74" s="453"/>
    </row>
    <row r="75" spans="1:73" ht="13.5" hidden="1" customHeight="1" thickBot="1" x14ac:dyDescent="0.4">
      <c r="A75" s="683"/>
      <c r="B75" s="271"/>
      <c r="C75" s="272" t="s">
        <v>411</v>
      </c>
      <c r="D75" s="1128"/>
      <c r="E75" s="1158"/>
      <c r="F75" s="1159"/>
      <c r="G75" s="1159"/>
      <c r="H75" s="1159"/>
      <c r="I75" s="1159"/>
      <c r="J75" s="1159"/>
      <c r="K75" s="1159"/>
      <c r="L75" s="1159"/>
      <c r="M75" s="1160"/>
      <c r="N75" s="276" t="s">
        <v>412</v>
      </c>
      <c r="O75" s="278" t="s">
        <v>412</v>
      </c>
      <c r="P75" s="277" t="s">
        <v>412</v>
      </c>
      <c r="Q75" s="273" t="s">
        <v>412</v>
      </c>
      <c r="R75" s="278" t="s">
        <v>412</v>
      </c>
      <c r="S75" s="278" t="s">
        <v>412</v>
      </c>
      <c r="T75" s="277" t="s">
        <v>412</v>
      </c>
      <c r="U75" s="273" t="s">
        <v>412</v>
      </c>
      <c r="V75" s="278" t="s">
        <v>412</v>
      </c>
      <c r="W75" s="278" t="s">
        <v>412</v>
      </c>
      <c r="X75" s="277" t="s">
        <v>412</v>
      </c>
      <c r="Y75" s="276" t="s">
        <v>412</v>
      </c>
      <c r="Z75" s="278" t="s">
        <v>412</v>
      </c>
      <c r="AA75" s="278" t="s">
        <v>412</v>
      </c>
      <c r="AB75" s="278" t="s">
        <v>412</v>
      </c>
      <c r="AC75" s="278" t="s">
        <v>412</v>
      </c>
      <c r="AD75" s="273" t="s">
        <v>412</v>
      </c>
      <c r="AE75" s="278" t="s">
        <v>412</v>
      </c>
      <c r="AF75" s="278" t="s">
        <v>412</v>
      </c>
      <c r="AG75" s="278" t="s">
        <v>412</v>
      </c>
      <c r="AH75" s="278" t="s">
        <v>412</v>
      </c>
      <c r="AI75" s="278" t="s">
        <v>412</v>
      </c>
      <c r="AJ75" s="278" t="s">
        <v>412</v>
      </c>
      <c r="AK75" s="288" t="s">
        <v>412</v>
      </c>
      <c r="AL75" s="290" t="s">
        <v>17</v>
      </c>
      <c r="AM75" s="306" t="s">
        <v>17</v>
      </c>
      <c r="AN75" s="1055" t="s">
        <v>17</v>
      </c>
      <c r="AO75" s="1055" t="s">
        <v>17</v>
      </c>
      <c r="AP75" s="425" t="s">
        <v>17</v>
      </c>
      <c r="AQ75" s="306" t="s">
        <v>17</v>
      </c>
      <c r="AR75" s="812" t="s">
        <v>8</v>
      </c>
      <c r="AS75" s="813" t="s">
        <v>8</v>
      </c>
      <c r="AT75" s="475" t="s">
        <v>8</v>
      </c>
      <c r="AU75" s="500" t="s">
        <v>8</v>
      </c>
      <c r="AV75" s="501" t="s">
        <v>8</v>
      </c>
      <c r="AW75" s="500" t="s">
        <v>8</v>
      </c>
      <c r="AX75" s="310" t="s">
        <v>8</v>
      </c>
      <c r="AY75" s="310" t="s">
        <v>8</v>
      </c>
      <c r="AZ75" s="501" t="s">
        <v>8</v>
      </c>
      <c r="BA75" s="829" t="s">
        <v>17</v>
      </c>
      <c r="BB75" s="501" t="s">
        <v>8</v>
      </c>
      <c r="BC75" s="729" t="s">
        <v>8</v>
      </c>
      <c r="BD75" s="788" t="s">
        <v>8</v>
      </c>
      <c r="BE75" s="843" t="s">
        <v>8</v>
      </c>
      <c r="BF75" s="861" t="s">
        <v>8</v>
      </c>
      <c r="BG75" s="873" t="s">
        <v>17</v>
      </c>
      <c r="BH75" s="501" t="s">
        <v>8</v>
      </c>
      <c r="BI75" s="882" t="s">
        <v>17</v>
      </c>
      <c r="BJ75" s="729" t="s">
        <v>8</v>
      </c>
      <c r="BK75" s="16" t="s">
        <v>412</v>
      </c>
      <c r="BL75" s="501" t="s">
        <v>8</v>
      </c>
      <c r="BM75" s="861" t="s">
        <v>8</v>
      </c>
      <c r="BN75" s="721" t="s">
        <v>8</v>
      </c>
      <c r="BO75" s="930"/>
      <c r="BP75" s="812"/>
      <c r="BQ75" s="501" t="s">
        <v>8</v>
      </c>
      <c r="BR75" s="812" t="s">
        <v>8</v>
      </c>
      <c r="BS75" s="813" t="s">
        <v>8</v>
      </c>
      <c r="BT75" s="411"/>
    </row>
    <row r="76" spans="1:73" ht="13.5" hidden="1" customHeight="1" thickTop="1" thickBot="1" x14ac:dyDescent="0.35">
      <c r="A76" s="683"/>
      <c r="B76" s="41" t="s">
        <v>33</v>
      </c>
      <c r="C76" s="42" t="s">
        <v>34</v>
      </c>
      <c r="D76" s="1128"/>
      <c r="E76" s="93" t="s">
        <v>17</v>
      </c>
      <c r="F76" s="43" t="s">
        <v>17</v>
      </c>
      <c r="G76" s="43" t="s">
        <v>17</v>
      </c>
      <c r="H76" s="43" t="s">
        <v>17</v>
      </c>
      <c r="I76" s="43" t="s">
        <v>17</v>
      </c>
      <c r="J76" s="1012" t="s">
        <v>17</v>
      </c>
      <c r="K76" s="77" t="s">
        <v>17</v>
      </c>
      <c r="L76" s="264" t="s">
        <v>17</v>
      </c>
      <c r="M76" s="264" t="s">
        <v>17</v>
      </c>
      <c r="N76" s="109">
        <v>1</v>
      </c>
      <c r="O76" s="44">
        <v>1</v>
      </c>
      <c r="P76" s="44">
        <v>1</v>
      </c>
      <c r="Q76" s="109">
        <v>1</v>
      </c>
      <c r="R76" s="44">
        <v>1</v>
      </c>
      <c r="S76" s="45">
        <v>1</v>
      </c>
      <c r="T76" s="110">
        <v>1</v>
      </c>
      <c r="U76" s="123">
        <v>1</v>
      </c>
      <c r="V76" s="46">
        <v>1</v>
      </c>
      <c r="W76" s="46">
        <v>1</v>
      </c>
      <c r="X76" s="189">
        <v>1</v>
      </c>
      <c r="Y76" s="123">
        <v>1</v>
      </c>
      <c r="Z76" s="46">
        <v>1</v>
      </c>
      <c r="AA76" s="46">
        <v>1</v>
      </c>
      <c r="AB76" s="46">
        <v>1</v>
      </c>
      <c r="AC76" s="143">
        <v>1</v>
      </c>
      <c r="AD76" s="89">
        <v>1</v>
      </c>
      <c r="AE76" s="46">
        <v>1</v>
      </c>
      <c r="AF76" s="46">
        <v>1</v>
      </c>
      <c r="AG76" s="46">
        <v>1</v>
      </c>
      <c r="AH76" s="176">
        <v>1</v>
      </c>
      <c r="AI76" s="46">
        <v>1</v>
      </c>
      <c r="AJ76" s="89">
        <v>1</v>
      </c>
      <c r="AK76" s="143">
        <v>1</v>
      </c>
      <c r="AL76" s="123">
        <v>1</v>
      </c>
      <c r="AM76" s="176">
        <v>1</v>
      </c>
      <c r="AN76" s="183">
        <v>1</v>
      </c>
      <c r="AO76" s="183">
        <v>1</v>
      </c>
      <c r="AP76" s="46">
        <v>1</v>
      </c>
      <c r="AQ76" s="176">
        <v>1</v>
      </c>
      <c r="AR76" s="131">
        <v>1</v>
      </c>
      <c r="AS76" s="339">
        <v>1</v>
      </c>
      <c r="AT76" s="476">
        <v>1</v>
      </c>
      <c r="AU76" s="131">
        <v>1</v>
      </c>
      <c r="AV76" s="499">
        <v>1</v>
      </c>
      <c r="AW76" s="131">
        <v>1</v>
      </c>
      <c r="AX76" s="339">
        <v>1</v>
      </c>
      <c r="AY76" s="339">
        <v>1</v>
      </c>
      <c r="AZ76" s="499">
        <v>1</v>
      </c>
      <c r="BA76" s="339">
        <v>1</v>
      </c>
      <c r="BB76" s="499">
        <v>1</v>
      </c>
      <c r="BC76" s="726">
        <v>1</v>
      </c>
      <c r="BD76" s="789">
        <v>1</v>
      </c>
      <c r="BE76" s="476">
        <v>1</v>
      </c>
      <c r="BF76" s="313">
        <v>1</v>
      </c>
      <c r="BG76" s="123">
        <v>1</v>
      </c>
      <c r="BH76" s="499">
        <v>1</v>
      </c>
      <c r="BI76" s="313">
        <v>1</v>
      </c>
      <c r="BJ76" s="726">
        <v>1</v>
      </c>
      <c r="BK76" s="778">
        <v>1</v>
      </c>
      <c r="BL76" s="499">
        <v>1</v>
      </c>
      <c r="BM76" s="313">
        <v>1</v>
      </c>
      <c r="BN76" s="729" t="s">
        <v>8</v>
      </c>
      <c r="BO76" s="132"/>
      <c r="BP76" s="510"/>
      <c r="BQ76" s="499">
        <v>1</v>
      </c>
      <c r="BR76" s="510">
        <v>1</v>
      </c>
      <c r="BS76" s="78">
        <v>1</v>
      </c>
      <c r="BT76" s="404"/>
    </row>
    <row r="77" spans="1:73" ht="13.5" hidden="1" customHeight="1" thickTop="1" x14ac:dyDescent="0.35">
      <c r="A77" s="683"/>
      <c r="B77" s="48"/>
      <c r="C77" s="39" t="s">
        <v>247</v>
      </c>
      <c r="D77" s="1128"/>
      <c r="E77" s="96"/>
      <c r="F77" s="40" t="s">
        <v>8</v>
      </c>
      <c r="G77" s="40" t="s">
        <v>17</v>
      </c>
      <c r="H77" s="40" t="s">
        <v>17</v>
      </c>
      <c r="I77" s="40" t="s">
        <v>17</v>
      </c>
      <c r="J77" s="1013" t="s">
        <v>17</v>
      </c>
      <c r="K77" s="250" t="s">
        <v>17</v>
      </c>
      <c r="L77" s="90" t="s">
        <v>17</v>
      </c>
      <c r="M77" s="90" t="s">
        <v>17</v>
      </c>
      <c r="N77" s="98" t="s">
        <v>17</v>
      </c>
      <c r="O77" s="40" t="s">
        <v>17</v>
      </c>
      <c r="P77" s="40" t="s">
        <v>17</v>
      </c>
      <c r="Q77" s="98" t="s">
        <v>17</v>
      </c>
      <c r="R77" s="40" t="s">
        <v>17</v>
      </c>
      <c r="S77" s="40" t="s">
        <v>17</v>
      </c>
      <c r="T77" s="97" t="s">
        <v>17</v>
      </c>
      <c r="U77" s="98" t="s">
        <v>17</v>
      </c>
      <c r="V77" s="40" t="s">
        <v>17</v>
      </c>
      <c r="W77" s="40" t="s">
        <v>17</v>
      </c>
      <c r="X77" s="195" t="s">
        <v>17</v>
      </c>
      <c r="Y77" s="98" t="s">
        <v>17</v>
      </c>
      <c r="Z77" s="40" t="s">
        <v>17</v>
      </c>
      <c r="AA77" s="40" t="s">
        <v>17</v>
      </c>
      <c r="AB77" s="40" t="s">
        <v>17</v>
      </c>
      <c r="AC77" s="97" t="s">
        <v>17</v>
      </c>
      <c r="AD77" s="90" t="s">
        <v>17</v>
      </c>
      <c r="AE77" s="40" t="s">
        <v>17</v>
      </c>
      <c r="AF77" s="40" t="s">
        <v>17</v>
      </c>
      <c r="AG77" s="40" t="s">
        <v>17</v>
      </c>
      <c r="AH77" s="31" t="s">
        <v>17</v>
      </c>
      <c r="AI77" s="40" t="s">
        <v>17</v>
      </c>
      <c r="AJ77" s="90" t="s">
        <v>17</v>
      </c>
      <c r="AK77" s="97" t="s">
        <v>17</v>
      </c>
      <c r="AL77" s="291" t="s">
        <v>17</v>
      </c>
      <c r="AM77" s="40" t="s">
        <v>17</v>
      </c>
      <c r="AN77" s="1056" t="s">
        <v>17</v>
      </c>
      <c r="AO77" s="1056" t="s">
        <v>17</v>
      </c>
      <c r="AP77" s="250" t="s">
        <v>17</v>
      </c>
      <c r="AQ77" s="40" t="s">
        <v>17</v>
      </c>
      <c r="AR77" s="502" t="s">
        <v>17</v>
      </c>
      <c r="AS77" s="341" t="s">
        <v>17</v>
      </c>
      <c r="AT77" s="477" t="s">
        <v>17</v>
      </c>
      <c r="AU77" s="502" t="s">
        <v>17</v>
      </c>
      <c r="AV77" s="503" t="s">
        <v>17</v>
      </c>
      <c r="AW77" s="502" t="s">
        <v>17</v>
      </c>
      <c r="AX77" s="341" t="s">
        <v>17</v>
      </c>
      <c r="AY77" s="341" t="s">
        <v>17</v>
      </c>
      <c r="AZ77" s="503" t="s">
        <v>17</v>
      </c>
      <c r="BA77" s="948" t="s">
        <v>17</v>
      </c>
      <c r="BB77" s="503" t="s">
        <v>17</v>
      </c>
      <c r="BC77" s="730" t="s">
        <v>17</v>
      </c>
      <c r="BD77" s="790" t="s">
        <v>17</v>
      </c>
      <c r="BE77" s="477" t="s">
        <v>17</v>
      </c>
      <c r="BF77" s="391" t="s">
        <v>17</v>
      </c>
      <c r="BG77" s="291" t="s">
        <v>17</v>
      </c>
      <c r="BH77" s="503" t="s">
        <v>17</v>
      </c>
      <c r="BI77" s="391" t="s">
        <v>17</v>
      </c>
      <c r="BJ77" s="730" t="s">
        <v>17</v>
      </c>
      <c r="BK77" s="1067" t="s">
        <v>17</v>
      </c>
      <c r="BL77" s="503" t="s">
        <v>17</v>
      </c>
      <c r="BM77" s="391" t="s">
        <v>17</v>
      </c>
      <c r="BN77" s="726">
        <v>1</v>
      </c>
      <c r="BO77" s="931"/>
      <c r="BP77" s="814"/>
      <c r="BQ77" s="503" t="s">
        <v>17</v>
      </c>
      <c r="BR77" s="814" t="s">
        <v>17</v>
      </c>
      <c r="BS77" s="815" t="s">
        <v>17</v>
      </c>
      <c r="BT77" s="409"/>
    </row>
    <row r="78" spans="1:73" ht="13.5" hidden="1" customHeight="1" x14ac:dyDescent="0.35">
      <c r="A78" s="683"/>
      <c r="B78" s="48"/>
      <c r="C78" s="39" t="s">
        <v>248</v>
      </c>
      <c r="D78" s="1128"/>
      <c r="E78" s="98" t="s">
        <v>8</v>
      </c>
      <c r="F78" s="40" t="s">
        <v>17</v>
      </c>
      <c r="G78" s="40" t="s">
        <v>17</v>
      </c>
      <c r="H78" s="40" t="s">
        <v>17</v>
      </c>
      <c r="I78" s="40" t="s">
        <v>8</v>
      </c>
      <c r="J78" s="1013" t="s">
        <v>8</v>
      </c>
      <c r="K78" s="250" t="s">
        <v>8</v>
      </c>
      <c r="L78" s="90" t="s">
        <v>17</v>
      </c>
      <c r="M78" s="1010" t="s">
        <v>17</v>
      </c>
      <c r="N78" s="111" t="s">
        <v>8</v>
      </c>
      <c r="O78" s="16" t="s">
        <v>8</v>
      </c>
      <c r="P78" s="16" t="s">
        <v>8</v>
      </c>
      <c r="Q78" s="111" t="s">
        <v>8</v>
      </c>
      <c r="R78" s="16" t="s">
        <v>8</v>
      </c>
      <c r="S78" s="16" t="s">
        <v>8</v>
      </c>
      <c r="T78" s="112" t="s">
        <v>8</v>
      </c>
      <c r="U78" s="111" t="s">
        <v>8</v>
      </c>
      <c r="V78" s="16" t="s">
        <v>8</v>
      </c>
      <c r="W78" s="16" t="s">
        <v>8</v>
      </c>
      <c r="X78" s="191" t="s">
        <v>8</v>
      </c>
      <c r="Y78" s="111" t="s">
        <v>8</v>
      </c>
      <c r="Z78" s="16" t="s">
        <v>8</v>
      </c>
      <c r="AA78" s="16" t="s">
        <v>8</v>
      </c>
      <c r="AB78" s="16" t="s">
        <v>8</v>
      </c>
      <c r="AC78" s="112" t="s">
        <v>8</v>
      </c>
      <c r="AD78" s="83" t="s">
        <v>8</v>
      </c>
      <c r="AE78" s="16" t="s">
        <v>8</v>
      </c>
      <c r="AF78" s="16" t="s">
        <v>8</v>
      </c>
      <c r="AG78" s="16" t="s">
        <v>8</v>
      </c>
      <c r="AH78" s="177" t="s">
        <v>8</v>
      </c>
      <c r="AI78" s="16" t="s">
        <v>8</v>
      </c>
      <c r="AJ78" s="83" t="s">
        <v>8</v>
      </c>
      <c r="AK78" s="227" t="s">
        <v>8</v>
      </c>
      <c r="AL78" s="292" t="s">
        <v>8</v>
      </c>
      <c r="AM78" s="307" t="s">
        <v>8</v>
      </c>
      <c r="AN78" s="307" t="s">
        <v>8</v>
      </c>
      <c r="AO78" s="307" t="s">
        <v>8</v>
      </c>
      <c r="AP78" s="15" t="s">
        <v>8</v>
      </c>
      <c r="AQ78" s="307" t="s">
        <v>8</v>
      </c>
      <c r="AR78" s="133" t="s">
        <v>8</v>
      </c>
      <c r="AS78" s="26" t="s">
        <v>8</v>
      </c>
      <c r="AT78" s="464" t="s">
        <v>8</v>
      </c>
      <c r="AU78" s="133" t="s">
        <v>8</v>
      </c>
      <c r="AV78" s="260" t="s">
        <v>8</v>
      </c>
      <c r="AW78" s="133" t="s">
        <v>8</v>
      </c>
      <c r="AX78" s="26" t="s">
        <v>8</v>
      </c>
      <c r="AY78" s="26" t="s">
        <v>8</v>
      </c>
      <c r="AZ78" s="260" t="s">
        <v>8</v>
      </c>
      <c r="BA78" s="258" t="s">
        <v>8</v>
      </c>
      <c r="BB78" s="260" t="s">
        <v>8</v>
      </c>
      <c r="BC78" s="721" t="s">
        <v>8</v>
      </c>
      <c r="BD78" s="781" t="s">
        <v>8</v>
      </c>
      <c r="BE78" s="464" t="s">
        <v>8</v>
      </c>
      <c r="BF78" s="314" t="s">
        <v>8</v>
      </c>
      <c r="BG78" s="292" t="s">
        <v>8</v>
      </c>
      <c r="BH78" s="260" t="s">
        <v>8</v>
      </c>
      <c r="BI78" s="314" t="s">
        <v>8</v>
      </c>
      <c r="BJ78" s="721" t="s">
        <v>8</v>
      </c>
      <c r="BK78" s="779" t="s">
        <v>8</v>
      </c>
      <c r="BL78" s="260" t="s">
        <v>8</v>
      </c>
      <c r="BM78" s="314" t="s">
        <v>8</v>
      </c>
      <c r="BN78" s="730" t="s">
        <v>17</v>
      </c>
      <c r="BO78" s="134"/>
      <c r="BP78" s="712"/>
      <c r="BQ78" s="260" t="s">
        <v>8</v>
      </c>
      <c r="BR78" s="712" t="s">
        <v>8</v>
      </c>
      <c r="BS78" s="27" t="s">
        <v>8</v>
      </c>
      <c r="BT78" s="409"/>
    </row>
    <row r="79" spans="1:73" ht="13.5" hidden="1" customHeight="1" x14ac:dyDescent="0.35">
      <c r="A79" s="683"/>
      <c r="B79" s="47"/>
      <c r="C79" s="3" t="s">
        <v>249</v>
      </c>
      <c r="D79" s="1128"/>
      <c r="E79" s="94" t="s">
        <v>8</v>
      </c>
      <c r="F79" s="31" t="s">
        <v>17</v>
      </c>
      <c r="G79" s="31" t="s">
        <v>17</v>
      </c>
      <c r="H79" s="31" t="s">
        <v>17</v>
      </c>
      <c r="I79" s="31" t="s">
        <v>8</v>
      </c>
      <c r="J79" s="37" t="s">
        <v>8</v>
      </c>
      <c r="K79" s="32" t="s">
        <v>8</v>
      </c>
      <c r="L79" s="261" t="s">
        <v>17</v>
      </c>
      <c r="M79" s="261" t="s">
        <v>8</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81" t="s">
        <v>8</v>
      </c>
      <c r="BE79" s="464" t="s">
        <v>8</v>
      </c>
      <c r="BF79" s="314" t="s">
        <v>8</v>
      </c>
      <c r="BG79" s="119" t="s">
        <v>8</v>
      </c>
      <c r="BH79" s="260" t="s">
        <v>8</v>
      </c>
      <c r="BI79" s="314" t="s">
        <v>8</v>
      </c>
      <c r="BJ79" s="721" t="s">
        <v>8</v>
      </c>
      <c r="BK79" s="779" t="s">
        <v>8</v>
      </c>
      <c r="BL79" s="260" t="s">
        <v>8</v>
      </c>
      <c r="BM79" s="314" t="s">
        <v>8</v>
      </c>
      <c r="BN79" s="721" t="s">
        <v>8</v>
      </c>
      <c r="BO79" s="134"/>
      <c r="BP79" s="712"/>
      <c r="BQ79" s="260" t="s">
        <v>8</v>
      </c>
      <c r="BR79" s="712" t="s">
        <v>8</v>
      </c>
      <c r="BS79" s="27" t="s">
        <v>8</v>
      </c>
      <c r="BT79" s="405"/>
    </row>
    <row r="80" spans="1:73" ht="13.5" hidden="1" customHeight="1" x14ac:dyDescent="0.35">
      <c r="A80" s="683"/>
      <c r="B80" s="47"/>
      <c r="C80" s="5" t="s">
        <v>423</v>
      </c>
      <c r="D80" s="1128"/>
      <c r="E80" s="99"/>
      <c r="F80" s="35"/>
      <c r="G80" s="35"/>
      <c r="H80" s="35"/>
      <c r="I80" s="35"/>
      <c r="J80" s="212" t="s">
        <v>325</v>
      </c>
      <c r="K80" s="220" t="s">
        <v>17</v>
      </c>
      <c r="L80" s="265" t="s">
        <v>17</v>
      </c>
      <c r="M80" s="265" t="s">
        <v>8</v>
      </c>
      <c r="N80" s="117"/>
      <c r="O80" s="29"/>
      <c r="P80" s="29"/>
      <c r="Q80" s="117"/>
      <c r="R80" s="29"/>
      <c r="S80" s="29"/>
      <c r="T80" s="118"/>
      <c r="U80" s="120"/>
      <c r="V80" s="30"/>
      <c r="W80" s="30"/>
      <c r="X80" s="193"/>
      <c r="Y80" s="119" t="s">
        <v>8</v>
      </c>
      <c r="Z80" s="13" t="s">
        <v>17</v>
      </c>
      <c r="AA80" s="13" t="s">
        <v>17</v>
      </c>
      <c r="AB80" s="13" t="s">
        <v>17</v>
      </c>
      <c r="AC80" s="102" t="s">
        <v>8</v>
      </c>
      <c r="AD80" s="87" t="s">
        <v>8</v>
      </c>
      <c r="AE80" s="13" t="s">
        <v>8</v>
      </c>
      <c r="AF80" s="21" t="s">
        <v>8</v>
      </c>
      <c r="AG80" s="13" t="s">
        <v>8</v>
      </c>
      <c r="AH80" s="36" t="s">
        <v>8</v>
      </c>
      <c r="AI80" s="13" t="s">
        <v>8</v>
      </c>
      <c r="AJ80" s="87" t="s">
        <v>8</v>
      </c>
      <c r="AK80" s="102" t="s">
        <v>8</v>
      </c>
      <c r="AL80" s="119" t="s">
        <v>17</v>
      </c>
      <c r="AM80" s="36" t="s">
        <v>17</v>
      </c>
      <c r="AN80" s="177" t="s">
        <v>17</v>
      </c>
      <c r="AO80" s="177" t="s">
        <v>17</v>
      </c>
      <c r="AP80" s="13" t="s">
        <v>17</v>
      </c>
      <c r="AQ80" s="36" t="s">
        <v>17</v>
      </c>
      <c r="AR80" s="133" t="s">
        <v>8</v>
      </c>
      <c r="AS80" s="16" t="s">
        <v>17</v>
      </c>
      <c r="AT80" s="177" t="s">
        <v>17</v>
      </c>
      <c r="AU80" s="133" t="s">
        <v>8</v>
      </c>
      <c r="AV80" s="112" t="s">
        <v>17</v>
      </c>
      <c r="AW80" s="133" t="s">
        <v>8</v>
      </c>
      <c r="AX80" s="16" t="s">
        <v>17</v>
      </c>
      <c r="AY80" s="526" t="s">
        <v>8</v>
      </c>
      <c r="AZ80" s="112" t="s">
        <v>17</v>
      </c>
      <c r="BA80" s="26" t="s">
        <v>17</v>
      </c>
      <c r="BB80" s="260" t="s">
        <v>17</v>
      </c>
      <c r="BC80" s="721" t="s">
        <v>8</v>
      </c>
      <c r="BD80" s="791" t="s">
        <v>17</v>
      </c>
      <c r="BE80" s="280" t="s">
        <v>8</v>
      </c>
      <c r="BF80" s="314" t="s">
        <v>17</v>
      </c>
      <c r="BG80" s="119" t="s">
        <v>17</v>
      </c>
      <c r="BH80" s="260" t="s">
        <v>17</v>
      </c>
      <c r="BI80" s="314" t="s">
        <v>17</v>
      </c>
      <c r="BJ80" s="721" t="s">
        <v>8</v>
      </c>
      <c r="BK80" s="779" t="s">
        <v>17</v>
      </c>
      <c r="BL80" s="156" t="s">
        <v>8</v>
      </c>
      <c r="BM80" s="314" t="s">
        <v>17</v>
      </c>
      <c r="BN80" s="721" t="s">
        <v>8</v>
      </c>
      <c r="BO80" s="919"/>
      <c r="BP80" s="712"/>
      <c r="BQ80" s="156" t="s">
        <v>8</v>
      </c>
      <c r="BR80" s="712" t="s">
        <v>8</v>
      </c>
      <c r="BS80" s="27" t="s">
        <v>17</v>
      </c>
      <c r="BT80" s="405" t="s">
        <v>213</v>
      </c>
    </row>
    <row r="81" spans="1:72" ht="13.5" hidden="1" customHeight="1" x14ac:dyDescent="0.35">
      <c r="A81" s="683"/>
      <c r="B81" s="47"/>
      <c r="C81" s="168" t="s">
        <v>250</v>
      </c>
      <c r="D81" s="1128"/>
      <c r="E81" s="94" t="s">
        <v>17</v>
      </c>
      <c r="F81" s="31" t="s">
        <v>17</v>
      </c>
      <c r="G81" s="31" t="s">
        <v>17</v>
      </c>
      <c r="H81" s="31" t="s">
        <v>17</v>
      </c>
      <c r="I81" s="31" t="s">
        <v>17</v>
      </c>
      <c r="J81" s="37" t="s">
        <v>17</v>
      </c>
      <c r="K81" s="267" t="s">
        <v>17</v>
      </c>
      <c r="L81" s="266" t="s">
        <v>17</v>
      </c>
      <c r="M81" s="266" t="s">
        <v>17</v>
      </c>
      <c r="N81" s="111" t="s">
        <v>8</v>
      </c>
      <c r="O81" s="16" t="s">
        <v>8</v>
      </c>
      <c r="P81" s="16" t="s">
        <v>8</v>
      </c>
      <c r="Q81" s="111" t="s">
        <v>8</v>
      </c>
      <c r="R81" s="16" t="s">
        <v>8</v>
      </c>
      <c r="S81" s="20" t="s">
        <v>8</v>
      </c>
      <c r="T81" s="114" t="s">
        <v>8</v>
      </c>
      <c r="U81" s="119" t="s">
        <v>8</v>
      </c>
      <c r="V81" s="13" t="s">
        <v>8</v>
      </c>
      <c r="W81" s="13" t="s">
        <v>8</v>
      </c>
      <c r="X81" s="190" t="s">
        <v>8</v>
      </c>
      <c r="Y81" s="119" t="s">
        <v>8</v>
      </c>
      <c r="Z81" s="13" t="s">
        <v>8</v>
      </c>
      <c r="AA81" s="13" t="s">
        <v>8</v>
      </c>
      <c r="AB81" s="13" t="s">
        <v>8</v>
      </c>
      <c r="AC81" s="102" t="s">
        <v>8</v>
      </c>
      <c r="AD81" s="87" t="s">
        <v>8</v>
      </c>
      <c r="AE81" s="13" t="s">
        <v>8</v>
      </c>
      <c r="AF81" s="13" t="s">
        <v>8</v>
      </c>
      <c r="AG81" s="13" t="s">
        <v>8</v>
      </c>
      <c r="AH81" s="36" t="s">
        <v>8</v>
      </c>
      <c r="AI81" s="13" t="s">
        <v>8</v>
      </c>
      <c r="AJ81" s="87" t="s">
        <v>8</v>
      </c>
      <c r="AK81" s="102" t="s">
        <v>8</v>
      </c>
      <c r="AL81" s="119" t="s">
        <v>8</v>
      </c>
      <c r="AM81" s="36" t="s">
        <v>8</v>
      </c>
      <c r="AN81" s="177" t="s">
        <v>8</v>
      </c>
      <c r="AO81" s="177" t="s">
        <v>8</v>
      </c>
      <c r="AP81" s="13" t="s">
        <v>8</v>
      </c>
      <c r="AQ81" s="36" t="s">
        <v>8</v>
      </c>
      <c r="AR81" s="133" t="s">
        <v>8</v>
      </c>
      <c r="AS81" s="26" t="s">
        <v>8</v>
      </c>
      <c r="AT81" s="464" t="s">
        <v>8</v>
      </c>
      <c r="AU81" s="133" t="s">
        <v>8</v>
      </c>
      <c r="AV81" s="260" t="s">
        <v>8</v>
      </c>
      <c r="AW81" s="133" t="s">
        <v>8</v>
      </c>
      <c r="AX81" s="26" t="s">
        <v>8</v>
      </c>
      <c r="AY81" s="26" t="s">
        <v>8</v>
      </c>
      <c r="AZ81" s="260" t="s">
        <v>8</v>
      </c>
      <c r="BA81" s="26" t="s">
        <v>8</v>
      </c>
      <c r="BB81" s="260" t="s">
        <v>8</v>
      </c>
      <c r="BC81" s="721" t="s">
        <v>8</v>
      </c>
      <c r="BD81" s="781" t="s">
        <v>8</v>
      </c>
      <c r="BE81" s="464" t="s">
        <v>8</v>
      </c>
      <c r="BF81" s="314" t="s">
        <v>8</v>
      </c>
      <c r="BG81" s="119" t="s">
        <v>8</v>
      </c>
      <c r="BH81" s="260" t="s">
        <v>8</v>
      </c>
      <c r="BI81" s="314" t="s">
        <v>8</v>
      </c>
      <c r="BJ81" s="721" t="s">
        <v>8</v>
      </c>
      <c r="BK81" s="779" t="s">
        <v>8</v>
      </c>
      <c r="BL81" s="260" t="s">
        <v>8</v>
      </c>
      <c r="BM81" s="314" t="s">
        <v>8</v>
      </c>
      <c r="BN81" s="721" t="s">
        <v>8</v>
      </c>
      <c r="BO81" s="134"/>
      <c r="BP81" s="712"/>
      <c r="BQ81" s="260" t="s">
        <v>8</v>
      </c>
      <c r="BR81" s="712" t="s">
        <v>8</v>
      </c>
      <c r="BS81" s="27" t="s">
        <v>8</v>
      </c>
      <c r="BT81" s="405" t="s">
        <v>688</v>
      </c>
    </row>
    <row r="82" spans="1:72" ht="13.5" hidden="1" customHeight="1" x14ac:dyDescent="0.35">
      <c r="A82" s="683"/>
      <c r="B82" s="47"/>
      <c r="C82" s="168" t="s">
        <v>407</v>
      </c>
      <c r="D82" s="1128"/>
      <c r="E82" s="94" t="s">
        <v>45</v>
      </c>
      <c r="F82" s="31" t="s">
        <v>45</v>
      </c>
      <c r="G82" s="31" t="s">
        <v>45</v>
      </c>
      <c r="H82" s="31" t="s">
        <v>45</v>
      </c>
      <c r="I82" s="31" t="s">
        <v>45</v>
      </c>
      <c r="J82" s="37" t="s">
        <v>45</v>
      </c>
      <c r="K82" s="267" t="s">
        <v>45</v>
      </c>
      <c r="L82" s="266" t="s">
        <v>17</v>
      </c>
      <c r="M82" s="266" t="s">
        <v>17</v>
      </c>
      <c r="N82" s="111" t="s">
        <v>392</v>
      </c>
      <c r="O82" s="16" t="s">
        <v>392</v>
      </c>
      <c r="P82" s="16" t="s">
        <v>392</v>
      </c>
      <c r="Q82" s="111" t="s">
        <v>392</v>
      </c>
      <c r="R82" s="16" t="s">
        <v>392</v>
      </c>
      <c r="S82" s="16" t="s">
        <v>392</v>
      </c>
      <c r="T82" s="114" t="s">
        <v>392</v>
      </c>
      <c r="U82" s="111" t="s">
        <v>392</v>
      </c>
      <c r="V82" s="16" t="s">
        <v>392</v>
      </c>
      <c r="W82" s="16" t="s">
        <v>392</v>
      </c>
      <c r="X82" s="114" t="s">
        <v>392</v>
      </c>
      <c r="Y82" s="111" t="s">
        <v>392</v>
      </c>
      <c r="Z82" s="16" t="s">
        <v>392</v>
      </c>
      <c r="AA82" s="16" t="s">
        <v>392</v>
      </c>
      <c r="AB82" s="16" t="s">
        <v>392</v>
      </c>
      <c r="AC82" s="114" t="s">
        <v>392</v>
      </c>
      <c r="AD82" s="87" t="s">
        <v>393</v>
      </c>
      <c r="AE82" s="13" t="s">
        <v>393</v>
      </c>
      <c r="AF82" s="13" t="s">
        <v>393</v>
      </c>
      <c r="AG82" s="13" t="s">
        <v>393</v>
      </c>
      <c r="AH82" s="36" t="s">
        <v>393</v>
      </c>
      <c r="AI82" s="13" t="s">
        <v>393</v>
      </c>
      <c r="AJ82" s="87" t="s">
        <v>393</v>
      </c>
      <c r="AK82" s="102" t="s">
        <v>393</v>
      </c>
      <c r="AL82" s="119" t="s">
        <v>393</v>
      </c>
      <c r="AM82" s="36" t="s">
        <v>393</v>
      </c>
      <c r="AN82" s="177" t="s">
        <v>393</v>
      </c>
      <c r="AO82" s="177" t="s">
        <v>393</v>
      </c>
      <c r="AP82" s="13" t="s">
        <v>393</v>
      </c>
      <c r="AQ82" s="36" t="s">
        <v>393</v>
      </c>
      <c r="AR82" s="133" t="s">
        <v>393</v>
      </c>
      <c r="AS82" s="26" t="s">
        <v>393</v>
      </c>
      <c r="AT82" s="464" t="s">
        <v>393</v>
      </c>
      <c r="AU82" s="133" t="s">
        <v>393</v>
      </c>
      <c r="AV82" s="260" t="s">
        <v>393</v>
      </c>
      <c r="AW82" s="133" t="s">
        <v>393</v>
      </c>
      <c r="AX82" s="26" t="s">
        <v>393</v>
      </c>
      <c r="AY82" s="26" t="s">
        <v>393</v>
      </c>
      <c r="AZ82" s="260" t="s">
        <v>393</v>
      </c>
      <c r="BA82" s="26" t="s">
        <v>393</v>
      </c>
      <c r="BB82" s="260" t="s">
        <v>393</v>
      </c>
      <c r="BC82" s="721" t="s">
        <v>393</v>
      </c>
      <c r="BD82" s="781" t="s">
        <v>393</v>
      </c>
      <c r="BE82" s="464" t="s">
        <v>393</v>
      </c>
      <c r="BF82" s="314" t="s">
        <v>393</v>
      </c>
      <c r="BG82" s="119" t="s">
        <v>393</v>
      </c>
      <c r="BH82" s="260" t="s">
        <v>393</v>
      </c>
      <c r="BI82" s="314" t="s">
        <v>393</v>
      </c>
      <c r="BJ82" s="721" t="s">
        <v>393</v>
      </c>
      <c r="BK82" s="779" t="s">
        <v>393</v>
      </c>
      <c r="BL82" s="260" t="s">
        <v>393</v>
      </c>
      <c r="BM82" s="314" t="s">
        <v>393</v>
      </c>
      <c r="BN82" s="721" t="s">
        <v>8</v>
      </c>
      <c r="BO82" s="134"/>
      <c r="BP82" s="712"/>
      <c r="BQ82" s="260" t="s">
        <v>393</v>
      </c>
      <c r="BR82" s="712" t="s">
        <v>393</v>
      </c>
      <c r="BS82" s="27" t="s">
        <v>393</v>
      </c>
      <c r="BT82" s="405"/>
    </row>
    <row r="83" spans="1:72" ht="13.5" hidden="1" customHeight="1" x14ac:dyDescent="0.35">
      <c r="A83" s="683"/>
      <c r="B83" s="47"/>
      <c r="C83" s="169" t="s">
        <v>424</v>
      </c>
      <c r="D83" s="1128"/>
      <c r="E83" s="99"/>
      <c r="F83" s="35"/>
      <c r="G83" s="35"/>
      <c r="H83" s="35"/>
      <c r="I83" s="35"/>
      <c r="J83" s="212" t="s">
        <v>326</v>
      </c>
      <c r="K83" s="220" t="s">
        <v>17</v>
      </c>
      <c r="L83" s="265" t="s">
        <v>17</v>
      </c>
      <c r="M83" s="265" t="s">
        <v>17</v>
      </c>
      <c r="N83" s="117"/>
      <c r="O83" s="29"/>
      <c r="P83" s="29"/>
      <c r="Q83" s="117"/>
      <c r="R83" s="29"/>
      <c r="S83" s="29"/>
      <c r="T83" s="118"/>
      <c r="U83" s="120"/>
      <c r="V83" s="30"/>
      <c r="W83" s="30"/>
      <c r="X83" s="193"/>
      <c r="Y83" s="119" t="s">
        <v>8</v>
      </c>
      <c r="Z83" s="13" t="s">
        <v>17</v>
      </c>
      <c r="AA83" s="13" t="s">
        <v>17</v>
      </c>
      <c r="AB83" s="13" t="s">
        <v>17</v>
      </c>
      <c r="AC83" s="102" t="s">
        <v>8</v>
      </c>
      <c r="AD83" s="87" t="s">
        <v>8</v>
      </c>
      <c r="AE83" s="13" t="s">
        <v>8</v>
      </c>
      <c r="AF83" s="21" t="s">
        <v>8</v>
      </c>
      <c r="AG83" s="13" t="s">
        <v>8</v>
      </c>
      <c r="AH83" s="36" t="s">
        <v>8</v>
      </c>
      <c r="AI83" s="13" t="s">
        <v>8</v>
      </c>
      <c r="AJ83" s="87" t="s">
        <v>8</v>
      </c>
      <c r="AK83" s="102" t="s">
        <v>8</v>
      </c>
      <c r="AL83" s="119" t="s">
        <v>17</v>
      </c>
      <c r="AM83" s="36" t="s">
        <v>17</v>
      </c>
      <c r="AN83" s="177" t="s">
        <v>17</v>
      </c>
      <c r="AO83" s="177" t="s">
        <v>17</v>
      </c>
      <c r="AP83" s="13" t="s">
        <v>17</v>
      </c>
      <c r="AQ83" s="36" t="s">
        <v>17</v>
      </c>
      <c r="AR83" s="133" t="s">
        <v>8</v>
      </c>
      <c r="AS83" s="16" t="s">
        <v>17</v>
      </c>
      <c r="AT83" s="177" t="s">
        <v>17</v>
      </c>
      <c r="AU83" s="133" t="s">
        <v>8</v>
      </c>
      <c r="AV83" s="112" t="s">
        <v>17</v>
      </c>
      <c r="AW83" s="133" t="s">
        <v>8</v>
      </c>
      <c r="AX83" s="16" t="s">
        <v>17</v>
      </c>
      <c r="AY83" s="526" t="s">
        <v>8</v>
      </c>
      <c r="AZ83" s="112" t="s">
        <v>17</v>
      </c>
      <c r="BA83" s="26" t="s">
        <v>17</v>
      </c>
      <c r="BB83" s="260" t="s">
        <v>17</v>
      </c>
      <c r="BC83" s="721" t="s">
        <v>8</v>
      </c>
      <c r="BD83" s="791" t="s">
        <v>17</v>
      </c>
      <c r="BE83" s="280" t="s">
        <v>8</v>
      </c>
      <c r="BF83" s="314" t="s">
        <v>17</v>
      </c>
      <c r="BG83" s="119" t="s">
        <v>17</v>
      </c>
      <c r="BH83" s="260" t="s">
        <v>17</v>
      </c>
      <c r="BI83" s="314" t="s">
        <v>17</v>
      </c>
      <c r="BJ83" s="721" t="s">
        <v>8</v>
      </c>
      <c r="BK83" s="779" t="s">
        <v>17</v>
      </c>
      <c r="BL83" s="156" t="s">
        <v>8</v>
      </c>
      <c r="BM83" s="314" t="s">
        <v>17</v>
      </c>
      <c r="BN83" s="721" t="s">
        <v>393</v>
      </c>
      <c r="BO83" s="919"/>
      <c r="BP83" s="712"/>
      <c r="BQ83" s="156" t="s">
        <v>8</v>
      </c>
      <c r="BR83" s="712" t="s">
        <v>8</v>
      </c>
      <c r="BS83" s="27" t="s">
        <v>17</v>
      </c>
      <c r="BT83" s="405" t="s">
        <v>213</v>
      </c>
    </row>
    <row r="84" spans="1:72" ht="13.5" hidden="1" customHeight="1" x14ac:dyDescent="0.35">
      <c r="A84" s="683"/>
      <c r="B84" s="47"/>
      <c r="C84" s="168" t="s">
        <v>35</v>
      </c>
      <c r="D84" s="1128"/>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81" t="s">
        <v>8</v>
      </c>
      <c r="BE84" s="464" t="s">
        <v>8</v>
      </c>
      <c r="BF84" s="314" t="s">
        <v>8</v>
      </c>
      <c r="BG84" s="119" t="s">
        <v>8</v>
      </c>
      <c r="BH84" s="260" t="s">
        <v>8</v>
      </c>
      <c r="BI84" s="314" t="s">
        <v>8</v>
      </c>
      <c r="BJ84" s="721" t="s">
        <v>8</v>
      </c>
      <c r="BK84" s="779" t="s">
        <v>8</v>
      </c>
      <c r="BL84" s="260" t="s">
        <v>8</v>
      </c>
      <c r="BM84" s="314" t="s">
        <v>8</v>
      </c>
      <c r="BN84" s="721" t="s">
        <v>8</v>
      </c>
      <c r="BO84" s="134"/>
      <c r="BP84" s="712"/>
      <c r="BQ84" s="260" t="s">
        <v>8</v>
      </c>
      <c r="BR84" s="712" t="s">
        <v>8</v>
      </c>
      <c r="BS84" s="27" t="s">
        <v>8</v>
      </c>
      <c r="BT84" s="405"/>
    </row>
    <row r="85" spans="1:72" ht="13.5" hidden="1" customHeight="1" x14ac:dyDescent="0.35">
      <c r="A85" s="683"/>
      <c r="B85" s="47"/>
      <c r="C85" s="168" t="s">
        <v>214</v>
      </c>
      <c r="D85" s="1128"/>
      <c r="E85" s="94" t="s">
        <v>8</v>
      </c>
      <c r="F85" s="31" t="s">
        <v>17</v>
      </c>
      <c r="G85" s="31" t="s">
        <v>17</v>
      </c>
      <c r="H85" s="31" t="s">
        <v>17</v>
      </c>
      <c r="I85" s="31" t="s">
        <v>8</v>
      </c>
      <c r="J85" s="37" t="s">
        <v>325</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81" t="s">
        <v>8</v>
      </c>
      <c r="BE85" s="464" t="s">
        <v>8</v>
      </c>
      <c r="BF85" s="314" t="s">
        <v>8</v>
      </c>
      <c r="BG85" s="119" t="s">
        <v>8</v>
      </c>
      <c r="BH85" s="260" t="s">
        <v>8</v>
      </c>
      <c r="BI85" s="314" t="s">
        <v>8</v>
      </c>
      <c r="BJ85" s="721" t="s">
        <v>8</v>
      </c>
      <c r="BK85" s="779" t="s">
        <v>8</v>
      </c>
      <c r="BL85" s="260" t="s">
        <v>8</v>
      </c>
      <c r="BM85" s="314" t="s">
        <v>8</v>
      </c>
      <c r="BN85" s="721" t="s">
        <v>8</v>
      </c>
      <c r="BO85" s="134"/>
      <c r="BP85" s="712"/>
      <c r="BQ85" s="260" t="s">
        <v>8</v>
      </c>
      <c r="BR85" s="712" t="s">
        <v>8</v>
      </c>
      <c r="BS85" s="27" t="s">
        <v>8</v>
      </c>
      <c r="BT85" s="405" t="s">
        <v>421</v>
      </c>
    </row>
    <row r="86" spans="1:72" ht="13.5" hidden="1" customHeight="1" x14ac:dyDescent="0.35">
      <c r="A86" s="683"/>
      <c r="B86" s="47"/>
      <c r="C86" s="168" t="s">
        <v>215</v>
      </c>
      <c r="D86" s="1128"/>
      <c r="E86" s="94" t="s">
        <v>8</v>
      </c>
      <c r="F86" s="31" t="s">
        <v>8</v>
      </c>
      <c r="G86" s="31" t="s">
        <v>17</v>
      </c>
      <c r="H86" s="31" t="s">
        <v>17</v>
      </c>
      <c r="I86" s="31" t="s">
        <v>8</v>
      </c>
      <c r="J86" s="37" t="s">
        <v>325</v>
      </c>
      <c r="K86" s="267" t="s">
        <v>8</v>
      </c>
      <c r="L86" s="266" t="s">
        <v>17</v>
      </c>
      <c r="M86" s="266" t="s">
        <v>8</v>
      </c>
      <c r="N86" s="111" t="s">
        <v>8</v>
      </c>
      <c r="O86" s="16" t="s">
        <v>8</v>
      </c>
      <c r="P86" s="16" t="s">
        <v>8</v>
      </c>
      <c r="Q86" s="111" t="s">
        <v>8</v>
      </c>
      <c r="R86" s="16" t="s">
        <v>8</v>
      </c>
      <c r="S86" s="20" t="s">
        <v>8</v>
      </c>
      <c r="T86" s="114" t="s">
        <v>8</v>
      </c>
      <c r="U86" s="119" t="s">
        <v>8</v>
      </c>
      <c r="V86" s="13" t="s">
        <v>8</v>
      </c>
      <c r="W86" s="13" t="s">
        <v>8</v>
      </c>
      <c r="X86" s="190" t="s">
        <v>8</v>
      </c>
      <c r="Y86" s="119" t="s">
        <v>8</v>
      </c>
      <c r="Z86" s="13" t="s">
        <v>8</v>
      </c>
      <c r="AA86" s="13" t="s">
        <v>8</v>
      </c>
      <c r="AB86" s="13" t="s">
        <v>8</v>
      </c>
      <c r="AC86" s="102" t="s">
        <v>8</v>
      </c>
      <c r="AD86" s="87" t="s">
        <v>8</v>
      </c>
      <c r="AE86" s="13" t="s">
        <v>8</v>
      </c>
      <c r="AF86" s="13" t="s">
        <v>8</v>
      </c>
      <c r="AG86" s="13" t="s">
        <v>8</v>
      </c>
      <c r="AH86" s="36" t="s">
        <v>8</v>
      </c>
      <c r="AI86" s="13" t="s">
        <v>8</v>
      </c>
      <c r="AJ86" s="87" t="s">
        <v>8</v>
      </c>
      <c r="AK86" s="102" t="s">
        <v>8</v>
      </c>
      <c r="AL86" s="119" t="s">
        <v>8</v>
      </c>
      <c r="AM86" s="36" t="s">
        <v>8</v>
      </c>
      <c r="AN86" s="177" t="s">
        <v>8</v>
      </c>
      <c r="AO86" s="177" t="s">
        <v>8</v>
      </c>
      <c r="AP86" s="13" t="s">
        <v>8</v>
      </c>
      <c r="AQ86" s="36" t="s">
        <v>8</v>
      </c>
      <c r="AR86" s="133" t="s">
        <v>8</v>
      </c>
      <c r="AS86" s="26" t="s">
        <v>8</v>
      </c>
      <c r="AT86" s="464" t="s">
        <v>8</v>
      </c>
      <c r="AU86" s="133" t="s">
        <v>8</v>
      </c>
      <c r="AV86" s="260" t="s">
        <v>8</v>
      </c>
      <c r="AW86" s="133" t="s">
        <v>8</v>
      </c>
      <c r="AX86" s="26" t="s">
        <v>8</v>
      </c>
      <c r="AY86" s="26" t="s">
        <v>8</v>
      </c>
      <c r="AZ86" s="260" t="s">
        <v>8</v>
      </c>
      <c r="BA86" s="26" t="s">
        <v>8</v>
      </c>
      <c r="BB86" s="260" t="s">
        <v>8</v>
      </c>
      <c r="BC86" s="721" t="s">
        <v>8</v>
      </c>
      <c r="BD86" s="781" t="s">
        <v>8</v>
      </c>
      <c r="BE86" s="464" t="s">
        <v>8</v>
      </c>
      <c r="BF86" s="314" t="s">
        <v>8</v>
      </c>
      <c r="BG86" s="119" t="s">
        <v>8</v>
      </c>
      <c r="BH86" s="260" t="s">
        <v>8</v>
      </c>
      <c r="BI86" s="314" t="s">
        <v>8</v>
      </c>
      <c r="BJ86" s="721" t="s">
        <v>8</v>
      </c>
      <c r="BK86" s="779" t="s">
        <v>8</v>
      </c>
      <c r="BL86" s="260" t="s">
        <v>8</v>
      </c>
      <c r="BM86" s="314" t="s">
        <v>8</v>
      </c>
      <c r="BN86" s="721" t="s">
        <v>8</v>
      </c>
      <c r="BO86" s="134"/>
      <c r="BP86" s="712"/>
      <c r="BQ86" s="260" t="s">
        <v>8</v>
      </c>
      <c r="BR86" s="712" t="s">
        <v>8</v>
      </c>
      <c r="BS86" s="27" t="s">
        <v>8</v>
      </c>
      <c r="BT86" s="405" t="s">
        <v>421</v>
      </c>
    </row>
    <row r="87" spans="1:72" ht="13.5" hidden="1" customHeight="1" x14ac:dyDescent="0.35">
      <c r="A87" s="683"/>
      <c r="B87" s="47"/>
      <c r="C87" s="168" t="s">
        <v>216</v>
      </c>
      <c r="D87" s="1128"/>
      <c r="E87" s="94" t="s">
        <v>8</v>
      </c>
      <c r="F87" s="31" t="s">
        <v>17</v>
      </c>
      <c r="G87" s="31" t="s">
        <v>17</v>
      </c>
      <c r="H87" s="31" t="s">
        <v>17</v>
      </c>
      <c r="I87" s="31" t="s">
        <v>8</v>
      </c>
      <c r="J87" s="37" t="s">
        <v>8</v>
      </c>
      <c r="K87" s="267" t="s">
        <v>8</v>
      </c>
      <c r="L87" s="266" t="s">
        <v>17</v>
      </c>
      <c r="M87" s="266" t="s">
        <v>8</v>
      </c>
      <c r="N87" s="111" t="s">
        <v>8</v>
      </c>
      <c r="O87" s="16" t="s">
        <v>8</v>
      </c>
      <c r="P87" s="16" t="s">
        <v>8</v>
      </c>
      <c r="Q87" s="111" t="s">
        <v>8</v>
      </c>
      <c r="R87" s="16" t="s">
        <v>8</v>
      </c>
      <c r="S87" s="20" t="s">
        <v>8</v>
      </c>
      <c r="T87" s="114" t="s">
        <v>8</v>
      </c>
      <c r="U87" s="119" t="s">
        <v>8</v>
      </c>
      <c r="V87" s="13" t="s">
        <v>8</v>
      </c>
      <c r="W87" s="13" t="s">
        <v>8</v>
      </c>
      <c r="X87" s="190" t="s">
        <v>8</v>
      </c>
      <c r="Y87" s="119" t="s">
        <v>8</v>
      </c>
      <c r="Z87" s="13" t="s">
        <v>8</v>
      </c>
      <c r="AA87" s="13" t="s">
        <v>8</v>
      </c>
      <c r="AB87" s="13" t="s">
        <v>8</v>
      </c>
      <c r="AC87" s="102" t="s">
        <v>8</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81" t="s">
        <v>8</v>
      </c>
      <c r="BE87" s="464" t="s">
        <v>8</v>
      </c>
      <c r="BF87" s="314" t="s">
        <v>8</v>
      </c>
      <c r="BG87" s="119" t="s">
        <v>8</v>
      </c>
      <c r="BH87" s="260" t="s">
        <v>8</v>
      </c>
      <c r="BI87" s="314" t="s">
        <v>8</v>
      </c>
      <c r="BJ87" s="721" t="s">
        <v>8</v>
      </c>
      <c r="BK87" s="779" t="s">
        <v>8</v>
      </c>
      <c r="BL87" s="260" t="s">
        <v>8</v>
      </c>
      <c r="BM87" s="314" t="s">
        <v>8</v>
      </c>
      <c r="BN87" s="721" t="s">
        <v>8</v>
      </c>
      <c r="BO87" s="134"/>
      <c r="BP87" s="712"/>
      <c r="BQ87" s="260" t="s">
        <v>8</v>
      </c>
      <c r="BR87" s="133" t="s">
        <v>8</v>
      </c>
      <c r="BS87" s="26" t="s">
        <v>8</v>
      </c>
      <c r="BT87" s="405"/>
    </row>
    <row r="88" spans="1:72" ht="13.5" hidden="1" customHeight="1" x14ac:dyDescent="0.35">
      <c r="A88" s="683"/>
      <c r="B88" s="47"/>
      <c r="C88" s="168" t="s">
        <v>429</v>
      </c>
      <c r="D88" s="1128"/>
      <c r="E88" s="100"/>
      <c r="F88" s="34"/>
      <c r="G88" s="34"/>
      <c r="H88" s="34"/>
      <c r="I88" s="34"/>
      <c r="J88" s="34"/>
      <c r="K88" s="254"/>
      <c r="L88" s="262"/>
      <c r="M88" s="993" t="s">
        <v>8</v>
      </c>
      <c r="N88" s="117"/>
      <c r="O88" s="29"/>
      <c r="P88" s="29"/>
      <c r="Q88" s="117"/>
      <c r="R88" s="29"/>
      <c r="S88" s="29"/>
      <c r="T88" s="118"/>
      <c r="U88" s="120"/>
      <c r="V88" s="30"/>
      <c r="W88" s="30"/>
      <c r="X88" s="193"/>
      <c r="Y88" s="120"/>
      <c r="Z88" s="30"/>
      <c r="AA88" s="30"/>
      <c r="AB88" s="30"/>
      <c r="AC88" s="121"/>
      <c r="AD88" s="88"/>
      <c r="AE88" s="30"/>
      <c r="AF88" s="30"/>
      <c r="AG88" s="30"/>
      <c r="AH88" s="173"/>
      <c r="AI88" s="30"/>
      <c r="AJ88" s="173"/>
      <c r="AK88" s="102" t="s">
        <v>8</v>
      </c>
      <c r="AL88" s="120"/>
      <c r="AM88" s="173"/>
      <c r="AN88" s="171"/>
      <c r="AO88" s="171"/>
      <c r="AP88" s="30"/>
      <c r="AQ88" s="173"/>
      <c r="AR88" s="133" t="s">
        <v>8</v>
      </c>
      <c r="AS88" s="26" t="s">
        <v>8</v>
      </c>
      <c r="AT88" s="464" t="s">
        <v>8</v>
      </c>
      <c r="AU88" s="133" t="s">
        <v>8</v>
      </c>
      <c r="AV88" s="260" t="s">
        <v>8</v>
      </c>
      <c r="AW88" s="133" t="s">
        <v>8</v>
      </c>
      <c r="AX88" s="26" t="s">
        <v>8</v>
      </c>
      <c r="AY88" s="26" t="s">
        <v>8</v>
      </c>
      <c r="AZ88" s="260" t="s">
        <v>8</v>
      </c>
      <c r="BA88" s="334"/>
      <c r="BB88" s="260" t="s">
        <v>8</v>
      </c>
      <c r="BC88" s="721" t="s">
        <v>8</v>
      </c>
      <c r="BD88" s="781" t="s">
        <v>8</v>
      </c>
      <c r="BE88" s="464" t="s">
        <v>8</v>
      </c>
      <c r="BF88" s="314" t="s">
        <v>8</v>
      </c>
      <c r="BG88" s="120"/>
      <c r="BH88" s="260" t="s">
        <v>8</v>
      </c>
      <c r="BI88" s="314" t="s">
        <v>8</v>
      </c>
      <c r="BJ88" s="721" t="s">
        <v>8</v>
      </c>
      <c r="BK88" s="779" t="s">
        <v>8</v>
      </c>
      <c r="BL88" s="260" t="s">
        <v>8</v>
      </c>
      <c r="BM88" s="314" t="s">
        <v>8</v>
      </c>
      <c r="BN88" s="721" t="s">
        <v>8</v>
      </c>
      <c r="BO88" s="134"/>
      <c r="BP88" s="712"/>
      <c r="BQ88" s="260" t="s">
        <v>8</v>
      </c>
      <c r="BR88" s="133" t="s">
        <v>8</v>
      </c>
      <c r="BS88" s="26" t="s">
        <v>8</v>
      </c>
      <c r="BT88" s="405"/>
    </row>
    <row r="89" spans="1:72" ht="13.5" hidden="1" customHeight="1" thickTop="1" x14ac:dyDescent="0.35">
      <c r="A89" s="683"/>
      <c r="B89" s="47"/>
      <c r="C89" s="168" t="s">
        <v>208</v>
      </c>
      <c r="D89" s="1128"/>
      <c r="E89" s="100"/>
      <c r="F89" s="34"/>
      <c r="G89" s="34"/>
      <c r="H89" s="34"/>
      <c r="I89" s="34"/>
      <c r="J89" s="37" t="s">
        <v>17</v>
      </c>
      <c r="K89" s="267" t="s">
        <v>8</v>
      </c>
      <c r="L89" s="266" t="s">
        <v>17</v>
      </c>
      <c r="M89" s="993" t="s">
        <v>8</v>
      </c>
      <c r="N89" s="117"/>
      <c r="O89" s="29"/>
      <c r="P89" s="29"/>
      <c r="Q89" s="117"/>
      <c r="R89" s="29"/>
      <c r="S89" s="29"/>
      <c r="T89" s="118"/>
      <c r="U89" s="120"/>
      <c r="V89" s="30"/>
      <c r="W89" s="30"/>
      <c r="X89" s="193"/>
      <c r="Y89" s="120"/>
      <c r="Z89" s="30"/>
      <c r="AA89" s="16" t="s">
        <v>8</v>
      </c>
      <c r="AB89" s="16" t="s">
        <v>8</v>
      </c>
      <c r="AC89" s="114" t="s">
        <v>17</v>
      </c>
      <c r="AD89" s="87" t="s">
        <v>8</v>
      </c>
      <c r="AE89" s="13" t="s">
        <v>8</v>
      </c>
      <c r="AF89" s="13" t="s">
        <v>8</v>
      </c>
      <c r="AG89" s="13" t="s">
        <v>8</v>
      </c>
      <c r="AH89" s="36" t="s">
        <v>8</v>
      </c>
      <c r="AI89" s="13" t="s">
        <v>8</v>
      </c>
      <c r="AJ89" s="87" t="s">
        <v>8</v>
      </c>
      <c r="AK89" s="102" t="s">
        <v>8</v>
      </c>
      <c r="AL89" s="119" t="s">
        <v>8</v>
      </c>
      <c r="AM89" s="36" t="s">
        <v>8</v>
      </c>
      <c r="AN89" s="177" t="s">
        <v>8</v>
      </c>
      <c r="AO89" s="177" t="s">
        <v>8</v>
      </c>
      <c r="AP89" s="13" t="s">
        <v>8</v>
      </c>
      <c r="AQ89" s="36" t="s">
        <v>8</v>
      </c>
      <c r="AR89" s="133" t="s">
        <v>8</v>
      </c>
      <c r="AS89" s="26" t="s">
        <v>8</v>
      </c>
      <c r="AT89" s="464" t="s">
        <v>8</v>
      </c>
      <c r="AU89" s="133" t="s">
        <v>8</v>
      </c>
      <c r="AV89" s="260" t="s">
        <v>8</v>
      </c>
      <c r="AW89" s="133" t="s">
        <v>8</v>
      </c>
      <c r="AX89" s="26" t="s">
        <v>8</v>
      </c>
      <c r="AY89" s="26" t="s">
        <v>8</v>
      </c>
      <c r="AZ89" s="260" t="s">
        <v>8</v>
      </c>
      <c r="BA89" s="26" t="s">
        <v>8</v>
      </c>
      <c r="BB89" s="260" t="s">
        <v>8</v>
      </c>
      <c r="BC89" s="721" t="s">
        <v>8</v>
      </c>
      <c r="BD89" s="781" t="s">
        <v>8</v>
      </c>
      <c r="BE89" s="464" t="s">
        <v>8</v>
      </c>
      <c r="BF89" s="314" t="s">
        <v>8</v>
      </c>
      <c r="BG89" s="119" t="s">
        <v>8</v>
      </c>
      <c r="BH89" s="260" t="s">
        <v>8</v>
      </c>
      <c r="BI89" s="314" t="s">
        <v>8</v>
      </c>
      <c r="BJ89" s="721" t="s">
        <v>8</v>
      </c>
      <c r="BK89" s="779" t="s">
        <v>8</v>
      </c>
      <c r="BL89" s="260" t="s">
        <v>8</v>
      </c>
      <c r="BM89" s="314" t="s">
        <v>8</v>
      </c>
      <c r="BN89" s="721" t="s">
        <v>8</v>
      </c>
      <c r="BO89" s="134"/>
      <c r="BP89" s="712"/>
      <c r="BQ89" s="260" t="s">
        <v>8</v>
      </c>
      <c r="BR89" s="133" t="s">
        <v>8</v>
      </c>
      <c r="BS89" s="26" t="s">
        <v>8</v>
      </c>
      <c r="BT89" s="405"/>
    </row>
    <row r="90" spans="1:72" ht="13.5" hidden="1" customHeight="1" x14ac:dyDescent="0.35">
      <c r="A90" s="683"/>
      <c r="B90" s="47"/>
      <c r="C90" s="169" t="s">
        <v>1384</v>
      </c>
      <c r="D90" s="1128"/>
      <c r="E90" s="100"/>
      <c r="F90" s="34"/>
      <c r="G90" s="34"/>
      <c r="H90" s="34"/>
      <c r="I90" s="34"/>
      <c r="J90" s="34"/>
      <c r="K90" s="254"/>
      <c r="L90" s="262"/>
      <c r="M90" s="993" t="s">
        <v>8</v>
      </c>
      <c r="N90" s="117"/>
      <c r="O90" s="29"/>
      <c r="P90" s="29"/>
      <c r="Q90" s="117"/>
      <c r="R90" s="29"/>
      <c r="S90" s="29"/>
      <c r="T90" s="118"/>
      <c r="U90" s="120"/>
      <c r="V90" s="30"/>
      <c r="W90" s="30"/>
      <c r="X90" s="193"/>
      <c r="Y90" s="120"/>
      <c r="Z90" s="30"/>
      <c r="AA90" s="29"/>
      <c r="AB90" s="29"/>
      <c r="AC90" s="118"/>
      <c r="AD90" s="88"/>
      <c r="AE90" s="30"/>
      <c r="AF90" s="30"/>
      <c r="AG90" s="30"/>
      <c r="AH90" s="173"/>
      <c r="AI90" s="30"/>
      <c r="AJ90" s="88"/>
      <c r="AK90" s="121"/>
      <c r="AL90" s="120"/>
      <c r="AM90" s="173"/>
      <c r="AN90" s="171"/>
      <c r="AO90" s="171"/>
      <c r="AP90" s="30"/>
      <c r="AQ90" s="173"/>
      <c r="AR90" s="494"/>
      <c r="AS90" s="334"/>
      <c r="AT90" s="472"/>
      <c r="AU90" s="494"/>
      <c r="AV90" s="495"/>
      <c r="AW90" s="494"/>
      <c r="AX90" s="334"/>
      <c r="AY90" s="334"/>
      <c r="AZ90" s="495"/>
      <c r="BA90" s="334"/>
      <c r="BB90" s="495"/>
      <c r="BC90" s="718" t="s">
        <v>8</v>
      </c>
      <c r="BD90" s="779" t="s">
        <v>8</v>
      </c>
      <c r="BE90" s="280" t="s">
        <v>8</v>
      </c>
      <c r="BF90" s="378" t="s">
        <v>8</v>
      </c>
      <c r="BG90" s="113" t="s">
        <v>8</v>
      </c>
      <c r="BH90" s="114" t="s">
        <v>8</v>
      </c>
      <c r="BI90" s="378" t="s">
        <v>8</v>
      </c>
      <c r="BJ90" s="718" t="s">
        <v>8</v>
      </c>
      <c r="BK90" s="779" t="s">
        <v>8</v>
      </c>
      <c r="BL90" s="112" t="s">
        <v>8</v>
      </c>
      <c r="BM90" s="378" t="s">
        <v>8</v>
      </c>
      <c r="BN90" s="721" t="s">
        <v>8</v>
      </c>
      <c r="BO90" s="283"/>
      <c r="BP90" s="465"/>
      <c r="BQ90" s="156" t="s">
        <v>8</v>
      </c>
      <c r="BR90" s="494"/>
      <c r="BS90" s="334"/>
      <c r="BT90" s="405"/>
    </row>
    <row r="91" spans="1:72" ht="13.5" hidden="1" customHeight="1" x14ac:dyDescent="0.35">
      <c r="A91" s="683"/>
      <c r="B91" s="47"/>
      <c r="C91" s="169" t="s">
        <v>36</v>
      </c>
      <c r="D91" s="1128"/>
      <c r="E91" s="99"/>
      <c r="F91" s="35"/>
      <c r="G91" s="35"/>
      <c r="H91" s="35"/>
      <c r="I91" s="35"/>
      <c r="J91" s="212" t="s">
        <v>325</v>
      </c>
      <c r="K91" s="220" t="s">
        <v>17</v>
      </c>
      <c r="L91" s="265" t="s">
        <v>17</v>
      </c>
      <c r="M91" s="265" t="s">
        <v>412</v>
      </c>
      <c r="N91" s="117"/>
      <c r="O91" s="29"/>
      <c r="P91" s="29"/>
      <c r="Q91" s="117"/>
      <c r="R91" s="29"/>
      <c r="S91" s="29"/>
      <c r="T91" s="118"/>
      <c r="U91" s="120"/>
      <c r="V91" s="30"/>
      <c r="W91" s="30"/>
      <c r="X91" s="193"/>
      <c r="Y91" s="119" t="s">
        <v>8</v>
      </c>
      <c r="Z91" s="13" t="s">
        <v>17</v>
      </c>
      <c r="AA91" s="13" t="s">
        <v>17</v>
      </c>
      <c r="AB91" s="13" t="s">
        <v>17</v>
      </c>
      <c r="AC91" s="102" t="s">
        <v>8</v>
      </c>
      <c r="AD91" s="87" t="s">
        <v>8</v>
      </c>
      <c r="AE91" s="13" t="s">
        <v>8</v>
      </c>
      <c r="AF91" s="21" t="s">
        <v>8</v>
      </c>
      <c r="AG91" s="13" t="s">
        <v>8</v>
      </c>
      <c r="AH91" s="36" t="s">
        <v>8</v>
      </c>
      <c r="AI91" s="13" t="s">
        <v>8</v>
      </c>
      <c r="AJ91" s="87" t="s">
        <v>8</v>
      </c>
      <c r="AK91" s="102" t="s">
        <v>8</v>
      </c>
      <c r="AL91" s="119" t="s">
        <v>17</v>
      </c>
      <c r="AM91" s="36" t="s">
        <v>17</v>
      </c>
      <c r="AN91" s="177" t="s">
        <v>17</v>
      </c>
      <c r="AO91" s="177" t="s">
        <v>17</v>
      </c>
      <c r="AP91" s="13" t="s">
        <v>17</v>
      </c>
      <c r="AQ91" s="36" t="s">
        <v>17</v>
      </c>
      <c r="AR91" s="133" t="s">
        <v>8</v>
      </c>
      <c r="AS91" s="16" t="s">
        <v>17</v>
      </c>
      <c r="AT91" s="177" t="s">
        <v>17</v>
      </c>
      <c r="AU91" s="133" t="s">
        <v>8</v>
      </c>
      <c r="AV91" s="112" t="s">
        <v>17</v>
      </c>
      <c r="AW91" s="133" t="s">
        <v>8</v>
      </c>
      <c r="AX91" s="16" t="s">
        <v>17</v>
      </c>
      <c r="AY91" s="526" t="s">
        <v>8</v>
      </c>
      <c r="AZ91" s="112" t="s">
        <v>17</v>
      </c>
      <c r="BA91" s="26" t="s">
        <v>17</v>
      </c>
      <c r="BB91" s="260" t="s">
        <v>17</v>
      </c>
      <c r="BC91" s="721" t="s">
        <v>8</v>
      </c>
      <c r="BD91" s="791" t="s">
        <v>17</v>
      </c>
      <c r="BE91" s="280" t="s">
        <v>8</v>
      </c>
      <c r="BF91" s="314" t="s">
        <v>17</v>
      </c>
      <c r="BG91" s="119" t="s">
        <v>17</v>
      </c>
      <c r="BH91" s="260" t="s">
        <v>17</v>
      </c>
      <c r="BI91" s="314" t="s">
        <v>17</v>
      </c>
      <c r="BJ91" s="721" t="s">
        <v>8</v>
      </c>
      <c r="BK91" s="779" t="s">
        <v>17</v>
      </c>
      <c r="BL91" s="156" t="s">
        <v>8</v>
      </c>
      <c r="BM91" s="314" t="s">
        <v>17</v>
      </c>
      <c r="BN91" s="546" t="s">
        <v>8</v>
      </c>
      <c r="BO91" s="919"/>
      <c r="BP91" s="712"/>
      <c r="BQ91" s="156" t="s">
        <v>8</v>
      </c>
      <c r="BR91" s="133" t="s">
        <v>8</v>
      </c>
      <c r="BS91" s="26" t="s">
        <v>17</v>
      </c>
      <c r="BT91" s="406"/>
    </row>
    <row r="92" spans="1:72" ht="13.5" hidden="1" customHeight="1" x14ac:dyDescent="0.35">
      <c r="A92" s="683"/>
      <c r="B92" s="47"/>
      <c r="C92" s="169" t="s">
        <v>37</v>
      </c>
      <c r="D92" s="1128"/>
      <c r="E92" s="99"/>
      <c r="F92" s="35"/>
      <c r="G92" s="35"/>
      <c r="H92" s="35"/>
      <c r="I92" s="35"/>
      <c r="J92" s="212" t="s">
        <v>325</v>
      </c>
      <c r="K92" s="220" t="s">
        <v>17</v>
      </c>
      <c r="L92" s="265" t="s">
        <v>17</v>
      </c>
      <c r="M92" s="265" t="s">
        <v>412</v>
      </c>
      <c r="N92" s="117"/>
      <c r="O92" s="29"/>
      <c r="P92" s="29"/>
      <c r="Q92" s="117"/>
      <c r="R92" s="29"/>
      <c r="S92" s="29"/>
      <c r="T92" s="118"/>
      <c r="U92" s="120"/>
      <c r="V92" s="30"/>
      <c r="W92" s="30"/>
      <c r="X92" s="193"/>
      <c r="Y92" s="119" t="s">
        <v>102</v>
      </c>
      <c r="Z92" s="13" t="s">
        <v>17</v>
      </c>
      <c r="AA92" s="13" t="s">
        <v>17</v>
      </c>
      <c r="AB92" s="13" t="s">
        <v>17</v>
      </c>
      <c r="AC92" s="102" t="s">
        <v>102</v>
      </c>
      <c r="AD92" s="87" t="s">
        <v>102</v>
      </c>
      <c r="AE92" s="13" t="s">
        <v>102</v>
      </c>
      <c r="AF92" s="21" t="s">
        <v>102</v>
      </c>
      <c r="AG92" s="13" t="s">
        <v>102</v>
      </c>
      <c r="AH92" s="36" t="s">
        <v>102</v>
      </c>
      <c r="AI92" s="13" t="s">
        <v>102</v>
      </c>
      <c r="AJ92" s="87" t="s">
        <v>102</v>
      </c>
      <c r="AK92" s="102" t="s">
        <v>102</v>
      </c>
      <c r="AL92" s="119" t="s">
        <v>17</v>
      </c>
      <c r="AM92" s="36" t="s">
        <v>17</v>
      </c>
      <c r="AN92" s="177" t="s">
        <v>17</v>
      </c>
      <c r="AO92" s="177" t="s">
        <v>17</v>
      </c>
      <c r="AP92" s="13" t="s">
        <v>17</v>
      </c>
      <c r="AQ92" s="36" t="s">
        <v>17</v>
      </c>
      <c r="AR92" s="133" t="s">
        <v>102</v>
      </c>
      <c r="AS92" s="16" t="s">
        <v>17</v>
      </c>
      <c r="AT92" s="177" t="s">
        <v>17</v>
      </c>
      <c r="AU92" s="133" t="s">
        <v>102</v>
      </c>
      <c r="AV92" s="112" t="s">
        <v>17</v>
      </c>
      <c r="AW92" s="133" t="s">
        <v>102</v>
      </c>
      <c r="AX92" s="16" t="s">
        <v>17</v>
      </c>
      <c r="AY92" s="16" t="s">
        <v>102</v>
      </c>
      <c r="AZ92" s="112" t="s">
        <v>17</v>
      </c>
      <c r="BA92" s="26" t="s">
        <v>17</v>
      </c>
      <c r="BB92" s="260" t="s">
        <v>17</v>
      </c>
      <c r="BC92" s="721" t="s">
        <v>102</v>
      </c>
      <c r="BD92" s="791" t="s">
        <v>17</v>
      </c>
      <c r="BE92" s="844" t="s">
        <v>102</v>
      </c>
      <c r="BF92" s="314" t="s">
        <v>17</v>
      </c>
      <c r="BG92" s="119" t="s">
        <v>17</v>
      </c>
      <c r="BH92" s="260" t="s">
        <v>17</v>
      </c>
      <c r="BI92" s="314" t="s">
        <v>17</v>
      </c>
      <c r="BJ92" s="721" t="s">
        <v>102</v>
      </c>
      <c r="BK92" s="779" t="s">
        <v>17</v>
      </c>
      <c r="BL92" s="905" t="s">
        <v>102</v>
      </c>
      <c r="BM92" s="314" t="s">
        <v>17</v>
      </c>
      <c r="BN92" s="721" t="s">
        <v>8</v>
      </c>
      <c r="BO92" s="919"/>
      <c r="BP92" s="712"/>
      <c r="BQ92" s="905" t="s">
        <v>102</v>
      </c>
      <c r="BR92" s="133" t="s">
        <v>102</v>
      </c>
      <c r="BS92" s="26" t="s">
        <v>17</v>
      </c>
      <c r="BT92" s="405"/>
    </row>
    <row r="93" spans="1:72" ht="13.5" hidden="1" customHeight="1" x14ac:dyDescent="0.35">
      <c r="A93" s="683"/>
      <c r="B93" s="47"/>
      <c r="C93" s="168" t="s">
        <v>435</v>
      </c>
      <c r="D93" s="1128"/>
      <c r="E93" s="94" t="s">
        <v>8</v>
      </c>
      <c r="F93" s="31" t="s">
        <v>17</v>
      </c>
      <c r="G93" s="31" t="s">
        <v>17</v>
      </c>
      <c r="H93" s="31" t="s">
        <v>17</v>
      </c>
      <c r="I93" s="31" t="s">
        <v>8</v>
      </c>
      <c r="J93" s="37" t="s">
        <v>326</v>
      </c>
      <c r="K93" s="32" t="s">
        <v>17</v>
      </c>
      <c r="L93" s="261" t="s">
        <v>17</v>
      </c>
      <c r="M93" s="261" t="s">
        <v>17</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81" t="s">
        <v>8</v>
      </c>
      <c r="BE93" s="464" t="s">
        <v>8</v>
      </c>
      <c r="BF93" s="314" t="s">
        <v>8</v>
      </c>
      <c r="BG93" s="119" t="s">
        <v>8</v>
      </c>
      <c r="BH93" s="260" t="s">
        <v>8</v>
      </c>
      <c r="BI93" s="314" t="s">
        <v>8</v>
      </c>
      <c r="BJ93" s="721" t="s">
        <v>8</v>
      </c>
      <c r="BK93" s="779" t="s">
        <v>8</v>
      </c>
      <c r="BL93" s="260" t="s">
        <v>8</v>
      </c>
      <c r="BM93" s="314" t="s">
        <v>8</v>
      </c>
      <c r="BN93" s="721" t="s">
        <v>102</v>
      </c>
      <c r="BO93" s="134"/>
      <c r="BP93" s="712"/>
      <c r="BQ93" s="260" t="s">
        <v>8</v>
      </c>
      <c r="BR93" s="133" t="s">
        <v>8</v>
      </c>
      <c r="BS93" s="26" t="s">
        <v>8</v>
      </c>
      <c r="BT93" s="405"/>
    </row>
    <row r="94" spans="1:72" ht="13.5" hidden="1" customHeight="1" x14ac:dyDescent="0.35">
      <c r="A94" s="683"/>
      <c r="B94" s="47"/>
      <c r="C94" s="168" t="s">
        <v>436</v>
      </c>
      <c r="D94" s="1128"/>
      <c r="E94" s="94" t="s">
        <v>8</v>
      </c>
      <c r="F94" s="31" t="s">
        <v>8</v>
      </c>
      <c r="G94" s="31" t="s">
        <v>8</v>
      </c>
      <c r="H94" s="31" t="s">
        <v>17</v>
      </c>
      <c r="I94" s="31" t="s">
        <v>8</v>
      </c>
      <c r="J94" s="37" t="s">
        <v>325</v>
      </c>
      <c r="K94" s="32" t="s">
        <v>8</v>
      </c>
      <c r="L94" s="261" t="s">
        <v>17</v>
      </c>
      <c r="M94" s="261" t="s">
        <v>8</v>
      </c>
      <c r="N94" s="111" t="s">
        <v>8</v>
      </c>
      <c r="O94" s="16" t="s">
        <v>8</v>
      </c>
      <c r="P94" s="16" t="s">
        <v>8</v>
      </c>
      <c r="Q94" s="111" t="s">
        <v>8</v>
      </c>
      <c r="R94" s="16" t="s">
        <v>8</v>
      </c>
      <c r="S94" s="20" t="s">
        <v>8</v>
      </c>
      <c r="T94" s="114" t="s">
        <v>8</v>
      </c>
      <c r="U94" s="119" t="s">
        <v>8</v>
      </c>
      <c r="V94" s="13" t="s">
        <v>8</v>
      </c>
      <c r="W94" s="13" t="s">
        <v>8</v>
      </c>
      <c r="X94" s="190" t="s">
        <v>8</v>
      </c>
      <c r="Y94" s="119" t="s">
        <v>8</v>
      </c>
      <c r="Z94" s="13" t="s">
        <v>8</v>
      </c>
      <c r="AA94" s="13" t="s">
        <v>8</v>
      </c>
      <c r="AB94" s="13" t="s">
        <v>8</v>
      </c>
      <c r="AC94" s="102" t="s">
        <v>8</v>
      </c>
      <c r="AD94" s="87" t="s">
        <v>8</v>
      </c>
      <c r="AE94" s="13" t="s">
        <v>8</v>
      </c>
      <c r="AF94" s="13" t="s">
        <v>8</v>
      </c>
      <c r="AG94" s="13" t="s">
        <v>8</v>
      </c>
      <c r="AH94" s="36" t="s">
        <v>8</v>
      </c>
      <c r="AI94" s="13" t="s">
        <v>8</v>
      </c>
      <c r="AJ94" s="87" t="s">
        <v>8</v>
      </c>
      <c r="AK94" s="102" t="s">
        <v>8</v>
      </c>
      <c r="AL94" s="119" t="s">
        <v>8</v>
      </c>
      <c r="AM94" s="36" t="s">
        <v>8</v>
      </c>
      <c r="AN94" s="177" t="s">
        <v>8</v>
      </c>
      <c r="AO94" s="177" t="s">
        <v>8</v>
      </c>
      <c r="AP94" s="13" t="s">
        <v>8</v>
      </c>
      <c r="AQ94" s="36" t="s">
        <v>8</v>
      </c>
      <c r="AR94" s="133" t="s">
        <v>8</v>
      </c>
      <c r="AS94" s="26" t="s">
        <v>8</v>
      </c>
      <c r="AT94" s="464" t="s">
        <v>8</v>
      </c>
      <c r="AU94" s="133" t="s">
        <v>8</v>
      </c>
      <c r="AV94" s="260" t="s">
        <v>8</v>
      </c>
      <c r="AW94" s="133" t="s">
        <v>8</v>
      </c>
      <c r="AX94" s="26" t="s">
        <v>8</v>
      </c>
      <c r="AY94" s="26" t="s">
        <v>8</v>
      </c>
      <c r="AZ94" s="260" t="s">
        <v>8</v>
      </c>
      <c r="BA94" s="26" t="s">
        <v>8</v>
      </c>
      <c r="BB94" s="260" t="s">
        <v>8</v>
      </c>
      <c r="BC94" s="721" t="s">
        <v>8</v>
      </c>
      <c r="BD94" s="781" t="s">
        <v>8</v>
      </c>
      <c r="BE94" s="464" t="s">
        <v>8</v>
      </c>
      <c r="BF94" s="314" t="s">
        <v>8</v>
      </c>
      <c r="BG94" s="119" t="s">
        <v>8</v>
      </c>
      <c r="BH94" s="260" t="s">
        <v>8</v>
      </c>
      <c r="BI94" s="314" t="s">
        <v>8</v>
      </c>
      <c r="BJ94" s="721" t="s">
        <v>8</v>
      </c>
      <c r="BK94" s="779" t="s">
        <v>8</v>
      </c>
      <c r="BL94" s="260" t="s">
        <v>8</v>
      </c>
      <c r="BM94" s="314" t="s">
        <v>8</v>
      </c>
      <c r="BN94" s="721" t="s">
        <v>8</v>
      </c>
      <c r="BO94" s="134"/>
      <c r="BP94" s="712"/>
      <c r="BQ94" s="260" t="s">
        <v>8</v>
      </c>
      <c r="BR94" s="133" t="s">
        <v>8</v>
      </c>
      <c r="BS94" s="26" t="s">
        <v>8</v>
      </c>
      <c r="BT94" s="405"/>
    </row>
    <row r="95" spans="1:72" ht="13.5" hidden="1" customHeight="1" x14ac:dyDescent="0.35">
      <c r="A95" s="683"/>
      <c r="B95" s="47"/>
      <c r="C95" s="168" t="s">
        <v>217</v>
      </c>
      <c r="D95" s="1128"/>
      <c r="E95" s="94" t="s">
        <v>8</v>
      </c>
      <c r="F95" s="31" t="s">
        <v>17</v>
      </c>
      <c r="G95" s="31" t="s">
        <v>17</v>
      </c>
      <c r="H95" s="31" t="s">
        <v>17</v>
      </c>
      <c r="I95" s="31" t="s">
        <v>8</v>
      </c>
      <c r="J95" s="37" t="s">
        <v>325</v>
      </c>
      <c r="K95" s="32" t="s">
        <v>8</v>
      </c>
      <c r="L95" s="261" t="s">
        <v>17</v>
      </c>
      <c r="M95" s="261" t="s">
        <v>8</v>
      </c>
      <c r="N95" s="111" t="s">
        <v>8</v>
      </c>
      <c r="O95" s="16" t="s">
        <v>8</v>
      </c>
      <c r="P95" s="16" t="s">
        <v>8</v>
      </c>
      <c r="Q95" s="111" t="s">
        <v>8</v>
      </c>
      <c r="R95" s="16" t="s">
        <v>8</v>
      </c>
      <c r="S95" s="20" t="s">
        <v>8</v>
      </c>
      <c r="T95" s="114" t="s">
        <v>8</v>
      </c>
      <c r="U95" s="119" t="s">
        <v>8</v>
      </c>
      <c r="V95" s="13" t="s">
        <v>8</v>
      </c>
      <c r="W95" s="13" t="s">
        <v>8</v>
      </c>
      <c r="X95" s="190" t="s">
        <v>8</v>
      </c>
      <c r="Y95" s="119" t="s">
        <v>8</v>
      </c>
      <c r="Z95" s="13" t="s">
        <v>8</v>
      </c>
      <c r="AA95" s="13" t="s">
        <v>8</v>
      </c>
      <c r="AB95" s="13" t="s">
        <v>8</v>
      </c>
      <c r="AC95" s="102" t="s">
        <v>8</v>
      </c>
      <c r="AD95" s="87" t="s">
        <v>8</v>
      </c>
      <c r="AE95" s="13" t="s">
        <v>8</v>
      </c>
      <c r="AF95" s="13"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81" t="s">
        <v>8</v>
      </c>
      <c r="BE95" s="464" t="s">
        <v>8</v>
      </c>
      <c r="BF95" s="314" t="s">
        <v>8</v>
      </c>
      <c r="BG95" s="119" t="s">
        <v>8</v>
      </c>
      <c r="BH95" s="260" t="s">
        <v>8</v>
      </c>
      <c r="BI95" s="314" t="s">
        <v>8</v>
      </c>
      <c r="BJ95" s="721" t="s">
        <v>8</v>
      </c>
      <c r="BK95" s="779" t="s">
        <v>8</v>
      </c>
      <c r="BL95" s="260" t="s">
        <v>8</v>
      </c>
      <c r="BM95" s="314" t="s">
        <v>8</v>
      </c>
      <c r="BN95" s="721" t="s">
        <v>8</v>
      </c>
      <c r="BO95" s="134"/>
      <c r="BP95" s="712"/>
      <c r="BQ95" s="260" t="s">
        <v>8</v>
      </c>
      <c r="BR95" s="133" t="s">
        <v>8</v>
      </c>
      <c r="BS95" s="26" t="s">
        <v>8</v>
      </c>
      <c r="BT95" s="405"/>
    </row>
    <row r="96" spans="1:72" ht="13.5" hidden="1" customHeight="1" x14ac:dyDescent="0.35">
      <c r="A96" s="683"/>
      <c r="B96" s="47"/>
      <c r="C96" s="168" t="s">
        <v>38</v>
      </c>
      <c r="D96" s="1128"/>
      <c r="E96" s="100"/>
      <c r="F96" s="34"/>
      <c r="G96" s="34"/>
      <c r="H96" s="34"/>
      <c r="I96" s="34"/>
      <c r="J96" s="37" t="s">
        <v>325</v>
      </c>
      <c r="K96" s="267" t="s">
        <v>17</v>
      </c>
      <c r="L96" s="266" t="s">
        <v>17</v>
      </c>
      <c r="M96" s="261" t="s">
        <v>8</v>
      </c>
      <c r="N96" s="117"/>
      <c r="O96" s="29"/>
      <c r="P96" s="29"/>
      <c r="Q96" s="117"/>
      <c r="R96" s="29"/>
      <c r="S96" s="29"/>
      <c r="T96" s="118"/>
      <c r="U96" s="120"/>
      <c r="V96" s="30"/>
      <c r="W96" s="30"/>
      <c r="X96" s="193"/>
      <c r="Y96" s="119" t="s">
        <v>8</v>
      </c>
      <c r="Z96" s="13" t="s">
        <v>17</v>
      </c>
      <c r="AA96" s="13" t="s">
        <v>17</v>
      </c>
      <c r="AB96" s="13" t="s">
        <v>17</v>
      </c>
      <c r="AC96" s="102" t="s">
        <v>8</v>
      </c>
      <c r="AD96" s="87" t="s">
        <v>8</v>
      </c>
      <c r="AE96" s="13" t="s">
        <v>8</v>
      </c>
      <c r="AF96" s="21" t="s">
        <v>8</v>
      </c>
      <c r="AG96" s="13" t="s">
        <v>8</v>
      </c>
      <c r="AH96" s="36" t="s">
        <v>8</v>
      </c>
      <c r="AI96" s="13" t="s">
        <v>8</v>
      </c>
      <c r="AJ96" s="87" t="s">
        <v>8</v>
      </c>
      <c r="AK96" s="102" t="s">
        <v>8</v>
      </c>
      <c r="AL96" s="119" t="s">
        <v>17</v>
      </c>
      <c r="AM96" s="36" t="s">
        <v>17</v>
      </c>
      <c r="AN96" s="177" t="s">
        <v>17</v>
      </c>
      <c r="AO96" s="177" t="s">
        <v>17</v>
      </c>
      <c r="AP96" s="13" t="s">
        <v>17</v>
      </c>
      <c r="AQ96" s="36" t="s">
        <v>17</v>
      </c>
      <c r="AR96" s="133" t="s">
        <v>8</v>
      </c>
      <c r="AS96" s="16" t="s">
        <v>17</v>
      </c>
      <c r="AT96" s="177" t="s">
        <v>17</v>
      </c>
      <c r="AU96" s="111" t="s">
        <v>8</v>
      </c>
      <c r="AV96" s="112" t="s">
        <v>17</v>
      </c>
      <c r="AW96" s="111" t="s">
        <v>17</v>
      </c>
      <c r="AX96" s="16" t="s">
        <v>17</v>
      </c>
      <c r="AY96" s="16" t="s">
        <v>17</v>
      </c>
      <c r="AZ96" s="112" t="s">
        <v>17</v>
      </c>
      <c r="BA96" s="26" t="s">
        <v>17</v>
      </c>
      <c r="BB96" s="260" t="s">
        <v>17</v>
      </c>
      <c r="BC96" s="721" t="s">
        <v>8</v>
      </c>
      <c r="BD96" s="791" t="s">
        <v>17</v>
      </c>
      <c r="BE96" s="845" t="s">
        <v>8</v>
      </c>
      <c r="BF96" s="314" t="s">
        <v>17</v>
      </c>
      <c r="BG96" s="119" t="s">
        <v>17</v>
      </c>
      <c r="BH96" s="260" t="s">
        <v>17</v>
      </c>
      <c r="BI96" s="314" t="s">
        <v>17</v>
      </c>
      <c r="BJ96" s="721" t="s">
        <v>8</v>
      </c>
      <c r="BK96" s="779" t="s">
        <v>17</v>
      </c>
      <c r="BL96" s="906" t="s">
        <v>8</v>
      </c>
      <c r="BM96" s="314" t="s">
        <v>17</v>
      </c>
      <c r="BN96" s="721" t="s">
        <v>8</v>
      </c>
      <c r="BO96" s="919"/>
      <c r="BP96" s="712"/>
      <c r="BQ96" s="906" t="s">
        <v>8</v>
      </c>
      <c r="BR96" s="133" t="s">
        <v>8</v>
      </c>
      <c r="BS96" s="26" t="s">
        <v>17</v>
      </c>
      <c r="BT96" s="405"/>
    </row>
    <row r="97" spans="1:72" ht="13.5" hidden="1" customHeight="1" x14ac:dyDescent="0.35">
      <c r="A97" s="683"/>
      <c r="B97" s="47"/>
      <c r="C97" s="168" t="s">
        <v>239</v>
      </c>
      <c r="D97" s="1128"/>
      <c r="E97" s="100"/>
      <c r="F97" s="34"/>
      <c r="G97" s="34"/>
      <c r="H97" s="34"/>
      <c r="I97" s="34"/>
      <c r="J97" s="37" t="s">
        <v>8</v>
      </c>
      <c r="K97" s="267" t="s">
        <v>8</v>
      </c>
      <c r="L97" s="266" t="s">
        <v>17</v>
      </c>
      <c r="M97" s="261" t="s">
        <v>8</v>
      </c>
      <c r="N97" s="117"/>
      <c r="O97" s="29"/>
      <c r="P97" s="29"/>
      <c r="Q97" s="117"/>
      <c r="R97" s="29"/>
      <c r="S97" s="29"/>
      <c r="T97" s="118"/>
      <c r="U97" s="120"/>
      <c r="V97" s="30"/>
      <c r="W97" s="30"/>
      <c r="X97" s="193"/>
      <c r="Y97" s="120"/>
      <c r="Z97" s="30"/>
      <c r="AA97" s="30"/>
      <c r="AB97" s="30"/>
      <c r="AC97" s="121"/>
      <c r="AD97" s="87" t="s">
        <v>8</v>
      </c>
      <c r="AE97" s="13" t="s">
        <v>8</v>
      </c>
      <c r="AF97" s="21" t="s">
        <v>8</v>
      </c>
      <c r="AG97" s="13" t="s">
        <v>8</v>
      </c>
      <c r="AH97" s="36" t="s">
        <v>8</v>
      </c>
      <c r="AI97" s="13" t="s">
        <v>8</v>
      </c>
      <c r="AJ97" s="87" t="s">
        <v>8</v>
      </c>
      <c r="AK97" s="102" t="s">
        <v>8</v>
      </c>
      <c r="AL97" s="119" t="s">
        <v>8</v>
      </c>
      <c r="AM97" s="36" t="s">
        <v>8</v>
      </c>
      <c r="AN97" s="177" t="s">
        <v>8</v>
      </c>
      <c r="AO97" s="177" t="s">
        <v>8</v>
      </c>
      <c r="AP97" s="13" t="s">
        <v>8</v>
      </c>
      <c r="AQ97" s="36" t="s">
        <v>8</v>
      </c>
      <c r="AR97" s="133" t="s">
        <v>8</v>
      </c>
      <c r="AS97" s="26" t="s">
        <v>8</v>
      </c>
      <c r="AT97" s="464" t="s">
        <v>8</v>
      </c>
      <c r="AU97" s="133" t="s">
        <v>8</v>
      </c>
      <c r="AV97" s="260" t="s">
        <v>8</v>
      </c>
      <c r="AW97" s="133" t="s">
        <v>8</v>
      </c>
      <c r="AX97" s="26" t="s">
        <v>8</v>
      </c>
      <c r="AY97" s="26" t="s">
        <v>8</v>
      </c>
      <c r="AZ97" s="260" t="s">
        <v>8</v>
      </c>
      <c r="BA97" s="26" t="s">
        <v>8</v>
      </c>
      <c r="BB97" s="260" t="s">
        <v>8</v>
      </c>
      <c r="BC97" s="721" t="s">
        <v>8</v>
      </c>
      <c r="BD97" s="781" t="s">
        <v>8</v>
      </c>
      <c r="BE97" s="464" t="s">
        <v>8</v>
      </c>
      <c r="BF97" s="314" t="s">
        <v>8</v>
      </c>
      <c r="BG97" s="119" t="s">
        <v>8</v>
      </c>
      <c r="BH97" s="260" t="s">
        <v>8</v>
      </c>
      <c r="BI97" s="314" t="s">
        <v>8</v>
      </c>
      <c r="BJ97" s="721" t="s">
        <v>8</v>
      </c>
      <c r="BK97" s="779" t="s">
        <v>8</v>
      </c>
      <c r="BL97" s="260" t="s">
        <v>8</v>
      </c>
      <c r="BM97" s="314" t="s">
        <v>8</v>
      </c>
      <c r="BN97" s="721" t="s">
        <v>8</v>
      </c>
      <c r="BO97" s="134"/>
      <c r="BP97" s="712"/>
      <c r="BQ97" s="260" t="s">
        <v>8</v>
      </c>
      <c r="BR97" s="133" t="s">
        <v>8</v>
      </c>
      <c r="BS97" s="26" t="s">
        <v>8</v>
      </c>
      <c r="BT97" s="405"/>
    </row>
    <row r="98" spans="1:72" ht="13.5" hidden="1" customHeight="1" x14ac:dyDescent="0.35">
      <c r="A98" s="683"/>
      <c r="B98" s="47"/>
      <c r="C98" s="168" t="s">
        <v>405</v>
      </c>
      <c r="D98" s="1128"/>
      <c r="E98" s="100"/>
      <c r="F98" s="34"/>
      <c r="G98" s="34"/>
      <c r="H98" s="34"/>
      <c r="I98" s="34"/>
      <c r="J98" s="37" t="s">
        <v>326</v>
      </c>
      <c r="K98" s="267" t="s">
        <v>17</v>
      </c>
      <c r="L98" s="266" t="s">
        <v>17</v>
      </c>
      <c r="M98" s="266" t="s">
        <v>17</v>
      </c>
      <c r="N98" s="117"/>
      <c r="O98" s="29"/>
      <c r="P98" s="29"/>
      <c r="Q98" s="117"/>
      <c r="R98" s="29"/>
      <c r="S98" s="29"/>
      <c r="T98" s="118"/>
      <c r="U98" s="120"/>
      <c r="V98" s="30"/>
      <c r="W98" s="30"/>
      <c r="X98" s="193"/>
      <c r="Y98" s="120"/>
      <c r="Z98" s="30"/>
      <c r="AA98" s="19" t="s">
        <v>8</v>
      </c>
      <c r="AB98" s="19" t="s">
        <v>8</v>
      </c>
      <c r="AC98" s="116" t="s">
        <v>8</v>
      </c>
      <c r="AD98" s="85" t="s">
        <v>8</v>
      </c>
      <c r="AE98" s="19" t="s">
        <v>8</v>
      </c>
      <c r="AF98" s="19" t="s">
        <v>8</v>
      </c>
      <c r="AG98" s="19" t="s">
        <v>8</v>
      </c>
      <c r="AH98" s="179" t="s">
        <v>8</v>
      </c>
      <c r="AI98" s="19" t="s">
        <v>8</v>
      </c>
      <c r="AJ98" s="85" t="s">
        <v>8</v>
      </c>
      <c r="AK98" s="116" t="s">
        <v>8</v>
      </c>
      <c r="AL98" s="115" t="s">
        <v>8</v>
      </c>
      <c r="AM98" s="179" t="s">
        <v>8</v>
      </c>
      <c r="AN98" s="224" t="s">
        <v>8</v>
      </c>
      <c r="AO98" s="177" t="s">
        <v>8</v>
      </c>
      <c r="AP98" s="19" t="s">
        <v>8</v>
      </c>
      <c r="AQ98" s="179" t="s">
        <v>8</v>
      </c>
      <c r="AR98" s="712" t="s">
        <v>8</v>
      </c>
      <c r="AS98" s="27" t="s">
        <v>8</v>
      </c>
      <c r="AT98" s="478" t="s">
        <v>8</v>
      </c>
      <c r="AU98" s="133" t="s">
        <v>8</v>
      </c>
      <c r="AV98" s="260" t="s">
        <v>8</v>
      </c>
      <c r="AW98" s="133" t="s">
        <v>8</v>
      </c>
      <c r="AX98" s="26" t="s">
        <v>8</v>
      </c>
      <c r="AY98" s="26" t="s">
        <v>8</v>
      </c>
      <c r="AZ98" s="260" t="s">
        <v>8</v>
      </c>
      <c r="BA98" s="27" t="s">
        <v>8</v>
      </c>
      <c r="BB98" s="260" t="s">
        <v>8</v>
      </c>
      <c r="BC98" s="721" t="s">
        <v>8</v>
      </c>
      <c r="BD98" s="781" t="s">
        <v>8</v>
      </c>
      <c r="BE98" s="464" t="s">
        <v>8</v>
      </c>
      <c r="BF98" s="314" t="s">
        <v>8</v>
      </c>
      <c r="BG98" s="115" t="s">
        <v>8</v>
      </c>
      <c r="BH98" s="260" t="s">
        <v>8</v>
      </c>
      <c r="BI98" s="314" t="s">
        <v>8</v>
      </c>
      <c r="BJ98" s="721" t="s">
        <v>8</v>
      </c>
      <c r="BK98" s="779" t="s">
        <v>8</v>
      </c>
      <c r="BL98" s="260" t="s">
        <v>8</v>
      </c>
      <c r="BM98" s="314" t="s">
        <v>8</v>
      </c>
      <c r="BN98" s="721" t="s">
        <v>8</v>
      </c>
      <c r="BO98" s="134"/>
      <c r="BP98" s="712"/>
      <c r="BQ98" s="260" t="s">
        <v>8</v>
      </c>
      <c r="BR98" s="712" t="s">
        <v>8</v>
      </c>
      <c r="BS98" s="27" t="s">
        <v>8</v>
      </c>
      <c r="BT98" s="405"/>
    </row>
    <row r="99" spans="1:72" ht="13.5" hidden="1" customHeight="1" x14ac:dyDescent="0.35">
      <c r="A99" s="683"/>
      <c r="B99" s="47"/>
      <c r="C99" s="169" t="s">
        <v>406</v>
      </c>
      <c r="D99" s="1128"/>
      <c r="E99" s="100"/>
      <c r="F99" s="34"/>
      <c r="G99" s="34"/>
      <c r="H99" s="34"/>
      <c r="I99" s="34"/>
      <c r="J99" s="34"/>
      <c r="K99" s="254"/>
      <c r="L99" s="262"/>
      <c r="M99" s="993" t="s">
        <v>17</v>
      </c>
      <c r="N99" s="117"/>
      <c r="O99" s="29"/>
      <c r="P99" s="29"/>
      <c r="Q99" s="117"/>
      <c r="R99" s="29"/>
      <c r="S99" s="29"/>
      <c r="T99" s="118"/>
      <c r="U99" s="120"/>
      <c r="V99" s="30"/>
      <c r="W99" s="30"/>
      <c r="X99" s="193"/>
      <c r="Y99" s="120"/>
      <c r="Z99" s="30"/>
      <c r="AA99" s="30"/>
      <c r="AB99" s="30"/>
      <c r="AC99" s="121"/>
      <c r="AD99" s="85" t="s">
        <v>8</v>
      </c>
      <c r="AE99" s="19" t="s">
        <v>8</v>
      </c>
      <c r="AF99" s="19" t="s">
        <v>8</v>
      </c>
      <c r="AG99" s="19" t="s">
        <v>8</v>
      </c>
      <c r="AH99" s="19" t="s">
        <v>8</v>
      </c>
      <c r="AI99" s="19" t="s">
        <v>8</v>
      </c>
      <c r="AJ99" s="85" t="s">
        <v>8</v>
      </c>
      <c r="AK99" s="116" t="s">
        <v>8</v>
      </c>
      <c r="AL99" s="115" t="s">
        <v>8</v>
      </c>
      <c r="AM99" s="179" t="s">
        <v>8</v>
      </c>
      <c r="AN99" s="224" t="s">
        <v>8</v>
      </c>
      <c r="AO99" s="177" t="s">
        <v>8</v>
      </c>
      <c r="AP99" s="19" t="s">
        <v>8</v>
      </c>
      <c r="AQ99" s="179" t="s">
        <v>8</v>
      </c>
      <c r="AR99" s="712" t="s">
        <v>8</v>
      </c>
      <c r="AS99" s="27" t="s">
        <v>8</v>
      </c>
      <c r="AT99" s="478" t="s">
        <v>41</v>
      </c>
      <c r="AU99" s="133" t="s">
        <v>8</v>
      </c>
      <c r="AV99" s="260" t="s">
        <v>8</v>
      </c>
      <c r="AW99" s="133" t="s">
        <v>8</v>
      </c>
      <c r="AX99" s="26" t="s">
        <v>8</v>
      </c>
      <c r="AY99" s="26" t="s">
        <v>8</v>
      </c>
      <c r="AZ99" s="260" t="s">
        <v>41</v>
      </c>
      <c r="BA99" s="27" t="s">
        <v>8</v>
      </c>
      <c r="BB99" s="260" t="s">
        <v>41</v>
      </c>
      <c r="BC99" s="721" t="s">
        <v>8</v>
      </c>
      <c r="BD99" s="781" t="s">
        <v>8</v>
      </c>
      <c r="BE99" s="464" t="s">
        <v>8</v>
      </c>
      <c r="BF99" s="314" t="s">
        <v>41</v>
      </c>
      <c r="BG99" s="115" t="s">
        <v>8</v>
      </c>
      <c r="BH99" s="156" t="s">
        <v>41</v>
      </c>
      <c r="BI99" s="377" t="s">
        <v>8</v>
      </c>
      <c r="BJ99" s="721" t="s">
        <v>8</v>
      </c>
      <c r="BK99" s="779" t="s">
        <v>8</v>
      </c>
      <c r="BL99" s="260" t="s">
        <v>8</v>
      </c>
      <c r="BM99" s="314" t="s">
        <v>41</v>
      </c>
      <c r="BN99" s="721" t="s">
        <v>8</v>
      </c>
      <c r="BO99" s="134"/>
      <c r="BP99" s="712"/>
      <c r="BQ99" s="260" t="s">
        <v>8</v>
      </c>
      <c r="BR99" s="712" t="s">
        <v>8</v>
      </c>
      <c r="BS99" s="27" t="s">
        <v>8</v>
      </c>
      <c r="BT99" s="405"/>
    </row>
    <row r="100" spans="1:72" ht="13.5" hidden="1" customHeight="1" x14ac:dyDescent="0.35">
      <c r="A100" s="683"/>
      <c r="B100" s="47"/>
      <c r="C100" s="168" t="s">
        <v>39</v>
      </c>
      <c r="D100" s="1128"/>
      <c r="E100" s="94" t="s">
        <v>17</v>
      </c>
      <c r="F100" s="31" t="s">
        <v>17</v>
      </c>
      <c r="G100" s="31" t="s">
        <v>17</v>
      </c>
      <c r="H100" s="31" t="s">
        <v>17</v>
      </c>
      <c r="I100" s="31" t="s">
        <v>17</v>
      </c>
      <c r="J100" s="37" t="s">
        <v>326</v>
      </c>
      <c r="K100" s="32" t="s">
        <v>17</v>
      </c>
      <c r="L100" s="261" t="s">
        <v>17</v>
      </c>
      <c r="M100" s="261" t="s">
        <v>17</v>
      </c>
      <c r="N100" s="119" t="s">
        <v>8</v>
      </c>
      <c r="O100" s="13" t="s">
        <v>8</v>
      </c>
      <c r="P100" s="13" t="s">
        <v>8</v>
      </c>
      <c r="Q100" s="119" t="s">
        <v>8</v>
      </c>
      <c r="R100" s="13" t="s">
        <v>8</v>
      </c>
      <c r="S100" s="13" t="s">
        <v>8</v>
      </c>
      <c r="T100" s="102" t="s">
        <v>8</v>
      </c>
      <c r="U100" s="119" t="s">
        <v>8</v>
      </c>
      <c r="V100" s="13" t="s">
        <v>8</v>
      </c>
      <c r="W100" s="13" t="s">
        <v>8</v>
      </c>
      <c r="X100" s="190" t="s">
        <v>8</v>
      </c>
      <c r="Y100" s="119" t="s">
        <v>8</v>
      </c>
      <c r="Z100" s="13" t="s">
        <v>17</v>
      </c>
      <c r="AA100" s="13" t="s">
        <v>17</v>
      </c>
      <c r="AB100" s="13" t="s">
        <v>17</v>
      </c>
      <c r="AC100" s="102" t="s">
        <v>8</v>
      </c>
      <c r="AD100" s="87" t="s">
        <v>8</v>
      </c>
      <c r="AE100" s="13" t="s">
        <v>8</v>
      </c>
      <c r="AF100" s="13" t="s">
        <v>17</v>
      </c>
      <c r="AG100" s="13" t="s">
        <v>8</v>
      </c>
      <c r="AH100" s="36" t="s">
        <v>8</v>
      </c>
      <c r="AI100" s="13" t="s">
        <v>8</v>
      </c>
      <c r="AJ100" s="87" t="s">
        <v>8</v>
      </c>
      <c r="AK100" s="102" t="s">
        <v>8</v>
      </c>
      <c r="AL100" s="293" t="s">
        <v>17</v>
      </c>
      <c r="AM100" s="308" t="s">
        <v>17</v>
      </c>
      <c r="AN100" s="1057" t="s">
        <v>17</v>
      </c>
      <c r="AO100" s="1057" t="s">
        <v>17</v>
      </c>
      <c r="AP100" s="426" t="s">
        <v>17</v>
      </c>
      <c r="AQ100" s="308" t="s">
        <v>17</v>
      </c>
      <c r="AR100" s="133" t="s">
        <v>8</v>
      </c>
      <c r="AS100" s="16" t="s">
        <v>17</v>
      </c>
      <c r="AT100" s="177" t="s">
        <v>17</v>
      </c>
      <c r="AU100" s="111" t="s">
        <v>8</v>
      </c>
      <c r="AV100" s="112" t="s">
        <v>17</v>
      </c>
      <c r="AW100" s="111" t="s">
        <v>17</v>
      </c>
      <c r="AX100" s="16" t="s">
        <v>17</v>
      </c>
      <c r="AY100" s="16" t="s">
        <v>17</v>
      </c>
      <c r="AZ100" s="112" t="s">
        <v>17</v>
      </c>
      <c r="BA100" s="520" t="s">
        <v>17</v>
      </c>
      <c r="BB100" s="260" t="s">
        <v>17</v>
      </c>
      <c r="BC100" s="721" t="s">
        <v>8</v>
      </c>
      <c r="BD100" s="791" t="s">
        <v>17</v>
      </c>
      <c r="BE100" s="846" t="s">
        <v>17</v>
      </c>
      <c r="BF100" s="314" t="s">
        <v>17</v>
      </c>
      <c r="BG100" s="874" t="s">
        <v>17</v>
      </c>
      <c r="BH100" s="260" t="s">
        <v>17</v>
      </c>
      <c r="BI100" s="314" t="s">
        <v>17</v>
      </c>
      <c r="BJ100" s="721" t="s">
        <v>8</v>
      </c>
      <c r="BK100" s="779" t="s">
        <v>17</v>
      </c>
      <c r="BL100" s="907" t="s">
        <v>17</v>
      </c>
      <c r="BM100" s="314" t="s">
        <v>17</v>
      </c>
      <c r="BN100" s="721" t="s">
        <v>8</v>
      </c>
      <c r="BO100" s="919"/>
      <c r="BP100" s="712"/>
      <c r="BQ100" s="907" t="s">
        <v>17</v>
      </c>
      <c r="BR100" s="133" t="s">
        <v>8</v>
      </c>
      <c r="BS100" s="26" t="s">
        <v>17</v>
      </c>
      <c r="BT100" s="405"/>
    </row>
    <row r="101" spans="1:72" ht="13.5" hidden="1" customHeight="1" x14ac:dyDescent="0.35">
      <c r="A101" s="683"/>
      <c r="B101" s="47"/>
      <c r="C101" s="168" t="s">
        <v>202</v>
      </c>
      <c r="D101" s="1128"/>
      <c r="E101" s="94" t="s">
        <v>8</v>
      </c>
      <c r="F101" s="31" t="s">
        <v>17</v>
      </c>
      <c r="G101" s="31" t="s">
        <v>8</v>
      </c>
      <c r="H101" s="31" t="s">
        <v>17</v>
      </c>
      <c r="I101" s="31" t="s">
        <v>8</v>
      </c>
      <c r="J101" s="37" t="s">
        <v>326</v>
      </c>
      <c r="K101" s="32" t="s">
        <v>17</v>
      </c>
      <c r="L101" s="261" t="s">
        <v>17</v>
      </c>
      <c r="M101" s="261" t="s">
        <v>17</v>
      </c>
      <c r="N101" s="111" t="s">
        <v>8</v>
      </c>
      <c r="O101" s="16" t="s">
        <v>8</v>
      </c>
      <c r="P101" s="16" t="s">
        <v>8</v>
      </c>
      <c r="Q101" s="111" t="s">
        <v>8</v>
      </c>
      <c r="R101" s="16" t="s">
        <v>8</v>
      </c>
      <c r="S101" s="20" t="s">
        <v>8</v>
      </c>
      <c r="T101" s="114" t="s">
        <v>8</v>
      </c>
      <c r="U101" s="119" t="s">
        <v>8</v>
      </c>
      <c r="V101" s="13" t="s">
        <v>8</v>
      </c>
      <c r="W101" s="13" t="s">
        <v>8</v>
      </c>
      <c r="X101" s="190" t="s">
        <v>8</v>
      </c>
      <c r="Y101" s="119" t="s">
        <v>8</v>
      </c>
      <c r="Z101" s="13" t="s">
        <v>8</v>
      </c>
      <c r="AA101" s="13" t="s">
        <v>8</v>
      </c>
      <c r="AB101" s="13" t="s">
        <v>8</v>
      </c>
      <c r="AC101" s="102" t="s">
        <v>8</v>
      </c>
      <c r="AD101" s="87" t="s">
        <v>17</v>
      </c>
      <c r="AE101" s="13" t="s">
        <v>17</v>
      </c>
      <c r="AF101" s="13" t="s">
        <v>17</v>
      </c>
      <c r="AG101" s="13" t="s">
        <v>17</v>
      </c>
      <c r="AH101" s="36" t="s">
        <v>17</v>
      </c>
      <c r="AI101" s="13" t="s">
        <v>17</v>
      </c>
      <c r="AJ101" s="87" t="s">
        <v>17</v>
      </c>
      <c r="AK101" s="102" t="s">
        <v>17</v>
      </c>
      <c r="AL101" s="119" t="s">
        <v>17</v>
      </c>
      <c r="AM101" s="36" t="s">
        <v>17</v>
      </c>
      <c r="AN101" s="177" t="s">
        <v>17</v>
      </c>
      <c r="AO101" s="177" t="s">
        <v>17</v>
      </c>
      <c r="AP101" s="13" t="s">
        <v>17</v>
      </c>
      <c r="AQ101" s="36" t="s">
        <v>17</v>
      </c>
      <c r="AR101" s="133" t="s">
        <v>17</v>
      </c>
      <c r="AS101" s="16" t="s">
        <v>17</v>
      </c>
      <c r="AT101" s="177" t="s">
        <v>17</v>
      </c>
      <c r="AU101" s="133" t="s">
        <v>17</v>
      </c>
      <c r="AV101" s="112" t="s">
        <v>17</v>
      </c>
      <c r="AW101" s="111" t="s">
        <v>17</v>
      </c>
      <c r="AX101" s="16" t="s">
        <v>17</v>
      </c>
      <c r="AY101" s="16" t="s">
        <v>17</v>
      </c>
      <c r="AZ101" s="112" t="s">
        <v>17</v>
      </c>
      <c r="BA101" s="26" t="s">
        <v>17</v>
      </c>
      <c r="BB101" s="112" t="s">
        <v>17</v>
      </c>
      <c r="BC101" s="721" t="s">
        <v>17</v>
      </c>
      <c r="BD101" s="779" t="s">
        <v>17</v>
      </c>
      <c r="BE101" s="177" t="s">
        <v>17</v>
      </c>
      <c r="BF101" s="377" t="s">
        <v>17</v>
      </c>
      <c r="BG101" s="119" t="s">
        <v>17</v>
      </c>
      <c r="BH101" s="112" t="s">
        <v>17</v>
      </c>
      <c r="BI101" s="377" t="s">
        <v>17</v>
      </c>
      <c r="BJ101" s="721" t="s">
        <v>17</v>
      </c>
      <c r="BK101" s="779" t="s">
        <v>17</v>
      </c>
      <c r="BL101" s="112" t="s">
        <v>17</v>
      </c>
      <c r="BM101" s="377" t="s">
        <v>17</v>
      </c>
      <c r="BN101" s="721" t="s">
        <v>8</v>
      </c>
      <c r="BO101" s="114"/>
      <c r="BP101" s="712"/>
      <c r="BQ101" s="112" t="s">
        <v>17</v>
      </c>
      <c r="BR101" s="133" t="s">
        <v>17</v>
      </c>
      <c r="BS101" s="26" t="s">
        <v>17</v>
      </c>
      <c r="BT101" s="405"/>
    </row>
    <row r="102" spans="1:72" ht="13.5" hidden="1" customHeight="1" x14ac:dyDescent="0.35">
      <c r="A102" s="683"/>
      <c r="B102" s="47"/>
      <c r="C102" s="168" t="s">
        <v>203</v>
      </c>
      <c r="D102" s="1128"/>
      <c r="E102" s="100"/>
      <c r="F102" s="34"/>
      <c r="G102" s="34"/>
      <c r="H102" s="34"/>
      <c r="I102" s="34"/>
      <c r="J102" s="37" t="s">
        <v>326</v>
      </c>
      <c r="K102" s="267" t="s">
        <v>8</v>
      </c>
      <c r="L102" s="266" t="s">
        <v>8</v>
      </c>
      <c r="M102" s="261" t="s">
        <v>17</v>
      </c>
      <c r="N102" s="117"/>
      <c r="O102" s="29"/>
      <c r="P102" s="29"/>
      <c r="Q102" s="117"/>
      <c r="R102" s="29"/>
      <c r="S102" s="29"/>
      <c r="T102" s="118"/>
      <c r="U102" s="120"/>
      <c r="V102" s="30"/>
      <c r="W102" s="30"/>
      <c r="X102" s="193"/>
      <c r="Y102" s="120"/>
      <c r="Z102" s="30"/>
      <c r="AA102" s="30"/>
      <c r="AB102" s="30"/>
      <c r="AC102" s="121"/>
      <c r="AD102" s="87" t="s">
        <v>8</v>
      </c>
      <c r="AE102" s="13" t="s">
        <v>8</v>
      </c>
      <c r="AF102" s="21" t="s">
        <v>8</v>
      </c>
      <c r="AG102" s="13" t="s">
        <v>8</v>
      </c>
      <c r="AH102" s="36" t="s">
        <v>8</v>
      </c>
      <c r="AI102" s="13" t="s">
        <v>8</v>
      </c>
      <c r="AJ102" s="87" t="s">
        <v>8</v>
      </c>
      <c r="AK102" s="102" t="s">
        <v>8</v>
      </c>
      <c r="AL102" s="119" t="s">
        <v>8</v>
      </c>
      <c r="AM102" s="36" t="s">
        <v>8</v>
      </c>
      <c r="AN102" s="177" t="s">
        <v>8</v>
      </c>
      <c r="AO102" s="177" t="s">
        <v>8</v>
      </c>
      <c r="AP102" s="13" t="s">
        <v>8</v>
      </c>
      <c r="AQ102" s="36" t="s">
        <v>8</v>
      </c>
      <c r="AR102" s="133" t="s">
        <v>8</v>
      </c>
      <c r="AS102" s="26" t="s">
        <v>8</v>
      </c>
      <c r="AT102" s="464" t="s">
        <v>8</v>
      </c>
      <c r="AU102" s="133" t="s">
        <v>8</v>
      </c>
      <c r="AV102" s="260" t="s">
        <v>8</v>
      </c>
      <c r="AW102" s="133" t="s">
        <v>8</v>
      </c>
      <c r="AX102" s="26" t="s">
        <v>8</v>
      </c>
      <c r="AY102" s="26" t="s">
        <v>8</v>
      </c>
      <c r="AZ102" s="260" t="s">
        <v>8</v>
      </c>
      <c r="BA102" s="26" t="s">
        <v>8</v>
      </c>
      <c r="BB102" s="260" t="s">
        <v>8</v>
      </c>
      <c r="BC102" s="721" t="s">
        <v>8</v>
      </c>
      <c r="BD102" s="781" t="s">
        <v>8</v>
      </c>
      <c r="BE102" s="464" t="s">
        <v>8</v>
      </c>
      <c r="BF102" s="314" t="s">
        <v>8</v>
      </c>
      <c r="BG102" s="119" t="s">
        <v>8</v>
      </c>
      <c r="BH102" s="260" t="s">
        <v>8</v>
      </c>
      <c r="BI102" s="314" t="s">
        <v>8</v>
      </c>
      <c r="BJ102" s="721" t="s">
        <v>8</v>
      </c>
      <c r="BK102" s="779" t="s">
        <v>8</v>
      </c>
      <c r="BL102" s="260" t="s">
        <v>8</v>
      </c>
      <c r="BM102" s="314" t="s">
        <v>8</v>
      </c>
      <c r="BN102" s="718" t="s">
        <v>17</v>
      </c>
      <c r="BO102" s="134"/>
      <c r="BP102" s="712"/>
      <c r="BQ102" s="260" t="s">
        <v>8</v>
      </c>
      <c r="BR102" s="133" t="s">
        <v>8</v>
      </c>
      <c r="BS102" s="26" t="s">
        <v>8</v>
      </c>
      <c r="BT102" s="405"/>
    </row>
    <row r="103" spans="1:72" ht="13.5" hidden="1" customHeight="1" x14ac:dyDescent="0.35">
      <c r="A103" s="683"/>
      <c r="B103" s="47"/>
      <c r="C103" s="443" t="s">
        <v>1511</v>
      </c>
      <c r="D103" s="1128"/>
      <c r="E103" s="100"/>
      <c r="F103" s="34"/>
      <c r="G103" s="34"/>
      <c r="H103" s="34"/>
      <c r="I103" s="34"/>
      <c r="J103" s="37"/>
      <c r="K103" s="267"/>
      <c r="L103" s="266"/>
      <c r="M103" s="261"/>
      <c r="N103" s="117"/>
      <c r="O103" s="29"/>
      <c r="P103" s="29"/>
      <c r="Q103" s="117"/>
      <c r="R103" s="29"/>
      <c r="S103" s="29"/>
      <c r="T103" s="118"/>
      <c r="U103" s="120"/>
      <c r="V103" s="30"/>
      <c r="W103" s="30"/>
      <c r="X103" s="193"/>
      <c r="Y103" s="120"/>
      <c r="Z103" s="30"/>
      <c r="AA103" s="30"/>
      <c r="AB103" s="30"/>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19"/>
      <c r="BH103" s="260"/>
      <c r="BI103" s="314"/>
      <c r="BJ103" s="721" t="s">
        <v>8</v>
      </c>
      <c r="BK103" s="721" t="s">
        <v>8</v>
      </c>
      <c r="BL103" s="721" t="s">
        <v>8</v>
      </c>
      <c r="BM103" s="721" t="s">
        <v>8</v>
      </c>
      <c r="BN103" s="718" t="s">
        <v>8</v>
      </c>
      <c r="BO103" s="134"/>
      <c r="BP103" s="712"/>
      <c r="BQ103" s="260"/>
      <c r="BR103" s="133"/>
      <c r="BS103" s="26"/>
      <c r="BT103" s="405"/>
    </row>
    <row r="104" spans="1:72" ht="13.5" hidden="1" customHeight="1" x14ac:dyDescent="0.35">
      <c r="A104" s="683"/>
      <c r="B104" s="47"/>
      <c r="C104" s="168" t="s">
        <v>40</v>
      </c>
      <c r="D104" s="1128"/>
      <c r="E104" s="94" t="s">
        <v>17</v>
      </c>
      <c r="F104" s="31" t="s">
        <v>17</v>
      </c>
      <c r="G104" s="31" t="s">
        <v>17</v>
      </c>
      <c r="H104" s="31" t="s">
        <v>17</v>
      </c>
      <c r="I104" s="31" t="s">
        <v>17</v>
      </c>
      <c r="J104" s="37" t="s">
        <v>17</v>
      </c>
      <c r="K104" s="267" t="s">
        <v>17</v>
      </c>
      <c r="L104" s="266" t="s">
        <v>17</v>
      </c>
      <c r="M104" s="261"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537</v>
      </c>
      <c r="AJ104" s="87" t="s">
        <v>537</v>
      </c>
      <c r="AK104" s="87" t="s">
        <v>537</v>
      </c>
      <c r="AL104" s="119" t="s">
        <v>8</v>
      </c>
      <c r="AM104" s="36" t="s">
        <v>412</v>
      </c>
      <c r="AN104" s="177" t="s">
        <v>412</v>
      </c>
      <c r="AO104" s="177" t="s">
        <v>412</v>
      </c>
      <c r="AP104" s="13" t="s">
        <v>8</v>
      </c>
      <c r="AQ104" s="36" t="s">
        <v>412</v>
      </c>
      <c r="AR104" s="111" t="s">
        <v>537</v>
      </c>
      <c r="AS104" s="16" t="s">
        <v>17</v>
      </c>
      <c r="AT104" s="177" t="s">
        <v>537</v>
      </c>
      <c r="AU104" s="111">
        <v>128</v>
      </c>
      <c r="AV104" s="112" t="s">
        <v>17</v>
      </c>
      <c r="AW104" s="111">
        <v>128</v>
      </c>
      <c r="AX104" s="16" t="s">
        <v>17</v>
      </c>
      <c r="AY104" s="526">
        <v>128</v>
      </c>
      <c r="AZ104" s="112" t="s">
        <v>537</v>
      </c>
      <c r="BA104" s="26" t="s">
        <v>17</v>
      </c>
      <c r="BB104" s="112" t="s">
        <v>537</v>
      </c>
      <c r="BC104" s="113" t="s">
        <v>17</v>
      </c>
      <c r="BD104" s="20" t="s">
        <v>17</v>
      </c>
      <c r="BE104" s="847" t="s">
        <v>17</v>
      </c>
      <c r="BF104" s="377" t="s">
        <v>537</v>
      </c>
      <c r="BG104" s="119" t="s">
        <v>17</v>
      </c>
      <c r="BH104" s="112" t="s">
        <v>537</v>
      </c>
      <c r="BI104" s="377" t="s">
        <v>17</v>
      </c>
      <c r="BJ104" s="723" t="s">
        <v>17</v>
      </c>
      <c r="BK104" s="779" t="s">
        <v>17</v>
      </c>
      <c r="BL104" s="908" t="s">
        <v>17</v>
      </c>
      <c r="BM104" s="377" t="s">
        <v>537</v>
      </c>
      <c r="BN104" s="718" t="s">
        <v>8</v>
      </c>
      <c r="BO104" s="919"/>
      <c r="BP104" s="465"/>
      <c r="BQ104" s="908" t="s">
        <v>17</v>
      </c>
      <c r="BR104" s="133" t="s">
        <v>537</v>
      </c>
      <c r="BS104" s="26" t="s">
        <v>17</v>
      </c>
      <c r="BT104" s="405"/>
    </row>
    <row r="105" spans="1:72" ht="13.5" hidden="1" customHeight="1" x14ac:dyDescent="0.35">
      <c r="A105" s="683"/>
      <c r="B105" s="47"/>
      <c r="C105" s="168" t="s">
        <v>103</v>
      </c>
      <c r="D105" s="1128"/>
      <c r="E105" s="94" t="s">
        <v>8</v>
      </c>
      <c r="F105" s="31" t="s">
        <v>17</v>
      </c>
      <c r="G105" s="31" t="s">
        <v>17</v>
      </c>
      <c r="H105" s="31" t="s">
        <v>17</v>
      </c>
      <c r="I105" s="31" t="s">
        <v>8</v>
      </c>
      <c r="J105" s="37" t="s">
        <v>8</v>
      </c>
      <c r="K105" s="267" t="s">
        <v>8</v>
      </c>
      <c r="L105" s="266" t="s">
        <v>17</v>
      </c>
      <c r="M105" s="266" t="s">
        <v>8</v>
      </c>
      <c r="N105" s="111" t="s">
        <v>8</v>
      </c>
      <c r="O105" s="16" t="s">
        <v>8</v>
      </c>
      <c r="P105" s="16" t="s">
        <v>8</v>
      </c>
      <c r="Q105" s="111" t="s">
        <v>8</v>
      </c>
      <c r="R105" s="16" t="s">
        <v>8</v>
      </c>
      <c r="S105" s="20" t="s">
        <v>17</v>
      </c>
      <c r="T105" s="114" t="s">
        <v>17</v>
      </c>
      <c r="U105" s="119" t="s">
        <v>8</v>
      </c>
      <c r="V105" s="13" t="s">
        <v>8</v>
      </c>
      <c r="W105" s="13" t="s">
        <v>41</v>
      </c>
      <c r="X105" s="190" t="s">
        <v>50</v>
      </c>
      <c r="Y105" s="119" t="s">
        <v>8</v>
      </c>
      <c r="Z105" s="13" t="s">
        <v>8</v>
      </c>
      <c r="AA105" s="13" t="s">
        <v>8</v>
      </c>
      <c r="AB105" s="13" t="s">
        <v>8</v>
      </c>
      <c r="AC105" s="102" t="s">
        <v>8</v>
      </c>
      <c r="AD105" s="87" t="s">
        <v>537</v>
      </c>
      <c r="AE105" s="87" t="s">
        <v>537</v>
      </c>
      <c r="AF105" s="13" t="s">
        <v>8</v>
      </c>
      <c r="AG105" s="13" t="s">
        <v>41</v>
      </c>
      <c r="AH105" s="36" t="s">
        <v>8</v>
      </c>
      <c r="AI105" s="87" t="s">
        <v>538</v>
      </c>
      <c r="AJ105" s="87" t="s">
        <v>538</v>
      </c>
      <c r="AK105" s="87" t="s">
        <v>538</v>
      </c>
      <c r="AL105" s="111" t="s">
        <v>8</v>
      </c>
      <c r="AM105" s="177" t="s">
        <v>8</v>
      </c>
      <c r="AN105" s="177" t="s">
        <v>8</v>
      </c>
      <c r="AO105" s="177" t="s">
        <v>8</v>
      </c>
      <c r="AP105" s="16" t="s">
        <v>8</v>
      </c>
      <c r="AQ105" s="177" t="s">
        <v>8</v>
      </c>
      <c r="AR105" s="111" t="s">
        <v>538</v>
      </c>
      <c r="AS105" s="16" t="s">
        <v>538</v>
      </c>
      <c r="AT105" s="177" t="s">
        <v>538</v>
      </c>
      <c r="AU105" s="111" t="s">
        <v>538</v>
      </c>
      <c r="AV105" s="112" t="s">
        <v>538</v>
      </c>
      <c r="AW105" s="111" t="s">
        <v>538</v>
      </c>
      <c r="AX105" s="16" t="s">
        <v>538</v>
      </c>
      <c r="AY105" s="526" t="s">
        <v>538</v>
      </c>
      <c r="AZ105" s="112" t="s">
        <v>538</v>
      </c>
      <c r="BA105" s="26" t="s">
        <v>538</v>
      </c>
      <c r="BB105" s="112" t="s">
        <v>538</v>
      </c>
      <c r="BC105" s="113" t="s">
        <v>538</v>
      </c>
      <c r="BD105" s="20" t="s">
        <v>538</v>
      </c>
      <c r="BE105" s="848" t="s">
        <v>538</v>
      </c>
      <c r="BF105" s="377" t="s">
        <v>538</v>
      </c>
      <c r="BG105" s="111" t="s">
        <v>538</v>
      </c>
      <c r="BH105" s="112" t="s">
        <v>538</v>
      </c>
      <c r="BI105" s="377" t="s">
        <v>538</v>
      </c>
      <c r="BJ105" s="718" t="s">
        <v>538</v>
      </c>
      <c r="BK105" s="779" t="s">
        <v>538</v>
      </c>
      <c r="BL105" s="909" t="s">
        <v>538</v>
      </c>
      <c r="BM105" s="377" t="s">
        <v>538</v>
      </c>
      <c r="BN105" s="523">
        <v>128</v>
      </c>
      <c r="BO105" s="114"/>
      <c r="BP105" s="113"/>
      <c r="BQ105" s="909" t="s">
        <v>538</v>
      </c>
      <c r="BR105" s="133" t="s">
        <v>538</v>
      </c>
      <c r="BS105" s="26" t="s">
        <v>538</v>
      </c>
      <c r="BT105" s="405"/>
    </row>
    <row r="106" spans="1:72" ht="13.5" hidden="1" customHeight="1" thickTop="1" x14ac:dyDescent="0.35">
      <c r="A106" s="683"/>
      <c r="B106" s="47"/>
      <c r="C106" s="168" t="s">
        <v>559</v>
      </c>
      <c r="D106" s="1128"/>
      <c r="E106" s="94" t="s">
        <v>17</v>
      </c>
      <c r="F106" s="31" t="s">
        <v>17</v>
      </c>
      <c r="G106" s="31" t="s">
        <v>17</v>
      </c>
      <c r="H106" s="31" t="s">
        <v>17</v>
      </c>
      <c r="I106" s="31" t="s">
        <v>17</v>
      </c>
      <c r="J106" s="37" t="s">
        <v>17</v>
      </c>
      <c r="K106" s="267" t="s">
        <v>17</v>
      </c>
      <c r="L106" s="266" t="s">
        <v>17</v>
      </c>
      <c r="M106" s="266" t="s">
        <v>17</v>
      </c>
      <c r="N106" s="111" t="s">
        <v>41</v>
      </c>
      <c r="O106" s="16" t="s">
        <v>41</v>
      </c>
      <c r="P106" s="16" t="s">
        <v>41</v>
      </c>
      <c r="Q106" s="111" t="s">
        <v>41</v>
      </c>
      <c r="R106" s="16" t="s">
        <v>41</v>
      </c>
      <c r="S106" s="20" t="s">
        <v>17</v>
      </c>
      <c r="T106" s="114" t="s">
        <v>17</v>
      </c>
      <c r="U106" s="119" t="s">
        <v>8</v>
      </c>
      <c r="V106" s="13" t="s">
        <v>8</v>
      </c>
      <c r="W106" s="13" t="s">
        <v>41</v>
      </c>
      <c r="X106" s="190" t="s">
        <v>17</v>
      </c>
      <c r="Y106" s="119" t="s">
        <v>8</v>
      </c>
      <c r="Z106" s="13" t="s">
        <v>8</v>
      </c>
      <c r="AA106" s="13" t="s">
        <v>8</v>
      </c>
      <c r="AB106" s="13" t="s">
        <v>8</v>
      </c>
      <c r="AC106" s="102" t="s">
        <v>41</v>
      </c>
      <c r="AD106" s="87" t="s">
        <v>537</v>
      </c>
      <c r="AE106" s="87" t="s">
        <v>537</v>
      </c>
      <c r="AF106" s="13" t="s">
        <v>8</v>
      </c>
      <c r="AG106" s="13" t="s">
        <v>41</v>
      </c>
      <c r="AH106" s="36" t="s">
        <v>8</v>
      </c>
      <c r="AI106" s="87" t="s">
        <v>538</v>
      </c>
      <c r="AJ106" s="87" t="s">
        <v>538</v>
      </c>
      <c r="AK106" s="87" t="s">
        <v>538</v>
      </c>
      <c r="AL106" s="119" t="s">
        <v>8</v>
      </c>
      <c r="AM106" s="36" t="s">
        <v>8</v>
      </c>
      <c r="AN106" s="177" t="s">
        <v>8</v>
      </c>
      <c r="AO106" s="177" t="s">
        <v>8</v>
      </c>
      <c r="AP106" s="13" t="s">
        <v>8</v>
      </c>
      <c r="AQ106" s="36" t="s">
        <v>8</v>
      </c>
      <c r="AR106" s="111" t="s">
        <v>538</v>
      </c>
      <c r="AS106" s="16" t="s">
        <v>538</v>
      </c>
      <c r="AT106" s="177" t="s">
        <v>538</v>
      </c>
      <c r="AU106" s="111">
        <v>256</v>
      </c>
      <c r="AV106" s="112" t="s">
        <v>538</v>
      </c>
      <c r="AW106" s="111">
        <v>256</v>
      </c>
      <c r="AX106" s="16" t="s">
        <v>538</v>
      </c>
      <c r="AY106" s="526" t="s">
        <v>538</v>
      </c>
      <c r="AZ106" s="112" t="s">
        <v>538</v>
      </c>
      <c r="BA106" s="26" t="s">
        <v>538</v>
      </c>
      <c r="BB106" s="112" t="s">
        <v>538</v>
      </c>
      <c r="BC106" s="113" t="s">
        <v>17</v>
      </c>
      <c r="BD106" s="20" t="s">
        <v>17</v>
      </c>
      <c r="BE106" s="848" t="s">
        <v>538</v>
      </c>
      <c r="BF106" s="377" t="s">
        <v>538</v>
      </c>
      <c r="BG106" s="119" t="s">
        <v>538</v>
      </c>
      <c r="BH106" s="112" t="s">
        <v>538</v>
      </c>
      <c r="BI106" s="377" t="s">
        <v>538</v>
      </c>
      <c r="BJ106" s="113" t="s">
        <v>17</v>
      </c>
      <c r="BK106" s="20" t="s">
        <v>17</v>
      </c>
      <c r="BL106" s="909" t="s">
        <v>538</v>
      </c>
      <c r="BM106" s="377" t="s">
        <v>538</v>
      </c>
      <c r="BN106" s="718" t="s">
        <v>538</v>
      </c>
      <c r="BO106" s="283"/>
      <c r="BP106" s="465"/>
      <c r="BQ106" s="909" t="s">
        <v>538</v>
      </c>
      <c r="BR106" s="133" t="s">
        <v>538</v>
      </c>
      <c r="BS106" s="26" t="s">
        <v>538</v>
      </c>
      <c r="BT106" s="405" t="s">
        <v>689</v>
      </c>
    </row>
    <row r="107" spans="1:72" ht="13.5" hidden="1" customHeight="1" thickTop="1" x14ac:dyDescent="0.35">
      <c r="A107" s="683"/>
      <c r="B107" s="47"/>
      <c r="C107" s="168" t="s">
        <v>1379</v>
      </c>
      <c r="D107" s="1128"/>
      <c r="E107" s="100"/>
      <c r="F107" s="34"/>
      <c r="G107" s="34"/>
      <c r="H107" s="34"/>
      <c r="I107" s="34"/>
      <c r="J107" s="37" t="s">
        <v>17</v>
      </c>
      <c r="K107" s="267" t="s">
        <v>17</v>
      </c>
      <c r="L107" s="266" t="s">
        <v>17</v>
      </c>
      <c r="M107" s="266" t="s">
        <v>17</v>
      </c>
      <c r="N107" s="170"/>
      <c r="O107" s="171"/>
      <c r="P107" s="171"/>
      <c r="Q107" s="170"/>
      <c r="R107" s="171"/>
      <c r="S107" s="29"/>
      <c r="T107" s="118"/>
      <c r="U107" s="172"/>
      <c r="V107" s="173"/>
      <c r="W107" s="173"/>
      <c r="X107" s="193"/>
      <c r="Y107" s="172"/>
      <c r="Z107" s="173"/>
      <c r="AA107" s="173"/>
      <c r="AB107" s="173"/>
      <c r="AC107" s="121"/>
      <c r="AD107" s="87" t="s">
        <v>537</v>
      </c>
      <c r="AE107" s="87" t="s">
        <v>537</v>
      </c>
      <c r="AF107" s="87" t="s">
        <v>8</v>
      </c>
      <c r="AG107" s="87" t="s">
        <v>8</v>
      </c>
      <c r="AH107" s="36" t="s">
        <v>8</v>
      </c>
      <c r="AI107" s="87" t="s">
        <v>538</v>
      </c>
      <c r="AJ107" s="87" t="s">
        <v>538</v>
      </c>
      <c r="AK107" s="87" t="s">
        <v>538</v>
      </c>
      <c r="AL107" s="119" t="s">
        <v>17</v>
      </c>
      <c r="AM107" s="36" t="s">
        <v>17</v>
      </c>
      <c r="AN107" s="177" t="s">
        <v>17</v>
      </c>
      <c r="AO107" s="177" t="s">
        <v>17</v>
      </c>
      <c r="AP107" s="13" t="s">
        <v>17</v>
      </c>
      <c r="AQ107" s="36" t="s">
        <v>17</v>
      </c>
      <c r="AR107" s="111" t="s">
        <v>538</v>
      </c>
      <c r="AS107" s="16" t="s">
        <v>17</v>
      </c>
      <c r="AT107" s="177" t="s">
        <v>17</v>
      </c>
      <c r="AU107" s="111" t="s">
        <v>538</v>
      </c>
      <c r="AV107" s="112" t="s">
        <v>17</v>
      </c>
      <c r="AW107" s="111" t="s">
        <v>17</v>
      </c>
      <c r="AX107" s="16" t="s">
        <v>17</v>
      </c>
      <c r="AY107" s="526" t="s">
        <v>538</v>
      </c>
      <c r="AZ107" s="112" t="s">
        <v>17</v>
      </c>
      <c r="BA107" s="26" t="s">
        <v>17</v>
      </c>
      <c r="BB107" s="112" t="s">
        <v>17</v>
      </c>
      <c r="BC107" s="113" t="s">
        <v>17</v>
      </c>
      <c r="BD107" s="20" t="s">
        <v>538</v>
      </c>
      <c r="BE107" s="848" t="s">
        <v>538</v>
      </c>
      <c r="BF107" s="377" t="s">
        <v>17</v>
      </c>
      <c r="BG107" s="119" t="s">
        <v>17</v>
      </c>
      <c r="BH107" s="112" t="s">
        <v>17</v>
      </c>
      <c r="BI107" s="377" t="s">
        <v>17</v>
      </c>
      <c r="BJ107" s="718" t="s">
        <v>17</v>
      </c>
      <c r="BK107" s="20" t="s">
        <v>538</v>
      </c>
      <c r="BL107" s="909" t="s">
        <v>538</v>
      </c>
      <c r="BM107" s="377" t="s">
        <v>17</v>
      </c>
      <c r="BN107" s="523">
        <v>256</v>
      </c>
      <c r="BO107" s="283"/>
      <c r="BP107" s="113"/>
      <c r="BQ107" s="909" t="s">
        <v>538</v>
      </c>
      <c r="BR107" s="133" t="s">
        <v>538</v>
      </c>
      <c r="BS107" s="26" t="s">
        <v>17</v>
      </c>
      <c r="BT107" s="405"/>
    </row>
    <row r="108" spans="1:72" ht="13.5" hidden="1" customHeight="1" x14ac:dyDescent="0.35">
      <c r="A108" s="683"/>
      <c r="B108" s="47"/>
      <c r="C108" s="168" t="s">
        <v>581</v>
      </c>
      <c r="D108" s="1128"/>
      <c r="E108" s="100"/>
      <c r="F108" s="34"/>
      <c r="G108" s="34"/>
      <c r="H108" s="34"/>
      <c r="I108" s="34"/>
      <c r="J108" s="34"/>
      <c r="K108" s="254"/>
      <c r="L108" s="262"/>
      <c r="M108" s="993" t="s">
        <v>17</v>
      </c>
      <c r="N108" s="117"/>
      <c r="O108" s="29"/>
      <c r="P108" s="29"/>
      <c r="Q108" s="117"/>
      <c r="R108" s="29"/>
      <c r="S108" s="29"/>
      <c r="T108" s="118"/>
      <c r="U108" s="120"/>
      <c r="V108" s="30"/>
      <c r="W108" s="30"/>
      <c r="X108" s="193"/>
      <c r="Y108" s="120"/>
      <c r="Z108" s="30"/>
      <c r="AA108" s="30"/>
      <c r="AB108" s="30"/>
      <c r="AC108" s="121"/>
      <c r="AD108" s="88"/>
      <c r="AE108" s="88"/>
      <c r="AF108" s="30"/>
      <c r="AG108" s="30"/>
      <c r="AH108" s="173"/>
      <c r="AI108" s="88"/>
      <c r="AJ108" s="88"/>
      <c r="AK108" s="88"/>
      <c r="AL108" s="117"/>
      <c r="AM108" s="171"/>
      <c r="AN108" s="171"/>
      <c r="AO108" s="171"/>
      <c r="AP108" s="29"/>
      <c r="AQ108" s="171"/>
      <c r="AR108" s="111" t="s">
        <v>17</v>
      </c>
      <c r="AS108" s="16" t="s">
        <v>538</v>
      </c>
      <c r="AT108" s="177" t="s">
        <v>17</v>
      </c>
      <c r="AU108" s="111" t="s">
        <v>17</v>
      </c>
      <c r="AV108" s="112" t="s">
        <v>17</v>
      </c>
      <c r="AW108" s="111" t="s">
        <v>17</v>
      </c>
      <c r="AX108" s="16" t="s">
        <v>538</v>
      </c>
      <c r="AY108" s="526" t="s">
        <v>651</v>
      </c>
      <c r="AZ108" s="112" t="s">
        <v>17</v>
      </c>
      <c r="BA108" s="26" t="s">
        <v>538</v>
      </c>
      <c r="BB108" s="285" t="s">
        <v>538</v>
      </c>
      <c r="BC108" s="113" t="s">
        <v>538</v>
      </c>
      <c r="BD108" s="20" t="s">
        <v>538</v>
      </c>
      <c r="BE108" s="224" t="s">
        <v>538</v>
      </c>
      <c r="BF108" s="377" t="s">
        <v>538</v>
      </c>
      <c r="BG108" s="111" t="s">
        <v>538</v>
      </c>
      <c r="BH108" s="112" t="s">
        <v>538</v>
      </c>
      <c r="BI108" s="377" t="s">
        <v>538</v>
      </c>
      <c r="BJ108" s="718" t="s">
        <v>538</v>
      </c>
      <c r="BK108" s="779" t="s">
        <v>538</v>
      </c>
      <c r="BL108" s="114" t="s">
        <v>538</v>
      </c>
      <c r="BM108" s="377" t="s">
        <v>538</v>
      </c>
      <c r="BN108" s="523" t="s">
        <v>538</v>
      </c>
      <c r="BO108" s="114"/>
      <c r="BP108" s="113"/>
      <c r="BQ108" s="114" t="s">
        <v>538</v>
      </c>
      <c r="BR108" s="133" t="s">
        <v>17</v>
      </c>
      <c r="BS108" s="26" t="s">
        <v>538</v>
      </c>
      <c r="BT108" s="405"/>
    </row>
    <row r="109" spans="1:72" ht="13.5" hidden="1" customHeight="1" x14ac:dyDescent="0.35">
      <c r="A109" s="683"/>
      <c r="B109" s="218"/>
      <c r="C109" s="219" t="s">
        <v>1332</v>
      </c>
      <c r="D109" s="1128"/>
      <c r="E109" s="31" t="s">
        <v>332</v>
      </c>
      <c r="F109" s="31" t="s">
        <v>17</v>
      </c>
      <c r="G109" s="31" t="s">
        <v>17</v>
      </c>
      <c r="H109" s="31" t="s">
        <v>17</v>
      </c>
      <c r="I109" s="31" t="s">
        <v>332</v>
      </c>
      <c r="J109" s="37" t="s">
        <v>327</v>
      </c>
      <c r="K109" s="31" t="s">
        <v>332</v>
      </c>
      <c r="L109" s="261" t="s">
        <v>17</v>
      </c>
      <c r="M109" s="994" t="s">
        <v>1481</v>
      </c>
      <c r="N109" s="94" t="s">
        <v>332</v>
      </c>
      <c r="O109" s="31" t="s">
        <v>332</v>
      </c>
      <c r="P109" s="31" t="s">
        <v>332</v>
      </c>
      <c r="Q109" s="94" t="s">
        <v>332</v>
      </c>
      <c r="R109" s="31" t="s">
        <v>332</v>
      </c>
      <c r="S109" s="220" t="s">
        <v>17</v>
      </c>
      <c r="T109" s="221" t="s">
        <v>17</v>
      </c>
      <c r="U109" s="94" t="s">
        <v>332</v>
      </c>
      <c r="V109" s="31" t="s">
        <v>332</v>
      </c>
      <c r="W109" s="31" t="s">
        <v>332</v>
      </c>
      <c r="X109" s="31" t="s">
        <v>332</v>
      </c>
      <c r="Y109" s="94" t="s">
        <v>332</v>
      </c>
      <c r="Z109" s="31" t="s">
        <v>332</v>
      </c>
      <c r="AA109" s="31" t="s">
        <v>332</v>
      </c>
      <c r="AB109" s="31" t="s">
        <v>332</v>
      </c>
      <c r="AC109" s="95" t="s">
        <v>332</v>
      </c>
      <c r="AD109" s="217" t="s">
        <v>330</v>
      </c>
      <c r="AE109" s="33" t="s">
        <v>330</v>
      </c>
      <c r="AF109" s="222" t="s">
        <v>331</v>
      </c>
      <c r="AG109" s="33" t="s">
        <v>330</v>
      </c>
      <c r="AH109" s="202" t="s">
        <v>330</v>
      </c>
      <c r="AI109" s="286" t="s">
        <v>440</v>
      </c>
      <c r="AJ109" s="220" t="s">
        <v>477</v>
      </c>
      <c r="AK109" s="286" t="s">
        <v>440</v>
      </c>
      <c r="AL109" s="106" t="s">
        <v>330</v>
      </c>
      <c r="AM109" s="202" t="s">
        <v>330</v>
      </c>
      <c r="AN109" s="202" t="s">
        <v>330</v>
      </c>
      <c r="AO109" s="202" t="s">
        <v>330</v>
      </c>
      <c r="AP109" s="33" t="s">
        <v>330</v>
      </c>
      <c r="AQ109" s="202" t="s">
        <v>330</v>
      </c>
      <c r="AR109" s="502" t="s">
        <v>515</v>
      </c>
      <c r="AS109" s="341" t="s">
        <v>515</v>
      </c>
      <c r="AT109" s="477" t="s">
        <v>515</v>
      </c>
      <c r="AU109" s="502" t="s">
        <v>515</v>
      </c>
      <c r="AV109" s="503" t="s">
        <v>515</v>
      </c>
      <c r="AW109" s="502" t="s">
        <v>515</v>
      </c>
      <c r="AX109" s="341" t="s">
        <v>515</v>
      </c>
      <c r="AY109" s="524" t="s">
        <v>515</v>
      </c>
      <c r="AZ109" s="503" t="s">
        <v>515</v>
      </c>
      <c r="BA109" s="341" t="s">
        <v>515</v>
      </c>
      <c r="BB109" s="503" t="s">
        <v>515</v>
      </c>
      <c r="BC109" s="893" t="s">
        <v>1479</v>
      </c>
      <c r="BD109" s="893" t="s">
        <v>1479</v>
      </c>
      <c r="BE109" s="740" t="s">
        <v>1479</v>
      </c>
      <c r="BF109" s="893" t="s">
        <v>1479</v>
      </c>
      <c r="BG109" s="502" t="s">
        <v>515</v>
      </c>
      <c r="BH109" s="503" t="s">
        <v>515</v>
      </c>
      <c r="BI109" s="1238" t="s">
        <v>1330</v>
      </c>
      <c r="BJ109" s="893" t="s">
        <v>1479</v>
      </c>
      <c r="BK109" s="893" t="s">
        <v>1479</v>
      </c>
      <c r="BL109" s="740" t="s">
        <v>1479</v>
      </c>
      <c r="BM109" s="893" t="s">
        <v>1479</v>
      </c>
      <c r="BN109" s="523" t="s">
        <v>17</v>
      </c>
      <c r="BO109" s="910"/>
      <c r="BP109" s="893"/>
      <c r="BQ109" s="740" t="s">
        <v>1479</v>
      </c>
      <c r="BR109" s="502" t="s">
        <v>515</v>
      </c>
      <c r="BS109" s="341" t="s">
        <v>515</v>
      </c>
      <c r="BT109" s="405"/>
    </row>
    <row r="110" spans="1:72" ht="13.5" hidden="1" customHeight="1" x14ac:dyDescent="0.35">
      <c r="A110" s="683"/>
      <c r="B110" s="218"/>
      <c r="C110" s="1008" t="s">
        <v>1472</v>
      </c>
      <c r="D110" s="1128"/>
      <c r="E110" s="262"/>
      <c r="F110" s="34"/>
      <c r="G110" s="34"/>
      <c r="H110" s="34"/>
      <c r="I110" s="34"/>
      <c r="J110" s="34"/>
      <c r="K110" s="34"/>
      <c r="L110" s="262"/>
      <c r="M110" s="994" t="s">
        <v>8</v>
      </c>
      <c r="N110" s="100"/>
      <c r="O110" s="34"/>
      <c r="P110" s="34"/>
      <c r="Q110" s="100"/>
      <c r="R110" s="34"/>
      <c r="S110" s="996"/>
      <c r="T110" s="997"/>
      <c r="U110" s="100"/>
      <c r="V110" s="34"/>
      <c r="W110" s="34"/>
      <c r="X110" s="34"/>
      <c r="Y110" s="100"/>
      <c r="Z110" s="34"/>
      <c r="AA110" s="34"/>
      <c r="AB110" s="34"/>
      <c r="AC110" s="255"/>
      <c r="AD110" s="998"/>
      <c r="AE110" s="996"/>
      <c r="AF110" s="999"/>
      <c r="AG110" s="996"/>
      <c r="AH110" s="35"/>
      <c r="AI110" s="1000"/>
      <c r="AJ110" s="996"/>
      <c r="AK110" s="1001"/>
      <c r="AL110" s="1002"/>
      <c r="AM110" s="35"/>
      <c r="AN110" s="35"/>
      <c r="AO110" s="35"/>
      <c r="AP110" s="996"/>
      <c r="AQ110" s="35"/>
      <c r="AR110" s="504"/>
      <c r="AS110" s="506"/>
      <c r="AT110" s="1003"/>
      <c r="AU110" s="504"/>
      <c r="AV110" s="1004"/>
      <c r="AW110" s="504"/>
      <c r="AX110" s="506"/>
      <c r="AY110" s="506"/>
      <c r="AZ110" s="1004"/>
      <c r="BA110" s="506"/>
      <c r="BB110" s="1004"/>
      <c r="BC110" s="1002"/>
      <c r="BD110" s="1000"/>
      <c r="BE110" s="1001"/>
      <c r="BF110" s="1005"/>
      <c r="BG110" s="504"/>
      <c r="BH110" s="1004"/>
      <c r="BI110" s="1006"/>
      <c r="BJ110" s="1002"/>
      <c r="BK110" s="996"/>
      <c r="BL110" s="1007"/>
      <c r="BM110" s="1005"/>
      <c r="BN110" s="1021" t="s">
        <v>515</v>
      </c>
      <c r="BO110" s="910"/>
      <c r="BP110" s="893"/>
      <c r="BQ110" s="910"/>
      <c r="BR110" s="504"/>
      <c r="BS110" s="506"/>
      <c r="BT110" s="405"/>
    </row>
    <row r="111" spans="1:72" ht="13.5" hidden="1" customHeight="1" x14ac:dyDescent="0.35">
      <c r="A111" s="683"/>
      <c r="B111" s="218"/>
      <c r="C111" s="1008" t="s">
        <v>1476</v>
      </c>
      <c r="D111" s="1128"/>
      <c r="E111" s="262"/>
      <c r="F111" s="34"/>
      <c r="G111" s="34"/>
      <c r="H111" s="34"/>
      <c r="I111" s="34"/>
      <c r="J111" s="34"/>
      <c r="K111" s="34"/>
      <c r="L111" s="262"/>
      <c r="M111" s="994" t="s">
        <v>8</v>
      </c>
      <c r="N111" s="100"/>
      <c r="O111" s="34"/>
      <c r="P111" s="34"/>
      <c r="Q111" s="100"/>
      <c r="R111" s="34"/>
      <c r="S111" s="996"/>
      <c r="T111" s="997"/>
      <c r="U111" s="100"/>
      <c r="V111" s="34"/>
      <c r="W111" s="34"/>
      <c r="X111" s="34"/>
      <c r="Y111" s="100"/>
      <c r="Z111" s="34"/>
      <c r="AA111" s="34"/>
      <c r="AB111" s="34"/>
      <c r="AC111" s="255"/>
      <c r="AD111" s="998"/>
      <c r="AE111" s="996"/>
      <c r="AF111" s="999"/>
      <c r="AG111" s="996"/>
      <c r="AH111" s="35"/>
      <c r="AI111" s="1000"/>
      <c r="AJ111" s="996"/>
      <c r="AK111" s="1001"/>
      <c r="AL111" s="1002"/>
      <c r="AM111" s="35"/>
      <c r="AN111" s="35"/>
      <c r="AO111" s="35"/>
      <c r="AP111" s="996"/>
      <c r="AQ111" s="35"/>
      <c r="AR111" s="1002"/>
      <c r="AS111" s="996"/>
      <c r="AT111" s="35"/>
      <c r="AU111" s="1002"/>
      <c r="AV111" s="997"/>
      <c r="AW111" s="1002"/>
      <c r="AX111" s="996"/>
      <c r="AY111" s="996"/>
      <c r="AZ111" s="997"/>
      <c r="BA111" s="506"/>
      <c r="BB111" s="1004"/>
      <c r="BC111" s="893"/>
      <c r="BD111" s="220"/>
      <c r="BE111" s="1001"/>
      <c r="BF111" s="1005"/>
      <c r="BG111" s="504"/>
      <c r="BH111" s="1004"/>
      <c r="BI111" s="1006"/>
      <c r="BJ111" s="1002"/>
      <c r="BK111" s="996"/>
      <c r="BL111" s="1007"/>
      <c r="BM111" s="1005"/>
      <c r="BN111" s="1002"/>
      <c r="BO111" s="910"/>
      <c r="BP111" s="893"/>
      <c r="BQ111" s="910"/>
      <c r="BR111" s="504"/>
      <c r="BS111" s="506"/>
      <c r="BT111" s="405"/>
    </row>
    <row r="112" spans="1:72" ht="13.5" hidden="1" customHeight="1" thickTop="1" x14ac:dyDescent="0.35">
      <c r="A112" s="683"/>
      <c r="B112" s="47"/>
      <c r="C112" s="168" t="s">
        <v>219</v>
      </c>
      <c r="D112" s="1128"/>
      <c r="E112" s="101" t="s">
        <v>17</v>
      </c>
      <c r="F112" s="31" t="s">
        <v>8</v>
      </c>
      <c r="G112" s="31" t="s">
        <v>17</v>
      </c>
      <c r="H112" s="31" t="s">
        <v>17</v>
      </c>
      <c r="I112" s="31" t="s">
        <v>17</v>
      </c>
      <c r="J112" s="37" t="s">
        <v>17</v>
      </c>
      <c r="K112" s="32" t="s">
        <v>17</v>
      </c>
      <c r="L112" s="261" t="s">
        <v>17</v>
      </c>
      <c r="M112" s="261" t="s">
        <v>17</v>
      </c>
      <c r="N112" s="119" t="s">
        <v>17</v>
      </c>
      <c r="O112" s="13" t="s">
        <v>17</v>
      </c>
      <c r="P112" s="13" t="s">
        <v>17</v>
      </c>
      <c r="Q112" s="119" t="s">
        <v>17</v>
      </c>
      <c r="R112" s="13" t="s">
        <v>17</v>
      </c>
      <c r="S112" s="13" t="s">
        <v>17</v>
      </c>
      <c r="T112" s="102" t="s">
        <v>17</v>
      </c>
      <c r="U112" s="119" t="s">
        <v>17</v>
      </c>
      <c r="V112" s="13" t="s">
        <v>17</v>
      </c>
      <c r="W112" s="13" t="s">
        <v>17</v>
      </c>
      <c r="X112" s="190" t="s">
        <v>17</v>
      </c>
      <c r="Y112" s="119" t="s">
        <v>17</v>
      </c>
      <c r="Z112" s="13" t="s">
        <v>17</v>
      </c>
      <c r="AA112" s="13" t="s">
        <v>17</v>
      </c>
      <c r="AB112" s="13" t="s">
        <v>17</v>
      </c>
      <c r="AC112" s="102" t="s">
        <v>17</v>
      </c>
      <c r="AD112" s="87" t="s">
        <v>17</v>
      </c>
      <c r="AE112" s="13" t="s">
        <v>17</v>
      </c>
      <c r="AF112" s="13" t="s">
        <v>17</v>
      </c>
      <c r="AG112" s="13" t="s">
        <v>17</v>
      </c>
      <c r="AH112" s="36" t="s">
        <v>17</v>
      </c>
      <c r="AI112" s="13" t="s">
        <v>17</v>
      </c>
      <c r="AJ112" s="13" t="s">
        <v>17</v>
      </c>
      <c r="AK112" s="102" t="s">
        <v>17</v>
      </c>
      <c r="AL112" s="119" t="s">
        <v>17</v>
      </c>
      <c r="AM112" s="36" t="s">
        <v>17</v>
      </c>
      <c r="AN112" s="177" t="s">
        <v>17</v>
      </c>
      <c r="AO112" s="177" t="s">
        <v>17</v>
      </c>
      <c r="AP112" s="13" t="s">
        <v>17</v>
      </c>
      <c r="AQ112" s="36" t="s">
        <v>17</v>
      </c>
      <c r="AR112" s="133" t="s">
        <v>17</v>
      </c>
      <c r="AS112" s="26" t="s">
        <v>17</v>
      </c>
      <c r="AT112" s="464" t="s">
        <v>17</v>
      </c>
      <c r="AU112" s="133" t="s">
        <v>17</v>
      </c>
      <c r="AV112" s="260" t="s">
        <v>17</v>
      </c>
      <c r="AW112" s="133" t="s">
        <v>17</v>
      </c>
      <c r="AX112" s="26" t="s">
        <v>17</v>
      </c>
      <c r="AY112" s="26" t="s">
        <v>17</v>
      </c>
      <c r="AZ112" s="260" t="s">
        <v>17</v>
      </c>
      <c r="BA112" s="26" t="s">
        <v>17</v>
      </c>
      <c r="BB112" s="260" t="s">
        <v>17</v>
      </c>
      <c r="BC112" s="718" t="s">
        <v>17</v>
      </c>
      <c r="BD112" s="781" t="s">
        <v>17</v>
      </c>
      <c r="BE112" s="464" t="s">
        <v>17</v>
      </c>
      <c r="BF112" s="314" t="s">
        <v>17</v>
      </c>
      <c r="BG112" s="119" t="s">
        <v>17</v>
      </c>
      <c r="BH112" s="260" t="s">
        <v>17</v>
      </c>
      <c r="BI112" s="314" t="s">
        <v>17</v>
      </c>
      <c r="BJ112" s="718" t="s">
        <v>17</v>
      </c>
      <c r="BK112" s="779" t="s">
        <v>17</v>
      </c>
      <c r="BL112" s="260" t="s">
        <v>17</v>
      </c>
      <c r="BM112" s="314" t="s">
        <v>17</v>
      </c>
      <c r="BN112" s="1002"/>
      <c r="BO112" s="134"/>
      <c r="BP112" s="113"/>
      <c r="BQ112" s="260" t="s">
        <v>17</v>
      </c>
      <c r="BR112" s="133" t="s">
        <v>17</v>
      </c>
      <c r="BS112" s="26" t="s">
        <v>17</v>
      </c>
      <c r="BT112" s="405"/>
    </row>
    <row r="113" spans="1:72" ht="13.5" hidden="1" customHeight="1" x14ac:dyDescent="0.35">
      <c r="A113" s="683"/>
      <c r="B113" s="47"/>
      <c r="C113" s="168" t="s">
        <v>1518</v>
      </c>
      <c r="D113" s="1128"/>
      <c r="E113" s="172"/>
      <c r="F113" s="34"/>
      <c r="G113" s="34"/>
      <c r="H113" s="34"/>
      <c r="I113" s="34"/>
      <c r="J113" s="34"/>
      <c r="K113" s="254"/>
      <c r="L113" s="262"/>
      <c r="M113" s="266"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30"/>
      <c r="AJ113" s="173"/>
      <c r="AK113" s="118"/>
      <c r="AL113" s="120"/>
      <c r="AM113" s="173"/>
      <c r="AN113" s="171"/>
      <c r="AO113" s="171"/>
      <c r="AP113" s="30"/>
      <c r="AQ113" s="173"/>
      <c r="AR113" s="111" t="s">
        <v>8</v>
      </c>
      <c r="AS113" s="16" t="s">
        <v>8</v>
      </c>
      <c r="AT113" s="177" t="s">
        <v>17</v>
      </c>
      <c r="AU113" s="111" t="s">
        <v>8</v>
      </c>
      <c r="AV113" s="112" t="s">
        <v>8</v>
      </c>
      <c r="AW113" s="111" t="s">
        <v>8</v>
      </c>
      <c r="AX113" s="16" t="s">
        <v>8</v>
      </c>
      <c r="AY113" s="16" t="s">
        <v>8</v>
      </c>
      <c r="AZ113" s="112" t="s">
        <v>17</v>
      </c>
      <c r="BA113" s="27" t="s">
        <v>17</v>
      </c>
      <c r="BB113" s="112" t="s">
        <v>195</v>
      </c>
      <c r="BC113" s="718" t="s">
        <v>17</v>
      </c>
      <c r="BD113" s="779" t="s">
        <v>17</v>
      </c>
      <c r="BE113" s="464" t="s">
        <v>17</v>
      </c>
      <c r="BF113" s="377" t="s">
        <v>195</v>
      </c>
      <c r="BG113" s="113" t="s">
        <v>17</v>
      </c>
      <c r="BH113" s="112" t="s">
        <v>195</v>
      </c>
      <c r="BI113" s="377" t="s">
        <v>195</v>
      </c>
      <c r="BJ113" s="718" t="s">
        <v>17</v>
      </c>
      <c r="BK113" s="779" t="s">
        <v>17</v>
      </c>
      <c r="BL113" s="112" t="s">
        <v>17</v>
      </c>
      <c r="BM113" s="377" t="s">
        <v>195</v>
      </c>
      <c r="BN113" s="718" t="s">
        <v>17</v>
      </c>
      <c r="BO113" s="283"/>
      <c r="BP113" s="113"/>
      <c r="BQ113" s="260" t="s">
        <v>17</v>
      </c>
      <c r="BR113" s="133" t="s">
        <v>8</v>
      </c>
      <c r="BS113" s="26" t="s">
        <v>8</v>
      </c>
      <c r="BT113" s="405" t="s">
        <v>584</v>
      </c>
    </row>
    <row r="114" spans="1:72" ht="13.5" hidden="1" customHeight="1" x14ac:dyDescent="0.35">
      <c r="A114" s="683"/>
      <c r="B114" s="47"/>
      <c r="C114" s="604" t="s">
        <v>640</v>
      </c>
      <c r="D114" s="1128"/>
      <c r="E114" s="172"/>
      <c r="F114" s="34"/>
      <c r="G114" s="34"/>
      <c r="H114" s="34"/>
      <c r="I114" s="34"/>
      <c r="J114" s="34"/>
      <c r="K114" s="254"/>
      <c r="L114" s="262"/>
      <c r="M114" s="993" t="s">
        <v>8</v>
      </c>
      <c r="N114" s="120"/>
      <c r="O114" s="30"/>
      <c r="P114" s="30"/>
      <c r="Q114" s="120"/>
      <c r="R114" s="30"/>
      <c r="S114" s="30"/>
      <c r="T114" s="121"/>
      <c r="U114" s="120"/>
      <c r="V114" s="30"/>
      <c r="W114" s="30"/>
      <c r="X114" s="193"/>
      <c r="Y114" s="120"/>
      <c r="Z114" s="30"/>
      <c r="AA114" s="30"/>
      <c r="AB114" s="30"/>
      <c r="AC114" s="121"/>
      <c r="AD114" s="88"/>
      <c r="AE114" s="30"/>
      <c r="AF114" s="30"/>
      <c r="AG114" s="30"/>
      <c r="AH114" s="173"/>
      <c r="AI114" s="30"/>
      <c r="AJ114" s="173"/>
      <c r="AK114" s="118"/>
      <c r="AL114" s="120"/>
      <c r="AM114" s="173"/>
      <c r="AN114" s="171"/>
      <c r="AO114" s="171"/>
      <c r="AP114" s="30"/>
      <c r="AQ114" s="173"/>
      <c r="AR114" s="147"/>
      <c r="AS114" s="285"/>
      <c r="AT114" s="177"/>
      <c r="AU114" s="342"/>
      <c r="AV114" s="396"/>
      <c r="AW114" s="342"/>
      <c r="AX114" s="342"/>
      <c r="AY114" s="342"/>
      <c r="AZ114" s="396"/>
      <c r="BA114" s="27" t="s">
        <v>412</v>
      </c>
      <c r="BB114" s="112" t="s">
        <v>637</v>
      </c>
      <c r="BC114" s="718" t="s">
        <v>8</v>
      </c>
      <c r="BD114" s="779" t="s">
        <v>8</v>
      </c>
      <c r="BE114" s="464" t="s">
        <v>8</v>
      </c>
      <c r="BF114" s="377" t="s">
        <v>637</v>
      </c>
      <c r="BG114" s="113" t="s">
        <v>412</v>
      </c>
      <c r="BH114" s="112" t="s">
        <v>637</v>
      </c>
      <c r="BI114" s="377" t="s">
        <v>195</v>
      </c>
      <c r="BJ114" s="718" t="s">
        <v>8</v>
      </c>
      <c r="BK114" s="779" t="s">
        <v>8</v>
      </c>
      <c r="BL114" s="112" t="s">
        <v>8</v>
      </c>
      <c r="BM114" s="377" t="s">
        <v>637</v>
      </c>
      <c r="BN114" s="113" t="s">
        <v>8</v>
      </c>
      <c r="BO114" s="283"/>
      <c r="BP114" s="113"/>
      <c r="BQ114" s="260" t="s">
        <v>8</v>
      </c>
      <c r="BR114" s="133"/>
      <c r="BS114" s="26"/>
      <c r="BT114" s="405"/>
    </row>
    <row r="115" spans="1:72" ht="13.5" hidden="1" customHeight="1" thickTop="1" x14ac:dyDescent="0.35">
      <c r="A115" s="683"/>
      <c r="B115" s="47"/>
      <c r="C115" s="168" t="s">
        <v>1115</v>
      </c>
      <c r="D115" s="1128"/>
      <c r="E115" s="172"/>
      <c r="F115" s="34"/>
      <c r="G115" s="34"/>
      <c r="H115" s="34"/>
      <c r="I115" s="34"/>
      <c r="J115" s="34"/>
      <c r="K115" s="254"/>
      <c r="L115" s="262"/>
      <c r="M115" s="993" t="s">
        <v>17</v>
      </c>
      <c r="N115" s="120"/>
      <c r="O115" s="30"/>
      <c r="P115" s="30"/>
      <c r="Q115" s="120"/>
      <c r="R115" s="30"/>
      <c r="S115" s="30"/>
      <c r="T115" s="121"/>
      <c r="U115" s="120"/>
      <c r="V115" s="30"/>
      <c r="W115" s="30"/>
      <c r="X115" s="193"/>
      <c r="Y115" s="120"/>
      <c r="Z115" s="30"/>
      <c r="AA115" s="30"/>
      <c r="AB115" s="30"/>
      <c r="AC115" s="121"/>
      <c r="AD115" s="88"/>
      <c r="AE115" s="30"/>
      <c r="AF115" s="30"/>
      <c r="AG115" s="30"/>
      <c r="AH115" s="173"/>
      <c r="AI115" s="285" t="s">
        <v>8</v>
      </c>
      <c r="AJ115" s="30"/>
      <c r="AK115" s="118"/>
      <c r="AL115" s="117"/>
      <c r="AM115" s="171"/>
      <c r="AN115" s="171"/>
      <c r="AO115" s="171"/>
      <c r="AP115" s="29"/>
      <c r="AQ115" s="171"/>
      <c r="AR115" s="111" t="s">
        <v>17</v>
      </c>
      <c r="AS115" s="322" t="s">
        <v>17</v>
      </c>
      <c r="AT115" s="177" t="s">
        <v>17</v>
      </c>
      <c r="AU115" s="111" t="s">
        <v>8</v>
      </c>
      <c r="AV115" s="112" t="s">
        <v>17</v>
      </c>
      <c r="AW115" s="111" t="s">
        <v>17</v>
      </c>
      <c r="AX115" s="16" t="s">
        <v>17</v>
      </c>
      <c r="AY115" s="16" t="s">
        <v>17</v>
      </c>
      <c r="AZ115" s="112" t="s">
        <v>17</v>
      </c>
      <c r="BA115" s="27" t="s">
        <v>17</v>
      </c>
      <c r="BB115" s="112" t="s">
        <v>17</v>
      </c>
      <c r="BC115" s="718" t="s">
        <v>17</v>
      </c>
      <c r="BD115" s="1068" t="s">
        <v>1519</v>
      </c>
      <c r="BE115" s="464" t="s">
        <v>17</v>
      </c>
      <c r="BF115" s="377" t="s">
        <v>17</v>
      </c>
      <c r="BG115" s="875" t="s">
        <v>1114</v>
      </c>
      <c r="BH115" s="156" t="s">
        <v>17</v>
      </c>
      <c r="BI115" s="380" t="s">
        <v>17</v>
      </c>
      <c r="BJ115" s="718" t="s">
        <v>17</v>
      </c>
      <c r="BK115" s="1068" t="s">
        <v>1519</v>
      </c>
      <c r="BL115" s="260" t="s">
        <v>17</v>
      </c>
      <c r="BM115" s="377" t="s">
        <v>17</v>
      </c>
      <c r="BN115" s="959"/>
      <c r="BO115" s="935"/>
      <c r="BP115" s="113"/>
      <c r="BQ115" s="260" t="s">
        <v>17</v>
      </c>
      <c r="BR115" s="133" t="s">
        <v>17</v>
      </c>
      <c r="BS115" s="1040" t="s">
        <v>17</v>
      </c>
      <c r="BT115" s="444"/>
    </row>
    <row r="116" spans="1:72" ht="13.5" hidden="1" customHeight="1" x14ac:dyDescent="0.35">
      <c r="A116" s="683"/>
      <c r="B116" s="47"/>
      <c r="C116" s="168" t="s">
        <v>464</v>
      </c>
      <c r="D116" s="1128"/>
      <c r="E116" s="100"/>
      <c r="F116" s="34"/>
      <c r="G116" s="34"/>
      <c r="H116" s="37" t="s">
        <v>17</v>
      </c>
      <c r="I116" s="37" t="s">
        <v>8</v>
      </c>
      <c r="J116" s="37" t="s">
        <v>8</v>
      </c>
      <c r="K116" s="267" t="s">
        <v>8</v>
      </c>
      <c r="L116" s="266" t="s">
        <v>8</v>
      </c>
      <c r="M116" s="993" t="s">
        <v>17</v>
      </c>
      <c r="N116" s="117"/>
      <c r="O116" s="29"/>
      <c r="P116" s="29"/>
      <c r="Q116" s="117"/>
      <c r="R116" s="29"/>
      <c r="S116" s="29"/>
      <c r="T116" s="118"/>
      <c r="U116" s="120"/>
      <c r="V116" s="30"/>
      <c r="W116" s="30"/>
      <c r="X116" s="193"/>
      <c r="Y116" s="119" t="s">
        <v>8</v>
      </c>
      <c r="Z116" s="13" t="s">
        <v>17</v>
      </c>
      <c r="AA116" s="13" t="s">
        <v>17</v>
      </c>
      <c r="AB116" s="13" t="s">
        <v>17</v>
      </c>
      <c r="AC116" s="102" t="s">
        <v>17</v>
      </c>
      <c r="AD116" s="83" t="s">
        <v>17</v>
      </c>
      <c r="AE116" s="16" t="s">
        <v>17</v>
      </c>
      <c r="AF116" s="13" t="s">
        <v>17</v>
      </c>
      <c r="AG116" s="13" t="s">
        <v>17</v>
      </c>
      <c r="AH116" s="177" t="s">
        <v>17</v>
      </c>
      <c r="AI116" s="16" t="s">
        <v>17</v>
      </c>
      <c r="AJ116" s="16" t="s">
        <v>17</v>
      </c>
      <c r="AK116" s="102" t="s">
        <v>17</v>
      </c>
      <c r="AL116" s="119" t="s">
        <v>17</v>
      </c>
      <c r="AM116" s="36" t="s">
        <v>17</v>
      </c>
      <c r="AN116" s="177" t="s">
        <v>17</v>
      </c>
      <c r="AO116" s="177" t="s">
        <v>17</v>
      </c>
      <c r="AP116" s="13" t="s">
        <v>17</v>
      </c>
      <c r="AQ116" s="36" t="s">
        <v>17</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9" t="s">
        <v>17</v>
      </c>
      <c r="BE116" s="177" t="s">
        <v>17</v>
      </c>
      <c r="BF116" s="377" t="s">
        <v>17</v>
      </c>
      <c r="BG116" s="119" t="s">
        <v>17</v>
      </c>
      <c r="BH116" s="112" t="s">
        <v>17</v>
      </c>
      <c r="BI116" s="377" t="s">
        <v>17</v>
      </c>
      <c r="BJ116" s="718" t="s">
        <v>17</v>
      </c>
      <c r="BK116" s="779" t="s">
        <v>17</v>
      </c>
      <c r="BL116" s="112" t="s">
        <v>17</v>
      </c>
      <c r="BM116" s="377" t="s">
        <v>17</v>
      </c>
      <c r="BN116" s="523" t="s">
        <v>8</v>
      </c>
      <c r="BO116" s="114"/>
      <c r="BP116" s="113"/>
      <c r="BQ116" s="112" t="s">
        <v>17</v>
      </c>
      <c r="BR116" s="133" t="s">
        <v>17</v>
      </c>
      <c r="BS116" s="26" t="s">
        <v>17</v>
      </c>
      <c r="BT116" s="405"/>
    </row>
    <row r="117" spans="1:72" ht="13.5" hidden="1" customHeight="1" x14ac:dyDescent="0.35">
      <c r="A117" s="683"/>
      <c r="B117" s="47"/>
      <c r="C117" s="168" t="s">
        <v>466</v>
      </c>
      <c r="D117" s="1128"/>
      <c r="E117" s="100"/>
      <c r="F117" s="34"/>
      <c r="G117" s="34"/>
      <c r="H117" s="37" t="s">
        <v>17</v>
      </c>
      <c r="I117" s="34"/>
      <c r="J117" s="37" t="s">
        <v>8</v>
      </c>
      <c r="K117" s="267" t="s">
        <v>8</v>
      </c>
      <c r="L117" s="266" t="s">
        <v>8</v>
      </c>
      <c r="M117" s="993" t="s">
        <v>17</v>
      </c>
      <c r="N117" s="117"/>
      <c r="O117" s="29"/>
      <c r="P117" s="29"/>
      <c r="Q117" s="117"/>
      <c r="R117" s="29"/>
      <c r="S117" s="29"/>
      <c r="T117" s="118"/>
      <c r="U117" s="120"/>
      <c r="V117" s="30"/>
      <c r="W117" s="30"/>
      <c r="X117" s="193"/>
      <c r="Y117" s="120"/>
      <c r="Z117" s="13" t="s">
        <v>8</v>
      </c>
      <c r="AA117" s="13" t="s">
        <v>8</v>
      </c>
      <c r="AB117" s="13" t="s">
        <v>8</v>
      </c>
      <c r="AC117" s="102" t="s">
        <v>8</v>
      </c>
      <c r="AD117" s="83" t="s">
        <v>17</v>
      </c>
      <c r="AE117" s="16" t="s">
        <v>17</v>
      </c>
      <c r="AF117" s="13" t="s">
        <v>17</v>
      </c>
      <c r="AG117" s="13" t="s">
        <v>17</v>
      </c>
      <c r="AH117" s="177" t="s">
        <v>17</v>
      </c>
      <c r="AI117" s="16" t="s">
        <v>17</v>
      </c>
      <c r="AJ117" s="16" t="s">
        <v>17</v>
      </c>
      <c r="AK117" s="102" t="s">
        <v>17</v>
      </c>
      <c r="AL117" s="119" t="s">
        <v>17</v>
      </c>
      <c r="AM117" s="36" t="s">
        <v>17</v>
      </c>
      <c r="AN117" s="177" t="s">
        <v>17</v>
      </c>
      <c r="AO117" s="177" t="s">
        <v>17</v>
      </c>
      <c r="AP117" s="13" t="s">
        <v>17</v>
      </c>
      <c r="AQ117" s="36" t="s">
        <v>17</v>
      </c>
      <c r="AR117" s="111" t="s">
        <v>17</v>
      </c>
      <c r="AS117" s="16" t="s">
        <v>17</v>
      </c>
      <c r="AT117" s="177" t="s">
        <v>17</v>
      </c>
      <c r="AU117" s="111" t="s">
        <v>17</v>
      </c>
      <c r="AV117" s="112" t="s">
        <v>17</v>
      </c>
      <c r="AW117" s="111" t="s">
        <v>17</v>
      </c>
      <c r="AX117" s="16" t="s">
        <v>17</v>
      </c>
      <c r="AY117" s="16" t="s">
        <v>17</v>
      </c>
      <c r="AZ117" s="112" t="s">
        <v>17</v>
      </c>
      <c r="BA117" s="26" t="s">
        <v>17</v>
      </c>
      <c r="BB117" s="112" t="s">
        <v>17</v>
      </c>
      <c r="BC117" s="718" t="s">
        <v>17</v>
      </c>
      <c r="BD117" s="779" t="s">
        <v>17</v>
      </c>
      <c r="BE117" s="177" t="s">
        <v>17</v>
      </c>
      <c r="BF117" s="377" t="s">
        <v>17</v>
      </c>
      <c r="BG117" s="119" t="s">
        <v>17</v>
      </c>
      <c r="BH117" s="112" t="s">
        <v>17</v>
      </c>
      <c r="BI117" s="377" t="s">
        <v>17</v>
      </c>
      <c r="BJ117" s="718" t="s">
        <v>17</v>
      </c>
      <c r="BK117" s="779" t="s">
        <v>17</v>
      </c>
      <c r="BL117" s="112" t="s">
        <v>17</v>
      </c>
      <c r="BM117" s="377" t="s">
        <v>17</v>
      </c>
      <c r="BN117" s="718" t="s">
        <v>17</v>
      </c>
      <c r="BO117" s="114"/>
      <c r="BP117" s="113"/>
      <c r="BQ117" s="112" t="s">
        <v>17</v>
      </c>
      <c r="BR117" s="133" t="s">
        <v>17</v>
      </c>
      <c r="BS117" s="26" t="s">
        <v>17</v>
      </c>
      <c r="BT117" s="405"/>
    </row>
    <row r="118" spans="1:72" ht="13.5" hidden="1" customHeight="1" x14ac:dyDescent="0.35">
      <c r="A118" s="683"/>
      <c r="B118" s="47"/>
      <c r="C118" s="168" t="s">
        <v>467</v>
      </c>
      <c r="D118" s="1128"/>
      <c r="E118" s="100"/>
      <c r="F118" s="34"/>
      <c r="G118" s="34"/>
      <c r="H118" s="37" t="s">
        <v>8</v>
      </c>
      <c r="I118" s="37" t="s">
        <v>17</v>
      </c>
      <c r="J118" s="37" t="s">
        <v>8</v>
      </c>
      <c r="K118" s="267" t="s">
        <v>8</v>
      </c>
      <c r="L118" s="266" t="s">
        <v>8</v>
      </c>
      <c r="M118" s="993" t="s">
        <v>17</v>
      </c>
      <c r="N118" s="117"/>
      <c r="O118" s="29"/>
      <c r="P118" s="29"/>
      <c r="Q118" s="117"/>
      <c r="R118" s="29"/>
      <c r="S118" s="29"/>
      <c r="T118" s="118"/>
      <c r="U118" s="120"/>
      <c r="V118" s="30"/>
      <c r="W118" s="30"/>
      <c r="X118" s="193"/>
      <c r="Y118" s="120"/>
      <c r="Z118" s="30"/>
      <c r="AA118" s="30"/>
      <c r="AB118" s="30"/>
      <c r="AC118" s="121"/>
      <c r="AD118" s="87" t="s">
        <v>8</v>
      </c>
      <c r="AE118" s="13" t="s">
        <v>8</v>
      </c>
      <c r="AF118" s="21" t="s">
        <v>8</v>
      </c>
      <c r="AG118" s="13" t="s">
        <v>8</v>
      </c>
      <c r="AH118" s="36" t="s">
        <v>8</v>
      </c>
      <c r="AI118" s="13" t="s">
        <v>8</v>
      </c>
      <c r="AJ118" s="13" t="s">
        <v>8</v>
      </c>
      <c r="AK118" s="102" t="s">
        <v>8</v>
      </c>
      <c r="AL118" s="119" t="s">
        <v>8</v>
      </c>
      <c r="AM118" s="36" t="s">
        <v>8</v>
      </c>
      <c r="AN118" s="177" t="s">
        <v>17</v>
      </c>
      <c r="AO118" s="177" t="s">
        <v>17</v>
      </c>
      <c r="AP118" s="13" t="s">
        <v>17</v>
      </c>
      <c r="AQ118" s="36" t="s">
        <v>8</v>
      </c>
      <c r="AR118" s="111" t="s">
        <v>17</v>
      </c>
      <c r="AS118" s="16" t="s">
        <v>17</v>
      </c>
      <c r="AT118" s="177" t="s">
        <v>17</v>
      </c>
      <c r="AU118" s="111" t="s">
        <v>17</v>
      </c>
      <c r="AV118" s="112" t="s">
        <v>17</v>
      </c>
      <c r="AW118" s="111" t="s">
        <v>17</v>
      </c>
      <c r="AX118" s="16" t="s">
        <v>17</v>
      </c>
      <c r="AY118" s="16" t="s">
        <v>17</v>
      </c>
      <c r="AZ118" s="112" t="s">
        <v>17</v>
      </c>
      <c r="BA118" s="26" t="s">
        <v>17</v>
      </c>
      <c r="BB118" s="112" t="s">
        <v>17</v>
      </c>
      <c r="BC118" s="718" t="s">
        <v>17</v>
      </c>
      <c r="BD118" s="779" t="s">
        <v>17</v>
      </c>
      <c r="BE118" s="177" t="s">
        <v>17</v>
      </c>
      <c r="BF118" s="377" t="s">
        <v>17</v>
      </c>
      <c r="BG118" s="119" t="s">
        <v>17</v>
      </c>
      <c r="BH118" s="112" t="s">
        <v>17</v>
      </c>
      <c r="BI118" s="377" t="s">
        <v>17</v>
      </c>
      <c r="BJ118" s="718" t="s">
        <v>17</v>
      </c>
      <c r="BK118" s="779" t="s">
        <v>17</v>
      </c>
      <c r="BL118" s="112" t="s">
        <v>17</v>
      </c>
      <c r="BM118" s="377" t="s">
        <v>17</v>
      </c>
      <c r="BN118" s="718" t="s">
        <v>17</v>
      </c>
      <c r="BO118" s="114"/>
      <c r="BP118" s="113"/>
      <c r="BQ118" s="112" t="s">
        <v>17</v>
      </c>
      <c r="BR118" s="133" t="s">
        <v>17</v>
      </c>
      <c r="BS118" s="26" t="s">
        <v>17</v>
      </c>
      <c r="BT118" s="405"/>
    </row>
    <row r="119" spans="1:72" ht="13.5" hidden="1" customHeight="1" x14ac:dyDescent="0.35">
      <c r="A119" s="683"/>
      <c r="B119" s="47"/>
      <c r="C119" s="168" t="s">
        <v>437</v>
      </c>
      <c r="D119" s="1128"/>
      <c r="E119" s="100"/>
      <c r="F119" s="34"/>
      <c r="G119" s="34"/>
      <c r="H119" s="37" t="s">
        <v>8</v>
      </c>
      <c r="I119" s="37" t="s">
        <v>17</v>
      </c>
      <c r="J119" s="37" t="s">
        <v>8</v>
      </c>
      <c r="K119" s="267" t="s">
        <v>8</v>
      </c>
      <c r="L119" s="266" t="s">
        <v>8</v>
      </c>
      <c r="M119" s="265" t="s">
        <v>8</v>
      </c>
      <c r="N119" s="117"/>
      <c r="O119" s="29"/>
      <c r="P119" s="29"/>
      <c r="Q119" s="117"/>
      <c r="R119" s="29"/>
      <c r="S119" s="29"/>
      <c r="T119" s="118"/>
      <c r="U119" s="120"/>
      <c r="V119" s="30"/>
      <c r="W119" s="30"/>
      <c r="X119" s="193"/>
      <c r="Y119" s="120"/>
      <c r="Z119" s="30"/>
      <c r="AA119" s="19" t="s">
        <v>8</v>
      </c>
      <c r="AB119" s="19" t="s">
        <v>8</v>
      </c>
      <c r="AC119" s="116" t="s">
        <v>8</v>
      </c>
      <c r="AD119" s="85" t="s">
        <v>8</v>
      </c>
      <c r="AE119" s="19" t="s">
        <v>8</v>
      </c>
      <c r="AF119" s="51" t="s">
        <v>8</v>
      </c>
      <c r="AG119" s="19" t="s">
        <v>8</v>
      </c>
      <c r="AH119" s="179" t="s">
        <v>8</v>
      </c>
      <c r="AI119" s="19" t="s">
        <v>8</v>
      </c>
      <c r="AJ119" s="19" t="s">
        <v>8</v>
      </c>
      <c r="AK119" s="116" t="s">
        <v>8</v>
      </c>
      <c r="AL119" s="115" t="s">
        <v>8</v>
      </c>
      <c r="AM119" s="36" t="s">
        <v>412</v>
      </c>
      <c r="AN119" s="177" t="s">
        <v>412</v>
      </c>
      <c r="AO119" s="177" t="s">
        <v>412</v>
      </c>
      <c r="AP119" s="19" t="s">
        <v>8</v>
      </c>
      <c r="AQ119" s="36" t="s">
        <v>412</v>
      </c>
      <c r="AR119" s="133" t="s">
        <v>8</v>
      </c>
      <c r="AS119" s="27" t="s">
        <v>8</v>
      </c>
      <c r="AT119" s="478" t="s">
        <v>8</v>
      </c>
      <c r="AU119" s="133" t="s">
        <v>8</v>
      </c>
      <c r="AV119" s="260" t="s">
        <v>8</v>
      </c>
      <c r="AW119" s="133" t="s">
        <v>8</v>
      </c>
      <c r="AX119" s="26" t="s">
        <v>8</v>
      </c>
      <c r="AY119" s="26" t="s">
        <v>8</v>
      </c>
      <c r="AZ119" s="260" t="s">
        <v>8</v>
      </c>
      <c r="BA119" s="27" t="s">
        <v>8</v>
      </c>
      <c r="BB119" s="260" t="s">
        <v>8</v>
      </c>
      <c r="BC119" s="718" t="s">
        <v>8</v>
      </c>
      <c r="BD119" s="781" t="s">
        <v>8</v>
      </c>
      <c r="BE119" s="464" t="s">
        <v>8</v>
      </c>
      <c r="BF119" s="314" t="s">
        <v>8</v>
      </c>
      <c r="BG119" s="115" t="s">
        <v>8</v>
      </c>
      <c r="BH119" s="260" t="s">
        <v>8</v>
      </c>
      <c r="BI119" s="380" t="s">
        <v>17</v>
      </c>
      <c r="BJ119" s="718" t="s">
        <v>8</v>
      </c>
      <c r="BK119" s="779" t="s">
        <v>8</v>
      </c>
      <c r="BL119" s="260" t="s">
        <v>8</v>
      </c>
      <c r="BM119" s="314" t="s">
        <v>8</v>
      </c>
      <c r="BN119" s="718" t="s">
        <v>17</v>
      </c>
      <c r="BO119" s="134"/>
      <c r="BP119" s="113"/>
      <c r="BQ119" s="260" t="s">
        <v>8</v>
      </c>
      <c r="BR119" s="133" t="s">
        <v>8</v>
      </c>
      <c r="BS119" s="27" t="s">
        <v>8</v>
      </c>
      <c r="BT119" s="405"/>
    </row>
    <row r="120" spans="1:72" ht="13.5" hidden="1" customHeight="1" thickTop="1" x14ac:dyDescent="0.35">
      <c r="A120" s="683"/>
      <c r="B120" s="47"/>
      <c r="C120" s="168" t="s">
        <v>465</v>
      </c>
      <c r="D120" s="1128"/>
      <c r="E120" s="262"/>
      <c r="F120" s="34"/>
      <c r="G120" s="34"/>
      <c r="H120" s="34"/>
      <c r="I120" s="34"/>
      <c r="J120" s="34"/>
      <c r="K120" s="254"/>
      <c r="L120" s="262"/>
      <c r="M120" s="993"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t="str">
        <f t="shared" ref="AK120:AM120" si="0">IF(AK121="Yes","No",IF(AK116="Yes","No",IF(AK117="Yes","No",IF(AK118="Yes","No","Yes"))))</f>
        <v>No</v>
      </c>
      <c r="AL120" s="115" t="str">
        <f t="shared" si="0"/>
        <v>No</v>
      </c>
      <c r="AM120" s="36" t="str">
        <f t="shared" si="0"/>
        <v>No</v>
      </c>
      <c r="AN120" s="177" t="str">
        <f>IF(AN121="Yes","No",IF(AN116="Yes","No",IF(AN117="Yes","No",IF(AN118="Yes","No","Yes"))))</f>
        <v>Yes</v>
      </c>
      <c r="AO120" s="177" t="str">
        <f>IF(AO121="Yes","No",IF(AO116="Yes","No",IF(AO117="Yes","No",IF(AO118="Yes","No","Yes"))))</f>
        <v>Yes</v>
      </c>
      <c r="AP120" s="19" t="str">
        <f t="shared" ref="AP120:BF120" si="1">IF(AP121="Yes","No",IF(AP116="Yes","No",IF(AP117="Yes","No",IF(AP118="Yes","No","Yes"))))</f>
        <v>Yes</v>
      </c>
      <c r="AQ120" s="36" t="str">
        <f t="shared" si="1"/>
        <v>No</v>
      </c>
      <c r="AR120" s="502" t="str">
        <f t="shared" si="1"/>
        <v>No</v>
      </c>
      <c r="AS120" s="341" t="str">
        <f t="shared" si="1"/>
        <v>No</v>
      </c>
      <c r="AT120" s="477" t="str">
        <f t="shared" si="1"/>
        <v>No</v>
      </c>
      <c r="AU120" s="502" t="str">
        <f t="shared" si="1"/>
        <v>No</v>
      </c>
      <c r="AV120" s="503" t="str">
        <f t="shared" si="1"/>
        <v>No</v>
      </c>
      <c r="AW120" s="502" t="str">
        <f t="shared" si="1"/>
        <v>No</v>
      </c>
      <c r="AX120" s="341" t="str">
        <f t="shared" si="1"/>
        <v>No</v>
      </c>
      <c r="AY120" s="341" t="str">
        <f t="shared" si="1"/>
        <v>No</v>
      </c>
      <c r="AZ120" s="503" t="str">
        <f t="shared" si="1"/>
        <v>No</v>
      </c>
      <c r="BA120" s="27" t="str">
        <f t="shared" si="1"/>
        <v>No</v>
      </c>
      <c r="BB120" s="503" t="str">
        <f t="shared" si="1"/>
        <v>No</v>
      </c>
      <c r="BC120" s="731" t="str">
        <f t="shared" si="1"/>
        <v>No</v>
      </c>
      <c r="BD120" s="1067" t="str">
        <f t="shared" si="1"/>
        <v>No</v>
      </c>
      <c r="BE120" s="177" t="s">
        <v>17</v>
      </c>
      <c r="BF120" s="391" t="str">
        <f t="shared" si="1"/>
        <v>No</v>
      </c>
      <c r="BG120" s="115" t="str">
        <f t="shared" ref="BG120:BH120" si="2">IF(BG121="Yes","No",IF(BG116="Yes","No",IF(BG117="Yes","No",IF(BG118="Yes","No","Yes"))))</f>
        <v>No</v>
      </c>
      <c r="BH120" s="503" t="str">
        <f t="shared" si="2"/>
        <v>No</v>
      </c>
      <c r="BI120" s="957" t="s">
        <v>17</v>
      </c>
      <c r="BJ120" s="731" t="str">
        <f t="shared" ref="BJ120" si="3">IF(BJ121="Yes","No",IF(BJ116="Yes","No",IF(BJ117="Yes","No",IF(BJ118="Yes","No","Yes"))))</f>
        <v>No</v>
      </c>
      <c r="BK120" s="1067" t="str">
        <f t="shared" ref="BK120" si="4">IF(BK121="Yes","No",IF(BK116="Yes","No",IF(BK117="Yes","No",IF(BK118="Yes","No","Yes"))))</f>
        <v>No</v>
      </c>
      <c r="BL120" s="112" t="s">
        <v>17</v>
      </c>
      <c r="BM120" s="391" t="str">
        <f t="shared" ref="BM120" si="5">IF(BM121="Yes","No",IF(BM116="Yes","No",IF(BM117="Yes","No",IF(BM118="Yes","No","Yes"))))</f>
        <v>No</v>
      </c>
      <c r="BN120" s="718" t="s">
        <v>8</v>
      </c>
      <c r="BO120" s="910"/>
      <c r="BP120" s="893"/>
      <c r="BQ120" s="112" t="s">
        <v>17</v>
      </c>
      <c r="BR120" s="502" t="str">
        <f t="shared" ref="BR120:BS120" si="6">IF(BR121="Yes","No",IF(BR116="Yes","No",IF(BR117="Yes","No",IF(BR118="Yes","No","Yes"))))</f>
        <v>No</v>
      </c>
      <c r="BS120" s="341" t="str">
        <f t="shared" si="6"/>
        <v>No</v>
      </c>
      <c r="BT120" s="405"/>
    </row>
    <row r="121" spans="1:72" ht="13.5" hidden="1" customHeight="1" x14ac:dyDescent="0.35">
      <c r="A121" s="683"/>
      <c r="B121" s="47"/>
      <c r="C121" s="168" t="s">
        <v>611</v>
      </c>
      <c r="D121" s="1128"/>
      <c r="E121" s="262"/>
      <c r="F121" s="34"/>
      <c r="G121" s="34"/>
      <c r="H121" s="34"/>
      <c r="I121" s="34"/>
      <c r="J121" s="34"/>
      <c r="K121" s="254"/>
      <c r="L121" s="262"/>
      <c r="M121" s="993" t="s">
        <v>8</v>
      </c>
      <c r="N121" s="170"/>
      <c r="O121" s="171"/>
      <c r="P121" s="171"/>
      <c r="Q121" s="170"/>
      <c r="R121" s="171"/>
      <c r="S121" s="29"/>
      <c r="T121" s="118"/>
      <c r="U121" s="172"/>
      <c r="V121" s="173"/>
      <c r="W121" s="173"/>
      <c r="X121" s="303"/>
      <c r="Y121" s="172"/>
      <c r="Z121" s="173"/>
      <c r="AA121" s="173"/>
      <c r="AB121" s="173"/>
      <c r="AC121" s="121"/>
      <c r="AD121" s="88"/>
      <c r="AE121" s="30"/>
      <c r="AF121" s="214"/>
      <c r="AG121" s="30"/>
      <c r="AH121" s="173"/>
      <c r="AI121" s="30"/>
      <c r="AJ121" s="173"/>
      <c r="AK121" s="116"/>
      <c r="AL121" s="115" t="s">
        <v>17</v>
      </c>
      <c r="AM121" s="115" t="s">
        <v>17</v>
      </c>
      <c r="AN121" s="113" t="s">
        <v>17</v>
      </c>
      <c r="AO121" s="111" t="s">
        <v>17</v>
      </c>
      <c r="AP121" s="115" t="s">
        <v>17</v>
      </c>
      <c r="AQ121" s="115" t="s">
        <v>17</v>
      </c>
      <c r="AR121" s="502" t="s">
        <v>8</v>
      </c>
      <c r="AS121" s="341" t="s">
        <v>8</v>
      </c>
      <c r="AT121" s="477" t="s">
        <v>8</v>
      </c>
      <c r="AU121" s="133" t="s">
        <v>8</v>
      </c>
      <c r="AV121" s="260" t="s">
        <v>8</v>
      </c>
      <c r="AW121" s="133" t="s">
        <v>8</v>
      </c>
      <c r="AX121" s="26" t="s">
        <v>8</v>
      </c>
      <c r="AY121" s="26" t="s">
        <v>8</v>
      </c>
      <c r="AZ121" s="260" t="s">
        <v>8</v>
      </c>
      <c r="BA121" s="27" t="s">
        <v>412</v>
      </c>
      <c r="BB121" s="260" t="s">
        <v>8</v>
      </c>
      <c r="BC121" s="731" t="s">
        <v>8</v>
      </c>
      <c r="BD121" s="790" t="s">
        <v>8</v>
      </c>
      <c r="BE121" s="477" t="s">
        <v>8</v>
      </c>
      <c r="BF121" s="314" t="s">
        <v>8</v>
      </c>
      <c r="BG121" s="115" t="s">
        <v>412</v>
      </c>
      <c r="BH121" s="260" t="s">
        <v>8</v>
      </c>
      <c r="BI121" s="380" t="s">
        <v>17</v>
      </c>
      <c r="BJ121" s="731" t="s">
        <v>8</v>
      </c>
      <c r="BK121" s="1067" t="s">
        <v>8</v>
      </c>
      <c r="BL121" s="503" t="s">
        <v>8</v>
      </c>
      <c r="BM121" s="314" t="s">
        <v>8</v>
      </c>
      <c r="BN121" s="731" t="str">
        <f t="shared" ref="BN121" si="7">IF(BN122="Yes","No",IF(BN117="Yes","No",IF(BN118="Yes","No",IF(BN119="Yes","No","Yes"))))</f>
        <v>No</v>
      </c>
      <c r="BO121" s="931"/>
      <c r="BP121" s="893"/>
      <c r="BQ121" s="503" t="s">
        <v>8</v>
      </c>
      <c r="BR121" s="502" t="s">
        <v>8</v>
      </c>
      <c r="BS121" s="341" t="s">
        <v>8</v>
      </c>
      <c r="BT121" s="410"/>
    </row>
    <row r="122" spans="1:72" ht="13.5" hidden="1" customHeight="1" x14ac:dyDescent="0.35">
      <c r="A122" s="683"/>
      <c r="B122" s="47"/>
      <c r="C122" s="169" t="s">
        <v>567</v>
      </c>
      <c r="D122" s="1128"/>
      <c r="E122" s="262"/>
      <c r="F122" s="34"/>
      <c r="G122" s="34"/>
      <c r="H122" s="34"/>
      <c r="I122" s="34"/>
      <c r="J122" s="34"/>
      <c r="K122" s="254"/>
      <c r="L122" s="262"/>
      <c r="M122" s="993" t="s">
        <v>8</v>
      </c>
      <c r="N122" s="170"/>
      <c r="O122" s="171"/>
      <c r="P122" s="171"/>
      <c r="Q122" s="170"/>
      <c r="R122" s="171"/>
      <c r="S122" s="29"/>
      <c r="T122" s="118"/>
      <c r="U122" s="172"/>
      <c r="V122" s="173"/>
      <c r="W122" s="173"/>
      <c r="X122" s="303"/>
      <c r="Y122" s="172"/>
      <c r="Z122" s="173"/>
      <c r="AA122" s="173"/>
      <c r="AB122" s="173"/>
      <c r="AC122" s="121"/>
      <c r="AD122" s="88"/>
      <c r="AE122" s="30"/>
      <c r="AF122" s="214"/>
      <c r="AG122" s="30"/>
      <c r="AH122" s="173"/>
      <c r="AI122" s="30"/>
      <c r="AJ122" s="173"/>
      <c r="AK122" s="116"/>
      <c r="AL122" s="115" t="s">
        <v>17</v>
      </c>
      <c r="AM122" s="115" t="s">
        <v>17</v>
      </c>
      <c r="AN122" s="113" t="s">
        <v>17</v>
      </c>
      <c r="AO122" s="111" t="s">
        <v>17</v>
      </c>
      <c r="AP122" s="115" t="s">
        <v>17</v>
      </c>
      <c r="AQ122" s="115" t="s">
        <v>17</v>
      </c>
      <c r="AR122" s="502" t="s">
        <v>8</v>
      </c>
      <c r="AS122" s="341" t="s">
        <v>8</v>
      </c>
      <c r="AT122" s="477" t="s">
        <v>8</v>
      </c>
      <c r="AU122" s="502" t="s">
        <v>8</v>
      </c>
      <c r="AV122" s="503" t="s">
        <v>8</v>
      </c>
      <c r="AW122" s="502" t="s">
        <v>8</v>
      </c>
      <c r="AX122" s="341" t="s">
        <v>8</v>
      </c>
      <c r="AY122" s="341" t="s">
        <v>8</v>
      </c>
      <c r="AZ122" s="503" t="s">
        <v>8</v>
      </c>
      <c r="BA122" s="27" t="s">
        <v>412</v>
      </c>
      <c r="BB122" s="503" t="s">
        <v>8</v>
      </c>
      <c r="BC122" s="731" t="s">
        <v>8</v>
      </c>
      <c r="BD122" s="790" t="s">
        <v>8</v>
      </c>
      <c r="BE122" s="477" t="s">
        <v>8</v>
      </c>
      <c r="BF122" s="391" t="s">
        <v>8</v>
      </c>
      <c r="BG122" s="115" t="s">
        <v>412</v>
      </c>
      <c r="BH122" s="503" t="s">
        <v>8</v>
      </c>
      <c r="BI122" s="380" t="s">
        <v>17</v>
      </c>
      <c r="BJ122" s="731" t="s">
        <v>8</v>
      </c>
      <c r="BK122" s="1067" t="s">
        <v>8</v>
      </c>
      <c r="BL122" s="503" t="s">
        <v>8</v>
      </c>
      <c r="BM122" s="391" t="s">
        <v>8</v>
      </c>
      <c r="BN122" s="731" t="s">
        <v>8</v>
      </c>
      <c r="BO122" s="931"/>
      <c r="BP122" s="893"/>
      <c r="BQ122" s="503" t="s">
        <v>8</v>
      </c>
      <c r="BR122" s="502" t="s">
        <v>8</v>
      </c>
      <c r="BS122" s="341" t="s">
        <v>8</v>
      </c>
      <c r="BT122" s="410"/>
    </row>
    <row r="123" spans="1:72" ht="13.5" hidden="1" customHeight="1" x14ac:dyDescent="0.35">
      <c r="A123" s="683"/>
      <c r="B123" s="47"/>
      <c r="C123" s="168" t="s">
        <v>460</v>
      </c>
      <c r="D123" s="1128"/>
      <c r="E123" s="100"/>
      <c r="F123" s="34"/>
      <c r="G123" s="34"/>
      <c r="H123" s="37" t="s">
        <v>17</v>
      </c>
      <c r="I123" s="37" t="s">
        <v>17</v>
      </c>
      <c r="J123" s="37" t="s">
        <v>17</v>
      </c>
      <c r="K123" s="267" t="s">
        <v>8</v>
      </c>
      <c r="L123" s="266" t="s">
        <v>17</v>
      </c>
      <c r="M123" s="993" t="s">
        <v>8</v>
      </c>
      <c r="N123" s="117"/>
      <c r="O123" s="29"/>
      <c r="P123" s="29"/>
      <c r="Q123" s="117"/>
      <c r="R123" s="29"/>
      <c r="S123" s="29"/>
      <c r="T123" s="118"/>
      <c r="U123" s="120"/>
      <c r="V123" s="30"/>
      <c r="W123" s="30"/>
      <c r="X123" s="193"/>
      <c r="Y123" s="120"/>
      <c r="Z123" s="30"/>
      <c r="AA123" s="21" t="s">
        <v>8</v>
      </c>
      <c r="AB123" s="322" t="s">
        <v>8</v>
      </c>
      <c r="AC123" s="116" t="s">
        <v>8</v>
      </c>
      <c r="AD123" s="87" t="s">
        <v>8</v>
      </c>
      <c r="AE123" s="13" t="s">
        <v>8</v>
      </c>
      <c r="AF123" s="21" t="s">
        <v>8</v>
      </c>
      <c r="AG123" s="13" t="s">
        <v>8</v>
      </c>
      <c r="AH123" s="36" t="s">
        <v>8</v>
      </c>
      <c r="AI123" s="13" t="s">
        <v>8</v>
      </c>
      <c r="AJ123" s="13" t="s">
        <v>8</v>
      </c>
      <c r="AK123" s="102" t="s">
        <v>8</v>
      </c>
      <c r="AL123" s="119" t="s">
        <v>8</v>
      </c>
      <c r="AM123" s="36" t="s">
        <v>8</v>
      </c>
      <c r="AN123" s="177" t="s">
        <v>8</v>
      </c>
      <c r="AO123" s="177" t="s">
        <v>8</v>
      </c>
      <c r="AP123" s="13" t="s">
        <v>8</v>
      </c>
      <c r="AQ123" s="36" t="s">
        <v>8</v>
      </c>
      <c r="AR123" s="133" t="s">
        <v>8</v>
      </c>
      <c r="AS123" s="26" t="s">
        <v>8</v>
      </c>
      <c r="AT123" s="464" t="s">
        <v>8</v>
      </c>
      <c r="AU123" s="133" t="s">
        <v>8</v>
      </c>
      <c r="AV123" s="260" t="s">
        <v>8</v>
      </c>
      <c r="AW123" s="133" t="s">
        <v>8</v>
      </c>
      <c r="AX123" s="26" t="s">
        <v>8</v>
      </c>
      <c r="AY123" s="26" t="s">
        <v>8</v>
      </c>
      <c r="AZ123" s="260" t="s">
        <v>8</v>
      </c>
      <c r="BA123" s="26" t="s">
        <v>8</v>
      </c>
      <c r="BB123" s="260" t="s">
        <v>8</v>
      </c>
      <c r="BC123" s="718" t="s">
        <v>8</v>
      </c>
      <c r="BD123" s="781" t="s">
        <v>8</v>
      </c>
      <c r="BE123" s="464" t="s">
        <v>8</v>
      </c>
      <c r="BF123" s="314" t="s">
        <v>8</v>
      </c>
      <c r="BG123" s="119" t="s">
        <v>8</v>
      </c>
      <c r="BH123" s="260" t="s">
        <v>8</v>
      </c>
      <c r="BI123" s="314" t="s">
        <v>8</v>
      </c>
      <c r="BJ123" s="718" t="s">
        <v>8</v>
      </c>
      <c r="BK123" s="779" t="s">
        <v>8</v>
      </c>
      <c r="BL123" s="260" t="s">
        <v>8</v>
      </c>
      <c r="BM123" s="314" t="s">
        <v>8</v>
      </c>
      <c r="BN123" s="731" t="s">
        <v>8</v>
      </c>
      <c r="BO123" s="134"/>
      <c r="BP123" s="113"/>
      <c r="BQ123" s="260" t="s">
        <v>8</v>
      </c>
      <c r="BR123" s="133" t="s">
        <v>8</v>
      </c>
      <c r="BS123" s="26" t="s">
        <v>8</v>
      </c>
      <c r="BT123" s="445" t="s">
        <v>674</v>
      </c>
    </row>
    <row r="124" spans="1:72" ht="13.5" hidden="1" customHeight="1" x14ac:dyDescent="0.35">
      <c r="A124" s="683"/>
      <c r="B124" s="49"/>
      <c r="C124" s="66" t="s">
        <v>322</v>
      </c>
      <c r="D124" s="1128"/>
      <c r="E124" s="204"/>
      <c r="F124" s="205"/>
      <c r="G124" s="205"/>
      <c r="H124" s="205"/>
      <c r="I124" s="205"/>
      <c r="J124" s="50" t="s">
        <v>8</v>
      </c>
      <c r="K124" s="268" t="s">
        <v>17</v>
      </c>
      <c r="L124" s="91" t="s">
        <v>17</v>
      </c>
      <c r="M124" s="91" t="s">
        <v>8</v>
      </c>
      <c r="N124" s="206"/>
      <c r="O124" s="207"/>
      <c r="P124" s="207"/>
      <c r="Q124" s="206"/>
      <c r="R124" s="207"/>
      <c r="S124" s="207"/>
      <c r="T124" s="208"/>
      <c r="U124" s="209"/>
      <c r="V124" s="210"/>
      <c r="W124" s="210"/>
      <c r="X124" s="211"/>
      <c r="Y124" s="209"/>
      <c r="Z124" s="210"/>
      <c r="AA124" s="215"/>
      <c r="AB124" s="215"/>
      <c r="AC124" s="216"/>
      <c r="AD124" s="215"/>
      <c r="AE124" s="215"/>
      <c r="AF124" s="215"/>
      <c r="AG124" s="210"/>
      <c r="AH124" s="173"/>
      <c r="AI124" s="210"/>
      <c r="AJ124" s="210"/>
      <c r="AK124" s="118"/>
      <c r="AL124" s="289"/>
      <c r="AM124" s="207"/>
      <c r="AN124" s="207"/>
      <c r="AO124" s="207"/>
      <c r="AP124" s="427"/>
      <c r="AQ124" s="207"/>
      <c r="AR124" s="494"/>
      <c r="AS124" s="350"/>
      <c r="AT124" s="210"/>
      <c r="AU124" s="349"/>
      <c r="AV124" s="216"/>
      <c r="AW124" s="349"/>
      <c r="AX124" s="350"/>
      <c r="AY124" s="350"/>
      <c r="AZ124" s="216"/>
      <c r="BA124" s="602"/>
      <c r="BB124" s="216"/>
      <c r="BC124" s="117"/>
      <c r="BD124" s="350"/>
      <c r="BE124" s="210"/>
      <c r="BF124" s="862"/>
      <c r="BG124" s="289"/>
      <c r="BH124" s="216"/>
      <c r="BI124" s="862"/>
      <c r="BJ124" s="117"/>
      <c r="BK124" s="427"/>
      <c r="BL124" s="216"/>
      <c r="BM124" s="862"/>
      <c r="BN124" s="718" t="s">
        <v>8</v>
      </c>
      <c r="BO124" s="920"/>
      <c r="BP124" s="113"/>
      <c r="BQ124" s="216"/>
      <c r="BR124" s="494"/>
      <c r="BS124" s="602"/>
      <c r="BT124" s="410"/>
    </row>
    <row r="125" spans="1:72" ht="13.5" hidden="1" customHeight="1" x14ac:dyDescent="0.35">
      <c r="A125" s="683"/>
      <c r="B125" s="49"/>
      <c r="C125" s="603" t="s">
        <v>1473</v>
      </c>
      <c r="D125" s="1128"/>
      <c r="E125" s="204"/>
      <c r="F125" s="205"/>
      <c r="G125" s="205"/>
      <c r="H125" s="205"/>
      <c r="I125" s="205"/>
      <c r="J125" s="205"/>
      <c r="K125" s="269"/>
      <c r="L125" s="270"/>
      <c r="M125" s="995" t="s">
        <v>1474</v>
      </c>
      <c r="N125" s="206"/>
      <c r="O125" s="207"/>
      <c r="P125" s="207"/>
      <c r="Q125" s="206"/>
      <c r="R125" s="207"/>
      <c r="S125" s="207"/>
      <c r="T125" s="208"/>
      <c r="U125" s="209"/>
      <c r="V125" s="210"/>
      <c r="W125" s="210"/>
      <c r="X125" s="211"/>
      <c r="Y125" s="209"/>
      <c r="Z125" s="210"/>
      <c r="AA125" s="215"/>
      <c r="AB125" s="215"/>
      <c r="AC125" s="216"/>
      <c r="AD125" s="1009"/>
      <c r="AE125" s="215"/>
      <c r="AF125" s="215"/>
      <c r="AG125" s="210"/>
      <c r="AH125" s="173"/>
      <c r="AI125" s="210"/>
      <c r="AJ125" s="210"/>
      <c r="AK125" s="208"/>
      <c r="AL125" s="289"/>
      <c r="AM125" s="207"/>
      <c r="AN125" s="207"/>
      <c r="AO125" s="207"/>
      <c r="AP125" s="207"/>
      <c r="AQ125" s="207"/>
      <c r="AR125" s="117"/>
      <c r="AS125" s="427"/>
      <c r="AT125" s="207"/>
      <c r="AU125" s="289"/>
      <c r="AV125" s="208"/>
      <c r="AW125" s="289"/>
      <c r="AX125" s="427"/>
      <c r="AY125" s="427"/>
      <c r="AZ125" s="208"/>
      <c r="BA125" s="602"/>
      <c r="BB125" s="216"/>
      <c r="BC125" s="113"/>
      <c r="BD125" s="67"/>
      <c r="BE125" s="210"/>
      <c r="BF125" s="862"/>
      <c r="BG125" s="289"/>
      <c r="BH125" s="216"/>
      <c r="BI125" s="862"/>
      <c r="BJ125" s="117"/>
      <c r="BK125" s="427"/>
      <c r="BL125" s="216"/>
      <c r="BM125" s="862"/>
      <c r="BN125" s="117"/>
      <c r="BO125" s="920"/>
      <c r="BP125" s="113"/>
      <c r="BQ125" s="216"/>
      <c r="BR125" s="494"/>
      <c r="BS125" s="602"/>
      <c r="BT125" s="410"/>
    </row>
    <row r="126" spans="1:72" ht="13.5" hidden="1" customHeight="1" x14ac:dyDescent="0.35">
      <c r="A126" s="683"/>
      <c r="B126" s="49"/>
      <c r="C126" s="603" t="s">
        <v>1482</v>
      </c>
      <c r="D126" s="1128"/>
      <c r="E126" s="995" t="s">
        <v>1483</v>
      </c>
      <c r="F126" s="995" t="s">
        <v>1483</v>
      </c>
      <c r="G126" s="995" t="s">
        <v>1483</v>
      </c>
      <c r="H126" s="995" t="s">
        <v>1483</v>
      </c>
      <c r="I126" s="995" t="s">
        <v>1483</v>
      </c>
      <c r="J126" s="995" t="s">
        <v>1483</v>
      </c>
      <c r="K126" s="995" t="s">
        <v>1483</v>
      </c>
      <c r="L126" s="995" t="s">
        <v>1483</v>
      </c>
      <c r="M126" s="995" t="s">
        <v>1483</v>
      </c>
      <c r="N126" s="206"/>
      <c r="O126" s="207"/>
      <c r="P126" s="207"/>
      <c r="Q126" s="206"/>
      <c r="R126" s="207"/>
      <c r="S126" s="207"/>
      <c r="T126" s="208"/>
      <c r="U126" s="209"/>
      <c r="V126" s="210"/>
      <c r="W126" s="210"/>
      <c r="X126" s="211"/>
      <c r="Y126" s="209"/>
      <c r="Z126" s="210"/>
      <c r="AA126" s="215"/>
      <c r="AB126" s="215"/>
      <c r="AC126" s="216"/>
      <c r="AD126" s="1009"/>
      <c r="AE126" s="215"/>
      <c r="AF126" s="215"/>
      <c r="AG126" s="210"/>
      <c r="AH126" s="173"/>
      <c r="AI126" s="210"/>
      <c r="AJ126" s="210"/>
      <c r="AK126" s="208"/>
      <c r="AL126" s="289"/>
      <c r="AM126" s="207"/>
      <c r="AN126" s="207"/>
      <c r="AO126" s="207"/>
      <c r="AP126" s="207"/>
      <c r="AQ126" s="207"/>
      <c r="AR126" s="494"/>
      <c r="AS126" s="350"/>
      <c r="AT126" s="210"/>
      <c r="AU126" s="349"/>
      <c r="AV126" s="216"/>
      <c r="AW126" s="349"/>
      <c r="AX126" s="350"/>
      <c r="AY126" s="350"/>
      <c r="AZ126" s="216"/>
      <c r="BA126" s="602"/>
      <c r="BB126" s="216"/>
      <c r="BC126" s="117"/>
      <c r="BD126" s="350"/>
      <c r="BE126" s="210"/>
      <c r="BF126" s="862"/>
      <c r="BG126" s="289"/>
      <c r="BH126" s="216"/>
      <c r="BI126" s="862"/>
      <c r="BJ126" s="117"/>
      <c r="BK126" s="427"/>
      <c r="BL126" s="216"/>
      <c r="BM126" s="862"/>
      <c r="BN126" s="117"/>
      <c r="BO126" s="920"/>
      <c r="BP126" s="113"/>
      <c r="BQ126" s="216"/>
      <c r="BR126" s="494"/>
      <c r="BS126" s="602"/>
      <c r="BT126" s="410"/>
    </row>
    <row r="127" spans="1:72" ht="13.5" hidden="1" customHeight="1" x14ac:dyDescent="0.35">
      <c r="A127" s="683"/>
      <c r="B127" s="49"/>
      <c r="C127" s="603" t="s">
        <v>1475</v>
      </c>
      <c r="D127" s="1128"/>
      <c r="E127" s="204"/>
      <c r="F127" s="205"/>
      <c r="G127" s="205"/>
      <c r="H127" s="205"/>
      <c r="I127" s="205"/>
      <c r="J127" s="205"/>
      <c r="K127" s="269"/>
      <c r="L127" s="270"/>
      <c r="M127" s="995" t="s">
        <v>8</v>
      </c>
      <c r="N127" s="206"/>
      <c r="O127" s="207"/>
      <c r="P127" s="207"/>
      <c r="Q127" s="206"/>
      <c r="R127" s="207"/>
      <c r="S127" s="207"/>
      <c r="T127" s="208"/>
      <c r="U127" s="209"/>
      <c r="V127" s="210"/>
      <c r="W127" s="210"/>
      <c r="X127" s="211"/>
      <c r="Y127" s="209"/>
      <c r="Z127" s="210"/>
      <c r="AA127" s="215"/>
      <c r="AB127" s="215"/>
      <c r="AC127" s="216"/>
      <c r="AD127" s="1009"/>
      <c r="AE127" s="215"/>
      <c r="AF127" s="215"/>
      <c r="AG127" s="210"/>
      <c r="AH127" s="173"/>
      <c r="AI127" s="210"/>
      <c r="AJ127" s="210"/>
      <c r="AK127" s="208"/>
      <c r="AL127" s="289"/>
      <c r="AM127" s="207"/>
      <c r="AN127" s="207"/>
      <c r="AP127" s="207"/>
      <c r="AQ127" s="207"/>
      <c r="AR127" s="494"/>
      <c r="AS127" s="350"/>
      <c r="AT127" s="210"/>
      <c r="AU127" s="349"/>
      <c r="AV127" s="216"/>
      <c r="AW127" s="349"/>
      <c r="AX127" s="350"/>
      <c r="AY127" s="350"/>
      <c r="AZ127" s="216"/>
      <c r="BA127" s="602"/>
      <c r="BB127" s="216"/>
      <c r="BC127" s="117"/>
      <c r="BD127" s="350"/>
      <c r="BE127" s="210"/>
      <c r="BF127" s="862"/>
      <c r="BG127" s="289"/>
      <c r="BH127" s="216"/>
      <c r="BI127" s="862"/>
      <c r="BJ127" s="117"/>
      <c r="BL127" s="216"/>
      <c r="BM127" s="862"/>
      <c r="BN127" s="117"/>
      <c r="BO127" s="920"/>
      <c r="BP127" s="113"/>
      <c r="BQ127" s="216"/>
      <c r="BR127" s="494"/>
      <c r="BS127" s="602"/>
      <c r="BT127" s="410"/>
    </row>
    <row r="128" spans="1:72" ht="13.15" hidden="1" customHeight="1" x14ac:dyDescent="0.35">
      <c r="A128" s="683"/>
      <c r="B128" s="49"/>
      <c r="C128" s="66" t="s">
        <v>461</v>
      </c>
      <c r="D128" s="1128"/>
      <c r="E128" s="103" t="s">
        <v>223</v>
      </c>
      <c r="F128" s="50" t="s">
        <v>224</v>
      </c>
      <c r="G128" s="50" t="s">
        <v>224</v>
      </c>
      <c r="H128" s="50" t="s">
        <v>224</v>
      </c>
      <c r="I128" s="50" t="s">
        <v>224</v>
      </c>
      <c r="J128" s="50" t="s">
        <v>321</v>
      </c>
      <c r="K128" s="268" t="s">
        <v>224</v>
      </c>
      <c r="L128" s="91" t="s">
        <v>224</v>
      </c>
      <c r="M128" s="91" t="s">
        <v>321</v>
      </c>
      <c r="N128" s="103" t="s">
        <v>223</v>
      </c>
      <c r="O128" s="50" t="s">
        <v>223</v>
      </c>
      <c r="P128" s="50" t="s">
        <v>223</v>
      </c>
      <c r="Q128" s="103" t="s">
        <v>223</v>
      </c>
      <c r="R128" s="50" t="s">
        <v>223</v>
      </c>
      <c r="S128" s="50" t="s">
        <v>223</v>
      </c>
      <c r="T128" s="104" t="s">
        <v>223</v>
      </c>
      <c r="U128" s="103" t="s">
        <v>223</v>
      </c>
      <c r="V128" s="50" t="s">
        <v>223</v>
      </c>
      <c r="W128" s="50" t="s">
        <v>223</v>
      </c>
      <c r="X128" s="196" t="s">
        <v>223</v>
      </c>
      <c r="Y128" s="103" t="s">
        <v>223</v>
      </c>
      <c r="Z128" s="50" t="s">
        <v>223</v>
      </c>
      <c r="AA128" s="50" t="s">
        <v>223</v>
      </c>
      <c r="AB128" s="50" t="s">
        <v>223</v>
      </c>
      <c r="AC128" s="104" t="s">
        <v>223</v>
      </c>
      <c r="AD128" s="91" t="s">
        <v>223</v>
      </c>
      <c r="AE128" s="50" t="s">
        <v>223</v>
      </c>
      <c r="AF128" s="50" t="s">
        <v>223</v>
      </c>
      <c r="AG128" s="50" t="s">
        <v>223</v>
      </c>
      <c r="AH128" s="37" t="s">
        <v>223</v>
      </c>
      <c r="AI128" s="50" t="s">
        <v>223</v>
      </c>
      <c r="AJ128" s="50" t="s">
        <v>223</v>
      </c>
      <c r="AK128" s="104" t="s">
        <v>223</v>
      </c>
      <c r="AL128" s="281" t="s">
        <v>223</v>
      </c>
      <c r="AM128" s="50" t="s">
        <v>223</v>
      </c>
      <c r="AN128" s="1064" t="s">
        <v>223</v>
      </c>
      <c r="AO128" s="1058" t="s">
        <v>223</v>
      </c>
      <c r="AP128" s="50" t="s">
        <v>223</v>
      </c>
      <c r="AQ128" s="50" t="s">
        <v>223</v>
      </c>
      <c r="AR128" s="814" t="s">
        <v>549</v>
      </c>
      <c r="AS128" s="815" t="s">
        <v>549</v>
      </c>
      <c r="AT128" s="479" t="s">
        <v>549</v>
      </c>
      <c r="AU128" s="502" t="s">
        <v>549</v>
      </c>
      <c r="AV128" s="503" t="s">
        <v>549</v>
      </c>
      <c r="AW128" s="502" t="s">
        <v>549</v>
      </c>
      <c r="AX128" s="341" t="s">
        <v>549</v>
      </c>
      <c r="AY128" s="341" t="s">
        <v>549</v>
      </c>
      <c r="AZ128" s="503" t="s">
        <v>549</v>
      </c>
      <c r="BA128" s="813" t="s">
        <v>549</v>
      </c>
      <c r="BB128" s="503" t="s">
        <v>549</v>
      </c>
      <c r="BC128" s="731" t="s">
        <v>549</v>
      </c>
      <c r="BD128" s="790" t="s">
        <v>549</v>
      </c>
      <c r="BE128" s="477" t="s">
        <v>549</v>
      </c>
      <c r="BF128" s="391" t="s">
        <v>549</v>
      </c>
      <c r="BG128" s="281" t="s">
        <v>549</v>
      </c>
      <c r="BH128" s="503" t="s">
        <v>549</v>
      </c>
      <c r="BI128" s="391" t="s">
        <v>549</v>
      </c>
      <c r="BJ128" s="731" t="s">
        <v>549</v>
      </c>
      <c r="BK128" s="1067" t="s">
        <v>549</v>
      </c>
      <c r="BL128" s="503" t="s">
        <v>549</v>
      </c>
      <c r="BM128" s="391" t="s">
        <v>549</v>
      </c>
      <c r="BN128" s="731" t="s">
        <v>549</v>
      </c>
      <c r="BO128" s="931"/>
      <c r="BP128" s="893"/>
      <c r="BQ128" s="503" t="s">
        <v>549</v>
      </c>
      <c r="BR128" s="814" t="s">
        <v>549</v>
      </c>
      <c r="BS128" s="815" t="s">
        <v>549</v>
      </c>
      <c r="BT128" s="410"/>
    </row>
    <row r="129" spans="1:72" ht="13.5" hidden="1" customHeight="1" x14ac:dyDescent="0.35">
      <c r="A129" s="683"/>
      <c r="B129" s="49"/>
      <c r="C129" s="66" t="s">
        <v>459</v>
      </c>
      <c r="D129" s="1128"/>
      <c r="E129" s="204"/>
      <c r="F129" s="205"/>
      <c r="G129" s="205"/>
      <c r="H129" s="205"/>
      <c r="I129" s="205"/>
      <c r="J129" s="205"/>
      <c r="K129" s="269"/>
      <c r="L129" s="270"/>
      <c r="M129" s="995" t="s">
        <v>17</v>
      </c>
      <c r="N129" s="204"/>
      <c r="O129" s="205"/>
      <c r="P129" s="205"/>
      <c r="Q129" s="204"/>
      <c r="R129" s="205"/>
      <c r="S129" s="205"/>
      <c r="T129" s="300"/>
      <c r="U129" s="204"/>
      <c r="V129" s="205"/>
      <c r="W129" s="205"/>
      <c r="X129" s="301"/>
      <c r="Y129" s="204"/>
      <c r="Z129" s="205"/>
      <c r="AA129" s="205"/>
      <c r="AB129" s="205"/>
      <c r="AC129" s="300"/>
      <c r="AD129" s="270"/>
      <c r="AE129" s="205"/>
      <c r="AF129" s="205"/>
      <c r="AG129" s="205"/>
      <c r="AH129" s="205"/>
      <c r="AI129" s="205"/>
      <c r="AJ129" s="205"/>
      <c r="AK129" s="300"/>
      <c r="AL129" s="302"/>
      <c r="AM129" s="205"/>
      <c r="AN129" s="1059"/>
      <c r="AO129" s="1059"/>
      <c r="AP129" s="268" t="s">
        <v>8</v>
      </c>
      <c r="AQ129" s="205"/>
      <c r="AR129" s="504"/>
      <c r="AS129" s="506"/>
      <c r="AT129" s="479" t="s">
        <v>412</v>
      </c>
      <c r="AU129" s="504"/>
      <c r="AV129" s="216"/>
      <c r="AW129" s="504"/>
      <c r="AX129" s="506"/>
      <c r="AY129" s="506"/>
      <c r="AZ129" s="503" t="s">
        <v>412</v>
      </c>
      <c r="BA129" s="813" t="s">
        <v>8</v>
      </c>
      <c r="BB129" s="503" t="s">
        <v>412</v>
      </c>
      <c r="BC129" s="732" t="s">
        <v>17</v>
      </c>
      <c r="BD129" s="792" t="s">
        <v>17</v>
      </c>
      <c r="BE129" s="849" t="s">
        <v>17</v>
      </c>
      <c r="BF129" s="391" t="s">
        <v>412</v>
      </c>
      <c r="BG129" s="281" t="s">
        <v>8</v>
      </c>
      <c r="BH129" s="503" t="s">
        <v>412</v>
      </c>
      <c r="BI129" s="391" t="s">
        <v>412</v>
      </c>
      <c r="BJ129" s="732" t="s">
        <v>17</v>
      </c>
      <c r="BK129" s="1069" t="s">
        <v>17</v>
      </c>
      <c r="BL129" s="911" t="s">
        <v>17</v>
      </c>
      <c r="BM129" s="391" t="s">
        <v>412</v>
      </c>
      <c r="BN129" s="732" t="s">
        <v>17</v>
      </c>
      <c r="BO129" s="932"/>
      <c r="BP129" s="893"/>
      <c r="BQ129" s="911" t="s">
        <v>17</v>
      </c>
      <c r="BR129" s="504"/>
      <c r="BS129" s="506"/>
      <c r="BT129" s="410"/>
    </row>
    <row r="130" spans="1:72" s="38" customFormat="1" ht="13.5" hidden="1" customHeight="1" thickBot="1" x14ac:dyDescent="0.4">
      <c r="A130" s="683"/>
      <c r="B130" s="65"/>
      <c r="C130" s="66" t="s">
        <v>209</v>
      </c>
      <c r="D130" s="1128"/>
      <c r="E130" s="103" t="s">
        <v>210</v>
      </c>
      <c r="F130" s="50" t="s">
        <v>210</v>
      </c>
      <c r="G130" s="50" t="s">
        <v>210</v>
      </c>
      <c r="H130" s="50" t="s">
        <v>210</v>
      </c>
      <c r="I130" s="50" t="s">
        <v>210</v>
      </c>
      <c r="J130" s="50" t="s">
        <v>210</v>
      </c>
      <c r="K130" s="268" t="s">
        <v>210</v>
      </c>
      <c r="L130" s="91" t="s">
        <v>210</v>
      </c>
      <c r="M130" s="91" t="s">
        <v>210</v>
      </c>
      <c r="N130" s="256" t="s">
        <v>222</v>
      </c>
      <c r="O130" s="244" t="s">
        <v>222</v>
      </c>
      <c r="P130" s="185" t="s">
        <v>222</v>
      </c>
      <c r="Q130" s="126" t="s">
        <v>222</v>
      </c>
      <c r="R130" s="67" t="s">
        <v>222</v>
      </c>
      <c r="S130" s="67" t="s">
        <v>222</v>
      </c>
      <c r="T130" s="127" t="s">
        <v>222</v>
      </c>
      <c r="U130" s="126" t="s">
        <v>222</v>
      </c>
      <c r="V130" s="67" t="s">
        <v>222</v>
      </c>
      <c r="W130" s="67" t="s">
        <v>222</v>
      </c>
      <c r="X130" s="197" t="s">
        <v>222</v>
      </c>
      <c r="Y130" s="126" t="s">
        <v>222</v>
      </c>
      <c r="Z130" s="67" t="s">
        <v>222</v>
      </c>
      <c r="AA130" s="67" t="s">
        <v>222</v>
      </c>
      <c r="AB130" s="67" t="s">
        <v>222</v>
      </c>
      <c r="AC130" s="127" t="s">
        <v>222</v>
      </c>
      <c r="AD130" s="92" t="s">
        <v>222</v>
      </c>
      <c r="AE130" s="67" t="s">
        <v>222</v>
      </c>
      <c r="AF130" s="67" t="s">
        <v>222</v>
      </c>
      <c r="AG130" s="67" t="s">
        <v>222</v>
      </c>
      <c r="AH130" s="225" t="s">
        <v>222</v>
      </c>
      <c r="AI130" s="67" t="s">
        <v>222</v>
      </c>
      <c r="AJ130" s="67" t="s">
        <v>222</v>
      </c>
      <c r="AK130" s="127" t="s">
        <v>222</v>
      </c>
      <c r="AL130" s="351" t="s">
        <v>222</v>
      </c>
      <c r="AM130" s="351" t="s">
        <v>222</v>
      </c>
      <c r="AN130" s="351" t="s">
        <v>222</v>
      </c>
      <c r="AO130" s="700" t="s">
        <v>222</v>
      </c>
      <c r="AP130" s="351" t="s">
        <v>222</v>
      </c>
      <c r="AQ130" s="351" t="s">
        <v>222</v>
      </c>
      <c r="AR130" s="810" t="s">
        <v>222</v>
      </c>
      <c r="AS130" s="811" t="s">
        <v>222</v>
      </c>
      <c r="AT130" s="351" t="s">
        <v>222</v>
      </c>
      <c r="AU130" s="497" t="s">
        <v>222</v>
      </c>
      <c r="AV130" s="498" t="s">
        <v>222</v>
      </c>
      <c r="AW130" s="497" t="s">
        <v>222</v>
      </c>
      <c r="AX130" s="452" t="s">
        <v>222</v>
      </c>
      <c r="AY130" s="452" t="s">
        <v>222</v>
      </c>
      <c r="AZ130" s="507" t="s">
        <v>222</v>
      </c>
      <c r="BA130" s="811" t="s">
        <v>222</v>
      </c>
      <c r="BB130" s="507" t="s">
        <v>222</v>
      </c>
      <c r="BC130" s="733" t="s">
        <v>222</v>
      </c>
      <c r="BD130" s="787" t="s">
        <v>222</v>
      </c>
      <c r="BE130" s="474" t="s">
        <v>222</v>
      </c>
      <c r="BF130" s="701" t="s">
        <v>222</v>
      </c>
      <c r="BG130" s="126" t="s">
        <v>222</v>
      </c>
      <c r="BH130" s="507" t="s">
        <v>222</v>
      </c>
      <c r="BI130" s="701" t="s">
        <v>222</v>
      </c>
      <c r="BJ130" s="733" t="s">
        <v>222</v>
      </c>
      <c r="BK130" s="1070" t="s">
        <v>222</v>
      </c>
      <c r="BL130" s="498" t="s">
        <v>222</v>
      </c>
      <c r="BM130" s="701" t="s">
        <v>222</v>
      </c>
      <c r="BN130" s="733" t="s">
        <v>222</v>
      </c>
      <c r="BO130" s="903"/>
      <c r="BP130" s="126"/>
      <c r="BQ130" s="498" t="s">
        <v>222</v>
      </c>
      <c r="BR130" s="810" t="s">
        <v>222</v>
      </c>
      <c r="BS130" s="811" t="s">
        <v>222</v>
      </c>
      <c r="BT130" s="410"/>
    </row>
    <row r="131" spans="1:72" ht="13.5" hidden="1" customHeight="1" thickTop="1" x14ac:dyDescent="0.35">
      <c r="A131" s="683"/>
      <c r="B131" s="41" t="s">
        <v>42</v>
      </c>
      <c r="C131" s="42" t="s">
        <v>165</v>
      </c>
      <c r="D131" s="1128"/>
      <c r="E131" s="1161" t="s">
        <v>458</v>
      </c>
      <c r="F131" s="1162"/>
      <c r="G131" s="1162"/>
      <c r="H131" s="1162"/>
      <c r="I131" s="1162"/>
      <c r="J131" s="1162"/>
      <c r="K131" s="1162"/>
      <c r="L131" s="1162"/>
      <c r="M131" s="1163"/>
      <c r="N131" s="109" t="s">
        <v>129</v>
      </c>
      <c r="O131" s="15" t="s">
        <v>129</v>
      </c>
      <c r="P131" s="227" t="s">
        <v>129</v>
      </c>
      <c r="Q131" s="109" t="s">
        <v>129</v>
      </c>
      <c r="R131" s="44" t="s">
        <v>129</v>
      </c>
      <c r="S131" s="45" t="s">
        <v>129</v>
      </c>
      <c r="T131" s="110" t="s">
        <v>129</v>
      </c>
      <c r="U131" s="123" t="s">
        <v>43</v>
      </c>
      <c r="V131" s="46" t="s">
        <v>43</v>
      </c>
      <c r="W131" s="46" t="s">
        <v>43</v>
      </c>
      <c r="X131" s="189" t="s">
        <v>43</v>
      </c>
      <c r="Y131" s="123" t="s">
        <v>43</v>
      </c>
      <c r="Z131" s="46" t="s">
        <v>129</v>
      </c>
      <c r="AA131" s="46" t="s">
        <v>166</v>
      </c>
      <c r="AB131" s="44" t="s">
        <v>499</v>
      </c>
      <c r="AC131" s="143" t="s">
        <v>43</v>
      </c>
      <c r="AD131" s="89" t="s">
        <v>43</v>
      </c>
      <c r="AE131" s="46" t="s">
        <v>43</v>
      </c>
      <c r="AF131" s="46" t="s">
        <v>129</v>
      </c>
      <c r="AG131" s="46" t="s">
        <v>43</v>
      </c>
      <c r="AH131" s="176" t="s">
        <v>43</v>
      </c>
      <c r="AI131" s="46" t="s">
        <v>43</v>
      </c>
      <c r="AJ131" s="143" t="s">
        <v>43</v>
      </c>
      <c r="AK131" s="143" t="s">
        <v>43</v>
      </c>
      <c r="AL131" s="123" t="s">
        <v>372</v>
      </c>
      <c r="AM131" s="176" t="s">
        <v>372</v>
      </c>
      <c r="AN131" s="183" t="s">
        <v>372</v>
      </c>
      <c r="AO131" s="183" t="s">
        <v>372</v>
      </c>
      <c r="AP131" s="299" t="s">
        <v>129</v>
      </c>
      <c r="AQ131" s="176" t="s">
        <v>372</v>
      </c>
      <c r="AR131" s="123" t="s">
        <v>43</v>
      </c>
      <c r="AS131" s="44" t="s">
        <v>129</v>
      </c>
      <c r="AT131" s="183" t="s">
        <v>129</v>
      </c>
      <c r="AU131" s="123" t="s">
        <v>43</v>
      </c>
      <c r="AV131" s="149" t="s">
        <v>129</v>
      </c>
      <c r="AW131" s="123" t="s">
        <v>129</v>
      </c>
      <c r="AX131" s="44" t="s">
        <v>129</v>
      </c>
      <c r="AY131" s="44" t="s">
        <v>129</v>
      </c>
      <c r="AZ131" s="149" t="s">
        <v>129</v>
      </c>
      <c r="BA131" s="339" t="s">
        <v>129</v>
      </c>
      <c r="BB131" s="149" t="s">
        <v>129</v>
      </c>
      <c r="BC131" s="717" t="s">
        <v>43</v>
      </c>
      <c r="BD131" s="778" t="s">
        <v>129</v>
      </c>
      <c r="BE131" s="183" t="s">
        <v>129</v>
      </c>
      <c r="BF131" s="376" t="s">
        <v>129</v>
      </c>
      <c r="BG131" s="109" t="s">
        <v>129</v>
      </c>
      <c r="BH131" s="149" t="s">
        <v>129</v>
      </c>
      <c r="BI131" s="376" t="s">
        <v>129</v>
      </c>
      <c r="BJ131" s="717" t="s">
        <v>43</v>
      </c>
      <c r="BK131" s="778" t="s">
        <v>129</v>
      </c>
      <c r="BL131" s="149" t="s">
        <v>129</v>
      </c>
      <c r="BM131" s="376" t="s">
        <v>129</v>
      </c>
      <c r="BN131" s="717" t="s">
        <v>43</v>
      </c>
      <c r="BO131" s="110"/>
      <c r="BP131" s="890"/>
      <c r="BQ131" s="149" t="s">
        <v>129</v>
      </c>
      <c r="BR131" s="131" t="s">
        <v>43</v>
      </c>
      <c r="BS131" s="339" t="s">
        <v>129</v>
      </c>
      <c r="BT131" s="404" t="s">
        <v>365</v>
      </c>
    </row>
    <row r="132" spans="1:72" ht="13.5" hidden="1" customHeight="1" x14ac:dyDescent="0.35">
      <c r="A132" s="683"/>
      <c r="B132" s="48"/>
      <c r="C132" s="1101" t="s">
        <v>622</v>
      </c>
      <c r="D132" s="1128"/>
      <c r="E132" s="1164"/>
      <c r="F132" s="1165"/>
      <c r="G132" s="1165"/>
      <c r="H132" s="1165"/>
      <c r="I132" s="1165"/>
      <c r="J132" s="1165"/>
      <c r="K132" s="1165"/>
      <c r="L132" s="1165"/>
      <c r="M132" s="1166"/>
      <c r="N132" s="128"/>
      <c r="O132" s="52"/>
      <c r="P132" s="129"/>
      <c r="Q132" s="128"/>
      <c r="R132" s="52"/>
      <c r="S132" s="52"/>
      <c r="T132" s="129"/>
      <c r="U132" s="144"/>
      <c r="V132" s="53"/>
      <c r="W132" s="53"/>
      <c r="X132" s="198"/>
      <c r="Y132" s="144"/>
      <c r="Z132" s="53"/>
      <c r="AA132" s="53"/>
      <c r="AB132" s="52"/>
      <c r="AC132" s="145"/>
      <c r="AD132" s="461"/>
      <c r="AE132" s="53"/>
      <c r="AF132" s="53"/>
      <c r="AG132" s="53"/>
      <c r="AH132" s="458"/>
      <c r="AI132" s="53"/>
      <c r="AJ132" s="145"/>
      <c r="AK132" s="145"/>
      <c r="AL132" s="144"/>
      <c r="AM132" s="458"/>
      <c r="AN132" s="516"/>
      <c r="AO132" s="1065"/>
      <c r="AP132" s="482"/>
      <c r="AQ132" s="458"/>
      <c r="AR132" s="144"/>
      <c r="AS132" s="52"/>
      <c r="AT132" s="516"/>
      <c r="AU132" s="144"/>
      <c r="AV132" s="129"/>
      <c r="AW132" s="144"/>
      <c r="AX132" s="52"/>
      <c r="AY132" s="52"/>
      <c r="AZ132" s="129"/>
      <c r="BA132" s="785"/>
      <c r="BB132" s="129"/>
      <c r="BC132" s="128"/>
      <c r="BD132" s="52"/>
      <c r="BE132" s="516"/>
      <c r="BF132" s="863"/>
      <c r="BG132" s="876"/>
      <c r="BH132" s="129"/>
      <c r="BI132" s="883"/>
      <c r="BJ132" s="128"/>
      <c r="BL132" s="129"/>
      <c r="BM132" s="863"/>
      <c r="BN132" s="128"/>
      <c r="BO132" s="318"/>
      <c r="BP132" s="777"/>
      <c r="BQ132" s="129"/>
      <c r="BR132" s="1041"/>
      <c r="BS132" s="785"/>
      <c r="BT132" s="409"/>
    </row>
    <row r="133" spans="1:72" ht="13.5" hidden="1" customHeight="1" x14ac:dyDescent="0.35">
      <c r="A133" s="683"/>
      <c r="B133" s="48"/>
      <c r="C133" s="1101" t="s">
        <v>550</v>
      </c>
      <c r="D133" s="1128"/>
      <c r="E133" s="1164"/>
      <c r="F133" s="1165"/>
      <c r="G133" s="1165"/>
      <c r="H133" s="1165"/>
      <c r="I133" s="1165"/>
      <c r="J133" s="1165"/>
      <c r="K133" s="1165"/>
      <c r="L133" s="1165"/>
      <c r="M133" s="1166"/>
      <c r="N133" s="292" t="s">
        <v>223</v>
      </c>
      <c r="O133" s="15" t="s">
        <v>223</v>
      </c>
      <c r="P133" s="227" t="s">
        <v>223</v>
      </c>
      <c r="Q133" s="292" t="s">
        <v>223</v>
      </c>
      <c r="R133" s="15" t="s">
        <v>223</v>
      </c>
      <c r="S133" s="317" t="s">
        <v>223</v>
      </c>
      <c r="T133" s="318" t="s">
        <v>223</v>
      </c>
      <c r="U133" s="243" t="s">
        <v>223</v>
      </c>
      <c r="V133" s="14" t="s">
        <v>223</v>
      </c>
      <c r="W133" s="14" t="s">
        <v>223</v>
      </c>
      <c r="X133" s="430" t="s">
        <v>223</v>
      </c>
      <c r="Y133" s="243" t="s">
        <v>223</v>
      </c>
      <c r="Z133" s="14" t="s">
        <v>223</v>
      </c>
      <c r="AA133" s="14" t="s">
        <v>223</v>
      </c>
      <c r="AB133" s="15" t="s">
        <v>223</v>
      </c>
      <c r="AC133" s="162" t="s">
        <v>223</v>
      </c>
      <c r="AD133" s="151" t="s">
        <v>223</v>
      </c>
      <c r="AE133" s="14" t="s">
        <v>223</v>
      </c>
      <c r="AF133" s="14" t="s">
        <v>223</v>
      </c>
      <c r="AG133" s="14" t="s">
        <v>223</v>
      </c>
      <c r="AH133" s="181" t="s">
        <v>223</v>
      </c>
      <c r="AI133" s="14" t="s">
        <v>223</v>
      </c>
      <c r="AJ133" s="162" t="s">
        <v>223</v>
      </c>
      <c r="AK133" s="162" t="s">
        <v>223</v>
      </c>
      <c r="AL133" s="243" t="s">
        <v>496</v>
      </c>
      <c r="AM133" s="181" t="s">
        <v>496</v>
      </c>
      <c r="AN133" s="307" t="s">
        <v>496</v>
      </c>
      <c r="AO133" s="307" t="s">
        <v>496</v>
      </c>
      <c r="AP133" s="181" t="s">
        <v>496</v>
      </c>
      <c r="AQ133" s="181" t="s">
        <v>496</v>
      </c>
      <c r="AR133" s="243" t="s">
        <v>223</v>
      </c>
      <c r="AS133" s="15" t="s">
        <v>223</v>
      </c>
      <c r="AT133" s="307" t="s">
        <v>496</v>
      </c>
      <c r="AU133" s="243" t="s">
        <v>223</v>
      </c>
      <c r="AV133" s="227" t="s">
        <v>223</v>
      </c>
      <c r="AW133" s="243" t="s">
        <v>223</v>
      </c>
      <c r="AX133" s="15" t="s">
        <v>223</v>
      </c>
      <c r="AY133" s="15" t="s">
        <v>223</v>
      </c>
      <c r="AZ133" s="227" t="s">
        <v>496</v>
      </c>
      <c r="BA133" s="258" t="s">
        <v>496</v>
      </c>
      <c r="BB133" s="227" t="s">
        <v>496</v>
      </c>
      <c r="BC133" s="734" t="s">
        <v>223</v>
      </c>
      <c r="BD133" s="786" t="s">
        <v>223</v>
      </c>
      <c r="BE133" s="307" t="s">
        <v>223</v>
      </c>
      <c r="BF133" s="395" t="s">
        <v>496</v>
      </c>
      <c r="BG133" s="111" t="s">
        <v>496</v>
      </c>
      <c r="BH133" s="112" t="s">
        <v>496</v>
      </c>
      <c r="BI133" s="377" t="s">
        <v>496</v>
      </c>
      <c r="BJ133" s="734" t="s">
        <v>223</v>
      </c>
      <c r="BK133" s="786" t="s">
        <v>223</v>
      </c>
      <c r="BL133" s="227" t="s">
        <v>223</v>
      </c>
      <c r="BM133" s="395" t="s">
        <v>496</v>
      </c>
      <c r="BN133" s="734" t="s">
        <v>223</v>
      </c>
      <c r="BO133" s="318"/>
      <c r="BP133" s="777"/>
      <c r="BQ133" s="227" t="s">
        <v>223</v>
      </c>
      <c r="BR133" s="496" t="s">
        <v>223</v>
      </c>
      <c r="BS133" s="258" t="s">
        <v>223</v>
      </c>
      <c r="BT133" s="409"/>
    </row>
    <row r="134" spans="1:72" ht="13.5" hidden="1" customHeight="1" x14ac:dyDescent="0.35">
      <c r="A134" s="683"/>
      <c r="B134" s="48"/>
      <c r="C134" s="1101" t="s">
        <v>551</v>
      </c>
      <c r="D134" s="1128"/>
      <c r="E134" s="1164"/>
      <c r="F134" s="1165"/>
      <c r="G134" s="1165"/>
      <c r="H134" s="1165"/>
      <c r="I134" s="1165"/>
      <c r="J134" s="1165"/>
      <c r="K134" s="1165"/>
      <c r="L134" s="1165"/>
      <c r="M134" s="1166"/>
      <c r="N134" s="128"/>
      <c r="O134" s="29"/>
      <c r="P134" s="118"/>
      <c r="Q134" s="128"/>
      <c r="R134" s="52"/>
      <c r="S134" s="52"/>
      <c r="T134" s="129"/>
      <c r="U134" s="144"/>
      <c r="V134" s="53"/>
      <c r="W134" s="53"/>
      <c r="X134" s="198"/>
      <c r="Y134" s="144"/>
      <c r="Z134" s="53"/>
      <c r="AA134" s="53"/>
      <c r="AB134" s="53"/>
      <c r="AC134" s="145"/>
      <c r="AD134" s="151" t="s">
        <v>8</v>
      </c>
      <c r="AE134" s="14" t="s">
        <v>8</v>
      </c>
      <c r="AF134" s="14" t="s">
        <v>8</v>
      </c>
      <c r="AG134" s="14" t="s">
        <v>8</v>
      </c>
      <c r="AH134" s="181" t="s">
        <v>8</v>
      </c>
      <c r="AI134" s="14" t="s">
        <v>8</v>
      </c>
      <c r="AJ134" s="162" t="s">
        <v>8</v>
      </c>
      <c r="AK134" s="162" t="s">
        <v>8</v>
      </c>
      <c r="AL134" s="243" t="s">
        <v>8</v>
      </c>
      <c r="AM134" s="181" t="s">
        <v>8</v>
      </c>
      <c r="AN134" s="307" t="s">
        <v>8</v>
      </c>
      <c r="AO134" s="307" t="s">
        <v>8</v>
      </c>
      <c r="AP134" s="14" t="s">
        <v>412</v>
      </c>
      <c r="AQ134" s="181" t="s">
        <v>8</v>
      </c>
      <c r="AR134" s="119" t="s">
        <v>8</v>
      </c>
      <c r="AS134" s="13" t="s">
        <v>8</v>
      </c>
      <c r="AT134" s="36" t="s">
        <v>8</v>
      </c>
      <c r="AU134" s="119" t="s">
        <v>8</v>
      </c>
      <c r="AV134" s="102" t="s">
        <v>8</v>
      </c>
      <c r="AW134" s="119" t="s">
        <v>8</v>
      </c>
      <c r="AX134" s="13" t="s">
        <v>8</v>
      </c>
      <c r="AY134" s="13" t="s">
        <v>8</v>
      </c>
      <c r="AZ134" s="102" t="s">
        <v>8</v>
      </c>
      <c r="BA134" s="133" t="s">
        <v>412</v>
      </c>
      <c r="BB134" s="102" t="s">
        <v>8</v>
      </c>
      <c r="BC134" s="718" t="s">
        <v>8</v>
      </c>
      <c r="BD134" s="782" t="s">
        <v>8</v>
      </c>
      <c r="BE134" s="36" t="s">
        <v>8</v>
      </c>
      <c r="BF134" s="340" t="s">
        <v>8</v>
      </c>
      <c r="BG134" s="243" t="s">
        <v>412</v>
      </c>
      <c r="BH134" s="102" t="s">
        <v>8</v>
      </c>
      <c r="BI134" s="431" t="s">
        <v>412</v>
      </c>
      <c r="BJ134" s="718" t="s">
        <v>8</v>
      </c>
      <c r="BK134" s="779" t="s">
        <v>8</v>
      </c>
      <c r="BL134" s="102" t="s">
        <v>8</v>
      </c>
      <c r="BM134" s="340" t="s">
        <v>8</v>
      </c>
      <c r="BN134" s="718" t="s">
        <v>8</v>
      </c>
      <c r="BO134" s="116"/>
      <c r="BP134" s="113"/>
      <c r="BQ134" s="102" t="s">
        <v>8</v>
      </c>
      <c r="BR134" s="133" t="s">
        <v>8</v>
      </c>
      <c r="BS134" s="26" t="s">
        <v>8</v>
      </c>
      <c r="BT134" s="409"/>
    </row>
    <row r="135" spans="1:72" ht="13.5" hidden="1" customHeight="1" x14ac:dyDescent="0.35">
      <c r="A135" s="683"/>
      <c r="B135" s="48"/>
      <c r="C135" s="1101" t="s">
        <v>623</v>
      </c>
      <c r="D135" s="1128"/>
      <c r="E135" s="1164"/>
      <c r="F135" s="1165"/>
      <c r="G135" s="1165"/>
      <c r="H135" s="1165"/>
      <c r="I135" s="1165"/>
      <c r="J135" s="1165"/>
      <c r="K135" s="1165"/>
      <c r="L135" s="1165"/>
      <c r="M135" s="1166"/>
      <c r="N135" s="128"/>
      <c r="O135" s="29"/>
      <c r="P135" s="118"/>
      <c r="Q135" s="128"/>
      <c r="R135" s="52"/>
      <c r="S135" s="52"/>
      <c r="T135" s="129"/>
      <c r="U135" s="144"/>
      <c r="V135" s="53"/>
      <c r="W135" s="53"/>
      <c r="X135" s="198"/>
      <c r="Y135" s="144"/>
      <c r="Z135" s="53"/>
      <c r="AA135" s="53"/>
      <c r="AB135" s="53"/>
      <c r="AC135" s="145"/>
      <c r="AD135" s="151" t="s">
        <v>624</v>
      </c>
      <c r="AE135" s="151" t="s">
        <v>624</v>
      </c>
      <c r="AF135" s="151" t="s">
        <v>624</v>
      </c>
      <c r="AG135" s="151" t="s">
        <v>624</v>
      </c>
      <c r="AH135" s="151" t="s">
        <v>624</v>
      </c>
      <c r="AI135" s="151" t="s">
        <v>624</v>
      </c>
      <c r="AJ135" s="151" t="s">
        <v>624</v>
      </c>
      <c r="AK135" s="151" t="s">
        <v>624</v>
      </c>
      <c r="AL135" s="14" t="s">
        <v>625</v>
      </c>
      <c r="AM135" s="14" t="s">
        <v>625</v>
      </c>
      <c r="AN135" s="15" t="s">
        <v>625</v>
      </c>
      <c r="AO135" s="15" t="s">
        <v>625</v>
      </c>
      <c r="AP135" s="14" t="s">
        <v>625</v>
      </c>
      <c r="AQ135" s="14" t="s">
        <v>625</v>
      </c>
      <c r="AR135" s="119" t="s">
        <v>624</v>
      </c>
      <c r="AS135" s="13" t="s">
        <v>670</v>
      </c>
      <c r="AT135" s="102" t="s">
        <v>625</v>
      </c>
      <c r="AU135" s="119" t="s">
        <v>624</v>
      </c>
      <c r="AV135" s="102" t="s">
        <v>624</v>
      </c>
      <c r="AW135" s="119" t="s">
        <v>624</v>
      </c>
      <c r="AX135" s="13" t="s">
        <v>624</v>
      </c>
      <c r="AY135" s="13" t="s">
        <v>624</v>
      </c>
      <c r="AZ135" s="102" t="s">
        <v>625</v>
      </c>
      <c r="BA135" s="496" t="s">
        <v>625</v>
      </c>
      <c r="BB135" s="102" t="s">
        <v>625</v>
      </c>
      <c r="BC135" s="718" t="s">
        <v>624</v>
      </c>
      <c r="BD135" s="791" t="s">
        <v>670</v>
      </c>
      <c r="BE135" s="850" t="s">
        <v>670</v>
      </c>
      <c r="BF135" s="340" t="s">
        <v>625</v>
      </c>
      <c r="BG135" s="766" t="s">
        <v>625</v>
      </c>
      <c r="BH135" s="102" t="s">
        <v>625</v>
      </c>
      <c r="BI135" s="884" t="s">
        <v>625</v>
      </c>
      <c r="BJ135" s="718" t="s">
        <v>624</v>
      </c>
      <c r="BK135" s="779" t="s">
        <v>670</v>
      </c>
      <c r="BL135" s="912" t="s">
        <v>670</v>
      </c>
      <c r="BM135" s="340" t="s">
        <v>625</v>
      </c>
      <c r="BN135" s="718" t="s">
        <v>624</v>
      </c>
      <c r="BO135" s="919"/>
      <c r="BP135" s="113"/>
      <c r="BQ135" s="912" t="s">
        <v>670</v>
      </c>
      <c r="BR135" s="133" t="s">
        <v>624</v>
      </c>
      <c r="BS135" s="26" t="s">
        <v>670</v>
      </c>
      <c r="BT135" s="409" t="s">
        <v>675</v>
      </c>
    </row>
    <row r="136" spans="1:72" ht="13.5" hidden="1" customHeight="1" x14ac:dyDescent="0.35">
      <c r="A136" s="683"/>
      <c r="B136" s="47"/>
      <c r="C136" s="3" t="s">
        <v>167</v>
      </c>
      <c r="D136" s="1128"/>
      <c r="E136" s="1164"/>
      <c r="F136" s="1165"/>
      <c r="G136" s="1165"/>
      <c r="H136" s="1165"/>
      <c r="I136" s="1165"/>
      <c r="J136" s="1165"/>
      <c r="K136" s="1165"/>
      <c r="L136" s="1165"/>
      <c r="M136" s="1166"/>
      <c r="N136" s="111" t="s">
        <v>8</v>
      </c>
      <c r="O136" s="16" t="s">
        <v>8</v>
      </c>
      <c r="P136" s="112" t="s">
        <v>8</v>
      </c>
      <c r="Q136" s="111" t="s">
        <v>8</v>
      </c>
      <c r="R136" s="16" t="s">
        <v>8</v>
      </c>
      <c r="S136" s="20" t="s">
        <v>17</v>
      </c>
      <c r="T136" s="114" t="s">
        <v>17</v>
      </c>
      <c r="U136" s="119" t="s">
        <v>8</v>
      </c>
      <c r="V136" s="13" t="s">
        <v>8</v>
      </c>
      <c r="W136" s="13" t="s">
        <v>8</v>
      </c>
      <c r="X136" s="190" t="s">
        <v>17</v>
      </c>
      <c r="Y136" s="119" t="s">
        <v>8</v>
      </c>
      <c r="Z136" s="13" t="s">
        <v>8</v>
      </c>
      <c r="AA136" s="13" t="s">
        <v>8</v>
      </c>
      <c r="AB136" s="13" t="s">
        <v>8</v>
      </c>
      <c r="AC136" s="102" t="s">
        <v>8</v>
      </c>
      <c r="AD136" s="87" t="s">
        <v>8</v>
      </c>
      <c r="AE136" s="13" t="s">
        <v>8</v>
      </c>
      <c r="AF136" s="13" t="s">
        <v>8</v>
      </c>
      <c r="AG136" s="13" t="s">
        <v>8</v>
      </c>
      <c r="AH136" s="36" t="s">
        <v>8</v>
      </c>
      <c r="AI136" s="13" t="s">
        <v>8</v>
      </c>
      <c r="AJ136" s="102" t="s">
        <v>8</v>
      </c>
      <c r="AK136" s="102" t="s">
        <v>8</v>
      </c>
      <c r="AL136" s="119" t="s">
        <v>17</v>
      </c>
      <c r="AM136" s="36" t="s">
        <v>17</v>
      </c>
      <c r="AN136" s="177" t="s">
        <v>17</v>
      </c>
      <c r="AO136" s="177" t="s">
        <v>17</v>
      </c>
      <c r="AP136" s="13" t="s">
        <v>17</v>
      </c>
      <c r="AQ136" s="36" t="s">
        <v>17</v>
      </c>
      <c r="AR136" s="119" t="s">
        <v>8</v>
      </c>
      <c r="AS136" s="16" t="s">
        <v>17</v>
      </c>
      <c r="AT136" s="177" t="s">
        <v>17</v>
      </c>
      <c r="AU136" s="119" t="s">
        <v>8</v>
      </c>
      <c r="AV136" s="112" t="s">
        <v>17</v>
      </c>
      <c r="AW136" s="119" t="s">
        <v>17</v>
      </c>
      <c r="AX136" s="16" t="s">
        <v>17</v>
      </c>
      <c r="AY136" s="16" t="s">
        <v>17</v>
      </c>
      <c r="AZ136" s="112" t="s">
        <v>17</v>
      </c>
      <c r="BA136" s="133" t="s">
        <v>17</v>
      </c>
      <c r="BB136" s="112" t="s">
        <v>17</v>
      </c>
      <c r="BC136" s="735" t="s">
        <v>8</v>
      </c>
      <c r="BD136" s="779" t="s">
        <v>17</v>
      </c>
      <c r="BE136" s="224" t="s">
        <v>8</v>
      </c>
      <c r="BF136" s="377" t="s">
        <v>17</v>
      </c>
      <c r="BG136" s="119" t="s">
        <v>17</v>
      </c>
      <c r="BH136" s="112" t="s">
        <v>17</v>
      </c>
      <c r="BI136" s="340" t="s">
        <v>17</v>
      </c>
      <c r="BJ136" s="735" t="s">
        <v>8</v>
      </c>
      <c r="BK136" s="779" t="s">
        <v>17</v>
      </c>
      <c r="BL136" s="114" t="s">
        <v>8</v>
      </c>
      <c r="BM136" s="377" t="s">
        <v>17</v>
      </c>
      <c r="BN136" s="111" t="s">
        <v>8</v>
      </c>
      <c r="BO136" s="114"/>
      <c r="BP136" s="113"/>
      <c r="BQ136" s="114" t="s">
        <v>8</v>
      </c>
      <c r="BR136" s="133" t="s">
        <v>8</v>
      </c>
      <c r="BS136" s="26" t="s">
        <v>17</v>
      </c>
      <c r="BT136" s="405"/>
    </row>
    <row r="137" spans="1:72" ht="13.5" hidden="1" customHeight="1" x14ac:dyDescent="0.35">
      <c r="A137" s="683"/>
      <c r="B137" s="47"/>
      <c r="C137" s="3" t="s">
        <v>44</v>
      </c>
      <c r="D137" s="1128"/>
      <c r="E137" s="1164"/>
      <c r="F137" s="1165"/>
      <c r="G137" s="1165"/>
      <c r="H137" s="1165"/>
      <c r="I137" s="1165"/>
      <c r="J137" s="1165"/>
      <c r="K137" s="1165"/>
      <c r="L137" s="1165"/>
      <c r="M137" s="1166"/>
      <c r="N137" s="111">
        <v>5</v>
      </c>
      <c r="O137" s="16">
        <v>5</v>
      </c>
      <c r="P137" s="112">
        <v>5</v>
      </c>
      <c r="Q137" s="111">
        <v>5</v>
      </c>
      <c r="R137" s="16">
        <v>1</v>
      </c>
      <c r="S137" s="20" t="s">
        <v>45</v>
      </c>
      <c r="T137" s="114" t="s">
        <v>45</v>
      </c>
      <c r="U137" s="119">
        <v>5</v>
      </c>
      <c r="V137" s="13">
        <v>5</v>
      </c>
      <c r="W137" s="13">
        <v>5</v>
      </c>
      <c r="X137" s="190" t="s">
        <v>45</v>
      </c>
      <c r="Y137" s="119">
        <v>5</v>
      </c>
      <c r="Z137" s="13">
        <v>5</v>
      </c>
      <c r="AA137" s="13">
        <v>5</v>
      </c>
      <c r="AB137" s="13">
        <v>5</v>
      </c>
      <c r="AC137" s="102">
        <v>5</v>
      </c>
      <c r="AD137" s="87">
        <v>5</v>
      </c>
      <c r="AE137" s="13">
        <v>5</v>
      </c>
      <c r="AF137" s="13">
        <v>5</v>
      </c>
      <c r="AG137" s="13">
        <v>5</v>
      </c>
      <c r="AH137" s="36">
        <v>5</v>
      </c>
      <c r="AI137" s="13">
        <v>5</v>
      </c>
      <c r="AJ137" s="102">
        <v>5</v>
      </c>
      <c r="AK137" s="102">
        <v>5</v>
      </c>
      <c r="AL137" s="119" t="s">
        <v>45</v>
      </c>
      <c r="AM137" s="36" t="s">
        <v>45</v>
      </c>
      <c r="AN137" s="177" t="s">
        <v>45</v>
      </c>
      <c r="AO137" s="177" t="s">
        <v>45</v>
      </c>
      <c r="AP137" s="13" t="s">
        <v>45</v>
      </c>
      <c r="AQ137" s="36" t="s">
        <v>45</v>
      </c>
      <c r="AR137" s="119">
        <v>5</v>
      </c>
      <c r="AS137" s="381" t="s">
        <v>296</v>
      </c>
      <c r="AT137" s="480" t="s">
        <v>296</v>
      </c>
      <c r="AU137" s="119">
        <v>5</v>
      </c>
      <c r="AV137" s="505" t="s">
        <v>296</v>
      </c>
      <c r="AW137" s="119" t="s">
        <v>45</v>
      </c>
      <c r="AX137" s="381" t="s">
        <v>296</v>
      </c>
      <c r="AY137" s="381" t="s">
        <v>296</v>
      </c>
      <c r="AZ137" s="505" t="s">
        <v>296</v>
      </c>
      <c r="BA137" s="133" t="s">
        <v>45</v>
      </c>
      <c r="BB137" s="505" t="s">
        <v>296</v>
      </c>
      <c r="BC137" s="718">
        <v>5</v>
      </c>
      <c r="BD137" s="793" t="s">
        <v>296</v>
      </c>
      <c r="BE137" s="794">
        <v>5</v>
      </c>
      <c r="BF137" s="864" t="s">
        <v>296</v>
      </c>
      <c r="BG137" s="119" t="s">
        <v>45</v>
      </c>
      <c r="BH137" s="505" t="s">
        <v>296</v>
      </c>
      <c r="BI137" s="340" t="s">
        <v>45</v>
      </c>
      <c r="BJ137" s="718">
        <v>5</v>
      </c>
      <c r="BK137" s="793" t="s">
        <v>296</v>
      </c>
      <c r="BL137" s="913">
        <v>5</v>
      </c>
      <c r="BM137" s="864" t="s">
        <v>296</v>
      </c>
      <c r="BN137" s="718">
        <v>5</v>
      </c>
      <c r="BO137" s="936"/>
      <c r="BP137" s="113"/>
      <c r="BQ137" s="913">
        <v>5</v>
      </c>
      <c r="BR137" s="133">
        <v>5</v>
      </c>
      <c r="BS137" s="509" t="s">
        <v>296</v>
      </c>
      <c r="BT137" s="405"/>
    </row>
    <row r="138" spans="1:72" ht="13.5" hidden="1" customHeight="1" x14ac:dyDescent="0.35">
      <c r="A138" s="683"/>
      <c r="B138" s="47"/>
      <c r="C138" s="3" t="s">
        <v>46</v>
      </c>
      <c r="D138" s="1128"/>
      <c r="E138" s="1164"/>
      <c r="F138" s="1165"/>
      <c r="G138" s="1165"/>
      <c r="H138" s="1165"/>
      <c r="I138" s="1165"/>
      <c r="J138" s="1165"/>
      <c r="K138" s="1165"/>
      <c r="L138" s="1165"/>
      <c r="M138" s="1166"/>
      <c r="N138" s="111" t="s">
        <v>47</v>
      </c>
      <c r="O138" s="16" t="s">
        <v>47</v>
      </c>
      <c r="P138" s="112" t="s">
        <v>47</v>
      </c>
      <c r="Q138" s="111" t="s">
        <v>47</v>
      </c>
      <c r="R138" s="16" t="s">
        <v>191</v>
      </c>
      <c r="S138" s="20" t="s">
        <v>45</v>
      </c>
      <c r="T138" s="114" t="s">
        <v>45</v>
      </c>
      <c r="U138" s="119" t="s">
        <v>47</v>
      </c>
      <c r="V138" s="13" t="s">
        <v>47</v>
      </c>
      <c r="W138" s="13" t="s">
        <v>47</v>
      </c>
      <c r="X138" s="190" t="s">
        <v>45</v>
      </c>
      <c r="Y138" s="119" t="s">
        <v>47</v>
      </c>
      <c r="Z138" s="13" t="s">
        <v>47</v>
      </c>
      <c r="AA138" s="13" t="s">
        <v>47</v>
      </c>
      <c r="AB138" s="13" t="s">
        <v>47</v>
      </c>
      <c r="AC138" s="102" t="s">
        <v>47</v>
      </c>
      <c r="AD138" s="87" t="s">
        <v>47</v>
      </c>
      <c r="AE138" s="13" t="s">
        <v>47</v>
      </c>
      <c r="AF138" s="13" t="s">
        <v>47</v>
      </c>
      <c r="AG138" s="13" t="s">
        <v>47</v>
      </c>
      <c r="AH138" s="36" t="s">
        <v>47</v>
      </c>
      <c r="AI138" s="13" t="s">
        <v>47</v>
      </c>
      <c r="AJ138" s="102" t="s">
        <v>47</v>
      </c>
      <c r="AK138" s="102" t="s">
        <v>47</v>
      </c>
      <c r="AL138" s="119" t="s">
        <v>45</v>
      </c>
      <c r="AM138" s="36" t="s">
        <v>45</v>
      </c>
      <c r="AN138" s="177" t="s">
        <v>45</v>
      </c>
      <c r="AO138" s="177" t="s">
        <v>45</v>
      </c>
      <c r="AP138" s="13" t="s">
        <v>45</v>
      </c>
      <c r="AQ138" s="36" t="s">
        <v>45</v>
      </c>
      <c r="AR138" s="119" t="s">
        <v>47</v>
      </c>
      <c r="AS138" s="381" t="s">
        <v>296</v>
      </c>
      <c r="AT138" s="480" t="s">
        <v>296</v>
      </c>
      <c r="AU138" s="119" t="s">
        <v>606</v>
      </c>
      <c r="AV138" s="505" t="s">
        <v>296</v>
      </c>
      <c r="AW138" s="119" t="s">
        <v>45</v>
      </c>
      <c r="AX138" s="381" t="s">
        <v>296</v>
      </c>
      <c r="AY138" s="381" t="s">
        <v>296</v>
      </c>
      <c r="AZ138" s="505" t="s">
        <v>296</v>
      </c>
      <c r="BA138" s="133" t="s">
        <v>45</v>
      </c>
      <c r="BB138" s="505" t="s">
        <v>296</v>
      </c>
      <c r="BC138" s="718" t="s">
        <v>191</v>
      </c>
      <c r="BD138" s="793" t="s">
        <v>296</v>
      </c>
      <c r="BE138" s="794" t="s">
        <v>191</v>
      </c>
      <c r="BF138" s="864" t="s">
        <v>296</v>
      </c>
      <c r="BG138" s="119" t="s">
        <v>45</v>
      </c>
      <c r="BH138" s="505" t="s">
        <v>296</v>
      </c>
      <c r="BI138" s="340" t="s">
        <v>45</v>
      </c>
      <c r="BJ138" s="718" t="s">
        <v>191</v>
      </c>
      <c r="BK138" s="715" t="s">
        <v>17</v>
      </c>
      <c r="BL138" s="913" t="s">
        <v>191</v>
      </c>
      <c r="BM138" s="864" t="s">
        <v>296</v>
      </c>
      <c r="BN138" s="718" t="s">
        <v>191</v>
      </c>
      <c r="BO138" s="936"/>
      <c r="BP138" s="113"/>
      <c r="BQ138" s="913" t="s">
        <v>191</v>
      </c>
      <c r="BR138" s="133" t="s">
        <v>47</v>
      </c>
      <c r="BS138" s="509" t="s">
        <v>296</v>
      </c>
      <c r="BT138" s="405"/>
    </row>
    <row r="139" spans="1:72" ht="13.5" hidden="1" customHeight="1" x14ac:dyDescent="0.35">
      <c r="A139" s="683"/>
      <c r="B139" s="47"/>
      <c r="C139" s="3" t="s">
        <v>1398</v>
      </c>
      <c r="D139" s="1128"/>
      <c r="E139" s="1164"/>
      <c r="F139" s="1165"/>
      <c r="G139" s="1165"/>
      <c r="H139" s="1165"/>
      <c r="I139" s="1165"/>
      <c r="J139" s="1165"/>
      <c r="K139" s="1165"/>
      <c r="L139" s="1165"/>
      <c r="M139" s="1166"/>
      <c r="N139" s="128"/>
      <c r="O139" s="29"/>
      <c r="P139" s="118"/>
      <c r="Q139" s="128"/>
      <c r="R139" s="52"/>
      <c r="S139" s="52"/>
      <c r="T139" s="129"/>
      <c r="U139" s="144"/>
      <c r="V139" s="53"/>
      <c r="W139" s="53"/>
      <c r="X139" s="198"/>
      <c r="Y139" s="144"/>
      <c r="Z139" s="53"/>
      <c r="AA139" s="53"/>
      <c r="AB139" s="53"/>
      <c r="AC139" s="145"/>
      <c r="AD139" s="461"/>
      <c r="AE139" s="53"/>
      <c r="AF139" s="53"/>
      <c r="AG139" s="53"/>
      <c r="AH139" s="458"/>
      <c r="AI139" s="53"/>
      <c r="AJ139" s="145"/>
      <c r="AK139" s="145"/>
      <c r="AL139" s="144"/>
      <c r="AM139" s="458"/>
      <c r="AN139" s="516"/>
      <c r="AO139" s="1065"/>
      <c r="AP139" s="482"/>
      <c r="AQ139" s="458"/>
      <c r="AR139" s="144"/>
      <c r="AS139" s="52"/>
      <c r="AT139" s="516"/>
      <c r="AU139" s="144"/>
      <c r="AV139" s="129"/>
      <c r="AW139" s="144"/>
      <c r="AX139" s="52"/>
      <c r="AY139" s="52"/>
      <c r="AZ139" s="129"/>
      <c r="BA139" s="785"/>
      <c r="BB139" s="129"/>
      <c r="BC139" s="777" t="s">
        <v>1401</v>
      </c>
      <c r="BD139" s="317" t="s">
        <v>1399</v>
      </c>
      <c r="BE139" s="794" t="s">
        <v>1399</v>
      </c>
      <c r="BF139" s="864" t="s">
        <v>1399</v>
      </c>
      <c r="BG139" s="119" t="s">
        <v>1399</v>
      </c>
      <c r="BH139" s="505" t="s">
        <v>1399</v>
      </c>
      <c r="BI139" s="340" t="s">
        <v>1399</v>
      </c>
      <c r="BJ139" s="777" t="s">
        <v>1401</v>
      </c>
      <c r="BK139" s="15" t="s">
        <v>1399</v>
      </c>
      <c r="BL139" s="913" t="s">
        <v>1399</v>
      </c>
      <c r="BM139" s="864" t="s">
        <v>1399</v>
      </c>
      <c r="BN139" s="292" t="s">
        <v>1401</v>
      </c>
      <c r="BO139" s="318"/>
      <c r="BP139" s="777"/>
      <c r="BQ139" s="913" t="s">
        <v>1399</v>
      </c>
      <c r="BR139" s="1041"/>
      <c r="BS139" s="785"/>
      <c r="BT139" s="405"/>
    </row>
    <row r="140" spans="1:72" ht="13.5" hidden="1" customHeight="1" thickTop="1" x14ac:dyDescent="0.35">
      <c r="A140" s="683"/>
      <c r="B140" s="47"/>
      <c r="C140" s="3" t="s">
        <v>48</v>
      </c>
      <c r="D140" s="1128"/>
      <c r="E140" s="1164"/>
      <c r="F140" s="1165"/>
      <c r="G140" s="1165"/>
      <c r="H140" s="1165"/>
      <c r="I140" s="1165"/>
      <c r="J140" s="1165"/>
      <c r="K140" s="1165"/>
      <c r="L140" s="1165"/>
      <c r="M140" s="1166"/>
      <c r="N140" s="130" t="s">
        <v>17</v>
      </c>
      <c r="O140" s="25" t="s">
        <v>17</v>
      </c>
      <c r="P140" s="257" t="s">
        <v>17</v>
      </c>
      <c r="Q140" s="130" t="s">
        <v>17</v>
      </c>
      <c r="R140" s="25" t="s">
        <v>17</v>
      </c>
      <c r="S140" s="20" t="s">
        <v>17</v>
      </c>
      <c r="T140" s="114" t="s">
        <v>8</v>
      </c>
      <c r="U140" s="146" t="s">
        <v>8</v>
      </c>
      <c r="V140" s="18" t="s">
        <v>8</v>
      </c>
      <c r="W140" s="18" t="s">
        <v>41</v>
      </c>
      <c r="X140" s="190" t="s">
        <v>8</v>
      </c>
      <c r="Y140" s="119" t="s">
        <v>8</v>
      </c>
      <c r="Z140" s="13" t="s">
        <v>8</v>
      </c>
      <c r="AA140" s="13" t="s">
        <v>8</v>
      </c>
      <c r="AB140" s="13" t="s">
        <v>8</v>
      </c>
      <c r="AC140" s="102" t="s">
        <v>41</v>
      </c>
      <c r="AD140" s="87" t="s">
        <v>8</v>
      </c>
      <c r="AE140" s="13" t="s">
        <v>8</v>
      </c>
      <c r="AF140" s="13" t="s">
        <v>8</v>
      </c>
      <c r="AG140" s="13" t="s">
        <v>8</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91" t="s">
        <v>671</v>
      </c>
      <c r="BE140" s="846" t="s">
        <v>671</v>
      </c>
      <c r="BF140" s="377" t="s">
        <v>50</v>
      </c>
      <c r="BG140" s="111" t="s">
        <v>50</v>
      </c>
      <c r="BH140" s="112" t="s">
        <v>50</v>
      </c>
      <c r="BI140" s="377" t="s">
        <v>50</v>
      </c>
      <c r="BJ140" s="718" t="s">
        <v>8</v>
      </c>
      <c r="BK140" s="779" t="s">
        <v>671</v>
      </c>
      <c r="BL140" s="907" t="s">
        <v>671</v>
      </c>
      <c r="BM140" s="377" t="s">
        <v>50</v>
      </c>
      <c r="BN140" s="718" t="s">
        <v>8</v>
      </c>
      <c r="BO140" s="919"/>
      <c r="BP140" s="113"/>
      <c r="BQ140" s="907" t="s">
        <v>671</v>
      </c>
      <c r="BR140" s="133" t="s">
        <v>8</v>
      </c>
      <c r="BS140" s="26" t="s">
        <v>50</v>
      </c>
      <c r="BT140" s="405" t="s">
        <v>676</v>
      </c>
    </row>
    <row r="141" spans="1:72" ht="13.5" hidden="1" customHeight="1" x14ac:dyDescent="0.35">
      <c r="A141" s="683"/>
      <c r="B141" s="47"/>
      <c r="C141" s="3" t="s">
        <v>49</v>
      </c>
      <c r="D141" s="1128"/>
      <c r="E141" s="1164"/>
      <c r="F141" s="1165"/>
      <c r="G141" s="1165"/>
      <c r="H141" s="1165"/>
      <c r="I141" s="1165"/>
      <c r="J141" s="1165"/>
      <c r="K141" s="1165"/>
      <c r="L141" s="1165"/>
      <c r="M141" s="1166"/>
      <c r="N141" s="130" t="s">
        <v>8</v>
      </c>
      <c r="O141" s="25" t="s">
        <v>8</v>
      </c>
      <c r="P141" s="257" t="s">
        <v>8</v>
      </c>
      <c r="Q141" s="130" t="s">
        <v>8</v>
      </c>
      <c r="R141" s="25" t="s">
        <v>17</v>
      </c>
      <c r="S141" s="20" t="s">
        <v>17</v>
      </c>
      <c r="T141" s="114" t="s">
        <v>17</v>
      </c>
      <c r="U141" s="146" t="s">
        <v>8</v>
      </c>
      <c r="V141" s="18" t="s">
        <v>8</v>
      </c>
      <c r="W141" s="18" t="s">
        <v>41</v>
      </c>
      <c r="X141" s="190" t="s">
        <v>50</v>
      </c>
      <c r="Y141" s="119" t="s">
        <v>8</v>
      </c>
      <c r="Z141" s="13" t="s">
        <v>8</v>
      </c>
      <c r="AA141" s="13" t="s">
        <v>8</v>
      </c>
      <c r="AB141" s="13" t="s">
        <v>8</v>
      </c>
      <c r="AC141" s="157" t="s">
        <v>41</v>
      </c>
      <c r="AD141" s="87" t="s">
        <v>8</v>
      </c>
      <c r="AE141" s="13" t="s">
        <v>8</v>
      </c>
      <c r="AF141" s="13" t="s">
        <v>8</v>
      </c>
      <c r="AG141" s="18" t="s">
        <v>41</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50</v>
      </c>
      <c r="AT141" s="177" t="s">
        <v>50</v>
      </c>
      <c r="AU141" s="119" t="s">
        <v>8</v>
      </c>
      <c r="AV141" s="112" t="s">
        <v>50</v>
      </c>
      <c r="AW141" s="111" t="s">
        <v>50</v>
      </c>
      <c r="AX141" s="16" t="s">
        <v>50</v>
      </c>
      <c r="AY141" s="526" t="s">
        <v>8</v>
      </c>
      <c r="AZ141" s="112" t="s">
        <v>50</v>
      </c>
      <c r="BA141" s="133" t="s">
        <v>50</v>
      </c>
      <c r="BB141" s="112" t="s">
        <v>50</v>
      </c>
      <c r="BC141" s="718" t="s">
        <v>1287</v>
      </c>
      <c r="BD141" s="779" t="s">
        <v>671</v>
      </c>
      <c r="BE141" s="794" t="s">
        <v>1287</v>
      </c>
      <c r="BF141" s="377" t="s">
        <v>50</v>
      </c>
      <c r="BG141" s="111" t="s">
        <v>50</v>
      </c>
      <c r="BH141" s="112" t="s">
        <v>50</v>
      </c>
      <c r="BI141" s="377" t="s">
        <v>50</v>
      </c>
      <c r="BJ141" s="718" t="s">
        <v>1287</v>
      </c>
      <c r="BK141" s="779" t="s">
        <v>671</v>
      </c>
      <c r="BL141" s="913" t="s">
        <v>1287</v>
      </c>
      <c r="BM141" s="377" t="s">
        <v>50</v>
      </c>
      <c r="BN141" s="546" t="s">
        <v>1287</v>
      </c>
      <c r="BO141" s="283"/>
      <c r="BP141" s="113"/>
      <c r="BQ141" s="913" t="s">
        <v>1287</v>
      </c>
      <c r="BR141" s="133" t="s">
        <v>8</v>
      </c>
      <c r="BS141" s="26" t="s">
        <v>50</v>
      </c>
      <c r="BT141" s="405" t="s">
        <v>677</v>
      </c>
    </row>
    <row r="142" spans="1:72" ht="13.5" hidden="1" customHeight="1" x14ac:dyDescent="0.35">
      <c r="A142" s="683"/>
      <c r="B142" s="47"/>
      <c r="C142" s="3" t="s">
        <v>51</v>
      </c>
      <c r="D142" s="1128"/>
      <c r="E142" s="1164"/>
      <c r="F142" s="1165"/>
      <c r="G142" s="1165"/>
      <c r="H142" s="1165"/>
      <c r="I142" s="1165"/>
      <c r="J142" s="1165"/>
      <c r="K142" s="1165"/>
      <c r="L142" s="1165"/>
      <c r="M142" s="1166"/>
      <c r="N142" s="130" t="s">
        <v>17</v>
      </c>
      <c r="O142" s="25" t="s">
        <v>17</v>
      </c>
      <c r="P142" s="257" t="s">
        <v>17</v>
      </c>
      <c r="Q142" s="130" t="s">
        <v>17</v>
      </c>
      <c r="R142" s="25" t="s">
        <v>17</v>
      </c>
      <c r="S142" s="20" t="s">
        <v>17</v>
      </c>
      <c r="T142" s="114" t="s">
        <v>8</v>
      </c>
      <c r="U142" s="146" t="s">
        <v>8</v>
      </c>
      <c r="V142" s="18" t="s">
        <v>8</v>
      </c>
      <c r="W142" s="18" t="s">
        <v>41</v>
      </c>
      <c r="X142" s="190" t="s">
        <v>50</v>
      </c>
      <c r="Y142" s="119" t="s">
        <v>8</v>
      </c>
      <c r="Z142" s="13" t="s">
        <v>8</v>
      </c>
      <c r="AA142" s="13" t="s">
        <v>8</v>
      </c>
      <c r="AB142" s="13" t="s">
        <v>8</v>
      </c>
      <c r="AC142" s="102" t="s">
        <v>41</v>
      </c>
      <c r="AD142" s="87" t="s">
        <v>8</v>
      </c>
      <c r="AE142" s="13" t="s">
        <v>8</v>
      </c>
      <c r="AF142" s="13" t="s">
        <v>8</v>
      </c>
      <c r="AG142" s="13" t="s">
        <v>41</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50</v>
      </c>
      <c r="AT142" s="177" t="s">
        <v>50</v>
      </c>
      <c r="AU142" s="119" t="s">
        <v>8</v>
      </c>
      <c r="AV142" s="112" t="s">
        <v>50</v>
      </c>
      <c r="AW142" s="111" t="s">
        <v>50</v>
      </c>
      <c r="AX142" s="16" t="s">
        <v>50</v>
      </c>
      <c r="AY142" s="526" t="s">
        <v>8</v>
      </c>
      <c r="AZ142" s="112" t="s">
        <v>50</v>
      </c>
      <c r="BA142" s="133" t="s">
        <v>50</v>
      </c>
      <c r="BB142" s="112" t="s">
        <v>50</v>
      </c>
      <c r="BC142" s="718" t="s">
        <v>8</v>
      </c>
      <c r="BD142" s="779" t="s">
        <v>8</v>
      </c>
      <c r="BE142" s="779" t="s">
        <v>8</v>
      </c>
      <c r="BF142" s="377" t="s">
        <v>50</v>
      </c>
      <c r="BG142" s="111" t="s">
        <v>50</v>
      </c>
      <c r="BH142" s="112" t="s">
        <v>50</v>
      </c>
      <c r="BI142" s="377" t="s">
        <v>50</v>
      </c>
      <c r="BJ142" s="718" t="s">
        <v>8</v>
      </c>
      <c r="BK142" s="779" t="s">
        <v>8</v>
      </c>
      <c r="BL142" s="779" t="s">
        <v>8</v>
      </c>
      <c r="BM142" s="377" t="s">
        <v>50</v>
      </c>
      <c r="BN142" s="718" t="s">
        <v>8</v>
      </c>
      <c r="BO142" s="114"/>
      <c r="BP142" s="113"/>
      <c r="BQ142" s="914"/>
      <c r="BR142" s="133" t="s">
        <v>8</v>
      </c>
      <c r="BS142" s="26" t="s">
        <v>50</v>
      </c>
      <c r="BT142" s="405" t="s">
        <v>678</v>
      </c>
    </row>
    <row r="143" spans="1:72" ht="13.5" hidden="1" customHeight="1" thickTop="1" x14ac:dyDescent="0.35">
      <c r="A143" s="683"/>
      <c r="B143" s="47"/>
      <c r="C143" s="3" t="s">
        <v>52</v>
      </c>
      <c r="D143" s="1128"/>
      <c r="E143" s="1164"/>
      <c r="F143" s="1165"/>
      <c r="G143" s="1165"/>
      <c r="H143" s="1165"/>
      <c r="I143" s="1165"/>
      <c r="J143" s="1165"/>
      <c r="K143" s="1165"/>
      <c r="L143" s="1165"/>
      <c r="M143" s="1166"/>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8</v>
      </c>
      <c r="AE143" s="13" t="s">
        <v>8</v>
      </c>
      <c r="AF143" s="13" t="s">
        <v>8</v>
      </c>
      <c r="AG143" s="13" t="s">
        <v>8</v>
      </c>
      <c r="AH143" s="36" t="s">
        <v>8</v>
      </c>
      <c r="AI143" s="13" t="s">
        <v>8</v>
      </c>
      <c r="AJ143" s="102" t="s">
        <v>8</v>
      </c>
      <c r="AK143" s="102" t="s">
        <v>8</v>
      </c>
      <c r="AL143" s="119" t="s">
        <v>357</v>
      </c>
      <c r="AM143" s="36" t="s">
        <v>357</v>
      </c>
      <c r="AN143" s="177" t="s">
        <v>357</v>
      </c>
      <c r="AO143" s="177" t="s">
        <v>357</v>
      </c>
      <c r="AP143" s="13" t="s">
        <v>357</v>
      </c>
      <c r="AQ143" s="36" t="s">
        <v>357</v>
      </c>
      <c r="AR143" s="119" t="s">
        <v>8</v>
      </c>
      <c r="AS143" s="16" t="s">
        <v>17</v>
      </c>
      <c r="AT143" s="177" t="s">
        <v>17</v>
      </c>
      <c r="AU143" s="119" t="s">
        <v>8</v>
      </c>
      <c r="AV143" s="112" t="s">
        <v>17</v>
      </c>
      <c r="AW143" s="119" t="s">
        <v>45</v>
      </c>
      <c r="AX143" s="16" t="s">
        <v>17</v>
      </c>
      <c r="AY143" s="16" t="s">
        <v>17</v>
      </c>
      <c r="AZ143" s="112" t="s">
        <v>17</v>
      </c>
      <c r="BA143" s="133" t="s">
        <v>357</v>
      </c>
      <c r="BB143" s="112" t="s">
        <v>17</v>
      </c>
      <c r="BC143" s="718" t="s">
        <v>17</v>
      </c>
      <c r="BD143" s="779" t="s">
        <v>17</v>
      </c>
      <c r="BE143" s="177" t="s">
        <v>17</v>
      </c>
      <c r="BF143" s="377" t="s">
        <v>17</v>
      </c>
      <c r="BG143" s="119" t="s">
        <v>357</v>
      </c>
      <c r="BH143" s="112" t="s">
        <v>17</v>
      </c>
      <c r="BI143" s="340" t="s">
        <v>357</v>
      </c>
      <c r="BJ143" s="718" t="s">
        <v>17</v>
      </c>
      <c r="BK143" s="779" t="s">
        <v>17</v>
      </c>
      <c r="BL143" s="112" t="s">
        <v>17</v>
      </c>
      <c r="BM143" s="377" t="s">
        <v>17</v>
      </c>
      <c r="BN143" s="546" t="s">
        <v>17</v>
      </c>
      <c r="BO143" s="114"/>
      <c r="BP143" s="113"/>
      <c r="BQ143" s="112" t="s">
        <v>17</v>
      </c>
      <c r="BR143" s="133" t="s">
        <v>8</v>
      </c>
      <c r="BS143" s="26" t="s">
        <v>17</v>
      </c>
      <c r="BT143" s="405" t="s">
        <v>53</v>
      </c>
    </row>
    <row r="144" spans="1:72" ht="13.5" hidden="1" customHeight="1" x14ac:dyDescent="0.35">
      <c r="A144" s="683"/>
      <c r="B144" s="47"/>
      <c r="C144" s="3" t="s">
        <v>54</v>
      </c>
      <c r="D144" s="1128"/>
      <c r="E144" s="1164"/>
      <c r="F144" s="1165"/>
      <c r="G144" s="1165"/>
      <c r="H144" s="1165"/>
      <c r="I144" s="1165"/>
      <c r="J144" s="1165"/>
      <c r="K144" s="1165"/>
      <c r="L144" s="1165"/>
      <c r="M144" s="1166"/>
      <c r="N144" s="130" t="s">
        <v>8</v>
      </c>
      <c r="O144" s="25" t="s">
        <v>8</v>
      </c>
      <c r="P144" s="257" t="s">
        <v>8</v>
      </c>
      <c r="Q144" s="130" t="s">
        <v>8</v>
      </c>
      <c r="R144" s="25" t="s">
        <v>17</v>
      </c>
      <c r="S144" s="20" t="s">
        <v>17</v>
      </c>
      <c r="T144" s="114" t="s">
        <v>17</v>
      </c>
      <c r="U144" s="146" t="s">
        <v>8</v>
      </c>
      <c r="V144" s="18" t="s">
        <v>8</v>
      </c>
      <c r="W144" s="18" t="s">
        <v>41</v>
      </c>
      <c r="X144" s="190" t="s">
        <v>17</v>
      </c>
      <c r="Y144" s="119" t="s">
        <v>8</v>
      </c>
      <c r="Z144" s="13" t="s">
        <v>8</v>
      </c>
      <c r="AA144" s="13" t="s">
        <v>8</v>
      </c>
      <c r="AB144" s="13" t="s">
        <v>8</v>
      </c>
      <c r="AC144" s="102" t="s">
        <v>8</v>
      </c>
      <c r="AD144" s="87" t="s">
        <v>8</v>
      </c>
      <c r="AE144" s="13" t="s">
        <v>8</v>
      </c>
      <c r="AF144" s="13" t="s">
        <v>8</v>
      </c>
      <c r="AG144" s="13" t="s">
        <v>8</v>
      </c>
      <c r="AH144" s="36" t="s">
        <v>8</v>
      </c>
      <c r="AI144" s="13" t="s">
        <v>8</v>
      </c>
      <c r="AJ144" s="102" t="s">
        <v>8</v>
      </c>
      <c r="AK144" s="102" t="s">
        <v>8</v>
      </c>
      <c r="AL144" s="119" t="s">
        <v>357</v>
      </c>
      <c r="AM144" s="36" t="s">
        <v>357</v>
      </c>
      <c r="AN144" s="177" t="s">
        <v>357</v>
      </c>
      <c r="AO144" s="177" t="s">
        <v>357</v>
      </c>
      <c r="AP144" s="13" t="s">
        <v>357</v>
      </c>
      <c r="AQ144" s="36" t="s">
        <v>357</v>
      </c>
      <c r="AR144" s="119" t="s">
        <v>8</v>
      </c>
      <c r="AS144" s="16" t="s">
        <v>17</v>
      </c>
      <c r="AT144" s="177" t="s">
        <v>17</v>
      </c>
      <c r="AU144" s="119" t="s">
        <v>8</v>
      </c>
      <c r="AV144" s="112" t="s">
        <v>17</v>
      </c>
      <c r="AW144" s="119" t="s">
        <v>45</v>
      </c>
      <c r="AX144" s="16" t="s">
        <v>17</v>
      </c>
      <c r="AY144" s="20" t="s">
        <v>17</v>
      </c>
      <c r="AZ144" s="112" t="s">
        <v>17</v>
      </c>
      <c r="BA144" s="133" t="s">
        <v>357</v>
      </c>
      <c r="BB144" s="112" t="s">
        <v>17</v>
      </c>
      <c r="BC144" s="718" t="s">
        <v>17</v>
      </c>
      <c r="BD144" s="779" t="s">
        <v>17</v>
      </c>
      <c r="BE144" s="177" t="s">
        <v>17</v>
      </c>
      <c r="BF144" s="377" t="s">
        <v>17</v>
      </c>
      <c r="BG144" s="119" t="s">
        <v>357</v>
      </c>
      <c r="BH144" s="112" t="s">
        <v>17</v>
      </c>
      <c r="BI144" s="340" t="s">
        <v>357</v>
      </c>
      <c r="BJ144" s="718" t="s">
        <v>17</v>
      </c>
      <c r="BK144" s="779" t="s">
        <v>17</v>
      </c>
      <c r="BL144" s="112" t="s">
        <v>17</v>
      </c>
      <c r="BM144" s="377" t="s">
        <v>17</v>
      </c>
      <c r="BN144" s="1022" t="s">
        <v>17</v>
      </c>
      <c r="BO144" s="114"/>
      <c r="BP144" s="113"/>
      <c r="BQ144" s="112" t="s">
        <v>17</v>
      </c>
      <c r="BR144" s="133" t="s">
        <v>8</v>
      </c>
      <c r="BS144" s="26" t="s">
        <v>17</v>
      </c>
      <c r="BT144" s="405" t="s">
        <v>53</v>
      </c>
    </row>
    <row r="145" spans="1:361" ht="13.5" hidden="1" customHeight="1" x14ac:dyDescent="0.35">
      <c r="A145" s="683"/>
      <c r="B145" s="47"/>
      <c r="C145" s="3" t="s">
        <v>55</v>
      </c>
      <c r="D145" s="1128"/>
      <c r="E145" s="1164"/>
      <c r="F145" s="1165"/>
      <c r="G145" s="1165"/>
      <c r="H145" s="1165"/>
      <c r="I145" s="1165"/>
      <c r="J145" s="1165"/>
      <c r="K145" s="1165"/>
      <c r="L145" s="1165"/>
      <c r="M145" s="1166"/>
      <c r="N145" s="130" t="s">
        <v>8</v>
      </c>
      <c r="O145" s="25" t="s">
        <v>8</v>
      </c>
      <c r="P145" s="257" t="s">
        <v>8</v>
      </c>
      <c r="Q145" s="130" t="s">
        <v>8</v>
      </c>
      <c r="R145" s="25" t="s">
        <v>17</v>
      </c>
      <c r="S145" s="20" t="s">
        <v>17</v>
      </c>
      <c r="T145" s="114" t="s">
        <v>17</v>
      </c>
      <c r="U145" s="146" t="s">
        <v>8</v>
      </c>
      <c r="V145" s="18" t="s">
        <v>8</v>
      </c>
      <c r="W145" s="18" t="s">
        <v>41</v>
      </c>
      <c r="X145" s="190" t="s">
        <v>17</v>
      </c>
      <c r="Y145" s="119" t="s">
        <v>8</v>
      </c>
      <c r="Z145" s="13" t="s">
        <v>8</v>
      </c>
      <c r="AA145" s="13" t="s">
        <v>8</v>
      </c>
      <c r="AB145" s="13" t="s">
        <v>8</v>
      </c>
      <c r="AC145" s="102" t="s">
        <v>8</v>
      </c>
      <c r="AD145" s="87" t="s">
        <v>17</v>
      </c>
      <c r="AE145" s="87" t="s">
        <v>17</v>
      </c>
      <c r="AF145" s="87" t="s">
        <v>17</v>
      </c>
      <c r="AG145" s="87" t="s">
        <v>17</v>
      </c>
      <c r="AH145" s="87" t="s">
        <v>17</v>
      </c>
      <c r="AI145" s="87" t="s">
        <v>17</v>
      </c>
      <c r="AJ145" s="102" t="s">
        <v>17</v>
      </c>
      <c r="AK145" s="102" t="s">
        <v>17</v>
      </c>
      <c r="AL145" s="119" t="s">
        <v>357</v>
      </c>
      <c r="AM145" s="36" t="s">
        <v>357</v>
      </c>
      <c r="AN145" s="177" t="s">
        <v>357</v>
      </c>
      <c r="AO145" s="177" t="s">
        <v>357</v>
      </c>
      <c r="AP145" s="13" t="s">
        <v>357</v>
      </c>
      <c r="AQ145" s="36" t="s">
        <v>357</v>
      </c>
      <c r="AR145" s="119" t="s">
        <v>17</v>
      </c>
      <c r="AS145" s="16" t="s">
        <v>17</v>
      </c>
      <c r="AT145" s="177" t="s">
        <v>17</v>
      </c>
      <c r="AU145" s="119" t="s">
        <v>17</v>
      </c>
      <c r="AV145" s="112" t="s">
        <v>17</v>
      </c>
      <c r="AW145" s="119" t="s">
        <v>45</v>
      </c>
      <c r="AX145" s="16" t="s">
        <v>17</v>
      </c>
      <c r="AY145" s="16" t="s">
        <v>17</v>
      </c>
      <c r="AZ145" s="112" t="s">
        <v>17</v>
      </c>
      <c r="BA145" s="133" t="s">
        <v>357</v>
      </c>
      <c r="BB145" s="112" t="s">
        <v>17</v>
      </c>
      <c r="BC145" s="718" t="s">
        <v>17</v>
      </c>
      <c r="BD145" s="779" t="s">
        <v>17</v>
      </c>
      <c r="BE145" s="177" t="s">
        <v>17</v>
      </c>
      <c r="BF145" s="377" t="s">
        <v>17</v>
      </c>
      <c r="BG145" s="119" t="s">
        <v>357</v>
      </c>
      <c r="BH145" s="112" t="s">
        <v>17</v>
      </c>
      <c r="BI145" s="340" t="s">
        <v>357</v>
      </c>
      <c r="BJ145" s="718" t="s">
        <v>17</v>
      </c>
      <c r="BK145" s="779" t="s">
        <v>17</v>
      </c>
      <c r="BL145" s="112" t="s">
        <v>17</v>
      </c>
      <c r="BM145" s="377" t="s">
        <v>17</v>
      </c>
      <c r="BN145" s="718" t="s">
        <v>17</v>
      </c>
      <c r="BO145" s="114"/>
      <c r="BP145" s="113"/>
      <c r="BQ145" s="112" t="s">
        <v>17</v>
      </c>
      <c r="BR145" s="133" t="s">
        <v>17</v>
      </c>
      <c r="BS145" s="26" t="s">
        <v>17</v>
      </c>
      <c r="BT145" s="405" t="s">
        <v>53</v>
      </c>
    </row>
    <row r="146" spans="1:361" ht="13.5" hidden="1" customHeight="1" x14ac:dyDescent="0.35">
      <c r="A146" s="683"/>
      <c r="B146" s="47"/>
      <c r="C146" s="3" t="s">
        <v>278</v>
      </c>
      <c r="D146" s="1128"/>
      <c r="E146" s="1164"/>
      <c r="F146" s="1165"/>
      <c r="G146" s="1165"/>
      <c r="H146" s="1165"/>
      <c r="I146" s="1165"/>
      <c r="J146" s="1165"/>
      <c r="K146" s="1165"/>
      <c r="L146" s="1165"/>
      <c r="M146" s="1166"/>
      <c r="N146" s="117"/>
      <c r="O146" s="29"/>
      <c r="P146" s="118"/>
      <c r="Q146" s="117"/>
      <c r="R146" s="29"/>
      <c r="S146" s="29"/>
      <c r="T146" s="118"/>
      <c r="U146" s="120"/>
      <c r="V146" s="30"/>
      <c r="W146" s="30"/>
      <c r="X146" s="193"/>
      <c r="Y146" s="120"/>
      <c r="Z146" s="30"/>
      <c r="AA146" s="30"/>
      <c r="AB146" s="30"/>
      <c r="AC146" s="121"/>
      <c r="AD146" s="87" t="s">
        <v>8</v>
      </c>
      <c r="AE146" s="87" t="s">
        <v>8</v>
      </c>
      <c r="AF146" s="87" t="s">
        <v>8</v>
      </c>
      <c r="AG146" s="87" t="s">
        <v>8</v>
      </c>
      <c r="AH146" s="36" t="s">
        <v>8</v>
      </c>
      <c r="AI146" s="87" t="s">
        <v>8</v>
      </c>
      <c r="AJ146" s="102" t="s">
        <v>8</v>
      </c>
      <c r="AK146" s="102" t="s">
        <v>8</v>
      </c>
      <c r="AL146" s="119" t="s">
        <v>357</v>
      </c>
      <c r="AM146" s="36" t="s">
        <v>357</v>
      </c>
      <c r="AN146" s="177" t="s">
        <v>357</v>
      </c>
      <c r="AO146" s="177" t="s">
        <v>357</v>
      </c>
      <c r="AP146" s="13" t="s">
        <v>357</v>
      </c>
      <c r="AQ146" s="36" t="s">
        <v>357</v>
      </c>
      <c r="AR146" s="111" t="s">
        <v>8</v>
      </c>
      <c r="AS146" s="16" t="s">
        <v>17</v>
      </c>
      <c r="AT146" s="177" t="s">
        <v>17</v>
      </c>
      <c r="AU146" s="111" t="s">
        <v>8</v>
      </c>
      <c r="AV146" s="112" t="s">
        <v>17</v>
      </c>
      <c r="AW146" s="111" t="s">
        <v>17</v>
      </c>
      <c r="AX146" s="16" t="s">
        <v>17</v>
      </c>
      <c r="AY146" s="526" t="s">
        <v>8</v>
      </c>
      <c r="AZ146" s="112" t="s">
        <v>17</v>
      </c>
      <c r="BA146" s="133" t="s">
        <v>357</v>
      </c>
      <c r="BB146" s="112" t="s">
        <v>17</v>
      </c>
      <c r="BC146" s="113" t="s">
        <v>17</v>
      </c>
      <c r="BD146" s="20" t="s">
        <v>671</v>
      </c>
      <c r="BE146" s="794" t="s">
        <v>17</v>
      </c>
      <c r="BF146" s="377" t="s">
        <v>17</v>
      </c>
      <c r="BG146" s="119" t="s">
        <v>357</v>
      </c>
      <c r="BH146" s="112" t="s">
        <v>17</v>
      </c>
      <c r="BI146" s="340" t="s">
        <v>357</v>
      </c>
      <c r="BJ146" s="718" t="s">
        <v>17</v>
      </c>
      <c r="BK146" s="779" t="s">
        <v>671</v>
      </c>
      <c r="BL146" s="913" t="s">
        <v>17</v>
      </c>
      <c r="BM146" s="377" t="s">
        <v>17</v>
      </c>
      <c r="BN146" s="718" t="s">
        <v>17</v>
      </c>
      <c r="BO146" s="283"/>
      <c r="BP146" s="113"/>
      <c r="BQ146" s="913" t="s">
        <v>17</v>
      </c>
      <c r="BR146" s="133" t="s">
        <v>8</v>
      </c>
      <c r="BS146" s="26" t="s">
        <v>17</v>
      </c>
      <c r="BT146" s="405" t="s">
        <v>679</v>
      </c>
    </row>
    <row r="147" spans="1:361" ht="13.5" hidden="1" customHeight="1" x14ac:dyDescent="0.35">
      <c r="A147" s="683"/>
      <c r="B147" s="47"/>
      <c r="C147" s="3" t="s">
        <v>174</v>
      </c>
      <c r="D147" s="1128"/>
      <c r="E147" s="1164"/>
      <c r="F147" s="1165"/>
      <c r="G147" s="1165"/>
      <c r="H147" s="1165"/>
      <c r="I147" s="1165"/>
      <c r="J147" s="1165"/>
      <c r="K147" s="1165"/>
      <c r="L147" s="1165"/>
      <c r="M147" s="1166"/>
      <c r="N147" s="117"/>
      <c r="O147" s="29"/>
      <c r="P147" s="118"/>
      <c r="Q147" s="117"/>
      <c r="R147" s="29"/>
      <c r="S147" s="29"/>
      <c r="T147" s="118"/>
      <c r="U147" s="120"/>
      <c r="V147" s="30"/>
      <c r="W147" s="30"/>
      <c r="X147" s="193"/>
      <c r="Y147" s="119" t="s">
        <v>56</v>
      </c>
      <c r="Z147" s="19" t="s">
        <v>17</v>
      </c>
      <c r="AA147" s="13" t="s">
        <v>56</v>
      </c>
      <c r="AB147" s="180" t="s">
        <v>433</v>
      </c>
      <c r="AC147" s="102" t="s">
        <v>56</v>
      </c>
      <c r="AD147" s="83" t="s">
        <v>56</v>
      </c>
      <c r="AE147" s="16" t="s">
        <v>56</v>
      </c>
      <c r="AF147" s="21" t="s">
        <v>56</v>
      </c>
      <c r="AG147" s="21" t="s">
        <v>104</v>
      </c>
      <c r="AH147" s="280" t="s">
        <v>433</v>
      </c>
      <c r="AI147" s="16" t="s">
        <v>56</v>
      </c>
      <c r="AJ147" s="114" t="s">
        <v>433</v>
      </c>
      <c r="AK147" s="156" t="s">
        <v>433</v>
      </c>
      <c r="AL147" s="119" t="s">
        <v>357</v>
      </c>
      <c r="AM147" s="36" t="s">
        <v>357</v>
      </c>
      <c r="AN147" s="177" t="s">
        <v>357</v>
      </c>
      <c r="AO147" s="177" t="s">
        <v>357</v>
      </c>
      <c r="AP147" s="13" t="s">
        <v>357</v>
      </c>
      <c r="AQ147" s="36" t="s">
        <v>357</v>
      </c>
      <c r="AR147" s="111" t="s">
        <v>433</v>
      </c>
      <c r="AS147" s="16" t="s">
        <v>17</v>
      </c>
      <c r="AT147" s="177" t="s">
        <v>17</v>
      </c>
      <c r="AU147" s="111" t="s">
        <v>433</v>
      </c>
      <c r="AV147" s="112" t="s">
        <v>17</v>
      </c>
      <c r="AW147" s="111" t="s">
        <v>17</v>
      </c>
      <c r="AX147" s="16" t="s">
        <v>17</v>
      </c>
      <c r="AY147" s="526" t="s">
        <v>433</v>
      </c>
      <c r="AZ147" s="112" t="s">
        <v>17</v>
      </c>
      <c r="BA147" s="133" t="s">
        <v>357</v>
      </c>
      <c r="BB147" s="112" t="s">
        <v>17</v>
      </c>
      <c r="BC147" s="113" t="s">
        <v>17</v>
      </c>
      <c r="BD147" s="20" t="s">
        <v>672</v>
      </c>
      <c r="BE147" s="844" t="s">
        <v>17</v>
      </c>
      <c r="BF147" s="377" t="s">
        <v>17</v>
      </c>
      <c r="BG147" s="119" t="s">
        <v>357</v>
      </c>
      <c r="BH147" s="112" t="s">
        <v>17</v>
      </c>
      <c r="BI147" s="340" t="s">
        <v>357</v>
      </c>
      <c r="BJ147" s="723" t="s">
        <v>17</v>
      </c>
      <c r="BK147" s="779" t="s">
        <v>672</v>
      </c>
      <c r="BL147" s="905" t="s">
        <v>17</v>
      </c>
      <c r="BM147" s="377" t="s">
        <v>17</v>
      </c>
      <c r="BN147" s="546" t="s">
        <v>17</v>
      </c>
      <c r="BO147" s="283"/>
      <c r="BP147" s="465"/>
      <c r="BQ147" s="905" t="s">
        <v>17</v>
      </c>
      <c r="BR147" s="133" t="s">
        <v>433</v>
      </c>
      <c r="BS147" s="26" t="s">
        <v>17</v>
      </c>
      <c r="BT147" s="413" t="s">
        <v>680</v>
      </c>
    </row>
    <row r="148" spans="1:361" s="456" customFormat="1" ht="13.5" hidden="1" customHeight="1" x14ac:dyDescent="0.35">
      <c r="A148" s="683"/>
      <c r="B148" s="65"/>
      <c r="C148" s="168" t="s">
        <v>585</v>
      </c>
      <c r="D148" s="1128"/>
      <c r="E148" s="1164"/>
      <c r="F148" s="1165"/>
      <c r="G148" s="1165"/>
      <c r="H148" s="1165"/>
      <c r="I148" s="1165"/>
      <c r="J148" s="1165"/>
      <c r="K148" s="1165"/>
      <c r="L148" s="1165"/>
      <c r="M148" s="1166"/>
      <c r="N148" s="170"/>
      <c r="O148" s="29"/>
      <c r="P148" s="118"/>
      <c r="Q148" s="170"/>
      <c r="R148" s="29"/>
      <c r="S148" s="29"/>
      <c r="T148" s="118"/>
      <c r="U148" s="120"/>
      <c r="V148" s="30"/>
      <c r="W148" s="30"/>
      <c r="X148" s="193"/>
      <c r="Y148" s="172"/>
      <c r="Z148" s="30"/>
      <c r="AA148" s="30"/>
      <c r="AB148" s="454"/>
      <c r="AC148" s="245"/>
      <c r="AD148" s="86"/>
      <c r="AE148" s="29"/>
      <c r="AF148" s="214"/>
      <c r="AG148" s="214"/>
      <c r="AH148" s="396"/>
      <c r="AI148" s="171"/>
      <c r="AJ148" s="118"/>
      <c r="AK148" s="455"/>
      <c r="AL148" s="120"/>
      <c r="AM148" s="173"/>
      <c r="AN148" s="171"/>
      <c r="AO148" s="171"/>
      <c r="AP148" s="30"/>
      <c r="AQ148" s="173"/>
      <c r="AR148" s="465" t="s">
        <v>8</v>
      </c>
      <c r="AS148" s="20" t="s">
        <v>17</v>
      </c>
      <c r="AT148" s="224" t="s">
        <v>17</v>
      </c>
      <c r="AU148" s="147" t="s">
        <v>8</v>
      </c>
      <c r="AV148" s="112" t="s">
        <v>17</v>
      </c>
      <c r="AW148" s="119" t="s">
        <v>17</v>
      </c>
      <c r="AX148" s="16" t="s">
        <v>17</v>
      </c>
      <c r="AY148" s="20" t="s">
        <v>17</v>
      </c>
      <c r="AZ148" s="112" t="s">
        <v>17</v>
      </c>
      <c r="BA148" s="27" t="s">
        <v>17</v>
      </c>
      <c r="BB148" s="112" t="s">
        <v>17</v>
      </c>
      <c r="BC148" s="723" t="s">
        <v>17</v>
      </c>
      <c r="BD148" s="779" t="s">
        <v>17</v>
      </c>
      <c r="BE148" s="177" t="s">
        <v>17</v>
      </c>
      <c r="BF148" s="377" t="s">
        <v>17</v>
      </c>
      <c r="BG148" s="115" t="s">
        <v>17</v>
      </c>
      <c r="BH148" s="112" t="s">
        <v>17</v>
      </c>
      <c r="BI148" s="379" t="s">
        <v>17</v>
      </c>
      <c r="BJ148" s="723" t="s">
        <v>17</v>
      </c>
      <c r="BK148" s="779" t="s">
        <v>8</v>
      </c>
      <c r="BL148" s="112" t="s">
        <v>17</v>
      </c>
      <c r="BM148" s="377" t="s">
        <v>17</v>
      </c>
      <c r="BN148" s="546" t="s">
        <v>17</v>
      </c>
      <c r="BO148" s="114"/>
      <c r="BP148" s="465"/>
      <c r="BQ148" s="112" t="s">
        <v>17</v>
      </c>
      <c r="BR148" s="712" t="s">
        <v>8</v>
      </c>
      <c r="BS148" s="27" t="s">
        <v>17</v>
      </c>
      <c r="BT148" s="444"/>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8"/>
      <c r="HS148" s="38"/>
      <c r="HT148" s="38"/>
      <c r="HU148" s="38"/>
      <c r="HV148" s="38"/>
      <c r="HW148" s="38"/>
      <c r="HX148" s="38"/>
      <c r="HY148" s="38"/>
      <c r="HZ148" s="38"/>
      <c r="IA148" s="38"/>
      <c r="IB148" s="38"/>
      <c r="IC148" s="38"/>
      <c r="ID148" s="38"/>
      <c r="IE148" s="38"/>
      <c r="IF148" s="38"/>
      <c r="IG148" s="38"/>
      <c r="IH148" s="38"/>
      <c r="II148" s="38"/>
      <c r="IJ148" s="38"/>
      <c r="IK148" s="38"/>
      <c r="IL148" s="38"/>
      <c r="IM148" s="38"/>
      <c r="IN148" s="38"/>
      <c r="IO148" s="38"/>
      <c r="IP148" s="38"/>
      <c r="IQ148" s="38"/>
      <c r="IR148" s="38"/>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38"/>
      <c r="LZ148" s="38"/>
      <c r="MA148" s="38"/>
      <c r="MB148" s="38"/>
      <c r="MC148" s="38"/>
      <c r="MD148" s="38"/>
      <c r="ME148" s="38"/>
      <c r="MF148" s="38"/>
      <c r="MG148" s="38"/>
      <c r="MH148" s="38"/>
      <c r="MI148" s="38"/>
      <c r="MJ148" s="38"/>
      <c r="MK148" s="38"/>
      <c r="ML148" s="38"/>
      <c r="MM148" s="38"/>
      <c r="MN148" s="38"/>
      <c r="MO148" s="38"/>
      <c r="MP148" s="38"/>
      <c r="MQ148" s="38"/>
      <c r="MR148" s="38"/>
      <c r="MS148" s="38"/>
      <c r="MT148" s="38"/>
      <c r="MU148" s="38"/>
      <c r="MV148" s="38"/>
      <c r="MW148" s="38"/>
    </row>
    <row r="149" spans="1:361" s="456" customFormat="1" ht="13.5" hidden="1" customHeight="1" x14ac:dyDescent="0.35">
      <c r="A149" s="683"/>
      <c r="B149" s="65"/>
      <c r="C149" s="168" t="s">
        <v>586</v>
      </c>
      <c r="D149" s="1128"/>
      <c r="E149" s="1164"/>
      <c r="F149" s="1165"/>
      <c r="G149" s="1165"/>
      <c r="H149" s="1165"/>
      <c r="I149" s="1165"/>
      <c r="J149" s="1165"/>
      <c r="K149" s="1165"/>
      <c r="L149" s="1165"/>
      <c r="M149" s="1166"/>
      <c r="N149" s="170"/>
      <c r="O149" s="29"/>
      <c r="P149" s="118"/>
      <c r="Q149" s="170"/>
      <c r="R149" s="29"/>
      <c r="S149" s="29"/>
      <c r="T149" s="118"/>
      <c r="U149" s="120"/>
      <c r="V149" s="30"/>
      <c r="W149" s="30"/>
      <c r="X149" s="193"/>
      <c r="Y149" s="172"/>
      <c r="Z149" s="30"/>
      <c r="AA149" s="30"/>
      <c r="AB149" s="454"/>
      <c r="AC149" s="245"/>
      <c r="AD149" s="86"/>
      <c r="AE149" s="29"/>
      <c r="AF149" s="214"/>
      <c r="AG149" s="214"/>
      <c r="AH149" s="396"/>
      <c r="AI149" s="171"/>
      <c r="AJ149" s="118"/>
      <c r="AK149" s="455"/>
      <c r="AL149" s="120"/>
      <c r="AM149" s="173"/>
      <c r="AN149" s="171"/>
      <c r="AO149" s="171"/>
      <c r="AP149" s="30"/>
      <c r="AQ149" s="173"/>
      <c r="AR149" s="465" t="s">
        <v>8</v>
      </c>
      <c r="AS149" s="20" t="s">
        <v>17</v>
      </c>
      <c r="AT149" s="224" t="s">
        <v>17</v>
      </c>
      <c r="AU149" s="147" t="s">
        <v>8</v>
      </c>
      <c r="AV149" s="112" t="s">
        <v>17</v>
      </c>
      <c r="AW149" s="119" t="s">
        <v>17</v>
      </c>
      <c r="AX149" s="16" t="s">
        <v>181</v>
      </c>
      <c r="AY149" s="526" t="s">
        <v>8</v>
      </c>
      <c r="AZ149" s="112" t="s">
        <v>181</v>
      </c>
      <c r="BA149" s="27" t="s">
        <v>17</v>
      </c>
      <c r="BB149" s="112" t="s">
        <v>181</v>
      </c>
      <c r="BC149" s="718" t="s">
        <v>8</v>
      </c>
      <c r="BD149" s="779" t="s">
        <v>8</v>
      </c>
      <c r="BE149" s="177" t="s">
        <v>8</v>
      </c>
      <c r="BF149" s="377" t="s">
        <v>181</v>
      </c>
      <c r="BG149" s="115" t="s">
        <v>17</v>
      </c>
      <c r="BH149" s="112" t="s">
        <v>181</v>
      </c>
      <c r="BI149" s="379" t="s">
        <v>17</v>
      </c>
      <c r="BJ149" s="718" t="s">
        <v>8</v>
      </c>
      <c r="BK149" s="779" t="s">
        <v>17</v>
      </c>
      <c r="BL149" s="156" t="s">
        <v>8</v>
      </c>
      <c r="BM149" s="377" t="s">
        <v>181</v>
      </c>
      <c r="BN149" s="111" t="s">
        <v>8</v>
      </c>
      <c r="BO149" s="283"/>
      <c r="BP149" s="465"/>
      <c r="BQ149" s="156" t="s">
        <v>8</v>
      </c>
      <c r="BR149" s="712" t="s">
        <v>8</v>
      </c>
      <c r="BS149" s="27" t="s">
        <v>17</v>
      </c>
      <c r="BT149" s="444" t="s">
        <v>588</v>
      </c>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38"/>
      <c r="LZ149" s="38"/>
      <c r="MA149" s="38"/>
      <c r="MB149" s="38"/>
      <c r="MC149" s="38"/>
      <c r="MD149" s="38"/>
      <c r="ME149" s="38"/>
      <c r="MF149" s="38"/>
      <c r="MG149" s="38"/>
      <c r="MH149" s="38"/>
      <c r="MI149" s="38"/>
      <c r="MJ149" s="38"/>
      <c r="MK149" s="38"/>
      <c r="ML149" s="38"/>
      <c r="MM149" s="38"/>
      <c r="MN149" s="38"/>
      <c r="MO149" s="38"/>
      <c r="MP149" s="38"/>
      <c r="MQ149" s="38"/>
      <c r="MR149" s="38"/>
      <c r="MS149" s="38"/>
      <c r="MT149" s="38"/>
      <c r="MU149" s="38"/>
      <c r="MV149" s="38"/>
      <c r="MW149" s="38"/>
    </row>
    <row r="150" spans="1:361" ht="13.5" hidden="1" customHeight="1" x14ac:dyDescent="0.35">
      <c r="A150" s="683"/>
      <c r="B150" s="49"/>
      <c r="C150" s="3" t="s">
        <v>443</v>
      </c>
      <c r="D150" s="1128"/>
      <c r="E150" s="1164"/>
      <c r="F150" s="1165"/>
      <c r="G150" s="1165"/>
      <c r="H150" s="1165"/>
      <c r="I150" s="1165"/>
      <c r="J150" s="1165"/>
      <c r="K150" s="1165"/>
      <c r="L150" s="1165"/>
      <c r="M150" s="1166"/>
      <c r="N150" s="170"/>
      <c r="O150" s="29"/>
      <c r="P150" s="118"/>
      <c r="Q150" s="170"/>
      <c r="R150" s="29"/>
      <c r="S150" s="29"/>
      <c r="T150" s="118"/>
      <c r="U150" s="120"/>
      <c r="V150" s="30"/>
      <c r="W150" s="30"/>
      <c r="X150" s="193"/>
      <c r="Y150" s="172"/>
      <c r="Z150" s="30"/>
      <c r="AA150" s="30"/>
      <c r="AB150" s="30"/>
      <c r="AC150" s="245"/>
      <c r="AD150" s="86"/>
      <c r="AE150" s="29"/>
      <c r="AF150" s="214"/>
      <c r="AG150" s="21" t="s">
        <v>17</v>
      </c>
      <c r="AH150" s="287" t="s">
        <v>17</v>
      </c>
      <c r="AI150" s="287" t="s">
        <v>17</v>
      </c>
      <c r="AJ150" s="114" t="s">
        <v>17</v>
      </c>
      <c r="AK150" s="283" t="s">
        <v>17</v>
      </c>
      <c r="AL150" s="119" t="s">
        <v>8</v>
      </c>
      <c r="AM150" s="36" t="s">
        <v>8</v>
      </c>
      <c r="AN150" s="177" t="s">
        <v>8</v>
      </c>
      <c r="AO150" s="177" t="s">
        <v>8</v>
      </c>
      <c r="AP150" s="13" t="s">
        <v>8</v>
      </c>
      <c r="AQ150" s="36" t="s">
        <v>8</v>
      </c>
      <c r="AR150" s="113" t="s">
        <v>17</v>
      </c>
      <c r="AS150" s="16" t="s">
        <v>17</v>
      </c>
      <c r="AT150" s="177" t="s">
        <v>8</v>
      </c>
      <c r="AU150" s="111" t="s">
        <v>17</v>
      </c>
      <c r="AV150" s="112" t="s">
        <v>17</v>
      </c>
      <c r="AW150" s="111" t="s">
        <v>17</v>
      </c>
      <c r="AX150" s="16" t="s">
        <v>17</v>
      </c>
      <c r="AY150" s="16" t="s">
        <v>17</v>
      </c>
      <c r="AZ150" s="112" t="s">
        <v>8</v>
      </c>
      <c r="BA150" s="26" t="s">
        <v>8</v>
      </c>
      <c r="BB150" s="112" t="s">
        <v>8</v>
      </c>
      <c r="BC150" s="718" t="s">
        <v>17</v>
      </c>
      <c r="BD150" s="779" t="s">
        <v>17</v>
      </c>
      <c r="BE150" s="177" t="s">
        <v>17</v>
      </c>
      <c r="BF150" s="377" t="s">
        <v>8</v>
      </c>
      <c r="BG150" s="119" t="s">
        <v>8</v>
      </c>
      <c r="BH150" s="112" t="s">
        <v>8</v>
      </c>
      <c r="BI150" s="340" t="s">
        <v>8</v>
      </c>
      <c r="BJ150" s="718" t="s">
        <v>17</v>
      </c>
      <c r="BK150" s="779" t="s">
        <v>17</v>
      </c>
      <c r="BL150" s="112" t="s">
        <v>17</v>
      </c>
      <c r="BM150" s="377" t="s">
        <v>8</v>
      </c>
      <c r="BN150" s="718" t="s">
        <v>17</v>
      </c>
      <c r="BO150" s="114"/>
      <c r="BP150" s="113"/>
      <c r="BQ150" s="112" t="s">
        <v>17</v>
      </c>
      <c r="BR150" s="712" t="s">
        <v>17</v>
      </c>
      <c r="BS150" s="26" t="s">
        <v>17</v>
      </c>
      <c r="BT150" s="405"/>
    </row>
    <row r="151" spans="1:361" ht="13.5" hidden="1" customHeight="1" x14ac:dyDescent="0.35">
      <c r="A151" s="683"/>
      <c r="B151" s="49"/>
      <c r="C151" s="168" t="s">
        <v>389</v>
      </c>
      <c r="D151" s="1128"/>
      <c r="E151" s="1164"/>
      <c r="F151" s="1165"/>
      <c r="G151" s="1165"/>
      <c r="H151" s="1165"/>
      <c r="I151" s="1165"/>
      <c r="J151" s="1165"/>
      <c r="K151" s="1165"/>
      <c r="L151" s="1165"/>
      <c r="M151" s="1166"/>
      <c r="N151" s="170"/>
      <c r="O151" s="29"/>
      <c r="P151" s="118"/>
      <c r="Q151" s="170"/>
      <c r="R151" s="29"/>
      <c r="S151" s="29"/>
      <c r="T151" s="118"/>
      <c r="U151" s="120"/>
      <c r="V151" s="30"/>
      <c r="W151" s="30"/>
      <c r="X151" s="193"/>
      <c r="Y151" s="172"/>
      <c r="Z151" s="30"/>
      <c r="AA151" s="30"/>
      <c r="AB151" s="30"/>
      <c r="AC151" s="245"/>
      <c r="AD151" s="83" t="s">
        <v>8</v>
      </c>
      <c r="AE151" s="16" t="s">
        <v>8</v>
      </c>
      <c r="AF151" s="16" t="s">
        <v>8</v>
      </c>
      <c r="AG151" s="16" t="s">
        <v>8</v>
      </c>
      <c r="AH151" s="16" t="s">
        <v>8</v>
      </c>
      <c r="AI151" s="16" t="s">
        <v>8</v>
      </c>
      <c r="AJ151" s="112" t="s">
        <v>8</v>
      </c>
      <c r="AK151" s="112" t="s">
        <v>8</v>
      </c>
      <c r="AL151" s="119" t="s">
        <v>45</v>
      </c>
      <c r="AM151" s="36" t="s">
        <v>45</v>
      </c>
      <c r="AN151" s="177" t="s">
        <v>45</v>
      </c>
      <c r="AO151" s="177" t="s">
        <v>45</v>
      </c>
      <c r="AP151" s="13" t="s">
        <v>45</v>
      </c>
      <c r="AQ151" s="36" t="s">
        <v>45</v>
      </c>
      <c r="AR151" s="111" t="s">
        <v>8</v>
      </c>
      <c r="AS151" s="16" t="s">
        <v>50</v>
      </c>
      <c r="AT151" s="177" t="s">
        <v>50</v>
      </c>
      <c r="AU151" s="111" t="s">
        <v>8</v>
      </c>
      <c r="AV151" s="114" t="s">
        <v>17</v>
      </c>
      <c r="AW151" s="111" t="s">
        <v>17</v>
      </c>
      <c r="AX151" s="20" t="s">
        <v>17</v>
      </c>
      <c r="AY151" s="16" t="s">
        <v>17</v>
      </c>
      <c r="AZ151" s="114" t="s">
        <v>17</v>
      </c>
      <c r="BA151" s="26" t="s">
        <v>17</v>
      </c>
      <c r="BB151" s="114" t="s">
        <v>17</v>
      </c>
      <c r="BC151" s="723" t="s">
        <v>17</v>
      </c>
      <c r="BD151" s="779" t="s">
        <v>17</v>
      </c>
      <c r="BE151" s="177" t="s">
        <v>17</v>
      </c>
      <c r="BF151" s="378" t="s">
        <v>17</v>
      </c>
      <c r="BG151" s="119" t="s">
        <v>17</v>
      </c>
      <c r="BH151" s="114" t="s">
        <v>17</v>
      </c>
      <c r="BI151" s="340" t="s">
        <v>17</v>
      </c>
      <c r="BJ151" s="723" t="s">
        <v>17</v>
      </c>
      <c r="BK151" s="779" t="s">
        <v>17</v>
      </c>
      <c r="BL151" s="112" t="s">
        <v>17</v>
      </c>
      <c r="BM151" s="378" t="s">
        <v>17</v>
      </c>
      <c r="BN151" s="546" t="s">
        <v>17</v>
      </c>
      <c r="BO151" s="114"/>
      <c r="BP151" s="465"/>
      <c r="BQ151" s="112" t="s">
        <v>17</v>
      </c>
      <c r="BR151" s="133" t="s">
        <v>8</v>
      </c>
      <c r="BS151" s="26" t="s">
        <v>50</v>
      </c>
      <c r="BT151" s="405"/>
    </row>
    <row r="152" spans="1:361" ht="13.5" hidden="1" customHeight="1" x14ac:dyDescent="0.35">
      <c r="A152" s="683"/>
      <c r="B152" s="49"/>
      <c r="C152" s="169" t="s">
        <v>426</v>
      </c>
      <c r="D152" s="1128"/>
      <c r="E152" s="1164"/>
      <c r="F152" s="1165"/>
      <c r="G152" s="1165"/>
      <c r="H152" s="1165"/>
      <c r="I152" s="1165"/>
      <c r="J152" s="1165"/>
      <c r="K152" s="1165"/>
      <c r="L152" s="1165"/>
      <c r="M152" s="1166"/>
      <c r="N152" s="170"/>
      <c r="O152" s="29"/>
      <c r="P152" s="118"/>
      <c r="Q152" s="170"/>
      <c r="R152" s="29"/>
      <c r="S152" s="29"/>
      <c r="T152" s="118"/>
      <c r="U152" s="120"/>
      <c r="V152" s="30"/>
      <c r="W152" s="30"/>
      <c r="X152" s="193"/>
      <c r="Y152" s="172"/>
      <c r="Z152" s="30"/>
      <c r="AA152" s="30"/>
      <c r="AB152" s="30"/>
      <c r="AC152" s="245"/>
      <c r="AD152" s="86"/>
      <c r="AE152" s="29"/>
      <c r="AF152" s="29"/>
      <c r="AG152" s="29"/>
      <c r="AH152" s="171"/>
      <c r="AI152" s="29"/>
      <c r="AJ152" s="171"/>
      <c r="AK152" s="118"/>
      <c r="AL152" s="120"/>
      <c r="AM152" s="173"/>
      <c r="AN152" s="171"/>
      <c r="AO152" s="171"/>
      <c r="AP152" s="30"/>
      <c r="AQ152" s="173"/>
      <c r="AR152" s="113" t="s">
        <v>17</v>
      </c>
      <c r="AS152" s="16" t="s">
        <v>17</v>
      </c>
      <c r="AT152" s="177" t="s">
        <v>8</v>
      </c>
      <c r="AU152" s="111" t="s">
        <v>17</v>
      </c>
      <c r="AV152" s="112" t="s">
        <v>17</v>
      </c>
      <c r="AW152" s="111" t="s">
        <v>17</v>
      </c>
      <c r="AX152" s="16" t="s">
        <v>17</v>
      </c>
      <c r="AY152" s="16" t="s">
        <v>17</v>
      </c>
      <c r="AZ152" s="112" t="s">
        <v>8</v>
      </c>
      <c r="BA152" s="27" t="s">
        <v>17</v>
      </c>
      <c r="BB152" s="112" t="s">
        <v>8</v>
      </c>
      <c r="BC152" s="718" t="s">
        <v>17</v>
      </c>
      <c r="BD152" s="779" t="s">
        <v>17</v>
      </c>
      <c r="BE152" s="177" t="s">
        <v>17</v>
      </c>
      <c r="BF152" s="377" t="s">
        <v>8</v>
      </c>
      <c r="BG152" s="115" t="s">
        <v>17</v>
      </c>
      <c r="BH152" s="112" t="s">
        <v>8</v>
      </c>
      <c r="BI152" s="379" t="s">
        <v>17</v>
      </c>
      <c r="BJ152" s="718" t="s">
        <v>17</v>
      </c>
      <c r="BK152" s="779" t="s">
        <v>17</v>
      </c>
      <c r="BL152" s="112" t="s">
        <v>17</v>
      </c>
      <c r="BM152" s="377" t="s">
        <v>8</v>
      </c>
      <c r="BN152" s="718" t="s">
        <v>17</v>
      </c>
      <c r="BO152" s="114"/>
      <c r="BP152" s="113"/>
      <c r="BQ152" s="112" t="s">
        <v>17</v>
      </c>
      <c r="BR152" s="712" t="s">
        <v>17</v>
      </c>
      <c r="BS152" s="26" t="s">
        <v>17</v>
      </c>
      <c r="BT152" s="405"/>
    </row>
    <row r="153" spans="1:361" ht="13.5" hidden="1" customHeight="1" x14ac:dyDescent="0.35">
      <c r="A153" s="683"/>
      <c r="B153" s="49"/>
      <c r="C153" s="3" t="s">
        <v>427</v>
      </c>
      <c r="D153" s="1128"/>
      <c r="E153" s="1164"/>
      <c r="F153" s="1165"/>
      <c r="G153" s="1165"/>
      <c r="H153" s="1165"/>
      <c r="I153" s="1165"/>
      <c r="J153" s="1165"/>
      <c r="K153" s="1165"/>
      <c r="L153" s="1165"/>
      <c r="M153" s="1166"/>
      <c r="N153" s="233" t="s">
        <v>8</v>
      </c>
      <c r="O153" s="16" t="s">
        <v>8</v>
      </c>
      <c r="P153" s="112" t="s">
        <v>8</v>
      </c>
      <c r="Q153" s="233" t="s">
        <v>8</v>
      </c>
      <c r="R153" s="16" t="s">
        <v>8</v>
      </c>
      <c r="S153" s="20" t="s">
        <v>17</v>
      </c>
      <c r="T153" s="114" t="s">
        <v>17</v>
      </c>
      <c r="U153" s="119" t="s">
        <v>8</v>
      </c>
      <c r="V153" s="13" t="s">
        <v>8</v>
      </c>
      <c r="W153" s="13" t="s">
        <v>8</v>
      </c>
      <c r="X153" s="190" t="s">
        <v>17</v>
      </c>
      <c r="Y153" s="101" t="s">
        <v>8</v>
      </c>
      <c r="Z153" s="13" t="s">
        <v>8</v>
      </c>
      <c r="AA153" s="13" t="s">
        <v>8</v>
      </c>
      <c r="AB153" s="13" t="s">
        <v>8</v>
      </c>
      <c r="AC153" s="230" t="s">
        <v>8</v>
      </c>
      <c r="AD153" s="87" t="s">
        <v>8</v>
      </c>
      <c r="AE153" s="13" t="s">
        <v>8</v>
      </c>
      <c r="AF153" s="13" t="s">
        <v>8</v>
      </c>
      <c r="AG153" s="13" t="s">
        <v>8</v>
      </c>
      <c r="AH153" s="36" t="s">
        <v>8</v>
      </c>
      <c r="AI153" s="13" t="s">
        <v>8</v>
      </c>
      <c r="AJ153" s="102" t="s">
        <v>8</v>
      </c>
      <c r="AK153" s="102" t="s">
        <v>8</v>
      </c>
      <c r="AL153" s="119" t="s">
        <v>8</v>
      </c>
      <c r="AM153" s="36" t="s">
        <v>357</v>
      </c>
      <c r="AN153" s="177" t="s">
        <v>357</v>
      </c>
      <c r="AO153" s="177" t="s">
        <v>357</v>
      </c>
      <c r="AP153" s="13" t="s">
        <v>8</v>
      </c>
      <c r="AQ153" s="36" t="s">
        <v>357</v>
      </c>
      <c r="AR153" s="119" t="s">
        <v>8</v>
      </c>
      <c r="AS153" s="16" t="s">
        <v>17</v>
      </c>
      <c r="AT153" s="177" t="s">
        <v>17</v>
      </c>
      <c r="AU153" s="111" t="s">
        <v>8</v>
      </c>
      <c r="AV153" s="112" t="s">
        <v>17</v>
      </c>
      <c r="AW153" s="111" t="s">
        <v>17</v>
      </c>
      <c r="AX153" s="16" t="s">
        <v>17</v>
      </c>
      <c r="AY153" s="16" t="s">
        <v>17</v>
      </c>
      <c r="AZ153" s="112" t="s">
        <v>17</v>
      </c>
      <c r="BA153" s="26" t="s">
        <v>8</v>
      </c>
      <c r="BB153" s="112" t="s">
        <v>17</v>
      </c>
      <c r="BC153" s="722" t="s">
        <v>8</v>
      </c>
      <c r="BD153" s="779" t="s">
        <v>17</v>
      </c>
      <c r="BE153" s="177" t="s">
        <v>17</v>
      </c>
      <c r="BF153" s="377" t="s">
        <v>17</v>
      </c>
      <c r="BG153" s="119" t="s">
        <v>8</v>
      </c>
      <c r="BH153" s="112" t="s">
        <v>17</v>
      </c>
      <c r="BI153" s="340" t="s">
        <v>8</v>
      </c>
      <c r="BJ153" s="722" t="s">
        <v>8</v>
      </c>
      <c r="BK153" s="779" t="s">
        <v>8</v>
      </c>
      <c r="BL153" s="112" t="s">
        <v>17</v>
      </c>
      <c r="BM153" s="377" t="s">
        <v>17</v>
      </c>
      <c r="BN153" s="722" t="s">
        <v>8</v>
      </c>
      <c r="BO153" s="114"/>
      <c r="BP153" s="115"/>
      <c r="BQ153" s="112" t="s">
        <v>17</v>
      </c>
      <c r="BR153" s="133" t="s">
        <v>8</v>
      </c>
      <c r="BS153" s="26" t="s">
        <v>17</v>
      </c>
      <c r="BT153" s="405"/>
    </row>
    <row r="154" spans="1:361" ht="13.5" hidden="1" customHeight="1" x14ac:dyDescent="0.35">
      <c r="A154" s="683"/>
      <c r="B154" s="49"/>
      <c r="C154" s="5" t="s">
        <v>1090</v>
      </c>
      <c r="D154" s="1128"/>
      <c r="E154" s="1164"/>
      <c r="F154" s="1165"/>
      <c r="G154" s="1165"/>
      <c r="H154" s="1165"/>
      <c r="I154" s="1165"/>
      <c r="J154" s="1165"/>
      <c r="K154" s="1165"/>
      <c r="L154" s="1165"/>
      <c r="M154" s="1166"/>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29"/>
      <c r="AP154" s="30"/>
      <c r="AQ154" s="30"/>
      <c r="AR154" s="30"/>
      <c r="AS154" s="29"/>
      <c r="AT154" s="396"/>
      <c r="AU154" s="120"/>
      <c r="AV154" s="118"/>
      <c r="AW154" s="120"/>
      <c r="AX154" s="29"/>
      <c r="AY154" s="29"/>
      <c r="AZ154" s="455"/>
      <c r="BA154" s="334"/>
      <c r="BB154" s="118"/>
      <c r="BC154" s="722" t="s">
        <v>17</v>
      </c>
      <c r="BD154" s="779" t="s">
        <v>8</v>
      </c>
      <c r="BE154" s="177" t="s">
        <v>17</v>
      </c>
      <c r="BF154" s="377" t="s">
        <v>17</v>
      </c>
      <c r="BG154" s="465" t="s">
        <v>8</v>
      </c>
      <c r="BH154" s="283" t="s">
        <v>17</v>
      </c>
      <c r="BI154" s="393" t="s">
        <v>8</v>
      </c>
      <c r="BJ154" s="722" t="s">
        <v>17</v>
      </c>
      <c r="BK154" s="779" t="s">
        <v>17</v>
      </c>
      <c r="BL154" s="112" t="s">
        <v>17</v>
      </c>
      <c r="BM154" s="377" t="s">
        <v>17</v>
      </c>
      <c r="BN154" s="521" t="s">
        <v>17</v>
      </c>
      <c r="BO154" s="114"/>
      <c r="BP154" s="115"/>
      <c r="BQ154" s="112" t="s">
        <v>17</v>
      </c>
      <c r="BR154" s="334"/>
      <c r="BS154" s="334"/>
      <c r="BT154" s="405"/>
    </row>
    <row r="155" spans="1:361" ht="13.5" hidden="1" customHeight="1" x14ac:dyDescent="0.35">
      <c r="A155" s="683"/>
      <c r="B155" s="49"/>
      <c r="C155" s="5" t="s">
        <v>1089</v>
      </c>
      <c r="D155" s="1128"/>
      <c r="E155" s="1164"/>
      <c r="F155" s="1165"/>
      <c r="G155" s="1165"/>
      <c r="H155" s="1165"/>
      <c r="I155" s="1165"/>
      <c r="J155" s="1165"/>
      <c r="K155" s="1165"/>
      <c r="L155" s="1165"/>
      <c r="M155" s="1166"/>
      <c r="N155" s="170"/>
      <c r="O155" s="29"/>
      <c r="P155" s="118"/>
      <c r="Q155" s="170"/>
      <c r="R155" s="29"/>
      <c r="S155" s="29"/>
      <c r="T155" s="515"/>
      <c r="U155" s="172"/>
      <c r="V155" s="30"/>
      <c r="W155" s="30"/>
      <c r="X155" s="593"/>
      <c r="Y155" s="172"/>
      <c r="Z155" s="30"/>
      <c r="AA155" s="30"/>
      <c r="AB155" s="30"/>
      <c r="AC155" s="401"/>
      <c r="AD155" s="401"/>
      <c r="AE155" s="30"/>
      <c r="AF155" s="30"/>
      <c r="AG155" s="30"/>
      <c r="AH155" s="173"/>
      <c r="AI155" s="30"/>
      <c r="AJ155" s="121"/>
      <c r="AK155" s="121"/>
      <c r="AL155" s="120"/>
      <c r="AM155" s="30"/>
      <c r="AN155" s="29"/>
      <c r="AO155" s="29"/>
      <c r="AP155" s="30"/>
      <c r="AQ155" s="30"/>
      <c r="AR155" s="30"/>
      <c r="AS155" s="29"/>
      <c r="AT155" s="396"/>
      <c r="AU155" s="120"/>
      <c r="AV155" s="118"/>
      <c r="AW155" s="120"/>
      <c r="AX155" s="29"/>
      <c r="AY155" s="29"/>
      <c r="AZ155" s="455"/>
      <c r="BA155" s="334"/>
      <c r="BB155" s="118"/>
      <c r="BC155" s="722" t="s">
        <v>17</v>
      </c>
      <c r="BD155" s="779" t="s">
        <v>17</v>
      </c>
      <c r="BE155" s="177" t="s">
        <v>17</v>
      </c>
      <c r="BF155" s="377" t="s">
        <v>17</v>
      </c>
      <c r="BG155" s="465" t="s">
        <v>8</v>
      </c>
      <c r="BH155" s="283" t="s">
        <v>17</v>
      </c>
      <c r="BI155" s="429"/>
      <c r="BJ155" s="722" t="s">
        <v>17</v>
      </c>
      <c r="BK155" s="779" t="s">
        <v>1334</v>
      </c>
      <c r="BL155" s="112" t="s">
        <v>17</v>
      </c>
      <c r="BM155" s="377" t="s">
        <v>17</v>
      </c>
      <c r="BN155" s="521" t="s">
        <v>17</v>
      </c>
      <c r="BO155" s="114"/>
      <c r="BP155" s="115"/>
      <c r="BQ155" s="112" t="s">
        <v>17</v>
      </c>
      <c r="BR155" s="334"/>
      <c r="BS155" s="334"/>
      <c r="BT155" s="405"/>
    </row>
    <row r="156" spans="1:361" ht="50.5" hidden="1" customHeight="1" x14ac:dyDescent="0.35">
      <c r="A156" s="683"/>
      <c r="B156" s="49"/>
      <c r="C156" s="1100" t="s">
        <v>1333</v>
      </c>
      <c r="D156" s="1128"/>
      <c r="E156" s="1164"/>
      <c r="F156" s="1165"/>
      <c r="G156" s="1165"/>
      <c r="H156" s="1165"/>
      <c r="I156" s="1165"/>
      <c r="J156" s="1165"/>
      <c r="K156" s="1165"/>
      <c r="L156" s="1165"/>
      <c r="M156" s="1166"/>
      <c r="N156" s="170"/>
      <c r="O156" s="29"/>
      <c r="P156" s="118"/>
      <c r="Q156" s="170"/>
      <c r="R156" s="29"/>
      <c r="S156" s="29"/>
      <c r="T156" s="515"/>
      <c r="U156" s="172"/>
      <c r="V156" s="30"/>
      <c r="W156" s="30"/>
      <c r="X156" s="593"/>
      <c r="Y156" s="172"/>
      <c r="Z156" s="30"/>
      <c r="AA156" s="30"/>
      <c r="AB156" s="30"/>
      <c r="AC156" s="401"/>
      <c r="AD156" s="401"/>
      <c r="AE156" s="30"/>
      <c r="AF156" s="30"/>
      <c r="AG156" s="30"/>
      <c r="AH156" s="173"/>
      <c r="AI156" s="30"/>
      <c r="AJ156" s="121"/>
      <c r="AK156" s="121"/>
      <c r="AL156" s="120"/>
      <c r="AM156" s="30"/>
      <c r="AN156" s="29"/>
      <c r="AO156" s="346"/>
      <c r="AP156" s="30"/>
      <c r="AQ156" s="30"/>
      <c r="AR156" s="30"/>
      <c r="AS156" s="29"/>
      <c r="AT156" s="396"/>
      <c r="AU156" s="120"/>
      <c r="AV156" s="118"/>
      <c r="AW156" s="120"/>
      <c r="AX156" s="29"/>
      <c r="AY156" s="29"/>
      <c r="AZ156" s="455"/>
      <c r="BA156" s="334"/>
      <c r="BB156" s="118"/>
      <c r="BC156" s="723" t="s">
        <v>17</v>
      </c>
      <c r="BD156" s="779" t="s">
        <v>1334</v>
      </c>
      <c r="BE156" s="177" t="s">
        <v>17</v>
      </c>
      <c r="BF156" s="377" t="s">
        <v>17</v>
      </c>
      <c r="BG156" s="465" t="s">
        <v>17</v>
      </c>
      <c r="BH156" s="283" t="s">
        <v>17</v>
      </c>
      <c r="BI156" s="378" t="s">
        <v>17</v>
      </c>
      <c r="BJ156" s="723" t="s">
        <v>17</v>
      </c>
      <c r="BK156" s="783" t="s">
        <v>1512</v>
      </c>
      <c r="BL156" s="112" t="s">
        <v>17</v>
      </c>
      <c r="BM156" s="377" t="s">
        <v>17</v>
      </c>
      <c r="BN156" s="523" t="s">
        <v>17</v>
      </c>
      <c r="BO156" s="114"/>
      <c r="BP156" s="465"/>
      <c r="BQ156" s="112" t="s">
        <v>17</v>
      </c>
      <c r="BR156" s="334"/>
      <c r="BS156" s="334"/>
      <c r="BT156" s="405"/>
    </row>
    <row r="157" spans="1:361" ht="13.5" hidden="1" customHeight="1" x14ac:dyDescent="0.35">
      <c r="A157" s="683"/>
      <c r="B157" s="241"/>
      <c r="C157" s="169" t="s">
        <v>1288</v>
      </c>
      <c r="D157" s="1128"/>
      <c r="E157" s="1164"/>
      <c r="F157" s="1165"/>
      <c r="G157" s="1165"/>
      <c r="H157" s="1165"/>
      <c r="I157" s="1165"/>
      <c r="J157" s="1165"/>
      <c r="K157" s="1165"/>
      <c r="L157" s="1165"/>
      <c r="M157" s="1166"/>
      <c r="N157" s="233" t="s">
        <v>8</v>
      </c>
      <c r="O157" s="16" t="s">
        <v>8</v>
      </c>
      <c r="P157" s="112" t="s">
        <v>8</v>
      </c>
      <c r="Q157" s="233" t="s">
        <v>8</v>
      </c>
      <c r="R157" s="16" t="s">
        <v>8</v>
      </c>
      <c r="S157" s="16" t="s">
        <v>8</v>
      </c>
      <c r="T157" s="83" t="s">
        <v>8</v>
      </c>
      <c r="U157" s="233" t="s">
        <v>8</v>
      </c>
      <c r="V157" s="16" t="s">
        <v>8</v>
      </c>
      <c r="W157" s="16" t="s">
        <v>8</v>
      </c>
      <c r="X157" s="83" t="s">
        <v>8</v>
      </c>
      <c r="Y157" s="233" t="s">
        <v>8</v>
      </c>
      <c r="Z157" s="16" t="s">
        <v>8</v>
      </c>
      <c r="AA157" s="16" t="s">
        <v>8</v>
      </c>
      <c r="AB157" s="16" t="s">
        <v>8</v>
      </c>
      <c r="AC157" s="83" t="s">
        <v>8</v>
      </c>
      <c r="AD157" s="233" t="s">
        <v>8</v>
      </c>
      <c r="AE157" s="16" t="s">
        <v>8</v>
      </c>
      <c r="AF157" s="16" t="s">
        <v>8</v>
      </c>
      <c r="AG157" s="16" t="s">
        <v>8</v>
      </c>
      <c r="AH157" s="16" t="s">
        <v>8</v>
      </c>
      <c r="AI157" s="16" t="s">
        <v>8</v>
      </c>
      <c r="AJ157" s="112" t="s">
        <v>8</v>
      </c>
      <c r="AK157" s="112" t="s">
        <v>8</v>
      </c>
      <c r="AL157" s="294" t="s">
        <v>17</v>
      </c>
      <c r="AM157" s="309" t="s">
        <v>17</v>
      </c>
      <c r="AN157" s="309" t="s">
        <v>17</v>
      </c>
      <c r="AO157" s="1029" t="s">
        <v>17</v>
      </c>
      <c r="AP157" s="594" t="s">
        <v>17</v>
      </c>
      <c r="AQ157" s="309" t="s">
        <v>17</v>
      </c>
      <c r="AR157" s="292" t="s">
        <v>8</v>
      </c>
      <c r="AS157" s="16" t="s">
        <v>17</v>
      </c>
      <c r="AT157" s="177" t="s">
        <v>17</v>
      </c>
      <c r="AU157" s="111" t="s">
        <v>8</v>
      </c>
      <c r="AV157" s="112" t="s">
        <v>17</v>
      </c>
      <c r="AW157" s="111" t="s">
        <v>8</v>
      </c>
      <c r="AX157" s="16" t="s">
        <v>17</v>
      </c>
      <c r="AY157" s="526" t="s">
        <v>8</v>
      </c>
      <c r="AZ157" s="112" t="s">
        <v>17</v>
      </c>
      <c r="BA157" s="949" t="s">
        <v>17</v>
      </c>
      <c r="BB157" s="112" t="s">
        <v>17</v>
      </c>
      <c r="BC157" s="718" t="s">
        <v>8</v>
      </c>
      <c r="BD157" s="779" t="s">
        <v>17</v>
      </c>
      <c r="BE157" s="794" t="s">
        <v>8</v>
      </c>
      <c r="BF157" s="377" t="s">
        <v>17</v>
      </c>
      <c r="BG157" s="294" t="s">
        <v>17</v>
      </c>
      <c r="BH157" s="112" t="s">
        <v>17</v>
      </c>
      <c r="BI157" s="885" t="s">
        <v>17</v>
      </c>
      <c r="BJ157" s="718" t="s">
        <v>8</v>
      </c>
      <c r="BK157" s="779" t="s">
        <v>17</v>
      </c>
      <c r="BL157" s="913" t="s">
        <v>8</v>
      </c>
      <c r="BM157" s="377" t="s">
        <v>17</v>
      </c>
      <c r="BN157" s="718" t="s">
        <v>8</v>
      </c>
      <c r="BO157" s="114"/>
      <c r="BP157" s="113"/>
      <c r="BQ157" s="913" t="s">
        <v>8</v>
      </c>
      <c r="BR157" s="496" t="s">
        <v>8</v>
      </c>
      <c r="BS157" s="26" t="s">
        <v>17</v>
      </c>
      <c r="BT157" s="405"/>
    </row>
    <row r="158" spans="1:361" ht="13.5" hidden="1" customHeight="1" x14ac:dyDescent="0.35">
      <c r="A158" s="683"/>
      <c r="B158" s="48"/>
      <c r="C158" s="3" t="s">
        <v>1289</v>
      </c>
      <c r="D158" s="1128"/>
      <c r="E158" s="1164"/>
      <c r="F158" s="1165"/>
      <c r="G158" s="1165"/>
      <c r="H158" s="1165"/>
      <c r="I158" s="1165"/>
      <c r="J158" s="1165"/>
      <c r="K158" s="1165"/>
      <c r="L158" s="1165"/>
      <c r="M158" s="1166"/>
      <c r="N158" s="170"/>
      <c r="O158" s="29"/>
      <c r="P158" s="118"/>
      <c r="Q158" s="170"/>
      <c r="R158" s="29"/>
      <c r="S158" s="29"/>
      <c r="T158" s="118"/>
      <c r="U158" s="119">
        <v>1</v>
      </c>
      <c r="V158" s="13">
        <v>1</v>
      </c>
      <c r="W158" s="13">
        <v>1</v>
      </c>
      <c r="X158" s="190">
        <v>1</v>
      </c>
      <c r="Y158" s="101">
        <v>1</v>
      </c>
      <c r="Z158" s="13">
        <v>1</v>
      </c>
      <c r="AA158" s="13">
        <v>1</v>
      </c>
      <c r="AB158" s="13">
        <v>1</v>
      </c>
      <c r="AC158" s="230">
        <v>1</v>
      </c>
      <c r="AD158" s="87">
        <v>1</v>
      </c>
      <c r="AE158" s="13">
        <v>1</v>
      </c>
      <c r="AF158" s="13">
        <v>1</v>
      </c>
      <c r="AG158" s="13">
        <v>1</v>
      </c>
      <c r="AH158" s="36">
        <v>1</v>
      </c>
      <c r="AI158" s="13">
        <v>1</v>
      </c>
      <c r="AJ158" s="102">
        <v>1</v>
      </c>
      <c r="AK158" s="102">
        <v>1</v>
      </c>
      <c r="AL158" s="119">
        <v>1</v>
      </c>
      <c r="AM158" s="36">
        <v>1</v>
      </c>
      <c r="AN158" s="177">
        <v>1</v>
      </c>
      <c r="AO158" s="177">
        <v>1</v>
      </c>
      <c r="AP158" s="13">
        <v>1</v>
      </c>
      <c r="AQ158" s="36">
        <v>1</v>
      </c>
      <c r="AR158" s="119">
        <v>1</v>
      </c>
      <c r="AS158" s="16">
        <v>1</v>
      </c>
      <c r="AT158" s="177">
        <v>1</v>
      </c>
      <c r="AU158" s="119">
        <v>1</v>
      </c>
      <c r="AV158" s="112">
        <v>1</v>
      </c>
      <c r="AW158" s="119">
        <v>1</v>
      </c>
      <c r="AX158" s="16">
        <v>1</v>
      </c>
      <c r="AY158" s="16">
        <v>1</v>
      </c>
      <c r="AZ158" s="112">
        <v>1</v>
      </c>
      <c r="BA158" s="26">
        <v>1</v>
      </c>
      <c r="BB158" s="112">
        <v>1</v>
      </c>
      <c r="BC158" s="722">
        <v>1</v>
      </c>
      <c r="BD158" s="779" t="s">
        <v>673</v>
      </c>
      <c r="BE158" s="794" t="s">
        <v>673</v>
      </c>
      <c r="BF158" s="377">
        <v>1</v>
      </c>
      <c r="BG158" s="119">
        <v>1</v>
      </c>
      <c r="BH158" s="112">
        <v>1</v>
      </c>
      <c r="BI158" s="340">
        <v>1</v>
      </c>
      <c r="BJ158" s="722">
        <v>1</v>
      </c>
      <c r="BK158" s="779" t="s">
        <v>673</v>
      </c>
      <c r="BL158" s="913" t="s">
        <v>673</v>
      </c>
      <c r="BM158" s="377">
        <v>1</v>
      </c>
      <c r="BN158" s="722">
        <v>1</v>
      </c>
      <c r="BO158" s="114"/>
      <c r="BP158" s="115"/>
      <c r="BQ158" s="913" t="s">
        <v>673</v>
      </c>
      <c r="BR158" s="133">
        <v>1</v>
      </c>
      <c r="BS158" s="26">
        <v>1</v>
      </c>
      <c r="BT158" s="405" t="s">
        <v>681</v>
      </c>
    </row>
    <row r="159" spans="1:361" ht="13.5" hidden="1" customHeight="1" thickTop="1" x14ac:dyDescent="0.35">
      <c r="A159" s="683"/>
      <c r="B159" s="47"/>
      <c r="C159" s="3" t="s">
        <v>307</v>
      </c>
      <c r="D159" s="1128"/>
      <c r="E159" s="1164"/>
      <c r="F159" s="1165"/>
      <c r="G159" s="1165"/>
      <c r="H159" s="1165"/>
      <c r="I159" s="1165"/>
      <c r="J159" s="1165"/>
      <c r="K159" s="1165"/>
      <c r="L159" s="1165"/>
      <c r="M159" s="1166"/>
      <c r="N159" s="111" t="s">
        <v>296</v>
      </c>
      <c r="O159" s="16" t="s">
        <v>296</v>
      </c>
      <c r="P159" s="112" t="s">
        <v>296</v>
      </c>
      <c r="Q159" s="111" t="s">
        <v>296</v>
      </c>
      <c r="R159" s="16" t="s">
        <v>296</v>
      </c>
      <c r="S159" s="20" t="s">
        <v>296</v>
      </c>
      <c r="T159" s="114" t="s">
        <v>296</v>
      </c>
      <c r="U159" s="119" t="s">
        <v>294</v>
      </c>
      <c r="V159" s="13" t="s">
        <v>294</v>
      </c>
      <c r="W159" s="13" t="s">
        <v>296</v>
      </c>
      <c r="X159" s="190" t="s">
        <v>296</v>
      </c>
      <c r="Y159" s="13" t="s">
        <v>294</v>
      </c>
      <c r="Z159" s="13" t="s">
        <v>294</v>
      </c>
      <c r="AA159" s="13" t="s">
        <v>294</v>
      </c>
      <c r="AB159" s="13" t="s">
        <v>294</v>
      </c>
      <c r="AC159" s="102" t="s">
        <v>294</v>
      </c>
      <c r="AD159" s="85" t="s">
        <v>294</v>
      </c>
      <c r="AE159" s="19" t="s">
        <v>294</v>
      </c>
      <c r="AF159" s="13" t="s">
        <v>294</v>
      </c>
      <c r="AG159" s="19" t="s">
        <v>296</v>
      </c>
      <c r="AH159" s="179" t="s">
        <v>295</v>
      </c>
      <c r="AI159" s="19" t="s">
        <v>294</v>
      </c>
      <c r="AJ159" s="116" t="s">
        <v>294</v>
      </c>
      <c r="AK159" s="116" t="s">
        <v>294</v>
      </c>
      <c r="AL159" s="115" t="s">
        <v>296</v>
      </c>
      <c r="AM159" s="179" t="s">
        <v>296</v>
      </c>
      <c r="AN159" s="224" t="s">
        <v>296</v>
      </c>
      <c r="AO159" s="177" t="s">
        <v>296</v>
      </c>
      <c r="AP159" s="19" t="s">
        <v>296</v>
      </c>
      <c r="AQ159" s="179" t="s">
        <v>296</v>
      </c>
      <c r="AR159" s="113" t="s">
        <v>1101</v>
      </c>
      <c r="AS159" s="20" t="s">
        <v>296</v>
      </c>
      <c r="AT159" s="224" t="s">
        <v>17</v>
      </c>
      <c r="AU159" s="712" t="s">
        <v>612</v>
      </c>
      <c r="AV159" s="134" t="s">
        <v>600</v>
      </c>
      <c r="AW159" s="463" t="s">
        <v>296</v>
      </c>
      <c r="AX159" s="26" t="s">
        <v>601</v>
      </c>
      <c r="AY159" s="27" t="s">
        <v>601</v>
      </c>
      <c r="AZ159" s="112" t="s">
        <v>17</v>
      </c>
      <c r="BA159" s="27" t="s">
        <v>296</v>
      </c>
      <c r="BB159" s="112" t="s">
        <v>17</v>
      </c>
      <c r="BC159" s="767" t="s">
        <v>1309</v>
      </c>
      <c r="BD159" s="795" t="s">
        <v>296</v>
      </c>
      <c r="BE159" s="851" t="s">
        <v>296</v>
      </c>
      <c r="BF159" s="377" t="s">
        <v>17</v>
      </c>
      <c r="BG159" s="115" t="s">
        <v>296</v>
      </c>
      <c r="BH159" s="112" t="s">
        <v>17</v>
      </c>
      <c r="BI159" s="379" t="s">
        <v>296</v>
      </c>
      <c r="BJ159" s="767" t="s">
        <v>1309</v>
      </c>
      <c r="BK159" s="518" t="s">
        <v>1502</v>
      </c>
      <c r="BL159" s="915" t="s">
        <v>296</v>
      </c>
      <c r="BM159" s="518" t="s">
        <v>1102</v>
      </c>
      <c r="BN159" s="1023" t="s">
        <v>1485</v>
      </c>
      <c r="BO159" s="937"/>
      <c r="BP159" s="767"/>
      <c r="BQ159" s="915" t="s">
        <v>296</v>
      </c>
      <c r="BR159" s="712" t="s">
        <v>1101</v>
      </c>
      <c r="BS159" s="27" t="s">
        <v>296</v>
      </c>
      <c r="BT159" s="412" t="s">
        <v>1308</v>
      </c>
    </row>
    <row r="160" spans="1:361" ht="13.5" hidden="1" customHeight="1" x14ac:dyDescent="0.35">
      <c r="A160" s="683"/>
      <c r="B160" s="47"/>
      <c r="C160" s="3" t="s">
        <v>308</v>
      </c>
      <c r="D160" s="1128"/>
      <c r="E160" s="1164"/>
      <c r="F160" s="1165"/>
      <c r="G160" s="1165"/>
      <c r="H160" s="1165"/>
      <c r="I160" s="1165"/>
      <c r="J160" s="1165"/>
      <c r="K160" s="1165"/>
      <c r="L160" s="1165"/>
      <c r="M160" s="1166"/>
      <c r="N160" s="111" t="s">
        <v>296</v>
      </c>
      <c r="O160" s="16" t="s">
        <v>296</v>
      </c>
      <c r="P160" s="112" t="s">
        <v>296</v>
      </c>
      <c r="Q160" s="111" t="s">
        <v>3</v>
      </c>
      <c r="R160" s="16" t="s">
        <v>3</v>
      </c>
      <c r="S160" s="20" t="s">
        <v>1</v>
      </c>
      <c r="T160" s="114" t="s">
        <v>1</v>
      </c>
      <c r="U160" s="119" t="s">
        <v>296</v>
      </c>
      <c r="V160" s="13" t="s">
        <v>296</v>
      </c>
      <c r="W160" s="13" t="s">
        <v>3</v>
      </c>
      <c r="X160" s="190" t="s">
        <v>1</v>
      </c>
      <c r="Y160" s="119" t="s">
        <v>296</v>
      </c>
      <c r="Z160" s="13" t="s">
        <v>296</v>
      </c>
      <c r="AA160" s="13" t="s">
        <v>296</v>
      </c>
      <c r="AB160" s="13" t="s">
        <v>296</v>
      </c>
      <c r="AC160" s="102" t="s">
        <v>296</v>
      </c>
      <c r="AD160" s="85" t="s">
        <v>296</v>
      </c>
      <c r="AE160" s="19" t="s">
        <v>296</v>
      </c>
      <c r="AF160" s="13" t="s">
        <v>296</v>
      </c>
      <c r="AG160" s="19" t="s">
        <v>296</v>
      </c>
      <c r="AH160" s="179" t="s">
        <v>296</v>
      </c>
      <c r="AI160" s="19" t="s">
        <v>296</v>
      </c>
      <c r="AJ160" s="116" t="s">
        <v>296</v>
      </c>
      <c r="AK160" s="116" t="s">
        <v>296</v>
      </c>
      <c r="AL160" s="115" t="s">
        <v>296</v>
      </c>
      <c r="AM160" s="179" t="s">
        <v>296</v>
      </c>
      <c r="AN160" s="224" t="s">
        <v>296</v>
      </c>
      <c r="AO160" s="177" t="s">
        <v>296</v>
      </c>
      <c r="AP160" s="19" t="s">
        <v>296</v>
      </c>
      <c r="AQ160" s="179" t="s">
        <v>296</v>
      </c>
      <c r="AR160" s="113" t="s">
        <v>1102</v>
      </c>
      <c r="AS160" s="20" t="s">
        <v>1107</v>
      </c>
      <c r="AT160" s="224" t="s">
        <v>17</v>
      </c>
      <c r="AU160" s="712" t="s">
        <v>601</v>
      </c>
      <c r="AV160" s="134" t="s">
        <v>602</v>
      </c>
      <c r="AW160" s="133" t="s">
        <v>600</v>
      </c>
      <c r="AX160" s="26" t="s">
        <v>605</v>
      </c>
      <c r="AY160" s="824" t="s">
        <v>652</v>
      </c>
      <c r="AZ160" s="112" t="s">
        <v>17</v>
      </c>
      <c r="BA160" s="27" t="s">
        <v>296</v>
      </c>
      <c r="BB160" s="112" t="s">
        <v>17</v>
      </c>
      <c r="BC160" s="767" t="s">
        <v>1310</v>
      </c>
      <c r="BD160" s="796" t="s">
        <v>1316</v>
      </c>
      <c r="BE160" s="851" t="s">
        <v>1319</v>
      </c>
      <c r="BF160" s="377" t="s">
        <v>17</v>
      </c>
      <c r="BG160" s="115" t="s">
        <v>296</v>
      </c>
      <c r="BH160" s="112" t="s">
        <v>17</v>
      </c>
      <c r="BI160" s="379" t="s">
        <v>296</v>
      </c>
      <c r="BJ160" s="767" t="s">
        <v>1310</v>
      </c>
      <c r="BK160" s="1072" t="s">
        <v>1316</v>
      </c>
      <c r="BL160" s="915" t="s">
        <v>1319</v>
      </c>
      <c r="BM160" s="377" t="s">
        <v>17</v>
      </c>
      <c r="BN160" s="1023" t="s">
        <v>1486</v>
      </c>
      <c r="BO160" s="933"/>
      <c r="BP160" s="767"/>
      <c r="BQ160" s="915" t="s">
        <v>1319</v>
      </c>
      <c r="BR160" s="712" t="s">
        <v>1102</v>
      </c>
      <c r="BS160" s="27" t="s">
        <v>1107</v>
      </c>
      <c r="BT160" s="405"/>
    </row>
    <row r="161" spans="1:72" ht="13.5" hidden="1" customHeight="1" x14ac:dyDescent="0.35">
      <c r="A161" s="683"/>
      <c r="B161" s="47"/>
      <c r="C161" s="3" t="s">
        <v>309</v>
      </c>
      <c r="D161" s="1128"/>
      <c r="E161" s="1164"/>
      <c r="F161" s="1165"/>
      <c r="G161" s="1165"/>
      <c r="H161" s="1165"/>
      <c r="I161" s="1165"/>
      <c r="J161" s="1165"/>
      <c r="K161" s="1165"/>
      <c r="L161" s="1165"/>
      <c r="M161" s="1166"/>
      <c r="N161" s="111" t="s">
        <v>296</v>
      </c>
      <c r="O161" s="16" t="s">
        <v>296</v>
      </c>
      <c r="P161" s="112" t="s">
        <v>296</v>
      </c>
      <c r="Q161" s="111" t="s">
        <v>296</v>
      </c>
      <c r="R161" s="16" t="s">
        <v>296</v>
      </c>
      <c r="S161" s="20" t="s">
        <v>296</v>
      </c>
      <c r="T161" s="114" t="s">
        <v>296</v>
      </c>
      <c r="U161" s="119" t="s">
        <v>297</v>
      </c>
      <c r="V161" s="13" t="s">
        <v>297</v>
      </c>
      <c r="W161" s="13" t="s">
        <v>297</v>
      </c>
      <c r="X161" s="190" t="s">
        <v>297</v>
      </c>
      <c r="Y161" s="119" t="s">
        <v>297</v>
      </c>
      <c r="Z161" s="13" t="s">
        <v>297</v>
      </c>
      <c r="AA161" s="13" t="s">
        <v>297</v>
      </c>
      <c r="AB161" s="13" t="s">
        <v>297</v>
      </c>
      <c r="AC161" s="102" t="s">
        <v>297</v>
      </c>
      <c r="AD161" s="85" t="s">
        <v>297</v>
      </c>
      <c r="AE161" s="19" t="s">
        <v>297</v>
      </c>
      <c r="AF161" s="13" t="s">
        <v>297</v>
      </c>
      <c r="AG161" s="19" t="s">
        <v>297</v>
      </c>
      <c r="AH161" s="179" t="s">
        <v>297</v>
      </c>
      <c r="AI161" s="19" t="s">
        <v>297</v>
      </c>
      <c r="AJ161" s="116" t="s">
        <v>297</v>
      </c>
      <c r="AK161" s="116" t="s">
        <v>297</v>
      </c>
      <c r="AL161" s="115" t="s">
        <v>296</v>
      </c>
      <c r="AM161" s="179" t="s">
        <v>296</v>
      </c>
      <c r="AN161" s="224" t="s">
        <v>296</v>
      </c>
      <c r="AO161" s="177" t="s">
        <v>296</v>
      </c>
      <c r="AP161" s="19" t="s">
        <v>296</v>
      </c>
      <c r="AQ161" s="179" t="s">
        <v>296</v>
      </c>
      <c r="AR161" s="113" t="s">
        <v>1103</v>
      </c>
      <c r="AS161" s="20" t="s">
        <v>1103</v>
      </c>
      <c r="AT161" s="224" t="s">
        <v>17</v>
      </c>
      <c r="AU161" s="712" t="s">
        <v>603</v>
      </c>
      <c r="AV161" s="134" t="s">
        <v>603</v>
      </c>
      <c r="AW161" s="133" t="s">
        <v>604</v>
      </c>
      <c r="AX161" s="26" t="s">
        <v>604</v>
      </c>
      <c r="AY161" s="27" t="s">
        <v>604</v>
      </c>
      <c r="AZ161" s="112" t="s">
        <v>17</v>
      </c>
      <c r="BA161" s="27" t="s">
        <v>296</v>
      </c>
      <c r="BB161" s="112" t="s">
        <v>17</v>
      </c>
      <c r="BC161" s="767" t="s">
        <v>1311</v>
      </c>
      <c r="BD161" s="796" t="s">
        <v>1317</v>
      </c>
      <c r="BE161" s="851" t="s">
        <v>296</v>
      </c>
      <c r="BF161" s="377" t="s">
        <v>17</v>
      </c>
      <c r="BG161" s="115" t="s">
        <v>296</v>
      </c>
      <c r="BH161" s="112" t="s">
        <v>17</v>
      </c>
      <c r="BI161" s="379" t="s">
        <v>296</v>
      </c>
      <c r="BJ161" s="767" t="s">
        <v>1311</v>
      </c>
      <c r="BK161" s="1072" t="s">
        <v>1317</v>
      </c>
      <c r="BL161" s="915" t="s">
        <v>296</v>
      </c>
      <c r="BM161" s="377" t="s">
        <v>17</v>
      </c>
      <c r="BN161" s="1023" t="s">
        <v>297</v>
      </c>
      <c r="BO161" s="933"/>
      <c r="BP161" s="767"/>
      <c r="BQ161" s="915" t="s">
        <v>296</v>
      </c>
      <c r="BR161" s="712" t="s">
        <v>1103</v>
      </c>
      <c r="BS161" s="27" t="s">
        <v>1103</v>
      </c>
      <c r="BT161" s="405"/>
    </row>
    <row r="162" spans="1:72" ht="13.5" hidden="1" customHeight="1" x14ac:dyDescent="0.35">
      <c r="A162" s="683"/>
      <c r="B162" s="47"/>
      <c r="C162" s="3" t="s">
        <v>310</v>
      </c>
      <c r="D162" s="1128"/>
      <c r="E162" s="1164"/>
      <c r="F162" s="1165"/>
      <c r="G162" s="1165"/>
      <c r="H162" s="1165"/>
      <c r="I162" s="1165"/>
      <c r="J162" s="1165"/>
      <c r="K162" s="1165"/>
      <c r="L162" s="1165"/>
      <c r="M162" s="1166"/>
      <c r="N162" s="111" t="s">
        <v>296</v>
      </c>
      <c r="O162" s="16" t="s">
        <v>296</v>
      </c>
      <c r="P162" s="112" t="s">
        <v>296</v>
      </c>
      <c r="Q162" s="111" t="s">
        <v>296</v>
      </c>
      <c r="R162" s="16" t="s">
        <v>296</v>
      </c>
      <c r="S162" s="20" t="s">
        <v>296</v>
      </c>
      <c r="T162" s="114" t="s">
        <v>296</v>
      </c>
      <c r="U162" s="119" t="s">
        <v>298</v>
      </c>
      <c r="V162" s="13" t="s">
        <v>298</v>
      </c>
      <c r="W162" s="13" t="s">
        <v>296</v>
      </c>
      <c r="X162" s="190" t="s">
        <v>296</v>
      </c>
      <c r="Y162" s="119" t="s">
        <v>298</v>
      </c>
      <c r="Z162" s="13" t="s">
        <v>298</v>
      </c>
      <c r="AA162" s="13" t="s">
        <v>298</v>
      </c>
      <c r="AB162" s="13" t="s">
        <v>298</v>
      </c>
      <c r="AC162" s="102" t="s">
        <v>298</v>
      </c>
      <c r="AD162" s="85" t="s">
        <v>298</v>
      </c>
      <c r="AE162" s="19" t="s">
        <v>298</v>
      </c>
      <c r="AF162" s="13" t="s">
        <v>298</v>
      </c>
      <c r="AG162" s="19" t="s">
        <v>296</v>
      </c>
      <c r="AH162" s="224" t="s">
        <v>298</v>
      </c>
      <c r="AI162" s="19" t="s">
        <v>298</v>
      </c>
      <c r="AJ162" s="116" t="s">
        <v>298</v>
      </c>
      <c r="AK162" s="116" t="s">
        <v>298</v>
      </c>
      <c r="AL162" s="115" t="s">
        <v>296</v>
      </c>
      <c r="AM162" s="179" t="s">
        <v>296</v>
      </c>
      <c r="AN162" s="224" t="s">
        <v>296</v>
      </c>
      <c r="AO162" s="177" t="s">
        <v>296</v>
      </c>
      <c r="AP162" s="19" t="s">
        <v>296</v>
      </c>
      <c r="AQ162" s="179" t="s">
        <v>296</v>
      </c>
      <c r="AR162" s="113" t="s">
        <v>1104</v>
      </c>
      <c r="AS162" s="816" t="s">
        <v>296</v>
      </c>
      <c r="AT162" s="224" t="s">
        <v>17</v>
      </c>
      <c r="AU162" s="712" t="s">
        <v>607</v>
      </c>
      <c r="AV162" s="713" t="s">
        <v>296</v>
      </c>
      <c r="AW162" s="133" t="s">
        <v>298</v>
      </c>
      <c r="AX162" s="508" t="s">
        <v>296</v>
      </c>
      <c r="AY162" s="27" t="s">
        <v>607</v>
      </c>
      <c r="AZ162" s="112" t="s">
        <v>17</v>
      </c>
      <c r="BA162" s="27" t="s">
        <v>296</v>
      </c>
      <c r="BB162" s="112" t="s">
        <v>17</v>
      </c>
      <c r="BC162" s="767" t="s">
        <v>1312</v>
      </c>
      <c r="BD162" s="795" t="s">
        <v>296</v>
      </c>
      <c r="BE162" s="851" t="s">
        <v>296</v>
      </c>
      <c r="BF162" s="377" t="s">
        <v>17</v>
      </c>
      <c r="BG162" s="115" t="s">
        <v>296</v>
      </c>
      <c r="BH162" s="112" t="s">
        <v>17</v>
      </c>
      <c r="BI162" s="379" t="s">
        <v>296</v>
      </c>
      <c r="BJ162" s="767" t="s">
        <v>1312</v>
      </c>
      <c r="BK162" s="1071" t="s">
        <v>296</v>
      </c>
      <c r="BL162" s="915" t="s">
        <v>296</v>
      </c>
      <c r="BM162" s="377" t="s">
        <v>17</v>
      </c>
      <c r="BN162" s="523" t="s">
        <v>607</v>
      </c>
      <c r="BO162" s="937"/>
      <c r="BP162" s="767"/>
      <c r="BQ162" s="915" t="s">
        <v>296</v>
      </c>
      <c r="BR162" s="712" t="s">
        <v>1104</v>
      </c>
      <c r="BS162" s="824" t="s">
        <v>296</v>
      </c>
      <c r="BT162" s="412"/>
    </row>
    <row r="163" spans="1:72" ht="13.5" hidden="1" customHeight="1" x14ac:dyDescent="0.35">
      <c r="A163" s="683"/>
      <c r="B163" s="47"/>
      <c r="C163" s="3" t="s">
        <v>311</v>
      </c>
      <c r="D163" s="1128"/>
      <c r="E163" s="1164"/>
      <c r="F163" s="1165"/>
      <c r="G163" s="1165"/>
      <c r="H163" s="1165"/>
      <c r="I163" s="1165"/>
      <c r="J163" s="1165"/>
      <c r="K163" s="1165"/>
      <c r="L163" s="1165"/>
      <c r="M163" s="1166"/>
      <c r="N163" s="111" t="s">
        <v>296</v>
      </c>
      <c r="O163" s="16" t="s">
        <v>296</v>
      </c>
      <c r="P163" s="112" t="s">
        <v>296</v>
      </c>
      <c r="Q163" s="111" t="s">
        <v>296</v>
      </c>
      <c r="R163" s="16" t="s">
        <v>299</v>
      </c>
      <c r="S163" s="20" t="s">
        <v>296</v>
      </c>
      <c r="T163" s="114" t="s">
        <v>296</v>
      </c>
      <c r="U163" s="119" t="s">
        <v>296</v>
      </c>
      <c r="V163" s="13" t="s">
        <v>296</v>
      </c>
      <c r="W163" s="13" t="s">
        <v>299</v>
      </c>
      <c r="X163" s="190" t="s">
        <v>296</v>
      </c>
      <c r="Y163" s="119" t="s">
        <v>296</v>
      </c>
      <c r="Z163" s="13" t="s">
        <v>296</v>
      </c>
      <c r="AA163" s="13" t="s">
        <v>296</v>
      </c>
      <c r="AB163" s="13" t="s">
        <v>296</v>
      </c>
      <c r="AC163" s="102" t="s">
        <v>296</v>
      </c>
      <c r="AD163" s="85" t="s">
        <v>296</v>
      </c>
      <c r="AE163" s="19" t="s">
        <v>296</v>
      </c>
      <c r="AF163" s="13" t="s">
        <v>296</v>
      </c>
      <c r="AG163" s="19" t="s">
        <v>296</v>
      </c>
      <c r="AH163" s="179" t="s">
        <v>296</v>
      </c>
      <c r="AI163" s="19" t="s">
        <v>296</v>
      </c>
      <c r="AJ163" s="116" t="s">
        <v>296</v>
      </c>
      <c r="AK163" s="116" t="s">
        <v>296</v>
      </c>
      <c r="AL163" s="115" t="s">
        <v>296</v>
      </c>
      <c r="AM163" s="179" t="s">
        <v>296</v>
      </c>
      <c r="AN163" s="224" t="s">
        <v>296</v>
      </c>
      <c r="AO163" s="177" t="s">
        <v>296</v>
      </c>
      <c r="AP163" s="19" t="s">
        <v>296</v>
      </c>
      <c r="AQ163" s="179" t="s">
        <v>296</v>
      </c>
      <c r="AR163" s="1250" t="s">
        <v>296</v>
      </c>
      <c r="AS163" s="1251" t="s">
        <v>1108</v>
      </c>
      <c r="AT163" s="224" t="s">
        <v>17</v>
      </c>
      <c r="AU163" s="714" t="s">
        <v>605</v>
      </c>
      <c r="AV163" s="713" t="s">
        <v>605</v>
      </c>
      <c r="AW163" s="463" t="s">
        <v>602</v>
      </c>
      <c r="AX163" s="26" t="s">
        <v>516</v>
      </c>
      <c r="AY163" s="27" t="s">
        <v>516</v>
      </c>
      <c r="AZ163" s="112" t="s">
        <v>17</v>
      </c>
      <c r="BA163" s="27" t="s">
        <v>296</v>
      </c>
      <c r="BB163" s="112" t="s">
        <v>17</v>
      </c>
      <c r="BC163" s="768" t="s">
        <v>296</v>
      </c>
      <c r="BD163" s="796" t="s">
        <v>1318</v>
      </c>
      <c r="BE163" s="851" t="s">
        <v>296</v>
      </c>
      <c r="BF163" s="377" t="s">
        <v>17</v>
      </c>
      <c r="BG163" s="115" t="s">
        <v>296</v>
      </c>
      <c r="BH163" s="112" t="s">
        <v>17</v>
      </c>
      <c r="BI163" s="379" t="s">
        <v>296</v>
      </c>
      <c r="BJ163" s="768" t="s">
        <v>296</v>
      </c>
      <c r="BK163" s="1072" t="s">
        <v>1318</v>
      </c>
      <c r="BL163" s="915" t="s">
        <v>296</v>
      </c>
      <c r="BM163" s="377" t="s">
        <v>17</v>
      </c>
      <c r="BN163" s="1024" t="s">
        <v>605</v>
      </c>
      <c r="BO163" s="933"/>
      <c r="BP163" s="768"/>
      <c r="BQ163" s="915" t="s">
        <v>296</v>
      </c>
      <c r="BR163" s="714" t="s">
        <v>296</v>
      </c>
      <c r="BS163" s="27" t="s">
        <v>1108</v>
      </c>
      <c r="BT163" s="405"/>
    </row>
    <row r="164" spans="1:72" ht="13.5" hidden="1" customHeight="1" x14ac:dyDescent="0.35">
      <c r="A164" s="683"/>
      <c r="B164" s="47"/>
      <c r="C164" s="3" t="s">
        <v>312</v>
      </c>
      <c r="D164" s="1128"/>
      <c r="E164" s="1164"/>
      <c r="F164" s="1165"/>
      <c r="G164" s="1165"/>
      <c r="H164" s="1165"/>
      <c r="I164" s="1165"/>
      <c r="J164" s="1165"/>
      <c r="K164" s="1165"/>
      <c r="L164" s="1165"/>
      <c r="M164" s="1166"/>
      <c r="N164" s="111" t="s">
        <v>296</v>
      </c>
      <c r="O164" s="16" t="s">
        <v>296</v>
      </c>
      <c r="P164" s="112" t="s">
        <v>296</v>
      </c>
      <c r="Q164" s="111" t="s">
        <v>296</v>
      </c>
      <c r="R164" s="16" t="s">
        <v>296</v>
      </c>
      <c r="S164" s="20" t="s">
        <v>296</v>
      </c>
      <c r="T164" s="114" t="s">
        <v>296</v>
      </c>
      <c r="U164" s="119" t="s">
        <v>303</v>
      </c>
      <c r="V164" s="13" t="s">
        <v>303</v>
      </c>
      <c r="W164" s="13" t="s">
        <v>296</v>
      </c>
      <c r="X164" s="190" t="s">
        <v>296</v>
      </c>
      <c r="Y164" s="119" t="s">
        <v>303</v>
      </c>
      <c r="Z164" s="13" t="s">
        <v>303</v>
      </c>
      <c r="AA164" s="13" t="s">
        <v>303</v>
      </c>
      <c r="AB164" s="13" t="s">
        <v>303</v>
      </c>
      <c r="AC164" s="102" t="s">
        <v>303</v>
      </c>
      <c r="AD164" s="85" t="s">
        <v>303</v>
      </c>
      <c r="AE164" s="19" t="s">
        <v>303</v>
      </c>
      <c r="AF164" s="13" t="s">
        <v>303</v>
      </c>
      <c r="AG164" s="19" t="s">
        <v>296</v>
      </c>
      <c r="AH164" s="179" t="s">
        <v>303</v>
      </c>
      <c r="AI164" s="19" t="s">
        <v>303</v>
      </c>
      <c r="AJ164" s="116" t="s">
        <v>303</v>
      </c>
      <c r="AK164" s="116" t="s">
        <v>303</v>
      </c>
      <c r="AL164" s="115" t="s">
        <v>296</v>
      </c>
      <c r="AM164" s="179" t="s">
        <v>296</v>
      </c>
      <c r="AN164" s="224" t="s">
        <v>296</v>
      </c>
      <c r="AO164" s="177" t="s">
        <v>296</v>
      </c>
      <c r="AP164" s="19" t="s">
        <v>296</v>
      </c>
      <c r="AQ164" s="179" t="s">
        <v>296</v>
      </c>
      <c r="AR164" s="113" t="s">
        <v>1105</v>
      </c>
      <c r="AS164" s="20" t="s">
        <v>1109</v>
      </c>
      <c r="AT164" s="224" t="s">
        <v>17</v>
      </c>
      <c r="AU164" s="712" t="s">
        <v>300</v>
      </c>
      <c r="AV164" s="713" t="s">
        <v>296</v>
      </c>
      <c r="AW164" s="463" t="s">
        <v>296</v>
      </c>
      <c r="AX164" s="26" t="s">
        <v>520</v>
      </c>
      <c r="AY164" s="27" t="s">
        <v>520</v>
      </c>
      <c r="AZ164" s="112" t="s">
        <v>17</v>
      </c>
      <c r="BA164" s="27" t="s">
        <v>296</v>
      </c>
      <c r="BB164" s="112" t="s">
        <v>17</v>
      </c>
      <c r="BC164" s="767" t="s">
        <v>1313</v>
      </c>
      <c r="BD164" s="796" t="s">
        <v>296</v>
      </c>
      <c r="BE164" s="851" t="s">
        <v>296</v>
      </c>
      <c r="BF164" s="377" t="s">
        <v>17</v>
      </c>
      <c r="BG164" s="115" t="s">
        <v>296</v>
      </c>
      <c r="BH164" s="112" t="s">
        <v>17</v>
      </c>
      <c r="BI164" s="379" t="s">
        <v>296</v>
      </c>
      <c r="BJ164" s="767" t="s">
        <v>1313</v>
      </c>
      <c r="BK164" s="915" t="s">
        <v>296</v>
      </c>
      <c r="BL164" s="915" t="s">
        <v>296</v>
      </c>
      <c r="BM164" s="377" t="s">
        <v>17</v>
      </c>
      <c r="BN164" s="133" t="s">
        <v>300</v>
      </c>
      <c r="BO164" s="933"/>
      <c r="BP164" s="767"/>
      <c r="BQ164" s="915" t="s">
        <v>296</v>
      </c>
      <c r="BR164" s="712" t="s">
        <v>1105</v>
      </c>
      <c r="BS164" s="27" t="s">
        <v>1109</v>
      </c>
      <c r="BT164" s="412" t="s">
        <v>690</v>
      </c>
    </row>
    <row r="165" spans="1:72" ht="13.5" hidden="1" customHeight="1" x14ac:dyDescent="0.35">
      <c r="A165" s="683"/>
      <c r="B165" s="47"/>
      <c r="C165" s="3" t="s">
        <v>313</v>
      </c>
      <c r="D165" s="1128"/>
      <c r="E165" s="1164"/>
      <c r="F165" s="1165"/>
      <c r="G165" s="1165"/>
      <c r="H165" s="1165"/>
      <c r="I165" s="1165"/>
      <c r="J165" s="1165"/>
      <c r="K165" s="1165"/>
      <c r="L165" s="1165"/>
      <c r="M165" s="1166"/>
      <c r="N165" s="111" t="s">
        <v>296</v>
      </c>
      <c r="O165" s="16" t="s">
        <v>296</v>
      </c>
      <c r="P165" s="112" t="s">
        <v>296</v>
      </c>
      <c r="Q165" s="111" t="s">
        <v>296</v>
      </c>
      <c r="R165" s="16" t="s">
        <v>296</v>
      </c>
      <c r="S165" s="20" t="s">
        <v>296</v>
      </c>
      <c r="T165" s="114" t="s">
        <v>296</v>
      </c>
      <c r="U165" s="119" t="s">
        <v>300</v>
      </c>
      <c r="V165" s="13" t="s">
        <v>300</v>
      </c>
      <c r="W165" s="13" t="s">
        <v>296</v>
      </c>
      <c r="X165" s="190" t="s">
        <v>296</v>
      </c>
      <c r="Y165" s="119" t="s">
        <v>300</v>
      </c>
      <c r="Z165" s="13" t="s">
        <v>300</v>
      </c>
      <c r="AA165" s="21" t="s">
        <v>296</v>
      </c>
      <c r="AB165" s="21" t="s">
        <v>296</v>
      </c>
      <c r="AC165" s="102" t="s">
        <v>300</v>
      </c>
      <c r="AD165" s="85" t="s">
        <v>296</v>
      </c>
      <c r="AE165" s="19" t="s">
        <v>296</v>
      </c>
      <c r="AF165" s="13" t="s">
        <v>296</v>
      </c>
      <c r="AG165" s="19" t="s">
        <v>296</v>
      </c>
      <c r="AH165" s="226" t="s">
        <v>304</v>
      </c>
      <c r="AI165" s="19" t="s">
        <v>296</v>
      </c>
      <c r="AJ165" s="116" t="s">
        <v>296</v>
      </c>
      <c r="AK165" s="116" t="s">
        <v>296</v>
      </c>
      <c r="AL165" s="115" t="s">
        <v>296</v>
      </c>
      <c r="AM165" s="179" t="s">
        <v>296</v>
      </c>
      <c r="AN165" s="224" t="s">
        <v>296</v>
      </c>
      <c r="AO165" s="177" t="s">
        <v>296</v>
      </c>
      <c r="AP165" s="19" t="s">
        <v>296</v>
      </c>
      <c r="AQ165" s="179" t="s">
        <v>296</v>
      </c>
      <c r="AR165" s="113" t="s">
        <v>1106</v>
      </c>
      <c r="AS165" s="816" t="s">
        <v>296</v>
      </c>
      <c r="AT165" s="224" t="s">
        <v>17</v>
      </c>
      <c r="AU165" s="465" t="s">
        <v>483</v>
      </c>
      <c r="AV165" s="713" t="s">
        <v>296</v>
      </c>
      <c r="AW165" s="133" t="s">
        <v>601</v>
      </c>
      <c r="AX165" s="509" t="s">
        <v>296</v>
      </c>
      <c r="AY165" s="824" t="s">
        <v>652</v>
      </c>
      <c r="AZ165" s="112" t="s">
        <v>17</v>
      </c>
      <c r="BA165" s="27" t="s">
        <v>296</v>
      </c>
      <c r="BB165" s="112" t="s">
        <v>17</v>
      </c>
      <c r="BC165" s="767" t="s">
        <v>1314</v>
      </c>
      <c r="BD165" s="795" t="s">
        <v>296</v>
      </c>
      <c r="BE165" s="851" t="s">
        <v>296</v>
      </c>
      <c r="BF165" s="377" t="s">
        <v>17</v>
      </c>
      <c r="BG165" s="115" t="s">
        <v>296</v>
      </c>
      <c r="BH165" s="112" t="s">
        <v>17</v>
      </c>
      <c r="BI165" s="379" t="s">
        <v>296</v>
      </c>
      <c r="BJ165" s="767" t="s">
        <v>1314</v>
      </c>
      <c r="BK165" s="1073" t="s">
        <v>1505</v>
      </c>
      <c r="BL165" s="915" t="s">
        <v>296</v>
      </c>
      <c r="BM165" s="377" t="s">
        <v>17</v>
      </c>
      <c r="BN165" s="147" t="s">
        <v>483</v>
      </c>
      <c r="BO165" s="937"/>
      <c r="BP165" s="767"/>
      <c r="BQ165" s="915" t="s">
        <v>296</v>
      </c>
      <c r="BR165" s="712" t="s">
        <v>1106</v>
      </c>
      <c r="BS165" s="824" t="s">
        <v>296</v>
      </c>
      <c r="BT165" s="405"/>
    </row>
    <row r="166" spans="1:72" ht="13.5" hidden="1" customHeight="1" x14ac:dyDescent="0.35">
      <c r="A166" s="683"/>
      <c r="B166" s="47"/>
      <c r="C166" s="3" t="s">
        <v>314</v>
      </c>
      <c r="D166" s="1128"/>
      <c r="E166" s="1164"/>
      <c r="F166" s="1165"/>
      <c r="G166" s="1165"/>
      <c r="H166" s="1165"/>
      <c r="I166" s="1165"/>
      <c r="J166" s="1165"/>
      <c r="K166" s="1165"/>
      <c r="L166" s="1165"/>
      <c r="M166" s="1166"/>
      <c r="N166" s="111" t="s">
        <v>296</v>
      </c>
      <c r="O166" s="16" t="s">
        <v>296</v>
      </c>
      <c r="P166" s="112" t="s">
        <v>296</v>
      </c>
      <c r="Q166" s="111" t="s">
        <v>296</v>
      </c>
      <c r="R166" s="16" t="s">
        <v>296</v>
      </c>
      <c r="S166" s="20" t="s">
        <v>296</v>
      </c>
      <c r="T166" s="114" t="s">
        <v>296</v>
      </c>
      <c r="U166" s="119" t="s">
        <v>301</v>
      </c>
      <c r="V166" s="13" t="s">
        <v>301</v>
      </c>
      <c r="W166" s="13" t="s">
        <v>296</v>
      </c>
      <c r="X166" s="190" t="s">
        <v>296</v>
      </c>
      <c r="Y166" s="119" t="s">
        <v>296</v>
      </c>
      <c r="Z166" s="13" t="s">
        <v>296</v>
      </c>
      <c r="AA166" s="13" t="s">
        <v>296</v>
      </c>
      <c r="AB166" s="13" t="s">
        <v>296</v>
      </c>
      <c r="AC166" s="102" t="s">
        <v>296</v>
      </c>
      <c r="AD166" s="87" t="s">
        <v>300</v>
      </c>
      <c r="AE166" s="13" t="s">
        <v>300</v>
      </c>
      <c r="AF166" s="13" t="s">
        <v>300</v>
      </c>
      <c r="AG166" s="13" t="s">
        <v>296</v>
      </c>
      <c r="AH166" s="177" t="s">
        <v>300</v>
      </c>
      <c r="AI166" s="13" t="s">
        <v>300</v>
      </c>
      <c r="AJ166" s="102" t="s">
        <v>300</v>
      </c>
      <c r="AK166" s="102" t="s">
        <v>300</v>
      </c>
      <c r="AL166" s="115" t="s">
        <v>296</v>
      </c>
      <c r="AM166" s="179" t="s">
        <v>296</v>
      </c>
      <c r="AN166" s="224" t="s">
        <v>296</v>
      </c>
      <c r="AO166" s="177" t="s">
        <v>296</v>
      </c>
      <c r="AP166" s="19" t="s">
        <v>296</v>
      </c>
      <c r="AQ166" s="179" t="s">
        <v>296</v>
      </c>
      <c r="AR166" s="1250" t="s">
        <v>296</v>
      </c>
      <c r="AS166" s="816" t="s">
        <v>296</v>
      </c>
      <c r="AT166" s="224" t="s">
        <v>17</v>
      </c>
      <c r="AU166" s="714" t="s">
        <v>607</v>
      </c>
      <c r="AV166" s="713" t="s">
        <v>296</v>
      </c>
      <c r="AW166" s="463" t="s">
        <v>296</v>
      </c>
      <c r="AX166" s="26" t="s">
        <v>607</v>
      </c>
      <c r="AY166" s="824" t="s">
        <v>602</v>
      </c>
      <c r="AZ166" s="112" t="s">
        <v>17</v>
      </c>
      <c r="BA166" s="27" t="s">
        <v>296</v>
      </c>
      <c r="BB166" s="112" t="s">
        <v>17</v>
      </c>
      <c r="BC166" s="768" t="s">
        <v>1315</v>
      </c>
      <c r="BD166" s="795" t="s">
        <v>1315</v>
      </c>
      <c r="BE166" s="851" t="s">
        <v>1320</v>
      </c>
      <c r="BF166" s="377" t="s">
        <v>17</v>
      </c>
      <c r="BG166" s="115" t="s">
        <v>296</v>
      </c>
      <c r="BH166" s="112" t="s">
        <v>17</v>
      </c>
      <c r="BI166" s="379" t="s">
        <v>296</v>
      </c>
      <c r="BJ166" s="768" t="s">
        <v>1315</v>
      </c>
      <c r="BK166" s="1071" t="s">
        <v>1315</v>
      </c>
      <c r="BL166" s="915" t="s">
        <v>1320</v>
      </c>
      <c r="BM166" s="377" t="s">
        <v>17</v>
      </c>
      <c r="BN166" s="1025" t="s">
        <v>1487</v>
      </c>
      <c r="BO166" s="937"/>
      <c r="BP166" s="768"/>
      <c r="BQ166" s="915" t="s">
        <v>1320</v>
      </c>
      <c r="BR166" s="714" t="s">
        <v>296</v>
      </c>
      <c r="BS166" s="824" t="s">
        <v>296</v>
      </c>
      <c r="BT166" s="405"/>
    </row>
    <row r="167" spans="1:72" ht="13.5" hidden="1" customHeight="1" x14ac:dyDescent="0.35">
      <c r="A167" s="683"/>
      <c r="B167" s="47"/>
      <c r="C167" s="3" t="s">
        <v>146</v>
      </c>
      <c r="D167" s="1128"/>
      <c r="E167" s="1164"/>
      <c r="F167" s="1165"/>
      <c r="G167" s="1165"/>
      <c r="H167" s="1165"/>
      <c r="I167" s="1165"/>
      <c r="J167" s="1165"/>
      <c r="K167" s="1165"/>
      <c r="L167" s="1165"/>
      <c r="M167" s="1166"/>
      <c r="N167" s="111" t="s">
        <v>17</v>
      </c>
      <c r="O167" s="16" t="s">
        <v>17</v>
      </c>
      <c r="P167" s="112" t="s">
        <v>17</v>
      </c>
      <c r="Q167" s="111" t="s">
        <v>17</v>
      </c>
      <c r="R167" s="16" t="s">
        <v>17</v>
      </c>
      <c r="S167" s="20" t="s">
        <v>17</v>
      </c>
      <c r="T167" s="114" t="s">
        <v>17</v>
      </c>
      <c r="U167" s="119" t="s">
        <v>153</v>
      </c>
      <c r="V167" s="13" t="s">
        <v>153</v>
      </c>
      <c r="W167" s="13" t="s">
        <v>154</v>
      </c>
      <c r="X167" s="190" t="s">
        <v>154</v>
      </c>
      <c r="Y167" s="119" t="s">
        <v>153</v>
      </c>
      <c r="Z167" s="13" t="s">
        <v>153</v>
      </c>
      <c r="AA167" s="13" t="s">
        <v>153</v>
      </c>
      <c r="AB167" s="13" t="s">
        <v>153</v>
      </c>
      <c r="AC167" s="102" t="s">
        <v>154</v>
      </c>
      <c r="AD167" s="87" t="s">
        <v>153</v>
      </c>
      <c r="AE167" s="13" t="s">
        <v>153</v>
      </c>
      <c r="AF167" s="13" t="s">
        <v>153</v>
      </c>
      <c r="AG167" s="13" t="s">
        <v>154</v>
      </c>
      <c r="AH167" s="36" t="s">
        <v>153</v>
      </c>
      <c r="AI167" s="13" t="s">
        <v>153</v>
      </c>
      <c r="AJ167" s="102" t="s">
        <v>153</v>
      </c>
      <c r="AK167" s="102" t="s">
        <v>153</v>
      </c>
      <c r="AL167" s="115" t="s">
        <v>379</v>
      </c>
      <c r="AM167" s="179" t="s">
        <v>379</v>
      </c>
      <c r="AN167" s="224" t="s">
        <v>379</v>
      </c>
      <c r="AO167" s="177" t="s">
        <v>379</v>
      </c>
      <c r="AP167" s="19" t="s">
        <v>379</v>
      </c>
      <c r="AQ167" s="179" t="s">
        <v>379</v>
      </c>
      <c r="AR167" s="119" t="s">
        <v>153</v>
      </c>
      <c r="AS167" s="20" t="s">
        <v>517</v>
      </c>
      <c r="AT167" s="224" t="s">
        <v>517</v>
      </c>
      <c r="AU167" s="119" t="s">
        <v>153</v>
      </c>
      <c r="AV167" s="112" t="s">
        <v>517</v>
      </c>
      <c r="AW167" s="119" t="s">
        <v>153</v>
      </c>
      <c r="AX167" s="16" t="s">
        <v>517</v>
      </c>
      <c r="AY167" s="16" t="s">
        <v>517</v>
      </c>
      <c r="AZ167" s="112" t="s">
        <v>517</v>
      </c>
      <c r="BA167" s="27" t="s">
        <v>379</v>
      </c>
      <c r="BB167" s="112" t="s">
        <v>517</v>
      </c>
      <c r="BC167" s="722" t="s">
        <v>153</v>
      </c>
      <c r="BD167" s="779" t="s">
        <v>517</v>
      </c>
      <c r="BE167" s="224" t="s">
        <v>517</v>
      </c>
      <c r="BF167" s="377" t="s">
        <v>517</v>
      </c>
      <c r="BG167" s="115" t="s">
        <v>379</v>
      </c>
      <c r="BH167" s="112" t="s">
        <v>517</v>
      </c>
      <c r="BI167" s="379" t="s">
        <v>379</v>
      </c>
      <c r="BJ167" s="722" t="s">
        <v>153</v>
      </c>
      <c r="BK167" s="779" t="s">
        <v>517</v>
      </c>
      <c r="BL167" s="114" t="s">
        <v>517</v>
      </c>
      <c r="BM167" s="377" t="s">
        <v>517</v>
      </c>
      <c r="BN167" s="722" t="s">
        <v>153</v>
      </c>
      <c r="BO167" s="114"/>
      <c r="BP167" s="115"/>
      <c r="BQ167" s="114" t="s">
        <v>517</v>
      </c>
      <c r="BR167" s="133" t="s">
        <v>153</v>
      </c>
      <c r="BS167" s="27" t="s">
        <v>517</v>
      </c>
      <c r="BT167" s="405" t="s">
        <v>682</v>
      </c>
    </row>
    <row r="168" spans="1:72" ht="13.5" hidden="1" customHeight="1" x14ac:dyDescent="0.35">
      <c r="A168" s="683"/>
      <c r="B168" s="47"/>
      <c r="C168" s="3" t="s">
        <v>147</v>
      </c>
      <c r="D168" s="1128"/>
      <c r="E168" s="1164"/>
      <c r="F168" s="1165"/>
      <c r="G168" s="1165"/>
      <c r="H168" s="1165"/>
      <c r="I168" s="1165"/>
      <c r="J168" s="1165"/>
      <c r="K168" s="1165"/>
      <c r="L168" s="1165"/>
      <c r="M168" s="1166"/>
      <c r="N168" s="111" t="s">
        <v>17</v>
      </c>
      <c r="O168" s="16" t="s">
        <v>17</v>
      </c>
      <c r="P168" s="112" t="s">
        <v>17</v>
      </c>
      <c r="Q168" s="111" t="s">
        <v>17</v>
      </c>
      <c r="R168" s="16" t="s">
        <v>17</v>
      </c>
      <c r="S168" s="20" t="s">
        <v>17</v>
      </c>
      <c r="T168" s="114" t="s">
        <v>17</v>
      </c>
      <c r="U168" s="119" t="s">
        <v>153</v>
      </c>
      <c r="V168" s="13" t="s">
        <v>153</v>
      </c>
      <c r="W168" s="13" t="s">
        <v>154</v>
      </c>
      <c r="X168" s="190" t="s">
        <v>154</v>
      </c>
      <c r="Y168" s="119" t="s">
        <v>153</v>
      </c>
      <c r="Z168" s="13" t="s">
        <v>153</v>
      </c>
      <c r="AA168" s="13" t="s">
        <v>153</v>
      </c>
      <c r="AB168" s="13" t="s">
        <v>153</v>
      </c>
      <c r="AC168" s="102" t="s">
        <v>154</v>
      </c>
      <c r="AD168" s="87" t="s">
        <v>153</v>
      </c>
      <c r="AE168" s="13" t="s">
        <v>153</v>
      </c>
      <c r="AF168" s="13" t="s">
        <v>153</v>
      </c>
      <c r="AG168" s="13" t="s">
        <v>154</v>
      </c>
      <c r="AH168" s="36" t="s">
        <v>153</v>
      </c>
      <c r="AI168" s="13" t="s">
        <v>153</v>
      </c>
      <c r="AJ168" s="102" t="s">
        <v>153</v>
      </c>
      <c r="AK168" s="102" t="s">
        <v>153</v>
      </c>
      <c r="AL168" s="115" t="s">
        <v>379</v>
      </c>
      <c r="AM168" s="179" t="s">
        <v>379</v>
      </c>
      <c r="AN168" s="224" t="s">
        <v>379</v>
      </c>
      <c r="AO168" s="177" t="s">
        <v>379</v>
      </c>
      <c r="AP168" s="19" t="s">
        <v>379</v>
      </c>
      <c r="AQ168" s="179" t="s">
        <v>379</v>
      </c>
      <c r="AR168" s="113" t="s">
        <v>591</v>
      </c>
      <c r="AS168" s="20" t="s">
        <v>591</v>
      </c>
      <c r="AT168" s="224" t="s">
        <v>591</v>
      </c>
      <c r="AU168" s="113" t="s">
        <v>591</v>
      </c>
      <c r="AV168" s="114" t="s">
        <v>591</v>
      </c>
      <c r="AW168" s="113" t="s">
        <v>591</v>
      </c>
      <c r="AX168" s="20" t="s">
        <v>591</v>
      </c>
      <c r="AY168" s="16" t="s">
        <v>591</v>
      </c>
      <c r="AZ168" s="114" t="s">
        <v>591</v>
      </c>
      <c r="BA168" s="20" t="s">
        <v>379</v>
      </c>
      <c r="BB168" s="114" t="s">
        <v>591</v>
      </c>
      <c r="BC168" s="113" t="s">
        <v>591</v>
      </c>
      <c r="BD168" s="20" t="s">
        <v>591</v>
      </c>
      <c r="BE168" s="224" t="s">
        <v>591</v>
      </c>
      <c r="BF168" s="378" t="s">
        <v>591</v>
      </c>
      <c r="BG168" s="115" t="s">
        <v>379</v>
      </c>
      <c r="BH168" s="114" t="s">
        <v>591</v>
      </c>
      <c r="BI168" s="378" t="s">
        <v>379</v>
      </c>
      <c r="BJ168" s="113" t="s">
        <v>591</v>
      </c>
      <c r="BK168" s="20" t="s">
        <v>591</v>
      </c>
      <c r="BL168" s="114" t="s">
        <v>591</v>
      </c>
      <c r="BM168" s="378" t="s">
        <v>591</v>
      </c>
      <c r="BN168" s="1026" t="s">
        <v>591</v>
      </c>
      <c r="BO168" s="283"/>
      <c r="BP168" s="465"/>
      <c r="BQ168" s="916" t="s">
        <v>591</v>
      </c>
      <c r="BR168" s="1042" t="s">
        <v>591</v>
      </c>
      <c r="BS168" s="1043" t="s">
        <v>591</v>
      </c>
      <c r="BT168" s="405" t="s">
        <v>682</v>
      </c>
    </row>
    <row r="169" spans="1:72" ht="13.5" hidden="1" customHeight="1" x14ac:dyDescent="0.35">
      <c r="A169" s="683"/>
      <c r="B169" s="47"/>
      <c r="C169" s="3" t="s">
        <v>148</v>
      </c>
      <c r="D169" s="1128"/>
      <c r="E169" s="1164"/>
      <c r="F169" s="1165"/>
      <c r="G169" s="1165"/>
      <c r="H169" s="1165"/>
      <c r="I169" s="1165"/>
      <c r="J169" s="1165"/>
      <c r="K169" s="1165"/>
      <c r="L169" s="1165"/>
      <c r="M169" s="1166"/>
      <c r="N169" s="111" t="s">
        <v>17</v>
      </c>
      <c r="O169" s="16" t="s">
        <v>17</v>
      </c>
      <c r="P169" s="112" t="s">
        <v>17</v>
      </c>
      <c r="Q169" s="111" t="s">
        <v>17</v>
      </c>
      <c r="R169" s="16" t="s">
        <v>17</v>
      </c>
      <c r="S169" s="20" t="s">
        <v>17</v>
      </c>
      <c r="T169" s="114" t="s">
        <v>17</v>
      </c>
      <c r="U169" s="119" t="s">
        <v>56</v>
      </c>
      <c r="V169" s="13" t="s">
        <v>56</v>
      </c>
      <c r="W169" s="13" t="s">
        <v>56</v>
      </c>
      <c r="X169" s="190" t="s">
        <v>56</v>
      </c>
      <c r="Y169" s="119" t="s">
        <v>56</v>
      </c>
      <c r="Z169" s="13" t="s">
        <v>56</v>
      </c>
      <c r="AA169" s="13" t="s">
        <v>56</v>
      </c>
      <c r="AB169" s="13" t="s">
        <v>56</v>
      </c>
      <c r="AC169" s="102" t="s">
        <v>56</v>
      </c>
      <c r="AD169" s="87" t="s">
        <v>56</v>
      </c>
      <c r="AE169" s="13" t="s">
        <v>56</v>
      </c>
      <c r="AF169" s="13" t="s">
        <v>56</v>
      </c>
      <c r="AG169" s="13" t="s">
        <v>56</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721" t="s">
        <v>56</v>
      </c>
      <c r="BO169" s="114"/>
      <c r="BP169" s="115"/>
      <c r="BQ169" s="112" t="s">
        <v>489</v>
      </c>
      <c r="BR169" s="133" t="s">
        <v>56</v>
      </c>
      <c r="BS169" s="27" t="s">
        <v>489</v>
      </c>
      <c r="BT169" s="405" t="s">
        <v>682</v>
      </c>
    </row>
    <row r="170" spans="1:72" ht="13.5" hidden="1" customHeight="1" x14ac:dyDescent="0.35">
      <c r="A170" s="683"/>
      <c r="B170" s="47"/>
      <c r="C170" s="3" t="s">
        <v>149</v>
      </c>
      <c r="D170" s="1128"/>
      <c r="E170" s="1164"/>
      <c r="F170" s="1165"/>
      <c r="G170" s="1165"/>
      <c r="H170" s="1165"/>
      <c r="I170" s="1165"/>
      <c r="J170" s="1165"/>
      <c r="K170" s="1165"/>
      <c r="L170" s="1165"/>
      <c r="M170" s="1166"/>
      <c r="N170" s="111" t="s">
        <v>17</v>
      </c>
      <c r="O170" s="16" t="s">
        <v>17</v>
      </c>
      <c r="P170" s="112" t="s">
        <v>17</v>
      </c>
      <c r="Q170" s="111" t="s">
        <v>17</v>
      </c>
      <c r="R170" s="16" t="s">
        <v>17</v>
      </c>
      <c r="S170" s="20" t="s">
        <v>17</v>
      </c>
      <c r="T170" s="114" t="s">
        <v>17</v>
      </c>
      <c r="U170" s="119" t="s">
        <v>56</v>
      </c>
      <c r="V170" s="13" t="s">
        <v>56</v>
      </c>
      <c r="W170" s="13" t="s">
        <v>56</v>
      </c>
      <c r="X170" s="190" t="s">
        <v>56</v>
      </c>
      <c r="Y170" s="119" t="s">
        <v>56</v>
      </c>
      <c r="Z170" s="13" t="s">
        <v>56</v>
      </c>
      <c r="AA170" s="13" t="s">
        <v>56</v>
      </c>
      <c r="AB170" s="13" t="s">
        <v>56</v>
      </c>
      <c r="AC170" s="102" t="s">
        <v>56</v>
      </c>
      <c r="AD170" s="87" t="s">
        <v>56</v>
      </c>
      <c r="AE170" s="13" t="s">
        <v>56</v>
      </c>
      <c r="AF170" s="13" t="s">
        <v>56</v>
      </c>
      <c r="AG170" s="13" t="s">
        <v>56</v>
      </c>
      <c r="AH170" s="36" t="s">
        <v>56</v>
      </c>
      <c r="AI170" s="13" t="s">
        <v>56</v>
      </c>
      <c r="AJ170" s="102" t="s">
        <v>56</v>
      </c>
      <c r="AK170" s="102" t="s">
        <v>56</v>
      </c>
      <c r="AL170" s="115" t="s">
        <v>361</v>
      </c>
      <c r="AM170" s="179" t="s">
        <v>361</v>
      </c>
      <c r="AN170" s="224" t="s">
        <v>361</v>
      </c>
      <c r="AO170" s="177" t="s">
        <v>361</v>
      </c>
      <c r="AP170" s="19" t="s">
        <v>361</v>
      </c>
      <c r="AQ170" s="179" t="s">
        <v>361</v>
      </c>
      <c r="AR170" s="113" t="s">
        <v>56</v>
      </c>
      <c r="AS170" s="20" t="s">
        <v>489</v>
      </c>
      <c r="AT170" s="224" t="s">
        <v>489</v>
      </c>
      <c r="AU170" s="111" t="s">
        <v>56</v>
      </c>
      <c r="AV170" s="112" t="s">
        <v>489</v>
      </c>
      <c r="AW170" s="111" t="s">
        <v>56</v>
      </c>
      <c r="AX170" s="16" t="s">
        <v>489</v>
      </c>
      <c r="AY170" s="20" t="s">
        <v>56</v>
      </c>
      <c r="AZ170" s="114" t="s">
        <v>489</v>
      </c>
      <c r="BA170" s="20" t="s">
        <v>361</v>
      </c>
      <c r="BB170" s="114" t="s">
        <v>489</v>
      </c>
      <c r="BC170" s="113" t="s">
        <v>56</v>
      </c>
      <c r="BD170" s="20" t="s">
        <v>489</v>
      </c>
      <c r="BE170" s="224" t="s">
        <v>489</v>
      </c>
      <c r="BF170" s="378" t="s">
        <v>489</v>
      </c>
      <c r="BG170" s="115" t="s">
        <v>361</v>
      </c>
      <c r="BH170" s="112" t="s">
        <v>489</v>
      </c>
      <c r="BI170" s="378" t="s">
        <v>361</v>
      </c>
      <c r="BJ170" s="113" t="s">
        <v>56</v>
      </c>
      <c r="BK170" s="20" t="s">
        <v>489</v>
      </c>
      <c r="BL170" s="114" t="s">
        <v>489</v>
      </c>
      <c r="BM170" s="377" t="s">
        <v>489</v>
      </c>
      <c r="BN170" s="721" t="s">
        <v>56</v>
      </c>
      <c r="BO170" s="114"/>
      <c r="BP170" s="115"/>
      <c r="BQ170" s="112" t="s">
        <v>489</v>
      </c>
      <c r="BR170" s="133" t="s">
        <v>56</v>
      </c>
      <c r="BS170" s="27" t="s">
        <v>489</v>
      </c>
      <c r="BT170" s="405" t="s">
        <v>682</v>
      </c>
    </row>
    <row r="171" spans="1:72" ht="13.5" hidden="1" customHeight="1" x14ac:dyDescent="0.35">
      <c r="A171" s="683"/>
      <c r="B171" s="47"/>
      <c r="C171" s="3" t="s">
        <v>150</v>
      </c>
      <c r="D171" s="1128"/>
      <c r="E171" s="1164"/>
      <c r="F171" s="1165"/>
      <c r="G171" s="1165"/>
      <c r="H171" s="1165"/>
      <c r="I171" s="1165"/>
      <c r="J171" s="1165"/>
      <c r="K171" s="1165"/>
      <c r="L171" s="1165"/>
      <c r="M171" s="1166"/>
      <c r="N171" s="111" t="s">
        <v>17</v>
      </c>
      <c r="O171" s="16" t="s">
        <v>17</v>
      </c>
      <c r="P171" s="112" t="s">
        <v>17</v>
      </c>
      <c r="Q171" s="111" t="s">
        <v>17</v>
      </c>
      <c r="R171" s="16" t="s">
        <v>17</v>
      </c>
      <c r="S171" s="20" t="s">
        <v>17</v>
      </c>
      <c r="T171" s="114" t="s">
        <v>17</v>
      </c>
      <c r="U171" s="119" t="s">
        <v>56</v>
      </c>
      <c r="V171" s="13" t="s">
        <v>56</v>
      </c>
      <c r="W171" s="13" t="s">
        <v>155</v>
      </c>
      <c r="X171" s="190" t="s">
        <v>155</v>
      </c>
      <c r="Y171" s="119" t="s">
        <v>56</v>
      </c>
      <c r="Z171" s="13" t="s">
        <v>56</v>
      </c>
      <c r="AA171" s="13" t="s">
        <v>56</v>
      </c>
      <c r="AB171" s="13" t="s">
        <v>56</v>
      </c>
      <c r="AC171" s="102" t="s">
        <v>155</v>
      </c>
      <c r="AD171" s="87" t="s">
        <v>56</v>
      </c>
      <c r="AE171" s="13" t="s">
        <v>56</v>
      </c>
      <c r="AF171" s="13" t="s">
        <v>56</v>
      </c>
      <c r="AG171" s="13" t="s">
        <v>155</v>
      </c>
      <c r="AH171" s="36" t="s">
        <v>56</v>
      </c>
      <c r="AI171" s="13" t="s">
        <v>56</v>
      </c>
      <c r="AJ171" s="102" t="s">
        <v>56</v>
      </c>
      <c r="AK171" s="102" t="s">
        <v>56</v>
      </c>
      <c r="AL171" s="115" t="s">
        <v>361</v>
      </c>
      <c r="AM171" s="179" t="s">
        <v>361</v>
      </c>
      <c r="AN171" s="224" t="s">
        <v>361</v>
      </c>
      <c r="AO171" s="177" t="s">
        <v>361</v>
      </c>
      <c r="AP171" s="19" t="s">
        <v>361</v>
      </c>
      <c r="AQ171" s="179" t="s">
        <v>361</v>
      </c>
      <c r="AR171" s="113" t="s">
        <v>56</v>
      </c>
      <c r="AS171" s="20" t="s">
        <v>489</v>
      </c>
      <c r="AT171" s="224" t="s">
        <v>489</v>
      </c>
      <c r="AU171" s="111" t="s">
        <v>56</v>
      </c>
      <c r="AV171" s="112" t="s">
        <v>489</v>
      </c>
      <c r="AW171" s="111" t="s">
        <v>56</v>
      </c>
      <c r="AX171" s="16" t="s">
        <v>489</v>
      </c>
      <c r="AY171" s="20" t="s">
        <v>56</v>
      </c>
      <c r="AZ171" s="114" t="s">
        <v>489</v>
      </c>
      <c r="BA171" s="20" t="s">
        <v>361</v>
      </c>
      <c r="BB171" s="114" t="s">
        <v>489</v>
      </c>
      <c r="BC171" s="113" t="s">
        <v>56</v>
      </c>
      <c r="BD171" s="20" t="s">
        <v>489</v>
      </c>
      <c r="BE171" s="224" t="s">
        <v>489</v>
      </c>
      <c r="BF171" s="378" t="s">
        <v>489</v>
      </c>
      <c r="BG171" s="115" t="s">
        <v>361</v>
      </c>
      <c r="BH171" s="112" t="s">
        <v>489</v>
      </c>
      <c r="BI171" s="378" t="s">
        <v>361</v>
      </c>
      <c r="BJ171" s="113" t="s">
        <v>56</v>
      </c>
      <c r="BK171" s="20" t="s">
        <v>489</v>
      </c>
      <c r="BL171" s="114" t="s">
        <v>489</v>
      </c>
      <c r="BM171" s="377" t="s">
        <v>489</v>
      </c>
      <c r="BN171" s="1026" t="s">
        <v>56</v>
      </c>
      <c r="BO171" s="114"/>
      <c r="BP171" s="115"/>
      <c r="BQ171" s="112" t="s">
        <v>489</v>
      </c>
      <c r="BR171" s="133" t="s">
        <v>56</v>
      </c>
      <c r="BS171" s="27" t="s">
        <v>489</v>
      </c>
      <c r="BT171" s="405" t="s">
        <v>682</v>
      </c>
    </row>
    <row r="172" spans="1:72" ht="13.5" hidden="1" customHeight="1" x14ac:dyDescent="0.35">
      <c r="A172" s="683"/>
      <c r="B172" s="47"/>
      <c r="C172" s="3" t="s">
        <v>151</v>
      </c>
      <c r="D172" s="1128"/>
      <c r="E172" s="1164"/>
      <c r="F172" s="1165"/>
      <c r="G172" s="1165"/>
      <c r="H172" s="1165"/>
      <c r="I172" s="1165"/>
      <c r="J172" s="1165"/>
      <c r="K172" s="1165"/>
      <c r="L172" s="1165"/>
      <c r="M172" s="1166"/>
      <c r="N172" s="111" t="s">
        <v>17</v>
      </c>
      <c r="O172" s="16" t="s">
        <v>17</v>
      </c>
      <c r="P172" s="112" t="s">
        <v>17</v>
      </c>
      <c r="Q172" s="111" t="s">
        <v>17</v>
      </c>
      <c r="R172" s="16" t="s">
        <v>17</v>
      </c>
      <c r="S172" s="20" t="s">
        <v>17</v>
      </c>
      <c r="T172" s="114" t="s">
        <v>17</v>
      </c>
      <c r="U172" s="119" t="s">
        <v>153</v>
      </c>
      <c r="V172" s="13" t="s">
        <v>153</v>
      </c>
      <c r="W172" s="13" t="s">
        <v>154</v>
      </c>
      <c r="X172" s="190" t="s">
        <v>154</v>
      </c>
      <c r="Y172" s="119" t="s">
        <v>153</v>
      </c>
      <c r="Z172" s="13" t="s">
        <v>153</v>
      </c>
      <c r="AA172" s="13" t="s">
        <v>153</v>
      </c>
      <c r="AB172" s="13" t="s">
        <v>153</v>
      </c>
      <c r="AC172" s="102" t="s">
        <v>154</v>
      </c>
      <c r="AD172" s="87" t="s">
        <v>153</v>
      </c>
      <c r="AE172" s="13" t="s">
        <v>153</v>
      </c>
      <c r="AF172" s="13" t="s">
        <v>153</v>
      </c>
      <c r="AG172" s="13" t="s">
        <v>154</v>
      </c>
      <c r="AH172" s="36" t="s">
        <v>153</v>
      </c>
      <c r="AI172" s="13" t="s">
        <v>153</v>
      </c>
      <c r="AJ172" s="102" t="s">
        <v>153</v>
      </c>
      <c r="AK172" s="102" t="s">
        <v>153</v>
      </c>
      <c r="AL172" s="119" t="s">
        <v>153</v>
      </c>
      <c r="AM172" s="36" t="s">
        <v>153</v>
      </c>
      <c r="AN172" s="177" t="s">
        <v>153</v>
      </c>
      <c r="AO172" s="177" t="s">
        <v>153</v>
      </c>
      <c r="AP172" s="13" t="s">
        <v>153</v>
      </c>
      <c r="AQ172" s="36" t="s">
        <v>153</v>
      </c>
      <c r="AR172" s="113" t="s">
        <v>591</v>
      </c>
      <c r="AS172" s="20" t="s">
        <v>591</v>
      </c>
      <c r="AT172" s="224" t="s">
        <v>591</v>
      </c>
      <c r="AU172" s="113" t="s">
        <v>591</v>
      </c>
      <c r="AV172" s="114" t="s">
        <v>591</v>
      </c>
      <c r="AW172" s="113" t="s">
        <v>591</v>
      </c>
      <c r="AX172" s="20" t="s">
        <v>591</v>
      </c>
      <c r="AY172" s="20" t="s">
        <v>591</v>
      </c>
      <c r="AZ172" s="114" t="s">
        <v>591</v>
      </c>
      <c r="BA172" s="20" t="s">
        <v>153</v>
      </c>
      <c r="BB172" s="114" t="s">
        <v>591</v>
      </c>
      <c r="BC172" s="113" t="s">
        <v>591</v>
      </c>
      <c r="BD172" s="20" t="s">
        <v>591</v>
      </c>
      <c r="BE172" s="224" t="s">
        <v>591</v>
      </c>
      <c r="BF172" s="378" t="s">
        <v>591</v>
      </c>
      <c r="BG172" s="119" t="s">
        <v>153</v>
      </c>
      <c r="BH172" s="114" t="s">
        <v>591</v>
      </c>
      <c r="BI172" s="378" t="s">
        <v>153</v>
      </c>
      <c r="BJ172" s="113" t="s">
        <v>591</v>
      </c>
      <c r="BK172" s="20" t="s">
        <v>591</v>
      </c>
      <c r="BL172" s="114" t="s">
        <v>591</v>
      </c>
      <c r="BM172" s="378" t="s">
        <v>591</v>
      </c>
      <c r="BN172" s="1026" t="s">
        <v>591</v>
      </c>
      <c r="BO172" s="283"/>
      <c r="BP172" s="465"/>
      <c r="BQ172" s="916" t="s">
        <v>591</v>
      </c>
      <c r="BR172" s="1042" t="s">
        <v>591</v>
      </c>
      <c r="BS172" s="1043" t="s">
        <v>591</v>
      </c>
      <c r="BT172" s="405" t="s">
        <v>682</v>
      </c>
    </row>
    <row r="173" spans="1:72" ht="13.5" hidden="1" customHeight="1" x14ac:dyDescent="0.35">
      <c r="A173" s="683"/>
      <c r="B173" s="47"/>
      <c r="C173" s="3" t="s">
        <v>152</v>
      </c>
      <c r="D173" s="1128"/>
      <c r="E173" s="1164"/>
      <c r="F173" s="1165"/>
      <c r="G173" s="1165"/>
      <c r="H173" s="1165"/>
      <c r="I173" s="1165"/>
      <c r="J173" s="1165"/>
      <c r="K173" s="1165"/>
      <c r="L173" s="1165"/>
      <c r="M173" s="1166"/>
      <c r="N173" s="111" t="s">
        <v>17</v>
      </c>
      <c r="O173" s="16" t="s">
        <v>17</v>
      </c>
      <c r="P173" s="112" t="s">
        <v>17</v>
      </c>
      <c r="Q173" s="111" t="s">
        <v>17</v>
      </c>
      <c r="R173" s="16" t="s">
        <v>17</v>
      </c>
      <c r="S173" s="20" t="s">
        <v>17</v>
      </c>
      <c r="T173" s="114" t="s">
        <v>17</v>
      </c>
      <c r="U173" s="119" t="s">
        <v>153</v>
      </c>
      <c r="V173" s="13" t="s">
        <v>153</v>
      </c>
      <c r="W173" s="13" t="s">
        <v>154</v>
      </c>
      <c r="X173" s="190" t="s">
        <v>154</v>
      </c>
      <c r="Y173" s="119" t="s">
        <v>153</v>
      </c>
      <c r="Z173" s="13" t="s">
        <v>153</v>
      </c>
      <c r="AA173" s="13" t="s">
        <v>153</v>
      </c>
      <c r="AB173" s="13" t="s">
        <v>153</v>
      </c>
      <c r="AC173" s="102" t="s">
        <v>154</v>
      </c>
      <c r="AD173" s="87" t="s">
        <v>153</v>
      </c>
      <c r="AE173" s="13" t="s">
        <v>153</v>
      </c>
      <c r="AF173" s="13" t="s">
        <v>153</v>
      </c>
      <c r="AG173" s="13" t="s">
        <v>154</v>
      </c>
      <c r="AH173" s="36" t="s">
        <v>153</v>
      </c>
      <c r="AI173" s="13" t="s">
        <v>153</v>
      </c>
      <c r="AJ173" s="102" t="s">
        <v>153</v>
      </c>
      <c r="AK173" s="102" t="s">
        <v>153</v>
      </c>
      <c r="AL173" s="115" t="s">
        <v>379</v>
      </c>
      <c r="AM173" s="179" t="s">
        <v>379</v>
      </c>
      <c r="AN173" s="224" t="s">
        <v>379</v>
      </c>
      <c r="AO173" s="177" t="s">
        <v>379</v>
      </c>
      <c r="AP173" s="19" t="s">
        <v>379</v>
      </c>
      <c r="AQ173" s="179" t="s">
        <v>379</v>
      </c>
      <c r="AR173" s="113" t="s">
        <v>591</v>
      </c>
      <c r="AS173" s="20" t="s">
        <v>591</v>
      </c>
      <c r="AT173" s="224" t="s">
        <v>591</v>
      </c>
      <c r="AU173" s="113" t="s">
        <v>591</v>
      </c>
      <c r="AV173" s="114" t="s">
        <v>591</v>
      </c>
      <c r="AW173" s="113" t="s">
        <v>591</v>
      </c>
      <c r="AX173" s="20" t="s">
        <v>591</v>
      </c>
      <c r="AY173" s="20" t="s">
        <v>591</v>
      </c>
      <c r="AZ173" s="114" t="s">
        <v>591</v>
      </c>
      <c r="BA173" s="113" t="s">
        <v>379</v>
      </c>
      <c r="BB173" s="114" t="s">
        <v>591</v>
      </c>
      <c r="BC173" s="113" t="s">
        <v>591</v>
      </c>
      <c r="BD173" s="20" t="s">
        <v>591</v>
      </c>
      <c r="BE173" s="224" t="s">
        <v>591</v>
      </c>
      <c r="BF173" s="378" t="s">
        <v>591</v>
      </c>
      <c r="BG173" s="115" t="s">
        <v>379</v>
      </c>
      <c r="BH173" s="114" t="s">
        <v>591</v>
      </c>
      <c r="BI173" s="378" t="s">
        <v>379</v>
      </c>
      <c r="BJ173" s="113" t="s">
        <v>591</v>
      </c>
      <c r="BK173" s="20" t="s">
        <v>591</v>
      </c>
      <c r="BL173" s="114" t="s">
        <v>591</v>
      </c>
      <c r="BM173" s="378" t="s">
        <v>591</v>
      </c>
      <c r="BN173" s="1026" t="s">
        <v>591</v>
      </c>
      <c r="BO173" s="283"/>
      <c r="BP173" s="465"/>
      <c r="BQ173" s="916" t="s">
        <v>591</v>
      </c>
      <c r="BR173" s="1042" t="s">
        <v>591</v>
      </c>
      <c r="BS173" s="1043" t="s">
        <v>591</v>
      </c>
      <c r="BT173" s="405" t="s">
        <v>682</v>
      </c>
    </row>
    <row r="174" spans="1:72" ht="13.5" hidden="1" customHeight="1" x14ac:dyDescent="0.35">
      <c r="A174" s="683"/>
      <c r="B174" s="47"/>
      <c r="C174" s="3" t="s">
        <v>225</v>
      </c>
      <c r="D174" s="1128"/>
      <c r="E174" s="1164"/>
      <c r="F174" s="1165"/>
      <c r="G174" s="1165"/>
      <c r="H174" s="1165"/>
      <c r="I174" s="1165"/>
      <c r="J174" s="1165"/>
      <c r="K174" s="1165"/>
      <c r="L174" s="1165"/>
      <c r="M174" s="1166"/>
      <c r="N174" s="120"/>
      <c r="O174" s="30"/>
      <c r="P174" s="121"/>
      <c r="Q174" s="120"/>
      <c r="R174" s="30"/>
      <c r="S174" s="30"/>
      <c r="T174" s="121"/>
      <c r="U174" s="120"/>
      <c r="V174" s="30"/>
      <c r="W174" s="30"/>
      <c r="X174" s="193"/>
      <c r="Y174" s="120"/>
      <c r="Z174" s="30"/>
      <c r="AA174" s="30"/>
      <c r="AB174" s="30"/>
      <c r="AC174" s="102" t="s">
        <v>226</v>
      </c>
      <c r="AD174" s="87" t="s">
        <v>226</v>
      </c>
      <c r="AE174" s="13" t="s">
        <v>226</v>
      </c>
      <c r="AF174" s="13" t="s">
        <v>226</v>
      </c>
      <c r="AG174" s="13" t="s">
        <v>226</v>
      </c>
      <c r="AH174" s="36" t="s">
        <v>226</v>
      </c>
      <c r="AI174" s="13" t="s">
        <v>226</v>
      </c>
      <c r="AJ174" s="102" t="s">
        <v>343</v>
      </c>
      <c r="AK174" s="102" t="s">
        <v>343</v>
      </c>
      <c r="AL174" s="119" t="s">
        <v>196</v>
      </c>
      <c r="AM174" s="36" t="s">
        <v>196</v>
      </c>
      <c r="AN174" s="177" t="s">
        <v>196</v>
      </c>
      <c r="AO174" s="177" t="s">
        <v>196</v>
      </c>
      <c r="AP174" s="13" t="s">
        <v>196</v>
      </c>
      <c r="AQ174" s="36" t="s">
        <v>196</v>
      </c>
      <c r="AR174" s="113" t="s">
        <v>343</v>
      </c>
      <c r="AS174" s="20" t="s">
        <v>17</v>
      </c>
      <c r="AT174" s="224" t="s">
        <v>17</v>
      </c>
      <c r="AU174" s="111" t="s">
        <v>343</v>
      </c>
      <c r="AV174" s="112" t="s">
        <v>17</v>
      </c>
      <c r="AW174" s="111" t="s">
        <v>343</v>
      </c>
      <c r="AX174" s="16" t="s">
        <v>17</v>
      </c>
      <c r="AY174" s="20" t="s">
        <v>17</v>
      </c>
      <c r="AZ174" s="114" t="s">
        <v>17</v>
      </c>
      <c r="BA174" s="113" t="s">
        <v>17</v>
      </c>
      <c r="BB174" s="114" t="s">
        <v>17</v>
      </c>
      <c r="BC174" s="113" t="s">
        <v>343</v>
      </c>
      <c r="BD174" s="20" t="s">
        <v>17</v>
      </c>
      <c r="BE174" s="224" t="s">
        <v>17</v>
      </c>
      <c r="BF174" s="378" t="s">
        <v>17</v>
      </c>
      <c r="BG174" s="111" t="s">
        <v>17</v>
      </c>
      <c r="BH174" s="112" t="s">
        <v>17</v>
      </c>
      <c r="BI174" s="378" t="s">
        <v>17</v>
      </c>
      <c r="BJ174" s="113" t="s">
        <v>343</v>
      </c>
      <c r="BK174" s="20" t="s">
        <v>17</v>
      </c>
      <c r="BL174" s="114" t="s">
        <v>17</v>
      </c>
      <c r="BM174" s="377" t="s">
        <v>17</v>
      </c>
      <c r="BN174" s="1026" t="s">
        <v>343</v>
      </c>
      <c r="BO174" s="114"/>
      <c r="BP174" s="115"/>
      <c r="BQ174" s="917" t="s">
        <v>17</v>
      </c>
      <c r="BR174" s="133" t="s">
        <v>343</v>
      </c>
      <c r="BS174" s="26" t="s">
        <v>17</v>
      </c>
      <c r="BT174" s="405"/>
    </row>
    <row r="175" spans="1:72" ht="13.5" hidden="1" customHeight="1" x14ac:dyDescent="0.35">
      <c r="A175" s="683"/>
      <c r="B175" s="47"/>
      <c r="C175" s="3" t="s">
        <v>105</v>
      </c>
      <c r="D175" s="1128"/>
      <c r="E175" s="1164"/>
      <c r="F175" s="1165"/>
      <c r="G175" s="1165"/>
      <c r="H175" s="1165"/>
      <c r="I175" s="1165"/>
      <c r="J175" s="1165"/>
      <c r="K175" s="1165"/>
      <c r="L175" s="1165"/>
      <c r="M175" s="1166"/>
      <c r="N175" s="120"/>
      <c r="O175" s="30"/>
      <c r="P175" s="121"/>
      <c r="Q175" s="120"/>
      <c r="R175" s="30"/>
      <c r="S175" s="30"/>
      <c r="T175" s="121"/>
      <c r="U175" s="120"/>
      <c r="V175" s="30"/>
      <c r="W175" s="30"/>
      <c r="X175" s="193"/>
      <c r="Y175" s="120"/>
      <c r="Z175" s="30"/>
      <c r="AA175" s="30"/>
      <c r="AB175" s="30"/>
      <c r="AC175" s="102" t="s">
        <v>227</v>
      </c>
      <c r="AD175" s="87" t="s">
        <v>227</v>
      </c>
      <c r="AE175" s="13" t="s">
        <v>227</v>
      </c>
      <c r="AF175" s="13" t="s">
        <v>227</v>
      </c>
      <c r="AG175" s="13" t="s">
        <v>227</v>
      </c>
      <c r="AH175" s="36" t="s">
        <v>227</v>
      </c>
      <c r="AI175" s="13" t="s">
        <v>227</v>
      </c>
      <c r="AJ175" s="102" t="s">
        <v>344</v>
      </c>
      <c r="AK175" s="102" t="s">
        <v>344</v>
      </c>
      <c r="AL175" s="119" t="s">
        <v>196</v>
      </c>
      <c r="AM175" s="36" t="s">
        <v>196</v>
      </c>
      <c r="AN175" s="177" t="s">
        <v>196</v>
      </c>
      <c r="AO175" s="177" t="s">
        <v>196</v>
      </c>
      <c r="AP175" s="13" t="s">
        <v>196</v>
      </c>
      <c r="AQ175" s="36" t="s">
        <v>196</v>
      </c>
      <c r="AR175" s="113" t="s">
        <v>592</v>
      </c>
      <c r="AS175" s="20" t="s">
        <v>17</v>
      </c>
      <c r="AT175" s="224" t="s">
        <v>17</v>
      </c>
      <c r="AU175" s="113" t="s">
        <v>592</v>
      </c>
      <c r="AV175" s="114" t="s">
        <v>17</v>
      </c>
      <c r="AW175" s="113" t="s">
        <v>592</v>
      </c>
      <c r="AX175" s="16" t="s">
        <v>17</v>
      </c>
      <c r="AY175" s="20" t="s">
        <v>17</v>
      </c>
      <c r="AZ175" s="114" t="s">
        <v>17</v>
      </c>
      <c r="BA175" s="113" t="s">
        <v>17</v>
      </c>
      <c r="BB175" s="114" t="s">
        <v>17</v>
      </c>
      <c r="BC175" s="113" t="s">
        <v>343</v>
      </c>
      <c r="BD175" s="20" t="s">
        <v>17</v>
      </c>
      <c r="BE175" s="224" t="s">
        <v>17</v>
      </c>
      <c r="BF175" s="378" t="s">
        <v>17</v>
      </c>
      <c r="BG175" s="111" t="s">
        <v>17</v>
      </c>
      <c r="BH175" s="112" t="s">
        <v>17</v>
      </c>
      <c r="BI175" s="378" t="s">
        <v>17</v>
      </c>
      <c r="BJ175" s="113" t="s">
        <v>343</v>
      </c>
      <c r="BK175" s="20" t="s">
        <v>17</v>
      </c>
      <c r="BL175" s="114" t="s">
        <v>17</v>
      </c>
      <c r="BM175" s="377" t="s">
        <v>17</v>
      </c>
      <c r="BN175" s="1027" t="s">
        <v>343</v>
      </c>
      <c r="BO175" s="114"/>
      <c r="BP175" s="465"/>
      <c r="BQ175" s="917" t="s">
        <v>17</v>
      </c>
      <c r="BR175" s="1042" t="s">
        <v>592</v>
      </c>
      <c r="BS175" s="26" t="s">
        <v>17</v>
      </c>
      <c r="BT175" s="405"/>
    </row>
    <row r="176" spans="1:72" ht="13.5" hidden="1" customHeight="1" x14ac:dyDescent="0.35">
      <c r="A176" s="683"/>
      <c r="B176" s="47"/>
      <c r="C176" s="3" t="s">
        <v>106</v>
      </c>
      <c r="D176" s="1128"/>
      <c r="E176" s="1164"/>
      <c r="F176" s="1165"/>
      <c r="G176" s="1165"/>
      <c r="H176" s="1165"/>
      <c r="I176" s="1165"/>
      <c r="J176" s="1165"/>
      <c r="K176" s="1165"/>
      <c r="L176" s="1165"/>
      <c r="M176" s="1166"/>
      <c r="N176" s="120"/>
      <c r="O176" s="30"/>
      <c r="P176" s="121"/>
      <c r="Q176" s="120"/>
      <c r="R176" s="30"/>
      <c r="S176" s="30"/>
      <c r="T176" s="121"/>
      <c r="U176" s="120"/>
      <c r="V176" s="30"/>
      <c r="W176" s="30"/>
      <c r="X176" s="193"/>
      <c r="Y176" s="120"/>
      <c r="Z176" s="30"/>
      <c r="AA176" s="30"/>
      <c r="AB176" s="30"/>
      <c r="AC176" s="102" t="s">
        <v>228</v>
      </c>
      <c r="AD176" s="87" t="s">
        <v>228</v>
      </c>
      <c r="AE176" s="13" t="s">
        <v>228</v>
      </c>
      <c r="AF176" s="13" t="s">
        <v>228</v>
      </c>
      <c r="AG176" s="13" t="s">
        <v>228</v>
      </c>
      <c r="AH176" s="36" t="s">
        <v>228</v>
      </c>
      <c r="AI176" s="13" t="s">
        <v>228</v>
      </c>
      <c r="AJ176" s="102" t="s">
        <v>345</v>
      </c>
      <c r="AK176" s="102" t="s">
        <v>345</v>
      </c>
      <c r="AL176" s="119" t="s">
        <v>196</v>
      </c>
      <c r="AM176" s="36" t="s">
        <v>196</v>
      </c>
      <c r="AN176" s="177" t="s">
        <v>196</v>
      </c>
      <c r="AO176" s="177" t="s">
        <v>196</v>
      </c>
      <c r="AP176" s="13" t="s">
        <v>196</v>
      </c>
      <c r="AQ176" s="36" t="s">
        <v>196</v>
      </c>
      <c r="AR176" s="113" t="s">
        <v>345</v>
      </c>
      <c r="AS176" s="20" t="s">
        <v>17</v>
      </c>
      <c r="AT176" s="224" t="s">
        <v>17</v>
      </c>
      <c r="AU176" s="111" t="s">
        <v>345</v>
      </c>
      <c r="AV176" s="112" t="s">
        <v>17</v>
      </c>
      <c r="AW176" s="111" t="s">
        <v>345</v>
      </c>
      <c r="AX176" s="16" t="s">
        <v>17</v>
      </c>
      <c r="AY176" s="20" t="s">
        <v>17</v>
      </c>
      <c r="AZ176" s="114" t="s">
        <v>17</v>
      </c>
      <c r="BA176" s="113" t="s">
        <v>17</v>
      </c>
      <c r="BB176" s="114" t="s">
        <v>17</v>
      </c>
      <c r="BC176" s="113" t="s">
        <v>345</v>
      </c>
      <c r="BD176" s="20" t="s">
        <v>17</v>
      </c>
      <c r="BE176" s="224" t="s">
        <v>17</v>
      </c>
      <c r="BF176" s="378" t="s">
        <v>17</v>
      </c>
      <c r="BG176" s="111" t="s">
        <v>17</v>
      </c>
      <c r="BH176" s="112" t="s">
        <v>17</v>
      </c>
      <c r="BI176" s="378" t="s">
        <v>17</v>
      </c>
      <c r="BJ176" s="113" t="s">
        <v>345</v>
      </c>
      <c r="BK176" s="20" t="s">
        <v>17</v>
      </c>
      <c r="BL176" s="114" t="s">
        <v>17</v>
      </c>
      <c r="BM176" s="377" t="s">
        <v>17</v>
      </c>
      <c r="BN176" s="1026" t="s">
        <v>345</v>
      </c>
      <c r="BO176" s="114"/>
      <c r="BP176" s="115"/>
      <c r="BQ176" s="917" t="s">
        <v>17</v>
      </c>
      <c r="BR176" s="133" t="s">
        <v>345</v>
      </c>
      <c r="BS176" s="26" t="s">
        <v>17</v>
      </c>
      <c r="BT176" s="405"/>
    </row>
    <row r="177" spans="1:72" ht="13.5" hidden="1" customHeight="1" x14ac:dyDescent="0.35">
      <c r="A177" s="683"/>
      <c r="B177" s="47"/>
      <c r="C177" s="3" t="s">
        <v>107</v>
      </c>
      <c r="D177" s="1128"/>
      <c r="E177" s="1164"/>
      <c r="F177" s="1165"/>
      <c r="G177" s="1165"/>
      <c r="H177" s="1165"/>
      <c r="I177" s="1165"/>
      <c r="J177" s="1165"/>
      <c r="K177" s="1165"/>
      <c r="L177" s="1165"/>
      <c r="M177" s="1166"/>
      <c r="N177" s="120"/>
      <c r="O177" s="30"/>
      <c r="P177" s="121"/>
      <c r="Q177" s="120"/>
      <c r="R177" s="30"/>
      <c r="S177" s="30"/>
      <c r="T177" s="121"/>
      <c r="U177" s="120"/>
      <c r="V177" s="30"/>
      <c r="W177" s="30"/>
      <c r="X177" s="193"/>
      <c r="Y177" s="120"/>
      <c r="Z177" s="30"/>
      <c r="AA177" s="30"/>
      <c r="AB177" s="30"/>
      <c r="AC177" s="102" t="s">
        <v>229</v>
      </c>
      <c r="AD177" s="87" t="s">
        <v>229</v>
      </c>
      <c r="AE177" s="13" t="s">
        <v>229</v>
      </c>
      <c r="AF177" s="13" t="s">
        <v>229</v>
      </c>
      <c r="AG177" s="13" t="s">
        <v>229</v>
      </c>
      <c r="AH177" s="36" t="s">
        <v>229</v>
      </c>
      <c r="AI177" s="13" t="s">
        <v>229</v>
      </c>
      <c r="AJ177" s="102" t="s">
        <v>346</v>
      </c>
      <c r="AK177" s="102" t="s">
        <v>346</v>
      </c>
      <c r="AL177" s="119" t="s">
        <v>196</v>
      </c>
      <c r="AM177" s="36" t="s">
        <v>196</v>
      </c>
      <c r="AN177" s="177" t="s">
        <v>196</v>
      </c>
      <c r="AO177" s="177" t="s">
        <v>196</v>
      </c>
      <c r="AP177" s="13" t="s">
        <v>196</v>
      </c>
      <c r="AQ177" s="36" t="s">
        <v>196</v>
      </c>
      <c r="AR177" s="113" t="s">
        <v>346</v>
      </c>
      <c r="AS177" s="20" t="s">
        <v>17</v>
      </c>
      <c r="AT177" s="224" t="s">
        <v>17</v>
      </c>
      <c r="AU177" s="111" t="s">
        <v>346</v>
      </c>
      <c r="AV177" s="112" t="s">
        <v>17</v>
      </c>
      <c r="AW177" s="111" t="s">
        <v>346</v>
      </c>
      <c r="AX177" s="16" t="s">
        <v>17</v>
      </c>
      <c r="AY177" s="20" t="s">
        <v>17</v>
      </c>
      <c r="AZ177" s="114" t="s">
        <v>17</v>
      </c>
      <c r="BA177" s="113" t="s">
        <v>17</v>
      </c>
      <c r="BB177" s="114" t="s">
        <v>17</v>
      </c>
      <c r="BC177" s="113" t="s">
        <v>346</v>
      </c>
      <c r="BD177" s="20" t="s">
        <v>17</v>
      </c>
      <c r="BE177" s="224" t="s">
        <v>17</v>
      </c>
      <c r="BF177" s="378" t="s">
        <v>17</v>
      </c>
      <c r="BG177" s="111" t="s">
        <v>17</v>
      </c>
      <c r="BH177" s="112" t="s">
        <v>17</v>
      </c>
      <c r="BI177" s="378" t="s">
        <v>17</v>
      </c>
      <c r="BJ177" s="113" t="s">
        <v>346</v>
      </c>
      <c r="BK177" s="20" t="s">
        <v>17</v>
      </c>
      <c r="BL177" s="114" t="s">
        <v>17</v>
      </c>
      <c r="BM177" s="377" t="s">
        <v>17</v>
      </c>
      <c r="BN177" s="1026" t="s">
        <v>346</v>
      </c>
      <c r="BO177" s="114"/>
      <c r="BP177" s="115"/>
      <c r="BQ177" s="917" t="s">
        <v>17</v>
      </c>
      <c r="BR177" s="133" t="s">
        <v>346</v>
      </c>
      <c r="BS177" s="26" t="s">
        <v>17</v>
      </c>
      <c r="BT177" s="405"/>
    </row>
    <row r="178" spans="1:72" ht="13.5" hidden="1" customHeight="1" x14ac:dyDescent="0.35">
      <c r="A178" s="683"/>
      <c r="B178" s="47"/>
      <c r="C178" s="3" t="s">
        <v>108</v>
      </c>
      <c r="D178" s="1128"/>
      <c r="E178" s="1164"/>
      <c r="F178" s="1165"/>
      <c r="G178" s="1165"/>
      <c r="H178" s="1165"/>
      <c r="I178" s="1165"/>
      <c r="J178" s="1165"/>
      <c r="K178" s="1165"/>
      <c r="L178" s="1165"/>
      <c r="M178" s="1166"/>
      <c r="N178" s="120"/>
      <c r="O178" s="30"/>
      <c r="P178" s="121"/>
      <c r="Q178" s="120"/>
      <c r="R178" s="30"/>
      <c r="S178" s="30"/>
      <c r="T178" s="121"/>
      <c r="U178" s="120"/>
      <c r="V178" s="30"/>
      <c r="W178" s="30"/>
      <c r="X178" s="193"/>
      <c r="Y178" s="120"/>
      <c r="Z178" s="30"/>
      <c r="AA178" s="30"/>
      <c r="AB178" s="30"/>
      <c r="AC178" s="102" t="s">
        <v>230</v>
      </c>
      <c r="AD178" s="87" t="s">
        <v>230</v>
      </c>
      <c r="AE178" s="13" t="s">
        <v>230</v>
      </c>
      <c r="AF178" s="13" t="s">
        <v>230</v>
      </c>
      <c r="AG178" s="13" t="s">
        <v>230</v>
      </c>
      <c r="AH178" s="36" t="s">
        <v>230</v>
      </c>
      <c r="AI178" s="13" t="s">
        <v>230</v>
      </c>
      <c r="AJ178" s="102" t="s">
        <v>347</v>
      </c>
      <c r="AK178" s="102" t="s">
        <v>347</v>
      </c>
      <c r="AL178" s="119" t="s">
        <v>196</v>
      </c>
      <c r="AM178" s="36" t="s">
        <v>196</v>
      </c>
      <c r="AN178" s="177" t="s">
        <v>196</v>
      </c>
      <c r="AO178" s="177" t="s">
        <v>196</v>
      </c>
      <c r="AP178" s="13" t="s">
        <v>196</v>
      </c>
      <c r="AQ178" s="36" t="s">
        <v>196</v>
      </c>
      <c r="AR178" s="113" t="s">
        <v>347</v>
      </c>
      <c r="AS178" s="20" t="s">
        <v>17</v>
      </c>
      <c r="AT178" s="224" t="s">
        <v>17</v>
      </c>
      <c r="AU178" s="111" t="s">
        <v>347</v>
      </c>
      <c r="AV178" s="112" t="s">
        <v>17</v>
      </c>
      <c r="AW178" s="111" t="s">
        <v>347</v>
      </c>
      <c r="AX178" s="16" t="s">
        <v>17</v>
      </c>
      <c r="AY178" s="20" t="s">
        <v>17</v>
      </c>
      <c r="AZ178" s="114" t="s">
        <v>17</v>
      </c>
      <c r="BA178" s="113" t="s">
        <v>17</v>
      </c>
      <c r="BB178" s="114" t="s">
        <v>17</v>
      </c>
      <c r="BC178" s="113" t="s">
        <v>347</v>
      </c>
      <c r="BD178" s="20" t="s">
        <v>17</v>
      </c>
      <c r="BE178" s="224" t="s">
        <v>17</v>
      </c>
      <c r="BF178" s="378" t="s">
        <v>17</v>
      </c>
      <c r="BG178" s="111" t="s">
        <v>17</v>
      </c>
      <c r="BH178" s="112" t="s">
        <v>17</v>
      </c>
      <c r="BI178" s="378" t="s">
        <v>17</v>
      </c>
      <c r="BJ178" s="113" t="s">
        <v>347</v>
      </c>
      <c r="BK178" s="20" t="s">
        <v>17</v>
      </c>
      <c r="BL178" s="114" t="s">
        <v>17</v>
      </c>
      <c r="BM178" s="377" t="s">
        <v>17</v>
      </c>
      <c r="BN178" s="1026" t="s">
        <v>347</v>
      </c>
      <c r="BO178" s="114"/>
      <c r="BP178" s="115"/>
      <c r="BQ178" s="917" t="s">
        <v>17</v>
      </c>
      <c r="BR178" s="133" t="s">
        <v>347</v>
      </c>
      <c r="BS178" s="26" t="s">
        <v>17</v>
      </c>
      <c r="BT178" s="405"/>
    </row>
    <row r="179" spans="1:72" ht="13.5" hidden="1" customHeight="1" x14ac:dyDescent="0.35">
      <c r="A179" s="683"/>
      <c r="B179" s="47"/>
      <c r="C179" s="3" t="s">
        <v>109</v>
      </c>
      <c r="D179" s="1128"/>
      <c r="E179" s="1164"/>
      <c r="F179" s="1165"/>
      <c r="G179" s="1165"/>
      <c r="H179" s="1165"/>
      <c r="I179" s="1165"/>
      <c r="J179" s="1165"/>
      <c r="K179" s="1165"/>
      <c r="L179" s="1165"/>
      <c r="M179" s="1166"/>
      <c r="N179" s="120"/>
      <c r="O179" s="30"/>
      <c r="P179" s="121"/>
      <c r="Q179" s="120"/>
      <c r="R179" s="30"/>
      <c r="S179" s="30"/>
      <c r="T179" s="121"/>
      <c r="U179" s="120"/>
      <c r="V179" s="30"/>
      <c r="W179" s="30"/>
      <c r="X179" s="193"/>
      <c r="Y179" s="120"/>
      <c r="Z179" s="30"/>
      <c r="AA179" s="30"/>
      <c r="AB179" s="30"/>
      <c r="AC179" s="102" t="s">
        <v>231</v>
      </c>
      <c r="AD179" s="87" t="s">
        <v>231</v>
      </c>
      <c r="AE179" s="13" t="s">
        <v>231</v>
      </c>
      <c r="AF179" s="13" t="s">
        <v>231</v>
      </c>
      <c r="AG179" s="13" t="s">
        <v>231</v>
      </c>
      <c r="AH179" s="36" t="s">
        <v>231</v>
      </c>
      <c r="AI179" s="13" t="s">
        <v>231</v>
      </c>
      <c r="AJ179" s="102" t="s">
        <v>348</v>
      </c>
      <c r="AK179" s="102" t="s">
        <v>348</v>
      </c>
      <c r="AL179" s="119" t="s">
        <v>196</v>
      </c>
      <c r="AM179" s="36" t="s">
        <v>196</v>
      </c>
      <c r="AN179" s="177" t="s">
        <v>196</v>
      </c>
      <c r="AO179" s="177" t="s">
        <v>196</v>
      </c>
      <c r="AP179" s="13" t="s">
        <v>196</v>
      </c>
      <c r="AQ179" s="36" t="s">
        <v>196</v>
      </c>
      <c r="AR179" s="113" t="s">
        <v>593</v>
      </c>
      <c r="AS179" s="20" t="s">
        <v>17</v>
      </c>
      <c r="AT179" s="224" t="s">
        <v>17</v>
      </c>
      <c r="AU179" s="113" t="s">
        <v>593</v>
      </c>
      <c r="AV179" s="114" t="s">
        <v>17</v>
      </c>
      <c r="AW179" s="113" t="s">
        <v>593</v>
      </c>
      <c r="AX179" s="16" t="s">
        <v>17</v>
      </c>
      <c r="AY179" s="20" t="s">
        <v>17</v>
      </c>
      <c r="AZ179" s="114" t="s">
        <v>17</v>
      </c>
      <c r="BA179" s="113" t="s">
        <v>17</v>
      </c>
      <c r="BB179" s="114" t="s">
        <v>17</v>
      </c>
      <c r="BC179" s="113" t="s">
        <v>343</v>
      </c>
      <c r="BD179" s="20" t="s">
        <v>17</v>
      </c>
      <c r="BE179" s="224" t="s">
        <v>17</v>
      </c>
      <c r="BF179" s="378" t="s">
        <v>17</v>
      </c>
      <c r="BG179" s="111" t="s">
        <v>17</v>
      </c>
      <c r="BH179" s="112" t="s">
        <v>17</v>
      </c>
      <c r="BI179" s="378" t="s">
        <v>17</v>
      </c>
      <c r="BJ179" s="113" t="s">
        <v>343</v>
      </c>
      <c r="BK179" s="20" t="s">
        <v>17</v>
      </c>
      <c r="BL179" s="114" t="s">
        <v>17</v>
      </c>
      <c r="BM179" s="377" t="s">
        <v>17</v>
      </c>
      <c r="BN179" s="133" t="s">
        <v>343</v>
      </c>
      <c r="BO179" s="114"/>
      <c r="BP179" s="465"/>
      <c r="BQ179" s="917" t="s">
        <v>17</v>
      </c>
      <c r="BR179" s="1042" t="s">
        <v>593</v>
      </c>
      <c r="BS179" s="26" t="s">
        <v>17</v>
      </c>
      <c r="BT179" s="405"/>
    </row>
    <row r="180" spans="1:72" ht="13.5" hidden="1" customHeight="1" x14ac:dyDescent="0.35">
      <c r="A180" s="683"/>
      <c r="B180" s="47"/>
      <c r="C180" s="3" t="s">
        <v>110</v>
      </c>
      <c r="D180" s="1128"/>
      <c r="E180" s="1164"/>
      <c r="F180" s="1165"/>
      <c r="G180" s="1165"/>
      <c r="H180" s="1165"/>
      <c r="I180" s="1165"/>
      <c r="J180" s="1165"/>
      <c r="K180" s="1165"/>
      <c r="L180" s="1165"/>
      <c r="M180" s="1166"/>
      <c r="N180" s="120"/>
      <c r="O180" s="30"/>
      <c r="P180" s="121"/>
      <c r="Q180" s="120"/>
      <c r="R180" s="30"/>
      <c r="S180" s="30"/>
      <c r="T180" s="121"/>
      <c r="U180" s="120"/>
      <c r="V180" s="30"/>
      <c r="W180" s="30"/>
      <c r="X180" s="193"/>
      <c r="Y180" s="120"/>
      <c r="Z180" s="30"/>
      <c r="AA180" s="30"/>
      <c r="AB180" s="30"/>
      <c r="AC180" s="102" t="s">
        <v>232</v>
      </c>
      <c r="AD180" s="87" t="s">
        <v>232</v>
      </c>
      <c r="AE180" s="13" t="s">
        <v>232</v>
      </c>
      <c r="AF180" s="13" t="s">
        <v>232</v>
      </c>
      <c r="AG180" s="13" t="s">
        <v>232</v>
      </c>
      <c r="AH180" s="36" t="s">
        <v>232</v>
      </c>
      <c r="AI180" s="13" t="s">
        <v>232</v>
      </c>
      <c r="AJ180" s="102" t="s">
        <v>349</v>
      </c>
      <c r="AK180" s="102" t="s">
        <v>349</v>
      </c>
      <c r="AL180" s="119" t="s">
        <v>196</v>
      </c>
      <c r="AM180" s="36" t="s">
        <v>196</v>
      </c>
      <c r="AN180" s="177" t="s">
        <v>196</v>
      </c>
      <c r="AO180" s="177" t="s">
        <v>196</v>
      </c>
      <c r="AP180" s="13" t="s">
        <v>196</v>
      </c>
      <c r="AQ180" s="36" t="s">
        <v>196</v>
      </c>
      <c r="AR180" s="113" t="s">
        <v>594</v>
      </c>
      <c r="AS180" s="20" t="s">
        <v>17</v>
      </c>
      <c r="AT180" s="224" t="s">
        <v>17</v>
      </c>
      <c r="AU180" s="113" t="s">
        <v>594</v>
      </c>
      <c r="AV180" s="114" t="s">
        <v>17</v>
      </c>
      <c r="AW180" s="113" t="s">
        <v>594</v>
      </c>
      <c r="AX180" s="16" t="s">
        <v>17</v>
      </c>
      <c r="AY180" s="20" t="s">
        <v>17</v>
      </c>
      <c r="AZ180" s="114" t="s">
        <v>17</v>
      </c>
      <c r="BA180" s="113" t="s">
        <v>17</v>
      </c>
      <c r="BB180" s="114" t="s">
        <v>17</v>
      </c>
      <c r="BC180" s="113" t="s">
        <v>343</v>
      </c>
      <c r="BD180" s="20" t="s">
        <v>17</v>
      </c>
      <c r="BE180" s="224" t="s">
        <v>17</v>
      </c>
      <c r="BF180" s="378" t="s">
        <v>17</v>
      </c>
      <c r="BG180" s="111" t="s">
        <v>17</v>
      </c>
      <c r="BH180" s="112" t="s">
        <v>17</v>
      </c>
      <c r="BI180" s="378" t="s">
        <v>17</v>
      </c>
      <c r="BJ180" s="113" t="s">
        <v>343</v>
      </c>
      <c r="BK180" s="20" t="s">
        <v>17</v>
      </c>
      <c r="BL180" s="114" t="s">
        <v>17</v>
      </c>
      <c r="BM180" s="377" t="s">
        <v>17</v>
      </c>
      <c r="BN180" s="133" t="s">
        <v>343</v>
      </c>
      <c r="BO180" s="114"/>
      <c r="BP180" s="465"/>
      <c r="BQ180" s="917" t="s">
        <v>17</v>
      </c>
      <c r="BR180" s="1042" t="s">
        <v>594</v>
      </c>
      <c r="BS180" s="26" t="s">
        <v>17</v>
      </c>
      <c r="BT180" s="405"/>
    </row>
    <row r="181" spans="1:72" ht="13.5" hidden="1" customHeight="1" x14ac:dyDescent="0.35">
      <c r="A181" s="683"/>
      <c r="B181" s="47"/>
      <c r="C181" s="3" t="s">
        <v>111</v>
      </c>
      <c r="D181" s="1128"/>
      <c r="E181" s="1164"/>
      <c r="F181" s="1165"/>
      <c r="G181" s="1165"/>
      <c r="H181" s="1165"/>
      <c r="I181" s="1165"/>
      <c r="J181" s="1165"/>
      <c r="K181" s="1165"/>
      <c r="L181" s="1165"/>
      <c r="M181" s="1166"/>
      <c r="N181" s="120"/>
      <c r="O181" s="30"/>
      <c r="P181" s="121"/>
      <c r="Q181" s="120"/>
      <c r="R181" s="30"/>
      <c r="S181" s="30"/>
      <c r="T181" s="121"/>
      <c r="U181" s="120"/>
      <c r="V181" s="30"/>
      <c r="W181" s="30"/>
      <c r="X181" s="193"/>
      <c r="Y181" s="120"/>
      <c r="Z181" s="30"/>
      <c r="AA181" s="30"/>
      <c r="AB181" s="30"/>
      <c r="AC181" s="102" t="s">
        <v>233</v>
      </c>
      <c r="AD181" s="87" t="s">
        <v>233</v>
      </c>
      <c r="AE181" s="13" t="s">
        <v>233</v>
      </c>
      <c r="AF181" s="13" t="s">
        <v>233</v>
      </c>
      <c r="AG181" s="13" t="s">
        <v>233</v>
      </c>
      <c r="AH181" s="36" t="s">
        <v>233</v>
      </c>
      <c r="AI181" s="13" t="s">
        <v>233</v>
      </c>
      <c r="AJ181" s="102" t="s">
        <v>350</v>
      </c>
      <c r="AK181" s="102" t="s">
        <v>350</v>
      </c>
      <c r="AL181" s="119" t="s">
        <v>196</v>
      </c>
      <c r="AM181" s="36" t="s">
        <v>196</v>
      </c>
      <c r="AN181" s="177" t="s">
        <v>196</v>
      </c>
      <c r="AO181" s="177" t="s">
        <v>196</v>
      </c>
      <c r="AP181" s="13" t="s">
        <v>196</v>
      </c>
      <c r="AQ181" s="36" t="s">
        <v>196</v>
      </c>
      <c r="AR181" s="113" t="s">
        <v>350</v>
      </c>
      <c r="AS181" s="20" t="s">
        <v>17</v>
      </c>
      <c r="AT181" s="224" t="s">
        <v>17</v>
      </c>
      <c r="AU181" s="111" t="s">
        <v>350</v>
      </c>
      <c r="AV181" s="112" t="s">
        <v>17</v>
      </c>
      <c r="AW181" s="111" t="s">
        <v>350</v>
      </c>
      <c r="AX181" s="16" t="s">
        <v>17</v>
      </c>
      <c r="AY181" s="20" t="s">
        <v>17</v>
      </c>
      <c r="AZ181" s="114" t="s">
        <v>17</v>
      </c>
      <c r="BA181" s="113" t="s">
        <v>17</v>
      </c>
      <c r="BB181" s="114" t="s">
        <v>17</v>
      </c>
      <c r="BC181" s="113" t="s">
        <v>350</v>
      </c>
      <c r="BD181" s="20" t="s">
        <v>17</v>
      </c>
      <c r="BE181" s="224" t="s">
        <v>17</v>
      </c>
      <c r="BF181" s="378" t="s">
        <v>17</v>
      </c>
      <c r="BG181" s="111" t="s">
        <v>17</v>
      </c>
      <c r="BH181" s="112" t="s">
        <v>17</v>
      </c>
      <c r="BI181" s="378" t="s">
        <v>17</v>
      </c>
      <c r="BJ181" s="113" t="s">
        <v>350</v>
      </c>
      <c r="BK181" s="20" t="s">
        <v>17</v>
      </c>
      <c r="BL181" s="114" t="s">
        <v>17</v>
      </c>
      <c r="BM181" s="377" t="s">
        <v>17</v>
      </c>
      <c r="BN181" s="133" t="s">
        <v>350</v>
      </c>
      <c r="BO181" s="114"/>
      <c r="BP181" s="115"/>
      <c r="BQ181" s="917" t="s">
        <v>17</v>
      </c>
      <c r="BR181" s="133" t="s">
        <v>350</v>
      </c>
      <c r="BS181" s="26" t="s">
        <v>17</v>
      </c>
      <c r="BT181" s="405"/>
    </row>
    <row r="182" spans="1:72" ht="13.5" hidden="1" customHeight="1" x14ac:dyDescent="0.35">
      <c r="A182" s="683"/>
      <c r="B182" s="47"/>
      <c r="C182" s="3" t="s">
        <v>112</v>
      </c>
      <c r="D182" s="1128"/>
      <c r="E182" s="1164"/>
      <c r="F182" s="1165"/>
      <c r="G182" s="1165"/>
      <c r="H182" s="1165"/>
      <c r="I182" s="1165"/>
      <c r="J182" s="1165"/>
      <c r="K182" s="1165"/>
      <c r="L182" s="1165"/>
      <c r="M182" s="1166"/>
      <c r="N182" s="120"/>
      <c r="O182" s="30"/>
      <c r="P182" s="121"/>
      <c r="Q182" s="120"/>
      <c r="R182" s="30"/>
      <c r="S182" s="30"/>
      <c r="T182" s="121"/>
      <c r="U182" s="120"/>
      <c r="V182" s="30"/>
      <c r="W182" s="30"/>
      <c r="X182" s="193"/>
      <c r="Y182" s="120"/>
      <c r="Z182" s="30"/>
      <c r="AA182" s="30"/>
      <c r="AB182" s="30"/>
      <c r="AC182" s="102" t="s">
        <v>234</v>
      </c>
      <c r="AD182" s="87" t="s">
        <v>234</v>
      </c>
      <c r="AE182" s="13" t="s">
        <v>234</v>
      </c>
      <c r="AF182" s="13" t="s">
        <v>234</v>
      </c>
      <c r="AG182" s="13" t="s">
        <v>234</v>
      </c>
      <c r="AH182" s="36" t="s">
        <v>234</v>
      </c>
      <c r="AI182" s="13" t="s">
        <v>234</v>
      </c>
      <c r="AJ182" s="102" t="s">
        <v>351</v>
      </c>
      <c r="AK182" s="102" t="s">
        <v>351</v>
      </c>
      <c r="AL182" s="119" t="s">
        <v>196</v>
      </c>
      <c r="AM182" s="36" t="s">
        <v>196</v>
      </c>
      <c r="AN182" s="177" t="s">
        <v>196</v>
      </c>
      <c r="AO182" s="177" t="s">
        <v>196</v>
      </c>
      <c r="AP182" s="13" t="s">
        <v>196</v>
      </c>
      <c r="AQ182" s="36" t="s">
        <v>196</v>
      </c>
      <c r="AR182" s="113" t="s">
        <v>595</v>
      </c>
      <c r="AS182" s="20" t="s">
        <v>17</v>
      </c>
      <c r="AT182" s="224" t="s">
        <v>17</v>
      </c>
      <c r="AU182" s="113" t="s">
        <v>595</v>
      </c>
      <c r="AV182" s="114" t="s">
        <v>17</v>
      </c>
      <c r="AW182" s="113" t="s">
        <v>595</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133" t="s">
        <v>353</v>
      </c>
      <c r="BO182" s="114"/>
      <c r="BP182" s="465"/>
      <c r="BQ182" s="917" t="s">
        <v>17</v>
      </c>
      <c r="BR182" s="1042" t="s">
        <v>595</v>
      </c>
      <c r="BS182" s="26" t="s">
        <v>17</v>
      </c>
      <c r="BT182" s="405"/>
    </row>
    <row r="183" spans="1:72" ht="13.5" hidden="1" customHeight="1" x14ac:dyDescent="0.35">
      <c r="A183" s="683"/>
      <c r="B183" s="47"/>
      <c r="C183" s="3" t="s">
        <v>144</v>
      </c>
      <c r="D183" s="1128"/>
      <c r="E183" s="1164"/>
      <c r="F183" s="1165"/>
      <c r="G183" s="1165"/>
      <c r="H183" s="1165"/>
      <c r="I183" s="1165"/>
      <c r="J183" s="1165"/>
      <c r="K183" s="1165"/>
      <c r="L183" s="1165"/>
      <c r="M183" s="1166"/>
      <c r="N183" s="120"/>
      <c r="O183" s="30"/>
      <c r="P183" s="121"/>
      <c r="Q183" s="120"/>
      <c r="R183" s="30"/>
      <c r="S183" s="30"/>
      <c r="T183" s="121"/>
      <c r="U183" s="120"/>
      <c r="V183" s="30"/>
      <c r="W183" s="30"/>
      <c r="X183" s="193"/>
      <c r="Y183" s="120"/>
      <c r="Z183" s="30"/>
      <c r="AA183" s="30"/>
      <c r="AB183" s="30"/>
      <c r="AC183" s="102" t="s">
        <v>235</v>
      </c>
      <c r="AD183" s="87" t="s">
        <v>235</v>
      </c>
      <c r="AE183" s="13" t="s">
        <v>235</v>
      </c>
      <c r="AF183" s="13" t="s">
        <v>235</v>
      </c>
      <c r="AG183" s="13" t="s">
        <v>235</v>
      </c>
      <c r="AH183" s="36" t="s">
        <v>235</v>
      </c>
      <c r="AI183" s="13" t="s">
        <v>235</v>
      </c>
      <c r="AJ183" s="102" t="s">
        <v>352</v>
      </c>
      <c r="AK183" s="102" t="s">
        <v>352</v>
      </c>
      <c r="AL183" s="119" t="s">
        <v>196</v>
      </c>
      <c r="AM183" s="36" t="s">
        <v>196</v>
      </c>
      <c r="AN183" s="177" t="s">
        <v>196</v>
      </c>
      <c r="AO183" s="177" t="s">
        <v>196</v>
      </c>
      <c r="AP183" s="13" t="s">
        <v>196</v>
      </c>
      <c r="AQ183" s="36" t="s">
        <v>196</v>
      </c>
      <c r="AR183" s="113" t="s">
        <v>352</v>
      </c>
      <c r="AS183" s="20" t="s">
        <v>17</v>
      </c>
      <c r="AT183" s="224" t="s">
        <v>17</v>
      </c>
      <c r="AU183" s="111" t="s">
        <v>352</v>
      </c>
      <c r="AV183" s="112" t="s">
        <v>17</v>
      </c>
      <c r="AW183" s="111" t="s">
        <v>352</v>
      </c>
      <c r="AX183" s="16" t="s">
        <v>17</v>
      </c>
      <c r="AY183" s="20" t="s">
        <v>17</v>
      </c>
      <c r="AZ183" s="114" t="s">
        <v>17</v>
      </c>
      <c r="BA183" s="113" t="s">
        <v>17</v>
      </c>
      <c r="BB183" s="114" t="s">
        <v>17</v>
      </c>
      <c r="BC183" s="113" t="s">
        <v>352</v>
      </c>
      <c r="BD183" s="20" t="s">
        <v>17</v>
      </c>
      <c r="BE183" s="224" t="s">
        <v>17</v>
      </c>
      <c r="BF183" s="378" t="s">
        <v>17</v>
      </c>
      <c r="BG183" s="111" t="s">
        <v>17</v>
      </c>
      <c r="BH183" s="112" t="s">
        <v>17</v>
      </c>
      <c r="BI183" s="378" t="s">
        <v>17</v>
      </c>
      <c r="BJ183" s="113" t="s">
        <v>352</v>
      </c>
      <c r="BK183" s="20" t="s">
        <v>17</v>
      </c>
      <c r="BL183" s="114" t="s">
        <v>17</v>
      </c>
      <c r="BM183" s="377" t="s">
        <v>17</v>
      </c>
      <c r="BN183" s="736" t="s">
        <v>352</v>
      </c>
      <c r="BO183" s="114"/>
      <c r="BP183" s="115"/>
      <c r="BQ183" s="917" t="s">
        <v>17</v>
      </c>
      <c r="BR183" s="133" t="s">
        <v>352</v>
      </c>
      <c r="BS183" s="26" t="s">
        <v>17</v>
      </c>
      <c r="BT183" s="405"/>
    </row>
    <row r="184" spans="1:72" ht="13.5" hidden="1" customHeight="1" x14ac:dyDescent="0.35">
      <c r="A184" s="683"/>
      <c r="B184" s="47"/>
      <c r="C184" s="3" t="s">
        <v>145</v>
      </c>
      <c r="D184" s="1128"/>
      <c r="E184" s="1164"/>
      <c r="F184" s="1165"/>
      <c r="G184" s="1165"/>
      <c r="H184" s="1165"/>
      <c r="I184" s="1165"/>
      <c r="J184" s="1165"/>
      <c r="K184" s="1165"/>
      <c r="L184" s="1165"/>
      <c r="M184" s="1166"/>
      <c r="N184" s="120"/>
      <c r="O184" s="30"/>
      <c r="P184" s="121"/>
      <c r="Q184" s="120"/>
      <c r="R184" s="30"/>
      <c r="S184" s="30"/>
      <c r="T184" s="121"/>
      <c r="U184" s="120"/>
      <c r="V184" s="30"/>
      <c r="W184" s="30"/>
      <c r="X184" s="193"/>
      <c r="Y184" s="120"/>
      <c r="Z184" s="30"/>
      <c r="AA184" s="30"/>
      <c r="AB184" s="30"/>
      <c r="AC184" s="102" t="s">
        <v>236</v>
      </c>
      <c r="AD184" s="87" t="s">
        <v>236</v>
      </c>
      <c r="AE184" s="13" t="s">
        <v>236</v>
      </c>
      <c r="AF184" s="13" t="s">
        <v>236</v>
      </c>
      <c r="AG184" s="13" t="s">
        <v>236</v>
      </c>
      <c r="AH184" s="36" t="s">
        <v>236</v>
      </c>
      <c r="AI184" s="13" t="s">
        <v>236</v>
      </c>
      <c r="AJ184" s="102" t="s">
        <v>353</v>
      </c>
      <c r="AK184" s="102" t="s">
        <v>353</v>
      </c>
      <c r="AL184" s="119" t="s">
        <v>196</v>
      </c>
      <c r="AM184" s="36" t="s">
        <v>196</v>
      </c>
      <c r="AN184" s="177" t="s">
        <v>196</v>
      </c>
      <c r="AO184" s="177" t="s">
        <v>196</v>
      </c>
      <c r="AP184" s="13" t="s">
        <v>196</v>
      </c>
      <c r="AQ184" s="36" t="s">
        <v>196</v>
      </c>
      <c r="AR184" s="113" t="s">
        <v>353</v>
      </c>
      <c r="AS184" s="20" t="s">
        <v>17</v>
      </c>
      <c r="AT184" s="224" t="s">
        <v>17</v>
      </c>
      <c r="AU184" s="111" t="s">
        <v>353</v>
      </c>
      <c r="AV184" s="112" t="s">
        <v>17</v>
      </c>
      <c r="AW184" s="111" t="s">
        <v>353</v>
      </c>
      <c r="AX184" s="16" t="s">
        <v>17</v>
      </c>
      <c r="AY184" s="20" t="s">
        <v>17</v>
      </c>
      <c r="AZ184" s="114" t="s">
        <v>17</v>
      </c>
      <c r="BA184" s="113" t="s">
        <v>17</v>
      </c>
      <c r="BB184" s="114" t="s">
        <v>17</v>
      </c>
      <c r="BC184" s="113" t="s">
        <v>353</v>
      </c>
      <c r="BD184" s="20" t="s">
        <v>17</v>
      </c>
      <c r="BE184" s="224" t="s">
        <v>17</v>
      </c>
      <c r="BF184" s="378" t="s">
        <v>17</v>
      </c>
      <c r="BG184" s="111" t="s">
        <v>17</v>
      </c>
      <c r="BH184" s="112" t="s">
        <v>17</v>
      </c>
      <c r="BI184" s="378" t="s">
        <v>17</v>
      </c>
      <c r="BJ184" s="113" t="s">
        <v>353</v>
      </c>
      <c r="BK184" s="20" t="s">
        <v>17</v>
      </c>
      <c r="BL184" s="114" t="s">
        <v>17</v>
      </c>
      <c r="BM184" s="377" t="s">
        <v>17</v>
      </c>
      <c r="BN184" s="722" t="s">
        <v>353</v>
      </c>
      <c r="BO184" s="114"/>
      <c r="BP184" s="115"/>
      <c r="BQ184" s="112" t="s">
        <v>17</v>
      </c>
      <c r="BR184" s="133" t="s">
        <v>353</v>
      </c>
      <c r="BS184" s="26" t="s">
        <v>17</v>
      </c>
      <c r="BT184" s="405"/>
    </row>
    <row r="185" spans="1:72" ht="13.5" hidden="1" customHeight="1" x14ac:dyDescent="0.35">
      <c r="A185" s="683"/>
      <c r="B185" s="47"/>
      <c r="C185" s="3" t="s">
        <v>58</v>
      </c>
      <c r="D185" s="1128"/>
      <c r="E185" s="1164"/>
      <c r="F185" s="1165"/>
      <c r="G185" s="1165"/>
      <c r="H185" s="1165"/>
      <c r="I185" s="1165"/>
      <c r="J185" s="1165"/>
      <c r="K185" s="1165"/>
      <c r="L185" s="1165"/>
      <c r="M185" s="1166"/>
      <c r="N185" s="120"/>
      <c r="O185" s="30"/>
      <c r="P185" s="121"/>
      <c r="Q185" s="120"/>
      <c r="R185" s="30"/>
      <c r="S185" s="30"/>
      <c r="T185" s="121"/>
      <c r="U185" s="120"/>
      <c r="V185" s="30"/>
      <c r="W185" s="13" t="s">
        <v>8</v>
      </c>
      <c r="X185" s="190" t="s">
        <v>8</v>
      </c>
      <c r="Y185" s="119" t="s">
        <v>17</v>
      </c>
      <c r="Z185" s="13" t="s">
        <v>17</v>
      </c>
      <c r="AA185" s="13" t="s">
        <v>17</v>
      </c>
      <c r="AB185" s="13" t="s">
        <v>17</v>
      </c>
      <c r="AC185" s="102" t="s">
        <v>17</v>
      </c>
      <c r="AD185" s="83" t="s">
        <v>17</v>
      </c>
      <c r="AE185" s="16" t="s">
        <v>17</v>
      </c>
      <c r="AF185" s="16" t="s">
        <v>17</v>
      </c>
      <c r="AG185" s="522" t="s">
        <v>8</v>
      </c>
      <c r="AH185" s="36" t="s">
        <v>17</v>
      </c>
      <c r="AI185" s="16" t="s">
        <v>17</v>
      </c>
      <c r="AJ185" s="102" t="s">
        <v>17</v>
      </c>
      <c r="AK185" s="102" t="s">
        <v>17</v>
      </c>
      <c r="AL185" s="119" t="s">
        <v>357</v>
      </c>
      <c r="AM185" s="36" t="s">
        <v>357</v>
      </c>
      <c r="AN185" s="177" t="s">
        <v>357</v>
      </c>
      <c r="AO185" s="177" t="s">
        <v>357</v>
      </c>
      <c r="AP185" s="13" t="s">
        <v>357</v>
      </c>
      <c r="AQ185" s="36" t="s">
        <v>357</v>
      </c>
      <c r="AR185" s="119" t="s">
        <v>17</v>
      </c>
      <c r="AS185" s="16" t="s">
        <v>17</v>
      </c>
      <c r="AT185" s="177" t="s">
        <v>17</v>
      </c>
      <c r="AU185" s="119" t="s">
        <v>17</v>
      </c>
      <c r="AV185" s="112" t="s">
        <v>17</v>
      </c>
      <c r="AW185" s="119" t="s">
        <v>17</v>
      </c>
      <c r="AX185" s="16" t="s">
        <v>17</v>
      </c>
      <c r="AY185" s="16" t="s">
        <v>17</v>
      </c>
      <c r="AZ185" s="112" t="s">
        <v>17</v>
      </c>
      <c r="BA185" s="133" t="s">
        <v>357</v>
      </c>
      <c r="BB185" s="112" t="s">
        <v>17</v>
      </c>
      <c r="BC185" s="722" t="s">
        <v>17</v>
      </c>
      <c r="BD185" s="779" t="s">
        <v>17</v>
      </c>
      <c r="BE185" s="177" t="s">
        <v>17</v>
      </c>
      <c r="BF185" s="377" t="s">
        <v>17</v>
      </c>
      <c r="BG185" s="119" t="s">
        <v>357</v>
      </c>
      <c r="BH185" s="112" t="s">
        <v>17</v>
      </c>
      <c r="BI185" s="340" t="s">
        <v>357</v>
      </c>
      <c r="BJ185" s="722" t="s">
        <v>17</v>
      </c>
      <c r="BK185" s="779" t="s">
        <v>17</v>
      </c>
      <c r="BL185" s="433"/>
      <c r="BM185" s="377" t="s">
        <v>17</v>
      </c>
      <c r="BN185" s="722" t="s">
        <v>17</v>
      </c>
      <c r="BO185" s="958"/>
      <c r="BP185" s="433"/>
      <c r="BQ185" s="958"/>
      <c r="BR185" s="133" t="s">
        <v>17</v>
      </c>
      <c r="BS185" s="26" t="s">
        <v>17</v>
      </c>
      <c r="BT185" s="405" t="s">
        <v>59</v>
      </c>
    </row>
    <row r="186" spans="1:72" ht="13.5" hidden="1" customHeight="1" x14ac:dyDescent="0.35">
      <c r="A186" s="683"/>
      <c r="B186" s="47"/>
      <c r="C186" s="518" t="s">
        <v>1513</v>
      </c>
      <c r="D186" s="1128"/>
      <c r="E186" s="1164"/>
      <c r="F186" s="1165"/>
      <c r="G186" s="1165"/>
      <c r="H186" s="1165"/>
      <c r="I186" s="1165"/>
      <c r="J186" s="1165"/>
      <c r="K186" s="1165"/>
      <c r="L186" s="1165"/>
      <c r="M186" s="1166"/>
      <c r="N186" s="120"/>
      <c r="O186" s="30"/>
      <c r="P186" s="121"/>
      <c r="Q186" s="120"/>
      <c r="R186" s="30"/>
      <c r="S186" s="30"/>
      <c r="T186" s="121"/>
      <c r="U186" s="12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723" t="s">
        <v>8</v>
      </c>
      <c r="BK186" s="723" t="s">
        <v>8</v>
      </c>
      <c r="BL186" s="723" t="s">
        <v>8</v>
      </c>
      <c r="BM186" s="377" t="s">
        <v>17</v>
      </c>
      <c r="BN186" s="722"/>
      <c r="BO186" s="958"/>
      <c r="BP186" s="433"/>
      <c r="BQ186" s="958"/>
      <c r="BR186" s="133"/>
      <c r="BS186" s="26"/>
      <c r="BT186" s="405"/>
    </row>
    <row r="187" spans="1:72" ht="13.5" hidden="1" customHeight="1" x14ac:dyDescent="0.35">
      <c r="A187" s="683"/>
      <c r="B187" s="47"/>
      <c r="C187" s="3" t="s">
        <v>60</v>
      </c>
      <c r="D187" s="1128"/>
      <c r="E187" s="1164"/>
      <c r="F187" s="1165"/>
      <c r="G187" s="1165"/>
      <c r="H187" s="1165"/>
      <c r="I187" s="1165"/>
      <c r="J187" s="1165"/>
      <c r="K187" s="1165"/>
      <c r="L187" s="1165"/>
      <c r="M187" s="1166"/>
      <c r="N187" s="119">
        <v>10</v>
      </c>
      <c r="O187" s="13">
        <v>10</v>
      </c>
      <c r="P187" s="102">
        <v>10</v>
      </c>
      <c r="Q187" s="119">
        <v>10</v>
      </c>
      <c r="R187" s="13">
        <v>10</v>
      </c>
      <c r="S187" s="13">
        <v>10</v>
      </c>
      <c r="T187" s="102">
        <v>10</v>
      </c>
      <c r="U187" s="119">
        <v>12</v>
      </c>
      <c r="V187" s="13">
        <v>12</v>
      </c>
      <c r="W187" s="13">
        <v>12</v>
      </c>
      <c r="X187" s="190">
        <v>12</v>
      </c>
      <c r="Y187" s="119">
        <v>12</v>
      </c>
      <c r="Z187" s="13">
        <v>12</v>
      </c>
      <c r="AA187" s="13">
        <v>12</v>
      </c>
      <c r="AB187" s="13">
        <v>12</v>
      </c>
      <c r="AC187" s="102">
        <v>12</v>
      </c>
      <c r="AD187" s="83">
        <v>12</v>
      </c>
      <c r="AE187" s="16">
        <v>12</v>
      </c>
      <c r="AF187" s="16">
        <v>12</v>
      </c>
      <c r="AG187" s="13">
        <v>12</v>
      </c>
      <c r="AH187" s="36">
        <v>12</v>
      </c>
      <c r="AI187" s="16">
        <v>12</v>
      </c>
      <c r="AJ187" s="102">
        <v>12</v>
      </c>
      <c r="AK187" s="102">
        <v>12</v>
      </c>
      <c r="AL187" s="119">
        <v>12</v>
      </c>
      <c r="AM187" s="36">
        <v>12</v>
      </c>
      <c r="AN187" s="177">
        <v>12</v>
      </c>
      <c r="AO187" s="177">
        <v>12</v>
      </c>
      <c r="AP187" s="13">
        <v>12</v>
      </c>
      <c r="AQ187" s="36">
        <v>12</v>
      </c>
      <c r="AR187" s="119">
        <v>12</v>
      </c>
      <c r="AS187" s="16">
        <v>12</v>
      </c>
      <c r="AT187" s="177">
        <v>12</v>
      </c>
      <c r="AU187" s="119">
        <v>12</v>
      </c>
      <c r="AV187" s="112">
        <v>12</v>
      </c>
      <c r="AW187" s="119">
        <v>12</v>
      </c>
      <c r="AX187" s="16">
        <v>12</v>
      </c>
      <c r="AY187" s="16">
        <v>12</v>
      </c>
      <c r="AZ187" s="112">
        <v>12</v>
      </c>
      <c r="BA187" s="133">
        <v>12</v>
      </c>
      <c r="BB187" s="112">
        <v>12</v>
      </c>
      <c r="BC187" s="722">
        <v>12</v>
      </c>
      <c r="BD187" s="779">
        <v>12</v>
      </c>
      <c r="BE187" s="177">
        <v>12</v>
      </c>
      <c r="BF187" s="377">
        <v>12</v>
      </c>
      <c r="BG187" s="119">
        <v>12</v>
      </c>
      <c r="BH187" s="112">
        <v>12</v>
      </c>
      <c r="BI187" s="340">
        <v>12</v>
      </c>
      <c r="BJ187" s="722">
        <v>12</v>
      </c>
      <c r="BK187" s="779">
        <v>12</v>
      </c>
      <c r="BL187" s="112">
        <v>12</v>
      </c>
      <c r="BM187" s="377">
        <v>12</v>
      </c>
      <c r="BN187" s="722">
        <v>12</v>
      </c>
      <c r="BO187" s="114"/>
      <c r="BP187" s="115"/>
      <c r="BQ187" s="112">
        <v>12</v>
      </c>
      <c r="BR187" s="133">
        <v>12</v>
      </c>
      <c r="BS187" s="26">
        <v>12</v>
      </c>
      <c r="BT187" s="405" t="s">
        <v>362</v>
      </c>
    </row>
    <row r="188" spans="1:72" ht="13.5" hidden="1" customHeight="1" x14ac:dyDescent="0.35">
      <c r="A188" s="683"/>
      <c r="B188" s="47"/>
      <c r="C188" s="169" t="s">
        <v>63</v>
      </c>
      <c r="D188" s="1128"/>
      <c r="E188" s="1164"/>
      <c r="F188" s="1165"/>
      <c r="G188" s="1165"/>
      <c r="H188" s="1165"/>
      <c r="I188" s="1165"/>
      <c r="J188" s="1165"/>
      <c r="K188" s="1165"/>
      <c r="L188" s="1165"/>
      <c r="M188" s="1166"/>
      <c r="N188" s="115" t="s">
        <v>8</v>
      </c>
      <c r="O188" s="19" t="s">
        <v>8</v>
      </c>
      <c r="P188" s="116" t="s">
        <v>8</v>
      </c>
      <c r="Q188" s="115" t="s">
        <v>8</v>
      </c>
      <c r="R188" s="19" t="s">
        <v>8</v>
      </c>
      <c r="S188" s="19" t="s">
        <v>8</v>
      </c>
      <c r="T188" s="116" t="s">
        <v>8</v>
      </c>
      <c r="U188" s="235" t="s">
        <v>8</v>
      </c>
      <c r="V188" s="19" t="s">
        <v>8</v>
      </c>
      <c r="W188" s="19" t="s">
        <v>8</v>
      </c>
      <c r="X188" s="85" t="s">
        <v>8</v>
      </c>
      <c r="Y188" s="239" t="s">
        <v>8</v>
      </c>
      <c r="Z188" s="19" t="s">
        <v>8</v>
      </c>
      <c r="AA188" s="19" t="s">
        <v>8</v>
      </c>
      <c r="AB188" s="19" t="s">
        <v>8</v>
      </c>
      <c r="AC188" s="85" t="s">
        <v>8</v>
      </c>
      <c r="AD188" s="239" t="s">
        <v>8</v>
      </c>
      <c r="AE188" s="19" t="s">
        <v>8</v>
      </c>
      <c r="AF188" s="19" t="s">
        <v>8</v>
      </c>
      <c r="AG188" s="19" t="s">
        <v>8</v>
      </c>
      <c r="AH188" s="19" t="s">
        <v>8</v>
      </c>
      <c r="AI188" s="19" t="s">
        <v>8</v>
      </c>
      <c r="AJ188" s="116" t="s">
        <v>8</v>
      </c>
      <c r="AK188" s="116" t="s">
        <v>8</v>
      </c>
      <c r="AL188" s="113" t="s">
        <v>17</v>
      </c>
      <c r="AM188" s="224" t="s">
        <v>17</v>
      </c>
      <c r="AN188" s="224" t="s">
        <v>17</v>
      </c>
      <c r="AO188" s="177" t="s">
        <v>17</v>
      </c>
      <c r="AP188" s="20" t="s">
        <v>17</v>
      </c>
      <c r="AQ188" s="224" t="s">
        <v>17</v>
      </c>
      <c r="AR188" s="115" t="s">
        <v>8</v>
      </c>
      <c r="AS188" s="19" t="s">
        <v>8</v>
      </c>
      <c r="AT188" s="179" t="s">
        <v>8</v>
      </c>
      <c r="AU188" s="119" t="s">
        <v>8</v>
      </c>
      <c r="AV188" s="102" t="s">
        <v>8</v>
      </c>
      <c r="AW188" s="119" t="s">
        <v>8</v>
      </c>
      <c r="AX188" s="13" t="s">
        <v>8</v>
      </c>
      <c r="AY188" s="13" t="s">
        <v>8</v>
      </c>
      <c r="AZ188" s="102" t="s">
        <v>8</v>
      </c>
      <c r="BA188" s="712" t="s">
        <v>17</v>
      </c>
      <c r="BB188" s="102" t="s">
        <v>8</v>
      </c>
      <c r="BC188" s="722" t="s">
        <v>8</v>
      </c>
      <c r="BD188" s="782" t="s">
        <v>8</v>
      </c>
      <c r="BE188" s="179" t="s">
        <v>8</v>
      </c>
      <c r="BF188" s="340" t="s">
        <v>8</v>
      </c>
      <c r="BG188" s="113" t="s">
        <v>17</v>
      </c>
      <c r="BH188" s="102" t="s">
        <v>8</v>
      </c>
      <c r="BI188" s="378" t="s">
        <v>17</v>
      </c>
      <c r="BJ188" s="722" t="s">
        <v>8</v>
      </c>
      <c r="BK188" s="779" t="s">
        <v>8</v>
      </c>
      <c r="BL188" s="782" t="s">
        <v>8</v>
      </c>
      <c r="BM188" s="340" t="s">
        <v>8</v>
      </c>
      <c r="BN188" s="722" t="s">
        <v>8</v>
      </c>
      <c r="BO188" s="116"/>
      <c r="BP188" s="115"/>
      <c r="BQ188" s="918" t="s">
        <v>8</v>
      </c>
      <c r="BR188" s="712" t="s">
        <v>8</v>
      </c>
      <c r="BS188" s="27" t="s">
        <v>8</v>
      </c>
      <c r="BT188" s="405" t="s">
        <v>363</v>
      </c>
    </row>
    <row r="189" spans="1:72" ht="13.5" hidden="1" customHeight="1" x14ac:dyDescent="0.35">
      <c r="A189" s="683"/>
      <c r="B189" s="47"/>
      <c r="C189" s="3" t="s">
        <v>172</v>
      </c>
      <c r="D189" s="1128"/>
      <c r="E189" s="1164"/>
      <c r="F189" s="1165"/>
      <c r="G189" s="1165"/>
      <c r="H189" s="1165"/>
      <c r="I189" s="1165"/>
      <c r="J189" s="1165"/>
      <c r="K189" s="1165"/>
      <c r="L189" s="1165"/>
      <c r="M189" s="1166"/>
      <c r="N189" s="111" t="s">
        <v>8</v>
      </c>
      <c r="O189" s="16" t="s">
        <v>8</v>
      </c>
      <c r="P189" s="112" t="s">
        <v>8</v>
      </c>
      <c r="Q189" s="111" t="s">
        <v>8</v>
      </c>
      <c r="R189" s="16" t="s">
        <v>8</v>
      </c>
      <c r="S189" s="20" t="s">
        <v>8</v>
      </c>
      <c r="T189" s="114" t="s">
        <v>8</v>
      </c>
      <c r="U189" s="236" t="s">
        <v>17</v>
      </c>
      <c r="V189" s="13" t="s">
        <v>17</v>
      </c>
      <c r="W189" s="13" t="s">
        <v>8</v>
      </c>
      <c r="X189" s="238" t="s">
        <v>8</v>
      </c>
      <c r="Y189" s="101" t="s">
        <v>17</v>
      </c>
      <c r="Z189" s="13" t="s">
        <v>17</v>
      </c>
      <c r="AA189" s="13" t="s">
        <v>17</v>
      </c>
      <c r="AB189" s="13" t="s">
        <v>17</v>
      </c>
      <c r="AC189" s="230" t="s">
        <v>17</v>
      </c>
      <c r="AD189" s="236" t="s">
        <v>57</v>
      </c>
      <c r="AE189" s="13" t="s">
        <v>57</v>
      </c>
      <c r="AF189" s="13" t="s">
        <v>17</v>
      </c>
      <c r="AG189" s="13" t="s">
        <v>8</v>
      </c>
      <c r="AH189" s="13" t="s">
        <v>17</v>
      </c>
      <c r="AI189" s="13" t="s">
        <v>57</v>
      </c>
      <c r="AJ189" s="102" t="s">
        <v>57</v>
      </c>
      <c r="AK189" s="102" t="s">
        <v>57</v>
      </c>
      <c r="AL189" s="119" t="s">
        <v>17</v>
      </c>
      <c r="AM189" s="36" t="s">
        <v>17</v>
      </c>
      <c r="AN189" s="177" t="s">
        <v>17</v>
      </c>
      <c r="AO189" s="177" t="s">
        <v>17</v>
      </c>
      <c r="AP189" s="13" t="s">
        <v>17</v>
      </c>
      <c r="AQ189" s="36" t="s">
        <v>17</v>
      </c>
      <c r="AR189" s="119" t="s">
        <v>57</v>
      </c>
      <c r="AS189" s="13" t="s">
        <v>57</v>
      </c>
      <c r="AT189" s="36" t="s">
        <v>57</v>
      </c>
      <c r="AU189" s="119" t="s">
        <v>57</v>
      </c>
      <c r="AV189" s="102" t="s">
        <v>57</v>
      </c>
      <c r="AW189" s="119" t="s">
        <v>57</v>
      </c>
      <c r="AX189" s="13" t="s">
        <v>57</v>
      </c>
      <c r="AY189" s="13" t="s">
        <v>57</v>
      </c>
      <c r="AZ189" s="102" t="s">
        <v>57</v>
      </c>
      <c r="BA189" s="26" t="s">
        <v>17</v>
      </c>
      <c r="BB189" s="102" t="s">
        <v>57</v>
      </c>
      <c r="BC189" s="722" t="s">
        <v>57</v>
      </c>
      <c r="BD189" s="782" t="s">
        <v>57</v>
      </c>
      <c r="BE189" s="179" t="s">
        <v>57</v>
      </c>
      <c r="BF189" s="340" t="s">
        <v>57</v>
      </c>
      <c r="BG189" s="119" t="s">
        <v>17</v>
      </c>
      <c r="BH189" s="102" t="s">
        <v>57</v>
      </c>
      <c r="BI189" s="340" t="s">
        <v>17</v>
      </c>
      <c r="BJ189" s="722" t="s">
        <v>57</v>
      </c>
      <c r="BK189" s="779" t="s">
        <v>57</v>
      </c>
      <c r="BL189" s="116" t="s">
        <v>57</v>
      </c>
      <c r="BM189" s="340" t="s">
        <v>57</v>
      </c>
      <c r="BN189" s="722" t="s">
        <v>57</v>
      </c>
      <c r="BO189" s="116"/>
      <c r="BP189" s="115"/>
      <c r="BQ189" s="116" t="s">
        <v>57</v>
      </c>
      <c r="BR189" s="133" t="s">
        <v>57</v>
      </c>
      <c r="BS189" s="26" t="s">
        <v>57</v>
      </c>
      <c r="BT189" s="405"/>
    </row>
    <row r="190" spans="1:72" ht="13.5" hidden="1" customHeight="1" x14ac:dyDescent="0.35">
      <c r="A190" s="683"/>
      <c r="B190" s="47"/>
      <c r="C190" s="284" t="s">
        <v>1325</v>
      </c>
      <c r="D190" s="1128"/>
      <c r="E190" s="1164"/>
      <c r="F190" s="1165"/>
      <c r="G190" s="1165"/>
      <c r="H190" s="1165"/>
      <c r="I190" s="1165"/>
      <c r="J190" s="1165"/>
      <c r="K190" s="1165"/>
      <c r="L190" s="1165"/>
      <c r="M190" s="1166"/>
      <c r="N190" s="119" t="s">
        <v>358</v>
      </c>
      <c r="O190" s="13" t="s">
        <v>358</v>
      </c>
      <c r="P190" s="102" t="s">
        <v>358</v>
      </c>
      <c r="Q190" s="119" t="s">
        <v>358</v>
      </c>
      <c r="R190" s="13" t="s">
        <v>358</v>
      </c>
      <c r="S190" s="13" t="s">
        <v>358</v>
      </c>
      <c r="T190" s="102" t="s">
        <v>358</v>
      </c>
      <c r="U190" s="236" t="s">
        <v>358</v>
      </c>
      <c r="V190" s="13" t="s">
        <v>358</v>
      </c>
      <c r="W190" s="13" t="s">
        <v>358</v>
      </c>
      <c r="X190" s="102" t="s">
        <v>358</v>
      </c>
      <c r="Y190" s="236" t="s">
        <v>358</v>
      </c>
      <c r="Z190" s="13" t="s">
        <v>358</v>
      </c>
      <c r="AA190" s="13" t="s">
        <v>358</v>
      </c>
      <c r="AB190" s="13" t="s">
        <v>358</v>
      </c>
      <c r="AC190" s="102" t="s">
        <v>358</v>
      </c>
      <c r="AD190" s="236" t="s">
        <v>358</v>
      </c>
      <c r="AE190" s="13" t="s">
        <v>358</v>
      </c>
      <c r="AF190" s="13" t="s">
        <v>358</v>
      </c>
      <c r="AG190" s="13" t="s">
        <v>358</v>
      </c>
      <c r="AH190" s="13" t="s">
        <v>358</v>
      </c>
      <c r="AI190" s="13" t="s">
        <v>358</v>
      </c>
      <c r="AJ190" s="102" t="s">
        <v>358</v>
      </c>
      <c r="AK190" s="102" t="s">
        <v>358</v>
      </c>
      <c r="AL190" s="119" t="s">
        <v>358</v>
      </c>
      <c r="AM190" s="36" t="s">
        <v>358</v>
      </c>
      <c r="AN190" s="177" t="s">
        <v>358</v>
      </c>
      <c r="AO190" s="177" t="s">
        <v>358</v>
      </c>
      <c r="AP190" s="13" t="s">
        <v>358</v>
      </c>
      <c r="AQ190" s="36" t="s">
        <v>358</v>
      </c>
      <c r="AR190" s="119" t="s">
        <v>358</v>
      </c>
      <c r="AS190" s="13" t="s">
        <v>358</v>
      </c>
      <c r="AT190" s="36" t="s">
        <v>557</v>
      </c>
      <c r="AU190" s="119" t="s">
        <v>358</v>
      </c>
      <c r="AV190" s="102" t="s">
        <v>358</v>
      </c>
      <c r="AW190" s="119" t="s">
        <v>358</v>
      </c>
      <c r="AX190" s="13" t="s">
        <v>358</v>
      </c>
      <c r="AY190" s="13" t="s">
        <v>358</v>
      </c>
      <c r="AZ190" s="102" t="s">
        <v>557</v>
      </c>
      <c r="BA190" s="26" t="s">
        <v>358</v>
      </c>
      <c r="BB190" s="102" t="s">
        <v>557</v>
      </c>
      <c r="BC190" s="722" t="s">
        <v>358</v>
      </c>
      <c r="BD190" s="782" t="s">
        <v>358</v>
      </c>
      <c r="BE190" s="179" t="s">
        <v>358</v>
      </c>
      <c r="BF190" s="340" t="s">
        <v>557</v>
      </c>
      <c r="BG190" s="119" t="s">
        <v>358</v>
      </c>
      <c r="BH190" s="102" t="s">
        <v>557</v>
      </c>
      <c r="BI190" s="340" t="s">
        <v>358</v>
      </c>
      <c r="BJ190" s="722" t="s">
        <v>358</v>
      </c>
      <c r="BK190" s="779" t="s">
        <v>358</v>
      </c>
      <c r="BL190" s="116" t="s">
        <v>358</v>
      </c>
      <c r="BM190" s="340" t="s">
        <v>557</v>
      </c>
      <c r="BN190" s="722" t="s">
        <v>358</v>
      </c>
      <c r="BO190" s="116"/>
      <c r="BP190" s="115"/>
      <c r="BQ190" s="116" t="s">
        <v>358</v>
      </c>
      <c r="BR190" s="133" t="s">
        <v>358</v>
      </c>
      <c r="BS190" s="26" t="s">
        <v>358</v>
      </c>
      <c r="BT190" s="405"/>
    </row>
    <row r="191" spans="1:72" ht="13.5" hidden="1" customHeight="1" x14ac:dyDescent="0.35">
      <c r="A191" s="683"/>
      <c r="B191" s="47"/>
      <c r="C191" s="284" t="s">
        <v>1326</v>
      </c>
      <c r="D191" s="1128"/>
      <c r="E191" s="1164"/>
      <c r="F191" s="1165"/>
      <c r="G191" s="1165"/>
      <c r="H191" s="1165"/>
      <c r="I191" s="1165"/>
      <c r="J191" s="1165"/>
      <c r="K191" s="1165"/>
      <c r="L191" s="1165"/>
      <c r="M191" s="1166"/>
      <c r="N191" s="120"/>
      <c r="O191" s="30"/>
      <c r="P191" s="121"/>
      <c r="Q191" s="120"/>
      <c r="R191" s="30"/>
      <c r="S191" s="30"/>
      <c r="T191" s="121"/>
      <c r="U191" s="401"/>
      <c r="V191" s="30"/>
      <c r="W191" s="30"/>
      <c r="X191" s="193"/>
      <c r="Y191" s="401"/>
      <c r="Z191" s="30"/>
      <c r="AA191" s="30"/>
      <c r="AB191" s="30"/>
      <c r="AC191" s="121"/>
      <c r="AD191" s="401"/>
      <c r="AE191" s="30"/>
      <c r="AF191" s="30"/>
      <c r="AG191" s="30"/>
      <c r="AH191" s="30"/>
      <c r="AI191" s="30"/>
      <c r="AJ191" s="121"/>
      <c r="AK191" s="121"/>
      <c r="AL191" s="120"/>
      <c r="AM191" s="173"/>
      <c r="AN191" s="171"/>
      <c r="AO191" s="171"/>
      <c r="AP191" s="30"/>
      <c r="AQ191" s="121"/>
      <c r="AR191" s="119" t="s">
        <v>176</v>
      </c>
      <c r="AS191" s="13" t="s">
        <v>296</v>
      </c>
      <c r="AT191" s="36" t="s">
        <v>296</v>
      </c>
      <c r="AU191" s="119" t="s">
        <v>296</v>
      </c>
      <c r="AV191" s="102" t="s">
        <v>296</v>
      </c>
      <c r="AW191" s="119"/>
      <c r="AX191" s="13"/>
      <c r="AY191" s="13" t="s">
        <v>296</v>
      </c>
      <c r="AZ191" s="102" t="s">
        <v>296</v>
      </c>
      <c r="BA191" s="26" t="s">
        <v>296</v>
      </c>
      <c r="BB191" s="102" t="s">
        <v>296</v>
      </c>
      <c r="BC191" s="521" t="s">
        <v>1327</v>
      </c>
      <c r="BD191" s="782" t="s">
        <v>296</v>
      </c>
      <c r="BE191" s="179" t="s">
        <v>296</v>
      </c>
      <c r="BF191" s="340" t="s">
        <v>296</v>
      </c>
      <c r="BG191" s="119" t="s">
        <v>296</v>
      </c>
      <c r="BH191" s="102" t="s">
        <v>296</v>
      </c>
      <c r="BI191" s="340" t="s">
        <v>296</v>
      </c>
      <c r="BJ191" s="521" t="s">
        <v>1327</v>
      </c>
      <c r="BK191" s="16" t="s">
        <v>296</v>
      </c>
      <c r="BL191" s="116" t="s">
        <v>296</v>
      </c>
      <c r="BM191" s="340" t="s">
        <v>296</v>
      </c>
      <c r="BN191" s="119" t="s">
        <v>1327</v>
      </c>
      <c r="BO191" s="116"/>
      <c r="BP191" s="115"/>
      <c r="BQ191" s="116" t="s">
        <v>296</v>
      </c>
      <c r="BR191" s="133" t="s">
        <v>176</v>
      </c>
      <c r="BS191" s="26" t="s">
        <v>296</v>
      </c>
      <c r="BT191" s="405"/>
    </row>
    <row r="192" spans="1:72" ht="13.5" hidden="1" customHeight="1" x14ac:dyDescent="0.35">
      <c r="A192" s="683"/>
      <c r="B192" s="47"/>
      <c r="C192" s="284" t="s">
        <v>1322</v>
      </c>
      <c r="D192" s="1128"/>
      <c r="E192" s="1164"/>
      <c r="F192" s="1165"/>
      <c r="G192" s="1165"/>
      <c r="H192" s="1165"/>
      <c r="I192" s="1165"/>
      <c r="J192" s="1165"/>
      <c r="K192" s="1165"/>
      <c r="L192" s="1165"/>
      <c r="M192" s="1166"/>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17</v>
      </c>
      <c r="AM192" s="36" t="s">
        <v>17</v>
      </c>
      <c r="AN192" s="177" t="s">
        <v>17</v>
      </c>
      <c r="AO192" s="177" t="s">
        <v>17</v>
      </c>
      <c r="AP192" s="13" t="s">
        <v>17</v>
      </c>
      <c r="AQ192" s="36" t="s">
        <v>17</v>
      </c>
      <c r="AR192" s="119" t="s">
        <v>176</v>
      </c>
      <c r="AS192" s="13" t="s">
        <v>176</v>
      </c>
      <c r="AT192" s="36" t="s">
        <v>557</v>
      </c>
      <c r="AU192" s="119" t="s">
        <v>176</v>
      </c>
      <c r="AV192" s="102" t="s">
        <v>176</v>
      </c>
      <c r="AW192" s="119" t="s">
        <v>176</v>
      </c>
      <c r="AX192" s="13" t="s">
        <v>176</v>
      </c>
      <c r="AY192" s="13" t="s">
        <v>176</v>
      </c>
      <c r="AZ192" s="102" t="s">
        <v>557</v>
      </c>
      <c r="BA192" s="26" t="s">
        <v>17</v>
      </c>
      <c r="BB192" s="102" t="s">
        <v>557</v>
      </c>
      <c r="BC192" s="722" t="s">
        <v>176</v>
      </c>
      <c r="BD192" s="782" t="s">
        <v>176</v>
      </c>
      <c r="BE192" s="179" t="s">
        <v>176</v>
      </c>
      <c r="BF192" s="340" t="s">
        <v>557</v>
      </c>
      <c r="BG192" s="119" t="s">
        <v>17</v>
      </c>
      <c r="BH192" s="102" t="s">
        <v>557</v>
      </c>
      <c r="BI192" s="340" t="s">
        <v>17</v>
      </c>
      <c r="BJ192" s="722" t="s">
        <v>176</v>
      </c>
      <c r="BK192" s="779" t="s">
        <v>176</v>
      </c>
      <c r="BL192" s="116" t="s">
        <v>176</v>
      </c>
      <c r="BM192" s="340" t="s">
        <v>557</v>
      </c>
      <c r="BN192" s="722" t="s">
        <v>176</v>
      </c>
      <c r="BO192" s="116"/>
      <c r="BP192" s="115"/>
      <c r="BQ192" s="116" t="s">
        <v>176</v>
      </c>
      <c r="BR192" s="133" t="s">
        <v>176</v>
      </c>
      <c r="BS192" s="26" t="s">
        <v>176</v>
      </c>
      <c r="BT192" s="405" t="s">
        <v>556</v>
      </c>
    </row>
    <row r="193" spans="1:72" ht="13.5" hidden="1" customHeight="1" x14ac:dyDescent="0.35">
      <c r="A193" s="683"/>
      <c r="B193" s="47"/>
      <c r="C193" s="5" t="s">
        <v>1323</v>
      </c>
      <c r="D193" s="1128"/>
      <c r="E193" s="1164"/>
      <c r="F193" s="1165"/>
      <c r="G193" s="1165"/>
      <c r="H193" s="1165"/>
      <c r="I193" s="1165"/>
      <c r="J193" s="1165"/>
      <c r="K193" s="1165"/>
      <c r="L193" s="1165"/>
      <c r="M193" s="1166"/>
      <c r="N193" s="119" t="s">
        <v>176</v>
      </c>
      <c r="O193" s="13" t="s">
        <v>176</v>
      </c>
      <c r="P193" s="102" t="s">
        <v>176</v>
      </c>
      <c r="Q193" s="119" t="s">
        <v>176</v>
      </c>
      <c r="R193" s="13" t="s">
        <v>176</v>
      </c>
      <c r="S193" s="13" t="s">
        <v>176</v>
      </c>
      <c r="T193" s="102" t="s">
        <v>176</v>
      </c>
      <c r="U193" s="236" t="s">
        <v>176</v>
      </c>
      <c r="V193" s="13" t="s">
        <v>176</v>
      </c>
      <c r="W193" s="13" t="s">
        <v>176</v>
      </c>
      <c r="X193" s="102"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366</v>
      </c>
      <c r="AM193" s="36" t="s">
        <v>45</v>
      </c>
      <c r="AN193" s="177" t="s">
        <v>45</v>
      </c>
      <c r="AO193" s="177" t="s">
        <v>45</v>
      </c>
      <c r="AP193" s="13" t="s">
        <v>366</v>
      </c>
      <c r="AQ193" s="36" t="s">
        <v>45</v>
      </c>
      <c r="AR193" s="119" t="s">
        <v>176</v>
      </c>
      <c r="AS193" s="13" t="s">
        <v>176</v>
      </c>
      <c r="AT193" s="439"/>
      <c r="AU193" s="119" t="s">
        <v>176</v>
      </c>
      <c r="AV193" s="102" t="s">
        <v>176</v>
      </c>
      <c r="AW193" s="119" t="s">
        <v>176</v>
      </c>
      <c r="AX193" s="13" t="s">
        <v>176</v>
      </c>
      <c r="AY193" s="13" t="s">
        <v>176</v>
      </c>
      <c r="AZ193" s="434"/>
      <c r="BA193" s="26" t="s">
        <v>196</v>
      </c>
      <c r="BB193" s="434"/>
      <c r="BC193" s="722" t="s">
        <v>176</v>
      </c>
      <c r="BD193" s="782" t="s">
        <v>45</v>
      </c>
      <c r="BE193" s="179" t="s">
        <v>45</v>
      </c>
      <c r="BF193" s="440"/>
      <c r="BG193" s="119" t="s">
        <v>196</v>
      </c>
      <c r="BH193" s="434"/>
      <c r="BI193" s="340" t="s">
        <v>196</v>
      </c>
      <c r="BJ193" s="722" t="s">
        <v>176</v>
      </c>
      <c r="BK193" s="779" t="s">
        <v>45</v>
      </c>
      <c r="BL193" s="116" t="s">
        <v>45</v>
      </c>
      <c r="BM193" s="440"/>
      <c r="BN193" s="722" t="s">
        <v>176</v>
      </c>
      <c r="BO193" s="116"/>
      <c r="BP193" s="115"/>
      <c r="BQ193" s="116" t="s">
        <v>45</v>
      </c>
      <c r="BR193" s="133" t="s">
        <v>176</v>
      </c>
      <c r="BS193" s="26" t="s">
        <v>176</v>
      </c>
      <c r="BT193" s="405" t="s">
        <v>368</v>
      </c>
    </row>
    <row r="194" spans="1:72" ht="13.5" hidden="1" customHeight="1" x14ac:dyDescent="0.35">
      <c r="A194" s="683"/>
      <c r="B194" s="47"/>
      <c r="C194" s="3" t="s">
        <v>1324</v>
      </c>
      <c r="D194" s="1128"/>
      <c r="E194" s="1164"/>
      <c r="F194" s="1165"/>
      <c r="G194" s="1165"/>
      <c r="H194" s="1165"/>
      <c r="I194" s="1165"/>
      <c r="J194" s="1165"/>
      <c r="K194" s="1165"/>
      <c r="L194" s="1165"/>
      <c r="M194" s="1166"/>
      <c r="N194" s="119" t="s">
        <v>176</v>
      </c>
      <c r="O194" s="13" t="s">
        <v>176</v>
      </c>
      <c r="P194" s="102" t="s">
        <v>176</v>
      </c>
      <c r="Q194" s="119" t="s">
        <v>176</v>
      </c>
      <c r="R194" s="13" t="s">
        <v>175</v>
      </c>
      <c r="S194" s="13" t="s">
        <v>176</v>
      </c>
      <c r="T194" s="102" t="s">
        <v>175</v>
      </c>
      <c r="U194" s="236" t="s">
        <v>176</v>
      </c>
      <c r="V194" s="13" t="s">
        <v>176</v>
      </c>
      <c r="W194" s="13" t="s">
        <v>176</v>
      </c>
      <c r="X194" s="190" t="s">
        <v>176</v>
      </c>
      <c r="Y194" s="236" t="s">
        <v>176</v>
      </c>
      <c r="Z194" s="13" t="s">
        <v>176</v>
      </c>
      <c r="AA194" s="13" t="s">
        <v>176</v>
      </c>
      <c r="AB194" s="13" t="s">
        <v>176</v>
      </c>
      <c r="AC194" s="102" t="s">
        <v>176</v>
      </c>
      <c r="AD194" s="236" t="s">
        <v>176</v>
      </c>
      <c r="AE194" s="13" t="s">
        <v>176</v>
      </c>
      <c r="AF194" s="13" t="s">
        <v>176</v>
      </c>
      <c r="AG194" s="13" t="s">
        <v>176</v>
      </c>
      <c r="AH194" s="13" t="s">
        <v>176</v>
      </c>
      <c r="AI194" s="13" t="s">
        <v>176</v>
      </c>
      <c r="AJ194" s="102" t="s">
        <v>176</v>
      </c>
      <c r="AK194" s="102" t="s">
        <v>176</v>
      </c>
      <c r="AL194" s="119" t="s">
        <v>367</v>
      </c>
      <c r="AM194" s="36" t="s">
        <v>45</v>
      </c>
      <c r="AN194" s="177" t="s">
        <v>45</v>
      </c>
      <c r="AO194" s="177" t="s">
        <v>45</v>
      </c>
      <c r="AP194" s="13" t="s">
        <v>367</v>
      </c>
      <c r="AQ194" s="36" t="s">
        <v>45</v>
      </c>
      <c r="AR194" s="119" t="s">
        <v>176</v>
      </c>
      <c r="AS194" s="13" t="s">
        <v>176</v>
      </c>
      <c r="AT194" s="36" t="s">
        <v>176</v>
      </c>
      <c r="AU194" s="119" t="s">
        <v>176</v>
      </c>
      <c r="AV194" s="102" t="s">
        <v>176</v>
      </c>
      <c r="AW194" s="119" t="s">
        <v>176</v>
      </c>
      <c r="AX194" s="13" t="s">
        <v>176</v>
      </c>
      <c r="AY194" s="13" t="s">
        <v>176</v>
      </c>
      <c r="AZ194" s="102" t="s">
        <v>176</v>
      </c>
      <c r="BA194" s="26" t="s">
        <v>557</v>
      </c>
      <c r="BB194" s="102" t="s">
        <v>176</v>
      </c>
      <c r="BC194" s="722" t="s">
        <v>176</v>
      </c>
      <c r="BD194" s="782" t="s">
        <v>176</v>
      </c>
      <c r="BE194" s="179" t="s">
        <v>176</v>
      </c>
      <c r="BF194" s="340" t="s">
        <v>176</v>
      </c>
      <c r="BG194" s="147" t="s">
        <v>557</v>
      </c>
      <c r="BH194" s="102" t="s">
        <v>176</v>
      </c>
      <c r="BI194" s="377" t="s">
        <v>45</v>
      </c>
      <c r="BJ194" s="722" t="s">
        <v>176</v>
      </c>
      <c r="BK194" s="779" t="s">
        <v>176</v>
      </c>
      <c r="BL194" s="116" t="s">
        <v>176</v>
      </c>
      <c r="BM194" s="340" t="s">
        <v>176</v>
      </c>
      <c r="BN194" s="722" t="s">
        <v>176</v>
      </c>
      <c r="BO194" s="116"/>
      <c r="BP194" s="115"/>
      <c r="BQ194" s="116" t="s">
        <v>176</v>
      </c>
      <c r="BR194" s="133" t="s">
        <v>176</v>
      </c>
      <c r="BS194" s="26" t="s">
        <v>176</v>
      </c>
      <c r="BT194" s="405" t="s">
        <v>364</v>
      </c>
    </row>
    <row r="195" spans="1:72" ht="13.5" hidden="1" customHeight="1" x14ac:dyDescent="0.35">
      <c r="A195" s="683"/>
      <c r="B195" s="47"/>
      <c r="C195" s="543" t="s">
        <v>692</v>
      </c>
      <c r="D195" s="1128"/>
      <c r="E195" s="1164"/>
      <c r="F195" s="1165"/>
      <c r="G195" s="1165"/>
      <c r="H195" s="1165"/>
      <c r="I195" s="1165"/>
      <c r="J195" s="1165"/>
      <c r="K195" s="1165"/>
      <c r="L195" s="1165"/>
      <c r="M195" s="1166"/>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662</v>
      </c>
      <c r="AS195" s="13" t="s">
        <v>663</v>
      </c>
      <c r="AT195" s="102" t="s">
        <v>296</v>
      </c>
      <c r="AU195" s="119" t="s">
        <v>662</v>
      </c>
      <c r="AV195" s="102" t="s">
        <v>663</v>
      </c>
      <c r="AW195" s="119" t="s">
        <v>662</v>
      </c>
      <c r="AX195" s="13" t="s">
        <v>663</v>
      </c>
      <c r="AY195" s="13" t="s">
        <v>662</v>
      </c>
      <c r="AZ195" s="102" t="s">
        <v>296</v>
      </c>
      <c r="BA195" s="133" t="s">
        <v>296</v>
      </c>
      <c r="BB195" s="102" t="s">
        <v>296</v>
      </c>
      <c r="BC195" s="722" t="s">
        <v>662</v>
      </c>
      <c r="BD195" s="782" t="s">
        <v>296</v>
      </c>
      <c r="BE195" s="287" t="s">
        <v>663</v>
      </c>
      <c r="BF195" s="340" t="s">
        <v>296</v>
      </c>
      <c r="BG195" s="119" t="s">
        <v>296</v>
      </c>
      <c r="BH195" s="102" t="s">
        <v>296</v>
      </c>
      <c r="BI195" s="380" t="s">
        <v>1435</v>
      </c>
      <c r="BJ195" s="722" t="s">
        <v>662</v>
      </c>
      <c r="BK195" s="779" t="s">
        <v>296</v>
      </c>
      <c r="BL195" s="283" t="s">
        <v>663</v>
      </c>
      <c r="BM195" s="340" t="s">
        <v>296</v>
      </c>
      <c r="BN195" s="722" t="s">
        <v>662</v>
      </c>
      <c r="BO195" s="116"/>
      <c r="BP195" s="115"/>
      <c r="BQ195" s="283" t="s">
        <v>663</v>
      </c>
      <c r="BR195" s="133" t="s">
        <v>662</v>
      </c>
      <c r="BS195" s="26" t="s">
        <v>663</v>
      </c>
      <c r="BT195" s="405"/>
    </row>
    <row r="196" spans="1:72" ht="13.5" hidden="1" customHeight="1" x14ac:dyDescent="0.35">
      <c r="A196" s="683"/>
      <c r="B196" s="47"/>
      <c r="C196" s="543" t="s">
        <v>693</v>
      </c>
      <c r="D196" s="1128"/>
      <c r="E196" s="1164"/>
      <c r="F196" s="1165"/>
      <c r="G196" s="1165"/>
      <c r="H196" s="1165"/>
      <c r="I196" s="1165"/>
      <c r="J196" s="1165"/>
      <c r="K196" s="1165"/>
      <c r="L196" s="1165"/>
      <c r="M196" s="1166"/>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120"/>
      <c r="AM196" s="173"/>
      <c r="AN196" s="171"/>
      <c r="AO196" s="171"/>
      <c r="AP196" s="30"/>
      <c r="AQ196" s="121"/>
      <c r="AR196" s="119" t="s">
        <v>694</v>
      </c>
      <c r="AS196" s="13" t="s">
        <v>695</v>
      </c>
      <c r="AT196" s="102" t="s">
        <v>296</v>
      </c>
      <c r="AU196" s="119" t="s">
        <v>663</v>
      </c>
      <c r="AV196" s="102" t="s">
        <v>17</v>
      </c>
      <c r="AW196" s="119" t="s">
        <v>663</v>
      </c>
      <c r="AX196" s="13" t="s">
        <v>17</v>
      </c>
      <c r="AY196" s="13" t="s">
        <v>695</v>
      </c>
      <c r="AZ196" s="102" t="s">
        <v>296</v>
      </c>
      <c r="BA196" s="133" t="s">
        <v>296</v>
      </c>
      <c r="BB196" s="102" t="s">
        <v>296</v>
      </c>
      <c r="BC196" s="722" t="s">
        <v>695</v>
      </c>
      <c r="BD196" s="20" t="s">
        <v>694</v>
      </c>
      <c r="BE196" s="224" t="s">
        <v>695</v>
      </c>
      <c r="BF196" s="20" t="s">
        <v>1506</v>
      </c>
      <c r="BG196" s="119" t="s">
        <v>296</v>
      </c>
      <c r="BH196" s="102" t="s">
        <v>296</v>
      </c>
      <c r="BI196" s="377" t="s">
        <v>662</v>
      </c>
      <c r="BJ196" s="718" t="s">
        <v>695</v>
      </c>
      <c r="BK196" s="20" t="s">
        <v>694</v>
      </c>
      <c r="BL196" s="114" t="s">
        <v>695</v>
      </c>
      <c r="BM196" s="526" t="s">
        <v>1506</v>
      </c>
      <c r="BN196" s="521" t="s">
        <v>1488</v>
      </c>
      <c r="BO196" s="116"/>
      <c r="BP196" s="115"/>
      <c r="BQ196" s="116" t="s">
        <v>695</v>
      </c>
      <c r="BR196" s="133" t="s">
        <v>694</v>
      </c>
      <c r="BS196" s="26" t="s">
        <v>695</v>
      </c>
      <c r="BT196" s="405"/>
    </row>
    <row r="197" spans="1:72" ht="13.5" hidden="1" customHeight="1" x14ac:dyDescent="0.35">
      <c r="A197" s="683"/>
      <c r="B197" s="47"/>
      <c r="C197" s="1126" t="s">
        <v>1515</v>
      </c>
      <c r="D197" s="1128"/>
      <c r="E197" s="1164"/>
      <c r="F197" s="1165"/>
      <c r="G197" s="1165"/>
      <c r="H197" s="1165"/>
      <c r="I197" s="1165"/>
      <c r="J197" s="1165"/>
      <c r="K197" s="1165"/>
      <c r="L197" s="1165"/>
      <c r="M197" s="1166"/>
      <c r="N197" s="120"/>
      <c r="O197" s="30"/>
      <c r="P197" s="121"/>
      <c r="Q197" s="120"/>
      <c r="R197" s="30"/>
      <c r="S197" s="30"/>
      <c r="T197" s="121"/>
      <c r="U197" s="401"/>
      <c r="V197" s="30"/>
      <c r="W197" s="30"/>
      <c r="X197" s="193"/>
      <c r="Y197" s="401"/>
      <c r="Z197" s="30"/>
      <c r="AA197" s="30"/>
      <c r="AB197" s="30"/>
      <c r="AC197" s="121"/>
      <c r="AD197" s="401"/>
      <c r="AE197" s="30"/>
      <c r="AF197" s="30"/>
      <c r="AG197" s="30"/>
      <c r="AH197" s="30"/>
      <c r="AI197" s="30"/>
      <c r="AJ197" s="121"/>
      <c r="AK197" s="121"/>
      <c r="AL197" s="326"/>
      <c r="AM197" s="1125"/>
      <c r="AN197" s="346"/>
      <c r="AO197" s="346"/>
      <c r="AP197" s="327"/>
      <c r="AQ197" s="1125"/>
      <c r="AR197" s="1125"/>
      <c r="AS197" s="1125"/>
      <c r="AT197" s="1125"/>
      <c r="AU197" s="1125"/>
      <c r="AV197" s="1125"/>
      <c r="AW197" s="1125"/>
      <c r="AX197" s="1125"/>
      <c r="AY197" s="1125"/>
      <c r="AZ197" s="1125"/>
      <c r="BA197" s="1125"/>
      <c r="BB197" s="1125"/>
      <c r="BC197" s="1125"/>
      <c r="BD197" s="1125"/>
      <c r="BE197" s="1125"/>
      <c r="BF197" s="1125"/>
      <c r="BG197" s="1125"/>
      <c r="BH197" s="1125"/>
      <c r="BI197" s="1125"/>
      <c r="BJ197" s="723" t="s">
        <v>17</v>
      </c>
      <c r="BK197" s="466" t="s">
        <v>696</v>
      </c>
      <c r="BL197" s="283" t="s">
        <v>8</v>
      </c>
      <c r="BM197" s="283" t="s">
        <v>8</v>
      </c>
      <c r="BN197" s="521"/>
      <c r="BO197" s="116"/>
      <c r="BP197" s="115"/>
      <c r="BQ197" s="116"/>
      <c r="BR197" s="133"/>
      <c r="BS197" s="26"/>
      <c r="BT197" s="405"/>
    </row>
    <row r="198" spans="1:72" s="232" customFormat="1" ht="13.5" hidden="1" customHeight="1" x14ac:dyDescent="0.35">
      <c r="A198" s="683"/>
      <c r="B198" s="234"/>
      <c r="C198" s="169" t="s">
        <v>168</v>
      </c>
      <c r="D198" s="1128"/>
      <c r="E198" s="1164"/>
      <c r="F198" s="1165"/>
      <c r="G198" s="1165"/>
      <c r="H198" s="1165"/>
      <c r="I198" s="1165"/>
      <c r="J198" s="1165"/>
      <c r="K198" s="1165"/>
      <c r="L198" s="1165"/>
      <c r="M198" s="1166"/>
      <c r="N198" s="113" t="s">
        <v>375</v>
      </c>
      <c r="O198" s="20" t="s">
        <v>375</v>
      </c>
      <c r="P198" s="114" t="s">
        <v>375</v>
      </c>
      <c r="Q198" s="113" t="s">
        <v>375</v>
      </c>
      <c r="R198" s="20" t="s">
        <v>375</v>
      </c>
      <c r="S198" s="20" t="s">
        <v>375</v>
      </c>
      <c r="T198" s="114" t="s">
        <v>375</v>
      </c>
      <c r="U198" s="237" t="s">
        <v>375</v>
      </c>
      <c r="V198" s="20" t="s">
        <v>375</v>
      </c>
      <c r="W198" s="20" t="s">
        <v>375</v>
      </c>
      <c r="X198" s="114" t="s">
        <v>375</v>
      </c>
      <c r="Y198" s="237" t="s">
        <v>375</v>
      </c>
      <c r="Z198" s="20" t="s">
        <v>375</v>
      </c>
      <c r="AA198" s="20" t="s">
        <v>375</v>
      </c>
      <c r="AB198" s="20" t="s">
        <v>375</v>
      </c>
      <c r="AC198" s="114" t="s">
        <v>375</v>
      </c>
      <c r="AD198" s="237" t="s">
        <v>375</v>
      </c>
      <c r="AE198" s="20" t="s">
        <v>375</v>
      </c>
      <c r="AF198" s="20" t="s">
        <v>375</v>
      </c>
      <c r="AG198" s="20" t="s">
        <v>375</v>
      </c>
      <c r="AH198" s="20" t="s">
        <v>375</v>
      </c>
      <c r="AI198" s="20" t="s">
        <v>375</v>
      </c>
      <c r="AJ198" s="114" t="s">
        <v>375</v>
      </c>
      <c r="AK198" s="114" t="s">
        <v>375</v>
      </c>
      <c r="AL198" s="295" t="s">
        <v>376</v>
      </c>
      <c r="AM198" s="309" t="s">
        <v>415</v>
      </c>
      <c r="AN198" s="309" t="s">
        <v>415</v>
      </c>
      <c r="AO198" s="1029" t="s">
        <v>415</v>
      </c>
      <c r="AP198" s="428" t="s">
        <v>376</v>
      </c>
      <c r="AQ198" s="309" t="s">
        <v>415</v>
      </c>
      <c r="AR198" s="113" t="s">
        <v>375</v>
      </c>
      <c r="AS198" s="20" t="s">
        <v>375</v>
      </c>
      <c r="AT198" s="224" t="s">
        <v>533</v>
      </c>
      <c r="AU198" s="111" t="s">
        <v>375</v>
      </c>
      <c r="AV198" s="112" t="s">
        <v>375</v>
      </c>
      <c r="AW198" s="111" t="s">
        <v>375</v>
      </c>
      <c r="AX198" s="16" t="s">
        <v>375</v>
      </c>
      <c r="AY198" s="16" t="s">
        <v>375</v>
      </c>
      <c r="AZ198" s="112" t="s">
        <v>533</v>
      </c>
      <c r="BA198" s="949" t="s">
        <v>376</v>
      </c>
      <c r="BB198" s="112" t="s">
        <v>533</v>
      </c>
      <c r="BC198" s="718" t="s">
        <v>375</v>
      </c>
      <c r="BD198" s="779" t="s">
        <v>375</v>
      </c>
      <c r="BE198" s="224" t="s">
        <v>375</v>
      </c>
      <c r="BF198" s="377" t="s">
        <v>533</v>
      </c>
      <c r="BG198" s="294" t="s">
        <v>376</v>
      </c>
      <c r="BH198" s="112" t="s">
        <v>533</v>
      </c>
      <c r="BI198" s="885" t="s">
        <v>376</v>
      </c>
      <c r="BJ198" s="718" t="s">
        <v>375</v>
      </c>
      <c r="BK198" s="779" t="s">
        <v>375</v>
      </c>
      <c r="BL198" s="114" t="s">
        <v>375</v>
      </c>
      <c r="BM198" s="377" t="s">
        <v>533</v>
      </c>
      <c r="BN198" s="718" t="s">
        <v>375</v>
      </c>
      <c r="BO198" s="114"/>
      <c r="BP198" s="113"/>
      <c r="BQ198" s="114" t="s">
        <v>375</v>
      </c>
      <c r="BR198" s="712" t="s">
        <v>375</v>
      </c>
      <c r="BS198" s="27" t="s">
        <v>375</v>
      </c>
      <c r="BT198" s="413"/>
    </row>
    <row r="199" spans="1:72" s="232" customFormat="1" ht="13.5" hidden="1" customHeight="1" x14ac:dyDescent="0.35">
      <c r="A199" s="683"/>
      <c r="B199" s="511"/>
      <c r="C199" s="169" t="s">
        <v>619</v>
      </c>
      <c r="D199" s="1128"/>
      <c r="E199" s="1164"/>
      <c r="F199" s="1165"/>
      <c r="G199" s="1165"/>
      <c r="H199" s="1165"/>
      <c r="I199" s="1165"/>
      <c r="J199" s="1165"/>
      <c r="K199" s="1165"/>
      <c r="L199" s="1165"/>
      <c r="M199" s="1166"/>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8</v>
      </c>
      <c r="AR199" s="113" t="s">
        <v>17</v>
      </c>
      <c r="AS199" s="20" t="s">
        <v>17</v>
      </c>
      <c r="AT199" s="114" t="s">
        <v>17</v>
      </c>
      <c r="AU199" s="84" t="s">
        <v>17</v>
      </c>
      <c r="AV199" s="769" t="s">
        <v>17</v>
      </c>
      <c r="AW199" s="825" t="s">
        <v>17</v>
      </c>
      <c r="AX199" s="20" t="s">
        <v>17</v>
      </c>
      <c r="AY199" s="16" t="s">
        <v>17</v>
      </c>
      <c r="AZ199" s="114" t="s">
        <v>17</v>
      </c>
      <c r="BA199" s="950" t="s">
        <v>8</v>
      </c>
      <c r="BB199" s="114" t="s">
        <v>17</v>
      </c>
      <c r="BC199" s="718" t="s">
        <v>8</v>
      </c>
      <c r="BD199" s="779" t="s">
        <v>8</v>
      </c>
      <c r="BE199" s="287" t="s">
        <v>8</v>
      </c>
      <c r="BF199" s="378" t="s">
        <v>17</v>
      </c>
      <c r="BG199" s="765" t="s">
        <v>8</v>
      </c>
      <c r="BH199" s="114" t="s">
        <v>17</v>
      </c>
      <c r="BI199" s="886" t="s">
        <v>17</v>
      </c>
      <c r="BJ199" s="723" t="s">
        <v>8</v>
      </c>
      <c r="BK199" s="779" t="s">
        <v>8</v>
      </c>
      <c r="BL199" s="283" t="s">
        <v>8</v>
      </c>
      <c r="BM199" s="378" t="s">
        <v>17</v>
      </c>
      <c r="BN199" s="523" t="s">
        <v>17</v>
      </c>
      <c r="BO199" s="283"/>
      <c r="BP199" s="465"/>
      <c r="BQ199" s="283" t="s">
        <v>8</v>
      </c>
      <c r="BR199" s="712" t="s">
        <v>17</v>
      </c>
      <c r="BS199" s="27" t="s">
        <v>17</v>
      </c>
      <c r="BT199" s="413"/>
    </row>
    <row r="200" spans="1:72" s="232" customFormat="1" ht="13.5" hidden="1" customHeight="1" x14ac:dyDescent="0.35">
      <c r="A200" s="683"/>
      <c r="B200" s="511"/>
      <c r="C200" s="169" t="s">
        <v>1406</v>
      </c>
      <c r="D200" s="1128"/>
      <c r="E200" s="1164"/>
      <c r="F200" s="1165"/>
      <c r="G200" s="1165"/>
      <c r="H200" s="1165"/>
      <c r="I200" s="1165"/>
      <c r="J200" s="1165"/>
      <c r="K200" s="1165"/>
      <c r="L200" s="1165"/>
      <c r="M200" s="1166"/>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51" t="s">
        <v>17</v>
      </c>
      <c r="BB200" s="309" t="s">
        <v>17</v>
      </c>
      <c r="BC200" s="309" t="s">
        <v>8</v>
      </c>
      <c r="BD200" s="309" t="s">
        <v>8</v>
      </c>
      <c r="BE200" s="309" t="s">
        <v>8</v>
      </c>
      <c r="BF200" s="309" t="s">
        <v>8</v>
      </c>
      <c r="BG200" s="765"/>
      <c r="BH200" s="114" t="s">
        <v>17</v>
      </c>
      <c r="BI200" s="886" t="s">
        <v>1434</v>
      </c>
      <c r="BJ200" s="309" t="s">
        <v>8</v>
      </c>
      <c r="BK200" s="1029" t="s">
        <v>8</v>
      </c>
      <c r="BL200" s="309" t="s">
        <v>8</v>
      </c>
      <c r="BM200" s="309" t="s">
        <v>8</v>
      </c>
      <c r="BN200" s="1028" t="s">
        <v>17</v>
      </c>
      <c r="BO200" s="283"/>
      <c r="BP200" s="465"/>
      <c r="BQ200" s="283"/>
      <c r="BR200" s="951" t="s">
        <v>17</v>
      </c>
      <c r="BS200" s="951" t="s">
        <v>17</v>
      </c>
      <c r="BT200" s="413"/>
    </row>
    <row r="201" spans="1:72" s="232" customFormat="1" ht="13.5" hidden="1" customHeight="1" x14ac:dyDescent="0.35">
      <c r="A201" s="683"/>
      <c r="B201" s="511"/>
      <c r="C201" s="169" t="s">
        <v>1407</v>
      </c>
      <c r="D201" s="1128"/>
      <c r="E201" s="1164"/>
      <c r="F201" s="1165"/>
      <c r="G201" s="1165"/>
      <c r="H201" s="1165"/>
      <c r="I201" s="1165"/>
      <c r="J201" s="1165"/>
      <c r="K201" s="1165"/>
      <c r="L201" s="1165"/>
      <c r="M201" s="1166"/>
      <c r="N201" s="117"/>
      <c r="O201" s="29"/>
      <c r="P201" s="118"/>
      <c r="Q201" s="117"/>
      <c r="R201" s="29"/>
      <c r="S201" s="29"/>
      <c r="T201" s="118"/>
      <c r="U201" s="515"/>
      <c r="V201" s="29"/>
      <c r="W201" s="29"/>
      <c r="X201" s="118"/>
      <c r="Y201" s="515"/>
      <c r="Z201" s="29"/>
      <c r="AA201" s="29"/>
      <c r="AB201" s="29"/>
      <c r="AC201" s="515"/>
      <c r="AD201" s="515"/>
      <c r="AE201" s="29"/>
      <c r="AF201" s="29"/>
      <c r="AG201" s="29"/>
      <c r="AH201" s="29"/>
      <c r="AI201" s="29"/>
      <c r="AJ201" s="118"/>
      <c r="AK201" s="118"/>
      <c r="AL201" s="512"/>
      <c r="AM201" s="513"/>
      <c r="AN201" s="513"/>
      <c r="AO201" s="513"/>
      <c r="AP201" s="514"/>
      <c r="AQ201" s="309" t="s">
        <v>17</v>
      </c>
      <c r="AR201" s="309" t="s">
        <v>17</v>
      </c>
      <c r="AS201" s="309" t="s">
        <v>17</v>
      </c>
      <c r="AT201" s="309" t="s">
        <v>17</v>
      </c>
      <c r="AU201" s="309" t="s">
        <v>17</v>
      </c>
      <c r="AV201" s="309" t="s">
        <v>17</v>
      </c>
      <c r="AW201" s="309" t="s">
        <v>17</v>
      </c>
      <c r="AX201" s="309" t="s">
        <v>17</v>
      </c>
      <c r="AY201" s="309" t="s">
        <v>17</v>
      </c>
      <c r="AZ201" s="309" t="s">
        <v>17</v>
      </c>
      <c r="BA201" s="951" t="s">
        <v>17</v>
      </c>
      <c r="BB201" s="309" t="s">
        <v>17</v>
      </c>
      <c r="BC201" s="309" t="s">
        <v>17</v>
      </c>
      <c r="BD201" s="309" t="s">
        <v>8</v>
      </c>
      <c r="BE201" s="309" t="s">
        <v>17</v>
      </c>
      <c r="BF201" s="309" t="s">
        <v>17</v>
      </c>
      <c r="BG201" s="765"/>
      <c r="BH201" s="114" t="s">
        <v>17</v>
      </c>
      <c r="BI201" s="886" t="s">
        <v>17</v>
      </c>
      <c r="BJ201" s="309" t="s">
        <v>17</v>
      </c>
      <c r="BK201" s="1029" t="s">
        <v>8</v>
      </c>
      <c r="BL201" s="309" t="s">
        <v>17</v>
      </c>
      <c r="BM201" s="309" t="s">
        <v>17</v>
      </c>
      <c r="BN201" s="1029" t="s">
        <v>17</v>
      </c>
      <c r="BO201" s="283"/>
      <c r="BP201" s="465"/>
      <c r="BQ201" s="283"/>
      <c r="BR201" s="951" t="s">
        <v>17</v>
      </c>
      <c r="BS201" s="951" t="s">
        <v>17</v>
      </c>
      <c r="BT201" s="413"/>
    </row>
    <row r="202" spans="1:72" ht="13.5" hidden="1" customHeight="1" x14ac:dyDescent="0.35">
      <c r="A202" s="683"/>
      <c r="B202" s="49"/>
      <c r="C202" s="169" t="s">
        <v>62</v>
      </c>
      <c r="D202" s="1128"/>
      <c r="E202" s="1164"/>
      <c r="F202" s="1165"/>
      <c r="G202" s="1165"/>
      <c r="H202" s="1165"/>
      <c r="I202" s="1165"/>
      <c r="J202" s="1165"/>
      <c r="K202" s="1165"/>
      <c r="L202" s="1165"/>
      <c r="M202" s="1166"/>
      <c r="N202" s="119">
        <v>8</v>
      </c>
      <c r="O202" s="13">
        <v>8</v>
      </c>
      <c r="P202" s="102">
        <v>8</v>
      </c>
      <c r="Q202" s="119">
        <v>8</v>
      </c>
      <c r="R202" s="13">
        <v>8</v>
      </c>
      <c r="S202" s="13">
        <v>8</v>
      </c>
      <c r="T202" s="102">
        <v>8</v>
      </c>
      <c r="U202" s="236">
        <v>8</v>
      </c>
      <c r="V202" s="13">
        <v>8</v>
      </c>
      <c r="W202" s="13">
        <v>8</v>
      </c>
      <c r="X202" s="102">
        <v>8</v>
      </c>
      <c r="Y202" s="236">
        <v>8</v>
      </c>
      <c r="Z202" s="13">
        <v>8</v>
      </c>
      <c r="AA202" s="13">
        <v>8</v>
      </c>
      <c r="AB202" s="13">
        <v>8</v>
      </c>
      <c r="AC202" s="87">
        <v>8</v>
      </c>
      <c r="AD202" s="101">
        <v>8</v>
      </c>
      <c r="AE202" s="13">
        <v>8</v>
      </c>
      <c r="AF202" s="13">
        <v>8</v>
      </c>
      <c r="AG202" s="13">
        <v>8</v>
      </c>
      <c r="AH202" s="13">
        <v>8</v>
      </c>
      <c r="AI202" s="13">
        <v>8</v>
      </c>
      <c r="AJ202" s="102">
        <v>8</v>
      </c>
      <c r="AK202" s="102">
        <v>8</v>
      </c>
      <c r="AL202" s="119">
        <v>16</v>
      </c>
      <c r="AM202" s="36">
        <v>16</v>
      </c>
      <c r="AN202" s="177">
        <v>16</v>
      </c>
      <c r="AO202" s="177">
        <v>16</v>
      </c>
      <c r="AP202" s="13">
        <v>16</v>
      </c>
      <c r="AQ202" s="36">
        <v>16</v>
      </c>
      <c r="AR202" s="119">
        <v>8</v>
      </c>
      <c r="AS202" s="16">
        <v>32</v>
      </c>
      <c r="AT202" s="177">
        <v>32</v>
      </c>
      <c r="AU202" s="111">
        <v>8</v>
      </c>
      <c r="AV202" s="112">
        <v>32</v>
      </c>
      <c r="AW202" s="111">
        <v>8</v>
      </c>
      <c r="AX202" s="16">
        <v>32</v>
      </c>
      <c r="AY202" s="526">
        <v>32</v>
      </c>
      <c r="AZ202" s="112">
        <v>32</v>
      </c>
      <c r="BA202" s="26">
        <v>16</v>
      </c>
      <c r="BB202" s="260">
        <v>32</v>
      </c>
      <c r="BC202" s="722">
        <v>8</v>
      </c>
      <c r="BD202" s="791">
        <v>32</v>
      </c>
      <c r="BE202" s="852">
        <v>32</v>
      </c>
      <c r="BF202" s="314">
        <v>32</v>
      </c>
      <c r="BG202" s="119">
        <v>16</v>
      </c>
      <c r="BH202" s="260">
        <v>32</v>
      </c>
      <c r="BI202" s="340">
        <v>16</v>
      </c>
      <c r="BJ202" s="722">
        <v>8</v>
      </c>
      <c r="BK202" s="779">
        <v>32</v>
      </c>
      <c r="BL202" s="919">
        <v>32</v>
      </c>
      <c r="BM202" s="314">
        <v>32</v>
      </c>
      <c r="BN202" s="722">
        <v>8</v>
      </c>
      <c r="BO202" s="919"/>
      <c r="BP202" s="115"/>
      <c r="BQ202" s="919">
        <v>32</v>
      </c>
      <c r="BR202" s="133">
        <v>8</v>
      </c>
      <c r="BS202" s="26">
        <v>32</v>
      </c>
      <c r="BT202" s="444" t="s">
        <v>570</v>
      </c>
    </row>
    <row r="203" spans="1:72" ht="13.5" hidden="1" customHeight="1" x14ac:dyDescent="0.35">
      <c r="A203" s="683"/>
      <c r="B203" s="49"/>
      <c r="C203" s="169" t="s">
        <v>620</v>
      </c>
      <c r="D203" s="1128"/>
      <c r="E203" s="1164"/>
      <c r="F203" s="1165"/>
      <c r="G203" s="1165"/>
      <c r="H203" s="1165"/>
      <c r="I203" s="1165"/>
      <c r="J203" s="1165"/>
      <c r="K203" s="1165"/>
      <c r="L203" s="1165"/>
      <c r="M203" s="1166"/>
      <c r="N203" s="120"/>
      <c r="O203" s="30"/>
      <c r="P203" s="121"/>
      <c r="Q203" s="120"/>
      <c r="R203" s="30"/>
      <c r="S203" s="30"/>
      <c r="T203" s="121"/>
      <c r="U203" s="401"/>
      <c r="V203" s="30"/>
      <c r="W203" s="30"/>
      <c r="X203" s="401"/>
      <c r="Y203" s="401"/>
      <c r="Z203" s="30"/>
      <c r="AA203" s="30"/>
      <c r="AB203" s="30"/>
      <c r="AC203" s="88"/>
      <c r="AD203" s="172"/>
      <c r="AE203" s="30"/>
      <c r="AF203" s="30"/>
      <c r="AG203" s="30"/>
      <c r="AH203" s="30"/>
      <c r="AI203" s="30"/>
      <c r="AJ203" s="102"/>
      <c r="AK203" s="102"/>
      <c r="AL203" s="119"/>
      <c r="AM203" s="36"/>
      <c r="AN203" s="177"/>
      <c r="AO203" s="177"/>
      <c r="AP203" s="13" t="s">
        <v>621</v>
      </c>
      <c r="AQ203" s="173"/>
      <c r="AR203" s="120"/>
      <c r="AS203" s="342"/>
      <c r="AT203" s="396"/>
      <c r="AU203" s="120"/>
      <c r="AV203" s="455"/>
      <c r="AW203" s="120"/>
      <c r="AX203" s="342"/>
      <c r="AY203" s="342"/>
      <c r="AZ203" s="455"/>
      <c r="BA203" s="26" t="s">
        <v>8</v>
      </c>
      <c r="BB203" s="134" t="s">
        <v>17</v>
      </c>
      <c r="BC203" s="737" t="s">
        <v>17</v>
      </c>
      <c r="BD203" s="798" t="s">
        <v>17</v>
      </c>
      <c r="BE203" s="852" t="s">
        <v>17</v>
      </c>
      <c r="BF203" s="392" t="s">
        <v>17</v>
      </c>
      <c r="BG203" s="147" t="s">
        <v>8</v>
      </c>
      <c r="BH203" s="134" t="s">
        <v>17</v>
      </c>
      <c r="BI203" s="380" t="s">
        <v>17</v>
      </c>
      <c r="BJ203" s="737" t="s">
        <v>17</v>
      </c>
      <c r="BK203" s="797" t="s">
        <v>17</v>
      </c>
      <c r="BL203" s="919" t="s">
        <v>17</v>
      </c>
      <c r="BM203" s="392" t="s">
        <v>17</v>
      </c>
      <c r="BN203" s="737" t="s">
        <v>17</v>
      </c>
      <c r="BO203" s="919"/>
      <c r="BP203" s="894"/>
      <c r="BQ203" s="919" t="s">
        <v>17</v>
      </c>
      <c r="BR203" s="494"/>
      <c r="BS203" s="334"/>
      <c r="BT203" s="444"/>
    </row>
    <row r="204" spans="1:72" ht="13.5" hidden="1" customHeight="1" x14ac:dyDescent="0.35">
      <c r="A204" s="683"/>
      <c r="B204" s="234"/>
      <c r="C204" s="169" t="s">
        <v>69</v>
      </c>
      <c r="D204" s="1128"/>
      <c r="E204" s="1164"/>
      <c r="F204" s="1165"/>
      <c r="G204" s="1165"/>
      <c r="H204" s="1165"/>
      <c r="I204" s="1165"/>
      <c r="J204" s="1165"/>
      <c r="K204" s="1165"/>
      <c r="L204" s="1165"/>
      <c r="M204" s="1166"/>
      <c r="N204" s="119" t="s">
        <v>8</v>
      </c>
      <c r="O204" s="13" t="s">
        <v>8</v>
      </c>
      <c r="P204" s="102" t="s">
        <v>8</v>
      </c>
      <c r="Q204" s="119" t="s">
        <v>8</v>
      </c>
      <c r="R204" s="13" t="s">
        <v>8</v>
      </c>
      <c r="S204" s="13" t="s">
        <v>8</v>
      </c>
      <c r="T204" s="102" t="s">
        <v>8</v>
      </c>
      <c r="U204" s="236" t="s">
        <v>8</v>
      </c>
      <c r="V204" s="13" t="s">
        <v>8</v>
      </c>
      <c r="W204" s="13" t="s">
        <v>8</v>
      </c>
      <c r="X204" s="87" t="s">
        <v>8</v>
      </c>
      <c r="Y204" s="101" t="s">
        <v>8</v>
      </c>
      <c r="Z204" s="13" t="s">
        <v>8</v>
      </c>
      <c r="AA204" s="13" t="s">
        <v>8</v>
      </c>
      <c r="AB204" s="16" t="s">
        <v>8</v>
      </c>
      <c r="AC204" s="87" t="s">
        <v>8</v>
      </c>
      <c r="AD204" s="101" t="s">
        <v>8</v>
      </c>
      <c r="AE204" s="13" t="s">
        <v>8</v>
      </c>
      <c r="AF204" s="13" t="s">
        <v>8</v>
      </c>
      <c r="AG204" s="13" t="s">
        <v>8</v>
      </c>
      <c r="AH204" s="13" t="s">
        <v>8</v>
      </c>
      <c r="AI204" s="13" t="s">
        <v>8</v>
      </c>
      <c r="AJ204" s="102" t="s">
        <v>8</v>
      </c>
      <c r="AK204" s="102" t="s">
        <v>8</v>
      </c>
      <c r="AL204" s="295" t="s">
        <v>17</v>
      </c>
      <c r="AM204" s="309" t="s">
        <v>17</v>
      </c>
      <c r="AN204" s="309" t="s">
        <v>17</v>
      </c>
      <c r="AO204" s="1029" t="s">
        <v>17</v>
      </c>
      <c r="AP204" s="428" t="s">
        <v>17</v>
      </c>
      <c r="AQ204" s="309" t="s">
        <v>17</v>
      </c>
      <c r="AR204" s="243" t="s">
        <v>8</v>
      </c>
      <c r="AS204" s="14" t="s">
        <v>8</v>
      </c>
      <c r="AT204" s="181" t="s">
        <v>8</v>
      </c>
      <c r="AU204" s="243" t="s">
        <v>8</v>
      </c>
      <c r="AV204" s="162" t="s">
        <v>8</v>
      </c>
      <c r="AW204" s="119" t="s">
        <v>8</v>
      </c>
      <c r="AX204" s="13" t="s">
        <v>8</v>
      </c>
      <c r="AY204" s="13" t="s">
        <v>8</v>
      </c>
      <c r="AZ204" s="102" t="s">
        <v>8</v>
      </c>
      <c r="BA204" s="949" t="s">
        <v>17</v>
      </c>
      <c r="BB204" s="102" t="s">
        <v>8</v>
      </c>
      <c r="BC204" s="722" t="s">
        <v>8</v>
      </c>
      <c r="BD204" s="782" t="s">
        <v>8</v>
      </c>
      <c r="BE204" s="179" t="s">
        <v>8</v>
      </c>
      <c r="BF204" s="340" t="s">
        <v>8</v>
      </c>
      <c r="BG204" s="294" t="s">
        <v>17</v>
      </c>
      <c r="BH204" s="102" t="s">
        <v>8</v>
      </c>
      <c r="BI204" s="885" t="s">
        <v>17</v>
      </c>
      <c r="BJ204" s="722" t="s">
        <v>8</v>
      </c>
      <c r="BK204" s="779" t="s">
        <v>8</v>
      </c>
      <c r="BL204" s="116" t="s">
        <v>8</v>
      </c>
      <c r="BM204" s="340" t="s">
        <v>8</v>
      </c>
      <c r="BN204" s="722" t="s">
        <v>8</v>
      </c>
      <c r="BO204" s="116"/>
      <c r="BP204" s="115"/>
      <c r="BQ204" s="116" t="s">
        <v>8</v>
      </c>
      <c r="BR204" s="496" t="s">
        <v>8</v>
      </c>
      <c r="BS204" s="258" t="s">
        <v>8</v>
      </c>
      <c r="BT204" s="413"/>
    </row>
    <row r="205" spans="1:72" ht="13.5" hidden="1" customHeight="1" x14ac:dyDescent="0.35">
      <c r="A205" s="683"/>
      <c r="B205" s="48"/>
      <c r="C205" s="3" t="s">
        <v>266</v>
      </c>
      <c r="D205" s="1128"/>
      <c r="E205" s="1164"/>
      <c r="F205" s="1165"/>
      <c r="G205" s="1165"/>
      <c r="H205" s="1165"/>
      <c r="I205" s="1165"/>
      <c r="J205" s="1165"/>
      <c r="K205" s="1165"/>
      <c r="L205" s="1165"/>
      <c r="M205" s="1166"/>
      <c r="N205" s="119" t="s">
        <v>17</v>
      </c>
      <c r="O205" s="13" t="s">
        <v>17</v>
      </c>
      <c r="P205" s="102" t="s">
        <v>17</v>
      </c>
      <c r="Q205" s="119" t="s">
        <v>17</v>
      </c>
      <c r="R205" s="13" t="s">
        <v>17</v>
      </c>
      <c r="S205" s="19" t="s">
        <v>17</v>
      </c>
      <c r="T205" s="116" t="s">
        <v>17</v>
      </c>
      <c r="U205" s="119" t="s">
        <v>17</v>
      </c>
      <c r="V205" s="13" t="s">
        <v>17</v>
      </c>
      <c r="W205" s="13" t="s">
        <v>17</v>
      </c>
      <c r="X205" s="190" t="s">
        <v>17</v>
      </c>
      <c r="Y205" s="119" t="s">
        <v>17</v>
      </c>
      <c r="Z205" s="13" t="s">
        <v>17</v>
      </c>
      <c r="AA205" s="21" t="s">
        <v>8</v>
      </c>
      <c r="AB205" s="322" t="s">
        <v>8</v>
      </c>
      <c r="AC205" s="102" t="s">
        <v>17</v>
      </c>
      <c r="AD205" s="87" t="s">
        <v>41</v>
      </c>
      <c r="AE205" s="13" t="s">
        <v>17</v>
      </c>
      <c r="AF205" s="13" t="s">
        <v>41</v>
      </c>
      <c r="AG205" s="13" t="s">
        <v>17</v>
      </c>
      <c r="AH205" s="36" t="s">
        <v>41</v>
      </c>
      <c r="AI205" s="13" t="s">
        <v>17</v>
      </c>
      <c r="AJ205" s="116" t="s">
        <v>41</v>
      </c>
      <c r="AK205" s="102" t="s">
        <v>41</v>
      </c>
      <c r="AL205" s="119" t="s">
        <v>17</v>
      </c>
      <c r="AM205" s="36" t="s">
        <v>17</v>
      </c>
      <c r="AN205" s="177" t="s">
        <v>17</v>
      </c>
      <c r="AO205" s="177" t="s">
        <v>17</v>
      </c>
      <c r="AP205" s="13" t="s">
        <v>17</v>
      </c>
      <c r="AQ205" s="36" t="s">
        <v>17</v>
      </c>
      <c r="AR205" s="119" t="s">
        <v>41</v>
      </c>
      <c r="AS205" s="13" t="s">
        <v>41</v>
      </c>
      <c r="AT205" s="36" t="s">
        <v>17</v>
      </c>
      <c r="AU205" s="119" t="s">
        <v>17</v>
      </c>
      <c r="AV205" s="102" t="s">
        <v>17</v>
      </c>
      <c r="AW205" s="119" t="s">
        <v>41</v>
      </c>
      <c r="AX205" s="13" t="s">
        <v>41</v>
      </c>
      <c r="AY205" s="13" t="s">
        <v>41</v>
      </c>
      <c r="AZ205" s="102" t="s">
        <v>17</v>
      </c>
      <c r="BA205" s="26" t="s">
        <v>17</v>
      </c>
      <c r="BB205" s="102" t="s">
        <v>17</v>
      </c>
      <c r="BC205" s="722" t="s">
        <v>41</v>
      </c>
      <c r="BD205" s="782" t="s">
        <v>41</v>
      </c>
      <c r="BE205" s="179" t="s">
        <v>41</v>
      </c>
      <c r="BF205" s="340" t="s">
        <v>17</v>
      </c>
      <c r="BG205" s="119" t="s">
        <v>17</v>
      </c>
      <c r="BH205" s="102" t="s">
        <v>17</v>
      </c>
      <c r="BI205" s="340" t="s">
        <v>17</v>
      </c>
      <c r="BJ205" s="722" t="s">
        <v>41</v>
      </c>
      <c r="BK205" s="779" t="s">
        <v>41</v>
      </c>
      <c r="BL205" s="116" t="s">
        <v>41</v>
      </c>
      <c r="BM205" s="340" t="s">
        <v>17</v>
      </c>
      <c r="BN205" s="523" t="s">
        <v>17</v>
      </c>
      <c r="BO205" s="116"/>
      <c r="BP205" s="115"/>
      <c r="BQ205" s="116" t="s">
        <v>41</v>
      </c>
      <c r="BR205" s="133" t="s">
        <v>41</v>
      </c>
      <c r="BS205" s="26" t="s">
        <v>41</v>
      </c>
      <c r="BT205" s="405" t="s">
        <v>1283</v>
      </c>
    </row>
    <row r="206" spans="1:72" ht="13.5" hidden="1" customHeight="1" x14ac:dyDescent="0.35">
      <c r="A206" s="683"/>
      <c r="B206" s="48"/>
      <c r="C206" s="3" t="s">
        <v>553</v>
      </c>
      <c r="D206" s="1128"/>
      <c r="E206" s="1164"/>
      <c r="F206" s="1165"/>
      <c r="G206" s="1165"/>
      <c r="H206" s="1165"/>
      <c r="I206" s="1165"/>
      <c r="J206" s="1165"/>
      <c r="K206" s="1165"/>
      <c r="L206" s="1165"/>
      <c r="M206" s="1166"/>
      <c r="N206" s="433"/>
      <c r="O206" s="432"/>
      <c r="P206" s="434"/>
      <c r="Q206" s="433"/>
      <c r="R206" s="432"/>
      <c r="S206" s="432"/>
      <c r="T206" s="434"/>
      <c r="U206" s="433"/>
      <c r="V206" s="432"/>
      <c r="W206" s="432"/>
      <c r="X206" s="435"/>
      <c r="Y206" s="433"/>
      <c r="Z206" s="432"/>
      <c r="AA206" s="436"/>
      <c r="AB206" s="437"/>
      <c r="AC206" s="434"/>
      <c r="AD206" s="438"/>
      <c r="AE206" s="432"/>
      <c r="AF206" s="432"/>
      <c r="AG206" s="432"/>
      <c r="AH206" s="439"/>
      <c r="AI206" s="432"/>
      <c r="AJ206" s="439"/>
      <c r="AK206" s="434"/>
      <c r="AL206" s="433"/>
      <c r="AM206" s="439"/>
      <c r="AN206" s="1060"/>
      <c r="AO206" s="1060"/>
      <c r="AP206" s="432"/>
      <c r="AQ206" s="439"/>
      <c r="AR206" s="433"/>
      <c r="AS206" s="432"/>
      <c r="AT206" s="36" t="s">
        <v>8</v>
      </c>
      <c r="AU206" s="115" t="s">
        <v>17</v>
      </c>
      <c r="AV206" s="116" t="s">
        <v>17</v>
      </c>
      <c r="AW206" s="115" t="s">
        <v>17</v>
      </c>
      <c r="AX206" s="19" t="s">
        <v>17</v>
      </c>
      <c r="AY206" s="13" t="s">
        <v>17</v>
      </c>
      <c r="AZ206" s="36" t="s">
        <v>8</v>
      </c>
      <c r="BA206" s="952"/>
      <c r="BB206" s="102" t="s">
        <v>8</v>
      </c>
      <c r="BC206" s="737" t="s">
        <v>17</v>
      </c>
      <c r="BD206" s="798" t="s">
        <v>17</v>
      </c>
      <c r="BE206" s="852" t="s">
        <v>17</v>
      </c>
      <c r="BF206" s="340" t="s">
        <v>8</v>
      </c>
      <c r="BG206" s="433"/>
      <c r="BH206" s="102" t="s">
        <v>8</v>
      </c>
      <c r="BI206" s="440"/>
      <c r="BJ206" s="737" t="s">
        <v>17</v>
      </c>
      <c r="BK206" s="797" t="s">
        <v>17</v>
      </c>
      <c r="BL206" s="919" t="s">
        <v>17</v>
      </c>
      <c r="BM206" s="340" t="s">
        <v>8</v>
      </c>
      <c r="BN206" s="737" t="s">
        <v>17</v>
      </c>
      <c r="BO206" s="919"/>
      <c r="BP206" s="894"/>
      <c r="BQ206" s="919" t="s">
        <v>17</v>
      </c>
      <c r="BR206" s="952"/>
      <c r="BS206" s="954"/>
      <c r="BT206" s="405"/>
    </row>
    <row r="207" spans="1:72" ht="13.5" hidden="1" customHeight="1" x14ac:dyDescent="0.35">
      <c r="A207" s="683"/>
      <c r="B207" s="48"/>
      <c r="C207" s="3" t="s">
        <v>1303</v>
      </c>
      <c r="D207" s="1128"/>
      <c r="E207" s="1164"/>
      <c r="F207" s="1165"/>
      <c r="G207" s="1165"/>
      <c r="H207" s="1165"/>
      <c r="I207" s="1165"/>
      <c r="J207" s="1165"/>
      <c r="K207" s="1165"/>
      <c r="L207" s="1165"/>
      <c r="M207" s="1166"/>
      <c r="N207" s="433"/>
      <c r="O207" s="432"/>
      <c r="P207" s="434"/>
      <c r="Q207" s="433"/>
      <c r="R207" s="432"/>
      <c r="S207" s="432"/>
      <c r="T207" s="434"/>
      <c r="U207" s="433"/>
      <c r="V207" s="432"/>
      <c r="W207" s="432"/>
      <c r="X207" s="435"/>
      <c r="Y207" s="433"/>
      <c r="Z207" s="432"/>
      <c r="AA207" s="436"/>
      <c r="AB207" s="437"/>
      <c r="AC207" s="434"/>
      <c r="AD207" s="438"/>
      <c r="AE207" s="432"/>
      <c r="AF207" s="432"/>
      <c r="AG207" s="19">
        <v>1</v>
      </c>
      <c r="AH207" s="439"/>
      <c r="AI207" s="432"/>
      <c r="AJ207" s="439"/>
      <c r="AK207" s="434"/>
      <c r="AL207" s="433"/>
      <c r="AM207" s="439"/>
      <c r="AN207" s="1060"/>
      <c r="AO207" s="1060"/>
      <c r="AP207" s="432"/>
      <c r="AQ207" s="439"/>
      <c r="AR207" s="119">
        <v>1</v>
      </c>
      <c r="AS207" s="13">
        <v>2</v>
      </c>
      <c r="AT207" s="36">
        <v>3</v>
      </c>
      <c r="AU207" s="119">
        <v>1</v>
      </c>
      <c r="AV207" s="102">
        <v>2</v>
      </c>
      <c r="AW207" s="119">
        <v>1</v>
      </c>
      <c r="AX207" s="13">
        <v>2</v>
      </c>
      <c r="AY207" s="13">
        <v>2</v>
      </c>
      <c r="AZ207" s="36">
        <v>3</v>
      </c>
      <c r="BA207" s="953">
        <v>4</v>
      </c>
      <c r="BB207" s="102">
        <v>3</v>
      </c>
      <c r="BC207" s="722">
        <v>1</v>
      </c>
      <c r="BD207" s="782">
        <v>2</v>
      </c>
      <c r="BE207" s="179">
        <v>5</v>
      </c>
      <c r="BF207" s="340">
        <v>3</v>
      </c>
      <c r="BG207" s="294">
        <v>4</v>
      </c>
      <c r="BH207" s="102">
        <v>3</v>
      </c>
      <c r="BI207" s="885">
        <v>4</v>
      </c>
      <c r="BJ207" s="722">
        <v>1</v>
      </c>
      <c r="BK207" s="779">
        <v>2</v>
      </c>
      <c r="BL207" s="116">
        <v>5</v>
      </c>
      <c r="BM207" s="340">
        <v>3</v>
      </c>
      <c r="BN207" s="722">
        <v>1</v>
      </c>
      <c r="BO207" s="116"/>
      <c r="BP207" s="115"/>
      <c r="BQ207" s="116">
        <v>5</v>
      </c>
      <c r="BR207" s="133">
        <v>1</v>
      </c>
      <c r="BS207" s="26">
        <v>2</v>
      </c>
      <c r="BT207" s="413" t="s">
        <v>1301</v>
      </c>
    </row>
    <row r="208" spans="1:72" ht="13.5" hidden="1" customHeight="1" x14ac:dyDescent="0.35">
      <c r="A208" s="683"/>
      <c r="B208" s="48"/>
      <c r="C208" s="5" t="s">
        <v>1299</v>
      </c>
      <c r="D208" s="1128"/>
      <c r="E208" s="1164"/>
      <c r="F208" s="1165"/>
      <c r="G208" s="1165"/>
      <c r="H208" s="1165"/>
      <c r="I208" s="1165"/>
      <c r="J208" s="1165"/>
      <c r="K208" s="1165"/>
      <c r="L208" s="1165"/>
      <c r="M208" s="1166"/>
      <c r="N208" s="433"/>
      <c r="O208" s="432"/>
      <c r="P208" s="434"/>
      <c r="Q208" s="433"/>
      <c r="R208" s="432"/>
      <c r="S208" s="432"/>
      <c r="T208" s="434"/>
      <c r="U208" s="433"/>
      <c r="V208" s="432"/>
      <c r="W208" s="432"/>
      <c r="X208" s="435"/>
      <c r="Y208" s="433"/>
      <c r="Z208" s="432"/>
      <c r="AA208" s="436"/>
      <c r="AB208" s="437"/>
      <c r="AC208" s="434"/>
      <c r="AD208" s="438"/>
      <c r="AE208" s="432"/>
      <c r="AF208" s="432"/>
      <c r="AG208" s="19" t="s">
        <v>17</v>
      </c>
      <c r="AH208" s="439"/>
      <c r="AI208" s="432"/>
      <c r="AJ208" s="439"/>
      <c r="AK208" s="434"/>
      <c r="AL208" s="433"/>
      <c r="AM208" s="439"/>
      <c r="AN208" s="1060"/>
      <c r="AO208" s="1060"/>
      <c r="AP208" s="432"/>
      <c r="AQ208" s="439"/>
      <c r="AR208" s="119" t="s">
        <v>17</v>
      </c>
      <c r="AS208" s="13" t="s">
        <v>8</v>
      </c>
      <c r="AT208" s="36" t="s">
        <v>17</v>
      </c>
      <c r="AU208" s="119" t="s">
        <v>17</v>
      </c>
      <c r="AV208" s="102" t="s">
        <v>8</v>
      </c>
      <c r="AW208" s="119" t="s">
        <v>17</v>
      </c>
      <c r="AX208" s="13" t="s">
        <v>8</v>
      </c>
      <c r="AY208" s="13" t="s">
        <v>8</v>
      </c>
      <c r="AZ208" s="36" t="s">
        <v>17</v>
      </c>
      <c r="BA208" s="953" t="s">
        <v>17</v>
      </c>
      <c r="BB208" s="102" t="s">
        <v>17</v>
      </c>
      <c r="BC208" s="722" t="s">
        <v>17</v>
      </c>
      <c r="BD208" s="782" t="s">
        <v>8</v>
      </c>
      <c r="BE208" s="179" t="s">
        <v>8</v>
      </c>
      <c r="BF208" s="340" t="s">
        <v>17</v>
      </c>
      <c r="BG208" s="294" t="s">
        <v>17</v>
      </c>
      <c r="BH208" s="102" t="s">
        <v>8</v>
      </c>
      <c r="BI208" s="885" t="s">
        <v>17</v>
      </c>
      <c r="BJ208" s="722" t="s">
        <v>17</v>
      </c>
      <c r="BK208" s="779" t="s">
        <v>8</v>
      </c>
      <c r="BL208" s="116" t="s">
        <v>8</v>
      </c>
      <c r="BM208" s="340" t="s">
        <v>17</v>
      </c>
      <c r="BN208" s="722" t="s">
        <v>17</v>
      </c>
      <c r="BO208" s="116"/>
      <c r="BP208" s="115"/>
      <c r="BQ208" s="116" t="s">
        <v>8</v>
      </c>
      <c r="BR208" s="133" t="s">
        <v>17</v>
      </c>
      <c r="BS208" s="26" t="s">
        <v>8</v>
      </c>
      <c r="BT208" s="413" t="s">
        <v>1302</v>
      </c>
    </row>
    <row r="209" spans="1:72" ht="13.5" hidden="1" customHeight="1" x14ac:dyDescent="0.35">
      <c r="A209" s="683"/>
      <c r="B209" s="48"/>
      <c r="C209" s="5" t="s">
        <v>1300</v>
      </c>
      <c r="D209" s="1128"/>
      <c r="E209" s="1164"/>
      <c r="F209" s="1165"/>
      <c r="G209" s="1165"/>
      <c r="H209" s="1165"/>
      <c r="I209" s="1165"/>
      <c r="J209" s="1165"/>
      <c r="K209" s="1165"/>
      <c r="L209" s="1165"/>
      <c r="M209" s="1166"/>
      <c r="N209" s="433"/>
      <c r="O209" s="432"/>
      <c r="P209" s="434"/>
      <c r="Q209" s="433"/>
      <c r="R209" s="432"/>
      <c r="S209" s="432"/>
      <c r="T209" s="434"/>
      <c r="U209" s="433"/>
      <c r="V209" s="432"/>
      <c r="W209" s="432"/>
      <c r="X209" s="435"/>
      <c r="Y209" s="433"/>
      <c r="Z209" s="432"/>
      <c r="AA209" s="436"/>
      <c r="AB209" s="437"/>
      <c r="AC209" s="434"/>
      <c r="AD209" s="438"/>
      <c r="AE209" s="432"/>
      <c r="AF209" s="432"/>
      <c r="AG209" s="19" t="s">
        <v>8</v>
      </c>
      <c r="AH209" s="439"/>
      <c r="AI209" s="432"/>
      <c r="AJ209" s="439"/>
      <c r="AK209" s="434"/>
      <c r="AL209" s="433"/>
      <c r="AM209" s="439"/>
      <c r="AN209" s="1060"/>
      <c r="AO209" s="1060"/>
      <c r="AP209" s="432"/>
      <c r="AQ209" s="439"/>
      <c r="AR209" s="119" t="s">
        <v>8</v>
      </c>
      <c r="AS209" s="13" t="s">
        <v>8</v>
      </c>
      <c r="AT209" s="36" t="s">
        <v>17</v>
      </c>
      <c r="AU209" s="119" t="s">
        <v>8</v>
      </c>
      <c r="AV209" s="102" t="s">
        <v>8</v>
      </c>
      <c r="AW209" s="119" t="s">
        <v>8</v>
      </c>
      <c r="AX209" s="13" t="s">
        <v>8</v>
      </c>
      <c r="AY209" s="13" t="s">
        <v>8</v>
      </c>
      <c r="AZ209" s="36" t="s">
        <v>17</v>
      </c>
      <c r="BA209" s="953" t="s">
        <v>17</v>
      </c>
      <c r="BB209" s="102" t="s">
        <v>17</v>
      </c>
      <c r="BC209" s="722" t="s">
        <v>8</v>
      </c>
      <c r="BD209" s="782" t="s">
        <v>8</v>
      </c>
      <c r="BE209" s="179" t="s">
        <v>17</v>
      </c>
      <c r="BF209" s="340" t="s">
        <v>17</v>
      </c>
      <c r="BG209" s="294" t="s">
        <v>17</v>
      </c>
      <c r="BH209" s="102" t="s">
        <v>17</v>
      </c>
      <c r="BI209" s="885" t="s">
        <v>17</v>
      </c>
      <c r="BJ209" s="722" t="s">
        <v>8</v>
      </c>
      <c r="BK209" s="779" t="s">
        <v>8</v>
      </c>
      <c r="BL209" s="116" t="s">
        <v>17</v>
      </c>
      <c r="BM209" s="340" t="s">
        <v>17</v>
      </c>
      <c r="BN209" s="722" t="s">
        <v>8</v>
      </c>
      <c r="BO209" s="116"/>
      <c r="BP209" s="115"/>
      <c r="BQ209" s="116" t="s">
        <v>17</v>
      </c>
      <c r="BR209" s="133" t="s">
        <v>8</v>
      </c>
      <c r="BS209" s="26" t="s">
        <v>8</v>
      </c>
      <c r="BT209" s="413" t="s">
        <v>1302</v>
      </c>
    </row>
    <row r="210" spans="1:72" ht="13.5" hidden="1" customHeight="1" x14ac:dyDescent="0.35">
      <c r="A210" s="683"/>
      <c r="B210" s="48"/>
      <c r="C210" s="5" t="s">
        <v>1290</v>
      </c>
      <c r="D210" s="1128"/>
      <c r="E210" s="1164"/>
      <c r="F210" s="1165"/>
      <c r="G210" s="1165"/>
      <c r="H210" s="1165"/>
      <c r="I210" s="1165"/>
      <c r="J210" s="1165"/>
      <c r="K210" s="1165"/>
      <c r="L210" s="1165"/>
      <c r="M210" s="1166"/>
      <c r="N210" s="433"/>
      <c r="O210" s="432"/>
      <c r="P210" s="434"/>
      <c r="Q210" s="433"/>
      <c r="R210" s="432"/>
      <c r="S210" s="432"/>
      <c r="T210" s="434"/>
      <c r="U210" s="433"/>
      <c r="V210" s="432"/>
      <c r="W210" s="432"/>
      <c r="X210" s="435"/>
      <c r="Y210" s="433"/>
      <c r="Z210" s="432"/>
      <c r="AA210" s="436"/>
      <c r="AB210" s="437"/>
      <c r="AC210" s="434"/>
      <c r="AD210" s="438"/>
      <c r="AE210" s="432"/>
      <c r="AF210" s="432"/>
      <c r="AG210" s="19" t="s">
        <v>17</v>
      </c>
      <c r="AH210" s="439"/>
      <c r="AI210" s="432"/>
      <c r="AJ210" s="439"/>
      <c r="AK210" s="434"/>
      <c r="AL210" s="433"/>
      <c r="AM210" s="439"/>
      <c r="AN210" s="1060"/>
      <c r="AO210" s="1060"/>
      <c r="AP210" s="432"/>
      <c r="AQ210" s="439"/>
      <c r="AR210" s="119" t="s">
        <v>17</v>
      </c>
      <c r="AS210" s="13" t="s">
        <v>8</v>
      </c>
      <c r="AT210" s="36" t="s">
        <v>8</v>
      </c>
      <c r="AU210" s="119" t="s">
        <v>17</v>
      </c>
      <c r="AV210" s="102" t="s">
        <v>8</v>
      </c>
      <c r="AW210" s="119" t="s">
        <v>17</v>
      </c>
      <c r="AX210" s="13" t="s">
        <v>8</v>
      </c>
      <c r="AY210" s="13" t="s">
        <v>8</v>
      </c>
      <c r="AZ210" s="36" t="s">
        <v>8</v>
      </c>
      <c r="BA210" s="953" t="s">
        <v>17</v>
      </c>
      <c r="BB210" s="102" t="s">
        <v>8</v>
      </c>
      <c r="BC210" s="722" t="s">
        <v>17</v>
      </c>
      <c r="BD210" s="782" t="s">
        <v>8</v>
      </c>
      <c r="BE210" s="179" t="s">
        <v>8</v>
      </c>
      <c r="BF210" s="340" t="s">
        <v>8</v>
      </c>
      <c r="BG210" s="294" t="s">
        <v>17</v>
      </c>
      <c r="BH210" s="102" t="s">
        <v>8</v>
      </c>
      <c r="BI210" s="885" t="s">
        <v>17</v>
      </c>
      <c r="BJ210" s="722" t="s">
        <v>17</v>
      </c>
      <c r="BK210" s="779" t="s">
        <v>8</v>
      </c>
      <c r="BL210" s="116" t="s">
        <v>8</v>
      </c>
      <c r="BM210" s="340" t="s">
        <v>8</v>
      </c>
      <c r="BN210" s="722" t="s">
        <v>17</v>
      </c>
      <c r="BO210" s="116"/>
      <c r="BP210" s="115"/>
      <c r="BQ210" s="116" t="s">
        <v>8</v>
      </c>
      <c r="BR210" s="133" t="s">
        <v>17</v>
      </c>
      <c r="BS210" s="26" t="s">
        <v>8</v>
      </c>
      <c r="BT210" s="413" t="s">
        <v>1302</v>
      </c>
    </row>
    <row r="211" spans="1:72" ht="13.5" hidden="1" customHeight="1" x14ac:dyDescent="0.35">
      <c r="A211" s="683"/>
      <c r="B211" s="48"/>
      <c r="C211" s="518" t="s">
        <v>1516</v>
      </c>
      <c r="D211" s="1128"/>
      <c r="E211" s="1164"/>
      <c r="F211" s="1165"/>
      <c r="G211" s="1165"/>
      <c r="H211" s="1165"/>
      <c r="I211" s="1165"/>
      <c r="J211" s="1165"/>
      <c r="K211" s="1165"/>
      <c r="L211" s="1165"/>
      <c r="M211" s="1166"/>
      <c r="N211" s="433"/>
      <c r="O211" s="432"/>
      <c r="P211" s="434"/>
      <c r="Q211" s="433"/>
      <c r="R211" s="432"/>
      <c r="S211" s="432"/>
      <c r="T211" s="434"/>
      <c r="U211" s="433"/>
      <c r="V211" s="432"/>
      <c r="W211" s="432"/>
      <c r="X211" s="435"/>
      <c r="Y211" s="433"/>
      <c r="Z211" s="432"/>
      <c r="AA211" s="436"/>
      <c r="AB211" s="437"/>
      <c r="AC211" s="434"/>
      <c r="AD211" s="438"/>
      <c r="AE211" s="432"/>
      <c r="AF211" s="432"/>
      <c r="AG211" s="432"/>
      <c r="AH211" s="439"/>
      <c r="AI211" s="432"/>
      <c r="AJ211" s="439"/>
      <c r="AK211" s="434"/>
      <c r="AL211" s="433"/>
      <c r="AM211" s="439"/>
      <c r="AN211" s="1060"/>
      <c r="AO211" s="1060"/>
      <c r="AP211" s="432"/>
      <c r="AQ211" s="432"/>
      <c r="AR211" s="432"/>
      <c r="AS211" s="432"/>
      <c r="AT211" s="36" t="s">
        <v>8</v>
      </c>
      <c r="AU211" s="119" t="s">
        <v>17</v>
      </c>
      <c r="AV211" s="119" t="s">
        <v>17</v>
      </c>
      <c r="AW211" s="119" t="s">
        <v>17</v>
      </c>
      <c r="AX211" s="119" t="s">
        <v>17</v>
      </c>
      <c r="AY211" s="119" t="s">
        <v>17</v>
      </c>
      <c r="AZ211" s="36" t="s">
        <v>8</v>
      </c>
      <c r="BA211" s="953" t="s">
        <v>181</v>
      </c>
      <c r="BB211" s="36" t="s">
        <v>8</v>
      </c>
      <c r="BC211" s="722" t="s">
        <v>17</v>
      </c>
      <c r="BD211" s="722" t="s">
        <v>17</v>
      </c>
      <c r="BE211" s="722" t="s">
        <v>17</v>
      </c>
      <c r="BF211" s="340" t="s">
        <v>8</v>
      </c>
      <c r="BG211" s="294"/>
      <c r="BH211" s="102"/>
      <c r="BI211" s="885"/>
      <c r="BJ211" s="722" t="s">
        <v>17</v>
      </c>
      <c r="BK211" s="722" t="s">
        <v>17</v>
      </c>
      <c r="BL211" s="722" t="s">
        <v>17</v>
      </c>
      <c r="BM211" s="340" t="s">
        <v>8</v>
      </c>
      <c r="BN211" s="722" t="s">
        <v>17</v>
      </c>
      <c r="BO211" s="722" t="s">
        <v>17</v>
      </c>
      <c r="BP211" s="722" t="s">
        <v>17</v>
      </c>
      <c r="BQ211" s="722" t="s">
        <v>17</v>
      </c>
      <c r="BR211" s="722" t="s">
        <v>17</v>
      </c>
      <c r="BS211" s="722" t="s">
        <v>17</v>
      </c>
      <c r="BT211" s="413"/>
    </row>
    <row r="212" spans="1:72" ht="13.5" hidden="1" customHeight="1" x14ac:dyDescent="0.35">
      <c r="A212" s="683"/>
      <c r="B212" s="48"/>
      <c r="C212" s="518" t="s">
        <v>1517</v>
      </c>
      <c r="D212" s="1128"/>
      <c r="E212" s="1164"/>
      <c r="F212" s="1165"/>
      <c r="G212" s="1165"/>
      <c r="H212" s="1165"/>
      <c r="I212" s="1165"/>
      <c r="J212" s="1165"/>
      <c r="K212" s="1165"/>
      <c r="L212" s="1165"/>
      <c r="M212" s="1166"/>
      <c r="N212" s="433"/>
      <c r="O212" s="432"/>
      <c r="P212" s="434"/>
      <c r="Q212" s="433"/>
      <c r="R212" s="432"/>
      <c r="S212" s="432"/>
      <c r="T212" s="434"/>
      <c r="U212" s="433"/>
      <c r="V212" s="432"/>
      <c r="W212" s="432"/>
      <c r="X212" s="435"/>
      <c r="Y212" s="433"/>
      <c r="Z212" s="432"/>
      <c r="AA212" s="436"/>
      <c r="AB212" s="437"/>
      <c r="AC212" s="434"/>
      <c r="AD212" s="438"/>
      <c r="AE212" s="432"/>
      <c r="AF212" s="432"/>
      <c r="AG212" s="19"/>
      <c r="AH212" s="439"/>
      <c r="AI212" s="432"/>
      <c r="AJ212" s="439"/>
      <c r="AK212" s="434"/>
      <c r="AL212" s="433"/>
      <c r="AM212" s="439"/>
      <c r="AN212" s="1060"/>
      <c r="AO212" s="1060"/>
      <c r="AP212" s="432"/>
      <c r="AQ212" s="439"/>
      <c r="AR212" s="439"/>
      <c r="AS212" s="439"/>
      <c r="AT212" s="36" t="s">
        <v>8</v>
      </c>
      <c r="AU212" s="119" t="s">
        <v>17</v>
      </c>
      <c r="AV212" s="119" t="s">
        <v>17</v>
      </c>
      <c r="AW212" s="119" t="s">
        <v>17</v>
      </c>
      <c r="AX212" s="119" t="s">
        <v>17</v>
      </c>
      <c r="AY212" s="119" t="s">
        <v>17</v>
      </c>
      <c r="AZ212" s="36" t="s">
        <v>8</v>
      </c>
      <c r="BA212" s="953" t="s">
        <v>181</v>
      </c>
      <c r="BB212" s="36" t="s">
        <v>8</v>
      </c>
      <c r="BC212" s="722" t="s">
        <v>17</v>
      </c>
      <c r="BD212" s="722" t="s">
        <v>17</v>
      </c>
      <c r="BE212" s="722" t="s">
        <v>17</v>
      </c>
      <c r="BF212" s="340" t="s">
        <v>8</v>
      </c>
      <c r="BG212" s="722" t="s">
        <v>17</v>
      </c>
      <c r="BH212" s="722" t="s">
        <v>17</v>
      </c>
      <c r="BI212" s="340" t="s">
        <v>8</v>
      </c>
      <c r="BJ212" s="722" t="s">
        <v>17</v>
      </c>
      <c r="BK212" s="722" t="s">
        <v>17</v>
      </c>
      <c r="BL212" s="722" t="s">
        <v>17</v>
      </c>
      <c r="BM212" s="722" t="s">
        <v>8</v>
      </c>
      <c r="BN212" s="722" t="s">
        <v>17</v>
      </c>
      <c r="BO212" s="722" t="s">
        <v>17</v>
      </c>
      <c r="BP212" s="722" t="s">
        <v>17</v>
      </c>
      <c r="BQ212" s="722" t="s">
        <v>17</v>
      </c>
      <c r="BR212" s="413"/>
      <c r="BS212" s="26"/>
      <c r="BT212" s="413"/>
    </row>
    <row r="213" spans="1:72" ht="13.5" customHeight="1" thickTop="1" x14ac:dyDescent="0.35">
      <c r="A213" s="683"/>
      <c r="B213" s="48"/>
      <c r="C213" s="5" t="s">
        <v>650</v>
      </c>
      <c r="D213" s="1128"/>
      <c r="E213" s="1164"/>
      <c r="F213" s="1165"/>
      <c r="G213" s="1165"/>
      <c r="H213" s="1165"/>
      <c r="I213" s="1165"/>
      <c r="J213" s="1165"/>
      <c r="K213" s="1165"/>
      <c r="L213" s="1165"/>
      <c r="M213" s="1166"/>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60"/>
      <c r="AO213" s="1060"/>
      <c r="AP213" s="432"/>
      <c r="AQ213" s="439"/>
      <c r="AR213" s="119" t="s">
        <v>17</v>
      </c>
      <c r="AS213" s="13" t="s">
        <v>8</v>
      </c>
      <c r="AT213" s="36" t="s">
        <v>17</v>
      </c>
      <c r="AU213" s="115" t="s">
        <v>17</v>
      </c>
      <c r="AV213" s="116" t="s">
        <v>8</v>
      </c>
      <c r="AW213" s="115" t="s">
        <v>17</v>
      </c>
      <c r="AX213" s="19" t="s">
        <v>8</v>
      </c>
      <c r="AY213" s="19" t="s">
        <v>8</v>
      </c>
      <c r="AZ213" s="179" t="s">
        <v>17</v>
      </c>
      <c r="BA213" s="953" t="s">
        <v>17</v>
      </c>
      <c r="BB213" s="13" t="s">
        <v>17</v>
      </c>
      <c r="BC213" s="722" t="s">
        <v>17</v>
      </c>
      <c r="BD213" s="782" t="s">
        <v>8</v>
      </c>
      <c r="BE213" s="179" t="s">
        <v>8</v>
      </c>
      <c r="BF213" s="340" t="s">
        <v>17</v>
      </c>
      <c r="BG213" s="119" t="s">
        <v>17</v>
      </c>
      <c r="BH213" s="102" t="s">
        <v>17</v>
      </c>
      <c r="BI213" s="340" t="s">
        <v>17</v>
      </c>
      <c r="BJ213" s="722" t="s">
        <v>17</v>
      </c>
      <c r="BK213" s="779" t="s">
        <v>8</v>
      </c>
      <c r="BL213" s="116" t="s">
        <v>8</v>
      </c>
      <c r="BM213" s="340" t="s">
        <v>17</v>
      </c>
      <c r="BN213" s="722" t="s">
        <v>17</v>
      </c>
      <c r="BO213" s="116"/>
      <c r="BP213" s="115"/>
      <c r="BQ213" s="116" t="s">
        <v>8</v>
      </c>
      <c r="BR213" s="133" t="s">
        <v>17</v>
      </c>
      <c r="BS213" s="26" t="s">
        <v>8</v>
      </c>
      <c r="BT213" s="340"/>
    </row>
    <row r="214" spans="1:72" ht="13.5" hidden="1" customHeight="1" x14ac:dyDescent="0.35">
      <c r="A214" s="683"/>
      <c r="B214" s="48"/>
      <c r="C214" s="3" t="s">
        <v>558</v>
      </c>
      <c r="D214" s="1128"/>
      <c r="E214" s="1164"/>
      <c r="F214" s="1165"/>
      <c r="G214" s="1165"/>
      <c r="H214" s="1165"/>
      <c r="I214" s="1165"/>
      <c r="J214" s="1165"/>
      <c r="K214" s="1165"/>
      <c r="L214" s="1165"/>
      <c r="M214" s="1166"/>
      <c r="N214" s="433"/>
      <c r="O214" s="432"/>
      <c r="P214" s="434"/>
      <c r="Q214" s="433"/>
      <c r="R214" s="432"/>
      <c r="S214" s="432"/>
      <c r="T214" s="434"/>
      <c r="U214" s="433"/>
      <c r="V214" s="432"/>
      <c r="W214" s="432"/>
      <c r="X214" s="435"/>
      <c r="Y214" s="433"/>
      <c r="Z214" s="432"/>
      <c r="AA214" s="436"/>
      <c r="AB214" s="437"/>
      <c r="AC214" s="434"/>
      <c r="AD214" s="438"/>
      <c r="AE214" s="432"/>
      <c r="AF214" s="432"/>
      <c r="AG214" s="432"/>
      <c r="AH214" s="439"/>
      <c r="AI214" s="432"/>
      <c r="AJ214" s="439"/>
      <c r="AK214" s="434"/>
      <c r="AL214" s="433"/>
      <c r="AM214" s="439"/>
      <c r="AN214" s="1060"/>
      <c r="AO214" s="1060"/>
      <c r="AP214" s="432"/>
      <c r="AQ214" s="439"/>
      <c r="AR214" s="433"/>
      <c r="AS214" s="432"/>
      <c r="AT214" s="36" t="s">
        <v>17</v>
      </c>
      <c r="AU214" s="115" t="s">
        <v>8</v>
      </c>
      <c r="AV214" s="116" t="s">
        <v>8</v>
      </c>
      <c r="AW214" s="115" t="s">
        <v>8</v>
      </c>
      <c r="AX214" s="19" t="s">
        <v>8</v>
      </c>
      <c r="AY214" s="13" t="s">
        <v>8</v>
      </c>
      <c r="AZ214" s="36" t="s">
        <v>17</v>
      </c>
      <c r="BA214" s="952"/>
      <c r="BB214" s="102" t="s">
        <v>17</v>
      </c>
      <c r="BC214" s="736" t="s">
        <v>8</v>
      </c>
      <c r="BD214" s="799" t="s">
        <v>8</v>
      </c>
      <c r="BE214" s="179" t="s">
        <v>8</v>
      </c>
      <c r="BF214" s="340" t="s">
        <v>17</v>
      </c>
      <c r="BG214" s="433"/>
      <c r="BH214" s="102" t="s">
        <v>17</v>
      </c>
      <c r="BI214" s="440"/>
      <c r="BJ214" s="736" t="s">
        <v>8</v>
      </c>
      <c r="BK214" s="797" t="s">
        <v>8</v>
      </c>
      <c r="BL214" s="116" t="s">
        <v>8</v>
      </c>
      <c r="BM214" s="340" t="s">
        <v>17</v>
      </c>
      <c r="BN214" s="736" t="s">
        <v>8</v>
      </c>
      <c r="BO214" s="116"/>
      <c r="BP214" s="115"/>
      <c r="BQ214" s="116" t="s">
        <v>8</v>
      </c>
      <c r="BR214" s="952"/>
      <c r="BS214" s="954"/>
      <c r="BT214" s="405"/>
    </row>
    <row r="215" spans="1:72" ht="13.5" hidden="1" customHeight="1" x14ac:dyDescent="0.35">
      <c r="A215" s="683"/>
      <c r="B215" s="47"/>
      <c r="C215" s="3" t="s">
        <v>186</v>
      </c>
      <c r="D215" s="1128"/>
      <c r="E215" s="1164"/>
      <c r="F215" s="1165"/>
      <c r="G215" s="1165"/>
      <c r="H215" s="1165"/>
      <c r="I215" s="1165"/>
      <c r="J215" s="1165"/>
      <c r="K215" s="1165"/>
      <c r="L215" s="1165"/>
      <c r="M215" s="1166"/>
      <c r="N215" s="111" t="s">
        <v>192</v>
      </c>
      <c r="O215" s="16" t="s">
        <v>192</v>
      </c>
      <c r="P215" s="112" t="s">
        <v>192</v>
      </c>
      <c r="Q215" s="111" t="s">
        <v>192</v>
      </c>
      <c r="R215" s="16" t="s">
        <v>192</v>
      </c>
      <c r="S215" s="20" t="s">
        <v>193</v>
      </c>
      <c r="T215" s="114" t="s">
        <v>193</v>
      </c>
      <c r="U215" s="119" t="s">
        <v>170</v>
      </c>
      <c r="V215" s="13" t="s">
        <v>170</v>
      </c>
      <c r="W215" s="13" t="s">
        <v>170</v>
      </c>
      <c r="X215" s="190" t="s">
        <v>170</v>
      </c>
      <c r="Y215" s="119" t="s">
        <v>170</v>
      </c>
      <c r="Z215" s="13" t="s">
        <v>170</v>
      </c>
      <c r="AA215" s="21" t="s">
        <v>170</v>
      </c>
      <c r="AB215" s="322" t="s">
        <v>170</v>
      </c>
      <c r="AC215" s="102" t="s">
        <v>170</v>
      </c>
      <c r="AD215" s="87" t="s">
        <v>170</v>
      </c>
      <c r="AE215" s="13" t="s">
        <v>170</v>
      </c>
      <c r="AF215" s="13" t="s">
        <v>170</v>
      </c>
      <c r="AG215" s="13" t="s">
        <v>170</v>
      </c>
      <c r="AH215" s="13" t="s">
        <v>170</v>
      </c>
      <c r="AI215" s="13" t="s">
        <v>170</v>
      </c>
      <c r="AJ215" s="87" t="s">
        <v>170</v>
      </c>
      <c r="AK215" s="102" t="s">
        <v>170</v>
      </c>
      <c r="AL215" s="119" t="s">
        <v>170</v>
      </c>
      <c r="AM215" s="36" t="s">
        <v>170</v>
      </c>
      <c r="AN215" s="177" t="s">
        <v>170</v>
      </c>
      <c r="AO215" s="177" t="s">
        <v>170</v>
      </c>
      <c r="AP215" s="13" t="s">
        <v>170</v>
      </c>
      <c r="AQ215" s="36" t="s">
        <v>170</v>
      </c>
      <c r="AR215" s="119" t="s">
        <v>170</v>
      </c>
      <c r="AS215" s="16" t="s">
        <v>170</v>
      </c>
      <c r="AT215" s="177" t="s">
        <v>170</v>
      </c>
      <c r="AU215" s="111" t="s">
        <v>170</v>
      </c>
      <c r="AV215" s="112" t="s">
        <v>170</v>
      </c>
      <c r="AW215" s="111" t="s">
        <v>170</v>
      </c>
      <c r="AX215" s="16" t="s">
        <v>170</v>
      </c>
      <c r="AY215" s="16" t="s">
        <v>170</v>
      </c>
      <c r="AZ215" s="177" t="s">
        <v>170</v>
      </c>
      <c r="BA215" s="133" t="s">
        <v>170</v>
      </c>
      <c r="BB215" s="260" t="s">
        <v>170</v>
      </c>
      <c r="BC215" s="722" t="s">
        <v>170</v>
      </c>
      <c r="BD215" s="779" t="s">
        <v>170</v>
      </c>
      <c r="BE215" s="224" t="s">
        <v>170</v>
      </c>
      <c r="BF215" s="314" t="s">
        <v>170</v>
      </c>
      <c r="BG215" s="119" t="s">
        <v>170</v>
      </c>
      <c r="BH215" s="260" t="s">
        <v>170</v>
      </c>
      <c r="BI215" s="340" t="s">
        <v>170</v>
      </c>
      <c r="BJ215" s="722" t="s">
        <v>170</v>
      </c>
      <c r="BK215" s="779" t="s">
        <v>170</v>
      </c>
      <c r="BL215" s="114" t="s">
        <v>170</v>
      </c>
      <c r="BM215" s="314" t="s">
        <v>170</v>
      </c>
      <c r="BN215" s="722" t="s">
        <v>170</v>
      </c>
      <c r="BO215" s="114"/>
      <c r="BP215" s="115"/>
      <c r="BQ215" s="114" t="s">
        <v>170</v>
      </c>
      <c r="BR215" s="133" t="s">
        <v>170</v>
      </c>
      <c r="BS215" s="26" t="s">
        <v>170</v>
      </c>
      <c r="BT215" s="405"/>
    </row>
    <row r="216" spans="1:72" ht="13.5" hidden="1" customHeight="1" x14ac:dyDescent="0.35">
      <c r="A216" s="683"/>
      <c r="B216" s="47"/>
      <c r="C216" s="3" t="s">
        <v>187</v>
      </c>
      <c r="D216" s="1128"/>
      <c r="E216" s="1164"/>
      <c r="F216" s="1165"/>
      <c r="G216" s="1165"/>
      <c r="H216" s="1165"/>
      <c r="I216" s="1165"/>
      <c r="J216" s="1165"/>
      <c r="K216" s="1165"/>
      <c r="L216" s="1165"/>
      <c r="M216" s="1166"/>
      <c r="N216" s="117"/>
      <c r="O216" s="29"/>
      <c r="P216" s="118"/>
      <c r="Q216" s="117"/>
      <c r="R216" s="29"/>
      <c r="S216" s="29"/>
      <c r="T216" s="118"/>
      <c r="U216" s="120"/>
      <c r="V216" s="30"/>
      <c r="W216" s="30"/>
      <c r="X216" s="193"/>
      <c r="Y216" s="120"/>
      <c r="Z216" s="30"/>
      <c r="AA216" s="21" t="s">
        <v>180</v>
      </c>
      <c r="AB216" s="322" t="s">
        <v>180</v>
      </c>
      <c r="AC216" s="102" t="s">
        <v>181</v>
      </c>
      <c r="AD216" s="13" t="s">
        <v>469</v>
      </c>
      <c r="AE216" s="13" t="s">
        <v>469</v>
      </c>
      <c r="AF216" s="13" t="s">
        <v>469</v>
      </c>
      <c r="AG216" s="285" t="s">
        <v>181</v>
      </c>
      <c r="AH216" s="13" t="s">
        <v>469</v>
      </c>
      <c r="AI216" s="285" t="s">
        <v>181</v>
      </c>
      <c r="AJ216" s="20" t="s">
        <v>469</v>
      </c>
      <c r="AK216" s="13" t="s">
        <v>469</v>
      </c>
      <c r="AL216" s="119" t="s">
        <v>196</v>
      </c>
      <c r="AM216" s="36" t="s">
        <v>196</v>
      </c>
      <c r="AN216" s="177" t="s">
        <v>196</v>
      </c>
      <c r="AO216" s="177" t="s">
        <v>196</v>
      </c>
      <c r="AP216" s="13" t="s">
        <v>196</v>
      </c>
      <c r="AQ216" s="36" t="s">
        <v>196</v>
      </c>
      <c r="AR216" s="119" t="s">
        <v>469</v>
      </c>
      <c r="AS216" s="16" t="s">
        <v>469</v>
      </c>
      <c r="AT216" s="177" t="s">
        <v>17</v>
      </c>
      <c r="AU216" s="113" t="s">
        <v>469</v>
      </c>
      <c r="AV216" s="112" t="s">
        <v>469</v>
      </c>
      <c r="AW216" s="111" t="s">
        <v>469</v>
      </c>
      <c r="AX216" s="16" t="s">
        <v>469</v>
      </c>
      <c r="AY216" s="16" t="s">
        <v>469</v>
      </c>
      <c r="AZ216" s="177" t="s">
        <v>17</v>
      </c>
      <c r="BA216" s="133" t="s">
        <v>17</v>
      </c>
      <c r="BB216" s="260" t="s">
        <v>17</v>
      </c>
      <c r="BC216" s="722" t="s">
        <v>469</v>
      </c>
      <c r="BD216" s="779" t="s">
        <v>469</v>
      </c>
      <c r="BE216" s="224" t="s">
        <v>469</v>
      </c>
      <c r="BF216" s="314" t="s">
        <v>17</v>
      </c>
      <c r="BG216" s="119" t="s">
        <v>17</v>
      </c>
      <c r="BH216" s="260" t="s">
        <v>17</v>
      </c>
      <c r="BI216" s="340" t="s">
        <v>17</v>
      </c>
      <c r="BJ216" s="722" t="s">
        <v>469</v>
      </c>
      <c r="BK216" s="779" t="s">
        <v>469</v>
      </c>
      <c r="BL216" s="547" t="s">
        <v>469</v>
      </c>
      <c r="BM216" s="314" t="s">
        <v>17</v>
      </c>
      <c r="BN216" s="722" t="s">
        <v>469</v>
      </c>
      <c r="BO216" s="114"/>
      <c r="BP216" s="115"/>
      <c r="BQ216" s="114" t="s">
        <v>469</v>
      </c>
      <c r="BR216" s="133" t="s">
        <v>469</v>
      </c>
      <c r="BS216" s="26" t="s">
        <v>469</v>
      </c>
      <c r="BT216" s="444" t="s">
        <v>571</v>
      </c>
    </row>
    <row r="217" spans="1:72" ht="13.5" hidden="1" customHeight="1" x14ac:dyDescent="0.35">
      <c r="A217" s="683"/>
      <c r="B217" s="47"/>
      <c r="C217" s="3" t="s">
        <v>555</v>
      </c>
      <c r="D217" s="1128"/>
      <c r="E217" s="1164"/>
      <c r="F217" s="1165"/>
      <c r="G217" s="1165"/>
      <c r="H217" s="1165"/>
      <c r="I217" s="1165"/>
      <c r="J217" s="1165"/>
      <c r="K217" s="1165"/>
      <c r="L217" s="1165"/>
      <c r="M217" s="1166"/>
      <c r="N217" s="117"/>
      <c r="O217" s="29"/>
      <c r="P217" s="118"/>
      <c r="Q217" s="117"/>
      <c r="R217" s="29"/>
      <c r="S217" s="29"/>
      <c r="T217" s="118"/>
      <c r="U217" s="120"/>
      <c r="V217" s="30"/>
      <c r="W217" s="30"/>
      <c r="X217" s="193"/>
      <c r="Y217" s="120"/>
      <c r="Z217" s="30"/>
      <c r="AA217" s="436"/>
      <c r="AB217" s="437"/>
      <c r="AC217" s="434"/>
      <c r="AD217" s="438"/>
      <c r="AE217" s="432"/>
      <c r="AF217" s="432"/>
      <c r="AG217" s="441"/>
      <c r="AH217" s="439"/>
      <c r="AI217" s="441"/>
      <c r="AJ217" s="442"/>
      <c r="AK217" s="439"/>
      <c r="AL217" s="433"/>
      <c r="AM217" s="439"/>
      <c r="AN217" s="1060"/>
      <c r="AO217" s="1060"/>
      <c r="AP217" s="432"/>
      <c r="AQ217" s="439"/>
      <c r="AR217" s="433"/>
      <c r="AS217" s="441"/>
      <c r="AT217" s="177" t="s">
        <v>8</v>
      </c>
      <c r="AU217" s="113" t="s">
        <v>17</v>
      </c>
      <c r="AV217" s="114" t="s">
        <v>17</v>
      </c>
      <c r="AW217" s="113" t="s">
        <v>17</v>
      </c>
      <c r="AX217" s="20" t="s">
        <v>17</v>
      </c>
      <c r="AY217" s="16" t="s">
        <v>17</v>
      </c>
      <c r="AZ217" s="112" t="s">
        <v>8</v>
      </c>
      <c r="BA217" s="954"/>
      <c r="BB217" s="260" t="s">
        <v>8</v>
      </c>
      <c r="BC217" s="722" t="s">
        <v>17</v>
      </c>
      <c r="BD217" s="782" t="s">
        <v>17</v>
      </c>
      <c r="BE217" s="179" t="s">
        <v>17</v>
      </c>
      <c r="BF217" s="314" t="s">
        <v>8</v>
      </c>
      <c r="BG217" s="433"/>
      <c r="BH217" s="260" t="s">
        <v>8</v>
      </c>
      <c r="BI217" s="440"/>
      <c r="BJ217" s="722" t="s">
        <v>17</v>
      </c>
      <c r="BK217" s="779" t="s">
        <v>17</v>
      </c>
      <c r="BL217" s="116" t="s">
        <v>17</v>
      </c>
      <c r="BM217" s="314" t="s">
        <v>8</v>
      </c>
      <c r="BN217" s="722" t="s">
        <v>17</v>
      </c>
      <c r="BO217" s="116"/>
      <c r="BP217" s="115"/>
      <c r="BQ217" s="116" t="s">
        <v>17</v>
      </c>
      <c r="BR217" s="952"/>
      <c r="BS217" s="954"/>
      <c r="BT217" s="405"/>
    </row>
    <row r="218" spans="1:72" ht="13.5" hidden="1" customHeight="1" x14ac:dyDescent="0.35">
      <c r="A218" s="683"/>
      <c r="B218" s="47"/>
      <c r="C218" s="3" t="s">
        <v>64</v>
      </c>
      <c r="D218" s="1128"/>
      <c r="E218" s="1164"/>
      <c r="F218" s="1165"/>
      <c r="G218" s="1165"/>
      <c r="H218" s="1165"/>
      <c r="I218" s="1165"/>
      <c r="J218" s="1165"/>
      <c r="K218" s="1165"/>
      <c r="L218" s="1165"/>
      <c r="M218" s="1166"/>
      <c r="N218" s="111" t="s">
        <v>17</v>
      </c>
      <c r="O218" s="16" t="s">
        <v>17</v>
      </c>
      <c r="P218" s="112" t="s">
        <v>17</v>
      </c>
      <c r="Q218" s="111" t="s">
        <v>17</v>
      </c>
      <c r="R218" s="16" t="s">
        <v>17</v>
      </c>
      <c r="S218" s="20" t="s">
        <v>17</v>
      </c>
      <c r="T218" s="114" t="s">
        <v>17</v>
      </c>
      <c r="U218" s="119" t="s">
        <v>8</v>
      </c>
      <c r="V218" s="13" t="s">
        <v>8</v>
      </c>
      <c r="W218" s="13" t="s">
        <v>8</v>
      </c>
      <c r="X218" s="190" t="s">
        <v>8</v>
      </c>
      <c r="Y218" s="119" t="s">
        <v>8</v>
      </c>
      <c r="Z218" s="13" t="s">
        <v>8</v>
      </c>
      <c r="AA218" s="13" t="s">
        <v>8</v>
      </c>
      <c r="AB218" s="16" t="s">
        <v>8</v>
      </c>
      <c r="AC218" s="102" t="s">
        <v>8</v>
      </c>
      <c r="AD218" s="87" t="s">
        <v>8</v>
      </c>
      <c r="AE218" s="13" t="s">
        <v>8</v>
      </c>
      <c r="AF218" s="13" t="s">
        <v>8</v>
      </c>
      <c r="AG218" s="13" t="s">
        <v>8</v>
      </c>
      <c r="AH218" s="36" t="s">
        <v>8</v>
      </c>
      <c r="AI218" s="13" t="s">
        <v>8</v>
      </c>
      <c r="AJ218" s="87" t="s">
        <v>8</v>
      </c>
      <c r="AK218" s="102" t="s">
        <v>8</v>
      </c>
      <c r="AL218" s="119" t="s">
        <v>8</v>
      </c>
      <c r="AM218" s="36" t="s">
        <v>8</v>
      </c>
      <c r="AN218" s="177" t="s">
        <v>8</v>
      </c>
      <c r="AO218" s="177" t="s">
        <v>8</v>
      </c>
      <c r="AP218" s="13" t="s">
        <v>8</v>
      </c>
      <c r="AQ218" s="36" t="s">
        <v>8</v>
      </c>
      <c r="AR218" s="119" t="s">
        <v>8</v>
      </c>
      <c r="AS218" s="13" t="s">
        <v>8</v>
      </c>
      <c r="AT218" s="36" t="s">
        <v>196</v>
      </c>
      <c r="AU218" s="119" t="s">
        <v>8</v>
      </c>
      <c r="AV218" s="102" t="s">
        <v>8</v>
      </c>
      <c r="AW218" s="119" t="s">
        <v>8</v>
      </c>
      <c r="AX218" s="13" t="s">
        <v>8</v>
      </c>
      <c r="AY218" s="13" t="s">
        <v>8</v>
      </c>
      <c r="AZ218" s="102" t="s">
        <v>196</v>
      </c>
      <c r="BA218" s="26" t="s">
        <v>8</v>
      </c>
      <c r="BB218" s="102" t="s">
        <v>196</v>
      </c>
      <c r="BC218" s="722" t="s">
        <v>8</v>
      </c>
      <c r="BD218" s="782" t="s">
        <v>8</v>
      </c>
      <c r="BE218" s="179" t="s">
        <v>8</v>
      </c>
      <c r="BF218" s="340" t="s">
        <v>196</v>
      </c>
      <c r="BG218" s="119" t="s">
        <v>8</v>
      </c>
      <c r="BH218" s="102" t="s">
        <v>196</v>
      </c>
      <c r="BI218" s="340" t="s">
        <v>196</v>
      </c>
      <c r="BJ218" s="722" t="s">
        <v>8</v>
      </c>
      <c r="BK218" s="779" t="s">
        <v>8</v>
      </c>
      <c r="BL218" s="116" t="s">
        <v>8</v>
      </c>
      <c r="BM218" s="340" t="s">
        <v>196</v>
      </c>
      <c r="BN218" s="722" t="s">
        <v>8</v>
      </c>
      <c r="BO218" s="116"/>
      <c r="BP218" s="115"/>
      <c r="BQ218" s="116" t="s">
        <v>8</v>
      </c>
      <c r="BR218" s="133" t="s">
        <v>8</v>
      </c>
      <c r="BS218" s="26" t="s">
        <v>8</v>
      </c>
      <c r="BT218" s="413" t="s">
        <v>554</v>
      </c>
    </row>
    <row r="219" spans="1:72" ht="13.5" hidden="1" customHeight="1" x14ac:dyDescent="0.35">
      <c r="A219" s="683"/>
      <c r="B219" s="47"/>
      <c r="C219" s="3" t="s">
        <v>65</v>
      </c>
      <c r="D219" s="1128"/>
      <c r="E219" s="1164"/>
      <c r="F219" s="1165"/>
      <c r="G219" s="1165"/>
      <c r="H219" s="1165"/>
      <c r="I219" s="1165"/>
      <c r="J219" s="1165"/>
      <c r="K219" s="1165"/>
      <c r="L219" s="1165"/>
      <c r="M219" s="1166"/>
      <c r="N219" s="111" t="s">
        <v>45</v>
      </c>
      <c r="O219" s="16" t="s">
        <v>45</v>
      </c>
      <c r="P219" s="112" t="s">
        <v>45</v>
      </c>
      <c r="Q219" s="111" t="s">
        <v>45</v>
      </c>
      <c r="R219" s="16" t="s">
        <v>45</v>
      </c>
      <c r="S219" s="20" t="s">
        <v>45</v>
      </c>
      <c r="T219" s="114" t="s">
        <v>45</v>
      </c>
      <c r="U219" s="147" t="s">
        <v>66</v>
      </c>
      <c r="V219" s="16" t="s">
        <v>139</v>
      </c>
      <c r="W219" s="13" t="s">
        <v>67</v>
      </c>
      <c r="X219" s="190" t="s">
        <v>67</v>
      </c>
      <c r="Y219" s="119" t="s">
        <v>67</v>
      </c>
      <c r="Z219" s="13" t="s">
        <v>67</v>
      </c>
      <c r="AA219" s="13" t="s">
        <v>67</v>
      </c>
      <c r="AB219" s="13" t="s">
        <v>67</v>
      </c>
      <c r="AC219" s="102" t="s">
        <v>67</v>
      </c>
      <c r="AD219" s="87" t="s">
        <v>67</v>
      </c>
      <c r="AE219" s="13" t="s">
        <v>67</v>
      </c>
      <c r="AF219" s="13" t="s">
        <v>67</v>
      </c>
      <c r="AG219" s="13" t="s">
        <v>67</v>
      </c>
      <c r="AH219" s="36" t="s">
        <v>67</v>
      </c>
      <c r="AI219" s="13" t="s">
        <v>67</v>
      </c>
      <c r="AJ219" s="87" t="s">
        <v>67</v>
      </c>
      <c r="AK219" s="102" t="s">
        <v>67</v>
      </c>
      <c r="AL219" s="119" t="s">
        <v>359</v>
      </c>
      <c r="AM219" s="36" t="s">
        <v>45</v>
      </c>
      <c r="AN219" s="177" t="s">
        <v>45</v>
      </c>
      <c r="AO219" s="177" t="s">
        <v>45</v>
      </c>
      <c r="AP219" s="13" t="s">
        <v>359</v>
      </c>
      <c r="AQ219" s="36" t="s">
        <v>45</v>
      </c>
      <c r="AR219" s="119" t="s">
        <v>67</v>
      </c>
      <c r="AS219" s="13" t="s">
        <v>67</v>
      </c>
      <c r="AT219" s="177" t="s">
        <v>196</v>
      </c>
      <c r="AU219" s="111" t="s">
        <v>67</v>
      </c>
      <c r="AV219" s="112" t="s">
        <v>67</v>
      </c>
      <c r="AW219" s="111" t="s">
        <v>67</v>
      </c>
      <c r="AX219" s="16" t="s">
        <v>67</v>
      </c>
      <c r="AY219" s="16" t="s">
        <v>67</v>
      </c>
      <c r="AZ219" s="112" t="s">
        <v>196</v>
      </c>
      <c r="BA219" s="26" t="s">
        <v>359</v>
      </c>
      <c r="BB219" s="260" t="s">
        <v>196</v>
      </c>
      <c r="BC219" s="722" t="s">
        <v>67</v>
      </c>
      <c r="BD219" s="782" t="s">
        <v>67</v>
      </c>
      <c r="BE219" s="179" t="s">
        <v>67</v>
      </c>
      <c r="BF219" s="314" t="s">
        <v>196</v>
      </c>
      <c r="BG219" s="119" t="s">
        <v>359</v>
      </c>
      <c r="BH219" s="260" t="s">
        <v>196</v>
      </c>
      <c r="BI219" s="340" t="s">
        <v>196</v>
      </c>
      <c r="BJ219" s="722" t="s">
        <v>67</v>
      </c>
      <c r="BK219" s="779" t="s">
        <v>67</v>
      </c>
      <c r="BL219" s="116" t="s">
        <v>67</v>
      </c>
      <c r="BM219" s="314" t="s">
        <v>196</v>
      </c>
      <c r="BN219" s="722" t="s">
        <v>67</v>
      </c>
      <c r="BO219" s="116"/>
      <c r="BP219" s="115"/>
      <c r="BQ219" s="116" t="s">
        <v>67</v>
      </c>
      <c r="BR219" s="133" t="s">
        <v>67</v>
      </c>
      <c r="BS219" s="26" t="s">
        <v>67</v>
      </c>
      <c r="BT219" s="405"/>
    </row>
    <row r="220" spans="1:72" ht="13.5" hidden="1" customHeight="1" x14ac:dyDescent="0.35">
      <c r="A220" s="683"/>
      <c r="B220" s="49"/>
      <c r="C220" s="398" t="s">
        <v>206</v>
      </c>
      <c r="D220" s="1128"/>
      <c r="E220" s="1164"/>
      <c r="F220" s="1165"/>
      <c r="G220" s="1165"/>
      <c r="H220" s="1165"/>
      <c r="I220" s="1165"/>
      <c r="J220" s="1165"/>
      <c r="K220" s="1165"/>
      <c r="L220" s="1165"/>
      <c r="M220" s="1166"/>
      <c r="N220" s="117"/>
      <c r="O220" s="29"/>
      <c r="P220" s="118"/>
      <c r="Q220" s="117"/>
      <c r="R220" s="29"/>
      <c r="S220" s="29"/>
      <c r="T220" s="118"/>
      <c r="U220" s="120"/>
      <c r="V220" s="30"/>
      <c r="W220" s="30"/>
      <c r="X220" s="193"/>
      <c r="Y220" s="120"/>
      <c r="Z220" s="30"/>
      <c r="AA220" s="30"/>
      <c r="AB220" s="30"/>
      <c r="AC220" s="102" t="s">
        <v>8</v>
      </c>
      <c r="AD220" s="87" t="s">
        <v>8</v>
      </c>
      <c r="AE220" s="13" t="s">
        <v>8</v>
      </c>
      <c r="AF220" s="13" t="s">
        <v>8</v>
      </c>
      <c r="AG220" s="13" t="s">
        <v>8</v>
      </c>
      <c r="AH220" s="36" t="s">
        <v>8</v>
      </c>
      <c r="AI220" s="13" t="s">
        <v>8</v>
      </c>
      <c r="AJ220" s="87" t="s">
        <v>8</v>
      </c>
      <c r="AK220" s="102" t="s">
        <v>8</v>
      </c>
      <c r="AL220" s="119" t="s">
        <v>8</v>
      </c>
      <c r="AM220" s="36" t="s">
        <v>8</v>
      </c>
      <c r="AN220" s="177" t="s">
        <v>8</v>
      </c>
      <c r="AO220" s="177" t="s">
        <v>8</v>
      </c>
      <c r="AP220" s="13" t="s">
        <v>8</v>
      </c>
      <c r="AQ220" s="36" t="s">
        <v>8</v>
      </c>
      <c r="AR220" s="119" t="s">
        <v>8</v>
      </c>
      <c r="AS220" s="13" t="s">
        <v>8</v>
      </c>
      <c r="AT220" s="36" t="s">
        <v>8</v>
      </c>
      <c r="AU220" s="119" t="s">
        <v>8</v>
      </c>
      <c r="AV220" s="102" t="s">
        <v>8</v>
      </c>
      <c r="AW220" s="119" t="s">
        <v>8</v>
      </c>
      <c r="AX220" s="13" t="s">
        <v>8</v>
      </c>
      <c r="AY220" s="13" t="s">
        <v>8</v>
      </c>
      <c r="AZ220" s="102" t="s">
        <v>8</v>
      </c>
      <c r="BA220" s="26" t="s">
        <v>8</v>
      </c>
      <c r="BB220" s="102" t="s">
        <v>8</v>
      </c>
      <c r="BC220" s="738" t="s">
        <v>8</v>
      </c>
      <c r="BD220" s="800" t="s">
        <v>8</v>
      </c>
      <c r="BE220" s="853" t="s">
        <v>8</v>
      </c>
      <c r="BF220" s="340" t="s">
        <v>8</v>
      </c>
      <c r="BG220" s="119" t="s">
        <v>8</v>
      </c>
      <c r="BH220" s="102" t="s">
        <v>8</v>
      </c>
      <c r="BI220" s="887" t="s">
        <v>8</v>
      </c>
      <c r="BJ220" s="738" t="s">
        <v>8</v>
      </c>
      <c r="BK220" s="1070" t="s">
        <v>8</v>
      </c>
      <c r="BL220" s="920" t="s">
        <v>8</v>
      </c>
      <c r="BM220" s="340" t="s">
        <v>8</v>
      </c>
      <c r="BN220" s="738" t="s">
        <v>8</v>
      </c>
      <c r="BO220" s="920"/>
      <c r="BP220" s="895"/>
      <c r="BQ220" s="920" t="s">
        <v>8</v>
      </c>
      <c r="BR220" s="133" t="s">
        <v>8</v>
      </c>
      <c r="BS220" s="26" t="s">
        <v>8</v>
      </c>
      <c r="BT220" s="410"/>
    </row>
    <row r="221" spans="1:72" ht="13.5" hidden="1" customHeight="1" thickBot="1" x14ac:dyDescent="0.4">
      <c r="A221" s="683"/>
      <c r="B221" s="61"/>
      <c r="C221" s="1127" t="s">
        <v>684</v>
      </c>
      <c r="D221" s="1128"/>
      <c r="E221" s="1167"/>
      <c r="F221" s="1168"/>
      <c r="G221" s="1168"/>
      <c r="H221" s="1168"/>
      <c r="I221" s="1168"/>
      <c r="J221" s="1168"/>
      <c r="K221" s="1168"/>
      <c r="L221" s="1168"/>
      <c r="M221" s="1169"/>
      <c r="N221" s="375"/>
      <c r="O221" s="372"/>
      <c r="P221" s="374"/>
      <c r="Q221" s="375"/>
      <c r="R221" s="372"/>
      <c r="S221" s="372"/>
      <c r="T221" s="374"/>
      <c r="U221" s="367"/>
      <c r="V221" s="368"/>
      <c r="W221" s="368"/>
      <c r="X221" s="370"/>
      <c r="Y221" s="367"/>
      <c r="Z221" s="368"/>
      <c r="AA221" s="368"/>
      <c r="AB221" s="368"/>
      <c r="AC221" s="534"/>
      <c r="AD221" s="535"/>
      <c r="AE221" s="536"/>
      <c r="AF221" s="536"/>
      <c r="AG221" s="536"/>
      <c r="AH221" s="537"/>
      <c r="AI221" s="536"/>
      <c r="AJ221" s="535"/>
      <c r="AK221" s="534"/>
      <c r="AL221" s="538"/>
      <c r="AM221" s="537"/>
      <c r="AN221" s="1061"/>
      <c r="AO221" s="1061"/>
      <c r="AP221" s="536"/>
      <c r="AQ221" s="537"/>
      <c r="AR221" s="540"/>
      <c r="AS221" s="542"/>
      <c r="AT221" s="539"/>
      <c r="AU221" s="540"/>
      <c r="AV221" s="541"/>
      <c r="AW221" s="540"/>
      <c r="AX221" s="542"/>
      <c r="AY221" s="542"/>
      <c r="AZ221" s="541"/>
      <c r="BA221" s="955"/>
      <c r="BB221" s="541"/>
      <c r="BC221" s="733" t="s">
        <v>696</v>
      </c>
      <c r="BD221" s="1070" t="s">
        <v>8</v>
      </c>
      <c r="BE221" s="351" t="s">
        <v>8</v>
      </c>
      <c r="BF221" s="1249" t="s">
        <v>8</v>
      </c>
      <c r="BG221" s="538"/>
      <c r="BH221" s="541"/>
      <c r="BI221" s="1249" t="s">
        <v>8</v>
      </c>
      <c r="BJ221" s="733" t="s">
        <v>696</v>
      </c>
      <c r="BK221" s="1070" t="s">
        <v>8</v>
      </c>
      <c r="BL221" s="127" t="s">
        <v>8</v>
      </c>
      <c r="BM221" s="1249" t="s">
        <v>8</v>
      </c>
      <c r="BN221" s="1030" t="s">
        <v>696</v>
      </c>
      <c r="BO221" s="902"/>
      <c r="BP221" s="892"/>
      <c r="BQ221" s="902" t="s">
        <v>8</v>
      </c>
      <c r="BR221" s="1044"/>
      <c r="BS221" s="1045"/>
      <c r="BT221" s="532" t="s">
        <v>697</v>
      </c>
    </row>
    <row r="222" spans="1:72" ht="13.5" hidden="1" customHeight="1" thickTop="1" x14ac:dyDescent="0.35">
      <c r="A222" s="683"/>
      <c r="B222" s="76" t="s">
        <v>71</v>
      </c>
      <c r="C222" s="39" t="s">
        <v>72</v>
      </c>
      <c r="D222" s="1128"/>
      <c r="E222" s="1161" t="s">
        <v>456</v>
      </c>
      <c r="F222" s="1162"/>
      <c r="G222" s="1162"/>
      <c r="H222" s="1162"/>
      <c r="I222" s="1162"/>
      <c r="J222" s="1162"/>
      <c r="K222" s="1162"/>
      <c r="L222" s="1162"/>
      <c r="M222" s="1162"/>
      <c r="N222" s="131" t="s">
        <v>57</v>
      </c>
      <c r="O222" s="258" t="s">
        <v>57</v>
      </c>
      <c r="P222" s="259" t="s">
        <v>57</v>
      </c>
      <c r="Q222" s="131" t="s">
        <v>57</v>
      </c>
      <c r="R222" s="46" t="s">
        <v>8</v>
      </c>
      <c r="S222" s="78" t="s">
        <v>194</v>
      </c>
      <c r="T222" s="132" t="s">
        <v>194</v>
      </c>
      <c r="U222" s="123" t="s">
        <v>8</v>
      </c>
      <c r="V222" s="46" t="s">
        <v>8</v>
      </c>
      <c r="W222" s="46" t="s">
        <v>8</v>
      </c>
      <c r="X222" s="189" t="s">
        <v>8</v>
      </c>
      <c r="Y222" s="158" t="s">
        <v>8</v>
      </c>
      <c r="Z222" s="46" t="s">
        <v>8</v>
      </c>
      <c r="AA222" s="46" t="s">
        <v>8</v>
      </c>
      <c r="AB222" s="46" t="s">
        <v>8</v>
      </c>
      <c r="AC222" s="159" t="s">
        <v>8</v>
      </c>
      <c r="AD222" s="140" t="s">
        <v>8</v>
      </c>
      <c r="AE222" s="79" t="s">
        <v>8</v>
      </c>
      <c r="AF222" s="46" t="s">
        <v>8</v>
      </c>
      <c r="AG222" s="79" t="s">
        <v>8</v>
      </c>
      <c r="AH222" s="182" t="s">
        <v>8</v>
      </c>
      <c r="AI222" s="79" t="s">
        <v>8</v>
      </c>
      <c r="AJ222" s="79" t="s">
        <v>8</v>
      </c>
      <c r="AK222" s="159" t="s">
        <v>8</v>
      </c>
      <c r="AL222" s="158" t="s">
        <v>8</v>
      </c>
      <c r="AM222" s="182" t="s">
        <v>8</v>
      </c>
      <c r="AN222" s="1062" t="s">
        <v>8</v>
      </c>
      <c r="AO222" s="1062" t="s">
        <v>8</v>
      </c>
      <c r="AP222" s="79" t="s">
        <v>8</v>
      </c>
      <c r="AQ222" s="182" t="s">
        <v>8</v>
      </c>
      <c r="AR222" s="131" t="s">
        <v>8</v>
      </c>
      <c r="AS222" s="339" t="s">
        <v>8</v>
      </c>
      <c r="AT222" s="476" t="s">
        <v>8</v>
      </c>
      <c r="AU222" s="131" t="s">
        <v>8</v>
      </c>
      <c r="AV222" s="499" t="s">
        <v>8</v>
      </c>
      <c r="AW222" s="131" t="s">
        <v>8</v>
      </c>
      <c r="AX222" s="339" t="s">
        <v>8</v>
      </c>
      <c r="AY222" s="339" t="s">
        <v>8</v>
      </c>
      <c r="AZ222" s="499" t="s">
        <v>8</v>
      </c>
      <c r="BA222" s="956" t="s">
        <v>8</v>
      </c>
      <c r="BB222" s="499" t="s">
        <v>8</v>
      </c>
      <c r="BC222" s="726" t="s">
        <v>8</v>
      </c>
      <c r="BD222" s="789" t="s">
        <v>8</v>
      </c>
      <c r="BE222" s="854" t="s">
        <v>8</v>
      </c>
      <c r="BF222" s="313" t="s">
        <v>8</v>
      </c>
      <c r="BG222" s="158" t="s">
        <v>8</v>
      </c>
      <c r="BH222" s="499" t="s">
        <v>8</v>
      </c>
      <c r="BI222" s="888" t="s">
        <v>8</v>
      </c>
      <c r="BJ222" s="726" t="s">
        <v>8</v>
      </c>
      <c r="BK222" s="789" t="s">
        <v>8</v>
      </c>
      <c r="BL222" s="132" t="s">
        <v>8</v>
      </c>
      <c r="BM222" s="313" t="s">
        <v>8</v>
      </c>
      <c r="BN222" s="726" t="s">
        <v>8</v>
      </c>
      <c r="BO222" s="132"/>
      <c r="BP222" s="510"/>
      <c r="BQ222" s="132" t="s">
        <v>8</v>
      </c>
      <c r="BR222" s="131" t="s">
        <v>8</v>
      </c>
      <c r="BS222" s="339" t="s">
        <v>8</v>
      </c>
      <c r="BT222" s="404" t="s">
        <v>177</v>
      </c>
    </row>
    <row r="223" spans="1:72" ht="13.5" hidden="1" customHeight="1" x14ac:dyDescent="0.35">
      <c r="A223" s="683"/>
      <c r="B223" s="47"/>
      <c r="C223" s="5" t="s">
        <v>73</v>
      </c>
      <c r="D223" s="1128"/>
      <c r="E223" s="1164"/>
      <c r="F223" s="1165"/>
      <c r="G223" s="1165"/>
      <c r="H223" s="1165"/>
      <c r="I223" s="1165"/>
      <c r="J223" s="1165"/>
      <c r="K223" s="1165"/>
      <c r="L223" s="1165"/>
      <c r="M223" s="1165"/>
      <c r="N223" s="133" t="s">
        <v>57</v>
      </c>
      <c r="O223" s="26" t="s">
        <v>57</v>
      </c>
      <c r="P223" s="260" t="s">
        <v>57</v>
      </c>
      <c r="Q223" s="133" t="s">
        <v>57</v>
      </c>
      <c r="R223" s="13" t="s">
        <v>8</v>
      </c>
      <c r="S223" s="19" t="s">
        <v>45</v>
      </c>
      <c r="T223" s="134" t="s">
        <v>45</v>
      </c>
      <c r="U223" s="119" t="s">
        <v>8</v>
      </c>
      <c r="V223" s="13" t="s">
        <v>8</v>
      </c>
      <c r="W223" s="13" t="s">
        <v>8</v>
      </c>
      <c r="X223" s="190" t="s">
        <v>8</v>
      </c>
      <c r="Y223" s="119" t="s">
        <v>8</v>
      </c>
      <c r="Z223" s="13" t="s">
        <v>8</v>
      </c>
      <c r="AA223" s="13" t="s">
        <v>8</v>
      </c>
      <c r="AB223" s="13" t="s">
        <v>8</v>
      </c>
      <c r="AC223" s="102" t="s">
        <v>8</v>
      </c>
      <c r="AD223" s="87" t="s">
        <v>8</v>
      </c>
      <c r="AE223" s="13" t="s">
        <v>8</v>
      </c>
      <c r="AF223" s="13" t="s">
        <v>8</v>
      </c>
      <c r="AG223" s="13" t="s">
        <v>8</v>
      </c>
      <c r="AH223" s="36" t="s">
        <v>8</v>
      </c>
      <c r="AI223" s="13" t="s">
        <v>8</v>
      </c>
      <c r="AJ223" s="13" t="s">
        <v>8</v>
      </c>
      <c r="AK223" s="102" t="s">
        <v>8</v>
      </c>
      <c r="AL223" s="119" t="s">
        <v>8</v>
      </c>
      <c r="AM223" s="36" t="s">
        <v>8</v>
      </c>
      <c r="AN223" s="177" t="s">
        <v>8</v>
      </c>
      <c r="AO223" s="177" t="s">
        <v>8</v>
      </c>
      <c r="AP223" s="13" t="s">
        <v>8</v>
      </c>
      <c r="AQ223" s="36" t="s">
        <v>8</v>
      </c>
      <c r="AR223" s="133" t="s">
        <v>8</v>
      </c>
      <c r="AS223" s="26" t="s">
        <v>8</v>
      </c>
      <c r="AT223" s="177" t="s">
        <v>17</v>
      </c>
      <c r="AU223" s="133" t="s">
        <v>17</v>
      </c>
      <c r="AV223" s="260" t="s">
        <v>17</v>
      </c>
      <c r="AW223" s="133" t="s">
        <v>17</v>
      </c>
      <c r="AX223" s="26" t="s">
        <v>17</v>
      </c>
      <c r="AY223" s="26" t="s">
        <v>17</v>
      </c>
      <c r="AZ223" s="112" t="s">
        <v>357</v>
      </c>
      <c r="BA223" s="16" t="s">
        <v>17</v>
      </c>
      <c r="BB223" s="112" t="s">
        <v>17</v>
      </c>
      <c r="BC223" s="718" t="s">
        <v>17</v>
      </c>
      <c r="BD223" s="779" t="s">
        <v>17</v>
      </c>
      <c r="BE223" s="224" t="s">
        <v>17</v>
      </c>
      <c r="BF223" s="377" t="s">
        <v>17</v>
      </c>
      <c r="BG223" s="147" t="s">
        <v>17</v>
      </c>
      <c r="BH223" s="156" t="s">
        <v>17</v>
      </c>
      <c r="BI223" s="377" t="s">
        <v>17</v>
      </c>
      <c r="BJ223" s="718" t="s">
        <v>17</v>
      </c>
      <c r="BK223" s="779" t="s">
        <v>17</v>
      </c>
      <c r="BL223" s="114" t="s">
        <v>17</v>
      </c>
      <c r="BM223" s="377" t="s">
        <v>17</v>
      </c>
      <c r="BN223" s="718" t="s">
        <v>17</v>
      </c>
      <c r="BO223" s="283"/>
      <c r="BP223" s="465"/>
      <c r="BQ223" s="283" t="s">
        <v>17</v>
      </c>
      <c r="BR223" s="133" t="s">
        <v>8</v>
      </c>
      <c r="BS223" s="26" t="s">
        <v>8</v>
      </c>
      <c r="BT223" s="405" t="s">
        <v>74</v>
      </c>
    </row>
    <row r="224" spans="1:72" ht="13.5" hidden="1" customHeight="1" x14ac:dyDescent="0.35">
      <c r="A224" s="683"/>
      <c r="B224" s="47"/>
      <c r="C224" s="3" t="s">
        <v>75</v>
      </c>
      <c r="D224" s="1128"/>
      <c r="E224" s="1164"/>
      <c r="F224" s="1165"/>
      <c r="G224" s="1165"/>
      <c r="H224" s="1165"/>
      <c r="I224" s="1165"/>
      <c r="J224" s="1165"/>
      <c r="K224" s="1165"/>
      <c r="L224" s="1165"/>
      <c r="M224" s="1165"/>
      <c r="N224" s="119" t="s">
        <v>45</v>
      </c>
      <c r="O224" s="13" t="s">
        <v>45</v>
      </c>
      <c r="P224" s="102" t="s">
        <v>45</v>
      </c>
      <c r="Q224" s="119" t="s">
        <v>45</v>
      </c>
      <c r="R224" s="13" t="s">
        <v>17</v>
      </c>
      <c r="S224" s="19" t="s">
        <v>45</v>
      </c>
      <c r="T224" s="116"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17</v>
      </c>
      <c r="AS224" s="26" t="s">
        <v>17</v>
      </c>
      <c r="AT224" s="464" t="s">
        <v>17</v>
      </c>
      <c r="AU224" s="133" t="s">
        <v>17</v>
      </c>
      <c r="AV224" s="260" t="s">
        <v>17</v>
      </c>
      <c r="AW224" s="133" t="s">
        <v>17</v>
      </c>
      <c r="AX224" s="26" t="s">
        <v>17</v>
      </c>
      <c r="AY224" s="26" t="s">
        <v>17</v>
      </c>
      <c r="AZ224" s="260" t="s">
        <v>17</v>
      </c>
      <c r="BA224" s="26" t="s">
        <v>17</v>
      </c>
      <c r="BB224" s="260" t="s">
        <v>17</v>
      </c>
      <c r="BC224" s="721" t="s">
        <v>17</v>
      </c>
      <c r="BD224" s="781" t="s">
        <v>17</v>
      </c>
      <c r="BE224" s="478" t="s">
        <v>17</v>
      </c>
      <c r="BF224" s="314" t="s">
        <v>17</v>
      </c>
      <c r="BG224" s="111" t="s">
        <v>17</v>
      </c>
      <c r="BH224" s="260" t="s">
        <v>17</v>
      </c>
      <c r="BI224" s="377" t="s">
        <v>17</v>
      </c>
      <c r="BJ224" s="721" t="s">
        <v>17</v>
      </c>
      <c r="BK224" s="781" t="s">
        <v>17</v>
      </c>
      <c r="BL224" s="134" t="s">
        <v>17</v>
      </c>
      <c r="BM224" s="314" t="s">
        <v>17</v>
      </c>
      <c r="BN224" s="721" t="s">
        <v>17</v>
      </c>
      <c r="BO224" s="134"/>
      <c r="BP224" s="712"/>
      <c r="BQ224" s="134" t="s">
        <v>17</v>
      </c>
      <c r="BR224" s="133" t="s">
        <v>17</v>
      </c>
      <c r="BS224" s="26" t="s">
        <v>17</v>
      </c>
      <c r="BT224" s="405"/>
    </row>
    <row r="225" spans="1:72" ht="13.5" hidden="1" customHeight="1" x14ac:dyDescent="0.35">
      <c r="A225" s="683"/>
      <c r="B225" s="47"/>
      <c r="C225" s="3" t="s">
        <v>76</v>
      </c>
      <c r="D225" s="1128"/>
      <c r="E225" s="1164"/>
      <c r="F225" s="1165"/>
      <c r="G225" s="1165"/>
      <c r="H225" s="1165"/>
      <c r="I225" s="1165"/>
      <c r="J225" s="1165"/>
      <c r="K225" s="1165"/>
      <c r="L225" s="1165"/>
      <c r="M225" s="1165"/>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8</v>
      </c>
      <c r="AS225" s="26" t="s">
        <v>8</v>
      </c>
      <c r="AT225" s="464" t="s">
        <v>8</v>
      </c>
      <c r="AU225" s="133" t="s">
        <v>8</v>
      </c>
      <c r="AV225" s="260" t="s">
        <v>8</v>
      </c>
      <c r="AW225" s="133" t="s">
        <v>8</v>
      </c>
      <c r="AX225" s="26" t="s">
        <v>8</v>
      </c>
      <c r="AY225" s="26" t="s">
        <v>8</v>
      </c>
      <c r="AZ225" s="260" t="s">
        <v>8</v>
      </c>
      <c r="BA225" s="26" t="s">
        <v>8</v>
      </c>
      <c r="BB225" s="260" t="s">
        <v>8</v>
      </c>
      <c r="BC225" s="721" t="s">
        <v>8</v>
      </c>
      <c r="BD225" s="781" t="s">
        <v>8</v>
      </c>
      <c r="BE225" s="478" t="s">
        <v>8</v>
      </c>
      <c r="BF225" s="314" t="s">
        <v>8</v>
      </c>
      <c r="BG225" s="119" t="s">
        <v>8</v>
      </c>
      <c r="BH225" s="260" t="s">
        <v>8</v>
      </c>
      <c r="BI225" s="340" t="s">
        <v>8</v>
      </c>
      <c r="BJ225" s="721" t="s">
        <v>8</v>
      </c>
      <c r="BK225" s="781" t="s">
        <v>8</v>
      </c>
      <c r="BL225" s="134" t="s">
        <v>8</v>
      </c>
      <c r="BM225" s="314" t="s">
        <v>8</v>
      </c>
      <c r="BN225" s="721" t="s">
        <v>8</v>
      </c>
      <c r="BO225" s="134"/>
      <c r="BP225" s="712"/>
      <c r="BQ225" s="134" t="s">
        <v>8</v>
      </c>
      <c r="BR225" s="133" t="s">
        <v>8</v>
      </c>
      <c r="BS225" s="26" t="s">
        <v>8</v>
      </c>
      <c r="BT225" s="405"/>
    </row>
    <row r="226" spans="1:72" ht="13.5" hidden="1" customHeight="1" x14ac:dyDescent="0.35">
      <c r="A226" s="683"/>
      <c r="B226" s="47"/>
      <c r="C226" s="3" t="s">
        <v>77</v>
      </c>
      <c r="D226" s="1128"/>
      <c r="E226" s="1164"/>
      <c r="F226" s="1165"/>
      <c r="G226" s="1165"/>
      <c r="H226" s="1165"/>
      <c r="I226" s="1165"/>
      <c r="J226" s="1165"/>
      <c r="K226" s="1165"/>
      <c r="L226" s="1165"/>
      <c r="M226" s="1165"/>
      <c r="N226" s="119" t="s">
        <v>8</v>
      </c>
      <c r="O226" s="13" t="s">
        <v>8</v>
      </c>
      <c r="P226" s="102" t="s">
        <v>8</v>
      </c>
      <c r="Q226" s="119" t="s">
        <v>8</v>
      </c>
      <c r="R226" s="13" t="s">
        <v>8</v>
      </c>
      <c r="S226" s="19" t="s">
        <v>17</v>
      </c>
      <c r="T226" s="116" t="s">
        <v>17</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17</v>
      </c>
      <c r="BC226" s="721" t="s">
        <v>8</v>
      </c>
      <c r="BD226" s="781" t="s">
        <v>8</v>
      </c>
      <c r="BE226" s="974" t="s">
        <v>17</v>
      </c>
      <c r="BF226" s="314" t="s">
        <v>17</v>
      </c>
      <c r="BG226" s="119" t="s">
        <v>8</v>
      </c>
      <c r="BH226" s="260" t="s">
        <v>17</v>
      </c>
      <c r="BI226" s="340" t="s">
        <v>8</v>
      </c>
      <c r="BJ226" s="721" t="s">
        <v>8</v>
      </c>
      <c r="BK226" s="781" t="s">
        <v>8</v>
      </c>
      <c r="BL226" s="973" t="s">
        <v>17</v>
      </c>
      <c r="BM226" s="314" t="s">
        <v>17</v>
      </c>
      <c r="BN226" s="721" t="s">
        <v>8</v>
      </c>
      <c r="BO226" s="134"/>
      <c r="BP226" s="712"/>
      <c r="BQ226" s="134" t="s">
        <v>17</v>
      </c>
      <c r="BR226" s="133" t="s">
        <v>8</v>
      </c>
      <c r="BS226" s="26" t="s">
        <v>8</v>
      </c>
      <c r="BT226" s="405"/>
    </row>
    <row r="227" spans="1:72" ht="13.5" hidden="1" customHeight="1" x14ac:dyDescent="0.35">
      <c r="A227" s="683"/>
      <c r="B227" s="47"/>
      <c r="C227" s="3" t="s">
        <v>78</v>
      </c>
      <c r="D227" s="1128"/>
      <c r="E227" s="1164"/>
      <c r="F227" s="1165"/>
      <c r="G227" s="1165"/>
      <c r="H227" s="1165"/>
      <c r="I227" s="1165"/>
      <c r="J227" s="1165"/>
      <c r="K227" s="1165"/>
      <c r="L227" s="1165"/>
      <c r="M227" s="1165"/>
      <c r="N227" s="119" t="s">
        <v>8</v>
      </c>
      <c r="O227" s="13" t="s">
        <v>8</v>
      </c>
      <c r="P227" s="102" t="s">
        <v>8</v>
      </c>
      <c r="Q227" s="119" t="s">
        <v>8</v>
      </c>
      <c r="R227" s="13" t="s">
        <v>17</v>
      </c>
      <c r="S227" s="19" t="s">
        <v>17</v>
      </c>
      <c r="T227" s="116" t="s">
        <v>17</v>
      </c>
      <c r="U227" s="119" t="s">
        <v>17</v>
      </c>
      <c r="V227" s="13" t="s">
        <v>17</v>
      </c>
      <c r="W227" s="13" t="s">
        <v>17</v>
      </c>
      <c r="X227" s="190" t="s">
        <v>17</v>
      </c>
      <c r="Y227" s="119" t="s">
        <v>17</v>
      </c>
      <c r="Z227" s="13" t="s">
        <v>17</v>
      </c>
      <c r="AA227" s="13" t="s">
        <v>17</v>
      </c>
      <c r="AB227" s="13" t="s">
        <v>17</v>
      </c>
      <c r="AC227" s="102" t="s">
        <v>17</v>
      </c>
      <c r="AD227" s="87" t="s">
        <v>17</v>
      </c>
      <c r="AE227" s="13" t="s">
        <v>17</v>
      </c>
      <c r="AF227" s="13" t="s">
        <v>17</v>
      </c>
      <c r="AG227" s="13" t="s">
        <v>17</v>
      </c>
      <c r="AH227" s="36" t="s">
        <v>17</v>
      </c>
      <c r="AI227" s="13" t="s">
        <v>17</v>
      </c>
      <c r="AJ227" s="13" t="s">
        <v>17</v>
      </c>
      <c r="AK227" s="102" t="s">
        <v>17</v>
      </c>
      <c r="AL227" s="119" t="s">
        <v>17</v>
      </c>
      <c r="AM227" s="36" t="s">
        <v>17</v>
      </c>
      <c r="AN227" s="177" t="s">
        <v>17</v>
      </c>
      <c r="AO227" s="177" t="s">
        <v>17</v>
      </c>
      <c r="AP227" s="13" t="s">
        <v>17</v>
      </c>
      <c r="AQ227" s="36" t="s">
        <v>17</v>
      </c>
      <c r="AR227" s="133" t="s">
        <v>17</v>
      </c>
      <c r="AS227" s="26" t="s">
        <v>17</v>
      </c>
      <c r="AT227" s="464" t="s">
        <v>17</v>
      </c>
      <c r="AU227" s="133" t="s">
        <v>17</v>
      </c>
      <c r="AV227" s="260" t="s">
        <v>17</v>
      </c>
      <c r="AW227" s="133" t="s">
        <v>17</v>
      </c>
      <c r="AX227" s="26" t="s">
        <v>17</v>
      </c>
      <c r="AY227" s="26" t="s">
        <v>17</v>
      </c>
      <c r="AZ227" s="260" t="s">
        <v>17</v>
      </c>
      <c r="BA227" s="26" t="s">
        <v>17</v>
      </c>
      <c r="BB227" s="260" t="s">
        <v>17</v>
      </c>
      <c r="BC227" s="721" t="s">
        <v>17</v>
      </c>
      <c r="BD227" s="781" t="s">
        <v>17</v>
      </c>
      <c r="BE227" s="478" t="s">
        <v>17</v>
      </c>
      <c r="BF227" s="314" t="s">
        <v>17</v>
      </c>
      <c r="BG227" s="119" t="s">
        <v>17</v>
      </c>
      <c r="BH227" s="260" t="s">
        <v>17</v>
      </c>
      <c r="BI227" s="340" t="s">
        <v>17</v>
      </c>
      <c r="BJ227" s="721" t="s">
        <v>17</v>
      </c>
      <c r="BK227" s="781" t="s">
        <v>17</v>
      </c>
      <c r="BL227" s="973" t="s">
        <v>17</v>
      </c>
      <c r="BM227" s="314" t="s">
        <v>17</v>
      </c>
      <c r="BN227" s="721" t="s">
        <v>17</v>
      </c>
      <c r="BO227" s="134"/>
      <c r="BP227" s="712"/>
      <c r="BQ227" s="134" t="s">
        <v>17</v>
      </c>
      <c r="BR227" s="133" t="s">
        <v>17</v>
      </c>
      <c r="BS227" s="26" t="s">
        <v>17</v>
      </c>
      <c r="BT227" s="405"/>
    </row>
    <row r="228" spans="1:72" ht="13.5" hidden="1" customHeight="1" x14ac:dyDescent="0.35">
      <c r="A228" s="683"/>
      <c r="B228" s="47"/>
      <c r="C228" s="3" t="s">
        <v>79</v>
      </c>
      <c r="D228" s="1128"/>
      <c r="E228" s="1164"/>
      <c r="F228" s="1165"/>
      <c r="G228" s="1165"/>
      <c r="H228" s="1165"/>
      <c r="I228" s="1165"/>
      <c r="J228" s="1165"/>
      <c r="K228" s="1165"/>
      <c r="L228" s="1165"/>
      <c r="M228" s="1165"/>
      <c r="N228" s="119" t="s">
        <v>17</v>
      </c>
      <c r="O228" s="13" t="s">
        <v>17</v>
      </c>
      <c r="P228" s="102" t="s">
        <v>17</v>
      </c>
      <c r="Q228" s="119" t="s">
        <v>17</v>
      </c>
      <c r="R228" s="13" t="s">
        <v>17</v>
      </c>
      <c r="S228" s="19" t="s">
        <v>17</v>
      </c>
      <c r="T228" s="116" t="s">
        <v>17</v>
      </c>
      <c r="U228" s="119" t="s">
        <v>8</v>
      </c>
      <c r="V228" s="13" t="s">
        <v>8</v>
      </c>
      <c r="W228" s="13" t="s">
        <v>41</v>
      </c>
      <c r="X228" s="190" t="s">
        <v>41</v>
      </c>
      <c r="Y228" s="119" t="s">
        <v>8</v>
      </c>
      <c r="Z228" s="13" t="s">
        <v>8</v>
      </c>
      <c r="AA228" s="13" t="s">
        <v>8</v>
      </c>
      <c r="AB228" s="13" t="s">
        <v>8</v>
      </c>
      <c r="AC228" s="102" t="s">
        <v>8</v>
      </c>
      <c r="AD228" s="87" t="s">
        <v>8</v>
      </c>
      <c r="AE228" s="13" t="s">
        <v>8</v>
      </c>
      <c r="AF228" s="13" t="s">
        <v>8</v>
      </c>
      <c r="AG228" s="13" t="s">
        <v>8</v>
      </c>
      <c r="AH228" s="36" t="s">
        <v>8</v>
      </c>
      <c r="AI228" s="13" t="s">
        <v>8</v>
      </c>
      <c r="AJ228" s="13" t="s">
        <v>8</v>
      </c>
      <c r="AK228" s="102" t="s">
        <v>8</v>
      </c>
      <c r="AL228" s="119" t="s">
        <v>8</v>
      </c>
      <c r="AM228" s="36" t="s">
        <v>8</v>
      </c>
      <c r="AN228" s="177" t="s">
        <v>8</v>
      </c>
      <c r="AO228" s="177" t="s">
        <v>8</v>
      </c>
      <c r="AP228" s="13" t="s">
        <v>8</v>
      </c>
      <c r="AQ228" s="36" t="s">
        <v>8</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81" t="s">
        <v>17</v>
      </c>
      <c r="BE228" s="478" t="s">
        <v>17</v>
      </c>
      <c r="BF228" s="314" t="s">
        <v>17</v>
      </c>
      <c r="BG228" s="119" t="s">
        <v>17</v>
      </c>
      <c r="BH228" s="260" t="s">
        <v>17</v>
      </c>
      <c r="BI228" s="340" t="s">
        <v>17</v>
      </c>
      <c r="BJ228" s="721" t="s">
        <v>17</v>
      </c>
      <c r="BK228" s="781" t="s">
        <v>17</v>
      </c>
      <c r="BL228" s="134" t="s">
        <v>17</v>
      </c>
      <c r="BM228" s="314" t="s">
        <v>17</v>
      </c>
      <c r="BN228" s="721" t="s">
        <v>17</v>
      </c>
      <c r="BO228" s="134"/>
      <c r="BP228" s="712"/>
      <c r="BQ228" s="134" t="s">
        <v>17</v>
      </c>
      <c r="BR228" s="133" t="s">
        <v>17</v>
      </c>
      <c r="BS228" s="26" t="s">
        <v>17</v>
      </c>
      <c r="BT228" s="405" t="s">
        <v>80</v>
      </c>
    </row>
    <row r="229" spans="1:72" ht="13.5" hidden="1" customHeight="1" x14ac:dyDescent="0.35">
      <c r="A229" s="683"/>
      <c r="B229" s="47"/>
      <c r="C229" s="2" t="s">
        <v>81</v>
      </c>
      <c r="D229" s="1128"/>
      <c r="E229" s="1164"/>
      <c r="F229" s="1165"/>
      <c r="G229" s="1165"/>
      <c r="H229" s="1165"/>
      <c r="I229" s="1165"/>
      <c r="J229" s="1165"/>
      <c r="K229" s="1165"/>
      <c r="L229" s="1165"/>
      <c r="M229" s="1165"/>
      <c r="N229" s="119" t="s">
        <v>82</v>
      </c>
      <c r="O229" s="13" t="s">
        <v>82</v>
      </c>
      <c r="P229" s="102" t="s">
        <v>82</v>
      </c>
      <c r="Q229" s="119" t="s">
        <v>82</v>
      </c>
      <c r="R229" s="13" t="s">
        <v>82</v>
      </c>
      <c r="S229" s="19" t="s">
        <v>114</v>
      </c>
      <c r="T229" s="116" t="s">
        <v>114</v>
      </c>
      <c r="U229" s="119" t="s">
        <v>82</v>
      </c>
      <c r="V229" s="13" t="s">
        <v>82</v>
      </c>
      <c r="W229" s="13" t="s">
        <v>82</v>
      </c>
      <c r="X229" s="192" t="s">
        <v>114</v>
      </c>
      <c r="Y229" s="119" t="s">
        <v>82</v>
      </c>
      <c r="Z229" s="13" t="s">
        <v>82</v>
      </c>
      <c r="AA229" s="13" t="s">
        <v>82</v>
      </c>
      <c r="AB229" s="13" t="s">
        <v>82</v>
      </c>
      <c r="AC229" s="102" t="s">
        <v>82</v>
      </c>
      <c r="AD229" s="87" t="s">
        <v>82</v>
      </c>
      <c r="AE229" s="13" t="s">
        <v>82</v>
      </c>
      <c r="AF229" s="13" t="s">
        <v>82</v>
      </c>
      <c r="AG229" s="13" t="s">
        <v>82</v>
      </c>
      <c r="AH229" s="36" t="s">
        <v>82</v>
      </c>
      <c r="AI229" s="13" t="s">
        <v>82</v>
      </c>
      <c r="AJ229" s="13" t="s">
        <v>82</v>
      </c>
      <c r="AK229" s="102" t="s">
        <v>82</v>
      </c>
      <c r="AL229" s="119" t="s">
        <v>82</v>
      </c>
      <c r="AM229" s="36" t="s">
        <v>82</v>
      </c>
      <c r="AN229" s="177" t="s">
        <v>82</v>
      </c>
      <c r="AO229" s="177" t="s">
        <v>82</v>
      </c>
      <c r="AP229" s="13" t="s">
        <v>82</v>
      </c>
      <c r="AQ229" s="36" t="s">
        <v>82</v>
      </c>
      <c r="AR229" s="133" t="s">
        <v>82</v>
      </c>
      <c r="AS229" s="26" t="s">
        <v>82</v>
      </c>
      <c r="AT229" s="464" t="s">
        <v>82</v>
      </c>
      <c r="AU229" s="133" t="s">
        <v>82</v>
      </c>
      <c r="AV229" s="260" t="s">
        <v>82</v>
      </c>
      <c r="AW229" s="133" t="s">
        <v>82</v>
      </c>
      <c r="AX229" s="26" t="s">
        <v>82</v>
      </c>
      <c r="AY229" s="26" t="s">
        <v>82</v>
      </c>
      <c r="AZ229" s="260" t="s">
        <v>82</v>
      </c>
      <c r="BA229" s="26" t="s">
        <v>82</v>
      </c>
      <c r="BB229" s="260" t="s">
        <v>82</v>
      </c>
      <c r="BC229" s="19" t="s">
        <v>1291</v>
      </c>
      <c r="BD229" s="19" t="s">
        <v>1291</v>
      </c>
      <c r="BE229" s="179" t="s">
        <v>1291</v>
      </c>
      <c r="BF229" s="314" t="s">
        <v>82</v>
      </c>
      <c r="BG229" s="119" t="s">
        <v>82</v>
      </c>
      <c r="BH229" s="260" t="s">
        <v>82</v>
      </c>
      <c r="BI229" s="340" t="s">
        <v>82</v>
      </c>
      <c r="BJ229" s="19" t="s">
        <v>1291</v>
      </c>
      <c r="BK229" s="13" t="s">
        <v>1291</v>
      </c>
      <c r="BL229" s="116" t="s">
        <v>1291</v>
      </c>
      <c r="BM229" s="314" t="s">
        <v>82</v>
      </c>
      <c r="BN229" s="523" t="s">
        <v>82</v>
      </c>
      <c r="BO229" s="116"/>
      <c r="BP229" s="115"/>
      <c r="BQ229" s="116" t="s">
        <v>1291</v>
      </c>
      <c r="BR229" s="133" t="s">
        <v>82</v>
      </c>
      <c r="BS229" s="26" t="s">
        <v>82</v>
      </c>
      <c r="BT229" s="412"/>
    </row>
    <row r="230" spans="1:72" ht="13.5" hidden="1" customHeight="1" x14ac:dyDescent="0.35">
      <c r="A230" s="683"/>
      <c r="B230" s="47"/>
      <c r="C230" s="2" t="s">
        <v>117</v>
      </c>
      <c r="D230" s="1128"/>
      <c r="E230" s="1164"/>
      <c r="F230" s="1165"/>
      <c r="G230" s="1165"/>
      <c r="H230" s="1165"/>
      <c r="I230" s="1165"/>
      <c r="J230" s="1165"/>
      <c r="K230" s="1165"/>
      <c r="L230" s="1165"/>
      <c r="M230" s="1165"/>
      <c r="N230" s="119" t="s">
        <v>45</v>
      </c>
      <c r="O230" s="13" t="s">
        <v>45</v>
      </c>
      <c r="P230" s="102" t="s">
        <v>45</v>
      </c>
      <c r="Q230" s="119" t="s">
        <v>45</v>
      </c>
      <c r="R230" s="13" t="s">
        <v>45</v>
      </c>
      <c r="S230" s="19" t="s">
        <v>41</v>
      </c>
      <c r="T230" s="116" t="s">
        <v>41</v>
      </c>
      <c r="U230" s="119" t="s">
        <v>45</v>
      </c>
      <c r="V230" s="13" t="s">
        <v>45</v>
      </c>
      <c r="W230" s="13" t="s">
        <v>45</v>
      </c>
      <c r="X230" s="192" t="s">
        <v>41</v>
      </c>
      <c r="Y230" s="119" t="s">
        <v>45</v>
      </c>
      <c r="Z230" s="13" t="s">
        <v>45</v>
      </c>
      <c r="AA230" s="13" t="s">
        <v>45</v>
      </c>
      <c r="AB230" s="13" t="s">
        <v>45</v>
      </c>
      <c r="AC230" s="102" t="s">
        <v>45</v>
      </c>
      <c r="AD230" s="87" t="s">
        <v>45</v>
      </c>
      <c r="AE230" s="13" t="s">
        <v>45</v>
      </c>
      <c r="AF230" s="13" t="s">
        <v>45</v>
      </c>
      <c r="AG230" s="13" t="s">
        <v>45</v>
      </c>
      <c r="AH230" s="36" t="s">
        <v>45</v>
      </c>
      <c r="AI230" s="13" t="s">
        <v>45</v>
      </c>
      <c r="AJ230" s="13" t="s">
        <v>45</v>
      </c>
      <c r="AK230" s="116" t="s">
        <v>45</v>
      </c>
      <c r="AL230" s="115" t="s">
        <v>45</v>
      </c>
      <c r="AM230" s="179" t="s">
        <v>45</v>
      </c>
      <c r="AN230" s="224" t="s">
        <v>45</v>
      </c>
      <c r="AO230" s="177" t="s">
        <v>45</v>
      </c>
      <c r="AP230" s="19" t="s">
        <v>45</v>
      </c>
      <c r="AQ230" s="179" t="s">
        <v>45</v>
      </c>
      <c r="AR230" s="712" t="s">
        <v>8</v>
      </c>
      <c r="AS230" s="27" t="s">
        <v>8</v>
      </c>
      <c r="AT230" s="478" t="s">
        <v>8</v>
      </c>
      <c r="AU230" s="133" t="s">
        <v>8</v>
      </c>
      <c r="AV230" s="260" t="s">
        <v>8</v>
      </c>
      <c r="AW230" s="133" t="s">
        <v>8</v>
      </c>
      <c r="AX230" s="26" t="s">
        <v>8</v>
      </c>
      <c r="AY230" s="26" t="s">
        <v>8</v>
      </c>
      <c r="AZ230" s="260" t="s">
        <v>8</v>
      </c>
      <c r="BA230" s="27" t="s">
        <v>45</v>
      </c>
      <c r="BB230" s="260" t="s">
        <v>8</v>
      </c>
      <c r="BC230" s="721" t="s">
        <v>8</v>
      </c>
      <c r="BD230" s="781" t="s">
        <v>8</v>
      </c>
      <c r="BE230" s="478" t="s">
        <v>8</v>
      </c>
      <c r="BF230" s="314" t="s">
        <v>8</v>
      </c>
      <c r="BG230" s="115" t="s">
        <v>45</v>
      </c>
      <c r="BH230" s="260" t="s">
        <v>8</v>
      </c>
      <c r="BI230" s="379" t="s">
        <v>45</v>
      </c>
      <c r="BJ230" s="721" t="s">
        <v>8</v>
      </c>
      <c r="BK230" s="781" t="s">
        <v>8</v>
      </c>
      <c r="BL230" s="134" t="s">
        <v>8</v>
      </c>
      <c r="BM230" s="314" t="s">
        <v>8</v>
      </c>
      <c r="BN230" s="721" t="s">
        <v>8</v>
      </c>
      <c r="BO230" s="134"/>
      <c r="BP230" s="712"/>
      <c r="BQ230" s="134" t="s">
        <v>8</v>
      </c>
      <c r="BR230" s="712" t="s">
        <v>8</v>
      </c>
      <c r="BS230" s="27" t="s">
        <v>8</v>
      </c>
      <c r="BT230" s="412"/>
    </row>
    <row r="231" spans="1:72" ht="13.5" hidden="1" customHeight="1" x14ac:dyDescent="0.35">
      <c r="A231" s="683"/>
      <c r="B231" s="47"/>
      <c r="C231" s="2" t="s">
        <v>83</v>
      </c>
      <c r="D231" s="1128"/>
      <c r="E231" s="1164"/>
      <c r="F231" s="1165"/>
      <c r="G231" s="1165"/>
      <c r="H231" s="1165"/>
      <c r="I231" s="1165"/>
      <c r="J231" s="1165"/>
      <c r="K231" s="1165"/>
      <c r="L231" s="1165"/>
      <c r="M231" s="1165"/>
      <c r="N231" s="119" t="s">
        <v>82</v>
      </c>
      <c r="O231" s="13" t="s">
        <v>82</v>
      </c>
      <c r="P231" s="102" t="s">
        <v>82</v>
      </c>
      <c r="Q231" s="119" t="s">
        <v>82</v>
      </c>
      <c r="R231" s="13" t="s">
        <v>82</v>
      </c>
      <c r="S231" s="19" t="s">
        <v>198</v>
      </c>
      <c r="T231" s="116" t="s">
        <v>198</v>
      </c>
      <c r="U231" s="119" t="s">
        <v>82</v>
      </c>
      <c r="V231" s="13" t="s">
        <v>82</v>
      </c>
      <c r="W231" s="13" t="s">
        <v>82</v>
      </c>
      <c r="X231" s="190" t="s">
        <v>84</v>
      </c>
      <c r="Y231" s="119" t="s">
        <v>82</v>
      </c>
      <c r="Z231" s="13" t="s">
        <v>82</v>
      </c>
      <c r="AA231" s="13" t="s">
        <v>82</v>
      </c>
      <c r="AB231" s="13" t="s">
        <v>82</v>
      </c>
      <c r="AC231" s="102" t="s">
        <v>82</v>
      </c>
      <c r="AD231" s="87" t="s">
        <v>82</v>
      </c>
      <c r="AE231" s="13" t="s">
        <v>82</v>
      </c>
      <c r="AF231" s="13" t="s">
        <v>82</v>
      </c>
      <c r="AG231" s="13" t="s">
        <v>82</v>
      </c>
      <c r="AH231" s="36" t="s">
        <v>82</v>
      </c>
      <c r="AI231" s="13" t="s">
        <v>82</v>
      </c>
      <c r="AJ231" s="13" t="s">
        <v>82</v>
      </c>
      <c r="AK231" s="102" t="s">
        <v>82</v>
      </c>
      <c r="AL231" s="119" t="s">
        <v>82</v>
      </c>
      <c r="AM231" s="36" t="s">
        <v>82</v>
      </c>
      <c r="AN231" s="177" t="s">
        <v>82</v>
      </c>
      <c r="AO231" s="177" t="s">
        <v>82</v>
      </c>
      <c r="AP231" s="13" t="s">
        <v>82</v>
      </c>
      <c r="AQ231" s="36" t="s">
        <v>82</v>
      </c>
      <c r="AR231" s="133" t="s">
        <v>82</v>
      </c>
      <c r="AS231" s="26" t="s">
        <v>82</v>
      </c>
      <c r="AT231" s="464" t="s">
        <v>82</v>
      </c>
      <c r="AU231" s="133" t="s">
        <v>82</v>
      </c>
      <c r="AV231" s="260" t="s">
        <v>82</v>
      </c>
      <c r="AW231" s="133" t="s">
        <v>82</v>
      </c>
      <c r="AX231" s="26" t="s">
        <v>82</v>
      </c>
      <c r="AY231" s="26" t="s">
        <v>82</v>
      </c>
      <c r="AZ231" s="260" t="s">
        <v>82</v>
      </c>
      <c r="BA231" s="26" t="s">
        <v>82</v>
      </c>
      <c r="BB231" s="260" t="s">
        <v>82</v>
      </c>
      <c r="BC231" s="721" t="s">
        <v>82</v>
      </c>
      <c r="BD231" s="781" t="s">
        <v>82</v>
      </c>
      <c r="BE231" s="478" t="s">
        <v>82</v>
      </c>
      <c r="BF231" s="314" t="s">
        <v>82</v>
      </c>
      <c r="BG231" s="119" t="s">
        <v>82</v>
      </c>
      <c r="BH231" s="260" t="s">
        <v>82</v>
      </c>
      <c r="BI231" s="340" t="s">
        <v>82</v>
      </c>
      <c r="BJ231" s="721" t="s">
        <v>82</v>
      </c>
      <c r="BK231" s="781" t="s">
        <v>82</v>
      </c>
      <c r="BL231" s="134" t="s">
        <v>82</v>
      </c>
      <c r="BM231" s="314" t="s">
        <v>82</v>
      </c>
      <c r="BN231" s="721" t="s">
        <v>82</v>
      </c>
      <c r="BO231" s="134"/>
      <c r="BP231" s="712"/>
      <c r="BQ231" s="134" t="s">
        <v>82</v>
      </c>
      <c r="BR231" s="133" t="s">
        <v>82</v>
      </c>
      <c r="BS231" s="26" t="s">
        <v>82</v>
      </c>
      <c r="BT231" s="412" t="s">
        <v>118</v>
      </c>
    </row>
    <row r="232" spans="1:72" ht="13.5" hidden="1" customHeight="1" x14ac:dyDescent="0.35">
      <c r="A232" s="683"/>
      <c r="B232" s="47"/>
      <c r="C232" s="2" t="s">
        <v>85</v>
      </c>
      <c r="D232" s="1128"/>
      <c r="E232" s="1164"/>
      <c r="F232" s="1165"/>
      <c r="G232" s="1165"/>
      <c r="H232" s="1165"/>
      <c r="I232" s="1165"/>
      <c r="J232" s="1165"/>
      <c r="K232" s="1165"/>
      <c r="L232" s="1165"/>
      <c r="M232" s="1165"/>
      <c r="N232" s="133" t="s">
        <v>57</v>
      </c>
      <c r="O232" s="26" t="s">
        <v>57</v>
      </c>
      <c r="P232" s="260" t="s">
        <v>57</v>
      </c>
      <c r="Q232" s="133" t="s">
        <v>57</v>
      </c>
      <c r="R232" s="13" t="s">
        <v>8</v>
      </c>
      <c r="S232" s="27" t="s">
        <v>195</v>
      </c>
      <c r="T232" s="134" t="s">
        <v>195</v>
      </c>
      <c r="U232" s="119" t="s">
        <v>8</v>
      </c>
      <c r="V232" s="13" t="s">
        <v>8</v>
      </c>
      <c r="W232" s="13" t="s">
        <v>8</v>
      </c>
      <c r="X232" s="190" t="s">
        <v>50</v>
      </c>
      <c r="Y232" s="119" t="s">
        <v>8</v>
      </c>
      <c r="Z232" s="13" t="s">
        <v>8</v>
      </c>
      <c r="AA232" s="13" t="s">
        <v>8</v>
      </c>
      <c r="AB232" s="13" t="s">
        <v>8</v>
      </c>
      <c r="AC232" s="102" t="s">
        <v>8</v>
      </c>
      <c r="AD232" s="87" t="s">
        <v>8</v>
      </c>
      <c r="AE232" s="13" t="s">
        <v>8</v>
      </c>
      <c r="AF232" s="13" t="s">
        <v>8</v>
      </c>
      <c r="AG232" s="13" t="s">
        <v>8</v>
      </c>
      <c r="AH232" s="36" t="s">
        <v>8</v>
      </c>
      <c r="AI232" s="13" t="s">
        <v>8</v>
      </c>
      <c r="AJ232" s="13" t="s">
        <v>8</v>
      </c>
      <c r="AK232" s="102" t="s">
        <v>8</v>
      </c>
      <c r="AL232" s="119" t="s">
        <v>8</v>
      </c>
      <c r="AM232" s="36" t="s">
        <v>8</v>
      </c>
      <c r="AN232" s="177" t="s">
        <v>8</v>
      </c>
      <c r="AO232" s="177" t="s">
        <v>8</v>
      </c>
      <c r="AP232" s="13" t="s">
        <v>8</v>
      </c>
      <c r="AQ232" s="36" t="s">
        <v>8</v>
      </c>
      <c r="AR232" s="133" t="s">
        <v>8</v>
      </c>
      <c r="AS232" s="26" t="s">
        <v>8</v>
      </c>
      <c r="AT232" s="464" t="s">
        <v>8</v>
      </c>
      <c r="AU232" s="133" t="s">
        <v>8</v>
      </c>
      <c r="AV232" s="260" t="s">
        <v>8</v>
      </c>
      <c r="AW232" s="133" t="s">
        <v>8</v>
      </c>
      <c r="AX232" s="26" t="s">
        <v>8</v>
      </c>
      <c r="AY232" s="26" t="s">
        <v>8</v>
      </c>
      <c r="AZ232" s="260" t="s">
        <v>8</v>
      </c>
      <c r="BA232" s="26" t="s">
        <v>8</v>
      </c>
      <c r="BB232" s="260" t="s">
        <v>8</v>
      </c>
      <c r="BC232" s="721" t="s">
        <v>8</v>
      </c>
      <c r="BD232" s="781" t="s">
        <v>8</v>
      </c>
      <c r="BE232" s="478" t="s">
        <v>8</v>
      </c>
      <c r="BF232" s="314" t="s">
        <v>8</v>
      </c>
      <c r="BG232" s="119" t="s">
        <v>8</v>
      </c>
      <c r="BH232" s="260" t="s">
        <v>8</v>
      </c>
      <c r="BI232" s="340" t="s">
        <v>8</v>
      </c>
      <c r="BJ232" s="721" t="s">
        <v>8</v>
      </c>
      <c r="BK232" s="781" t="s">
        <v>8</v>
      </c>
      <c r="BL232" s="134" t="s">
        <v>8</v>
      </c>
      <c r="BM232" s="314" t="s">
        <v>8</v>
      </c>
      <c r="BN232" s="721" t="s">
        <v>8</v>
      </c>
      <c r="BO232" s="134"/>
      <c r="BP232" s="712"/>
      <c r="BQ232" s="134" t="s">
        <v>8</v>
      </c>
      <c r="BR232" s="133" t="s">
        <v>8</v>
      </c>
      <c r="BS232" s="26" t="s">
        <v>8</v>
      </c>
      <c r="BT232" s="412" t="s">
        <v>178</v>
      </c>
    </row>
    <row r="233" spans="1:72" ht="13.5" hidden="1" customHeight="1" x14ac:dyDescent="0.35">
      <c r="A233" s="683"/>
      <c r="B233" s="47"/>
      <c r="C233" s="3" t="s">
        <v>86</v>
      </c>
      <c r="D233" s="1128"/>
      <c r="E233" s="1164"/>
      <c r="F233" s="1165"/>
      <c r="G233" s="1165"/>
      <c r="H233" s="1165"/>
      <c r="I233" s="1165"/>
      <c r="J233" s="1165"/>
      <c r="K233" s="1165"/>
      <c r="L233" s="1165"/>
      <c r="M233" s="1165"/>
      <c r="N233" s="133" t="s">
        <v>17</v>
      </c>
      <c r="O233" s="26" t="s">
        <v>17</v>
      </c>
      <c r="P233" s="260" t="s">
        <v>17</v>
      </c>
      <c r="Q233" s="133" t="s">
        <v>17</v>
      </c>
      <c r="R233" s="13" t="s">
        <v>17</v>
      </c>
      <c r="S233" s="27" t="s">
        <v>196</v>
      </c>
      <c r="T233" s="134" t="s">
        <v>196</v>
      </c>
      <c r="U233" s="119" t="s">
        <v>8</v>
      </c>
      <c r="V233" s="13" t="s">
        <v>8</v>
      </c>
      <c r="W233" s="13" t="s">
        <v>8</v>
      </c>
      <c r="X233" s="190" t="s">
        <v>8</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81" t="s">
        <v>8</v>
      </c>
      <c r="BE233" s="478" t="s">
        <v>8</v>
      </c>
      <c r="BF233" s="314" t="s">
        <v>8</v>
      </c>
      <c r="BG233" s="119" t="s">
        <v>8</v>
      </c>
      <c r="BH233" s="260" t="s">
        <v>8</v>
      </c>
      <c r="BI233" s="340" t="s">
        <v>8</v>
      </c>
      <c r="BJ233" s="721" t="s">
        <v>8</v>
      </c>
      <c r="BK233" s="781" t="s">
        <v>8</v>
      </c>
      <c r="BL233" s="134" t="s">
        <v>8</v>
      </c>
      <c r="BM233" s="314" t="s">
        <v>8</v>
      </c>
      <c r="BN233" s="721" t="s">
        <v>8</v>
      </c>
      <c r="BO233" s="134"/>
      <c r="BP233" s="712"/>
      <c r="BQ233" s="134" t="s">
        <v>8</v>
      </c>
      <c r="BR233" s="133" t="s">
        <v>8</v>
      </c>
      <c r="BS233" s="26" t="s">
        <v>8</v>
      </c>
      <c r="BT233" s="405"/>
    </row>
    <row r="234" spans="1:72" ht="13.5" hidden="1" customHeight="1" x14ac:dyDescent="0.35">
      <c r="A234" s="683"/>
      <c r="B234" s="47"/>
      <c r="C234" s="3" t="s">
        <v>87</v>
      </c>
      <c r="D234" s="1128"/>
      <c r="E234" s="1164"/>
      <c r="F234" s="1165"/>
      <c r="G234" s="1165"/>
      <c r="H234" s="1165"/>
      <c r="I234" s="1165"/>
      <c r="J234" s="1165"/>
      <c r="K234" s="1165"/>
      <c r="L234" s="1165"/>
      <c r="M234" s="1165"/>
      <c r="N234" s="133" t="s">
        <v>88</v>
      </c>
      <c r="O234" s="26" t="s">
        <v>88</v>
      </c>
      <c r="P234" s="260" t="s">
        <v>88</v>
      </c>
      <c r="Q234" s="133" t="s">
        <v>88</v>
      </c>
      <c r="R234" s="26" t="s">
        <v>88</v>
      </c>
      <c r="S234" s="27" t="s">
        <v>113</v>
      </c>
      <c r="T234" s="134" t="s">
        <v>113</v>
      </c>
      <c r="U234" s="119" t="s">
        <v>88</v>
      </c>
      <c r="V234" s="13" t="s">
        <v>88</v>
      </c>
      <c r="W234" s="13" t="s">
        <v>88</v>
      </c>
      <c r="X234" s="190" t="s">
        <v>89</v>
      </c>
      <c r="Y234" s="119" t="s">
        <v>88</v>
      </c>
      <c r="Z234" s="13" t="s">
        <v>88</v>
      </c>
      <c r="AA234" s="13" t="s">
        <v>88</v>
      </c>
      <c r="AB234" s="13" t="s">
        <v>88</v>
      </c>
      <c r="AC234" s="102" t="s">
        <v>88</v>
      </c>
      <c r="AD234" s="87" t="s">
        <v>88</v>
      </c>
      <c r="AE234" s="13" t="s">
        <v>88</v>
      </c>
      <c r="AF234" s="13" t="s">
        <v>88</v>
      </c>
      <c r="AG234" s="13" t="s">
        <v>88</v>
      </c>
      <c r="AH234" s="36" t="s">
        <v>88</v>
      </c>
      <c r="AI234" s="13" t="s">
        <v>88</v>
      </c>
      <c r="AJ234" s="13" t="s">
        <v>88</v>
      </c>
      <c r="AK234" s="102" t="s">
        <v>88</v>
      </c>
      <c r="AL234" s="119" t="s">
        <v>88</v>
      </c>
      <c r="AM234" s="36" t="s">
        <v>88</v>
      </c>
      <c r="AN234" s="177" t="s">
        <v>88</v>
      </c>
      <c r="AO234" s="177" t="s">
        <v>88</v>
      </c>
      <c r="AP234" s="13" t="s">
        <v>88</v>
      </c>
      <c r="AQ234" s="36" t="s">
        <v>88</v>
      </c>
      <c r="AR234" s="133" t="s">
        <v>88</v>
      </c>
      <c r="AS234" s="26" t="s">
        <v>88</v>
      </c>
      <c r="AT234" s="464" t="s">
        <v>88</v>
      </c>
      <c r="AU234" s="133" t="s">
        <v>88</v>
      </c>
      <c r="AV234" s="260" t="s">
        <v>88</v>
      </c>
      <c r="AW234" s="133" t="s">
        <v>88</v>
      </c>
      <c r="AX234" s="26" t="s">
        <v>88</v>
      </c>
      <c r="AY234" s="26" t="s">
        <v>88</v>
      </c>
      <c r="AZ234" s="260" t="s">
        <v>88</v>
      </c>
      <c r="BA234" s="26" t="s">
        <v>88</v>
      </c>
      <c r="BB234" s="260" t="s">
        <v>88</v>
      </c>
      <c r="BC234" s="721" t="s">
        <v>88</v>
      </c>
      <c r="BD234" s="781" t="s">
        <v>88</v>
      </c>
      <c r="BE234" s="478" t="s">
        <v>88</v>
      </c>
      <c r="BF234" s="314" t="s">
        <v>88</v>
      </c>
      <c r="BG234" s="119" t="s">
        <v>88</v>
      </c>
      <c r="BH234" s="260" t="s">
        <v>88</v>
      </c>
      <c r="BI234" s="340" t="s">
        <v>88</v>
      </c>
      <c r="BJ234" s="721" t="s">
        <v>88</v>
      </c>
      <c r="BK234" s="781" t="s">
        <v>88</v>
      </c>
      <c r="BL234" s="134" t="s">
        <v>88</v>
      </c>
      <c r="BM234" s="314" t="s">
        <v>88</v>
      </c>
      <c r="BN234" s="721" t="s">
        <v>88</v>
      </c>
      <c r="BO234" s="134"/>
      <c r="BP234" s="712"/>
      <c r="BQ234" s="134" t="s">
        <v>88</v>
      </c>
      <c r="BR234" s="133" t="s">
        <v>88</v>
      </c>
      <c r="BS234" s="26" t="s">
        <v>88</v>
      </c>
      <c r="BT234" s="405" t="s">
        <v>115</v>
      </c>
    </row>
    <row r="235" spans="1:72" ht="13.5" hidden="1" customHeight="1" x14ac:dyDescent="0.35">
      <c r="A235" s="683"/>
      <c r="B235" s="47"/>
      <c r="C235" s="3" t="s">
        <v>90</v>
      </c>
      <c r="D235" s="1128"/>
      <c r="E235" s="1164"/>
      <c r="F235" s="1165"/>
      <c r="G235" s="1165"/>
      <c r="H235" s="1165"/>
      <c r="I235" s="1165"/>
      <c r="J235" s="1165"/>
      <c r="K235" s="1165"/>
      <c r="L235" s="1165"/>
      <c r="M235" s="1165"/>
      <c r="N235" s="133" t="s">
        <v>197</v>
      </c>
      <c r="O235" s="26" t="s">
        <v>197</v>
      </c>
      <c r="P235" s="260" t="s">
        <v>197</v>
      </c>
      <c r="Q235" s="133" t="s">
        <v>197</v>
      </c>
      <c r="R235" s="26" t="s">
        <v>91</v>
      </c>
      <c r="S235" s="27" t="s">
        <v>197</v>
      </c>
      <c r="T235" s="134" t="s">
        <v>91</v>
      </c>
      <c r="U235" s="119" t="s">
        <v>91</v>
      </c>
      <c r="V235" s="13" t="s">
        <v>91</v>
      </c>
      <c r="W235" s="13" t="s">
        <v>91</v>
      </c>
      <c r="X235" s="190" t="s">
        <v>91</v>
      </c>
      <c r="Y235" s="119" t="s">
        <v>91</v>
      </c>
      <c r="Z235" s="13" t="s">
        <v>91</v>
      </c>
      <c r="AA235" s="13" t="s">
        <v>91</v>
      </c>
      <c r="AB235" s="13" t="s">
        <v>91</v>
      </c>
      <c r="AC235" s="102" t="s">
        <v>91</v>
      </c>
      <c r="AD235" s="87" t="s">
        <v>91</v>
      </c>
      <c r="AE235" s="13" t="s">
        <v>91</v>
      </c>
      <c r="AF235" s="13" t="s">
        <v>91</v>
      </c>
      <c r="AG235" s="13" t="s">
        <v>91</v>
      </c>
      <c r="AH235" s="36" t="s">
        <v>91</v>
      </c>
      <c r="AI235" s="13" t="s">
        <v>91</v>
      </c>
      <c r="AJ235" s="13" t="s">
        <v>91</v>
      </c>
      <c r="AK235" s="102" t="s">
        <v>91</v>
      </c>
      <c r="AL235" s="119" t="s">
        <v>91</v>
      </c>
      <c r="AM235" s="36" t="s">
        <v>91</v>
      </c>
      <c r="AN235" s="177" t="s">
        <v>91</v>
      </c>
      <c r="AO235" s="177" t="s">
        <v>91</v>
      </c>
      <c r="AP235" s="13" t="s">
        <v>91</v>
      </c>
      <c r="AQ235" s="36" t="s">
        <v>91</v>
      </c>
      <c r="AR235" s="133" t="s">
        <v>91</v>
      </c>
      <c r="AS235" s="26" t="s">
        <v>91</v>
      </c>
      <c r="AT235" s="464" t="s">
        <v>91</v>
      </c>
      <c r="AU235" s="133" t="s">
        <v>91</v>
      </c>
      <c r="AV235" s="260" t="s">
        <v>91</v>
      </c>
      <c r="AW235" s="133" t="s">
        <v>91</v>
      </c>
      <c r="AX235" s="26" t="s">
        <v>91</v>
      </c>
      <c r="AY235" s="26" t="s">
        <v>91</v>
      </c>
      <c r="AZ235" s="260" t="s">
        <v>91</v>
      </c>
      <c r="BA235" s="26" t="s">
        <v>91</v>
      </c>
      <c r="BB235" s="260" t="s">
        <v>91</v>
      </c>
      <c r="BC235" s="721" t="s">
        <v>91</v>
      </c>
      <c r="BD235" s="781" t="s">
        <v>91</v>
      </c>
      <c r="BE235" s="478" t="s">
        <v>91</v>
      </c>
      <c r="BF235" s="314" t="s">
        <v>91</v>
      </c>
      <c r="BG235" s="119" t="s">
        <v>91</v>
      </c>
      <c r="BH235" s="260" t="s">
        <v>91</v>
      </c>
      <c r="BI235" s="340" t="s">
        <v>91</v>
      </c>
      <c r="BJ235" s="721" t="s">
        <v>91</v>
      </c>
      <c r="BK235" s="781" t="s">
        <v>91</v>
      </c>
      <c r="BL235" s="134" t="s">
        <v>91</v>
      </c>
      <c r="BM235" s="314" t="s">
        <v>91</v>
      </c>
      <c r="BN235" s="721" t="s">
        <v>91</v>
      </c>
      <c r="BO235" s="134"/>
      <c r="BP235" s="712"/>
      <c r="BQ235" s="134" t="s">
        <v>91</v>
      </c>
      <c r="BR235" s="133" t="s">
        <v>91</v>
      </c>
      <c r="BS235" s="26" t="s">
        <v>91</v>
      </c>
      <c r="BT235" s="405" t="s">
        <v>614</v>
      </c>
    </row>
    <row r="236" spans="1:72" ht="13.5" hidden="1" customHeight="1" thickBot="1" x14ac:dyDescent="0.4">
      <c r="A236" s="683"/>
      <c r="B236" s="61"/>
      <c r="C236" s="62" t="s">
        <v>92</v>
      </c>
      <c r="D236" s="1128"/>
      <c r="E236" s="1164"/>
      <c r="F236" s="1165"/>
      <c r="G236" s="1165"/>
      <c r="H236" s="1165"/>
      <c r="I236" s="1165"/>
      <c r="J236" s="1165"/>
      <c r="K236" s="1165"/>
      <c r="L236" s="1165"/>
      <c r="M236" s="1165"/>
      <c r="N236" s="135"/>
      <c r="O236" s="80"/>
      <c r="P236" s="136"/>
      <c r="Q236" s="135"/>
      <c r="R236" s="80"/>
      <c r="S236" s="80"/>
      <c r="T236" s="136"/>
      <c r="U236" s="122"/>
      <c r="V236" s="63"/>
      <c r="W236" s="64" t="s">
        <v>17</v>
      </c>
      <c r="X236" s="199" t="s">
        <v>8</v>
      </c>
      <c r="Y236" s="160" t="s">
        <v>17</v>
      </c>
      <c r="Z236" s="64" t="s">
        <v>17</v>
      </c>
      <c r="AA236" s="64" t="s">
        <v>17</v>
      </c>
      <c r="AB236" s="64" t="s">
        <v>17</v>
      </c>
      <c r="AC236" s="148" t="s">
        <v>17</v>
      </c>
      <c r="AD236" s="141" t="s">
        <v>17</v>
      </c>
      <c r="AE236" s="64" t="s">
        <v>17</v>
      </c>
      <c r="AF236" s="64" t="s">
        <v>17</v>
      </c>
      <c r="AG236" s="64" t="s">
        <v>17</v>
      </c>
      <c r="AH236" s="178" t="s">
        <v>17</v>
      </c>
      <c r="AI236" s="64" t="s">
        <v>17</v>
      </c>
      <c r="AJ236" s="64" t="s">
        <v>17</v>
      </c>
      <c r="AK236" s="148" t="s">
        <v>17</v>
      </c>
      <c r="AL236" s="160" t="s">
        <v>17</v>
      </c>
      <c r="AM236" s="178" t="s">
        <v>17</v>
      </c>
      <c r="AN236" s="1039" t="s">
        <v>17</v>
      </c>
      <c r="AO236" s="1039" t="s">
        <v>17</v>
      </c>
      <c r="AP236" s="64" t="s">
        <v>17</v>
      </c>
      <c r="AQ236" s="178" t="s">
        <v>17</v>
      </c>
      <c r="AR236" s="490" t="s">
        <v>17</v>
      </c>
      <c r="AS236" s="343" t="s">
        <v>17</v>
      </c>
      <c r="AT236" s="481" t="s">
        <v>17</v>
      </c>
      <c r="AU236" s="490" t="s">
        <v>17</v>
      </c>
      <c r="AV236" s="491" t="s">
        <v>17</v>
      </c>
      <c r="AW236" s="490" t="s">
        <v>17</v>
      </c>
      <c r="AX236" s="343" t="s">
        <v>17</v>
      </c>
      <c r="AY236" s="343" t="s">
        <v>17</v>
      </c>
      <c r="AZ236" s="491" t="s">
        <v>17</v>
      </c>
      <c r="BA236" s="343" t="s">
        <v>17</v>
      </c>
      <c r="BB236" s="491" t="s">
        <v>17</v>
      </c>
      <c r="BC236" s="724" t="s">
        <v>17</v>
      </c>
      <c r="BD236" s="784" t="s">
        <v>17</v>
      </c>
      <c r="BE236" s="470" t="s">
        <v>17</v>
      </c>
      <c r="BF236" s="394" t="s">
        <v>17</v>
      </c>
      <c r="BG236" s="160" t="s">
        <v>17</v>
      </c>
      <c r="BH236" s="491" t="s">
        <v>17</v>
      </c>
      <c r="BI236" s="889" t="s">
        <v>17</v>
      </c>
      <c r="BJ236" s="724" t="s">
        <v>17</v>
      </c>
      <c r="BK236" s="784" t="s">
        <v>17</v>
      </c>
      <c r="BL236" s="921" t="s">
        <v>17</v>
      </c>
      <c r="BM236" s="394" t="s">
        <v>17</v>
      </c>
      <c r="BN236" s="724" t="s">
        <v>17</v>
      </c>
      <c r="BO236" s="921"/>
      <c r="BP236" s="808"/>
      <c r="BQ236" s="921" t="s">
        <v>17</v>
      </c>
      <c r="BR236" s="490" t="s">
        <v>17</v>
      </c>
      <c r="BS236" s="343" t="s">
        <v>17</v>
      </c>
      <c r="BT236" s="407"/>
    </row>
    <row r="237" spans="1:72" ht="13.5" hidden="1" customHeight="1" thickTop="1" x14ac:dyDescent="0.3">
      <c r="A237" s="683"/>
      <c r="B237" s="55" t="s">
        <v>125</v>
      </c>
      <c r="C237" s="56" t="s">
        <v>126</v>
      </c>
      <c r="D237" s="1128"/>
      <c r="E237" s="1164"/>
      <c r="F237" s="1165"/>
      <c r="G237" s="1165"/>
      <c r="H237" s="1165"/>
      <c r="I237" s="1165"/>
      <c r="J237" s="1165"/>
      <c r="K237" s="1165"/>
      <c r="L237" s="1165"/>
      <c r="M237" s="1165"/>
      <c r="N237" s="109" t="s">
        <v>8</v>
      </c>
      <c r="O237" s="44" t="s">
        <v>8</v>
      </c>
      <c r="P237" s="227" t="s">
        <v>8</v>
      </c>
      <c r="Q237" s="137" t="s">
        <v>17</v>
      </c>
      <c r="R237" s="57" t="s">
        <v>17</v>
      </c>
      <c r="S237" s="57" t="s">
        <v>17</v>
      </c>
      <c r="T237" s="138" t="s">
        <v>17</v>
      </c>
      <c r="U237" s="109" t="s">
        <v>8</v>
      </c>
      <c r="V237" s="44" t="s">
        <v>8</v>
      </c>
      <c r="W237" s="44" t="s">
        <v>17</v>
      </c>
      <c r="X237" s="200" t="s">
        <v>17</v>
      </c>
      <c r="Y237" s="109" t="s">
        <v>8</v>
      </c>
      <c r="Z237" s="44" t="s">
        <v>17</v>
      </c>
      <c r="AA237" s="44" t="s">
        <v>17</v>
      </c>
      <c r="AB237" s="44" t="s">
        <v>17</v>
      </c>
      <c r="AC237" s="149" t="s">
        <v>8</v>
      </c>
      <c r="AD237" s="82" t="s">
        <v>8</v>
      </c>
      <c r="AE237" s="44" t="s">
        <v>8</v>
      </c>
      <c r="AF237" s="44" t="s">
        <v>17</v>
      </c>
      <c r="AG237" s="44" t="s">
        <v>17</v>
      </c>
      <c r="AH237" s="176" t="s">
        <v>17</v>
      </c>
      <c r="AI237" s="44" t="s">
        <v>8</v>
      </c>
      <c r="AJ237" s="82" t="s">
        <v>8</v>
      </c>
      <c r="AK237" s="149" t="s">
        <v>8</v>
      </c>
      <c r="AL237" s="109" t="s">
        <v>17</v>
      </c>
      <c r="AM237" s="183" t="s">
        <v>17</v>
      </c>
      <c r="AN237" s="183" t="s">
        <v>17</v>
      </c>
      <c r="AO237" s="183" t="s">
        <v>17</v>
      </c>
      <c r="AP237" s="44" t="s">
        <v>17</v>
      </c>
      <c r="AQ237" s="183" t="s">
        <v>17</v>
      </c>
      <c r="AR237" s="292" t="s">
        <v>8</v>
      </c>
      <c r="AS237" s="801"/>
      <c r="AT237" s="482"/>
      <c r="AU237" s="292" t="s">
        <v>8</v>
      </c>
      <c r="AV237" s="318" t="s">
        <v>17</v>
      </c>
      <c r="AW237" s="109" t="s">
        <v>17</v>
      </c>
      <c r="AX237" s="45" t="s">
        <v>17</v>
      </c>
      <c r="AY237" s="44" t="s">
        <v>17</v>
      </c>
      <c r="AZ237" s="110" t="s">
        <v>17</v>
      </c>
      <c r="BA237" s="339" t="s">
        <v>17</v>
      </c>
      <c r="BB237" s="110" t="s">
        <v>17</v>
      </c>
      <c r="BC237" s="734" t="s">
        <v>8</v>
      </c>
      <c r="BD237" s="801"/>
      <c r="BE237" s="482"/>
      <c r="BF237" s="865" t="s">
        <v>17</v>
      </c>
      <c r="BG237" s="109" t="s">
        <v>17</v>
      </c>
      <c r="BH237" s="110" t="s">
        <v>17</v>
      </c>
      <c r="BI237" s="376" t="s">
        <v>17</v>
      </c>
      <c r="BJ237" s="734" t="s">
        <v>8</v>
      </c>
      <c r="BK237" s="801"/>
      <c r="BL237" s="922"/>
      <c r="BM237" s="865" t="s">
        <v>17</v>
      </c>
      <c r="BN237" s="734" t="s">
        <v>8</v>
      </c>
      <c r="BO237" s="934"/>
      <c r="BP237" s="777"/>
      <c r="BQ237" s="922"/>
      <c r="BR237" s="496" t="s">
        <v>8</v>
      </c>
      <c r="BS237" s="785"/>
      <c r="BT237" s="414"/>
    </row>
    <row r="238" spans="1:72" ht="13.5" hidden="1" customHeight="1" x14ac:dyDescent="0.3">
      <c r="A238" s="683"/>
      <c r="B238" s="58"/>
      <c r="C238" s="5" t="s">
        <v>127</v>
      </c>
      <c r="D238" s="1128"/>
      <c r="E238" s="1164"/>
      <c r="F238" s="1165"/>
      <c r="G238" s="1165"/>
      <c r="H238" s="1165"/>
      <c r="I238" s="1165"/>
      <c r="J238" s="1165"/>
      <c r="K238" s="1165"/>
      <c r="L238" s="1165"/>
      <c r="M238" s="1165"/>
      <c r="N238" s="111" t="s">
        <v>128</v>
      </c>
      <c r="O238" s="16" t="s">
        <v>128</v>
      </c>
      <c r="P238" s="112" t="s">
        <v>128</v>
      </c>
      <c r="Q238" s="111" t="s">
        <v>128</v>
      </c>
      <c r="R238" s="28" t="s">
        <v>17</v>
      </c>
      <c r="S238" s="28" t="s">
        <v>8</v>
      </c>
      <c r="T238" s="167" t="s">
        <v>8</v>
      </c>
      <c r="U238" s="111" t="s">
        <v>128</v>
      </c>
      <c r="V238" s="16" t="s">
        <v>128</v>
      </c>
      <c r="W238" s="16" t="s">
        <v>17</v>
      </c>
      <c r="X238" s="191" t="s">
        <v>128</v>
      </c>
      <c r="Y238" s="111" t="s">
        <v>128</v>
      </c>
      <c r="Z238" s="16" t="s">
        <v>17</v>
      </c>
      <c r="AA238" s="16" t="s">
        <v>17</v>
      </c>
      <c r="AB238" s="16" t="s">
        <v>17</v>
      </c>
      <c r="AC238" s="112" t="s">
        <v>128</v>
      </c>
      <c r="AD238" s="83" t="s">
        <v>128</v>
      </c>
      <c r="AE238" s="16" t="s">
        <v>128</v>
      </c>
      <c r="AF238" s="15" t="s">
        <v>17</v>
      </c>
      <c r="AG238" s="16" t="s">
        <v>128</v>
      </c>
      <c r="AH238" s="36" t="s">
        <v>17</v>
      </c>
      <c r="AI238" s="16" t="s">
        <v>128</v>
      </c>
      <c r="AJ238" s="83" t="s">
        <v>128</v>
      </c>
      <c r="AK238" s="112" t="s">
        <v>128</v>
      </c>
      <c r="AL238" s="111" t="s">
        <v>17</v>
      </c>
      <c r="AM238" s="177" t="s">
        <v>17</v>
      </c>
      <c r="AN238" s="177" t="s">
        <v>17</v>
      </c>
      <c r="AO238" s="177" t="s">
        <v>17</v>
      </c>
      <c r="AP238" s="16" t="s">
        <v>17</v>
      </c>
      <c r="AQ238" s="177" t="s">
        <v>17</v>
      </c>
      <c r="AR238" s="111" t="s">
        <v>128</v>
      </c>
      <c r="AS238" s="342"/>
      <c r="AT238" s="396"/>
      <c r="AU238" s="111" t="s">
        <v>128</v>
      </c>
      <c r="AV238" s="318" t="s">
        <v>17</v>
      </c>
      <c r="AW238" s="111" t="s">
        <v>17</v>
      </c>
      <c r="AX238" s="317" t="s">
        <v>17</v>
      </c>
      <c r="AY238" s="15" t="s">
        <v>17</v>
      </c>
      <c r="AZ238" s="318" t="s">
        <v>17</v>
      </c>
      <c r="BA238" s="26" t="s">
        <v>17</v>
      </c>
      <c r="BB238" s="318" t="s">
        <v>17</v>
      </c>
      <c r="BC238" s="718" t="s">
        <v>128</v>
      </c>
      <c r="BD238" s="342"/>
      <c r="BE238" s="396"/>
      <c r="BF238" s="866" t="s">
        <v>17</v>
      </c>
      <c r="BG238" s="111" t="s">
        <v>17</v>
      </c>
      <c r="BH238" s="318" t="s">
        <v>17</v>
      </c>
      <c r="BI238" s="380" t="s">
        <v>17</v>
      </c>
      <c r="BJ238" s="718" t="s">
        <v>128</v>
      </c>
      <c r="BK238" s="342"/>
      <c r="BL238" s="455"/>
      <c r="BM238" s="866" t="s">
        <v>17</v>
      </c>
      <c r="BN238" s="718" t="s">
        <v>128</v>
      </c>
      <c r="BO238" s="283"/>
      <c r="BP238" s="113"/>
      <c r="BQ238" s="455"/>
      <c r="BR238" s="133" t="s">
        <v>128</v>
      </c>
      <c r="BS238" s="334"/>
      <c r="BT238" s="413"/>
    </row>
    <row r="239" spans="1:72" ht="13.5" hidden="1" customHeight="1" x14ac:dyDescent="0.3">
      <c r="B239" s="1048"/>
      <c r="C239" s="1" t="s">
        <v>1385</v>
      </c>
      <c r="D239" s="1128"/>
      <c r="E239" s="1164"/>
      <c r="F239" s="1165"/>
      <c r="G239" s="1165"/>
      <c r="H239" s="1165"/>
      <c r="I239" s="1165"/>
      <c r="J239" s="1165"/>
      <c r="K239" s="1165"/>
      <c r="L239" s="1165"/>
      <c r="M239" s="1165"/>
      <c r="N239" s="24" t="s">
        <v>1386</v>
      </c>
      <c r="O239" s="24" t="s">
        <v>1387</v>
      </c>
      <c r="P239" s="24" t="s">
        <v>1387</v>
      </c>
      <c r="Q239" s="24" t="s">
        <v>1387</v>
      </c>
      <c r="R239" s="24" t="s">
        <v>1386</v>
      </c>
      <c r="S239" s="24" t="s">
        <v>1387</v>
      </c>
      <c r="T239" s="24" t="s">
        <v>1386</v>
      </c>
      <c r="U239" s="24" t="s">
        <v>1386</v>
      </c>
      <c r="V239" s="24" t="s">
        <v>1387</v>
      </c>
      <c r="W239" s="24" t="s">
        <v>1386</v>
      </c>
      <c r="X239" s="774" t="s">
        <v>1388</v>
      </c>
      <c r="Y239" s="24" t="s">
        <v>1386</v>
      </c>
      <c r="Z239" s="775" t="s">
        <v>1389</v>
      </c>
      <c r="AA239" s="24" t="s">
        <v>17</v>
      </c>
      <c r="AB239" s="24" t="s">
        <v>17</v>
      </c>
      <c r="AC239" s="24" t="s">
        <v>1390</v>
      </c>
      <c r="AD239" s="24" t="s">
        <v>1391</v>
      </c>
      <c r="AE239" s="24" t="s">
        <v>1392</v>
      </c>
      <c r="AF239" s="24" t="s">
        <v>17</v>
      </c>
      <c r="AG239" s="24" t="s">
        <v>1392</v>
      </c>
      <c r="AH239" s="24" t="s">
        <v>17</v>
      </c>
      <c r="AI239" s="24" t="s">
        <v>1392</v>
      </c>
      <c r="AJ239" s="24" t="s">
        <v>1391</v>
      </c>
      <c r="AK239" s="24" t="s">
        <v>1391</v>
      </c>
      <c r="AL239" s="24" t="s">
        <v>1393</v>
      </c>
      <c r="AM239" s="24" t="s">
        <v>17</v>
      </c>
      <c r="AN239" s="1063" t="s">
        <v>17</v>
      </c>
      <c r="AO239" s="1063" t="s">
        <v>17</v>
      </c>
      <c r="AP239" s="24" t="s">
        <v>1393</v>
      </c>
      <c r="AQ239" s="776" t="s">
        <v>17</v>
      </c>
      <c r="AR239" s="817" t="s">
        <v>1391</v>
      </c>
      <c r="AS239" s="776"/>
      <c r="AT239" s="818"/>
      <c r="AU239" s="817" t="s">
        <v>1392</v>
      </c>
      <c r="AV239" s="818" t="s">
        <v>17</v>
      </c>
      <c r="AW239" s="817" t="s">
        <v>195</v>
      </c>
      <c r="AX239" s="776" t="s">
        <v>17</v>
      </c>
      <c r="AY239" s="776" t="s">
        <v>17</v>
      </c>
      <c r="AZ239" s="818" t="s">
        <v>17</v>
      </c>
      <c r="BA239" s="817" t="s">
        <v>1393</v>
      </c>
      <c r="BB239" s="818" t="s">
        <v>17</v>
      </c>
      <c r="BC239" s="802" t="s">
        <v>1394</v>
      </c>
      <c r="BD239" s="803"/>
      <c r="BE239" s="804" t="s">
        <v>1394</v>
      </c>
      <c r="BF239" s="867" t="s">
        <v>17</v>
      </c>
      <c r="BG239" s="877" t="s">
        <v>1393</v>
      </c>
      <c r="BH239" s="878" t="s">
        <v>17</v>
      </c>
      <c r="BI239" s="867" t="s">
        <v>17</v>
      </c>
      <c r="BJ239" s="802" t="s">
        <v>1394</v>
      </c>
      <c r="BK239" s="803"/>
      <c r="BL239" s="924" t="s">
        <v>1394</v>
      </c>
      <c r="BM239" s="867" t="s">
        <v>17</v>
      </c>
      <c r="BN239" s="1031" t="s">
        <v>1489</v>
      </c>
      <c r="BO239" s="938"/>
      <c r="BP239" s="923"/>
      <c r="BQ239" s="924" t="s">
        <v>1394</v>
      </c>
      <c r="BR239" s="817" t="s">
        <v>1391</v>
      </c>
      <c r="BS239" s="776"/>
      <c r="BT239" s="24" t="s">
        <v>173</v>
      </c>
    </row>
    <row r="240" spans="1:72" ht="13.5" hidden="1" customHeight="1" x14ac:dyDescent="0.3">
      <c r="A240" s="683"/>
      <c r="B240" s="58"/>
      <c r="C240" s="5" t="s">
        <v>130</v>
      </c>
      <c r="D240" s="1128"/>
      <c r="E240" s="1164"/>
      <c r="F240" s="1165"/>
      <c r="G240" s="1165"/>
      <c r="H240" s="1165"/>
      <c r="I240" s="1165"/>
      <c r="J240" s="1165"/>
      <c r="K240" s="1165"/>
      <c r="L240" s="1165"/>
      <c r="M240" s="1165"/>
      <c r="N240" s="111" t="s">
        <v>8</v>
      </c>
      <c r="O240" s="16" t="s">
        <v>8</v>
      </c>
      <c r="P240" s="112" t="s">
        <v>8</v>
      </c>
      <c r="Q240" s="139" t="s">
        <v>17</v>
      </c>
      <c r="R240" s="28" t="s">
        <v>17</v>
      </c>
      <c r="S240" s="28" t="s">
        <v>17</v>
      </c>
      <c r="T240" s="167" t="s">
        <v>17</v>
      </c>
      <c r="U240" s="111" t="s">
        <v>8</v>
      </c>
      <c r="V240" s="16" t="s">
        <v>8</v>
      </c>
      <c r="W240" s="16" t="s">
        <v>17</v>
      </c>
      <c r="X240" s="191" t="s">
        <v>17</v>
      </c>
      <c r="Y240" s="111" t="s">
        <v>8</v>
      </c>
      <c r="Z240" s="16" t="s">
        <v>17</v>
      </c>
      <c r="AA240" s="16" t="s">
        <v>17</v>
      </c>
      <c r="AB240" s="16" t="s">
        <v>17</v>
      </c>
      <c r="AC240" s="112" t="s">
        <v>8</v>
      </c>
      <c r="AD240" s="83" t="s">
        <v>8</v>
      </c>
      <c r="AE240" s="16" t="s">
        <v>8</v>
      </c>
      <c r="AF240" s="15" t="s">
        <v>17</v>
      </c>
      <c r="AG240" s="16" t="s">
        <v>17</v>
      </c>
      <c r="AH240" s="36" t="s">
        <v>17</v>
      </c>
      <c r="AI240" s="16" t="s">
        <v>8</v>
      </c>
      <c r="AJ240" s="83" t="s">
        <v>8</v>
      </c>
      <c r="AK240" s="112" t="s">
        <v>8</v>
      </c>
      <c r="AL240" s="111" t="s">
        <v>17</v>
      </c>
      <c r="AM240" s="177" t="s">
        <v>17</v>
      </c>
      <c r="AN240" s="177" t="s">
        <v>17</v>
      </c>
      <c r="AO240" s="177" t="s">
        <v>17</v>
      </c>
      <c r="AP240" s="16" t="s">
        <v>17</v>
      </c>
      <c r="AQ240" s="177" t="s">
        <v>17</v>
      </c>
      <c r="AR240" s="111" t="s">
        <v>8</v>
      </c>
      <c r="AS240" s="342"/>
      <c r="AT240" s="396"/>
      <c r="AU240" s="111" t="s">
        <v>8</v>
      </c>
      <c r="AV240" s="318" t="s">
        <v>17</v>
      </c>
      <c r="AW240" s="111" t="s">
        <v>17</v>
      </c>
      <c r="AX240" s="317" t="s">
        <v>17</v>
      </c>
      <c r="AY240" s="15" t="s">
        <v>17</v>
      </c>
      <c r="AZ240" s="318" t="s">
        <v>17</v>
      </c>
      <c r="BA240" s="26" t="s">
        <v>17</v>
      </c>
      <c r="BB240" s="318" t="s">
        <v>17</v>
      </c>
      <c r="BC240" s="718" t="s">
        <v>8</v>
      </c>
      <c r="BD240" s="342"/>
      <c r="BE240" s="396"/>
      <c r="BF240" s="866" t="s">
        <v>17</v>
      </c>
      <c r="BG240" s="111" t="s">
        <v>17</v>
      </c>
      <c r="BH240" s="318" t="s">
        <v>17</v>
      </c>
      <c r="BI240" s="377" t="s">
        <v>17</v>
      </c>
      <c r="BJ240" s="718" t="s">
        <v>8</v>
      </c>
      <c r="BK240" s="342"/>
      <c r="BL240" s="455"/>
      <c r="BM240" s="866" t="s">
        <v>17</v>
      </c>
      <c r="BN240" s="718" t="s">
        <v>8</v>
      </c>
      <c r="BO240" s="283"/>
      <c r="BP240" s="113"/>
      <c r="BQ240" s="455"/>
      <c r="BR240" s="133" t="s">
        <v>8</v>
      </c>
      <c r="BS240" s="334"/>
      <c r="BT240" s="413"/>
    </row>
    <row r="241" spans="1:72" ht="13.5" hidden="1" customHeight="1" x14ac:dyDescent="0.3">
      <c r="A241" s="683"/>
      <c r="B241" s="58"/>
      <c r="C241" s="5" t="s">
        <v>131</v>
      </c>
      <c r="D241" s="1128"/>
      <c r="E241" s="1164"/>
      <c r="F241" s="1165"/>
      <c r="G241" s="1165"/>
      <c r="H241" s="1165"/>
      <c r="I241" s="1165"/>
      <c r="J241" s="1165"/>
      <c r="K241" s="1165"/>
      <c r="L241" s="1165"/>
      <c r="M241" s="1165"/>
      <c r="N241" s="111" t="s">
        <v>17</v>
      </c>
      <c r="O241" s="16" t="s">
        <v>8</v>
      </c>
      <c r="P241" s="112" t="s">
        <v>8</v>
      </c>
      <c r="Q241" s="139" t="s">
        <v>8</v>
      </c>
      <c r="R241" s="28" t="s">
        <v>17</v>
      </c>
      <c r="S241" s="28" t="s">
        <v>8</v>
      </c>
      <c r="T241" s="167" t="s">
        <v>17</v>
      </c>
      <c r="U241" s="111" t="s">
        <v>17</v>
      </c>
      <c r="V241" s="16" t="s">
        <v>8</v>
      </c>
      <c r="W241" s="16" t="s">
        <v>8</v>
      </c>
      <c r="X241" s="191" t="s">
        <v>8</v>
      </c>
      <c r="Y241" s="111" t="s">
        <v>17</v>
      </c>
      <c r="Z241" s="16" t="s">
        <v>17</v>
      </c>
      <c r="AA241" s="16" t="s">
        <v>17</v>
      </c>
      <c r="AB241" s="16" t="s">
        <v>17</v>
      </c>
      <c r="AC241" s="112" t="s">
        <v>8</v>
      </c>
      <c r="AD241" s="83" t="s">
        <v>17</v>
      </c>
      <c r="AE241" s="21" t="s">
        <v>8</v>
      </c>
      <c r="AF241" s="15" t="s">
        <v>17</v>
      </c>
      <c r="AG241" s="16" t="s">
        <v>8</v>
      </c>
      <c r="AH241" s="36" t="s">
        <v>17</v>
      </c>
      <c r="AI241" s="21" t="s">
        <v>8</v>
      </c>
      <c r="AJ241" s="84" t="s">
        <v>17</v>
      </c>
      <c r="AK241" s="112" t="s">
        <v>17</v>
      </c>
      <c r="AL241" s="111" t="s">
        <v>17</v>
      </c>
      <c r="AM241" s="177" t="s">
        <v>17</v>
      </c>
      <c r="AN241" s="177" t="s">
        <v>17</v>
      </c>
      <c r="AO241" s="177" t="s">
        <v>17</v>
      </c>
      <c r="AP241" s="16" t="s">
        <v>17</v>
      </c>
      <c r="AQ241" s="177" t="s">
        <v>17</v>
      </c>
      <c r="AR241" s="111" t="s">
        <v>17</v>
      </c>
      <c r="AS241" s="342"/>
      <c r="AT241" s="396"/>
      <c r="AU241" s="147" t="s">
        <v>17</v>
      </c>
      <c r="AV241" s="318" t="s">
        <v>17</v>
      </c>
      <c r="AW241" s="111" t="s">
        <v>17</v>
      </c>
      <c r="AX241" s="317" t="s">
        <v>17</v>
      </c>
      <c r="AY241" s="15" t="s">
        <v>17</v>
      </c>
      <c r="AZ241" s="318" t="s">
        <v>17</v>
      </c>
      <c r="BA241" s="26" t="s">
        <v>17</v>
      </c>
      <c r="BB241" s="318" t="s">
        <v>17</v>
      </c>
      <c r="BC241" s="718" t="s">
        <v>17</v>
      </c>
      <c r="BD241" s="342"/>
      <c r="BE241" s="396"/>
      <c r="BF241" s="866" t="s">
        <v>17</v>
      </c>
      <c r="BG241" s="111" t="s">
        <v>17</v>
      </c>
      <c r="BH241" s="318" t="s">
        <v>17</v>
      </c>
      <c r="BI241" s="377" t="s">
        <v>17</v>
      </c>
      <c r="BJ241" s="718" t="s">
        <v>17</v>
      </c>
      <c r="BK241" s="342"/>
      <c r="BL241" s="455"/>
      <c r="BM241" s="866" t="s">
        <v>17</v>
      </c>
      <c r="BN241" s="718" t="s">
        <v>17</v>
      </c>
      <c r="BO241" s="283"/>
      <c r="BP241" s="113"/>
      <c r="BQ241" s="455"/>
      <c r="BR241" s="133" t="s">
        <v>17</v>
      </c>
      <c r="BS241" s="334"/>
      <c r="BT241" s="413"/>
    </row>
    <row r="242" spans="1:72" ht="13.5" hidden="1" customHeight="1" x14ac:dyDescent="0.3">
      <c r="A242" s="683"/>
      <c r="B242" s="58"/>
      <c r="C242" s="5" t="s">
        <v>132</v>
      </c>
      <c r="D242" s="1128"/>
      <c r="E242" s="1164"/>
      <c r="F242" s="1165"/>
      <c r="G242" s="1165"/>
      <c r="H242" s="1165"/>
      <c r="I242" s="1165"/>
      <c r="J242" s="1165"/>
      <c r="K242" s="1165"/>
      <c r="L242" s="1165"/>
      <c r="M242" s="1165"/>
      <c r="N242" s="111" t="s">
        <v>8</v>
      </c>
      <c r="O242" s="16" t="s">
        <v>8</v>
      </c>
      <c r="P242" s="112" t="s">
        <v>8</v>
      </c>
      <c r="Q242" s="139" t="s">
        <v>8</v>
      </c>
      <c r="R242" s="28" t="s">
        <v>8</v>
      </c>
      <c r="S242" s="28" t="s">
        <v>8</v>
      </c>
      <c r="T242" s="167" t="s">
        <v>8</v>
      </c>
      <c r="U242" s="111" t="s">
        <v>8</v>
      </c>
      <c r="V242" s="16" t="s">
        <v>8</v>
      </c>
      <c r="W242" s="16" t="s">
        <v>8</v>
      </c>
      <c r="X242" s="191" t="s">
        <v>8</v>
      </c>
      <c r="Y242" s="111" t="s">
        <v>8</v>
      </c>
      <c r="Z242" s="16" t="s">
        <v>17</v>
      </c>
      <c r="AA242" s="16" t="s">
        <v>17</v>
      </c>
      <c r="AB242" s="16" t="s">
        <v>17</v>
      </c>
      <c r="AC242" s="112" t="s">
        <v>41</v>
      </c>
      <c r="AD242" s="83" t="s">
        <v>41</v>
      </c>
      <c r="AE242" s="16" t="s">
        <v>41</v>
      </c>
      <c r="AF242" s="15" t="s">
        <v>17</v>
      </c>
      <c r="AG242" s="16" t="s">
        <v>41</v>
      </c>
      <c r="AH242" s="36" t="s">
        <v>17</v>
      </c>
      <c r="AI242" s="16" t="s">
        <v>41</v>
      </c>
      <c r="AJ242" s="83" t="s">
        <v>41</v>
      </c>
      <c r="AK242" s="112" t="s">
        <v>41</v>
      </c>
      <c r="AL242" s="111" t="s">
        <v>17</v>
      </c>
      <c r="AM242" s="177" t="s">
        <v>17</v>
      </c>
      <c r="AN242" s="177" t="s">
        <v>17</v>
      </c>
      <c r="AO242" s="177" t="s">
        <v>17</v>
      </c>
      <c r="AP242" s="16" t="s">
        <v>17</v>
      </c>
      <c r="AQ242" s="177" t="s">
        <v>17</v>
      </c>
      <c r="AR242" s="111" t="s">
        <v>41</v>
      </c>
      <c r="AS242" s="342"/>
      <c r="AT242" s="396"/>
      <c r="AU242" s="111" t="s">
        <v>41</v>
      </c>
      <c r="AV242" s="318" t="s">
        <v>17</v>
      </c>
      <c r="AW242" s="111" t="s">
        <v>17</v>
      </c>
      <c r="AX242" s="317" t="s">
        <v>17</v>
      </c>
      <c r="AY242" s="15" t="s">
        <v>17</v>
      </c>
      <c r="AZ242" s="318" t="s">
        <v>17</v>
      </c>
      <c r="BA242" s="26" t="s">
        <v>17</v>
      </c>
      <c r="BB242" s="318" t="s">
        <v>17</v>
      </c>
      <c r="BC242" s="718" t="s">
        <v>41</v>
      </c>
      <c r="BD242" s="342"/>
      <c r="BE242" s="396"/>
      <c r="BF242" s="866" t="s">
        <v>17</v>
      </c>
      <c r="BG242" s="111" t="s">
        <v>17</v>
      </c>
      <c r="BH242" s="318" t="s">
        <v>17</v>
      </c>
      <c r="BI242" s="377" t="s">
        <v>17</v>
      </c>
      <c r="BJ242" s="718" t="s">
        <v>41</v>
      </c>
      <c r="BK242" s="342"/>
      <c r="BL242" s="455"/>
      <c r="BM242" s="866" t="s">
        <v>17</v>
      </c>
      <c r="BN242" s="718" t="s">
        <v>41</v>
      </c>
      <c r="BO242" s="283"/>
      <c r="BP242" s="113"/>
      <c r="BQ242" s="455"/>
      <c r="BR242" s="133" t="s">
        <v>41</v>
      </c>
      <c r="BS242" s="334"/>
      <c r="BT242" s="413" t="s">
        <v>280</v>
      </c>
    </row>
    <row r="243" spans="1:72" ht="13.5" hidden="1" customHeight="1" x14ac:dyDescent="0.3">
      <c r="A243" s="683"/>
      <c r="B243" s="58"/>
      <c r="C243" s="5" t="s">
        <v>133</v>
      </c>
      <c r="D243" s="1128"/>
      <c r="E243" s="1164"/>
      <c r="F243" s="1165"/>
      <c r="G243" s="1165"/>
      <c r="H243" s="1165"/>
      <c r="I243" s="1165"/>
      <c r="J243" s="1165"/>
      <c r="K243" s="1165"/>
      <c r="L243" s="1165"/>
      <c r="M243" s="1165"/>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8</v>
      </c>
      <c r="AD243" s="83" t="s">
        <v>8</v>
      </c>
      <c r="AE243" s="16" t="s">
        <v>8</v>
      </c>
      <c r="AF243" s="15" t="s">
        <v>17</v>
      </c>
      <c r="AG243" s="16" t="s">
        <v>8</v>
      </c>
      <c r="AH243" s="36" t="s">
        <v>17</v>
      </c>
      <c r="AI243" s="16" t="s">
        <v>8</v>
      </c>
      <c r="AJ243" s="83" t="s">
        <v>8</v>
      </c>
      <c r="AK243" s="112" t="s">
        <v>8</v>
      </c>
      <c r="AL243" s="111" t="s">
        <v>17</v>
      </c>
      <c r="AM243" s="177" t="s">
        <v>17</v>
      </c>
      <c r="AN243" s="177" t="s">
        <v>17</v>
      </c>
      <c r="AO243" s="177" t="s">
        <v>17</v>
      </c>
      <c r="AP243" s="16" t="s">
        <v>17</v>
      </c>
      <c r="AQ243" s="177" t="s">
        <v>17</v>
      </c>
      <c r="AR243" s="111" t="s">
        <v>8</v>
      </c>
      <c r="AS243" s="342"/>
      <c r="AT243" s="396"/>
      <c r="AU243" s="111" t="s">
        <v>8</v>
      </c>
      <c r="AV243" s="318" t="s">
        <v>17</v>
      </c>
      <c r="AW243" s="111" t="s">
        <v>17</v>
      </c>
      <c r="AX243" s="317" t="s">
        <v>17</v>
      </c>
      <c r="AY243" s="15" t="s">
        <v>17</v>
      </c>
      <c r="AZ243" s="318" t="s">
        <v>17</v>
      </c>
      <c r="BA243" s="26" t="s">
        <v>17</v>
      </c>
      <c r="BB243" s="318" t="s">
        <v>17</v>
      </c>
      <c r="BC243" s="718" t="s">
        <v>8</v>
      </c>
      <c r="BD243" s="342"/>
      <c r="BE243" s="396"/>
      <c r="BF243" s="866" t="s">
        <v>17</v>
      </c>
      <c r="BG243" s="111" t="s">
        <v>17</v>
      </c>
      <c r="BH243" s="318" t="s">
        <v>17</v>
      </c>
      <c r="BI243" s="377" t="s">
        <v>17</v>
      </c>
      <c r="BJ243" s="718" t="s">
        <v>8</v>
      </c>
      <c r="BK243" s="342"/>
      <c r="BL243" s="455"/>
      <c r="BM243" s="866" t="s">
        <v>17</v>
      </c>
      <c r="BN243" s="718" t="s">
        <v>8</v>
      </c>
      <c r="BO243" s="283"/>
      <c r="BP243" s="113"/>
      <c r="BQ243" s="455"/>
      <c r="BR243" s="133" t="s">
        <v>8</v>
      </c>
      <c r="BS243" s="334"/>
      <c r="BT243" s="413"/>
    </row>
    <row r="244" spans="1:72" ht="13.5" hidden="1" customHeight="1" x14ac:dyDescent="0.3">
      <c r="A244" s="683"/>
      <c r="B244" s="58"/>
      <c r="C244" s="5" t="s">
        <v>134</v>
      </c>
      <c r="D244" s="1128"/>
      <c r="E244" s="1164"/>
      <c r="F244" s="1165"/>
      <c r="G244" s="1165"/>
      <c r="H244" s="1165"/>
      <c r="I244" s="1165"/>
      <c r="J244" s="1165"/>
      <c r="K244" s="1165"/>
      <c r="L244" s="1165"/>
      <c r="M244" s="1165"/>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21" t="s">
        <v>17</v>
      </c>
      <c r="AG244" s="16" t="s">
        <v>8</v>
      </c>
      <c r="AH244" s="177"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6" t="s">
        <v>17</v>
      </c>
      <c r="BG244" s="111" t="s">
        <v>17</v>
      </c>
      <c r="BH244" s="318" t="s">
        <v>17</v>
      </c>
      <c r="BI244" s="377" t="s">
        <v>17</v>
      </c>
      <c r="BJ244" s="718" t="s">
        <v>8</v>
      </c>
      <c r="BK244" s="342"/>
      <c r="BL244" s="455"/>
      <c r="BM244" s="866" t="s">
        <v>17</v>
      </c>
      <c r="BN244" s="718" t="s">
        <v>8</v>
      </c>
      <c r="BO244" s="283"/>
      <c r="BP244" s="113"/>
      <c r="BQ244" s="455"/>
      <c r="BR244" s="133" t="s">
        <v>8</v>
      </c>
      <c r="BS244" s="334"/>
      <c r="BT244" s="413"/>
    </row>
    <row r="245" spans="1:72" ht="13.5" hidden="1" customHeight="1" x14ac:dyDescent="0.3">
      <c r="A245" s="683"/>
      <c r="B245" s="58"/>
      <c r="C245" s="5" t="s">
        <v>135</v>
      </c>
      <c r="D245" s="1128"/>
      <c r="E245" s="1164"/>
      <c r="F245" s="1165"/>
      <c r="G245" s="1165"/>
      <c r="H245" s="1165"/>
      <c r="I245" s="1165"/>
      <c r="J245" s="1165"/>
      <c r="K245" s="1165"/>
      <c r="L245" s="1165"/>
      <c r="M245" s="1165"/>
      <c r="N245" s="111" t="s">
        <v>17</v>
      </c>
      <c r="O245" s="16" t="s">
        <v>17</v>
      </c>
      <c r="P245" s="112" t="s">
        <v>17</v>
      </c>
      <c r="Q245" s="139" t="s">
        <v>17</v>
      </c>
      <c r="R245" s="28" t="s">
        <v>17</v>
      </c>
      <c r="S245" s="28" t="s">
        <v>185</v>
      </c>
      <c r="T245" s="167" t="s">
        <v>185</v>
      </c>
      <c r="U245" s="111" t="s">
        <v>17</v>
      </c>
      <c r="V245" s="16" t="s">
        <v>17</v>
      </c>
      <c r="W245" s="16" t="s">
        <v>138</v>
      </c>
      <c r="X245" s="201" t="s">
        <v>185</v>
      </c>
      <c r="Y245" s="111" t="s">
        <v>17</v>
      </c>
      <c r="Z245" s="16" t="s">
        <v>17</v>
      </c>
      <c r="AA245" s="16" t="s">
        <v>17</v>
      </c>
      <c r="AB245" s="16" t="s">
        <v>17</v>
      </c>
      <c r="AC245" s="112" t="s">
        <v>138</v>
      </c>
      <c r="AD245" s="83" t="s">
        <v>17</v>
      </c>
      <c r="AE245" s="16" t="s">
        <v>17</v>
      </c>
      <c r="AF245" s="16" t="s">
        <v>17</v>
      </c>
      <c r="AG245" s="16" t="s">
        <v>138</v>
      </c>
      <c r="AH245" s="36" t="s">
        <v>17</v>
      </c>
      <c r="AI245" s="16" t="s">
        <v>17</v>
      </c>
      <c r="AJ245" s="83" t="s">
        <v>17</v>
      </c>
      <c r="AK245" s="112" t="s">
        <v>17</v>
      </c>
      <c r="AL245" s="111" t="s">
        <v>17</v>
      </c>
      <c r="AM245" s="177" t="s">
        <v>17</v>
      </c>
      <c r="AN245" s="177" t="s">
        <v>17</v>
      </c>
      <c r="AO245" s="177" t="s">
        <v>17</v>
      </c>
      <c r="AP245" s="16" t="s">
        <v>17</v>
      </c>
      <c r="AQ245" s="177" t="s">
        <v>17</v>
      </c>
      <c r="AR245" s="111" t="s">
        <v>17</v>
      </c>
      <c r="AS245" s="342"/>
      <c r="AT245" s="396"/>
      <c r="AU245" s="111" t="s">
        <v>17</v>
      </c>
      <c r="AV245" s="318" t="s">
        <v>17</v>
      </c>
      <c r="AW245" s="111" t="s">
        <v>17</v>
      </c>
      <c r="AX245" s="317" t="s">
        <v>17</v>
      </c>
      <c r="AY245" s="15" t="s">
        <v>17</v>
      </c>
      <c r="AZ245" s="318" t="s">
        <v>17</v>
      </c>
      <c r="BA245" s="26" t="s">
        <v>17</v>
      </c>
      <c r="BB245" s="318" t="s">
        <v>17</v>
      </c>
      <c r="BC245" s="718" t="s">
        <v>17</v>
      </c>
      <c r="BD245" s="342"/>
      <c r="BE245" s="396"/>
      <c r="BF245" s="866" t="s">
        <v>17</v>
      </c>
      <c r="BG245" s="111" t="s">
        <v>17</v>
      </c>
      <c r="BH245" s="318" t="s">
        <v>17</v>
      </c>
      <c r="BI245" s="377" t="s">
        <v>17</v>
      </c>
      <c r="BJ245" s="718" t="s">
        <v>17</v>
      </c>
      <c r="BK245" s="342"/>
      <c r="BL245" s="960"/>
      <c r="BM245" s="866" t="s">
        <v>17</v>
      </c>
      <c r="BN245" s="718" t="s">
        <v>17</v>
      </c>
      <c r="BO245" s="960"/>
      <c r="BP245" s="959"/>
      <c r="BQ245" s="960"/>
      <c r="BR245" s="133" t="s">
        <v>17</v>
      </c>
      <c r="BS245" s="334"/>
      <c r="BT245" s="413"/>
    </row>
    <row r="246" spans="1:72" ht="13.5" hidden="1" customHeight="1" x14ac:dyDescent="0.3">
      <c r="A246" s="683"/>
      <c r="B246" s="58"/>
      <c r="C246" s="5" t="s">
        <v>255</v>
      </c>
      <c r="D246" s="1128"/>
      <c r="E246" s="1164"/>
      <c r="F246" s="1165"/>
      <c r="G246" s="1165"/>
      <c r="H246" s="1165"/>
      <c r="I246" s="1165"/>
      <c r="J246" s="1165"/>
      <c r="K246" s="1165"/>
      <c r="L246" s="1165"/>
      <c r="M246" s="1165"/>
      <c r="N246" s="111" t="s">
        <v>8</v>
      </c>
      <c r="O246" s="16" t="s">
        <v>8</v>
      </c>
      <c r="P246" s="112" t="s">
        <v>8</v>
      </c>
      <c r="Q246" s="139" t="s">
        <v>8</v>
      </c>
      <c r="R246" s="28" t="s">
        <v>8</v>
      </c>
      <c r="S246" s="28" t="s">
        <v>17</v>
      </c>
      <c r="T246" s="167" t="s">
        <v>17</v>
      </c>
      <c r="U246" s="111" t="s">
        <v>8</v>
      </c>
      <c r="V246" s="16" t="s">
        <v>8</v>
      </c>
      <c r="W246" s="16" t="s">
        <v>8</v>
      </c>
      <c r="X246" s="191" t="s">
        <v>17</v>
      </c>
      <c r="Y246" s="111" t="s">
        <v>8</v>
      </c>
      <c r="Z246" s="21" t="s">
        <v>8</v>
      </c>
      <c r="AA246" s="21" t="s">
        <v>8</v>
      </c>
      <c r="AB246" s="322" t="s">
        <v>8</v>
      </c>
      <c r="AC246" s="112" t="s">
        <v>8</v>
      </c>
      <c r="AD246" s="83" t="s">
        <v>8</v>
      </c>
      <c r="AE246" s="16" t="s">
        <v>8</v>
      </c>
      <c r="AF246" s="21" t="s">
        <v>8</v>
      </c>
      <c r="AG246" s="16" t="s">
        <v>8</v>
      </c>
      <c r="AH246" s="180" t="s">
        <v>8</v>
      </c>
      <c r="AI246" s="16" t="s">
        <v>8</v>
      </c>
      <c r="AJ246" s="83" t="s">
        <v>8</v>
      </c>
      <c r="AK246" s="112" t="s">
        <v>8</v>
      </c>
      <c r="AL246" s="111" t="s">
        <v>17</v>
      </c>
      <c r="AM246" s="177" t="s">
        <v>17</v>
      </c>
      <c r="AN246" s="177" t="s">
        <v>17</v>
      </c>
      <c r="AO246" s="177" t="s">
        <v>17</v>
      </c>
      <c r="AP246" s="16" t="s">
        <v>17</v>
      </c>
      <c r="AQ246" s="177" t="s">
        <v>17</v>
      </c>
      <c r="AR246" s="147" t="s">
        <v>8</v>
      </c>
      <c r="AS246" s="16" t="s">
        <v>17</v>
      </c>
      <c r="AT246" s="464" t="s">
        <v>17</v>
      </c>
      <c r="AU246" s="147" t="s">
        <v>8</v>
      </c>
      <c r="AV246" s="114" t="s">
        <v>17</v>
      </c>
      <c r="AW246" s="111" t="s">
        <v>17</v>
      </c>
      <c r="AX246" s="20" t="s">
        <v>17</v>
      </c>
      <c r="AY246" s="16" t="s">
        <v>17</v>
      </c>
      <c r="AZ246" s="134" t="s">
        <v>17</v>
      </c>
      <c r="BA246" s="26" t="s">
        <v>17</v>
      </c>
      <c r="BB246" s="134" t="s">
        <v>17</v>
      </c>
      <c r="BC246" s="718" t="s">
        <v>8</v>
      </c>
      <c r="BD246" s="779" t="s">
        <v>17</v>
      </c>
      <c r="BE246" s="224" t="s">
        <v>17</v>
      </c>
      <c r="BF246" s="392" t="s">
        <v>17</v>
      </c>
      <c r="BG246" s="111" t="s">
        <v>17</v>
      </c>
      <c r="BH246" s="134" t="s">
        <v>17</v>
      </c>
      <c r="BI246" s="377" t="s">
        <v>17</v>
      </c>
      <c r="BJ246" s="718" t="s">
        <v>8</v>
      </c>
      <c r="BK246" s="779" t="s">
        <v>17</v>
      </c>
      <c r="BL246" s="114" t="s">
        <v>17</v>
      </c>
      <c r="BM246" s="392" t="s">
        <v>17</v>
      </c>
      <c r="BN246" s="718" t="s">
        <v>8</v>
      </c>
      <c r="BO246" s="114"/>
      <c r="BP246" s="113"/>
      <c r="BQ246" s="909" t="s">
        <v>17</v>
      </c>
      <c r="BR246" s="133" t="s">
        <v>8</v>
      </c>
      <c r="BS246" s="26" t="s">
        <v>17</v>
      </c>
      <c r="BT246" s="415" t="s">
        <v>136</v>
      </c>
    </row>
    <row r="247" spans="1:72" ht="13.5" hidden="1" customHeight="1" x14ac:dyDescent="0.3">
      <c r="A247" s="683"/>
      <c r="B247" s="58"/>
      <c r="C247" s="685" t="s">
        <v>1276</v>
      </c>
      <c r="D247" s="1128"/>
      <c r="E247" s="1164"/>
      <c r="F247" s="1165"/>
      <c r="G247" s="1165"/>
      <c r="H247" s="1165"/>
      <c r="I247" s="1165"/>
      <c r="J247" s="1165"/>
      <c r="K247" s="1165"/>
      <c r="L247" s="1165"/>
      <c r="M247" s="1165"/>
      <c r="N247" s="117"/>
      <c r="O247" s="29"/>
      <c r="P247" s="118"/>
      <c r="Q247" s="686"/>
      <c r="R247" s="687"/>
      <c r="S247" s="687"/>
      <c r="T247" s="688"/>
      <c r="U247" s="117"/>
      <c r="V247" s="29"/>
      <c r="W247" s="29"/>
      <c r="X247" s="689"/>
      <c r="Y247" s="117"/>
      <c r="Z247" s="214"/>
      <c r="AA247" s="214"/>
      <c r="AB247" s="690"/>
      <c r="AC247" s="118"/>
      <c r="AD247" s="86"/>
      <c r="AE247" s="29"/>
      <c r="AF247" s="214"/>
      <c r="AG247" s="29"/>
      <c r="AH247" s="454"/>
      <c r="AI247" s="29"/>
      <c r="AJ247" s="86"/>
      <c r="AK247" s="118"/>
      <c r="AL247" s="117"/>
      <c r="AM247" s="171"/>
      <c r="AN247" s="171"/>
      <c r="AO247" s="171"/>
      <c r="AP247" s="29"/>
      <c r="AQ247" s="171"/>
      <c r="AR247" s="397"/>
      <c r="AS247" s="29"/>
      <c r="AT247" s="472"/>
      <c r="AU247" s="397"/>
      <c r="AV247" s="118"/>
      <c r="AW247" s="117"/>
      <c r="AX247" s="29"/>
      <c r="AY247" s="29"/>
      <c r="AZ247" s="495"/>
      <c r="BA247" s="334"/>
      <c r="BB247" s="495"/>
      <c r="BC247" s="718">
        <v>2</v>
      </c>
      <c r="BD247" s="779" t="s">
        <v>196</v>
      </c>
      <c r="BE247" s="177" t="s">
        <v>196</v>
      </c>
      <c r="BF247" s="377" t="s">
        <v>196</v>
      </c>
      <c r="BG247" s="111" t="s">
        <v>196</v>
      </c>
      <c r="BH247" s="112" t="s">
        <v>196</v>
      </c>
      <c r="BI247" s="377" t="s">
        <v>196</v>
      </c>
      <c r="BJ247" s="718">
        <v>2</v>
      </c>
      <c r="BK247" s="779" t="s">
        <v>196</v>
      </c>
      <c r="BL247" s="112" t="s">
        <v>196</v>
      </c>
      <c r="BM247" s="377" t="s">
        <v>196</v>
      </c>
      <c r="BN247" s="546" t="s">
        <v>1490</v>
      </c>
      <c r="BO247" s="114"/>
      <c r="BP247" s="113"/>
      <c r="BQ247" s="112" t="s">
        <v>196</v>
      </c>
      <c r="BR247" s="494"/>
      <c r="BS247" s="334"/>
      <c r="BT247" s="415"/>
    </row>
    <row r="248" spans="1:72" ht="13.5" hidden="1" customHeight="1" x14ac:dyDescent="0.3">
      <c r="A248" s="683"/>
      <c r="B248" s="58"/>
      <c r="C248" s="685" t="s">
        <v>1277</v>
      </c>
      <c r="D248" s="1128"/>
      <c r="E248" s="1164"/>
      <c r="F248" s="1165"/>
      <c r="G248" s="1165"/>
      <c r="H248" s="1165"/>
      <c r="I248" s="1165"/>
      <c r="J248" s="1165"/>
      <c r="K248" s="1165"/>
      <c r="L248" s="1165"/>
      <c r="M248" s="1165"/>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t="s">
        <v>1292</v>
      </c>
      <c r="BD248" s="779" t="s">
        <v>196</v>
      </c>
      <c r="BE248" s="177" t="s">
        <v>196</v>
      </c>
      <c r="BF248" s="377" t="s">
        <v>196</v>
      </c>
      <c r="BG248" s="111" t="s">
        <v>196</v>
      </c>
      <c r="BH248" s="112" t="s">
        <v>196</v>
      </c>
      <c r="BI248" s="377" t="s">
        <v>196</v>
      </c>
      <c r="BJ248" s="718" t="s">
        <v>1292</v>
      </c>
      <c r="BK248" s="779" t="s">
        <v>196</v>
      </c>
      <c r="BL248" s="112" t="s">
        <v>196</v>
      </c>
      <c r="BM248" s="377" t="s">
        <v>196</v>
      </c>
      <c r="BN248" s="546" t="s">
        <v>1491</v>
      </c>
      <c r="BO248" s="114"/>
      <c r="BP248" s="113"/>
      <c r="BQ248" s="112" t="s">
        <v>196</v>
      </c>
      <c r="BR248" s="494"/>
      <c r="BS248" s="334"/>
      <c r="BT248" s="415"/>
    </row>
    <row r="249" spans="1:72" ht="13.5" hidden="1" customHeight="1" x14ac:dyDescent="0.3">
      <c r="A249" s="683"/>
      <c r="B249" s="58"/>
      <c r="C249" s="5" t="s">
        <v>254</v>
      </c>
      <c r="D249" s="1128"/>
      <c r="E249" s="1164"/>
      <c r="F249" s="1165"/>
      <c r="G249" s="1165"/>
      <c r="H249" s="1165"/>
      <c r="I249" s="1165"/>
      <c r="J249" s="1165"/>
      <c r="K249" s="1165"/>
      <c r="L249" s="1165"/>
      <c r="M249" s="1165"/>
      <c r="N249" s="111" t="s">
        <v>8</v>
      </c>
      <c r="O249" s="16" t="s">
        <v>8</v>
      </c>
      <c r="P249" s="112" t="s">
        <v>8</v>
      </c>
      <c r="Q249" s="139" t="s">
        <v>8</v>
      </c>
      <c r="R249" s="28" t="s">
        <v>8</v>
      </c>
      <c r="S249" s="28" t="s">
        <v>8</v>
      </c>
      <c r="T249" s="167" t="s">
        <v>8</v>
      </c>
      <c r="U249" s="111" t="s">
        <v>8</v>
      </c>
      <c r="V249" s="16" t="s">
        <v>8</v>
      </c>
      <c r="W249" s="16" t="s">
        <v>8</v>
      </c>
      <c r="X249" s="191" t="s">
        <v>8</v>
      </c>
      <c r="Y249" s="111" t="s">
        <v>8</v>
      </c>
      <c r="Z249" s="21" t="s">
        <v>8</v>
      </c>
      <c r="AA249" s="21" t="s">
        <v>8</v>
      </c>
      <c r="AB249" s="322" t="s">
        <v>8</v>
      </c>
      <c r="AC249" s="112" t="s">
        <v>8</v>
      </c>
      <c r="AD249" s="83" t="s">
        <v>8</v>
      </c>
      <c r="AE249" s="16" t="s">
        <v>8</v>
      </c>
      <c r="AF249" s="21" t="s">
        <v>8</v>
      </c>
      <c r="AG249" s="16" t="s">
        <v>8</v>
      </c>
      <c r="AH249" s="180" t="s">
        <v>8</v>
      </c>
      <c r="AI249" s="16" t="s">
        <v>8</v>
      </c>
      <c r="AJ249" s="83" t="s">
        <v>8</v>
      </c>
      <c r="AK249" s="112" t="s">
        <v>8</v>
      </c>
      <c r="AL249" s="111" t="s">
        <v>17</v>
      </c>
      <c r="AM249" s="177" t="s">
        <v>17</v>
      </c>
      <c r="AN249" s="177" t="s">
        <v>17</v>
      </c>
      <c r="AO249" s="177" t="s">
        <v>17</v>
      </c>
      <c r="AP249" s="16" t="s">
        <v>17</v>
      </c>
      <c r="AQ249" s="177" t="s">
        <v>17</v>
      </c>
      <c r="AR249" s="111" t="s">
        <v>8</v>
      </c>
      <c r="AS249" s="16" t="s">
        <v>17</v>
      </c>
      <c r="AT249" s="464" t="s">
        <v>17</v>
      </c>
      <c r="AU249" s="111" t="s">
        <v>8</v>
      </c>
      <c r="AV249" s="114" t="s">
        <v>17</v>
      </c>
      <c r="AW249" s="111" t="s">
        <v>8</v>
      </c>
      <c r="AX249" s="20" t="s">
        <v>17</v>
      </c>
      <c r="AY249" s="526" t="s">
        <v>8</v>
      </c>
      <c r="AZ249" s="134" t="s">
        <v>17</v>
      </c>
      <c r="BA249" s="26" t="s">
        <v>17</v>
      </c>
      <c r="BB249" s="134" t="s">
        <v>17</v>
      </c>
      <c r="BC249" s="718" t="s">
        <v>8</v>
      </c>
      <c r="BD249" s="779" t="s">
        <v>17</v>
      </c>
      <c r="BE249" s="848" t="s">
        <v>8</v>
      </c>
      <c r="BF249" s="392" t="s">
        <v>17</v>
      </c>
      <c r="BG249" s="111" t="s">
        <v>17</v>
      </c>
      <c r="BH249" s="134" t="s">
        <v>17</v>
      </c>
      <c r="BI249" s="377" t="s">
        <v>17</v>
      </c>
      <c r="BJ249" s="718" t="s">
        <v>8</v>
      </c>
      <c r="BK249" s="779" t="s">
        <v>17</v>
      </c>
      <c r="BL249" s="909" t="s">
        <v>8</v>
      </c>
      <c r="BM249" s="392" t="s">
        <v>17</v>
      </c>
      <c r="BN249" s="718" t="s">
        <v>8</v>
      </c>
      <c r="BO249" s="114"/>
      <c r="BP249" s="113"/>
      <c r="BQ249" s="909" t="s">
        <v>8</v>
      </c>
      <c r="BR249" s="133" t="s">
        <v>8</v>
      </c>
      <c r="BS249" s="26" t="s">
        <v>17</v>
      </c>
      <c r="BT249" s="413"/>
    </row>
    <row r="250" spans="1:72" ht="13.5" hidden="1" customHeight="1" x14ac:dyDescent="0.3">
      <c r="A250" s="683"/>
      <c r="B250" s="58"/>
      <c r="C250" s="5" t="s">
        <v>204</v>
      </c>
      <c r="D250" s="1128"/>
      <c r="E250" s="1164"/>
      <c r="F250" s="1165"/>
      <c r="G250" s="1165"/>
      <c r="H250" s="1165"/>
      <c r="I250" s="1165"/>
      <c r="J250" s="1165"/>
      <c r="K250" s="1165"/>
      <c r="L250" s="1165"/>
      <c r="M250" s="1165"/>
      <c r="N250" s="111" t="s">
        <v>17</v>
      </c>
      <c r="O250" s="16" t="s">
        <v>8</v>
      </c>
      <c r="P250" s="112" t="s">
        <v>8</v>
      </c>
      <c r="Q250" s="139" t="s">
        <v>8</v>
      </c>
      <c r="R250" s="28" t="s">
        <v>17</v>
      </c>
      <c r="S250" s="28" t="s">
        <v>8</v>
      </c>
      <c r="T250" s="167" t="s">
        <v>8</v>
      </c>
      <c r="U250" s="111" t="s">
        <v>17</v>
      </c>
      <c r="V250" s="16" t="s">
        <v>8</v>
      </c>
      <c r="W250" s="16" t="s">
        <v>17</v>
      </c>
      <c r="X250" s="191" t="s">
        <v>8</v>
      </c>
      <c r="Y250" s="111" t="s">
        <v>17</v>
      </c>
      <c r="Z250" s="16" t="s">
        <v>17</v>
      </c>
      <c r="AA250" s="16" t="s">
        <v>17</v>
      </c>
      <c r="AB250" s="16" t="s">
        <v>17</v>
      </c>
      <c r="AC250" s="112" t="s">
        <v>17</v>
      </c>
      <c r="AD250" s="83" t="s">
        <v>17</v>
      </c>
      <c r="AE250" s="16" t="s">
        <v>17</v>
      </c>
      <c r="AF250" s="16" t="s">
        <v>17</v>
      </c>
      <c r="AG250" s="16" t="s">
        <v>17</v>
      </c>
      <c r="AH250" s="36" t="s">
        <v>17</v>
      </c>
      <c r="AI250" s="16" t="s">
        <v>17</v>
      </c>
      <c r="AJ250" s="83" t="s">
        <v>17</v>
      </c>
      <c r="AK250" s="112" t="s">
        <v>17</v>
      </c>
      <c r="AL250" s="111" t="s">
        <v>17</v>
      </c>
      <c r="AM250" s="177" t="s">
        <v>17</v>
      </c>
      <c r="AN250" s="177" t="s">
        <v>17</v>
      </c>
      <c r="AO250" s="177" t="s">
        <v>17</v>
      </c>
      <c r="AP250" s="16" t="s">
        <v>17</v>
      </c>
      <c r="AQ250" s="177" t="s">
        <v>17</v>
      </c>
      <c r="AR250" s="111" t="s">
        <v>17</v>
      </c>
      <c r="AS250" s="342"/>
      <c r="AT250" s="396"/>
      <c r="AU250" s="111" t="s">
        <v>17</v>
      </c>
      <c r="AV250" s="114" t="s">
        <v>17</v>
      </c>
      <c r="AW250" s="111" t="s">
        <v>17</v>
      </c>
      <c r="AX250" s="20" t="s">
        <v>17</v>
      </c>
      <c r="AY250" s="16" t="s">
        <v>17</v>
      </c>
      <c r="AZ250" s="114" t="s">
        <v>17</v>
      </c>
      <c r="BA250" s="26" t="s">
        <v>17</v>
      </c>
      <c r="BB250" s="114" t="s">
        <v>17</v>
      </c>
      <c r="BC250" s="718" t="s">
        <v>17</v>
      </c>
      <c r="BD250" s="342"/>
      <c r="BE250" s="396"/>
      <c r="BF250" s="378" t="s">
        <v>17</v>
      </c>
      <c r="BG250" s="111" t="s">
        <v>17</v>
      </c>
      <c r="BH250" s="114" t="s">
        <v>17</v>
      </c>
      <c r="BI250" s="377" t="s">
        <v>17</v>
      </c>
      <c r="BJ250" s="718" t="s">
        <v>17</v>
      </c>
      <c r="BK250" s="342"/>
      <c r="BL250" s="960"/>
      <c r="BM250" s="378" t="s">
        <v>17</v>
      </c>
      <c r="BN250" s="718" t="s">
        <v>17</v>
      </c>
      <c r="BO250" s="960"/>
      <c r="BP250" s="959"/>
      <c r="BQ250" s="960"/>
      <c r="BR250" s="133" t="s">
        <v>17</v>
      </c>
      <c r="BS250" s="334"/>
      <c r="BT250" s="413"/>
    </row>
    <row r="251" spans="1:72" ht="13.5" hidden="1" customHeight="1" x14ac:dyDescent="0.3">
      <c r="A251" s="683"/>
      <c r="B251" s="691"/>
      <c r="C251" s="692" t="s">
        <v>137</v>
      </c>
      <c r="D251" s="1128"/>
      <c r="E251" s="1164"/>
      <c r="F251" s="1165"/>
      <c r="G251" s="1165"/>
      <c r="H251" s="1165"/>
      <c r="I251" s="1165"/>
      <c r="J251" s="1165"/>
      <c r="K251" s="1165"/>
      <c r="L251" s="1165"/>
      <c r="M251" s="1165"/>
      <c r="N251" s="605" t="s">
        <v>128</v>
      </c>
      <c r="O251" s="693" t="s">
        <v>128</v>
      </c>
      <c r="P251" s="507" t="s">
        <v>128</v>
      </c>
      <c r="Q251" s="694" t="s">
        <v>128</v>
      </c>
      <c r="R251" s="695" t="s">
        <v>17</v>
      </c>
      <c r="S251" s="695" t="s">
        <v>17</v>
      </c>
      <c r="T251" s="696" t="s">
        <v>17</v>
      </c>
      <c r="U251" s="605" t="s">
        <v>128</v>
      </c>
      <c r="V251" s="693" t="s">
        <v>128</v>
      </c>
      <c r="W251" s="693" t="s">
        <v>17</v>
      </c>
      <c r="X251" s="697" t="s">
        <v>17</v>
      </c>
      <c r="Y251" s="605" t="s">
        <v>128</v>
      </c>
      <c r="Z251" s="693" t="s">
        <v>185</v>
      </c>
      <c r="AA251" s="693" t="s">
        <v>17</v>
      </c>
      <c r="AB251" s="693" t="s">
        <v>17</v>
      </c>
      <c r="AC251" s="507" t="s">
        <v>128</v>
      </c>
      <c r="AD251" s="698" t="s">
        <v>128</v>
      </c>
      <c r="AE251" s="693" t="s">
        <v>128</v>
      </c>
      <c r="AF251" s="693" t="s">
        <v>128</v>
      </c>
      <c r="AG251" s="693" t="s">
        <v>128</v>
      </c>
      <c r="AH251" s="699" t="s">
        <v>128</v>
      </c>
      <c r="AI251" s="693" t="s">
        <v>128</v>
      </c>
      <c r="AJ251" s="698" t="s">
        <v>128</v>
      </c>
      <c r="AK251" s="507" t="s">
        <v>128</v>
      </c>
      <c r="AL251" s="605" t="s">
        <v>17</v>
      </c>
      <c r="AM251" s="700" t="s">
        <v>17</v>
      </c>
      <c r="AN251" s="700" t="s">
        <v>17</v>
      </c>
      <c r="AO251" s="700" t="s">
        <v>17</v>
      </c>
      <c r="AP251" s="693" t="s">
        <v>17</v>
      </c>
      <c r="AQ251" s="700" t="s">
        <v>17</v>
      </c>
      <c r="AR251" s="605" t="s">
        <v>128</v>
      </c>
      <c r="AS251" s="598"/>
      <c r="AT251" s="702"/>
      <c r="AU251" s="605" t="s">
        <v>128</v>
      </c>
      <c r="AV251" s="127" t="s">
        <v>17</v>
      </c>
      <c r="AW251" s="605" t="s">
        <v>17</v>
      </c>
      <c r="AX251" s="67" t="s">
        <v>17</v>
      </c>
      <c r="AY251" s="693" t="s">
        <v>17</v>
      </c>
      <c r="AZ251" s="127" t="s">
        <v>17</v>
      </c>
      <c r="BA251" s="452" t="s">
        <v>17</v>
      </c>
      <c r="BB251" s="127" t="s">
        <v>17</v>
      </c>
      <c r="BC251" s="733" t="s">
        <v>128</v>
      </c>
      <c r="BD251" s="598"/>
      <c r="BE251" s="702"/>
      <c r="BF251" s="868" t="s">
        <v>17</v>
      </c>
      <c r="BG251" s="605" t="s">
        <v>17</v>
      </c>
      <c r="BH251" s="127" t="s">
        <v>17</v>
      </c>
      <c r="BI251" s="701" t="s">
        <v>17</v>
      </c>
      <c r="BJ251" s="733" t="s">
        <v>128</v>
      </c>
      <c r="BK251" s="598"/>
      <c r="BL251" s="925"/>
      <c r="BM251" s="868" t="s">
        <v>17</v>
      </c>
      <c r="BN251" s="733" t="s">
        <v>128</v>
      </c>
      <c r="BO251" s="902"/>
      <c r="BP251" s="126"/>
      <c r="BQ251" s="925"/>
      <c r="BR251" s="497" t="s">
        <v>128</v>
      </c>
      <c r="BS251" s="602"/>
      <c r="BT251" s="703"/>
    </row>
    <row r="252" spans="1:72" ht="13.5" hidden="1" customHeight="1" thickBot="1" x14ac:dyDescent="0.35">
      <c r="A252" s="683"/>
      <c r="B252" s="59"/>
      <c r="C252" s="60" t="s">
        <v>619</v>
      </c>
      <c r="D252" s="1129"/>
      <c r="E252" s="1167"/>
      <c r="F252" s="1168"/>
      <c r="G252" s="1168"/>
      <c r="H252" s="1168"/>
      <c r="I252" s="1168"/>
      <c r="J252" s="1168"/>
      <c r="K252" s="1168"/>
      <c r="L252" s="1168"/>
      <c r="M252" s="1168"/>
      <c r="N252" s="124"/>
      <c r="O252" s="54"/>
      <c r="P252" s="125"/>
      <c r="Q252" s="124"/>
      <c r="R252" s="704"/>
      <c r="S252" s="704"/>
      <c r="T252" s="705"/>
      <c r="U252" s="124"/>
      <c r="V252" s="54"/>
      <c r="W252" s="54"/>
      <c r="X252" s="706"/>
      <c r="Y252" s="124"/>
      <c r="Z252" s="707"/>
      <c r="AA252" s="54"/>
      <c r="AB252" s="54"/>
      <c r="AC252" s="125"/>
      <c r="AD252" s="708"/>
      <c r="AE252" s="54"/>
      <c r="AF252" s="707"/>
      <c r="AG252" s="54"/>
      <c r="AH252" s="709"/>
      <c r="AI252" s="54"/>
      <c r="AJ252" s="708"/>
      <c r="AK252" s="125"/>
      <c r="AL252" s="124"/>
      <c r="AM252" s="710"/>
      <c r="AN252" s="710"/>
      <c r="AO252" s="710"/>
      <c r="AP252" s="54"/>
      <c r="AQ252" s="710"/>
      <c r="AR252" s="124"/>
      <c r="AS252" s="819"/>
      <c r="AT252" s="483"/>
      <c r="AU252" s="124"/>
      <c r="AV252" s="125"/>
      <c r="AW252" s="124"/>
      <c r="AX252" s="54"/>
      <c r="AY252" s="54"/>
      <c r="AZ252" s="125"/>
      <c r="BA252" s="80"/>
      <c r="BB252" s="125"/>
      <c r="BC252" s="739" t="s">
        <v>17</v>
      </c>
      <c r="BD252" s="54"/>
      <c r="BE252" s="710"/>
      <c r="BF252" s="711"/>
      <c r="BG252" s="124"/>
      <c r="BH252" s="125"/>
      <c r="BI252" s="711" t="s">
        <v>17</v>
      </c>
      <c r="BJ252" s="739" t="s">
        <v>17</v>
      </c>
      <c r="BK252" s="54"/>
      <c r="BL252" s="125"/>
      <c r="BM252" s="711"/>
      <c r="BN252" s="739" t="s">
        <v>17</v>
      </c>
      <c r="BO252" s="185"/>
      <c r="BP252" s="256"/>
      <c r="BQ252" s="125"/>
      <c r="BR252" s="135"/>
      <c r="BS252" s="80"/>
      <c r="BT252" s="416"/>
    </row>
    <row r="253" spans="1:72" ht="13.5" customHeight="1" x14ac:dyDescent="0.3">
      <c r="D253" s="1"/>
      <c r="AY253" s="525"/>
      <c r="BK253" s="896"/>
      <c r="BO253" s="896"/>
      <c r="BP253" s="896"/>
    </row>
    <row r="254" spans="1:72" ht="13.5" customHeight="1" x14ac:dyDescent="0.3">
      <c r="AY254" s="525" t="s">
        <v>653</v>
      </c>
      <c r="BK254" s="896"/>
      <c r="BO254" s="896"/>
      <c r="BP254" s="896"/>
    </row>
    <row r="255" spans="1:72" ht="13.5" customHeight="1" x14ac:dyDescent="0.3">
      <c r="AY255" s="525" t="s">
        <v>654</v>
      </c>
      <c r="BK255" s="896"/>
      <c r="BO255" s="896"/>
      <c r="BP255" s="896"/>
    </row>
    <row r="256" spans="1:72" ht="13.5" customHeight="1" x14ac:dyDescent="0.3">
      <c r="AY256" s="525" t="s">
        <v>655</v>
      </c>
      <c r="BK256" s="896"/>
      <c r="BO256" s="896"/>
      <c r="BP256" s="896"/>
    </row>
    <row r="257" spans="26:69" ht="13.5" customHeight="1" x14ac:dyDescent="0.3">
      <c r="BK257" s="896"/>
      <c r="BO257" s="896"/>
      <c r="BP257" s="896"/>
    </row>
    <row r="258" spans="26:69" ht="13.5" customHeight="1" x14ac:dyDescent="0.3">
      <c r="BK258" s="896"/>
      <c r="BO258" s="896"/>
      <c r="BP258" s="896"/>
    </row>
    <row r="259" spans="26:69" ht="13.5" customHeight="1" x14ac:dyDescent="0.3">
      <c r="BK259" s="896"/>
      <c r="BO259" s="896"/>
      <c r="BP259" s="896"/>
    </row>
    <row r="260" spans="26:69" ht="13.5" customHeight="1" x14ac:dyDescent="0.3">
      <c r="BK260" s="896"/>
      <c r="BO260" s="896"/>
      <c r="BP260" s="896"/>
    </row>
    <row r="261" spans="26:69" ht="13.5" customHeight="1" x14ac:dyDescent="0.3">
      <c r="BK261" s="896"/>
      <c r="BO261" s="896"/>
      <c r="BP261" s="896"/>
    </row>
    <row r="262" spans="26:69" ht="13.5" customHeight="1" x14ac:dyDescent="0.3">
      <c r="Z262" s="772"/>
      <c r="BC262" s="773"/>
      <c r="BE262" s="772"/>
      <c r="BJ262" s="773"/>
      <c r="BK262" s="896"/>
      <c r="BL262" s="772"/>
      <c r="BN262" s="773"/>
      <c r="BO262" s="896"/>
      <c r="BP262" s="897"/>
      <c r="BQ262" s="772"/>
    </row>
    <row r="263" spans="26:69" ht="13.5" customHeight="1" x14ac:dyDescent="0.3">
      <c r="BK263" s="896"/>
      <c r="BO263" s="896"/>
      <c r="BP263" s="896"/>
    </row>
    <row r="264" spans="26:69" ht="13.5" customHeight="1" x14ac:dyDescent="0.3">
      <c r="BK264" s="896"/>
      <c r="BO264" s="896"/>
      <c r="BP264" s="896"/>
    </row>
    <row r="265" spans="26:69" ht="13.5" customHeight="1" x14ac:dyDescent="0.3">
      <c r="BK265" s="896"/>
      <c r="BO265" s="896"/>
      <c r="BP265" s="896"/>
    </row>
    <row r="266" spans="26:69" ht="13.5" customHeight="1" x14ac:dyDescent="0.3">
      <c r="BK266" s="896"/>
      <c r="BO266" s="896"/>
      <c r="BP266" s="896"/>
    </row>
    <row r="267" spans="26:69" ht="13.5" customHeight="1" x14ac:dyDescent="0.3">
      <c r="BK267" s="896"/>
      <c r="BO267" s="896"/>
      <c r="BP267" s="896"/>
    </row>
    <row r="268" spans="26:69" ht="13.5" customHeight="1" x14ac:dyDescent="0.3">
      <c r="BK268" s="896"/>
      <c r="BO268" s="896"/>
      <c r="BP268" s="896"/>
    </row>
    <row r="269" spans="26:69" ht="13.5" customHeight="1" x14ac:dyDescent="0.3">
      <c r="BK269" s="896"/>
      <c r="BO269" s="896"/>
      <c r="BP269" s="896"/>
    </row>
    <row r="270" spans="26:69" ht="13.5" customHeight="1" x14ac:dyDescent="0.3">
      <c r="BK270" s="896"/>
      <c r="BO270" s="896"/>
      <c r="BP270" s="896"/>
    </row>
    <row r="271" spans="26:69" ht="13.5" customHeight="1" x14ac:dyDescent="0.3">
      <c r="BK271" s="896"/>
      <c r="BO271" s="896"/>
      <c r="BP271" s="896"/>
    </row>
    <row r="272" spans="26:69" ht="13.5" customHeight="1" x14ac:dyDescent="0.3">
      <c r="BK272" s="896"/>
      <c r="BO272" s="896"/>
      <c r="BP272" s="896"/>
    </row>
    <row r="273" spans="63:68" ht="13.5" customHeight="1" x14ac:dyDescent="0.3">
      <c r="BK273" s="896"/>
      <c r="BO273" s="896"/>
      <c r="BP273" s="896"/>
    </row>
    <row r="274" spans="63:68" ht="13.5" customHeight="1" x14ac:dyDescent="0.3">
      <c r="BK274" s="896"/>
      <c r="BO274" s="896"/>
      <c r="BP274" s="896"/>
    </row>
    <row r="275" spans="63:68" ht="13.5" customHeight="1" x14ac:dyDescent="0.3">
      <c r="BK275" s="896"/>
      <c r="BO275" s="896"/>
      <c r="BP275" s="896"/>
    </row>
    <row r="276" spans="63:68" ht="13.5" customHeight="1" x14ac:dyDescent="0.3">
      <c r="BK276" s="896"/>
      <c r="BO276" s="896"/>
      <c r="BP276" s="896"/>
    </row>
    <row r="277" spans="63:68" ht="13.5" customHeight="1" x14ac:dyDescent="0.3">
      <c r="BK277" s="896"/>
      <c r="BO277" s="896"/>
      <c r="BP277" s="896"/>
    </row>
    <row r="278" spans="63:68" ht="13.5" customHeight="1" x14ac:dyDescent="0.3">
      <c r="BK278" s="896"/>
      <c r="BO278" s="896"/>
      <c r="BP278" s="896"/>
    </row>
  </sheetData>
  <autoFilter ref="A4:MW252" xr:uid="{727A7A8D-D790-4CB2-B871-61966BAEA3AD}">
    <filterColumn colId="2">
      <filters>
        <filter val="Reset Filter (RSTFILTER_EN)"/>
      </filters>
    </filterColumn>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BT3:BT4"/>
    <mergeCell ref="BN3:BO3"/>
    <mergeCell ref="BP3:BQ3"/>
    <mergeCell ref="BA3:BB3"/>
    <mergeCell ref="BG3:BH3"/>
    <mergeCell ref="BR3:BS3"/>
    <mergeCell ref="B3:B4"/>
    <mergeCell ref="U3:W3"/>
    <mergeCell ref="Q3:R3"/>
    <mergeCell ref="S3:T3"/>
    <mergeCell ref="N3:P3"/>
    <mergeCell ref="E3:L3"/>
    <mergeCell ref="E71:M75"/>
    <mergeCell ref="E131:M221"/>
    <mergeCell ref="E222:M252"/>
    <mergeCell ref="N5:AQ29"/>
    <mergeCell ref="N30:AI31"/>
    <mergeCell ref="AK30:AK31"/>
    <mergeCell ref="AL30:AM31"/>
    <mergeCell ref="AN30:AQ31"/>
    <mergeCell ref="AL32:AM33"/>
    <mergeCell ref="AK32:AK33"/>
    <mergeCell ref="AN32:AQ33"/>
    <mergeCell ref="N32:AJ33"/>
    <mergeCell ref="E5:M33"/>
    <mergeCell ref="E34:M55"/>
    <mergeCell ref="E63:M69"/>
  </mergeCells>
  <conditionalFormatting sqref="C208:C212">
    <cfRule type="containsText" dxfId="1714" priority="1" operator="containsText" text="Yes">
      <formula>NOT(ISERROR(SEARCH("Yes",C208)))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56" customWidth="1"/>
    <col min="6" max="36" width="13.26953125" customWidth="1"/>
    <col min="37" max="39" width="12.54296875" customWidth="1"/>
    <col min="40" max="40" width="13.26953125" customWidth="1"/>
    <col min="41" max="43" width="12.54296875" customWidth="1"/>
    <col min="44" max="44" width="13.26953125" customWidth="1"/>
    <col min="45" max="105" width="12.54296875" customWidth="1"/>
  </cols>
  <sheetData>
    <row r="1" spans="2:105" ht="18.5" x14ac:dyDescent="0.45">
      <c r="B1" s="555" t="s">
        <v>722</v>
      </c>
    </row>
    <row r="2" spans="2:105" ht="19" thickBot="1" x14ac:dyDescent="0.5">
      <c r="B2" s="555"/>
    </row>
    <row r="3" spans="2:105" ht="45.5" thickBot="1" x14ac:dyDescent="0.4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1358</v>
      </c>
      <c r="X3" s="562" t="s">
        <v>448</v>
      </c>
      <c r="Y3" s="562" t="s">
        <v>479</v>
      </c>
      <c r="Z3" s="562" t="s">
        <v>1095</v>
      </c>
      <c r="AA3" s="562" t="s">
        <v>1094</v>
      </c>
      <c r="AB3" s="562" t="s">
        <v>1097</v>
      </c>
      <c r="AC3" s="562" t="s">
        <v>1118</v>
      </c>
      <c r="AD3" s="562" t="s">
        <v>1098</v>
      </c>
      <c r="AE3" s="562" t="s">
        <v>1110</v>
      </c>
      <c r="AF3" s="562" t="s">
        <v>1111</v>
      </c>
      <c r="AG3" s="562" t="s">
        <v>1112</v>
      </c>
      <c r="AH3" s="561" t="s">
        <v>1296</v>
      </c>
      <c r="AI3" s="561" t="s">
        <v>1297</v>
      </c>
      <c r="AJ3" s="561" t="s">
        <v>1298</v>
      </c>
      <c r="AK3" s="562" t="s">
        <v>1415</v>
      </c>
      <c r="AL3" s="561" t="s">
        <v>1416</v>
      </c>
      <c r="AM3" s="561" t="s">
        <v>1417</v>
      </c>
      <c r="AN3" s="561" t="s">
        <v>1418</v>
      </c>
      <c r="AO3" s="561" t="s">
        <v>1422</v>
      </c>
      <c r="AP3" s="561" t="s">
        <v>1423</v>
      </c>
      <c r="AQ3" s="561" t="s">
        <v>1424</v>
      </c>
      <c r="AR3" s="561" t="s">
        <v>1425</v>
      </c>
      <c r="AS3" s="562"/>
      <c r="AT3" s="562"/>
      <c r="AU3" s="562"/>
      <c r="AV3" s="562"/>
      <c r="AW3" s="562"/>
      <c r="AX3" s="562"/>
      <c r="AY3" s="562"/>
      <c r="AZ3" s="562"/>
      <c r="BA3" s="563"/>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row>
    <row r="4" spans="2:105" ht="81" customHeight="1" thickBot="1" x14ac:dyDescent="0.4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48</v>
      </c>
      <c r="AX4" s="568">
        <v>49</v>
      </c>
      <c r="AY4" s="568">
        <v>50</v>
      </c>
      <c r="AZ4" s="568">
        <v>51</v>
      </c>
      <c r="BA4" s="568">
        <v>52</v>
      </c>
      <c r="BB4" s="568">
        <v>53</v>
      </c>
      <c r="BC4" s="568">
        <v>54</v>
      </c>
      <c r="BD4" s="568">
        <v>54</v>
      </c>
      <c r="BE4" s="568">
        <v>55</v>
      </c>
      <c r="BF4" s="568">
        <v>56</v>
      </c>
      <c r="BG4" s="568">
        <v>57</v>
      </c>
      <c r="BH4" s="568">
        <v>58</v>
      </c>
      <c r="BI4" s="568">
        <v>59</v>
      </c>
      <c r="BJ4" s="568">
        <v>60</v>
      </c>
      <c r="BK4" s="568">
        <v>61</v>
      </c>
      <c r="BL4" s="568">
        <v>62</v>
      </c>
      <c r="BM4" s="568">
        <v>63</v>
      </c>
      <c r="BN4" s="568">
        <v>64</v>
      </c>
      <c r="BO4" s="568">
        <v>65</v>
      </c>
      <c r="BP4" s="568">
        <v>66</v>
      </c>
      <c r="BQ4" s="568">
        <v>67</v>
      </c>
      <c r="BR4" s="568">
        <v>68</v>
      </c>
      <c r="BS4" s="568">
        <v>69</v>
      </c>
      <c r="BT4" s="568">
        <v>70</v>
      </c>
      <c r="BU4" s="568">
        <v>71</v>
      </c>
      <c r="BV4" s="568">
        <v>72</v>
      </c>
      <c r="BW4" s="568">
        <v>73</v>
      </c>
      <c r="BX4" s="568">
        <v>74</v>
      </c>
      <c r="BY4" s="568">
        <v>75</v>
      </c>
      <c r="BZ4" s="568">
        <v>76</v>
      </c>
      <c r="CA4" s="568">
        <v>77</v>
      </c>
      <c r="CB4" s="568">
        <v>78</v>
      </c>
      <c r="CC4" s="568">
        <v>79</v>
      </c>
      <c r="CD4" s="568">
        <v>80</v>
      </c>
      <c r="CE4" s="568">
        <v>81</v>
      </c>
      <c r="CF4" s="568">
        <v>82</v>
      </c>
      <c r="CG4" s="568">
        <v>83</v>
      </c>
      <c r="CH4" s="568">
        <v>84</v>
      </c>
      <c r="CI4" s="568">
        <v>85</v>
      </c>
      <c r="CJ4" s="568">
        <v>86</v>
      </c>
      <c r="CK4" s="568">
        <v>87</v>
      </c>
      <c r="CL4" s="568">
        <v>88</v>
      </c>
      <c r="CM4" s="568">
        <v>89</v>
      </c>
      <c r="CN4" s="568">
        <v>90</v>
      </c>
      <c r="CO4" s="568">
        <v>91</v>
      </c>
      <c r="CP4" s="568">
        <v>92</v>
      </c>
      <c r="CQ4" s="568">
        <v>93</v>
      </c>
      <c r="CR4" s="568">
        <v>94</v>
      </c>
      <c r="CS4" s="568">
        <v>95</v>
      </c>
      <c r="CT4" s="568">
        <v>96</v>
      </c>
      <c r="CU4" s="568">
        <v>97</v>
      </c>
      <c r="CV4" s="568">
        <v>98</v>
      </c>
      <c r="CW4" s="568">
        <v>99</v>
      </c>
      <c r="CX4" s="568">
        <v>100</v>
      </c>
      <c r="CY4" s="568">
        <v>101</v>
      </c>
      <c r="CZ4" s="568">
        <v>102</v>
      </c>
      <c r="DA4" s="568">
        <v>103</v>
      </c>
    </row>
    <row r="5" spans="2:105" ht="15" customHeight="1" thickBot="1" x14ac:dyDescent="0.4">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5"/>
      <c r="AM5" s="675"/>
      <c r="AN5" s="674">
        <v>11</v>
      </c>
      <c r="AO5" s="675"/>
      <c r="AP5" s="675"/>
      <c r="AQ5" s="675"/>
      <c r="AR5" s="674">
        <v>11</v>
      </c>
      <c r="AS5" s="675"/>
      <c r="AT5" s="675"/>
      <c r="AU5" s="675"/>
      <c r="AV5" s="675"/>
      <c r="AW5" s="675"/>
      <c r="AX5" s="675"/>
      <c r="AY5" s="675"/>
      <c r="AZ5" s="675"/>
      <c r="BA5" s="676"/>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row>
    <row r="6" spans="2:105" ht="15" customHeight="1" thickBot="1" x14ac:dyDescent="0.4">
      <c r="B6" s="569" t="s">
        <v>735</v>
      </c>
      <c r="C6" s="1210"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8"/>
      <c r="AM6" s="628"/>
      <c r="AN6" s="626" t="s">
        <v>738</v>
      </c>
      <c r="AO6" s="628"/>
      <c r="AP6" s="628"/>
      <c r="AQ6" s="628"/>
      <c r="AR6" s="626" t="s">
        <v>738</v>
      </c>
      <c r="AS6" s="628"/>
      <c r="AT6" s="628"/>
      <c r="AU6" s="628"/>
      <c r="AV6" s="628"/>
      <c r="AW6" s="628"/>
      <c r="AX6" s="628"/>
      <c r="AY6" s="628"/>
      <c r="AZ6" s="628"/>
      <c r="BA6" s="629"/>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row>
    <row r="7" spans="2:105" x14ac:dyDescent="0.35">
      <c r="B7" s="1213" t="s">
        <v>739</v>
      </c>
      <c r="C7" s="1211"/>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3"/>
      <c r="AM7" s="633"/>
      <c r="AN7" s="631" t="s">
        <v>738</v>
      </c>
      <c r="AO7" s="633"/>
      <c r="AP7" s="633"/>
      <c r="AQ7" s="633"/>
      <c r="AR7" s="631" t="s">
        <v>738</v>
      </c>
      <c r="AS7" s="633"/>
      <c r="AT7" s="633"/>
      <c r="AU7" s="633"/>
      <c r="AV7" s="633"/>
      <c r="AW7" s="633"/>
      <c r="AX7" s="633"/>
      <c r="AY7" s="633"/>
      <c r="AZ7" s="633"/>
      <c r="BA7" s="634"/>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row>
    <row r="8" spans="2:105" x14ac:dyDescent="0.35">
      <c r="B8" s="1214"/>
      <c r="C8" s="1211"/>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8"/>
      <c r="AM8" s="638"/>
      <c r="AN8" s="636" t="s">
        <v>738</v>
      </c>
      <c r="AO8" s="638"/>
      <c r="AP8" s="638"/>
      <c r="AQ8" s="638"/>
      <c r="AR8" s="636" t="s">
        <v>738</v>
      </c>
      <c r="AS8" s="638"/>
      <c r="AT8" s="638"/>
      <c r="AU8" s="638"/>
      <c r="AV8" s="638"/>
      <c r="AW8" s="638"/>
      <c r="AX8" s="638"/>
      <c r="AY8" s="638"/>
      <c r="AZ8" s="638"/>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row>
    <row r="9" spans="2:105" x14ac:dyDescent="0.35">
      <c r="B9" s="1214"/>
      <c r="C9" s="1211"/>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8"/>
      <c r="AM9" s="638"/>
      <c r="AN9" s="636" t="s">
        <v>743</v>
      </c>
      <c r="AO9" s="638"/>
      <c r="AP9" s="638"/>
      <c r="AQ9" s="638"/>
      <c r="AR9" s="636" t="s">
        <v>743</v>
      </c>
      <c r="AS9" s="638"/>
      <c r="AT9" s="638"/>
      <c r="AU9" s="638"/>
      <c r="AV9" s="638"/>
      <c r="AW9" s="638"/>
      <c r="AX9" s="638"/>
      <c r="AY9" s="638"/>
      <c r="AZ9" s="638"/>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row>
    <row r="10" spans="2:105" x14ac:dyDescent="0.35">
      <c r="B10" s="1214"/>
      <c r="C10" s="1211"/>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8"/>
      <c r="AM10" s="638"/>
      <c r="AN10" s="636" t="s">
        <v>738</v>
      </c>
      <c r="AO10" s="638"/>
      <c r="AP10" s="638"/>
      <c r="AQ10" s="638"/>
      <c r="AR10" s="636" t="s">
        <v>738</v>
      </c>
      <c r="AS10" s="638"/>
      <c r="AT10" s="638"/>
      <c r="AU10" s="638"/>
      <c r="AV10" s="638"/>
      <c r="AW10" s="638"/>
      <c r="AX10" s="638"/>
      <c r="AY10" s="638"/>
      <c r="AZ10" s="638"/>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row>
    <row r="11" spans="2:105" x14ac:dyDescent="0.35">
      <c r="B11" s="1214"/>
      <c r="C11" s="1211"/>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8"/>
      <c r="AM11" s="638"/>
      <c r="AN11" s="636" t="s">
        <v>743</v>
      </c>
      <c r="AO11" s="638"/>
      <c r="AP11" s="638"/>
      <c r="AQ11" s="638"/>
      <c r="AR11" s="636" t="s">
        <v>743</v>
      </c>
      <c r="AS11" s="638"/>
      <c r="AT11" s="638"/>
      <c r="AU11" s="638"/>
      <c r="AV11" s="638"/>
      <c r="AW11" s="638"/>
      <c r="AX11" s="638"/>
      <c r="AY11" s="638"/>
      <c r="AZ11" s="638"/>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row>
    <row r="12" spans="2:105" x14ac:dyDescent="0.35">
      <c r="B12" s="1214"/>
      <c r="C12" s="1211"/>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8"/>
      <c r="AM12" s="638"/>
      <c r="AN12" s="636" t="s">
        <v>743</v>
      </c>
      <c r="AO12" s="638"/>
      <c r="AP12" s="638"/>
      <c r="AQ12" s="638"/>
      <c r="AR12" s="636" t="s">
        <v>743</v>
      </c>
      <c r="AS12" s="638"/>
      <c r="AT12" s="638"/>
      <c r="AU12" s="638"/>
      <c r="AV12" s="638"/>
      <c r="AW12" s="638"/>
      <c r="AX12" s="638"/>
      <c r="AY12" s="638"/>
      <c r="AZ12" s="638"/>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row>
    <row r="13" spans="2:105" x14ac:dyDescent="0.35">
      <c r="B13" s="1214"/>
      <c r="C13" s="1211"/>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8"/>
      <c r="AM13" s="638"/>
      <c r="AN13" s="636" t="s">
        <v>738</v>
      </c>
      <c r="AO13" s="638"/>
      <c r="AP13" s="638"/>
      <c r="AQ13" s="638"/>
      <c r="AR13" s="636" t="s">
        <v>738</v>
      </c>
      <c r="AS13" s="638"/>
      <c r="AT13" s="638"/>
      <c r="AU13" s="638"/>
      <c r="AV13" s="638"/>
      <c r="AW13" s="638"/>
      <c r="AX13" s="638"/>
      <c r="AY13" s="638"/>
      <c r="AZ13" s="638"/>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row>
    <row r="14" spans="2:105" x14ac:dyDescent="0.35">
      <c r="B14" s="1214"/>
      <c r="C14" s="1211"/>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8"/>
      <c r="AM14" s="638"/>
      <c r="AN14" s="636" t="s">
        <v>743</v>
      </c>
      <c r="AO14" s="638"/>
      <c r="AP14" s="638"/>
      <c r="AQ14" s="638"/>
      <c r="AR14" s="636" t="s">
        <v>743</v>
      </c>
      <c r="AS14" s="638"/>
      <c r="AT14" s="638"/>
      <c r="AU14" s="638"/>
      <c r="AV14" s="638"/>
      <c r="AW14" s="638"/>
      <c r="AX14" s="638"/>
      <c r="AY14" s="638"/>
      <c r="AZ14" s="638"/>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row>
    <row r="15" spans="2:105" x14ac:dyDescent="0.35">
      <c r="B15" s="1214"/>
      <c r="C15" s="1211"/>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8"/>
      <c r="AM15" s="638"/>
      <c r="AN15" s="636" t="s">
        <v>743</v>
      </c>
      <c r="AO15" s="638"/>
      <c r="AP15" s="638"/>
      <c r="AQ15" s="638"/>
      <c r="AR15" s="636" t="s">
        <v>743</v>
      </c>
      <c r="AS15" s="638"/>
      <c r="AT15" s="638"/>
      <c r="AU15" s="638"/>
      <c r="AV15" s="638"/>
      <c r="AW15" s="638"/>
      <c r="AX15" s="638"/>
      <c r="AY15" s="638"/>
      <c r="AZ15" s="638"/>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row>
    <row r="16" spans="2:105" x14ac:dyDescent="0.35">
      <c r="B16" s="1214"/>
      <c r="C16" s="1211"/>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8"/>
      <c r="AM16" s="638"/>
      <c r="AN16" s="636" t="s">
        <v>738</v>
      </c>
      <c r="AO16" s="638"/>
      <c r="AP16" s="638"/>
      <c r="AQ16" s="638"/>
      <c r="AR16" s="636" t="s">
        <v>738</v>
      </c>
      <c r="AS16" s="638"/>
      <c r="AT16" s="638"/>
      <c r="AU16" s="638"/>
      <c r="AV16" s="638"/>
      <c r="AW16" s="638"/>
      <c r="AX16" s="638"/>
      <c r="AY16" s="638"/>
      <c r="AZ16" s="638"/>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row>
    <row r="17" spans="2:105" x14ac:dyDescent="0.35">
      <c r="B17" s="1214"/>
      <c r="C17" s="1211"/>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8"/>
      <c r="AM17" s="638"/>
      <c r="AN17" s="636" t="s">
        <v>743</v>
      </c>
      <c r="AO17" s="638"/>
      <c r="AP17" s="638"/>
      <c r="AQ17" s="638"/>
      <c r="AR17" s="636" t="s">
        <v>743</v>
      </c>
      <c r="AS17" s="638"/>
      <c r="AT17" s="638"/>
      <c r="AU17" s="638"/>
      <c r="AV17" s="638"/>
      <c r="AW17" s="638"/>
      <c r="AX17" s="638"/>
      <c r="AY17" s="638"/>
      <c r="AZ17" s="638"/>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row>
    <row r="18" spans="2:105" x14ac:dyDescent="0.35">
      <c r="B18" s="1214"/>
      <c r="C18" s="1211"/>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8"/>
      <c r="AM18" s="638"/>
      <c r="AN18" s="636" t="s">
        <v>743</v>
      </c>
      <c r="AO18" s="638"/>
      <c r="AP18" s="638"/>
      <c r="AQ18" s="638"/>
      <c r="AR18" s="636" t="s">
        <v>743</v>
      </c>
      <c r="AS18" s="638"/>
      <c r="AT18" s="638"/>
      <c r="AU18" s="638"/>
      <c r="AV18" s="638"/>
      <c r="AW18" s="638"/>
      <c r="AX18" s="638"/>
      <c r="AY18" s="638"/>
      <c r="AZ18" s="638"/>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row>
    <row r="19" spans="2:105" x14ac:dyDescent="0.35">
      <c r="B19" s="1214"/>
      <c r="C19" s="1211"/>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8"/>
      <c r="AM19" s="638"/>
      <c r="AN19" s="636" t="s">
        <v>743</v>
      </c>
      <c r="AO19" s="638"/>
      <c r="AP19" s="638"/>
      <c r="AQ19" s="638"/>
      <c r="AR19" s="636" t="s">
        <v>743</v>
      </c>
      <c r="AS19" s="638"/>
      <c r="AT19" s="638"/>
      <c r="AU19" s="638"/>
      <c r="AV19" s="638"/>
      <c r="AW19" s="638"/>
      <c r="AX19" s="638"/>
      <c r="AY19" s="638"/>
      <c r="AZ19" s="638"/>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row>
    <row r="20" spans="2:105" x14ac:dyDescent="0.35">
      <c r="B20" s="1214"/>
      <c r="C20" s="1211"/>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8"/>
      <c r="AM20" s="638"/>
      <c r="AN20" s="636" t="s">
        <v>743</v>
      </c>
      <c r="AO20" s="638"/>
      <c r="AP20" s="638"/>
      <c r="AQ20" s="638"/>
      <c r="AR20" s="636" t="s">
        <v>743</v>
      </c>
      <c r="AS20" s="638"/>
      <c r="AT20" s="638"/>
      <c r="AU20" s="638"/>
      <c r="AV20" s="638"/>
      <c r="AW20" s="638"/>
      <c r="AX20" s="638"/>
      <c r="AY20" s="638"/>
      <c r="AZ20" s="638"/>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row>
    <row r="21" spans="2:105" x14ac:dyDescent="0.35">
      <c r="B21" s="1214"/>
      <c r="C21" s="1211"/>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8"/>
      <c r="AM21" s="638"/>
      <c r="AN21" s="636" t="s">
        <v>743</v>
      </c>
      <c r="AO21" s="638"/>
      <c r="AP21" s="638"/>
      <c r="AQ21" s="638"/>
      <c r="AR21" s="636" t="s">
        <v>743</v>
      </c>
      <c r="AS21" s="638"/>
      <c r="AT21" s="638"/>
      <c r="AU21" s="638"/>
      <c r="AV21" s="638"/>
      <c r="AW21" s="638"/>
      <c r="AX21" s="638"/>
      <c r="AY21" s="638"/>
      <c r="AZ21" s="638"/>
      <c r="BA21" s="639"/>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row>
    <row r="22" spans="2:105" ht="15" thickBot="1" x14ac:dyDescent="0.4">
      <c r="B22" s="1215"/>
      <c r="C22" s="1212"/>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3"/>
      <c r="AM22" s="643"/>
      <c r="AN22" s="641" t="s">
        <v>738</v>
      </c>
      <c r="AO22" s="643"/>
      <c r="AP22" s="643"/>
      <c r="AQ22" s="643"/>
      <c r="AR22" s="641" t="s">
        <v>738</v>
      </c>
      <c r="AS22" s="643"/>
      <c r="AT22" s="643"/>
      <c r="AU22" s="643"/>
      <c r="AV22" s="643"/>
      <c r="AW22" s="643"/>
      <c r="AX22" s="643"/>
      <c r="AY22" s="643"/>
      <c r="AZ22" s="643"/>
      <c r="BA22" s="644"/>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row>
    <row r="23" spans="2:105" ht="15" thickBot="1" x14ac:dyDescent="0.4">
      <c r="B23" s="569" t="s">
        <v>757</v>
      </c>
      <c r="C23" s="1210"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8"/>
      <c r="AM23" s="648"/>
      <c r="AN23" s="646" t="s">
        <v>743</v>
      </c>
      <c r="AO23" s="648"/>
      <c r="AP23" s="648"/>
      <c r="AQ23" s="648"/>
      <c r="AR23" s="646" t="s">
        <v>743</v>
      </c>
      <c r="AS23" s="648"/>
      <c r="AT23" s="648"/>
      <c r="AU23" s="648"/>
      <c r="AV23" s="648"/>
      <c r="AW23" s="648"/>
      <c r="AX23" s="648"/>
      <c r="AY23" s="648"/>
      <c r="AZ23" s="648"/>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row>
    <row r="24" spans="2:105" x14ac:dyDescent="0.35">
      <c r="B24" s="1213" t="s">
        <v>760</v>
      </c>
      <c r="C24" s="1211"/>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3"/>
      <c r="AM24" s="653"/>
      <c r="AN24" s="651" t="s">
        <v>743</v>
      </c>
      <c r="AO24" s="653"/>
      <c r="AP24" s="653"/>
      <c r="AQ24" s="653"/>
      <c r="AR24" s="651" t="s">
        <v>743</v>
      </c>
      <c r="AS24" s="653"/>
      <c r="AT24" s="653"/>
      <c r="AU24" s="653"/>
      <c r="AV24" s="653"/>
      <c r="AW24" s="653"/>
      <c r="AX24" s="653"/>
      <c r="AY24" s="653"/>
      <c r="AZ24" s="653"/>
      <c r="BA24" s="654"/>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row>
    <row r="25" spans="2:105" x14ac:dyDescent="0.35">
      <c r="B25" s="1214"/>
      <c r="C25" s="1211"/>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38"/>
      <c r="AM25" s="638"/>
      <c r="AN25" s="656" t="s">
        <v>738</v>
      </c>
      <c r="AO25" s="638"/>
      <c r="AP25" s="638"/>
      <c r="AQ25" s="638"/>
      <c r="AR25" s="656" t="s">
        <v>738</v>
      </c>
      <c r="AS25" s="638"/>
      <c r="AT25" s="638"/>
      <c r="AU25" s="638"/>
      <c r="AV25" s="638"/>
      <c r="AW25" s="638"/>
      <c r="AX25" s="638"/>
      <c r="AY25" s="638"/>
      <c r="AZ25" s="638"/>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row>
    <row r="26" spans="2:105" x14ac:dyDescent="0.35">
      <c r="B26" s="1214"/>
      <c r="C26" s="1211"/>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38"/>
      <c r="AM26" s="638"/>
      <c r="AN26" s="656" t="s">
        <v>743</v>
      </c>
      <c r="AO26" s="638"/>
      <c r="AP26" s="638"/>
      <c r="AQ26" s="638"/>
      <c r="AR26" s="656" t="s">
        <v>743</v>
      </c>
      <c r="AS26" s="638"/>
      <c r="AT26" s="638"/>
      <c r="AU26" s="638"/>
      <c r="AV26" s="638"/>
      <c r="AW26" s="638"/>
      <c r="AX26" s="638"/>
      <c r="AY26" s="638"/>
      <c r="AZ26" s="638"/>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row>
    <row r="27" spans="2:105" x14ac:dyDescent="0.35">
      <c r="B27" s="1214"/>
      <c r="C27" s="1211"/>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38"/>
      <c r="AM27" s="638"/>
      <c r="AN27" s="656" t="s">
        <v>743</v>
      </c>
      <c r="AO27" s="638"/>
      <c r="AP27" s="638"/>
      <c r="AQ27" s="638"/>
      <c r="AR27" s="656" t="s">
        <v>743</v>
      </c>
      <c r="AS27" s="638"/>
      <c r="AT27" s="638"/>
      <c r="AU27" s="638"/>
      <c r="AV27" s="638"/>
      <c r="AW27" s="638"/>
      <c r="AX27" s="638"/>
      <c r="AY27" s="638"/>
      <c r="AZ27" s="638"/>
      <c r="BA27" s="639"/>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row>
    <row r="28" spans="2:105" x14ac:dyDescent="0.35">
      <c r="B28" s="1214"/>
      <c r="C28" s="1211"/>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38"/>
      <c r="AM28" s="638"/>
      <c r="AN28" s="656" t="s">
        <v>743</v>
      </c>
      <c r="AO28" s="638"/>
      <c r="AP28" s="638"/>
      <c r="AQ28" s="638"/>
      <c r="AR28" s="656" t="s">
        <v>743</v>
      </c>
      <c r="AS28" s="638"/>
      <c r="AT28" s="638"/>
      <c r="AU28" s="638"/>
      <c r="AV28" s="638"/>
      <c r="AW28" s="638"/>
      <c r="AX28" s="638"/>
      <c r="AY28" s="638"/>
      <c r="AZ28" s="638"/>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row>
    <row r="29" spans="2:105" x14ac:dyDescent="0.35">
      <c r="B29" s="1214"/>
      <c r="C29" s="1211"/>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38"/>
      <c r="AM29" s="638"/>
      <c r="AN29" s="656" t="s">
        <v>738</v>
      </c>
      <c r="AO29" s="638"/>
      <c r="AP29" s="638"/>
      <c r="AQ29" s="638"/>
      <c r="AR29" s="656" t="s">
        <v>738</v>
      </c>
      <c r="AS29" s="638"/>
      <c r="AT29" s="638"/>
      <c r="AU29" s="638"/>
      <c r="AV29" s="638"/>
      <c r="AW29" s="638"/>
      <c r="AX29" s="638"/>
      <c r="AY29" s="638"/>
      <c r="AZ29" s="638"/>
      <c r="BA29" s="639"/>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row>
    <row r="30" spans="2:105" x14ac:dyDescent="0.35">
      <c r="B30" s="1214"/>
      <c r="C30" s="1211"/>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38"/>
      <c r="AM30" s="638"/>
      <c r="AN30" s="657" t="s">
        <v>743</v>
      </c>
      <c r="AO30" s="638"/>
      <c r="AP30" s="638"/>
      <c r="AQ30" s="638"/>
      <c r="AR30" s="657" t="s">
        <v>743</v>
      </c>
      <c r="AS30" s="638"/>
      <c r="AT30" s="638"/>
      <c r="AU30" s="638"/>
      <c r="AV30" s="638"/>
      <c r="AW30" s="638"/>
      <c r="AX30" s="638"/>
      <c r="AY30" s="638"/>
      <c r="AZ30" s="638"/>
      <c r="BA30" s="639"/>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row>
    <row r="31" spans="2:105" x14ac:dyDescent="0.35">
      <c r="B31" s="1214"/>
      <c r="C31" s="1211"/>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38"/>
      <c r="AM31" s="638"/>
      <c r="AN31" s="656" t="s">
        <v>743</v>
      </c>
      <c r="AO31" s="638"/>
      <c r="AP31" s="638"/>
      <c r="AQ31" s="638"/>
      <c r="AR31" s="656" t="s">
        <v>743</v>
      </c>
      <c r="AS31" s="638"/>
      <c r="AT31" s="638"/>
      <c r="AU31" s="638"/>
      <c r="AV31" s="638"/>
      <c r="AW31" s="638"/>
      <c r="AX31" s="638"/>
      <c r="AY31" s="638"/>
      <c r="AZ31" s="638"/>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row>
    <row r="32" spans="2:105" x14ac:dyDescent="0.35">
      <c r="B32" s="1214"/>
      <c r="C32" s="1211"/>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38"/>
      <c r="AM32" s="638"/>
      <c r="AN32" s="656" t="s">
        <v>738</v>
      </c>
      <c r="AO32" s="638"/>
      <c r="AP32" s="638"/>
      <c r="AQ32" s="638"/>
      <c r="AR32" s="656" t="s">
        <v>738</v>
      </c>
      <c r="AS32" s="638"/>
      <c r="AT32" s="638"/>
      <c r="AU32" s="638"/>
      <c r="AV32" s="638"/>
      <c r="AW32" s="638"/>
      <c r="AX32" s="638"/>
      <c r="AY32" s="638"/>
      <c r="AZ32" s="638"/>
      <c r="BA32" s="639"/>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row>
    <row r="33" spans="2:105" x14ac:dyDescent="0.35">
      <c r="B33" s="1214"/>
      <c r="C33" s="1211"/>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38"/>
      <c r="AM33" s="638"/>
      <c r="AN33" s="658" t="s">
        <v>743</v>
      </c>
      <c r="AO33" s="638"/>
      <c r="AP33" s="638"/>
      <c r="AQ33" s="638"/>
      <c r="AR33" s="658" t="s">
        <v>743</v>
      </c>
      <c r="AS33" s="638"/>
      <c r="AT33" s="638"/>
      <c r="AU33" s="638"/>
      <c r="AV33" s="638"/>
      <c r="AW33" s="638"/>
      <c r="AX33" s="638"/>
      <c r="AY33" s="638"/>
      <c r="AZ33" s="638"/>
      <c r="BA33" s="639"/>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row>
    <row r="34" spans="2:105" x14ac:dyDescent="0.35">
      <c r="B34" s="1214"/>
      <c r="C34" s="1211"/>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38"/>
      <c r="AM34" s="638"/>
      <c r="AN34" s="656" t="s">
        <v>738</v>
      </c>
      <c r="AO34" s="638"/>
      <c r="AP34" s="638"/>
      <c r="AQ34" s="638"/>
      <c r="AR34" s="656" t="s">
        <v>738</v>
      </c>
      <c r="AS34" s="638"/>
      <c r="AT34" s="638"/>
      <c r="AU34" s="638"/>
      <c r="AV34" s="638"/>
      <c r="AW34" s="638"/>
      <c r="AX34" s="638"/>
      <c r="AY34" s="638"/>
      <c r="AZ34" s="638"/>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row>
    <row r="35" spans="2:105" x14ac:dyDescent="0.35">
      <c r="B35" s="1214"/>
      <c r="C35" s="1211"/>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38"/>
      <c r="AM35" s="638"/>
      <c r="AN35" s="656" t="s">
        <v>738</v>
      </c>
      <c r="AO35" s="638"/>
      <c r="AP35" s="638"/>
      <c r="AQ35" s="638"/>
      <c r="AR35" s="656" t="s">
        <v>738</v>
      </c>
      <c r="AS35" s="638"/>
      <c r="AT35" s="638"/>
      <c r="AU35" s="638"/>
      <c r="AV35" s="638"/>
      <c r="AW35" s="638"/>
      <c r="AX35" s="638"/>
      <c r="AY35" s="638"/>
      <c r="AZ35" s="638"/>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row>
    <row r="36" spans="2:105" x14ac:dyDescent="0.35">
      <c r="B36" s="1214"/>
      <c r="C36" s="1211"/>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38"/>
      <c r="AM36" s="638"/>
      <c r="AN36" s="656" t="s">
        <v>738</v>
      </c>
      <c r="AO36" s="638"/>
      <c r="AP36" s="638"/>
      <c r="AQ36" s="638"/>
      <c r="AR36" s="656" t="s">
        <v>738</v>
      </c>
      <c r="AS36" s="638"/>
      <c r="AT36" s="638"/>
      <c r="AU36" s="638"/>
      <c r="AV36" s="638"/>
      <c r="AW36" s="638"/>
      <c r="AX36" s="638"/>
      <c r="AY36" s="638"/>
      <c r="AZ36" s="638"/>
      <c r="BA36" s="639"/>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row>
    <row r="37" spans="2:105" x14ac:dyDescent="0.35">
      <c r="B37" s="1214"/>
      <c r="C37" s="1211"/>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38"/>
      <c r="AM37" s="638"/>
      <c r="AN37" s="656" t="s">
        <v>738</v>
      </c>
      <c r="AO37" s="638"/>
      <c r="AP37" s="638"/>
      <c r="AQ37" s="638"/>
      <c r="AR37" s="656" t="s">
        <v>738</v>
      </c>
      <c r="AS37" s="638"/>
      <c r="AT37" s="638"/>
      <c r="AU37" s="638"/>
      <c r="AV37" s="638"/>
      <c r="AW37" s="638"/>
      <c r="AX37" s="638"/>
      <c r="AY37" s="638"/>
      <c r="AZ37" s="638"/>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row>
    <row r="38" spans="2:105" x14ac:dyDescent="0.35">
      <c r="B38" s="1214"/>
      <c r="C38" s="1211"/>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38"/>
      <c r="AM38" s="638"/>
      <c r="AN38" s="656" t="s">
        <v>738</v>
      </c>
      <c r="AO38" s="638"/>
      <c r="AP38" s="638"/>
      <c r="AQ38" s="638"/>
      <c r="AR38" s="656" t="s">
        <v>738</v>
      </c>
      <c r="AS38" s="638"/>
      <c r="AT38" s="638"/>
      <c r="AU38" s="638"/>
      <c r="AV38" s="638"/>
      <c r="AW38" s="638"/>
      <c r="AX38" s="638"/>
      <c r="AY38" s="638"/>
      <c r="AZ38" s="638"/>
      <c r="BA38" s="639"/>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row>
    <row r="39" spans="2:105" ht="15" thickBot="1" x14ac:dyDescent="0.4">
      <c r="B39" s="1215"/>
      <c r="C39" s="1212"/>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43"/>
      <c r="AM39" s="643"/>
      <c r="AN39" s="660" t="s">
        <v>738</v>
      </c>
      <c r="AO39" s="643"/>
      <c r="AP39" s="643"/>
      <c r="AQ39" s="643"/>
      <c r="AR39" s="660" t="s">
        <v>738</v>
      </c>
      <c r="AS39" s="643"/>
      <c r="AT39" s="643"/>
      <c r="AU39" s="643"/>
      <c r="AV39" s="643"/>
      <c r="AW39" s="643"/>
      <c r="AX39" s="643"/>
      <c r="AY39" s="643"/>
      <c r="AZ39" s="643"/>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row>
    <row r="40" spans="2:105" ht="15" thickBot="1" x14ac:dyDescent="0.4">
      <c r="B40" s="569" t="s">
        <v>777</v>
      </c>
      <c r="C40" s="1210"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48"/>
      <c r="AM40" s="648"/>
      <c r="AN40" s="650" t="s">
        <v>743</v>
      </c>
      <c r="AO40" s="648"/>
      <c r="AP40" s="648"/>
      <c r="AQ40" s="648"/>
      <c r="AR40" s="650" t="s">
        <v>743</v>
      </c>
      <c r="AS40" s="648"/>
      <c r="AT40" s="648"/>
      <c r="AU40" s="648"/>
      <c r="AV40" s="648"/>
      <c r="AW40" s="648"/>
      <c r="AX40" s="648"/>
      <c r="AY40" s="648"/>
      <c r="AZ40" s="648"/>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row>
    <row r="41" spans="2:105" x14ac:dyDescent="0.35">
      <c r="B41" s="1213" t="s">
        <v>780</v>
      </c>
      <c r="C41" s="1211"/>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3"/>
      <c r="AM41" s="653"/>
      <c r="AN41" s="651" t="s">
        <v>743</v>
      </c>
      <c r="AO41" s="653"/>
      <c r="AP41" s="653"/>
      <c r="AQ41" s="653"/>
      <c r="AR41" s="651" t="s">
        <v>743</v>
      </c>
      <c r="AS41" s="653"/>
      <c r="AT41" s="653"/>
      <c r="AU41" s="653"/>
      <c r="AV41" s="653"/>
      <c r="AW41" s="653"/>
      <c r="AX41" s="653"/>
      <c r="AY41" s="653"/>
      <c r="AZ41" s="653"/>
      <c r="BA41" s="654"/>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row>
    <row r="42" spans="2:105" x14ac:dyDescent="0.35">
      <c r="B42" s="1214"/>
      <c r="C42" s="1211"/>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38"/>
      <c r="AM42" s="638"/>
      <c r="AN42" s="656" t="s">
        <v>738</v>
      </c>
      <c r="AO42" s="638"/>
      <c r="AP42" s="638"/>
      <c r="AQ42" s="638"/>
      <c r="AR42" s="656" t="s">
        <v>738</v>
      </c>
      <c r="AS42" s="638"/>
      <c r="AT42" s="638"/>
      <c r="AU42" s="638"/>
      <c r="AV42" s="638"/>
      <c r="AW42" s="638"/>
      <c r="AX42" s="638"/>
      <c r="AY42" s="638"/>
      <c r="AZ42" s="638"/>
      <c r="BA42" s="639"/>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row>
    <row r="43" spans="2:105" x14ac:dyDescent="0.35">
      <c r="B43" s="1214"/>
      <c r="C43" s="1211"/>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38"/>
      <c r="AM43" s="638"/>
      <c r="AN43" s="656" t="s">
        <v>738</v>
      </c>
      <c r="AO43" s="638"/>
      <c r="AP43" s="638"/>
      <c r="AQ43" s="638"/>
      <c r="AR43" s="656" t="s">
        <v>738</v>
      </c>
      <c r="AS43" s="638"/>
      <c r="AT43" s="638"/>
      <c r="AU43" s="638"/>
      <c r="AV43" s="638"/>
      <c r="AW43" s="638"/>
      <c r="AX43" s="638"/>
      <c r="AY43" s="638"/>
      <c r="AZ43" s="638"/>
      <c r="BA43" s="639"/>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row>
    <row r="44" spans="2:105" x14ac:dyDescent="0.35">
      <c r="B44" s="1214"/>
      <c r="C44" s="1211"/>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38"/>
      <c r="AM44" s="638"/>
      <c r="AN44" s="656" t="s">
        <v>738</v>
      </c>
      <c r="AO44" s="638"/>
      <c r="AP44" s="638"/>
      <c r="AQ44" s="638"/>
      <c r="AR44" s="656" t="s">
        <v>738</v>
      </c>
      <c r="AS44" s="638"/>
      <c r="AT44" s="638"/>
      <c r="AU44" s="638"/>
      <c r="AV44" s="638"/>
      <c r="AW44" s="638"/>
      <c r="AX44" s="638"/>
      <c r="AY44" s="638"/>
      <c r="AZ44" s="638"/>
      <c r="BA44" s="639"/>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row>
    <row r="45" spans="2:105" x14ac:dyDescent="0.35">
      <c r="B45" s="1214"/>
      <c r="C45" s="1211"/>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38"/>
      <c r="AM45" s="638"/>
      <c r="AN45" s="656" t="s">
        <v>738</v>
      </c>
      <c r="AO45" s="638"/>
      <c r="AP45" s="638"/>
      <c r="AQ45" s="638"/>
      <c r="AR45" s="656" t="s">
        <v>738</v>
      </c>
      <c r="AS45" s="638"/>
      <c r="AT45" s="638"/>
      <c r="AU45" s="638"/>
      <c r="AV45" s="638"/>
      <c r="AW45" s="638"/>
      <c r="AX45" s="638"/>
      <c r="AY45" s="638"/>
      <c r="AZ45" s="638"/>
      <c r="BA45" s="639"/>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row>
    <row r="46" spans="2:105" x14ac:dyDescent="0.35">
      <c r="B46" s="1214"/>
      <c r="C46" s="1211"/>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38"/>
      <c r="AM46" s="638"/>
      <c r="AN46" s="656" t="s">
        <v>738</v>
      </c>
      <c r="AO46" s="638"/>
      <c r="AP46" s="638"/>
      <c r="AQ46" s="638"/>
      <c r="AR46" s="656" t="s">
        <v>738</v>
      </c>
      <c r="AS46" s="638"/>
      <c r="AT46" s="638"/>
      <c r="AU46" s="638"/>
      <c r="AV46" s="638"/>
      <c r="AW46" s="638"/>
      <c r="AX46" s="638"/>
      <c r="AY46" s="638"/>
      <c r="AZ46" s="638"/>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row>
    <row r="47" spans="2:105" x14ac:dyDescent="0.35">
      <c r="B47" s="1214"/>
      <c r="C47" s="1211"/>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38"/>
      <c r="AM47" s="638"/>
      <c r="AN47" s="656" t="s">
        <v>738</v>
      </c>
      <c r="AO47" s="638"/>
      <c r="AP47" s="638"/>
      <c r="AQ47" s="638"/>
      <c r="AR47" s="656" t="s">
        <v>738</v>
      </c>
      <c r="AS47" s="638"/>
      <c r="AT47" s="638"/>
      <c r="AU47" s="638"/>
      <c r="AV47" s="638"/>
      <c r="AW47" s="638"/>
      <c r="AX47" s="638"/>
      <c r="AY47" s="638"/>
      <c r="AZ47" s="638"/>
      <c r="BA47" s="639"/>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row>
    <row r="48" spans="2:105" x14ac:dyDescent="0.35">
      <c r="B48" s="1214"/>
      <c r="C48" s="1211"/>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38"/>
      <c r="AM48" s="638"/>
      <c r="AN48" s="656" t="s">
        <v>738</v>
      </c>
      <c r="AO48" s="638"/>
      <c r="AP48" s="638"/>
      <c r="AQ48" s="638"/>
      <c r="AR48" s="656" t="s">
        <v>738</v>
      </c>
      <c r="AS48" s="638"/>
      <c r="AT48" s="638"/>
      <c r="AU48" s="638"/>
      <c r="AV48" s="638"/>
      <c r="AW48" s="638"/>
      <c r="AX48" s="638"/>
      <c r="AY48" s="638"/>
      <c r="AZ48" s="638"/>
      <c r="BA48" s="639"/>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row>
    <row r="49" spans="2:105" x14ac:dyDescent="0.35">
      <c r="B49" s="1214"/>
      <c r="C49" s="1211"/>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38"/>
      <c r="AM49" s="638"/>
      <c r="AN49" s="656" t="s">
        <v>738</v>
      </c>
      <c r="AO49" s="638"/>
      <c r="AP49" s="638"/>
      <c r="AQ49" s="638"/>
      <c r="AR49" s="656" t="s">
        <v>738</v>
      </c>
      <c r="AS49" s="638"/>
      <c r="AT49" s="638"/>
      <c r="AU49" s="638"/>
      <c r="AV49" s="638"/>
      <c r="AW49" s="638"/>
      <c r="AX49" s="638"/>
      <c r="AY49" s="638"/>
      <c r="AZ49" s="638"/>
      <c r="BA49" s="639"/>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row>
    <row r="50" spans="2:105" x14ac:dyDescent="0.35">
      <c r="B50" s="1214"/>
      <c r="C50" s="1211"/>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38"/>
      <c r="AM50" s="638"/>
      <c r="AN50" s="656" t="s">
        <v>738</v>
      </c>
      <c r="AO50" s="638"/>
      <c r="AP50" s="638"/>
      <c r="AQ50" s="638"/>
      <c r="AR50" s="656" t="s">
        <v>738</v>
      </c>
      <c r="AS50" s="638"/>
      <c r="AT50" s="638"/>
      <c r="AU50" s="638"/>
      <c r="AV50" s="638"/>
      <c r="AW50" s="638"/>
      <c r="AX50" s="638"/>
      <c r="AY50" s="638"/>
      <c r="AZ50" s="638"/>
      <c r="BA50" s="639"/>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row>
    <row r="51" spans="2:105" x14ac:dyDescent="0.35">
      <c r="B51" s="1214"/>
      <c r="C51" s="1211"/>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38"/>
      <c r="AM51" s="638"/>
      <c r="AN51" s="656" t="s">
        <v>738</v>
      </c>
      <c r="AO51" s="638"/>
      <c r="AP51" s="638"/>
      <c r="AQ51" s="638"/>
      <c r="AR51" s="656" t="s">
        <v>738</v>
      </c>
      <c r="AS51" s="638"/>
      <c r="AT51" s="638"/>
      <c r="AU51" s="638"/>
      <c r="AV51" s="638"/>
      <c r="AW51" s="638"/>
      <c r="AX51" s="638"/>
      <c r="AY51" s="638"/>
      <c r="AZ51" s="638"/>
      <c r="BA51" s="639"/>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row>
    <row r="52" spans="2:105" x14ac:dyDescent="0.35">
      <c r="B52" s="1214"/>
      <c r="C52" s="1211"/>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38"/>
      <c r="AM52" s="638"/>
      <c r="AN52" s="656" t="s">
        <v>738</v>
      </c>
      <c r="AO52" s="638"/>
      <c r="AP52" s="638"/>
      <c r="AQ52" s="638"/>
      <c r="AR52" s="656" t="s">
        <v>738</v>
      </c>
      <c r="AS52" s="638"/>
      <c r="AT52" s="638"/>
      <c r="AU52" s="638"/>
      <c r="AV52" s="638"/>
      <c r="AW52" s="638"/>
      <c r="AX52" s="638"/>
      <c r="AY52" s="638"/>
      <c r="AZ52" s="638"/>
      <c r="BA52" s="639"/>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row>
    <row r="53" spans="2:105" x14ac:dyDescent="0.35">
      <c r="B53" s="1214"/>
      <c r="C53" s="1211"/>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38"/>
      <c r="AM53" s="638"/>
      <c r="AN53" s="656" t="s">
        <v>738</v>
      </c>
      <c r="AO53" s="638"/>
      <c r="AP53" s="638"/>
      <c r="AQ53" s="638"/>
      <c r="AR53" s="656" t="s">
        <v>738</v>
      </c>
      <c r="AS53" s="638"/>
      <c r="AT53" s="638"/>
      <c r="AU53" s="638"/>
      <c r="AV53" s="638"/>
      <c r="AW53" s="638"/>
      <c r="AX53" s="638"/>
      <c r="AY53" s="638"/>
      <c r="AZ53" s="638"/>
      <c r="BA53" s="639"/>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row>
    <row r="54" spans="2:105" x14ac:dyDescent="0.35">
      <c r="B54" s="1214"/>
      <c r="C54" s="1211"/>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38"/>
      <c r="AM54" s="638"/>
      <c r="AN54" s="656" t="s">
        <v>738</v>
      </c>
      <c r="AO54" s="638"/>
      <c r="AP54" s="638"/>
      <c r="AQ54" s="638"/>
      <c r="AR54" s="656" t="s">
        <v>738</v>
      </c>
      <c r="AS54" s="638"/>
      <c r="AT54" s="638"/>
      <c r="AU54" s="638"/>
      <c r="AV54" s="638"/>
      <c r="AW54" s="638"/>
      <c r="AX54" s="638"/>
      <c r="AY54" s="638"/>
      <c r="AZ54" s="638"/>
      <c r="BA54" s="639"/>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row>
    <row r="55" spans="2:105" x14ac:dyDescent="0.35">
      <c r="B55" s="1214"/>
      <c r="C55" s="1211"/>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38"/>
      <c r="AM55" s="638"/>
      <c r="AN55" s="656" t="s">
        <v>738</v>
      </c>
      <c r="AO55" s="638"/>
      <c r="AP55" s="638"/>
      <c r="AQ55" s="638"/>
      <c r="AR55" s="656" t="s">
        <v>738</v>
      </c>
      <c r="AS55" s="638"/>
      <c r="AT55" s="638"/>
      <c r="AU55" s="638"/>
      <c r="AV55" s="638"/>
      <c r="AW55" s="638"/>
      <c r="AX55" s="638"/>
      <c r="AY55" s="638"/>
      <c r="AZ55" s="638"/>
      <c r="BA55" s="639"/>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row>
    <row r="56" spans="2:105" ht="15" thickBot="1" x14ac:dyDescent="0.4">
      <c r="B56" s="1215"/>
      <c r="C56" s="1212"/>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43"/>
      <c r="AM56" s="643"/>
      <c r="AN56" s="660" t="s">
        <v>738</v>
      </c>
      <c r="AO56" s="643"/>
      <c r="AP56" s="643"/>
      <c r="AQ56" s="643"/>
      <c r="AR56" s="660" t="s">
        <v>738</v>
      </c>
      <c r="AS56" s="643"/>
      <c r="AT56" s="643"/>
      <c r="AU56" s="643"/>
      <c r="AV56" s="643"/>
      <c r="AW56" s="643"/>
      <c r="AX56" s="643"/>
      <c r="AY56" s="643"/>
      <c r="AZ56" s="643"/>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row>
    <row r="57" spans="2:105" ht="15" thickBot="1" x14ac:dyDescent="0.4">
      <c r="B57" s="577" t="s">
        <v>797</v>
      </c>
      <c r="C57" s="1210"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48"/>
      <c r="AM57" s="648"/>
      <c r="AN57" s="650" t="s">
        <v>743</v>
      </c>
      <c r="AO57" s="648"/>
      <c r="AP57" s="648"/>
      <c r="AQ57" s="648"/>
      <c r="AR57" s="650" t="s">
        <v>743</v>
      </c>
      <c r="AS57" s="648"/>
      <c r="AT57" s="648"/>
      <c r="AU57" s="648"/>
      <c r="AV57" s="648"/>
      <c r="AW57" s="648"/>
      <c r="AX57" s="648"/>
      <c r="AY57" s="648"/>
      <c r="AZ57" s="648"/>
      <c r="BA57" s="649"/>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row>
    <row r="58" spans="2:105" x14ac:dyDescent="0.35">
      <c r="B58" s="1213" t="s">
        <v>800</v>
      </c>
      <c r="C58" s="1211"/>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3"/>
      <c r="AM58" s="653"/>
      <c r="AN58" s="651" t="s">
        <v>743</v>
      </c>
      <c r="AO58" s="653"/>
      <c r="AP58" s="653"/>
      <c r="AQ58" s="653"/>
      <c r="AR58" s="651" t="s">
        <v>743</v>
      </c>
      <c r="AS58" s="653"/>
      <c r="AT58" s="653"/>
      <c r="AU58" s="653"/>
      <c r="AV58" s="653"/>
      <c r="AW58" s="653"/>
      <c r="AX58" s="653"/>
      <c r="AY58" s="653"/>
      <c r="AZ58" s="653"/>
      <c r="BA58" s="654"/>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row>
    <row r="59" spans="2:105" x14ac:dyDescent="0.35">
      <c r="B59" s="1214"/>
      <c r="C59" s="1211"/>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38"/>
      <c r="AM59" s="638"/>
      <c r="AN59" s="656" t="s">
        <v>743</v>
      </c>
      <c r="AO59" s="638"/>
      <c r="AP59" s="638"/>
      <c r="AQ59" s="638"/>
      <c r="AR59" s="656" t="s">
        <v>743</v>
      </c>
      <c r="AS59" s="638"/>
      <c r="AT59" s="638"/>
      <c r="AU59" s="638"/>
      <c r="AV59" s="638"/>
      <c r="AW59" s="638"/>
      <c r="AX59" s="638"/>
      <c r="AY59" s="638"/>
      <c r="AZ59" s="638"/>
      <c r="BA59" s="639"/>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row>
    <row r="60" spans="2:105" x14ac:dyDescent="0.35">
      <c r="B60" s="1214"/>
      <c r="C60" s="1211"/>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38"/>
      <c r="AM60" s="638"/>
      <c r="AN60" s="656" t="s">
        <v>738</v>
      </c>
      <c r="AO60" s="638"/>
      <c r="AP60" s="638"/>
      <c r="AQ60" s="638"/>
      <c r="AR60" s="656" t="s">
        <v>738</v>
      </c>
      <c r="AS60" s="638"/>
      <c r="AT60" s="638"/>
      <c r="AU60" s="638"/>
      <c r="AV60" s="638"/>
      <c r="AW60" s="638"/>
      <c r="AX60" s="638"/>
      <c r="AY60" s="638"/>
      <c r="AZ60" s="638"/>
      <c r="BA60" s="639"/>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row>
    <row r="61" spans="2:105" x14ac:dyDescent="0.35">
      <c r="B61" s="1214"/>
      <c r="C61" s="1211"/>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38"/>
      <c r="AM61" s="638"/>
      <c r="AN61" s="656" t="s">
        <v>743</v>
      </c>
      <c r="AO61" s="638"/>
      <c r="AP61" s="638"/>
      <c r="AQ61" s="638"/>
      <c r="AR61" s="656" t="s">
        <v>743</v>
      </c>
      <c r="AS61" s="638"/>
      <c r="AT61" s="638"/>
      <c r="AU61" s="638"/>
      <c r="AV61" s="638"/>
      <c r="AW61" s="638"/>
      <c r="AX61" s="638"/>
      <c r="AY61" s="638"/>
      <c r="AZ61" s="638"/>
      <c r="BA61" s="639"/>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row>
    <row r="62" spans="2:105" x14ac:dyDescent="0.35">
      <c r="B62" s="1214"/>
      <c r="C62" s="1211"/>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38"/>
      <c r="AM62" s="638"/>
      <c r="AN62" s="656" t="s">
        <v>738</v>
      </c>
      <c r="AO62" s="638"/>
      <c r="AP62" s="638"/>
      <c r="AQ62" s="638"/>
      <c r="AR62" s="656" t="s">
        <v>738</v>
      </c>
      <c r="AS62" s="638"/>
      <c r="AT62" s="638"/>
      <c r="AU62" s="638"/>
      <c r="AV62" s="638"/>
      <c r="AW62" s="638"/>
      <c r="AX62" s="638"/>
      <c r="AY62" s="638"/>
      <c r="AZ62" s="638"/>
      <c r="BA62" s="639"/>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row>
    <row r="63" spans="2:105" x14ac:dyDescent="0.35">
      <c r="B63" s="1214"/>
      <c r="C63" s="1211"/>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38"/>
      <c r="AM63" s="638"/>
      <c r="AN63" s="656" t="s">
        <v>743</v>
      </c>
      <c r="AO63" s="638"/>
      <c r="AP63" s="638"/>
      <c r="AQ63" s="638"/>
      <c r="AR63" s="656" t="s">
        <v>743</v>
      </c>
      <c r="AS63" s="638"/>
      <c r="AT63" s="638"/>
      <c r="AU63" s="638"/>
      <c r="AV63" s="638"/>
      <c r="AW63" s="638"/>
      <c r="AX63" s="638"/>
      <c r="AY63" s="638"/>
      <c r="AZ63" s="638"/>
      <c r="BA63" s="639"/>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row>
    <row r="64" spans="2:105" x14ac:dyDescent="0.35">
      <c r="B64" s="1214"/>
      <c r="C64" s="1211"/>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38"/>
      <c r="AM64" s="638"/>
      <c r="AN64" s="656" t="s">
        <v>738</v>
      </c>
      <c r="AO64" s="638"/>
      <c r="AP64" s="638"/>
      <c r="AQ64" s="638"/>
      <c r="AR64" s="656" t="s">
        <v>738</v>
      </c>
      <c r="AS64" s="638"/>
      <c r="AT64" s="638"/>
      <c r="AU64" s="638"/>
      <c r="AV64" s="638"/>
      <c r="AW64" s="638"/>
      <c r="AX64" s="638"/>
      <c r="AY64" s="638"/>
      <c r="AZ64" s="638"/>
      <c r="BA64" s="639"/>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row>
    <row r="65" spans="2:105" x14ac:dyDescent="0.35">
      <c r="B65" s="1214"/>
      <c r="C65" s="1211"/>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38"/>
      <c r="AM65" s="638"/>
      <c r="AN65" s="656" t="s">
        <v>738</v>
      </c>
      <c r="AO65" s="638"/>
      <c r="AP65" s="638"/>
      <c r="AQ65" s="638"/>
      <c r="AR65" s="656" t="s">
        <v>738</v>
      </c>
      <c r="AS65" s="638"/>
      <c r="AT65" s="638"/>
      <c r="AU65" s="638"/>
      <c r="AV65" s="638"/>
      <c r="AW65" s="638"/>
      <c r="AX65" s="638"/>
      <c r="AY65" s="638"/>
      <c r="AZ65" s="638"/>
      <c r="BA65" s="639"/>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row>
    <row r="66" spans="2:105" x14ac:dyDescent="0.35">
      <c r="B66" s="1214"/>
      <c r="C66" s="1211"/>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38"/>
      <c r="AM66" s="638"/>
      <c r="AN66" s="656" t="s">
        <v>743</v>
      </c>
      <c r="AO66" s="638"/>
      <c r="AP66" s="638"/>
      <c r="AQ66" s="638"/>
      <c r="AR66" s="656" t="s">
        <v>743</v>
      </c>
      <c r="AS66" s="638"/>
      <c r="AT66" s="638"/>
      <c r="AU66" s="638"/>
      <c r="AV66" s="638"/>
      <c r="AW66" s="638"/>
      <c r="AX66" s="638"/>
      <c r="AY66" s="638"/>
      <c r="AZ66" s="638"/>
      <c r="BA66" s="639"/>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row>
    <row r="67" spans="2:105" x14ac:dyDescent="0.35">
      <c r="B67" s="1214"/>
      <c r="C67" s="1211"/>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38"/>
      <c r="AM67" s="638"/>
      <c r="AN67" s="656" t="s">
        <v>743</v>
      </c>
      <c r="AO67" s="638"/>
      <c r="AP67" s="638"/>
      <c r="AQ67" s="638"/>
      <c r="AR67" s="656" t="s">
        <v>743</v>
      </c>
      <c r="AS67" s="638"/>
      <c r="AT67" s="638"/>
      <c r="AU67" s="638"/>
      <c r="AV67" s="638"/>
      <c r="AW67" s="638"/>
      <c r="AX67" s="638"/>
      <c r="AY67" s="638"/>
      <c r="AZ67" s="638"/>
      <c r="BA67" s="639"/>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row>
    <row r="68" spans="2:105" x14ac:dyDescent="0.35">
      <c r="B68" s="1214"/>
      <c r="C68" s="1211"/>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38"/>
      <c r="AM68" s="638"/>
      <c r="AN68" s="656" t="s">
        <v>743</v>
      </c>
      <c r="AO68" s="638"/>
      <c r="AP68" s="638"/>
      <c r="AQ68" s="638"/>
      <c r="AR68" s="656" t="s">
        <v>743</v>
      </c>
      <c r="AS68" s="638"/>
      <c r="AT68" s="638"/>
      <c r="AU68" s="638"/>
      <c r="AV68" s="638"/>
      <c r="AW68" s="638"/>
      <c r="AX68" s="638"/>
      <c r="AY68" s="638"/>
      <c r="AZ68" s="638"/>
      <c r="BA68" s="639"/>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row>
    <row r="69" spans="2:105" x14ac:dyDescent="0.35">
      <c r="B69" s="1214"/>
      <c r="C69" s="1211"/>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38"/>
      <c r="AM69" s="638"/>
      <c r="AN69" s="656" t="s">
        <v>743</v>
      </c>
      <c r="AO69" s="638"/>
      <c r="AP69" s="638"/>
      <c r="AQ69" s="638"/>
      <c r="AR69" s="656" t="s">
        <v>743</v>
      </c>
      <c r="AS69" s="638"/>
      <c r="AT69" s="638"/>
      <c r="AU69" s="638"/>
      <c r="AV69" s="638"/>
      <c r="AW69" s="638"/>
      <c r="AX69" s="638"/>
      <c r="AY69" s="638"/>
      <c r="AZ69" s="638"/>
      <c r="BA69" s="639"/>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row>
    <row r="70" spans="2:105" x14ac:dyDescent="0.35">
      <c r="B70" s="1214"/>
      <c r="C70" s="1211"/>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38"/>
      <c r="AM70" s="638"/>
      <c r="AN70" s="656" t="s">
        <v>743</v>
      </c>
      <c r="AO70" s="638"/>
      <c r="AP70" s="638"/>
      <c r="AQ70" s="638"/>
      <c r="AR70" s="656" t="s">
        <v>743</v>
      </c>
      <c r="AS70" s="638"/>
      <c r="AT70" s="638"/>
      <c r="AU70" s="638"/>
      <c r="AV70" s="638"/>
      <c r="AW70" s="638"/>
      <c r="AX70" s="638"/>
      <c r="AY70" s="638"/>
      <c r="AZ70" s="638"/>
      <c r="BA70" s="639"/>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row>
    <row r="71" spans="2:105" x14ac:dyDescent="0.35">
      <c r="B71" s="1214"/>
      <c r="C71" s="1211"/>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38"/>
      <c r="AM71" s="638"/>
      <c r="AN71" s="656" t="s">
        <v>743</v>
      </c>
      <c r="AO71" s="638"/>
      <c r="AP71" s="638"/>
      <c r="AQ71" s="638"/>
      <c r="AR71" s="656" t="s">
        <v>743</v>
      </c>
      <c r="AS71" s="638"/>
      <c r="AT71" s="638"/>
      <c r="AU71" s="638"/>
      <c r="AV71" s="638"/>
      <c r="AW71" s="638"/>
      <c r="AX71" s="638"/>
      <c r="AY71" s="638"/>
      <c r="AZ71" s="638"/>
      <c r="BA71" s="639"/>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row>
    <row r="72" spans="2:105" x14ac:dyDescent="0.35">
      <c r="B72" s="1214"/>
      <c r="C72" s="1211"/>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38"/>
      <c r="AM72" s="638"/>
      <c r="AN72" s="656" t="s">
        <v>743</v>
      </c>
      <c r="AO72" s="638"/>
      <c r="AP72" s="638"/>
      <c r="AQ72" s="638"/>
      <c r="AR72" s="656" t="s">
        <v>743</v>
      </c>
      <c r="AS72" s="638"/>
      <c r="AT72" s="638"/>
      <c r="AU72" s="638"/>
      <c r="AV72" s="638"/>
      <c r="AW72" s="638"/>
      <c r="AX72" s="638"/>
      <c r="AY72" s="638"/>
      <c r="AZ72" s="638"/>
      <c r="BA72" s="639"/>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row>
    <row r="73" spans="2:105" ht="15" thickBot="1" x14ac:dyDescent="0.4">
      <c r="B73" s="1215"/>
      <c r="C73" s="1212"/>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43"/>
      <c r="AM73" s="643"/>
      <c r="AN73" s="660" t="s">
        <v>743</v>
      </c>
      <c r="AO73" s="643"/>
      <c r="AP73" s="643"/>
      <c r="AQ73" s="643"/>
      <c r="AR73" s="660" t="s">
        <v>743</v>
      </c>
      <c r="AS73" s="643"/>
      <c r="AT73" s="643"/>
      <c r="AU73" s="643"/>
      <c r="AV73" s="643"/>
      <c r="AW73" s="643"/>
      <c r="AX73" s="643"/>
      <c r="AY73" s="643"/>
      <c r="AZ73" s="643"/>
      <c r="BA73" s="644"/>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row>
    <row r="74" spans="2:105" ht="15" outlineLevel="1" thickBot="1" x14ac:dyDescent="0.4">
      <c r="B74" s="577" t="s">
        <v>817</v>
      </c>
      <c r="C74" s="1210"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48"/>
      <c r="AM74" s="648"/>
      <c r="AN74" s="650"/>
      <c r="AO74" s="648"/>
      <c r="AP74" s="648"/>
      <c r="AQ74" s="648"/>
      <c r="AR74" s="650"/>
      <c r="AS74" s="648"/>
      <c r="AT74" s="648"/>
      <c r="AU74" s="648"/>
      <c r="AV74" s="648"/>
      <c r="AW74" s="648"/>
      <c r="AX74" s="648"/>
      <c r="AY74" s="648"/>
      <c r="AZ74" s="648"/>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row>
    <row r="75" spans="2:105" outlineLevel="1" x14ac:dyDescent="0.35">
      <c r="B75" s="1213" t="s">
        <v>821</v>
      </c>
      <c r="C75" s="1211"/>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3"/>
      <c r="AM75" s="653"/>
      <c r="AN75" s="651"/>
      <c r="AO75" s="653"/>
      <c r="AP75" s="653"/>
      <c r="AQ75" s="653"/>
      <c r="AR75" s="651"/>
      <c r="AS75" s="653"/>
      <c r="AT75" s="653"/>
      <c r="AU75" s="653"/>
      <c r="AV75" s="653"/>
      <c r="AW75" s="653"/>
      <c r="AX75" s="653"/>
      <c r="AY75" s="653"/>
      <c r="AZ75" s="653"/>
      <c r="BA75" s="654"/>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row>
    <row r="76" spans="2:105" outlineLevel="1" x14ac:dyDescent="0.35">
      <c r="B76" s="1214"/>
      <c r="C76" s="1211"/>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38"/>
      <c r="AM76" s="638"/>
      <c r="AN76" s="656"/>
      <c r="AO76" s="638"/>
      <c r="AP76" s="638"/>
      <c r="AQ76" s="638"/>
      <c r="AR76" s="656"/>
      <c r="AS76" s="638"/>
      <c r="AT76" s="638"/>
      <c r="AU76" s="638"/>
      <c r="AV76" s="638"/>
      <c r="AW76" s="638"/>
      <c r="AX76" s="638"/>
      <c r="AY76" s="638"/>
      <c r="AZ76" s="638"/>
      <c r="BA76" s="639"/>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row>
    <row r="77" spans="2:105" outlineLevel="1" x14ac:dyDescent="0.35">
      <c r="B77" s="1214"/>
      <c r="C77" s="1211"/>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38"/>
      <c r="AM77" s="638"/>
      <c r="AN77" s="656"/>
      <c r="AO77" s="638"/>
      <c r="AP77" s="638"/>
      <c r="AQ77" s="638"/>
      <c r="AR77" s="656"/>
      <c r="AS77" s="638"/>
      <c r="AT77" s="638"/>
      <c r="AU77" s="638"/>
      <c r="AV77" s="638"/>
      <c r="AW77" s="638"/>
      <c r="AX77" s="638"/>
      <c r="AY77" s="638"/>
      <c r="AZ77" s="638"/>
      <c r="BA77" s="639"/>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row>
    <row r="78" spans="2:105" outlineLevel="1" x14ac:dyDescent="0.35">
      <c r="B78" s="1214"/>
      <c r="C78" s="1211"/>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38"/>
      <c r="AM78" s="638"/>
      <c r="AN78" s="656"/>
      <c r="AO78" s="638"/>
      <c r="AP78" s="638"/>
      <c r="AQ78" s="638"/>
      <c r="AR78" s="656"/>
      <c r="AS78" s="638"/>
      <c r="AT78" s="638"/>
      <c r="AU78" s="638"/>
      <c r="AV78" s="638"/>
      <c r="AW78" s="638"/>
      <c r="AX78" s="638"/>
      <c r="AY78" s="638"/>
      <c r="AZ78" s="638"/>
      <c r="BA78" s="639"/>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row>
    <row r="79" spans="2:105" outlineLevel="1" x14ac:dyDescent="0.35">
      <c r="B79" s="1214"/>
      <c r="C79" s="1211"/>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38"/>
      <c r="AM79" s="638"/>
      <c r="AN79" s="656"/>
      <c r="AO79" s="638"/>
      <c r="AP79" s="638"/>
      <c r="AQ79" s="638"/>
      <c r="AR79" s="656"/>
      <c r="AS79" s="638"/>
      <c r="AT79" s="638"/>
      <c r="AU79" s="638"/>
      <c r="AV79" s="638"/>
      <c r="AW79" s="638"/>
      <c r="AX79" s="638"/>
      <c r="AY79" s="638"/>
      <c r="AZ79" s="638"/>
      <c r="BA79" s="639"/>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row>
    <row r="80" spans="2:105" outlineLevel="1" x14ac:dyDescent="0.35">
      <c r="B80" s="1214"/>
      <c r="C80" s="1211"/>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38"/>
      <c r="AM80" s="638"/>
      <c r="AN80" s="656"/>
      <c r="AO80" s="638"/>
      <c r="AP80" s="638"/>
      <c r="AQ80" s="638"/>
      <c r="AR80" s="656"/>
      <c r="AS80" s="638"/>
      <c r="AT80" s="638"/>
      <c r="AU80" s="638"/>
      <c r="AV80" s="638"/>
      <c r="AW80" s="638"/>
      <c r="AX80" s="638"/>
      <c r="AY80" s="638"/>
      <c r="AZ80" s="638"/>
      <c r="BA80" s="639"/>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row>
    <row r="81" spans="2:105" outlineLevel="1" x14ac:dyDescent="0.35">
      <c r="B81" s="1214"/>
      <c r="C81" s="1211"/>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38"/>
      <c r="AM81" s="638"/>
      <c r="AN81" s="656"/>
      <c r="AO81" s="638"/>
      <c r="AP81" s="638"/>
      <c r="AQ81" s="638"/>
      <c r="AR81" s="656"/>
      <c r="AS81" s="638"/>
      <c r="AT81" s="638"/>
      <c r="AU81" s="638"/>
      <c r="AV81" s="638"/>
      <c r="AW81" s="638"/>
      <c r="AX81" s="638"/>
      <c r="AY81" s="638"/>
      <c r="AZ81" s="638"/>
      <c r="BA81" s="639"/>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row>
    <row r="82" spans="2:105" outlineLevel="1" x14ac:dyDescent="0.35">
      <c r="B82" s="1214"/>
      <c r="C82" s="1211"/>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38"/>
      <c r="AM82" s="638"/>
      <c r="AN82" s="656"/>
      <c r="AO82" s="638"/>
      <c r="AP82" s="638"/>
      <c r="AQ82" s="638"/>
      <c r="AR82" s="656"/>
      <c r="AS82" s="638"/>
      <c r="AT82" s="638"/>
      <c r="AU82" s="638"/>
      <c r="AV82" s="638"/>
      <c r="AW82" s="638"/>
      <c r="AX82" s="638"/>
      <c r="AY82" s="638"/>
      <c r="AZ82" s="638"/>
      <c r="BA82" s="639"/>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row>
    <row r="83" spans="2:105" outlineLevel="1" x14ac:dyDescent="0.35">
      <c r="B83" s="1214"/>
      <c r="C83" s="1211"/>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38"/>
      <c r="AM83" s="638"/>
      <c r="AN83" s="656"/>
      <c r="AO83" s="638"/>
      <c r="AP83" s="638"/>
      <c r="AQ83" s="638"/>
      <c r="AR83" s="656"/>
      <c r="AS83" s="638"/>
      <c r="AT83" s="638"/>
      <c r="AU83" s="638"/>
      <c r="AV83" s="638"/>
      <c r="AW83" s="638"/>
      <c r="AX83" s="638"/>
      <c r="AY83" s="638"/>
      <c r="AZ83" s="638"/>
      <c r="BA83" s="639"/>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row>
    <row r="84" spans="2:105" outlineLevel="1" x14ac:dyDescent="0.35">
      <c r="B84" s="1214"/>
      <c r="C84" s="1211"/>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38"/>
      <c r="AM84" s="638"/>
      <c r="AN84" s="656"/>
      <c r="AO84" s="638"/>
      <c r="AP84" s="638"/>
      <c r="AQ84" s="638"/>
      <c r="AR84" s="656"/>
      <c r="AS84" s="638"/>
      <c r="AT84" s="638"/>
      <c r="AU84" s="638"/>
      <c r="AV84" s="638"/>
      <c r="AW84" s="638"/>
      <c r="AX84" s="638"/>
      <c r="AY84" s="638"/>
      <c r="AZ84" s="638"/>
      <c r="BA84" s="639"/>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row>
    <row r="85" spans="2:105" outlineLevel="1" x14ac:dyDescent="0.35">
      <c r="B85" s="1214"/>
      <c r="C85" s="1211"/>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38"/>
      <c r="AM85" s="638"/>
      <c r="AN85" s="656"/>
      <c r="AO85" s="638"/>
      <c r="AP85" s="638"/>
      <c r="AQ85" s="638"/>
      <c r="AR85" s="656"/>
      <c r="AS85" s="638"/>
      <c r="AT85" s="638"/>
      <c r="AU85" s="638"/>
      <c r="AV85" s="638"/>
      <c r="AW85" s="638"/>
      <c r="AX85" s="638"/>
      <c r="AY85" s="638"/>
      <c r="AZ85" s="638"/>
      <c r="BA85" s="639"/>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row>
    <row r="86" spans="2:105" outlineLevel="1" x14ac:dyDescent="0.35">
      <c r="B86" s="1214"/>
      <c r="C86" s="1211"/>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38"/>
      <c r="AM86" s="638"/>
      <c r="AN86" s="656"/>
      <c r="AO86" s="638"/>
      <c r="AP86" s="638"/>
      <c r="AQ86" s="638"/>
      <c r="AR86" s="656"/>
      <c r="AS86" s="638"/>
      <c r="AT86" s="638"/>
      <c r="AU86" s="638"/>
      <c r="AV86" s="638"/>
      <c r="AW86" s="638"/>
      <c r="AX86" s="638"/>
      <c r="AY86" s="638"/>
      <c r="AZ86" s="638"/>
      <c r="BA86" s="639"/>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row>
    <row r="87" spans="2:105" outlineLevel="1" x14ac:dyDescent="0.35">
      <c r="B87" s="1214"/>
      <c r="C87" s="1211"/>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38"/>
      <c r="AM87" s="638"/>
      <c r="AN87" s="656"/>
      <c r="AO87" s="638"/>
      <c r="AP87" s="638"/>
      <c r="AQ87" s="638"/>
      <c r="AR87" s="656"/>
      <c r="AS87" s="638"/>
      <c r="AT87" s="638"/>
      <c r="AU87" s="638"/>
      <c r="AV87" s="638"/>
      <c r="AW87" s="638"/>
      <c r="AX87" s="638"/>
      <c r="AY87" s="638"/>
      <c r="AZ87" s="638"/>
      <c r="BA87" s="639"/>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row>
    <row r="88" spans="2:105" outlineLevel="1" x14ac:dyDescent="0.35">
      <c r="B88" s="1214"/>
      <c r="C88" s="1211"/>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38"/>
      <c r="AM88" s="638"/>
      <c r="AN88" s="656"/>
      <c r="AO88" s="638"/>
      <c r="AP88" s="638"/>
      <c r="AQ88" s="638"/>
      <c r="AR88" s="656"/>
      <c r="AS88" s="638"/>
      <c r="AT88" s="638"/>
      <c r="AU88" s="638"/>
      <c r="AV88" s="638"/>
      <c r="AW88" s="638"/>
      <c r="AX88" s="638"/>
      <c r="AY88" s="638"/>
      <c r="AZ88" s="638"/>
      <c r="BA88" s="639"/>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row>
    <row r="89" spans="2:105" outlineLevel="1" x14ac:dyDescent="0.35">
      <c r="B89" s="1214"/>
      <c r="C89" s="1211"/>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38"/>
      <c r="AM89" s="638"/>
      <c r="AN89" s="656"/>
      <c r="AO89" s="638"/>
      <c r="AP89" s="638"/>
      <c r="AQ89" s="638"/>
      <c r="AR89" s="656"/>
      <c r="AS89" s="638"/>
      <c r="AT89" s="638"/>
      <c r="AU89" s="638"/>
      <c r="AV89" s="638"/>
      <c r="AW89" s="638"/>
      <c r="AX89" s="638"/>
      <c r="AY89" s="638"/>
      <c r="AZ89" s="638"/>
      <c r="BA89" s="639"/>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row>
    <row r="90" spans="2:105" ht="15" outlineLevel="1" thickBot="1" x14ac:dyDescent="0.4">
      <c r="B90" s="1215"/>
      <c r="C90" s="1212"/>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43"/>
      <c r="AM90" s="643"/>
      <c r="AN90" s="660"/>
      <c r="AO90" s="643"/>
      <c r="AP90" s="643"/>
      <c r="AQ90" s="643"/>
      <c r="AR90" s="660"/>
      <c r="AS90" s="643"/>
      <c r="AT90" s="643"/>
      <c r="AU90" s="643"/>
      <c r="AV90" s="643"/>
      <c r="AW90" s="643"/>
      <c r="AX90" s="643"/>
      <c r="AY90" s="643"/>
      <c r="AZ90" s="643"/>
      <c r="BA90" s="644"/>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row>
    <row r="91" spans="2:105" ht="15" thickBot="1" x14ac:dyDescent="0.4">
      <c r="B91" s="577" t="s">
        <v>841</v>
      </c>
      <c r="C91" s="1210"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48"/>
      <c r="AM91" s="648"/>
      <c r="AN91" s="650" t="s">
        <v>844</v>
      </c>
      <c r="AO91" s="648"/>
      <c r="AP91" s="648"/>
      <c r="AQ91" s="648"/>
      <c r="AR91" s="650" t="s">
        <v>844</v>
      </c>
      <c r="AS91" s="648"/>
      <c r="AT91" s="648"/>
      <c r="AU91" s="648"/>
      <c r="AV91" s="648"/>
      <c r="AW91" s="648"/>
      <c r="AX91" s="648"/>
      <c r="AY91" s="648"/>
      <c r="AZ91" s="648"/>
      <c r="BA91" s="649"/>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row>
    <row r="92" spans="2:105" x14ac:dyDescent="0.35">
      <c r="B92" s="1213" t="s">
        <v>845</v>
      </c>
      <c r="C92" s="1211"/>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3"/>
      <c r="AM92" s="653"/>
      <c r="AN92" s="651" t="s">
        <v>844</v>
      </c>
      <c r="AO92" s="653"/>
      <c r="AP92" s="653"/>
      <c r="AQ92" s="653"/>
      <c r="AR92" s="651" t="s">
        <v>844</v>
      </c>
      <c r="AS92" s="653"/>
      <c r="AT92" s="653"/>
      <c r="AU92" s="653"/>
      <c r="AV92" s="653"/>
      <c r="AW92" s="653"/>
      <c r="AX92" s="653"/>
      <c r="AY92" s="653"/>
      <c r="AZ92" s="653"/>
      <c r="BA92" s="654"/>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row>
    <row r="93" spans="2:105" x14ac:dyDescent="0.35">
      <c r="B93" s="1214"/>
      <c r="C93" s="1211"/>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38"/>
      <c r="AM93" s="638"/>
      <c r="AN93" s="656" t="s">
        <v>848</v>
      </c>
      <c r="AO93" s="638"/>
      <c r="AP93" s="638"/>
      <c r="AQ93" s="638"/>
      <c r="AR93" s="656" t="s">
        <v>848</v>
      </c>
      <c r="AS93" s="638"/>
      <c r="AT93" s="638"/>
      <c r="AU93" s="638"/>
      <c r="AV93" s="638"/>
      <c r="AW93" s="638"/>
      <c r="AX93" s="638"/>
      <c r="AY93" s="638"/>
      <c r="AZ93" s="638"/>
      <c r="BA93" s="639"/>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row>
    <row r="94" spans="2:105" x14ac:dyDescent="0.35">
      <c r="B94" s="1214"/>
      <c r="C94" s="1211"/>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38"/>
      <c r="AM94" s="638"/>
      <c r="AN94" s="656" t="s">
        <v>850</v>
      </c>
      <c r="AO94" s="638"/>
      <c r="AP94" s="638"/>
      <c r="AQ94" s="638"/>
      <c r="AR94" s="656" t="s">
        <v>850</v>
      </c>
      <c r="AS94" s="638"/>
      <c r="AT94" s="638"/>
      <c r="AU94" s="638"/>
      <c r="AV94" s="638"/>
      <c r="AW94" s="638"/>
      <c r="AX94" s="638"/>
      <c r="AY94" s="638"/>
      <c r="AZ94" s="638"/>
      <c r="BA94" s="639"/>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row>
    <row r="95" spans="2:105" x14ac:dyDescent="0.35">
      <c r="B95" s="1214"/>
      <c r="C95" s="1211"/>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38"/>
      <c r="AM95" s="638"/>
      <c r="AN95" s="656" t="s">
        <v>852</v>
      </c>
      <c r="AO95" s="638"/>
      <c r="AP95" s="638"/>
      <c r="AQ95" s="638"/>
      <c r="AR95" s="656" t="s">
        <v>852</v>
      </c>
      <c r="AS95" s="638"/>
      <c r="AT95" s="638"/>
      <c r="AU95" s="638"/>
      <c r="AV95" s="638"/>
      <c r="AW95" s="638"/>
      <c r="AX95" s="638"/>
      <c r="AY95" s="638"/>
      <c r="AZ95" s="638"/>
      <c r="BA95" s="639"/>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row>
    <row r="96" spans="2:105" x14ac:dyDescent="0.35">
      <c r="B96" s="1214"/>
      <c r="C96" s="1211"/>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38"/>
      <c r="AM96" s="638"/>
      <c r="AN96" s="656" t="s">
        <v>854</v>
      </c>
      <c r="AO96" s="638"/>
      <c r="AP96" s="638"/>
      <c r="AQ96" s="638"/>
      <c r="AR96" s="656" t="s">
        <v>854</v>
      </c>
      <c r="AS96" s="638"/>
      <c r="AT96" s="638"/>
      <c r="AU96" s="638"/>
      <c r="AV96" s="638"/>
      <c r="AW96" s="638"/>
      <c r="AX96" s="638"/>
      <c r="AY96" s="638"/>
      <c r="AZ96" s="638"/>
      <c r="BA96" s="639"/>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row>
    <row r="97" spans="2:105" x14ac:dyDescent="0.35">
      <c r="B97" s="1214"/>
      <c r="C97" s="1211"/>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38"/>
      <c r="AM97" s="638"/>
      <c r="AN97" s="656" t="s">
        <v>856</v>
      </c>
      <c r="AO97" s="638"/>
      <c r="AP97" s="638"/>
      <c r="AQ97" s="638"/>
      <c r="AR97" s="656" t="s">
        <v>856</v>
      </c>
      <c r="AS97" s="638"/>
      <c r="AT97" s="638"/>
      <c r="AU97" s="638"/>
      <c r="AV97" s="638"/>
      <c r="AW97" s="638"/>
      <c r="AX97" s="638"/>
      <c r="AY97" s="638"/>
      <c r="AZ97" s="638"/>
      <c r="BA97" s="639"/>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row>
    <row r="98" spans="2:105" x14ac:dyDescent="0.35">
      <c r="B98" s="1214"/>
      <c r="C98" s="1211"/>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38"/>
      <c r="AM98" s="638"/>
      <c r="AN98" s="656" t="s">
        <v>858</v>
      </c>
      <c r="AO98" s="638"/>
      <c r="AP98" s="638"/>
      <c r="AQ98" s="638"/>
      <c r="AR98" s="656" t="s">
        <v>858</v>
      </c>
      <c r="AS98" s="638"/>
      <c r="AT98" s="638"/>
      <c r="AU98" s="638"/>
      <c r="AV98" s="638"/>
      <c r="AW98" s="638"/>
      <c r="AX98" s="638"/>
      <c r="AY98" s="638"/>
      <c r="AZ98" s="638"/>
      <c r="BA98" s="639"/>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row>
    <row r="99" spans="2:105" x14ac:dyDescent="0.35">
      <c r="B99" s="1214"/>
      <c r="C99" s="1211"/>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38"/>
      <c r="AM99" s="638"/>
      <c r="AN99" s="656" t="s">
        <v>860</v>
      </c>
      <c r="AO99" s="638"/>
      <c r="AP99" s="638"/>
      <c r="AQ99" s="638"/>
      <c r="AR99" s="656" t="s">
        <v>860</v>
      </c>
      <c r="AS99" s="638"/>
      <c r="AT99" s="638"/>
      <c r="AU99" s="638"/>
      <c r="AV99" s="638"/>
      <c r="AW99" s="638"/>
      <c r="AX99" s="638"/>
      <c r="AY99" s="638"/>
      <c r="AZ99" s="638"/>
      <c r="BA99" s="639"/>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row>
    <row r="100" spans="2:105" x14ac:dyDescent="0.35">
      <c r="B100" s="1214"/>
      <c r="C100" s="1211"/>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38"/>
      <c r="AM100" s="638"/>
      <c r="AN100" s="656" t="s">
        <v>862</v>
      </c>
      <c r="AO100" s="638"/>
      <c r="AP100" s="638"/>
      <c r="AQ100" s="638"/>
      <c r="AR100" s="656" t="s">
        <v>862</v>
      </c>
      <c r="AS100" s="638"/>
      <c r="AT100" s="638"/>
      <c r="AU100" s="638"/>
      <c r="AV100" s="638"/>
      <c r="AW100" s="638"/>
      <c r="AX100" s="638"/>
      <c r="AY100" s="638"/>
      <c r="AZ100" s="638"/>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row>
    <row r="101" spans="2:105" x14ac:dyDescent="0.35">
      <c r="B101" s="1214"/>
      <c r="C101" s="1211"/>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38"/>
      <c r="AM101" s="638"/>
      <c r="AN101" s="656" t="s">
        <v>864</v>
      </c>
      <c r="AO101" s="638"/>
      <c r="AP101" s="638"/>
      <c r="AQ101" s="638"/>
      <c r="AR101" s="656" t="s">
        <v>864</v>
      </c>
      <c r="AS101" s="638"/>
      <c r="AT101" s="638"/>
      <c r="AU101" s="638"/>
      <c r="AV101" s="638"/>
      <c r="AW101" s="638"/>
      <c r="AX101" s="638"/>
      <c r="AY101" s="638"/>
      <c r="AZ101" s="638"/>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row>
    <row r="102" spans="2:105" x14ac:dyDescent="0.35">
      <c r="B102" s="1214"/>
      <c r="C102" s="1211"/>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38"/>
      <c r="AM102" s="638"/>
      <c r="AN102" s="656" t="s">
        <v>866</v>
      </c>
      <c r="AO102" s="638"/>
      <c r="AP102" s="638"/>
      <c r="AQ102" s="638"/>
      <c r="AR102" s="656" t="s">
        <v>866</v>
      </c>
      <c r="AS102" s="638"/>
      <c r="AT102" s="638"/>
      <c r="AU102" s="638"/>
      <c r="AV102" s="638"/>
      <c r="AW102" s="638"/>
      <c r="AX102" s="638"/>
      <c r="AY102" s="638"/>
      <c r="AZ102" s="638"/>
      <c r="BA102" s="639"/>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row>
    <row r="103" spans="2:105" x14ac:dyDescent="0.35">
      <c r="B103" s="1214"/>
      <c r="C103" s="1211"/>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38"/>
      <c r="AM103" s="638"/>
      <c r="AN103" s="656" t="s">
        <v>868</v>
      </c>
      <c r="AO103" s="638"/>
      <c r="AP103" s="638"/>
      <c r="AQ103" s="638"/>
      <c r="AR103" s="656" t="s">
        <v>868</v>
      </c>
      <c r="AS103" s="638"/>
      <c r="AT103" s="638"/>
      <c r="AU103" s="638"/>
      <c r="AV103" s="638"/>
      <c r="AW103" s="638"/>
      <c r="AX103" s="638"/>
      <c r="AY103" s="638"/>
      <c r="AZ103" s="638"/>
      <c r="BA103" s="639"/>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row>
    <row r="104" spans="2:105" x14ac:dyDescent="0.35">
      <c r="B104" s="1214"/>
      <c r="C104" s="1211"/>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38"/>
      <c r="AM104" s="638"/>
      <c r="AN104" s="656" t="s">
        <v>870</v>
      </c>
      <c r="AO104" s="638"/>
      <c r="AP104" s="638"/>
      <c r="AQ104" s="638"/>
      <c r="AR104" s="656" t="s">
        <v>870</v>
      </c>
      <c r="AS104" s="638"/>
      <c r="AT104" s="638"/>
      <c r="AU104" s="638"/>
      <c r="AV104" s="638"/>
      <c r="AW104" s="638"/>
      <c r="AX104" s="638"/>
      <c r="AY104" s="638"/>
      <c r="AZ104" s="638"/>
      <c r="BA104" s="639"/>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row>
    <row r="105" spans="2:105" x14ac:dyDescent="0.35">
      <c r="B105" s="1214"/>
      <c r="C105" s="1211"/>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38"/>
      <c r="AM105" s="638"/>
      <c r="AN105" s="656" t="s">
        <v>872</v>
      </c>
      <c r="AO105" s="638"/>
      <c r="AP105" s="638"/>
      <c r="AQ105" s="638"/>
      <c r="AR105" s="656" t="s">
        <v>872</v>
      </c>
      <c r="AS105" s="638"/>
      <c r="AT105" s="638"/>
      <c r="AU105" s="638"/>
      <c r="AV105" s="638"/>
      <c r="AW105" s="638"/>
      <c r="AX105" s="638"/>
      <c r="AY105" s="638"/>
      <c r="AZ105" s="638"/>
      <c r="BA105" s="639"/>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row>
    <row r="106" spans="2:105" x14ac:dyDescent="0.35">
      <c r="B106" s="1214"/>
      <c r="C106" s="1211"/>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38"/>
      <c r="AM106" s="638"/>
      <c r="AN106" s="656" t="s">
        <v>874</v>
      </c>
      <c r="AO106" s="638"/>
      <c r="AP106" s="638"/>
      <c r="AQ106" s="638"/>
      <c r="AR106" s="656" t="s">
        <v>874</v>
      </c>
      <c r="AS106" s="638"/>
      <c r="AT106" s="638"/>
      <c r="AU106" s="638"/>
      <c r="AV106" s="638"/>
      <c r="AW106" s="638"/>
      <c r="AX106" s="638"/>
      <c r="AY106" s="638"/>
      <c r="AZ106" s="638"/>
      <c r="BA106" s="639"/>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row>
    <row r="107" spans="2:105" ht="15" thickBot="1" x14ac:dyDescent="0.4">
      <c r="B107" s="1215"/>
      <c r="C107" s="1212"/>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43"/>
      <c r="AM107" s="643"/>
      <c r="AN107" s="660" t="s">
        <v>876</v>
      </c>
      <c r="AO107" s="643"/>
      <c r="AP107" s="643"/>
      <c r="AQ107" s="643"/>
      <c r="AR107" s="660" t="s">
        <v>876</v>
      </c>
      <c r="AS107" s="643"/>
      <c r="AT107" s="643"/>
      <c r="AU107" s="643"/>
      <c r="AV107" s="643"/>
      <c r="AW107" s="643"/>
      <c r="AX107" s="643"/>
      <c r="AY107" s="643"/>
      <c r="AZ107" s="643"/>
      <c r="BA107" s="644"/>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row>
    <row r="108" spans="2:105" ht="15" thickBot="1" x14ac:dyDescent="0.4">
      <c r="B108" s="577" t="s">
        <v>877</v>
      </c>
      <c r="C108" s="1210"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48"/>
      <c r="AM108" s="648"/>
      <c r="AN108" s="656" t="s">
        <v>743</v>
      </c>
      <c r="AO108" s="648"/>
      <c r="AP108" s="648"/>
      <c r="AQ108" s="648"/>
      <c r="AR108" s="656" t="s">
        <v>743</v>
      </c>
      <c r="AS108" s="648"/>
      <c r="AT108" s="648"/>
      <c r="AU108" s="648"/>
      <c r="AV108" s="648"/>
      <c r="AW108" s="648"/>
      <c r="AX108" s="648"/>
      <c r="AY108" s="648"/>
      <c r="AZ108" s="648"/>
      <c r="BA108" s="649"/>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row>
    <row r="109" spans="2:105" x14ac:dyDescent="0.35">
      <c r="B109" s="1213" t="s">
        <v>881</v>
      </c>
      <c r="C109" s="1211"/>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3"/>
      <c r="AM109" s="653"/>
      <c r="AN109" s="656" t="s">
        <v>743</v>
      </c>
      <c r="AO109" s="653"/>
      <c r="AP109" s="653"/>
      <c r="AQ109" s="653"/>
      <c r="AR109" s="656" t="s">
        <v>743</v>
      </c>
      <c r="AS109" s="653"/>
      <c r="AT109" s="653"/>
      <c r="AU109" s="653"/>
      <c r="AV109" s="653"/>
      <c r="AW109" s="653"/>
      <c r="AX109" s="653"/>
      <c r="AY109" s="653"/>
      <c r="AZ109" s="653"/>
      <c r="BA109" s="654"/>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row>
    <row r="110" spans="2:105" x14ac:dyDescent="0.35">
      <c r="B110" s="1214"/>
      <c r="C110" s="1211"/>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38"/>
      <c r="AM110" s="638"/>
      <c r="AN110" s="656" t="s">
        <v>743</v>
      </c>
      <c r="AO110" s="638"/>
      <c r="AP110" s="638"/>
      <c r="AQ110" s="638"/>
      <c r="AR110" s="656" t="s">
        <v>743</v>
      </c>
      <c r="AS110" s="638"/>
      <c r="AT110" s="638"/>
      <c r="AU110" s="638"/>
      <c r="AV110" s="638"/>
      <c r="AW110" s="638"/>
      <c r="AX110" s="638"/>
      <c r="AY110" s="638"/>
      <c r="AZ110" s="638"/>
      <c r="BA110" s="639"/>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row>
    <row r="111" spans="2:105" x14ac:dyDescent="0.35">
      <c r="B111" s="1214"/>
      <c r="C111" s="1211"/>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38"/>
      <c r="AM111" s="638"/>
      <c r="AN111" s="656" t="s">
        <v>738</v>
      </c>
      <c r="AO111" s="638"/>
      <c r="AP111" s="638"/>
      <c r="AQ111" s="638"/>
      <c r="AR111" s="656" t="s">
        <v>738</v>
      </c>
      <c r="AS111" s="638"/>
      <c r="AT111" s="638"/>
      <c r="AU111" s="638"/>
      <c r="AV111" s="638"/>
      <c r="AW111" s="638"/>
      <c r="AX111" s="638"/>
      <c r="AY111" s="638"/>
      <c r="AZ111" s="638"/>
      <c r="BA111" s="639"/>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row>
    <row r="112" spans="2:105" x14ac:dyDescent="0.35">
      <c r="B112" s="1214"/>
      <c r="C112" s="1211"/>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38"/>
      <c r="AM112" s="638"/>
      <c r="AN112" s="656" t="s">
        <v>738</v>
      </c>
      <c r="AO112" s="638"/>
      <c r="AP112" s="638"/>
      <c r="AQ112" s="638"/>
      <c r="AR112" s="656" t="s">
        <v>738</v>
      </c>
      <c r="AS112" s="638"/>
      <c r="AT112" s="638"/>
      <c r="AU112" s="638"/>
      <c r="AV112" s="638"/>
      <c r="AW112" s="638"/>
      <c r="AX112" s="638"/>
      <c r="AY112" s="638"/>
      <c r="AZ112" s="638"/>
      <c r="BA112" s="639"/>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row>
    <row r="113" spans="2:105" x14ac:dyDescent="0.35">
      <c r="B113" s="1214"/>
      <c r="C113" s="1211"/>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38"/>
      <c r="AM113" s="638"/>
      <c r="AN113" s="656" t="s">
        <v>738</v>
      </c>
      <c r="AO113" s="638"/>
      <c r="AP113" s="638"/>
      <c r="AQ113" s="638"/>
      <c r="AR113" s="656" t="s">
        <v>738</v>
      </c>
      <c r="AS113" s="638"/>
      <c r="AT113" s="638"/>
      <c r="AU113" s="638"/>
      <c r="AV113" s="638"/>
      <c r="AW113" s="638"/>
      <c r="AX113" s="638"/>
      <c r="AY113" s="638"/>
      <c r="AZ113" s="638"/>
      <c r="BA113" s="639"/>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row>
    <row r="114" spans="2:105" x14ac:dyDescent="0.35">
      <c r="B114" s="1214"/>
      <c r="C114" s="1211"/>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38"/>
      <c r="AM114" s="638"/>
      <c r="AN114" s="656" t="s">
        <v>738</v>
      </c>
      <c r="AO114" s="638"/>
      <c r="AP114" s="638"/>
      <c r="AQ114" s="638"/>
      <c r="AR114" s="656" t="s">
        <v>738</v>
      </c>
      <c r="AS114" s="638"/>
      <c r="AT114" s="638"/>
      <c r="AU114" s="638"/>
      <c r="AV114" s="638"/>
      <c r="AW114" s="638"/>
      <c r="AX114" s="638"/>
      <c r="AY114" s="638"/>
      <c r="AZ114" s="638"/>
      <c r="BA114" s="639"/>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row>
    <row r="115" spans="2:105" x14ac:dyDescent="0.35">
      <c r="B115" s="1214"/>
      <c r="C115" s="1211"/>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38"/>
      <c r="AM115" s="638"/>
      <c r="AN115" s="656" t="s">
        <v>738</v>
      </c>
      <c r="AO115" s="638"/>
      <c r="AP115" s="638"/>
      <c r="AQ115" s="638"/>
      <c r="AR115" s="656" t="s">
        <v>738</v>
      </c>
      <c r="AS115" s="638"/>
      <c r="AT115" s="638"/>
      <c r="AU115" s="638"/>
      <c r="AV115" s="638"/>
      <c r="AW115" s="638"/>
      <c r="AX115" s="638"/>
      <c r="AY115" s="638"/>
      <c r="AZ115" s="638"/>
      <c r="BA115" s="639"/>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row>
    <row r="116" spans="2:105" x14ac:dyDescent="0.35">
      <c r="B116" s="1214"/>
      <c r="C116" s="1211"/>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38"/>
      <c r="AM116" s="638"/>
      <c r="AN116" s="656" t="s">
        <v>738</v>
      </c>
      <c r="AO116" s="638"/>
      <c r="AP116" s="638"/>
      <c r="AQ116" s="638"/>
      <c r="AR116" s="656" t="s">
        <v>738</v>
      </c>
      <c r="AS116" s="638"/>
      <c r="AT116" s="638"/>
      <c r="AU116" s="638"/>
      <c r="AV116" s="638"/>
      <c r="AW116" s="638"/>
      <c r="AX116" s="638"/>
      <c r="AY116" s="638"/>
      <c r="AZ116" s="638"/>
      <c r="BA116" s="639"/>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row>
    <row r="117" spans="2:105" x14ac:dyDescent="0.35">
      <c r="B117" s="1214"/>
      <c r="C117" s="1211"/>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38"/>
      <c r="AM117" s="638"/>
      <c r="AN117" s="656" t="s">
        <v>743</v>
      </c>
      <c r="AO117" s="638"/>
      <c r="AP117" s="638"/>
      <c r="AQ117" s="638"/>
      <c r="AR117" s="656" t="s">
        <v>743</v>
      </c>
      <c r="AS117" s="638"/>
      <c r="AT117" s="638"/>
      <c r="AU117" s="638"/>
      <c r="AV117" s="638"/>
      <c r="AW117" s="638"/>
      <c r="AX117" s="638"/>
      <c r="AY117" s="638"/>
      <c r="AZ117" s="638"/>
      <c r="BA117" s="639"/>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row>
    <row r="118" spans="2:105" x14ac:dyDescent="0.35">
      <c r="B118" s="1214"/>
      <c r="C118" s="1211"/>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38"/>
      <c r="AM118" s="638"/>
      <c r="AN118" s="656" t="s">
        <v>743</v>
      </c>
      <c r="AO118" s="638"/>
      <c r="AP118" s="638"/>
      <c r="AQ118" s="638"/>
      <c r="AR118" s="656" t="s">
        <v>743</v>
      </c>
      <c r="AS118" s="638"/>
      <c r="AT118" s="638"/>
      <c r="AU118" s="638"/>
      <c r="AV118" s="638"/>
      <c r="AW118" s="638"/>
      <c r="AX118" s="638"/>
      <c r="AY118" s="638"/>
      <c r="AZ118" s="638"/>
      <c r="BA118" s="639"/>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row>
    <row r="119" spans="2:105" x14ac:dyDescent="0.35">
      <c r="B119" s="1214"/>
      <c r="C119" s="1211"/>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38"/>
      <c r="AM119" s="638"/>
      <c r="AN119" s="656" t="s">
        <v>743</v>
      </c>
      <c r="AO119" s="638"/>
      <c r="AP119" s="638"/>
      <c r="AQ119" s="638"/>
      <c r="AR119" s="656" t="s">
        <v>743</v>
      </c>
      <c r="AS119" s="638"/>
      <c r="AT119" s="638"/>
      <c r="AU119" s="638"/>
      <c r="AV119" s="638"/>
      <c r="AW119" s="638"/>
      <c r="AX119" s="638"/>
      <c r="AY119" s="638"/>
      <c r="AZ119" s="638"/>
      <c r="BA119" s="639"/>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row>
    <row r="120" spans="2:105" x14ac:dyDescent="0.35">
      <c r="B120" s="1214"/>
      <c r="C120" s="1211"/>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38"/>
      <c r="AM120" s="638"/>
      <c r="AN120" s="656" t="s">
        <v>743</v>
      </c>
      <c r="AO120" s="638"/>
      <c r="AP120" s="638"/>
      <c r="AQ120" s="638"/>
      <c r="AR120" s="656" t="s">
        <v>743</v>
      </c>
      <c r="AS120" s="638"/>
      <c r="AT120" s="638"/>
      <c r="AU120" s="638"/>
      <c r="AV120" s="638"/>
      <c r="AW120" s="638"/>
      <c r="AX120" s="638"/>
      <c r="AY120" s="638"/>
      <c r="AZ120" s="638"/>
      <c r="BA120" s="639"/>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row>
    <row r="121" spans="2:105" x14ac:dyDescent="0.35">
      <c r="B121" s="1214"/>
      <c r="C121" s="1211"/>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38"/>
      <c r="AM121" s="638"/>
      <c r="AN121" s="656" t="s">
        <v>743</v>
      </c>
      <c r="AO121" s="638"/>
      <c r="AP121" s="638"/>
      <c r="AQ121" s="638"/>
      <c r="AR121" s="656" t="s">
        <v>743</v>
      </c>
      <c r="AS121" s="638"/>
      <c r="AT121" s="638"/>
      <c r="AU121" s="638"/>
      <c r="AV121" s="638"/>
      <c r="AW121" s="638"/>
      <c r="AX121" s="638"/>
      <c r="AY121" s="638"/>
      <c r="AZ121" s="638"/>
      <c r="BA121" s="639"/>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row>
    <row r="122" spans="2:105" x14ac:dyDescent="0.35">
      <c r="B122" s="1214"/>
      <c r="C122" s="1211"/>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38"/>
      <c r="AM122" s="638"/>
      <c r="AN122" s="656" t="s">
        <v>743</v>
      </c>
      <c r="AO122" s="638"/>
      <c r="AP122" s="638"/>
      <c r="AQ122" s="638"/>
      <c r="AR122" s="656" t="s">
        <v>743</v>
      </c>
      <c r="AS122" s="638"/>
      <c r="AT122" s="638"/>
      <c r="AU122" s="638"/>
      <c r="AV122" s="638"/>
      <c r="AW122" s="638"/>
      <c r="AX122" s="638"/>
      <c r="AY122" s="638"/>
      <c r="AZ122" s="638"/>
      <c r="BA122" s="639"/>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row>
    <row r="123" spans="2:105" x14ac:dyDescent="0.35">
      <c r="B123" s="1214"/>
      <c r="C123" s="1211"/>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38"/>
      <c r="AM123" s="638"/>
      <c r="AN123" s="656" t="s">
        <v>743</v>
      </c>
      <c r="AO123" s="638"/>
      <c r="AP123" s="638"/>
      <c r="AQ123" s="638"/>
      <c r="AR123" s="656" t="s">
        <v>743</v>
      </c>
      <c r="AS123" s="638"/>
      <c r="AT123" s="638"/>
      <c r="AU123" s="638"/>
      <c r="AV123" s="638"/>
      <c r="AW123" s="638"/>
      <c r="AX123" s="638"/>
      <c r="AY123" s="638"/>
      <c r="AZ123" s="638"/>
      <c r="BA123" s="639"/>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row>
    <row r="124" spans="2:105" ht="15" thickBot="1" x14ac:dyDescent="0.4">
      <c r="B124" s="1215"/>
      <c r="C124" s="1212"/>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43"/>
      <c r="AM124" s="643"/>
      <c r="AN124" s="660" t="s">
        <v>743</v>
      </c>
      <c r="AO124" s="643"/>
      <c r="AP124" s="643"/>
      <c r="AQ124" s="643"/>
      <c r="AR124" s="660" t="s">
        <v>743</v>
      </c>
      <c r="AS124" s="643"/>
      <c r="AT124" s="643"/>
      <c r="AU124" s="643"/>
      <c r="AV124" s="643"/>
      <c r="AW124" s="643"/>
      <c r="AX124" s="643"/>
      <c r="AY124" s="643"/>
      <c r="AZ124" s="643"/>
      <c r="BA124" s="644"/>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row>
    <row r="125" spans="2:105" ht="15" thickBot="1" x14ac:dyDescent="0.4">
      <c r="B125" s="577" t="s">
        <v>899</v>
      </c>
      <c r="C125" s="1210"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48"/>
      <c r="AM125" s="648"/>
      <c r="AN125" s="650" t="s">
        <v>743</v>
      </c>
      <c r="AO125" s="648"/>
      <c r="AP125" s="648"/>
      <c r="AQ125" s="648"/>
      <c r="AR125" s="650" t="s">
        <v>743</v>
      </c>
      <c r="AS125" s="648"/>
      <c r="AT125" s="648"/>
      <c r="AU125" s="648"/>
      <c r="AV125" s="648"/>
      <c r="AW125" s="648"/>
      <c r="AX125" s="648"/>
      <c r="AY125" s="648"/>
      <c r="AZ125" s="648"/>
      <c r="BA125" s="649"/>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row>
    <row r="126" spans="2:105" x14ac:dyDescent="0.35">
      <c r="B126" s="1213" t="s">
        <v>902</v>
      </c>
      <c r="C126" s="1211"/>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3"/>
      <c r="AM126" s="653"/>
      <c r="AN126" s="651" t="s">
        <v>743</v>
      </c>
      <c r="AO126" s="653"/>
      <c r="AP126" s="653"/>
      <c r="AQ126" s="653"/>
      <c r="AR126" s="651" t="s">
        <v>743</v>
      </c>
      <c r="AS126" s="653"/>
      <c r="AT126" s="653"/>
      <c r="AU126" s="653"/>
      <c r="AV126" s="653"/>
      <c r="AW126" s="653"/>
      <c r="AX126" s="653"/>
      <c r="AY126" s="653"/>
      <c r="AZ126" s="653"/>
      <c r="BA126" s="654"/>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row>
    <row r="127" spans="2:105" x14ac:dyDescent="0.35">
      <c r="B127" s="1214"/>
      <c r="C127" s="1211"/>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38"/>
      <c r="AM127" s="638"/>
      <c r="AN127" s="656" t="s">
        <v>743</v>
      </c>
      <c r="AO127" s="638"/>
      <c r="AP127" s="638"/>
      <c r="AQ127" s="638"/>
      <c r="AR127" s="656" t="s">
        <v>743</v>
      </c>
      <c r="AS127" s="638"/>
      <c r="AT127" s="638"/>
      <c r="AU127" s="638"/>
      <c r="AV127" s="638"/>
      <c r="AW127" s="638"/>
      <c r="AX127" s="638"/>
      <c r="AY127" s="638"/>
      <c r="AZ127" s="638"/>
      <c r="BA127" s="639"/>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row>
    <row r="128" spans="2:105" x14ac:dyDescent="0.35">
      <c r="B128" s="1214"/>
      <c r="C128" s="1211"/>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38"/>
      <c r="AM128" s="638"/>
      <c r="AN128" s="656" t="s">
        <v>738</v>
      </c>
      <c r="AO128" s="638"/>
      <c r="AP128" s="638"/>
      <c r="AQ128" s="638"/>
      <c r="AR128" s="656" t="s">
        <v>738</v>
      </c>
      <c r="AS128" s="638"/>
      <c r="AT128" s="638"/>
      <c r="AU128" s="638"/>
      <c r="AV128" s="638"/>
      <c r="AW128" s="638"/>
      <c r="AX128" s="638"/>
      <c r="AY128" s="638"/>
      <c r="AZ128" s="638"/>
      <c r="BA128" s="639"/>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row>
    <row r="129" spans="2:105" x14ac:dyDescent="0.35">
      <c r="B129" s="1214"/>
      <c r="C129" s="1211"/>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38"/>
      <c r="AM129" s="638"/>
      <c r="AN129" s="656" t="s">
        <v>743</v>
      </c>
      <c r="AO129" s="638"/>
      <c r="AP129" s="638"/>
      <c r="AQ129" s="638"/>
      <c r="AR129" s="656" t="s">
        <v>743</v>
      </c>
      <c r="AS129" s="638"/>
      <c r="AT129" s="638"/>
      <c r="AU129" s="638"/>
      <c r="AV129" s="638"/>
      <c r="AW129" s="638"/>
      <c r="AX129" s="638"/>
      <c r="AY129" s="638"/>
      <c r="AZ129" s="638"/>
      <c r="BA129" s="639"/>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row>
    <row r="130" spans="2:105" x14ac:dyDescent="0.35">
      <c r="B130" s="1214"/>
      <c r="C130" s="1211"/>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38"/>
      <c r="AM130" s="638"/>
      <c r="AN130" s="656" t="s">
        <v>738</v>
      </c>
      <c r="AO130" s="638"/>
      <c r="AP130" s="638"/>
      <c r="AQ130" s="638"/>
      <c r="AR130" s="656" t="s">
        <v>738</v>
      </c>
      <c r="AS130" s="638"/>
      <c r="AT130" s="638"/>
      <c r="AU130" s="638"/>
      <c r="AV130" s="638"/>
      <c r="AW130" s="638"/>
      <c r="AX130" s="638"/>
      <c r="AY130" s="638"/>
      <c r="AZ130" s="638"/>
      <c r="BA130" s="639"/>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row>
    <row r="131" spans="2:105" x14ac:dyDescent="0.35">
      <c r="B131" s="1214"/>
      <c r="C131" s="1211"/>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38"/>
      <c r="AM131" s="638"/>
      <c r="AN131" s="656" t="s">
        <v>743</v>
      </c>
      <c r="AO131" s="638"/>
      <c r="AP131" s="638"/>
      <c r="AQ131" s="638"/>
      <c r="AR131" s="656" t="s">
        <v>743</v>
      </c>
      <c r="AS131" s="638"/>
      <c r="AT131" s="638"/>
      <c r="AU131" s="638"/>
      <c r="AV131" s="638"/>
      <c r="AW131" s="638"/>
      <c r="AX131" s="638"/>
      <c r="AY131" s="638"/>
      <c r="AZ131" s="638"/>
      <c r="BA131" s="639"/>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row>
    <row r="132" spans="2:105" x14ac:dyDescent="0.35">
      <c r="B132" s="1214"/>
      <c r="C132" s="1211"/>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38"/>
      <c r="AM132" s="638"/>
      <c r="AN132" s="656" t="s">
        <v>738</v>
      </c>
      <c r="AO132" s="638"/>
      <c r="AP132" s="638"/>
      <c r="AQ132" s="638"/>
      <c r="AR132" s="656" t="s">
        <v>738</v>
      </c>
      <c r="AS132" s="638"/>
      <c r="AT132" s="638"/>
      <c r="AU132" s="638"/>
      <c r="AV132" s="638"/>
      <c r="AW132" s="638"/>
      <c r="AX132" s="638"/>
      <c r="AY132" s="638"/>
      <c r="AZ132" s="638"/>
      <c r="BA132" s="639"/>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row>
    <row r="133" spans="2:105" x14ac:dyDescent="0.35">
      <c r="B133" s="1214"/>
      <c r="C133" s="1211"/>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38"/>
      <c r="AM133" s="638"/>
      <c r="AN133" s="656" t="s">
        <v>738</v>
      </c>
      <c r="AO133" s="638"/>
      <c r="AP133" s="638"/>
      <c r="AQ133" s="638"/>
      <c r="AR133" s="656" t="s">
        <v>738</v>
      </c>
      <c r="AS133" s="638"/>
      <c r="AT133" s="638"/>
      <c r="AU133" s="638"/>
      <c r="AV133" s="638"/>
      <c r="AW133" s="638"/>
      <c r="AX133" s="638"/>
      <c r="AY133" s="638"/>
      <c r="AZ133" s="638"/>
      <c r="BA133" s="639"/>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row>
    <row r="134" spans="2:105" x14ac:dyDescent="0.35">
      <c r="B134" s="1214"/>
      <c r="C134" s="1211"/>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38"/>
      <c r="AM134" s="638"/>
      <c r="AN134" s="656" t="s">
        <v>743</v>
      </c>
      <c r="AO134" s="638"/>
      <c r="AP134" s="638"/>
      <c r="AQ134" s="638"/>
      <c r="AR134" s="656" t="s">
        <v>743</v>
      </c>
      <c r="AS134" s="638"/>
      <c r="AT134" s="638"/>
      <c r="AU134" s="638"/>
      <c r="AV134" s="638"/>
      <c r="AW134" s="638"/>
      <c r="AX134" s="638"/>
      <c r="AY134" s="638"/>
      <c r="AZ134" s="638"/>
      <c r="BA134" s="639"/>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row>
    <row r="135" spans="2:105" x14ac:dyDescent="0.35">
      <c r="B135" s="1214"/>
      <c r="C135" s="1211"/>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38"/>
      <c r="AM135" s="638"/>
      <c r="AN135" s="656" t="s">
        <v>743</v>
      </c>
      <c r="AO135" s="638"/>
      <c r="AP135" s="638"/>
      <c r="AQ135" s="638"/>
      <c r="AR135" s="656" t="s">
        <v>743</v>
      </c>
      <c r="AS135" s="638"/>
      <c r="AT135" s="638"/>
      <c r="AU135" s="638"/>
      <c r="AV135" s="638"/>
      <c r="AW135" s="638"/>
      <c r="AX135" s="638"/>
      <c r="AY135" s="638"/>
      <c r="AZ135" s="638"/>
      <c r="BA135" s="639"/>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row>
    <row r="136" spans="2:105" x14ac:dyDescent="0.35">
      <c r="B136" s="1214"/>
      <c r="C136" s="1211"/>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38"/>
      <c r="AM136" s="638"/>
      <c r="AN136" s="656" t="s">
        <v>743</v>
      </c>
      <c r="AO136" s="638"/>
      <c r="AP136" s="638"/>
      <c r="AQ136" s="638"/>
      <c r="AR136" s="656" t="s">
        <v>743</v>
      </c>
      <c r="AS136" s="638"/>
      <c r="AT136" s="638"/>
      <c r="AU136" s="638"/>
      <c r="AV136" s="638"/>
      <c r="AW136" s="638"/>
      <c r="AX136" s="638"/>
      <c r="AY136" s="638"/>
      <c r="AZ136" s="638"/>
      <c r="BA136" s="639"/>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row>
    <row r="137" spans="2:105" x14ac:dyDescent="0.35">
      <c r="B137" s="1214"/>
      <c r="C137" s="1211"/>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38"/>
      <c r="AM137" s="638"/>
      <c r="AN137" s="656" t="s">
        <v>743</v>
      </c>
      <c r="AO137" s="638"/>
      <c r="AP137" s="638"/>
      <c r="AQ137" s="638"/>
      <c r="AR137" s="656" t="s">
        <v>743</v>
      </c>
      <c r="AS137" s="638"/>
      <c r="AT137" s="638"/>
      <c r="AU137" s="638"/>
      <c r="AV137" s="638"/>
      <c r="AW137" s="638"/>
      <c r="AX137" s="638"/>
      <c r="AY137" s="638"/>
      <c r="AZ137" s="638"/>
      <c r="BA137" s="639"/>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row>
    <row r="138" spans="2:105" x14ac:dyDescent="0.35">
      <c r="B138" s="1214"/>
      <c r="C138" s="1211"/>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38"/>
      <c r="AM138" s="638"/>
      <c r="AN138" s="656" t="s">
        <v>743</v>
      </c>
      <c r="AO138" s="638"/>
      <c r="AP138" s="638"/>
      <c r="AQ138" s="638"/>
      <c r="AR138" s="656" t="s">
        <v>743</v>
      </c>
      <c r="AS138" s="638"/>
      <c r="AT138" s="638"/>
      <c r="AU138" s="638"/>
      <c r="AV138" s="638"/>
      <c r="AW138" s="638"/>
      <c r="AX138" s="638"/>
      <c r="AY138" s="638"/>
      <c r="AZ138" s="638"/>
      <c r="BA138" s="639"/>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row>
    <row r="139" spans="2:105" x14ac:dyDescent="0.35">
      <c r="B139" s="1214"/>
      <c r="C139" s="1211"/>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38"/>
      <c r="AM139" s="638"/>
      <c r="AN139" s="656" t="s">
        <v>743</v>
      </c>
      <c r="AO139" s="638"/>
      <c r="AP139" s="638"/>
      <c r="AQ139" s="638"/>
      <c r="AR139" s="656" t="s">
        <v>743</v>
      </c>
      <c r="AS139" s="638"/>
      <c r="AT139" s="638"/>
      <c r="AU139" s="638"/>
      <c r="AV139" s="638"/>
      <c r="AW139" s="638"/>
      <c r="AX139" s="638"/>
      <c r="AY139" s="638"/>
      <c r="AZ139" s="638"/>
      <c r="BA139" s="639"/>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row>
    <row r="140" spans="2:105" x14ac:dyDescent="0.35">
      <c r="B140" s="1214"/>
      <c r="C140" s="1211"/>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38"/>
      <c r="AM140" s="638"/>
      <c r="AN140" s="656" t="s">
        <v>743</v>
      </c>
      <c r="AO140" s="638"/>
      <c r="AP140" s="638"/>
      <c r="AQ140" s="638"/>
      <c r="AR140" s="656" t="s">
        <v>743</v>
      </c>
      <c r="AS140" s="638"/>
      <c r="AT140" s="638"/>
      <c r="AU140" s="638"/>
      <c r="AV140" s="638"/>
      <c r="AW140" s="638"/>
      <c r="AX140" s="638"/>
      <c r="AY140" s="638"/>
      <c r="AZ140" s="638"/>
      <c r="BA140" s="639"/>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row>
    <row r="141" spans="2:105" ht="15" thickBot="1" x14ac:dyDescent="0.4">
      <c r="B141" s="1215"/>
      <c r="C141" s="1212"/>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43"/>
      <c r="AM141" s="643"/>
      <c r="AN141" s="660" t="s">
        <v>743</v>
      </c>
      <c r="AO141" s="643"/>
      <c r="AP141" s="643"/>
      <c r="AQ141" s="643"/>
      <c r="AR141" s="660" t="s">
        <v>743</v>
      </c>
      <c r="AS141" s="643"/>
      <c r="AT141" s="643"/>
      <c r="AU141" s="643"/>
      <c r="AV141" s="643"/>
      <c r="AW141" s="643"/>
      <c r="AX141" s="643"/>
      <c r="AY141" s="643"/>
      <c r="AZ141" s="643"/>
      <c r="BA141" s="644"/>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row>
    <row r="142" spans="2:105" ht="15" thickBot="1" x14ac:dyDescent="0.4">
      <c r="B142" s="577" t="s">
        <v>919</v>
      </c>
      <c r="C142" s="1210"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48"/>
      <c r="AM142" s="648"/>
      <c r="AN142" s="650" t="s">
        <v>743</v>
      </c>
      <c r="AO142" s="648"/>
      <c r="AP142" s="648"/>
      <c r="AQ142" s="648"/>
      <c r="AR142" s="650" t="s">
        <v>743</v>
      </c>
      <c r="AS142" s="648"/>
      <c r="AT142" s="648"/>
      <c r="AU142" s="648"/>
      <c r="AV142" s="648"/>
      <c r="AW142" s="648"/>
      <c r="AX142" s="648"/>
      <c r="AY142" s="648"/>
      <c r="AZ142" s="648"/>
      <c r="BA142" s="649"/>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row>
    <row r="143" spans="2:105" x14ac:dyDescent="0.35">
      <c r="B143" s="1213" t="s">
        <v>922</v>
      </c>
      <c r="C143" s="1211"/>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3"/>
      <c r="AM143" s="653"/>
      <c r="AN143" s="651" t="s">
        <v>743</v>
      </c>
      <c r="AO143" s="653"/>
      <c r="AP143" s="653"/>
      <c r="AQ143" s="653"/>
      <c r="AR143" s="651" t="s">
        <v>743</v>
      </c>
      <c r="AS143" s="653"/>
      <c r="AT143" s="653"/>
      <c r="AU143" s="653"/>
      <c r="AV143" s="653"/>
      <c r="AW143" s="653"/>
      <c r="AX143" s="653"/>
      <c r="AY143" s="653"/>
      <c r="AZ143" s="653"/>
      <c r="BA143" s="654"/>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row>
    <row r="144" spans="2:105" x14ac:dyDescent="0.35">
      <c r="B144" s="1214"/>
      <c r="C144" s="1211"/>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38"/>
      <c r="AM144" s="638"/>
      <c r="AN144" s="656" t="s">
        <v>743</v>
      </c>
      <c r="AO144" s="638"/>
      <c r="AP144" s="638"/>
      <c r="AQ144" s="638"/>
      <c r="AR144" s="656" t="s">
        <v>743</v>
      </c>
      <c r="AS144" s="638"/>
      <c r="AT144" s="638"/>
      <c r="AU144" s="638"/>
      <c r="AV144" s="638"/>
      <c r="AW144" s="638"/>
      <c r="AX144" s="638"/>
      <c r="AY144" s="638"/>
      <c r="AZ144" s="638"/>
      <c r="BA144" s="639"/>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row>
    <row r="145" spans="2:105" x14ac:dyDescent="0.35">
      <c r="B145" s="1214"/>
      <c r="C145" s="1211"/>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38"/>
      <c r="AM145" s="638"/>
      <c r="AN145" s="656" t="s">
        <v>738</v>
      </c>
      <c r="AO145" s="638"/>
      <c r="AP145" s="638"/>
      <c r="AQ145" s="638"/>
      <c r="AR145" s="656" t="s">
        <v>738</v>
      </c>
      <c r="AS145" s="638"/>
      <c r="AT145" s="638"/>
      <c r="AU145" s="638"/>
      <c r="AV145" s="638"/>
      <c r="AW145" s="638"/>
      <c r="AX145" s="638"/>
      <c r="AY145" s="638"/>
      <c r="AZ145" s="638"/>
      <c r="BA145" s="639"/>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row>
    <row r="146" spans="2:105" x14ac:dyDescent="0.35">
      <c r="B146" s="1214"/>
      <c r="C146" s="1211"/>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38"/>
      <c r="AM146" s="638"/>
      <c r="AN146" s="656" t="s">
        <v>743</v>
      </c>
      <c r="AO146" s="638"/>
      <c r="AP146" s="638"/>
      <c r="AQ146" s="638"/>
      <c r="AR146" s="656" t="s">
        <v>743</v>
      </c>
      <c r="AS146" s="638"/>
      <c r="AT146" s="638"/>
      <c r="AU146" s="638"/>
      <c r="AV146" s="638"/>
      <c r="AW146" s="638"/>
      <c r="AX146" s="638"/>
      <c r="AY146" s="638"/>
      <c r="AZ146" s="638"/>
      <c r="BA146" s="639"/>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row>
    <row r="147" spans="2:105" x14ac:dyDescent="0.35">
      <c r="B147" s="1214"/>
      <c r="C147" s="1211"/>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38"/>
      <c r="AM147" s="638"/>
      <c r="AN147" s="656" t="s">
        <v>738</v>
      </c>
      <c r="AO147" s="638"/>
      <c r="AP147" s="638"/>
      <c r="AQ147" s="638"/>
      <c r="AR147" s="656" t="s">
        <v>738</v>
      </c>
      <c r="AS147" s="638"/>
      <c r="AT147" s="638"/>
      <c r="AU147" s="638"/>
      <c r="AV147" s="638"/>
      <c r="AW147" s="638"/>
      <c r="AX147" s="638"/>
      <c r="AY147" s="638"/>
      <c r="AZ147" s="638"/>
      <c r="BA147" s="639"/>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row>
    <row r="148" spans="2:105" x14ac:dyDescent="0.35">
      <c r="B148" s="1214"/>
      <c r="C148" s="1211"/>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38"/>
      <c r="AM148" s="638"/>
      <c r="AN148" s="656" t="s">
        <v>743</v>
      </c>
      <c r="AO148" s="638"/>
      <c r="AP148" s="638"/>
      <c r="AQ148" s="638"/>
      <c r="AR148" s="656" t="s">
        <v>743</v>
      </c>
      <c r="AS148" s="638"/>
      <c r="AT148" s="638"/>
      <c r="AU148" s="638"/>
      <c r="AV148" s="638"/>
      <c r="AW148" s="638"/>
      <c r="AX148" s="638"/>
      <c r="AY148" s="638"/>
      <c r="AZ148" s="638"/>
      <c r="BA148" s="639"/>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row>
    <row r="149" spans="2:105" x14ac:dyDescent="0.35">
      <c r="B149" s="1214"/>
      <c r="C149" s="1211"/>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38"/>
      <c r="AM149" s="638"/>
      <c r="AN149" s="656" t="s">
        <v>743</v>
      </c>
      <c r="AO149" s="638"/>
      <c r="AP149" s="638"/>
      <c r="AQ149" s="638"/>
      <c r="AR149" s="656" t="s">
        <v>743</v>
      </c>
      <c r="AS149" s="638"/>
      <c r="AT149" s="638"/>
      <c r="AU149" s="638"/>
      <c r="AV149" s="638"/>
      <c r="AW149" s="638"/>
      <c r="AX149" s="638"/>
      <c r="AY149" s="638"/>
      <c r="AZ149" s="638"/>
      <c r="BA149" s="639"/>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row>
    <row r="150" spans="2:105" x14ac:dyDescent="0.35">
      <c r="B150" s="1214"/>
      <c r="C150" s="1211"/>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38"/>
      <c r="AM150" s="638"/>
      <c r="AN150" s="656" t="s">
        <v>738</v>
      </c>
      <c r="AO150" s="638"/>
      <c r="AP150" s="638"/>
      <c r="AQ150" s="638"/>
      <c r="AR150" s="656" t="s">
        <v>738</v>
      </c>
      <c r="AS150" s="638"/>
      <c r="AT150" s="638"/>
      <c r="AU150" s="638"/>
      <c r="AV150" s="638"/>
      <c r="AW150" s="638"/>
      <c r="AX150" s="638"/>
      <c r="AY150" s="638"/>
      <c r="AZ150" s="638"/>
      <c r="BA150" s="639"/>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row>
    <row r="151" spans="2:105" x14ac:dyDescent="0.35">
      <c r="B151" s="1214"/>
      <c r="C151" s="1211"/>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38"/>
      <c r="AM151" s="638"/>
      <c r="AN151" s="656" t="s">
        <v>743</v>
      </c>
      <c r="AO151" s="638"/>
      <c r="AP151" s="638"/>
      <c r="AQ151" s="638"/>
      <c r="AR151" s="656" t="s">
        <v>743</v>
      </c>
      <c r="AS151" s="638"/>
      <c r="AT151" s="638"/>
      <c r="AU151" s="638"/>
      <c r="AV151" s="638"/>
      <c r="AW151" s="638"/>
      <c r="AX151" s="638"/>
      <c r="AY151" s="638"/>
      <c r="AZ151" s="638"/>
      <c r="BA151" s="639"/>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row>
    <row r="152" spans="2:105" x14ac:dyDescent="0.35">
      <c r="B152" s="1214"/>
      <c r="C152" s="1211"/>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38"/>
      <c r="AM152" s="638"/>
      <c r="AN152" s="656" t="s">
        <v>743</v>
      </c>
      <c r="AO152" s="638"/>
      <c r="AP152" s="638"/>
      <c r="AQ152" s="638"/>
      <c r="AR152" s="656" t="s">
        <v>743</v>
      </c>
      <c r="AS152" s="638"/>
      <c r="AT152" s="638"/>
      <c r="AU152" s="638"/>
      <c r="AV152" s="638"/>
      <c r="AW152" s="638"/>
      <c r="AX152" s="638"/>
      <c r="AY152" s="638"/>
      <c r="AZ152" s="638"/>
      <c r="BA152" s="639"/>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row>
    <row r="153" spans="2:105" x14ac:dyDescent="0.35">
      <c r="B153" s="1214"/>
      <c r="C153" s="1211"/>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38"/>
      <c r="AM153" s="638"/>
      <c r="AN153" s="656" t="s">
        <v>743</v>
      </c>
      <c r="AO153" s="638"/>
      <c r="AP153" s="638"/>
      <c r="AQ153" s="638"/>
      <c r="AR153" s="656" t="s">
        <v>743</v>
      </c>
      <c r="AS153" s="638"/>
      <c r="AT153" s="638"/>
      <c r="AU153" s="638"/>
      <c r="AV153" s="638"/>
      <c r="AW153" s="638"/>
      <c r="AX153" s="638"/>
      <c r="AY153" s="638"/>
      <c r="AZ153" s="638"/>
      <c r="BA153" s="639"/>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row>
    <row r="154" spans="2:105" x14ac:dyDescent="0.35">
      <c r="B154" s="1214"/>
      <c r="C154" s="1211"/>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38"/>
      <c r="AM154" s="638"/>
      <c r="AN154" s="656" t="s">
        <v>743</v>
      </c>
      <c r="AO154" s="638"/>
      <c r="AP154" s="638"/>
      <c r="AQ154" s="638"/>
      <c r="AR154" s="656" t="s">
        <v>743</v>
      </c>
      <c r="AS154" s="638"/>
      <c r="AT154" s="638"/>
      <c r="AU154" s="638"/>
      <c r="AV154" s="638"/>
      <c r="AW154" s="638"/>
      <c r="AX154" s="638"/>
      <c r="AY154" s="638"/>
      <c r="AZ154" s="638"/>
      <c r="BA154" s="639"/>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row>
    <row r="155" spans="2:105" x14ac:dyDescent="0.35">
      <c r="B155" s="1214"/>
      <c r="C155" s="1211"/>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38"/>
      <c r="AM155" s="638"/>
      <c r="AN155" s="656" t="s">
        <v>743</v>
      </c>
      <c r="AO155" s="638"/>
      <c r="AP155" s="638"/>
      <c r="AQ155" s="638"/>
      <c r="AR155" s="656" t="s">
        <v>743</v>
      </c>
      <c r="AS155" s="638"/>
      <c r="AT155" s="638"/>
      <c r="AU155" s="638"/>
      <c r="AV155" s="638"/>
      <c r="AW155" s="638"/>
      <c r="AX155" s="638"/>
      <c r="AY155" s="638"/>
      <c r="AZ155" s="638"/>
      <c r="BA155" s="639"/>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row>
    <row r="156" spans="2:105" x14ac:dyDescent="0.35">
      <c r="B156" s="1214"/>
      <c r="C156" s="1211"/>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38"/>
      <c r="AM156" s="638"/>
      <c r="AN156" s="656" t="s">
        <v>743</v>
      </c>
      <c r="AO156" s="638"/>
      <c r="AP156" s="638"/>
      <c r="AQ156" s="638"/>
      <c r="AR156" s="656" t="s">
        <v>743</v>
      </c>
      <c r="AS156" s="638"/>
      <c r="AT156" s="638"/>
      <c r="AU156" s="638"/>
      <c r="AV156" s="638"/>
      <c r="AW156" s="638"/>
      <c r="AX156" s="638"/>
      <c r="AY156" s="638"/>
      <c r="AZ156" s="638"/>
      <c r="BA156" s="639"/>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row>
    <row r="157" spans="2:105" x14ac:dyDescent="0.35">
      <c r="B157" s="1214"/>
      <c r="C157" s="1211"/>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38"/>
      <c r="AM157" s="638"/>
      <c r="AN157" s="656" t="s">
        <v>743</v>
      </c>
      <c r="AO157" s="638"/>
      <c r="AP157" s="638"/>
      <c r="AQ157" s="638"/>
      <c r="AR157" s="656" t="s">
        <v>743</v>
      </c>
      <c r="AS157" s="638"/>
      <c r="AT157" s="638"/>
      <c r="AU157" s="638"/>
      <c r="AV157" s="638"/>
      <c r="AW157" s="638"/>
      <c r="AX157" s="638"/>
      <c r="AY157" s="638"/>
      <c r="AZ157" s="638"/>
      <c r="BA157" s="639"/>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row>
    <row r="158" spans="2:105" ht="15" thickBot="1" x14ac:dyDescent="0.4">
      <c r="B158" s="1214"/>
      <c r="C158" s="1211"/>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43"/>
      <c r="AM158" s="643"/>
      <c r="AN158" s="660" t="s">
        <v>743</v>
      </c>
      <c r="AO158" s="643"/>
      <c r="AP158" s="643"/>
      <c r="AQ158" s="643"/>
      <c r="AR158" s="660" t="s">
        <v>743</v>
      </c>
      <c r="AS158" s="643"/>
      <c r="AT158" s="643"/>
      <c r="AU158" s="643"/>
      <c r="AV158" s="643"/>
      <c r="AW158" s="643"/>
      <c r="AX158" s="643"/>
      <c r="AY158" s="643"/>
      <c r="AZ158" s="643"/>
      <c r="BA158" s="644"/>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row>
    <row r="159" spans="2:105" ht="15" thickBot="1" x14ac:dyDescent="0.4">
      <c r="B159" s="569" t="s">
        <v>939</v>
      </c>
      <c r="C159" s="1216"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48"/>
      <c r="AM159" s="648"/>
      <c r="AN159" s="650" t="s">
        <v>743</v>
      </c>
      <c r="AO159" s="648"/>
      <c r="AP159" s="648"/>
      <c r="AQ159" s="648"/>
      <c r="AR159" s="650" t="s">
        <v>743</v>
      </c>
      <c r="AS159" s="648"/>
      <c r="AT159" s="648"/>
      <c r="AU159" s="648"/>
      <c r="AV159" s="648"/>
      <c r="AW159" s="648"/>
      <c r="AX159" s="648"/>
      <c r="AY159" s="648"/>
      <c r="AZ159" s="648"/>
      <c r="BA159" s="649"/>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row>
    <row r="160" spans="2:105" x14ac:dyDescent="0.35">
      <c r="B160" s="1213" t="s">
        <v>942</v>
      </c>
      <c r="C160" s="1217"/>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3"/>
      <c r="AM160" s="653"/>
      <c r="AN160" s="651" t="s">
        <v>743</v>
      </c>
      <c r="AO160" s="653"/>
      <c r="AP160" s="653"/>
      <c r="AQ160" s="653"/>
      <c r="AR160" s="651" t="s">
        <v>743</v>
      </c>
      <c r="AS160" s="653"/>
      <c r="AT160" s="653"/>
      <c r="AU160" s="653"/>
      <c r="AV160" s="653"/>
      <c r="AW160" s="653"/>
      <c r="AX160" s="653"/>
      <c r="AY160" s="653"/>
      <c r="AZ160" s="653"/>
      <c r="BA160" s="654"/>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row>
    <row r="161" spans="2:105" x14ac:dyDescent="0.35">
      <c r="B161" s="1214"/>
      <c r="C161" s="1217"/>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38"/>
      <c r="AM161" s="638"/>
      <c r="AN161" s="656" t="s">
        <v>743</v>
      </c>
      <c r="AO161" s="638"/>
      <c r="AP161" s="638"/>
      <c r="AQ161" s="638"/>
      <c r="AR161" s="656" t="s">
        <v>743</v>
      </c>
      <c r="AS161" s="638"/>
      <c r="AT161" s="638"/>
      <c r="AU161" s="638"/>
      <c r="AV161" s="638"/>
      <c r="AW161" s="638"/>
      <c r="AX161" s="638"/>
      <c r="AY161" s="638"/>
      <c r="AZ161" s="638"/>
      <c r="BA161" s="639"/>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row>
    <row r="162" spans="2:105" x14ac:dyDescent="0.35">
      <c r="B162" s="1214"/>
      <c r="C162" s="1217"/>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38"/>
      <c r="AM162" s="638"/>
      <c r="AN162" s="656" t="s">
        <v>738</v>
      </c>
      <c r="AO162" s="638"/>
      <c r="AP162" s="638"/>
      <c r="AQ162" s="638"/>
      <c r="AR162" s="656" t="s">
        <v>738</v>
      </c>
      <c r="AS162" s="638"/>
      <c r="AT162" s="638"/>
      <c r="AU162" s="638"/>
      <c r="AV162" s="638"/>
      <c r="AW162" s="638"/>
      <c r="AX162" s="638"/>
      <c r="AY162" s="638"/>
      <c r="AZ162" s="638"/>
      <c r="BA162" s="639"/>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row>
    <row r="163" spans="2:105" x14ac:dyDescent="0.35">
      <c r="B163" s="1214"/>
      <c r="C163" s="1217"/>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38"/>
      <c r="AM163" s="638"/>
      <c r="AN163" s="656" t="s">
        <v>743</v>
      </c>
      <c r="AO163" s="638"/>
      <c r="AP163" s="638"/>
      <c r="AQ163" s="638"/>
      <c r="AR163" s="656" t="s">
        <v>743</v>
      </c>
      <c r="AS163" s="638"/>
      <c r="AT163" s="638"/>
      <c r="AU163" s="638"/>
      <c r="AV163" s="638"/>
      <c r="AW163" s="638"/>
      <c r="AX163" s="638"/>
      <c r="AY163" s="638"/>
      <c r="AZ163" s="638"/>
      <c r="BA163" s="639"/>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row>
    <row r="164" spans="2:105" x14ac:dyDescent="0.35">
      <c r="B164" s="1214"/>
      <c r="C164" s="1217"/>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38"/>
      <c r="AM164" s="638"/>
      <c r="AN164" s="656" t="s">
        <v>743</v>
      </c>
      <c r="AO164" s="638"/>
      <c r="AP164" s="638"/>
      <c r="AQ164" s="638"/>
      <c r="AR164" s="656" t="s">
        <v>743</v>
      </c>
      <c r="AS164" s="638"/>
      <c r="AT164" s="638"/>
      <c r="AU164" s="638"/>
      <c r="AV164" s="638"/>
      <c r="AW164" s="638"/>
      <c r="AX164" s="638"/>
      <c r="AY164" s="638"/>
      <c r="AZ164" s="638"/>
      <c r="BA164" s="639"/>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row>
    <row r="165" spans="2:105" x14ac:dyDescent="0.35">
      <c r="B165" s="1214"/>
      <c r="C165" s="1217"/>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38"/>
      <c r="AM165" s="638"/>
      <c r="AN165" s="656" t="s">
        <v>743</v>
      </c>
      <c r="AO165" s="638"/>
      <c r="AP165" s="638"/>
      <c r="AQ165" s="638"/>
      <c r="AR165" s="656" t="s">
        <v>743</v>
      </c>
      <c r="AS165" s="638"/>
      <c r="AT165" s="638"/>
      <c r="AU165" s="638"/>
      <c r="AV165" s="638"/>
      <c r="AW165" s="638"/>
      <c r="AX165" s="638"/>
      <c r="AY165" s="638"/>
      <c r="AZ165" s="638"/>
      <c r="BA165" s="639"/>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row>
    <row r="166" spans="2:105" x14ac:dyDescent="0.35">
      <c r="B166" s="1214"/>
      <c r="C166" s="1217"/>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38"/>
      <c r="AM166" s="638"/>
      <c r="AN166" s="656" t="s">
        <v>743</v>
      </c>
      <c r="AO166" s="638"/>
      <c r="AP166" s="638"/>
      <c r="AQ166" s="638"/>
      <c r="AR166" s="656" t="s">
        <v>743</v>
      </c>
      <c r="AS166" s="638"/>
      <c r="AT166" s="638"/>
      <c r="AU166" s="638"/>
      <c r="AV166" s="638"/>
      <c r="AW166" s="638"/>
      <c r="AX166" s="638"/>
      <c r="AY166" s="638"/>
      <c r="AZ166" s="638"/>
      <c r="BA166" s="639"/>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row>
    <row r="167" spans="2:105" x14ac:dyDescent="0.35">
      <c r="B167" s="1214"/>
      <c r="C167" s="1217"/>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38"/>
      <c r="AM167" s="638"/>
      <c r="AN167" s="656" t="s">
        <v>743</v>
      </c>
      <c r="AO167" s="638"/>
      <c r="AP167" s="638"/>
      <c r="AQ167" s="638"/>
      <c r="AR167" s="656" t="s">
        <v>743</v>
      </c>
      <c r="AS167" s="638"/>
      <c r="AT167" s="638"/>
      <c r="AU167" s="638"/>
      <c r="AV167" s="638"/>
      <c r="AW167" s="638"/>
      <c r="AX167" s="638"/>
      <c r="AY167" s="638"/>
      <c r="AZ167" s="638"/>
      <c r="BA167" s="639"/>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row>
    <row r="168" spans="2:105" x14ac:dyDescent="0.35">
      <c r="B168" s="1214"/>
      <c r="C168" s="1217"/>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38"/>
      <c r="AM168" s="638"/>
      <c r="AN168" s="656" t="s">
        <v>743</v>
      </c>
      <c r="AO168" s="638"/>
      <c r="AP168" s="638"/>
      <c r="AQ168" s="638"/>
      <c r="AR168" s="656" t="s">
        <v>743</v>
      </c>
      <c r="AS168" s="638"/>
      <c r="AT168" s="638"/>
      <c r="AU168" s="638"/>
      <c r="AV168" s="638"/>
      <c r="AW168" s="638"/>
      <c r="AX168" s="638"/>
      <c r="AY168" s="638"/>
      <c r="AZ168" s="638"/>
      <c r="BA168" s="639"/>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row>
    <row r="169" spans="2:105" x14ac:dyDescent="0.35">
      <c r="B169" s="1214"/>
      <c r="C169" s="1217"/>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38"/>
      <c r="AM169" s="638"/>
      <c r="AN169" s="656" t="s">
        <v>743</v>
      </c>
      <c r="AO169" s="638"/>
      <c r="AP169" s="638"/>
      <c r="AQ169" s="638"/>
      <c r="AR169" s="656" t="s">
        <v>743</v>
      </c>
      <c r="AS169" s="638"/>
      <c r="AT169" s="638"/>
      <c r="AU169" s="638"/>
      <c r="AV169" s="638"/>
      <c r="AW169" s="638"/>
      <c r="AX169" s="638"/>
      <c r="AY169" s="638"/>
      <c r="AZ169" s="638"/>
      <c r="BA169" s="639"/>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row>
    <row r="170" spans="2:105" x14ac:dyDescent="0.35">
      <c r="B170" s="1214"/>
      <c r="C170" s="1217"/>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38"/>
      <c r="AM170" s="638"/>
      <c r="AN170" s="656" t="s">
        <v>743</v>
      </c>
      <c r="AO170" s="638"/>
      <c r="AP170" s="638"/>
      <c r="AQ170" s="638"/>
      <c r="AR170" s="656" t="s">
        <v>743</v>
      </c>
      <c r="AS170" s="638"/>
      <c r="AT170" s="638"/>
      <c r="AU170" s="638"/>
      <c r="AV170" s="638"/>
      <c r="AW170" s="638"/>
      <c r="AX170" s="638"/>
      <c r="AY170" s="638"/>
      <c r="AZ170" s="638"/>
      <c r="BA170" s="639"/>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row>
    <row r="171" spans="2:105" x14ac:dyDescent="0.35">
      <c r="B171" s="1214"/>
      <c r="C171" s="1217"/>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38"/>
      <c r="AM171" s="638"/>
      <c r="AN171" s="656" t="s">
        <v>743</v>
      </c>
      <c r="AO171" s="638"/>
      <c r="AP171" s="638"/>
      <c r="AQ171" s="638"/>
      <c r="AR171" s="656" t="s">
        <v>743</v>
      </c>
      <c r="AS171" s="638"/>
      <c r="AT171" s="638"/>
      <c r="AU171" s="638"/>
      <c r="AV171" s="638"/>
      <c r="AW171" s="638"/>
      <c r="AX171" s="638"/>
      <c r="AY171" s="638"/>
      <c r="AZ171" s="638"/>
      <c r="BA171" s="639"/>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row>
    <row r="172" spans="2:105" x14ac:dyDescent="0.35">
      <c r="B172" s="1214"/>
      <c r="C172" s="1217"/>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38"/>
      <c r="AM172" s="638"/>
      <c r="AN172" s="656" t="s">
        <v>743</v>
      </c>
      <c r="AO172" s="638"/>
      <c r="AP172" s="638"/>
      <c r="AQ172" s="638"/>
      <c r="AR172" s="656" t="s">
        <v>743</v>
      </c>
      <c r="AS172" s="638"/>
      <c r="AT172" s="638"/>
      <c r="AU172" s="638"/>
      <c r="AV172" s="638"/>
      <c r="AW172" s="638"/>
      <c r="AX172" s="638"/>
      <c r="AY172" s="638"/>
      <c r="AZ172" s="638"/>
      <c r="BA172" s="639"/>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row>
    <row r="173" spans="2:105" x14ac:dyDescent="0.35">
      <c r="B173" s="1214"/>
      <c r="C173" s="1217"/>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38"/>
      <c r="AM173" s="638"/>
      <c r="AN173" s="656" t="s">
        <v>743</v>
      </c>
      <c r="AO173" s="638"/>
      <c r="AP173" s="638"/>
      <c r="AQ173" s="638"/>
      <c r="AR173" s="656" t="s">
        <v>743</v>
      </c>
      <c r="AS173" s="638"/>
      <c r="AT173" s="638"/>
      <c r="AU173" s="638"/>
      <c r="AV173" s="638"/>
      <c r="AW173" s="638"/>
      <c r="AX173" s="638"/>
      <c r="AY173" s="638"/>
      <c r="AZ173" s="638"/>
      <c r="BA173" s="639"/>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row>
    <row r="174" spans="2:105" x14ac:dyDescent="0.35">
      <c r="B174" s="1214"/>
      <c r="C174" s="1217"/>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38"/>
      <c r="AM174" s="638"/>
      <c r="AN174" s="656" t="s">
        <v>743</v>
      </c>
      <c r="AO174" s="638"/>
      <c r="AP174" s="638"/>
      <c r="AQ174" s="638"/>
      <c r="AR174" s="656" t="s">
        <v>743</v>
      </c>
      <c r="AS174" s="638"/>
      <c r="AT174" s="638"/>
      <c r="AU174" s="638"/>
      <c r="AV174" s="638"/>
      <c r="AW174" s="638"/>
      <c r="AX174" s="638"/>
      <c r="AY174" s="638"/>
      <c r="AZ174" s="638"/>
      <c r="BA174" s="639"/>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row>
    <row r="175" spans="2:105" ht="15" thickBot="1" x14ac:dyDescent="0.4">
      <c r="B175" s="1215"/>
      <c r="C175" s="1217"/>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43"/>
      <c r="AM175" s="643"/>
      <c r="AN175" s="660" t="s">
        <v>743</v>
      </c>
      <c r="AO175" s="643"/>
      <c r="AP175" s="643"/>
      <c r="AQ175" s="643"/>
      <c r="AR175" s="660" t="s">
        <v>743</v>
      </c>
      <c r="AS175" s="643"/>
      <c r="AT175" s="643"/>
      <c r="AU175" s="643"/>
      <c r="AV175" s="643"/>
      <c r="AW175" s="643"/>
      <c r="AX175" s="643"/>
      <c r="AY175" s="643"/>
      <c r="AZ175" s="643"/>
      <c r="BA175" s="644"/>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row>
    <row r="176" spans="2:105" ht="15" thickBot="1" x14ac:dyDescent="0.4">
      <c r="B176" s="569" t="s">
        <v>959</v>
      </c>
      <c r="C176" s="1216" t="s">
        <v>960</v>
      </c>
      <c r="D176" s="579" t="s">
        <v>1338</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48"/>
      <c r="AM176" s="648"/>
      <c r="AN176" s="650" t="s">
        <v>743</v>
      </c>
      <c r="AO176" s="648"/>
      <c r="AP176" s="648"/>
      <c r="AQ176" s="648"/>
      <c r="AR176" s="650" t="s">
        <v>743</v>
      </c>
      <c r="AS176" s="648"/>
      <c r="AT176" s="648"/>
      <c r="AU176" s="648"/>
      <c r="AV176" s="648"/>
      <c r="AW176" s="648"/>
      <c r="AX176" s="648"/>
      <c r="AY176" s="648"/>
      <c r="AZ176" s="648"/>
      <c r="BA176" s="649"/>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row>
    <row r="177" spans="2:105" x14ac:dyDescent="0.35">
      <c r="B177" s="1213" t="s">
        <v>961</v>
      </c>
      <c r="C177" s="1217"/>
      <c r="D177" s="580" t="s">
        <v>1339</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3"/>
      <c r="AM177" s="653"/>
      <c r="AN177" s="651" t="s">
        <v>743</v>
      </c>
      <c r="AO177" s="653"/>
      <c r="AP177" s="653"/>
      <c r="AQ177" s="653"/>
      <c r="AR177" s="651" t="s">
        <v>743</v>
      </c>
      <c r="AS177" s="653"/>
      <c r="AT177" s="653"/>
      <c r="AU177" s="653"/>
      <c r="AV177" s="653"/>
      <c r="AW177" s="653"/>
      <c r="AX177" s="653"/>
      <c r="AY177" s="653"/>
      <c r="AZ177" s="653"/>
      <c r="BA177" s="654"/>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row>
    <row r="178" spans="2:105" x14ac:dyDescent="0.35">
      <c r="B178" s="1214"/>
      <c r="C178" s="1217"/>
      <c r="D178" s="574" t="s">
        <v>1340</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38"/>
      <c r="AM178" s="638"/>
      <c r="AN178" s="656" t="s">
        <v>743</v>
      </c>
      <c r="AO178" s="638"/>
      <c r="AP178" s="638"/>
      <c r="AQ178" s="638"/>
      <c r="AR178" s="656" t="s">
        <v>743</v>
      </c>
      <c r="AS178" s="638"/>
      <c r="AT178" s="638"/>
      <c r="AU178" s="638"/>
      <c r="AV178" s="638"/>
      <c r="AW178" s="638"/>
      <c r="AX178" s="638"/>
      <c r="AY178" s="638"/>
      <c r="AZ178" s="638"/>
      <c r="BA178" s="639"/>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row>
    <row r="179" spans="2:105" x14ac:dyDescent="0.35">
      <c r="B179" s="1214"/>
      <c r="C179" s="1217"/>
      <c r="D179" s="574" t="s">
        <v>1341</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38"/>
      <c r="AM179" s="638"/>
      <c r="AN179" s="656" t="s">
        <v>743</v>
      </c>
      <c r="AO179" s="638"/>
      <c r="AP179" s="638"/>
      <c r="AQ179" s="638"/>
      <c r="AR179" s="656" t="s">
        <v>743</v>
      </c>
      <c r="AS179" s="638"/>
      <c r="AT179" s="638"/>
      <c r="AU179" s="638"/>
      <c r="AV179" s="638"/>
      <c r="AW179" s="638"/>
      <c r="AX179" s="638"/>
      <c r="AY179" s="638"/>
      <c r="AZ179" s="638"/>
      <c r="BA179" s="639"/>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row>
    <row r="180" spans="2:105" x14ac:dyDescent="0.35">
      <c r="B180" s="1214"/>
      <c r="C180" s="1217"/>
      <c r="D180" s="574" t="s">
        <v>1342</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38"/>
      <c r="AM180" s="638"/>
      <c r="AN180" s="656" t="s">
        <v>738</v>
      </c>
      <c r="AO180" s="638"/>
      <c r="AP180" s="638"/>
      <c r="AQ180" s="638"/>
      <c r="AR180" s="656" t="s">
        <v>738</v>
      </c>
      <c r="AS180" s="638"/>
      <c r="AT180" s="638"/>
      <c r="AU180" s="638"/>
      <c r="AV180" s="638"/>
      <c r="AW180" s="638"/>
      <c r="AX180" s="638"/>
      <c r="AY180" s="638"/>
      <c r="AZ180" s="638"/>
      <c r="BA180" s="639"/>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row>
    <row r="181" spans="2:105" x14ac:dyDescent="0.35">
      <c r="B181" s="1214"/>
      <c r="C181" s="1217"/>
      <c r="D181" s="574" t="s">
        <v>1343</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38"/>
      <c r="AM181" s="638"/>
      <c r="AN181" s="656" t="s">
        <v>743</v>
      </c>
      <c r="AO181" s="638"/>
      <c r="AP181" s="638"/>
      <c r="AQ181" s="638"/>
      <c r="AR181" s="656" t="s">
        <v>743</v>
      </c>
      <c r="AS181" s="638"/>
      <c r="AT181" s="638"/>
      <c r="AU181" s="638"/>
      <c r="AV181" s="638"/>
      <c r="AW181" s="638"/>
      <c r="AX181" s="638"/>
      <c r="AY181" s="638"/>
      <c r="AZ181" s="638"/>
      <c r="BA181" s="639"/>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row>
    <row r="182" spans="2:105" x14ac:dyDescent="0.35">
      <c r="B182" s="1214"/>
      <c r="C182" s="1217"/>
      <c r="D182" s="574" t="s">
        <v>1344</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38"/>
      <c r="AM182" s="638"/>
      <c r="AN182" s="656" t="s">
        <v>738</v>
      </c>
      <c r="AO182" s="638"/>
      <c r="AP182" s="638"/>
      <c r="AQ182" s="638"/>
      <c r="AR182" s="656" t="s">
        <v>738</v>
      </c>
      <c r="AS182" s="638"/>
      <c r="AT182" s="638"/>
      <c r="AU182" s="638"/>
      <c r="AV182" s="638"/>
      <c r="AW182" s="638"/>
      <c r="AX182" s="638"/>
      <c r="AY182" s="638"/>
      <c r="AZ182" s="638"/>
      <c r="BA182" s="639"/>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row>
    <row r="183" spans="2:105" x14ac:dyDescent="0.35">
      <c r="B183" s="1214"/>
      <c r="C183" s="1217"/>
      <c r="D183" s="574" t="s">
        <v>1345</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38"/>
      <c r="AM183" s="638"/>
      <c r="AN183" s="656" t="s">
        <v>743</v>
      </c>
      <c r="AO183" s="638"/>
      <c r="AP183" s="638"/>
      <c r="AQ183" s="638"/>
      <c r="AR183" s="656" t="s">
        <v>743</v>
      </c>
      <c r="AS183" s="638"/>
      <c r="AT183" s="638"/>
      <c r="AU183" s="638"/>
      <c r="AV183" s="638"/>
      <c r="AW183" s="638"/>
      <c r="AX183" s="638"/>
      <c r="AY183" s="638"/>
      <c r="AZ183" s="638"/>
      <c r="BA183" s="639"/>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row>
    <row r="184" spans="2:105" x14ac:dyDescent="0.35">
      <c r="B184" s="1214"/>
      <c r="C184" s="1217"/>
      <c r="D184" s="574" t="s">
        <v>1346</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38"/>
      <c r="AM184" s="638"/>
      <c r="AN184" s="656" t="s">
        <v>743</v>
      </c>
      <c r="AO184" s="638"/>
      <c r="AP184" s="638"/>
      <c r="AQ184" s="638"/>
      <c r="AR184" s="656" t="s">
        <v>743</v>
      </c>
      <c r="AS184" s="638"/>
      <c r="AT184" s="638"/>
      <c r="AU184" s="638"/>
      <c r="AV184" s="638"/>
      <c r="AW184" s="638"/>
      <c r="AX184" s="638"/>
      <c r="AY184" s="638"/>
      <c r="AZ184" s="638"/>
      <c r="BA184" s="639"/>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row>
    <row r="185" spans="2:105" x14ac:dyDescent="0.35">
      <c r="B185" s="1214"/>
      <c r="C185" s="1217"/>
      <c r="D185" s="574" t="s">
        <v>1347</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38"/>
      <c r="AM185" s="638"/>
      <c r="AN185" s="656" t="s">
        <v>743</v>
      </c>
      <c r="AO185" s="638"/>
      <c r="AP185" s="638"/>
      <c r="AQ185" s="638"/>
      <c r="AR185" s="656" t="s">
        <v>743</v>
      </c>
      <c r="AS185" s="638"/>
      <c r="AT185" s="638"/>
      <c r="AU185" s="638"/>
      <c r="AV185" s="638"/>
      <c r="AW185" s="638"/>
      <c r="AX185" s="638"/>
      <c r="AY185" s="638"/>
      <c r="AZ185" s="638"/>
      <c r="BA185" s="639"/>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row>
    <row r="186" spans="2:105" x14ac:dyDescent="0.35">
      <c r="B186" s="1214"/>
      <c r="C186" s="1217"/>
      <c r="D186" s="574" t="s">
        <v>1348</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38"/>
      <c r="AM186" s="638"/>
      <c r="AN186" s="656" t="s">
        <v>743</v>
      </c>
      <c r="AO186" s="638"/>
      <c r="AP186" s="638"/>
      <c r="AQ186" s="638"/>
      <c r="AR186" s="656" t="s">
        <v>743</v>
      </c>
      <c r="AS186" s="638"/>
      <c r="AT186" s="638"/>
      <c r="AU186" s="638"/>
      <c r="AV186" s="638"/>
      <c r="AW186" s="638"/>
      <c r="AX186" s="638"/>
      <c r="AY186" s="638"/>
      <c r="AZ186" s="638"/>
      <c r="BA186" s="639"/>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row>
    <row r="187" spans="2:105" x14ac:dyDescent="0.35">
      <c r="B187" s="1214"/>
      <c r="C187" s="1217"/>
      <c r="D187" s="574" t="s">
        <v>1349</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38"/>
      <c r="AM187" s="638"/>
      <c r="AN187" s="656" t="s">
        <v>743</v>
      </c>
      <c r="AO187" s="638"/>
      <c r="AP187" s="638"/>
      <c r="AQ187" s="638"/>
      <c r="AR187" s="656" t="s">
        <v>743</v>
      </c>
      <c r="AS187" s="638"/>
      <c r="AT187" s="638"/>
      <c r="AU187" s="638"/>
      <c r="AV187" s="638"/>
      <c r="AW187" s="638"/>
      <c r="AX187" s="638"/>
      <c r="AY187" s="638"/>
      <c r="AZ187" s="638"/>
      <c r="BA187" s="639"/>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row>
    <row r="188" spans="2:105" x14ac:dyDescent="0.35">
      <c r="B188" s="1214"/>
      <c r="C188" s="1217"/>
      <c r="D188" s="574" t="s">
        <v>1350</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38"/>
      <c r="AM188" s="638"/>
      <c r="AN188" s="656" t="s">
        <v>743</v>
      </c>
      <c r="AO188" s="638"/>
      <c r="AP188" s="638"/>
      <c r="AQ188" s="638"/>
      <c r="AR188" s="656" t="s">
        <v>743</v>
      </c>
      <c r="AS188" s="638"/>
      <c r="AT188" s="638"/>
      <c r="AU188" s="638"/>
      <c r="AV188" s="638"/>
      <c r="AW188" s="638"/>
      <c r="AX188" s="638"/>
      <c r="AY188" s="638"/>
      <c r="AZ188" s="638"/>
      <c r="BA188" s="639"/>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row>
    <row r="189" spans="2:105" x14ac:dyDescent="0.35">
      <c r="B189" s="1214"/>
      <c r="C189" s="1217"/>
      <c r="D189" s="574" t="s">
        <v>1351</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38"/>
      <c r="AM189" s="638"/>
      <c r="AN189" s="656" t="s">
        <v>743</v>
      </c>
      <c r="AO189" s="638"/>
      <c r="AP189" s="638"/>
      <c r="AQ189" s="638"/>
      <c r="AR189" s="656" t="s">
        <v>743</v>
      </c>
      <c r="AS189" s="638"/>
      <c r="AT189" s="638"/>
      <c r="AU189" s="638"/>
      <c r="AV189" s="638"/>
      <c r="AW189" s="638"/>
      <c r="AX189" s="638"/>
      <c r="AY189" s="638"/>
      <c r="AZ189" s="638"/>
      <c r="BA189" s="639"/>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row>
    <row r="190" spans="2:105" x14ac:dyDescent="0.35">
      <c r="B190" s="1214"/>
      <c r="C190" s="1217"/>
      <c r="D190" s="574" t="s">
        <v>1352</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38"/>
      <c r="AM190" s="638"/>
      <c r="AN190" s="656" t="s">
        <v>743</v>
      </c>
      <c r="AO190" s="638"/>
      <c r="AP190" s="638"/>
      <c r="AQ190" s="638"/>
      <c r="AR190" s="656" t="s">
        <v>743</v>
      </c>
      <c r="AS190" s="638"/>
      <c r="AT190" s="638"/>
      <c r="AU190" s="638"/>
      <c r="AV190" s="638"/>
      <c r="AW190" s="638"/>
      <c r="AX190" s="638"/>
      <c r="AY190" s="638"/>
      <c r="AZ190" s="638"/>
      <c r="BA190" s="639"/>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row>
    <row r="191" spans="2:105" x14ac:dyDescent="0.35">
      <c r="B191" s="1214"/>
      <c r="C191" s="1217"/>
      <c r="D191" s="574" t="s">
        <v>1353</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38"/>
      <c r="AM191" s="638"/>
      <c r="AN191" s="656" t="s">
        <v>743</v>
      </c>
      <c r="AO191" s="638"/>
      <c r="AP191" s="638"/>
      <c r="AQ191" s="638"/>
      <c r="AR191" s="656" t="s">
        <v>743</v>
      </c>
      <c r="AS191" s="638"/>
      <c r="AT191" s="638"/>
      <c r="AU191" s="638"/>
      <c r="AV191" s="638"/>
      <c r="AW191" s="638"/>
      <c r="AX191" s="638"/>
      <c r="AY191" s="638"/>
      <c r="AZ191" s="638"/>
      <c r="BA191" s="639"/>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row>
    <row r="192" spans="2:105" ht="15" thickBot="1" x14ac:dyDescent="0.4">
      <c r="B192" s="1215"/>
      <c r="C192" s="1217"/>
      <c r="D192" s="575" t="s">
        <v>1354</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43"/>
      <c r="AM192" s="643"/>
      <c r="AN192" s="660" t="s">
        <v>743</v>
      </c>
      <c r="AO192" s="643"/>
      <c r="AP192" s="643"/>
      <c r="AQ192" s="643"/>
      <c r="AR192" s="660" t="s">
        <v>743</v>
      </c>
      <c r="AS192" s="643"/>
      <c r="AT192" s="643"/>
      <c r="AU192" s="643"/>
      <c r="AV192" s="643"/>
      <c r="AW192" s="643"/>
      <c r="AX192" s="643"/>
      <c r="AY192" s="643"/>
      <c r="AZ192" s="643"/>
      <c r="BA192" s="644"/>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row>
    <row r="193" spans="2:105" ht="15" thickBot="1" x14ac:dyDescent="0.4">
      <c r="B193" s="742" t="s">
        <v>1293</v>
      </c>
      <c r="C193" s="1218" t="s">
        <v>1294</v>
      </c>
      <c r="D193" s="743" t="s">
        <v>1360</v>
      </c>
      <c r="E193" s="744"/>
      <c r="F193" s="744"/>
      <c r="G193" s="744"/>
      <c r="H193" s="744"/>
      <c r="I193" s="744"/>
      <c r="J193" s="744"/>
      <c r="K193" s="744"/>
      <c r="L193" s="744"/>
      <c r="M193" s="744"/>
      <c r="N193" s="744"/>
      <c r="O193" s="744"/>
      <c r="P193" s="744"/>
      <c r="Q193" s="744"/>
      <c r="R193" s="744"/>
      <c r="S193" s="745"/>
      <c r="T193" s="744"/>
      <c r="U193" s="744"/>
      <c r="V193" s="744"/>
      <c r="W193" s="744"/>
      <c r="X193" s="744"/>
      <c r="Y193" s="744"/>
      <c r="Z193" s="744"/>
      <c r="AA193" s="744"/>
      <c r="AB193" s="744"/>
      <c r="AC193" s="744"/>
      <c r="AD193" s="744"/>
      <c r="AE193" s="744"/>
      <c r="AF193" s="744"/>
      <c r="AG193" s="744"/>
      <c r="AH193" s="744"/>
      <c r="AI193" s="744"/>
      <c r="AJ193" s="650" t="s">
        <v>743</v>
      </c>
      <c r="AK193" s="650"/>
      <c r="AL193" s="746"/>
      <c r="AM193" s="746"/>
      <c r="AN193" s="650" t="s">
        <v>743</v>
      </c>
      <c r="AO193" s="746"/>
      <c r="AP193" s="746"/>
      <c r="AQ193" s="746"/>
      <c r="AR193" s="650" t="s">
        <v>743</v>
      </c>
      <c r="AS193" s="746"/>
      <c r="AT193" s="746"/>
      <c r="AU193" s="746"/>
      <c r="AV193" s="746"/>
      <c r="AW193" s="746"/>
      <c r="AX193" s="746"/>
      <c r="AY193" s="746"/>
      <c r="AZ193" s="746"/>
      <c r="BA193" s="747"/>
      <c r="BB193" s="747"/>
      <c r="BC193" s="747"/>
      <c r="BD193" s="747"/>
      <c r="BE193" s="747"/>
      <c r="BF193" s="747"/>
      <c r="BG193" s="747"/>
      <c r="BH193" s="747"/>
      <c r="BI193" s="747"/>
      <c r="BJ193" s="747"/>
      <c r="BK193" s="747"/>
      <c r="BL193" s="747"/>
      <c r="BM193" s="747"/>
      <c r="BN193" s="747"/>
      <c r="BO193" s="747"/>
      <c r="BP193" s="747"/>
      <c r="BQ193" s="747"/>
      <c r="BR193" s="747"/>
      <c r="BS193" s="747"/>
      <c r="BT193" s="747"/>
      <c r="BU193" s="747"/>
      <c r="BV193" s="747"/>
      <c r="BW193" s="747"/>
      <c r="BX193" s="747"/>
      <c r="BY193" s="747"/>
      <c r="BZ193" s="747"/>
      <c r="CA193" s="747"/>
      <c r="CB193" s="747"/>
      <c r="CC193" s="747"/>
      <c r="CD193" s="747"/>
      <c r="CE193" s="747"/>
      <c r="CF193" s="747"/>
      <c r="CG193" s="747"/>
      <c r="CH193" s="747"/>
      <c r="CI193" s="747"/>
      <c r="CJ193" s="747"/>
      <c r="CK193" s="747"/>
      <c r="CL193" s="747"/>
      <c r="CM193" s="747"/>
      <c r="CN193" s="747"/>
      <c r="CO193" s="747"/>
      <c r="CP193" s="747"/>
      <c r="CQ193" s="747"/>
      <c r="CR193" s="747"/>
      <c r="CS193" s="747"/>
      <c r="CT193" s="747"/>
      <c r="CU193" s="747"/>
      <c r="CV193" s="747"/>
      <c r="CW193" s="747"/>
      <c r="CX193" s="747"/>
      <c r="CY193" s="747"/>
      <c r="CZ193" s="747"/>
      <c r="DA193" s="747"/>
    </row>
    <row r="194" spans="2:105" x14ac:dyDescent="0.35">
      <c r="B194" s="1220" t="s">
        <v>1382</v>
      </c>
      <c r="C194" s="1219"/>
      <c r="D194" s="748" t="s">
        <v>1361</v>
      </c>
      <c r="E194" s="744"/>
      <c r="F194" s="749"/>
      <c r="G194" s="749"/>
      <c r="H194" s="749"/>
      <c r="I194" s="749"/>
      <c r="J194" s="749"/>
      <c r="K194" s="749"/>
      <c r="L194" s="749"/>
      <c r="M194" s="749"/>
      <c r="N194" s="749"/>
      <c r="O194" s="749"/>
      <c r="P194" s="749"/>
      <c r="Q194" s="749"/>
      <c r="R194" s="749"/>
      <c r="S194" s="750"/>
      <c r="T194" s="744"/>
      <c r="U194" s="749"/>
      <c r="V194" s="749"/>
      <c r="W194" s="749"/>
      <c r="X194" s="749"/>
      <c r="Y194" s="749"/>
      <c r="Z194" s="749"/>
      <c r="AA194" s="749"/>
      <c r="AB194" s="749"/>
      <c r="AC194" s="749"/>
      <c r="AD194" s="749"/>
      <c r="AE194" s="749"/>
      <c r="AF194" s="749"/>
      <c r="AG194" s="749"/>
      <c r="AH194" s="749"/>
      <c r="AI194" s="749"/>
      <c r="AJ194" s="651" t="s">
        <v>743</v>
      </c>
      <c r="AK194" s="651"/>
      <c r="AL194" s="751"/>
      <c r="AM194" s="751"/>
      <c r="AN194" s="651" t="s">
        <v>743</v>
      </c>
      <c r="AO194" s="751"/>
      <c r="AP194" s="751"/>
      <c r="AQ194" s="751"/>
      <c r="AR194" s="651" t="s">
        <v>743</v>
      </c>
      <c r="AS194" s="751"/>
      <c r="AT194" s="751"/>
      <c r="AU194" s="751"/>
      <c r="AV194" s="751"/>
      <c r="AW194" s="751"/>
      <c r="AX194" s="751"/>
      <c r="AY194" s="751"/>
      <c r="AZ194" s="751"/>
      <c r="BA194" s="752"/>
      <c r="BB194" s="752"/>
      <c r="BC194" s="752"/>
      <c r="BD194" s="752"/>
      <c r="BE194" s="752"/>
      <c r="BF194" s="752"/>
      <c r="BG194" s="752"/>
      <c r="BH194" s="752"/>
      <c r="BI194" s="752"/>
      <c r="BJ194" s="752"/>
      <c r="BK194" s="752"/>
      <c r="BL194" s="752"/>
      <c r="BM194" s="752"/>
      <c r="BN194" s="752"/>
      <c r="BO194" s="752"/>
      <c r="BP194" s="752"/>
      <c r="BQ194" s="752"/>
      <c r="BR194" s="752"/>
      <c r="BS194" s="752"/>
      <c r="BT194" s="752"/>
      <c r="BU194" s="752"/>
      <c r="BV194" s="752"/>
      <c r="BW194" s="752"/>
      <c r="BX194" s="752"/>
      <c r="BY194" s="752"/>
      <c r="BZ194" s="752"/>
      <c r="CA194" s="752"/>
      <c r="CB194" s="752"/>
      <c r="CC194" s="752"/>
      <c r="CD194" s="752"/>
      <c r="CE194" s="752"/>
      <c r="CF194" s="752"/>
      <c r="CG194" s="752"/>
      <c r="CH194" s="752"/>
      <c r="CI194" s="752"/>
      <c r="CJ194" s="752"/>
      <c r="CK194" s="752"/>
      <c r="CL194" s="752"/>
      <c r="CM194" s="752"/>
      <c r="CN194" s="752"/>
      <c r="CO194" s="752"/>
      <c r="CP194" s="752"/>
      <c r="CQ194" s="752"/>
      <c r="CR194" s="752"/>
      <c r="CS194" s="752"/>
      <c r="CT194" s="752"/>
      <c r="CU194" s="752"/>
      <c r="CV194" s="752"/>
      <c r="CW194" s="752"/>
      <c r="CX194" s="752"/>
      <c r="CY194" s="752"/>
      <c r="CZ194" s="752"/>
      <c r="DA194" s="752"/>
    </row>
    <row r="195" spans="2:105" ht="15" thickBot="1" x14ac:dyDescent="0.4">
      <c r="B195" s="1221"/>
      <c r="C195" s="1219"/>
      <c r="D195" s="753" t="s">
        <v>1362</v>
      </c>
      <c r="E195" s="754"/>
      <c r="F195" s="755"/>
      <c r="G195" s="755"/>
      <c r="H195" s="755"/>
      <c r="I195" s="755"/>
      <c r="J195" s="755"/>
      <c r="K195" s="755"/>
      <c r="L195" s="755"/>
      <c r="M195" s="755"/>
      <c r="N195" s="755"/>
      <c r="O195" s="755"/>
      <c r="P195" s="755"/>
      <c r="Q195" s="755"/>
      <c r="R195" s="755"/>
      <c r="S195" s="756"/>
      <c r="T195" s="754"/>
      <c r="U195" s="755"/>
      <c r="V195" s="755"/>
      <c r="W195" s="755"/>
      <c r="X195" s="755"/>
      <c r="Y195" s="755"/>
      <c r="Z195" s="755"/>
      <c r="AA195" s="755"/>
      <c r="AB195" s="755"/>
      <c r="AC195" s="755"/>
      <c r="AD195" s="755"/>
      <c r="AE195" s="755"/>
      <c r="AF195" s="755"/>
      <c r="AG195" s="755"/>
      <c r="AH195" s="755"/>
      <c r="AI195" s="755"/>
      <c r="AJ195" s="656" t="s">
        <v>743</v>
      </c>
      <c r="AK195" s="656"/>
      <c r="AL195" s="757"/>
      <c r="AM195" s="757"/>
      <c r="AN195" s="656" t="s">
        <v>743</v>
      </c>
      <c r="AO195" s="757"/>
      <c r="AP195" s="757"/>
      <c r="AQ195" s="757"/>
      <c r="AR195" s="656" t="s">
        <v>743</v>
      </c>
      <c r="AS195" s="757"/>
      <c r="AT195" s="757"/>
      <c r="AU195" s="757"/>
      <c r="AV195" s="757"/>
      <c r="AW195" s="757"/>
      <c r="AX195" s="757"/>
      <c r="AY195" s="757"/>
      <c r="AZ195" s="757"/>
      <c r="BA195" s="758"/>
      <c r="BB195" s="758"/>
      <c r="BC195" s="758"/>
      <c r="BD195" s="758"/>
      <c r="BE195" s="758"/>
      <c r="BF195" s="758"/>
      <c r="BG195" s="758"/>
      <c r="BH195" s="758"/>
      <c r="BI195" s="758"/>
      <c r="BJ195" s="758"/>
      <c r="BK195" s="758"/>
      <c r="BL195" s="758"/>
      <c r="BM195" s="758"/>
      <c r="BN195" s="758"/>
      <c r="BO195" s="758"/>
      <c r="BP195" s="758"/>
      <c r="BQ195" s="758"/>
      <c r="BR195" s="758"/>
      <c r="BS195" s="758"/>
      <c r="BT195" s="758"/>
      <c r="BU195" s="758"/>
      <c r="BV195" s="758"/>
      <c r="BW195" s="758"/>
      <c r="BX195" s="758"/>
      <c r="BY195" s="758"/>
      <c r="BZ195" s="758"/>
      <c r="CA195" s="758"/>
      <c r="CB195" s="758"/>
      <c r="CC195" s="758"/>
      <c r="CD195" s="758"/>
      <c r="CE195" s="758"/>
      <c r="CF195" s="758"/>
      <c r="CG195" s="758"/>
      <c r="CH195" s="758"/>
      <c r="CI195" s="758"/>
      <c r="CJ195" s="758"/>
      <c r="CK195" s="758"/>
      <c r="CL195" s="758"/>
      <c r="CM195" s="758"/>
      <c r="CN195" s="758"/>
      <c r="CO195" s="758"/>
      <c r="CP195" s="758"/>
      <c r="CQ195" s="758"/>
      <c r="CR195" s="758"/>
      <c r="CS195" s="758"/>
      <c r="CT195" s="758"/>
      <c r="CU195" s="758"/>
      <c r="CV195" s="758"/>
      <c r="CW195" s="758"/>
      <c r="CX195" s="758"/>
      <c r="CY195" s="758"/>
      <c r="CZ195" s="758"/>
      <c r="DA195" s="758"/>
    </row>
    <row r="196" spans="2:105" x14ac:dyDescent="0.35">
      <c r="B196" s="1221"/>
      <c r="C196" s="1219"/>
      <c r="D196" s="753" t="s">
        <v>1363</v>
      </c>
      <c r="E196" s="744"/>
      <c r="F196" s="755"/>
      <c r="G196" s="755"/>
      <c r="H196" s="755"/>
      <c r="I196" s="755"/>
      <c r="J196" s="755"/>
      <c r="K196" s="755"/>
      <c r="L196" s="755"/>
      <c r="M196" s="755"/>
      <c r="N196" s="755"/>
      <c r="O196" s="755"/>
      <c r="P196" s="755"/>
      <c r="Q196" s="755"/>
      <c r="R196" s="755"/>
      <c r="S196" s="756"/>
      <c r="T196" s="754"/>
      <c r="U196" s="755"/>
      <c r="V196" s="755"/>
      <c r="W196" s="755"/>
      <c r="X196" s="755"/>
      <c r="Y196" s="755"/>
      <c r="Z196" s="755"/>
      <c r="AA196" s="755"/>
      <c r="AB196" s="755"/>
      <c r="AC196" s="755"/>
      <c r="AD196" s="755"/>
      <c r="AE196" s="755"/>
      <c r="AF196" s="755"/>
      <c r="AG196" s="755"/>
      <c r="AH196" s="755"/>
      <c r="AI196" s="755"/>
      <c r="AJ196" s="656" t="s">
        <v>738</v>
      </c>
      <c r="AK196" s="656"/>
      <c r="AL196" s="757"/>
      <c r="AM196" s="757"/>
      <c r="AN196" s="656" t="s">
        <v>738</v>
      </c>
      <c r="AO196" s="757"/>
      <c r="AP196" s="757"/>
      <c r="AQ196" s="757"/>
      <c r="AR196" s="656" t="s">
        <v>738</v>
      </c>
      <c r="AS196" s="757"/>
      <c r="AT196" s="757"/>
      <c r="AU196" s="757"/>
      <c r="AV196" s="757"/>
      <c r="AW196" s="757"/>
      <c r="AX196" s="757"/>
      <c r="AY196" s="757"/>
      <c r="AZ196" s="757"/>
      <c r="BA196" s="758"/>
      <c r="BB196" s="758"/>
      <c r="BC196" s="758"/>
      <c r="BD196" s="758"/>
      <c r="BE196" s="758"/>
      <c r="BF196" s="758"/>
      <c r="BG196" s="758"/>
      <c r="BH196" s="758"/>
      <c r="BI196" s="758"/>
      <c r="BJ196" s="758"/>
      <c r="BK196" s="758"/>
      <c r="BL196" s="758"/>
      <c r="BM196" s="758"/>
      <c r="BN196" s="758"/>
      <c r="BO196" s="758"/>
      <c r="BP196" s="758"/>
      <c r="BQ196" s="758"/>
      <c r="BR196" s="758"/>
      <c r="BS196" s="758"/>
      <c r="BT196" s="758"/>
      <c r="BU196" s="758"/>
      <c r="BV196" s="758"/>
      <c r="BW196" s="758"/>
      <c r="BX196" s="758"/>
      <c r="BY196" s="758"/>
      <c r="BZ196" s="758"/>
      <c r="CA196" s="758"/>
      <c r="CB196" s="758"/>
      <c r="CC196" s="758"/>
      <c r="CD196" s="758"/>
      <c r="CE196" s="758"/>
      <c r="CF196" s="758"/>
      <c r="CG196" s="758"/>
      <c r="CH196" s="758"/>
      <c r="CI196" s="758"/>
      <c r="CJ196" s="758"/>
      <c r="CK196" s="758"/>
      <c r="CL196" s="758"/>
      <c r="CM196" s="758"/>
      <c r="CN196" s="758"/>
      <c r="CO196" s="758"/>
      <c r="CP196" s="758"/>
      <c r="CQ196" s="758"/>
      <c r="CR196" s="758"/>
      <c r="CS196" s="758"/>
      <c r="CT196" s="758"/>
      <c r="CU196" s="758"/>
      <c r="CV196" s="758"/>
      <c r="CW196" s="758"/>
      <c r="CX196" s="758"/>
      <c r="CY196" s="758"/>
      <c r="CZ196" s="758"/>
      <c r="DA196" s="758"/>
    </row>
    <row r="197" spans="2:105" ht="15" thickBot="1" x14ac:dyDescent="0.4">
      <c r="B197" s="1221"/>
      <c r="C197" s="1219"/>
      <c r="D197" s="753" t="s">
        <v>1364</v>
      </c>
      <c r="E197" s="754"/>
      <c r="F197" s="755"/>
      <c r="G197" s="755"/>
      <c r="H197" s="755"/>
      <c r="I197" s="755"/>
      <c r="J197" s="755"/>
      <c r="K197" s="755"/>
      <c r="L197" s="755"/>
      <c r="M197" s="755"/>
      <c r="N197" s="755"/>
      <c r="O197" s="755"/>
      <c r="P197" s="755"/>
      <c r="Q197" s="755"/>
      <c r="R197" s="755"/>
      <c r="S197" s="756"/>
      <c r="T197" s="754"/>
      <c r="U197" s="755"/>
      <c r="V197" s="755"/>
      <c r="W197" s="755"/>
      <c r="X197" s="755"/>
      <c r="Y197" s="755"/>
      <c r="Z197" s="755"/>
      <c r="AA197" s="755"/>
      <c r="AB197" s="755"/>
      <c r="AC197" s="755"/>
      <c r="AD197" s="755"/>
      <c r="AE197" s="755"/>
      <c r="AF197" s="755"/>
      <c r="AG197" s="755"/>
      <c r="AH197" s="755"/>
      <c r="AI197" s="755"/>
      <c r="AJ197" s="656" t="s">
        <v>743</v>
      </c>
      <c r="AK197" s="656"/>
      <c r="AL197" s="757"/>
      <c r="AM197" s="757"/>
      <c r="AN197" s="656" t="s">
        <v>743</v>
      </c>
      <c r="AO197" s="757"/>
      <c r="AP197" s="757"/>
      <c r="AQ197" s="757"/>
      <c r="AR197" s="656" t="s">
        <v>743</v>
      </c>
      <c r="AS197" s="757"/>
      <c r="AT197" s="757"/>
      <c r="AU197" s="757"/>
      <c r="AV197" s="757"/>
      <c r="AW197" s="757"/>
      <c r="AX197" s="757"/>
      <c r="AY197" s="757"/>
      <c r="AZ197" s="757"/>
      <c r="BA197" s="758"/>
      <c r="BB197" s="758"/>
      <c r="BC197" s="758"/>
      <c r="BD197" s="758"/>
      <c r="BE197" s="758"/>
      <c r="BF197" s="758"/>
      <c r="BG197" s="758"/>
      <c r="BH197" s="758"/>
      <c r="BI197" s="758"/>
      <c r="BJ197" s="758"/>
      <c r="BK197" s="758"/>
      <c r="BL197" s="758"/>
      <c r="BM197" s="758"/>
      <c r="BN197" s="758"/>
      <c r="BO197" s="758"/>
      <c r="BP197" s="758"/>
      <c r="BQ197" s="758"/>
      <c r="BR197" s="758"/>
      <c r="BS197" s="758"/>
      <c r="BT197" s="758"/>
      <c r="BU197" s="758"/>
      <c r="BV197" s="758"/>
      <c r="BW197" s="758"/>
      <c r="BX197" s="758"/>
      <c r="BY197" s="758"/>
      <c r="BZ197" s="758"/>
      <c r="CA197" s="758"/>
      <c r="CB197" s="758"/>
      <c r="CC197" s="758"/>
      <c r="CD197" s="758"/>
      <c r="CE197" s="758"/>
      <c r="CF197" s="758"/>
      <c r="CG197" s="758"/>
      <c r="CH197" s="758"/>
      <c r="CI197" s="758"/>
      <c r="CJ197" s="758"/>
      <c r="CK197" s="758"/>
      <c r="CL197" s="758"/>
      <c r="CM197" s="758"/>
      <c r="CN197" s="758"/>
      <c r="CO197" s="758"/>
      <c r="CP197" s="758"/>
      <c r="CQ197" s="758"/>
      <c r="CR197" s="758"/>
      <c r="CS197" s="758"/>
      <c r="CT197" s="758"/>
      <c r="CU197" s="758"/>
      <c r="CV197" s="758"/>
      <c r="CW197" s="758"/>
      <c r="CX197" s="758"/>
      <c r="CY197" s="758"/>
      <c r="CZ197" s="758"/>
      <c r="DA197" s="758"/>
    </row>
    <row r="198" spans="2:105" x14ac:dyDescent="0.35">
      <c r="B198" s="1221"/>
      <c r="C198" s="1219"/>
      <c r="D198" s="753" t="s">
        <v>1365</v>
      </c>
      <c r="E198" s="744"/>
      <c r="F198" s="755"/>
      <c r="G198" s="755"/>
      <c r="H198" s="755"/>
      <c r="I198" s="755"/>
      <c r="J198" s="755"/>
      <c r="K198" s="755"/>
      <c r="L198" s="755"/>
      <c r="M198" s="755"/>
      <c r="N198" s="755"/>
      <c r="O198" s="755"/>
      <c r="P198" s="755"/>
      <c r="Q198" s="755"/>
      <c r="R198" s="755"/>
      <c r="S198" s="756"/>
      <c r="T198" s="754"/>
      <c r="U198" s="755"/>
      <c r="V198" s="755"/>
      <c r="W198" s="755"/>
      <c r="X198" s="755"/>
      <c r="Y198" s="755"/>
      <c r="Z198" s="755"/>
      <c r="AA198" s="755"/>
      <c r="AB198" s="755"/>
      <c r="AC198" s="755"/>
      <c r="AD198" s="755"/>
      <c r="AE198" s="755"/>
      <c r="AF198" s="755"/>
      <c r="AG198" s="755"/>
      <c r="AH198" s="755"/>
      <c r="AI198" s="755"/>
      <c r="AJ198" s="656" t="s">
        <v>743</v>
      </c>
      <c r="AK198" s="656"/>
      <c r="AL198" s="757"/>
      <c r="AM198" s="757"/>
      <c r="AN198" s="656" t="s">
        <v>743</v>
      </c>
      <c r="AO198" s="757"/>
      <c r="AP198" s="757"/>
      <c r="AQ198" s="757"/>
      <c r="AR198" s="656" t="s">
        <v>743</v>
      </c>
      <c r="AS198" s="757"/>
      <c r="AT198" s="757"/>
      <c r="AU198" s="757"/>
      <c r="AV198" s="757"/>
      <c r="AW198" s="757"/>
      <c r="AX198" s="757"/>
      <c r="AY198" s="757"/>
      <c r="AZ198" s="757"/>
      <c r="BA198" s="758"/>
      <c r="BB198" s="758"/>
      <c r="BC198" s="758"/>
      <c r="BD198" s="758"/>
      <c r="BE198" s="758"/>
      <c r="BF198" s="758"/>
      <c r="BG198" s="758"/>
      <c r="BH198" s="758"/>
      <c r="BI198" s="758"/>
      <c r="BJ198" s="758"/>
      <c r="BK198" s="758"/>
      <c r="BL198" s="758"/>
      <c r="BM198" s="758"/>
      <c r="BN198" s="758"/>
      <c r="BO198" s="758"/>
      <c r="BP198" s="758"/>
      <c r="BQ198" s="758"/>
      <c r="BR198" s="758"/>
      <c r="BS198" s="758"/>
      <c r="BT198" s="758"/>
      <c r="BU198" s="758"/>
      <c r="BV198" s="758"/>
      <c r="BW198" s="758"/>
      <c r="BX198" s="758"/>
      <c r="BY198" s="758"/>
      <c r="BZ198" s="758"/>
      <c r="CA198" s="758"/>
      <c r="CB198" s="758"/>
      <c r="CC198" s="758"/>
      <c r="CD198" s="758"/>
      <c r="CE198" s="758"/>
      <c r="CF198" s="758"/>
      <c r="CG198" s="758"/>
      <c r="CH198" s="758"/>
      <c r="CI198" s="758"/>
      <c r="CJ198" s="758"/>
      <c r="CK198" s="758"/>
      <c r="CL198" s="758"/>
      <c r="CM198" s="758"/>
      <c r="CN198" s="758"/>
      <c r="CO198" s="758"/>
      <c r="CP198" s="758"/>
      <c r="CQ198" s="758"/>
      <c r="CR198" s="758"/>
      <c r="CS198" s="758"/>
      <c r="CT198" s="758"/>
      <c r="CU198" s="758"/>
      <c r="CV198" s="758"/>
      <c r="CW198" s="758"/>
      <c r="CX198" s="758"/>
      <c r="CY198" s="758"/>
      <c r="CZ198" s="758"/>
      <c r="DA198" s="758"/>
    </row>
    <row r="199" spans="2:105" ht="15" thickBot="1" x14ac:dyDescent="0.4">
      <c r="B199" s="1221"/>
      <c r="C199" s="1219"/>
      <c r="D199" s="753" t="s">
        <v>1366</v>
      </c>
      <c r="E199" s="754"/>
      <c r="F199" s="755"/>
      <c r="G199" s="755"/>
      <c r="H199" s="755"/>
      <c r="I199" s="755"/>
      <c r="J199" s="755"/>
      <c r="K199" s="755"/>
      <c r="L199" s="755"/>
      <c r="M199" s="755"/>
      <c r="N199" s="755"/>
      <c r="O199" s="755"/>
      <c r="P199" s="755"/>
      <c r="Q199" s="755"/>
      <c r="R199" s="755"/>
      <c r="S199" s="756"/>
      <c r="T199" s="754"/>
      <c r="U199" s="755"/>
      <c r="V199" s="755"/>
      <c r="W199" s="755"/>
      <c r="X199" s="755"/>
      <c r="Y199" s="755"/>
      <c r="Z199" s="755"/>
      <c r="AA199" s="755"/>
      <c r="AB199" s="755"/>
      <c r="AC199" s="755"/>
      <c r="AD199" s="755"/>
      <c r="AE199" s="755"/>
      <c r="AF199" s="755"/>
      <c r="AG199" s="755"/>
      <c r="AH199" s="755"/>
      <c r="AI199" s="755"/>
      <c r="AJ199" s="656" t="s">
        <v>743</v>
      </c>
      <c r="AK199" s="656"/>
      <c r="AL199" s="757"/>
      <c r="AM199" s="757"/>
      <c r="AN199" s="656" t="s">
        <v>743</v>
      </c>
      <c r="AO199" s="757"/>
      <c r="AP199" s="757"/>
      <c r="AQ199" s="757"/>
      <c r="AR199" s="656" t="s">
        <v>743</v>
      </c>
      <c r="AS199" s="757"/>
      <c r="AT199" s="757"/>
      <c r="AU199" s="757"/>
      <c r="AV199" s="757"/>
      <c r="AW199" s="757"/>
      <c r="AX199" s="757"/>
      <c r="AY199" s="757"/>
      <c r="AZ199" s="757"/>
      <c r="BA199" s="758"/>
      <c r="BB199" s="758"/>
      <c r="BC199" s="758"/>
      <c r="BD199" s="758"/>
      <c r="BE199" s="758"/>
      <c r="BF199" s="758"/>
      <c r="BG199" s="758"/>
      <c r="BH199" s="758"/>
      <c r="BI199" s="758"/>
      <c r="BJ199" s="758"/>
      <c r="BK199" s="758"/>
      <c r="BL199" s="758"/>
      <c r="BM199" s="758"/>
      <c r="BN199" s="758"/>
      <c r="BO199" s="758"/>
      <c r="BP199" s="758"/>
      <c r="BQ199" s="758"/>
      <c r="BR199" s="758"/>
      <c r="BS199" s="758"/>
      <c r="BT199" s="758"/>
      <c r="BU199" s="758"/>
      <c r="BV199" s="758"/>
      <c r="BW199" s="758"/>
      <c r="BX199" s="758"/>
      <c r="BY199" s="758"/>
      <c r="BZ199" s="758"/>
      <c r="CA199" s="758"/>
      <c r="CB199" s="758"/>
      <c r="CC199" s="758"/>
      <c r="CD199" s="758"/>
      <c r="CE199" s="758"/>
      <c r="CF199" s="758"/>
      <c r="CG199" s="758"/>
      <c r="CH199" s="758"/>
      <c r="CI199" s="758"/>
      <c r="CJ199" s="758"/>
      <c r="CK199" s="758"/>
      <c r="CL199" s="758"/>
      <c r="CM199" s="758"/>
      <c r="CN199" s="758"/>
      <c r="CO199" s="758"/>
      <c r="CP199" s="758"/>
      <c r="CQ199" s="758"/>
      <c r="CR199" s="758"/>
      <c r="CS199" s="758"/>
      <c r="CT199" s="758"/>
      <c r="CU199" s="758"/>
      <c r="CV199" s="758"/>
      <c r="CW199" s="758"/>
      <c r="CX199" s="758"/>
      <c r="CY199" s="758"/>
      <c r="CZ199" s="758"/>
      <c r="DA199" s="758"/>
    </row>
    <row r="200" spans="2:105" x14ac:dyDescent="0.35">
      <c r="B200" s="1221"/>
      <c r="C200" s="1219"/>
      <c r="D200" s="753" t="s">
        <v>1367</v>
      </c>
      <c r="E200" s="744"/>
      <c r="F200" s="755"/>
      <c r="G200" s="755"/>
      <c r="H200" s="755"/>
      <c r="I200" s="755"/>
      <c r="J200" s="755"/>
      <c r="K200" s="755"/>
      <c r="L200" s="755"/>
      <c r="M200" s="755"/>
      <c r="N200" s="755"/>
      <c r="O200" s="755"/>
      <c r="P200" s="755"/>
      <c r="Q200" s="755"/>
      <c r="R200" s="755"/>
      <c r="S200" s="756"/>
      <c r="T200" s="754"/>
      <c r="U200" s="755"/>
      <c r="V200" s="755"/>
      <c r="W200" s="755"/>
      <c r="X200" s="755"/>
      <c r="Y200" s="755"/>
      <c r="Z200" s="755"/>
      <c r="AA200" s="755"/>
      <c r="AB200" s="755"/>
      <c r="AC200" s="755"/>
      <c r="AD200" s="755"/>
      <c r="AE200" s="755"/>
      <c r="AF200" s="755"/>
      <c r="AG200" s="755"/>
      <c r="AH200" s="755"/>
      <c r="AI200" s="755"/>
      <c r="AJ200" s="656" t="s">
        <v>743</v>
      </c>
      <c r="AK200" s="656"/>
      <c r="AL200" s="757"/>
      <c r="AM200" s="757"/>
      <c r="AN200" s="656" t="s">
        <v>743</v>
      </c>
      <c r="AO200" s="757"/>
      <c r="AP200" s="757"/>
      <c r="AQ200" s="757"/>
      <c r="AR200" s="656" t="s">
        <v>743</v>
      </c>
      <c r="AS200" s="757"/>
      <c r="AT200" s="757"/>
      <c r="AU200" s="757"/>
      <c r="AV200" s="757"/>
      <c r="AW200" s="757"/>
      <c r="AX200" s="757"/>
      <c r="AY200" s="757"/>
      <c r="AZ200" s="757"/>
      <c r="BA200" s="758"/>
      <c r="BB200" s="758"/>
      <c r="BC200" s="758"/>
      <c r="BD200" s="758"/>
      <c r="BE200" s="758"/>
      <c r="BF200" s="758"/>
      <c r="BG200" s="758"/>
      <c r="BH200" s="758"/>
      <c r="BI200" s="758"/>
      <c r="BJ200" s="758"/>
      <c r="BK200" s="758"/>
      <c r="BL200" s="758"/>
      <c r="BM200" s="758"/>
      <c r="BN200" s="758"/>
      <c r="BO200" s="758"/>
      <c r="BP200" s="758"/>
      <c r="BQ200" s="758"/>
      <c r="BR200" s="758"/>
      <c r="BS200" s="758"/>
      <c r="BT200" s="758"/>
      <c r="BU200" s="758"/>
      <c r="BV200" s="758"/>
      <c r="BW200" s="758"/>
      <c r="BX200" s="758"/>
      <c r="BY200" s="758"/>
      <c r="BZ200" s="758"/>
      <c r="CA200" s="758"/>
      <c r="CB200" s="758"/>
      <c r="CC200" s="758"/>
      <c r="CD200" s="758"/>
      <c r="CE200" s="758"/>
      <c r="CF200" s="758"/>
      <c r="CG200" s="758"/>
      <c r="CH200" s="758"/>
      <c r="CI200" s="758"/>
      <c r="CJ200" s="758"/>
      <c r="CK200" s="758"/>
      <c r="CL200" s="758"/>
      <c r="CM200" s="758"/>
      <c r="CN200" s="758"/>
      <c r="CO200" s="758"/>
      <c r="CP200" s="758"/>
      <c r="CQ200" s="758"/>
      <c r="CR200" s="758"/>
      <c r="CS200" s="758"/>
      <c r="CT200" s="758"/>
      <c r="CU200" s="758"/>
      <c r="CV200" s="758"/>
      <c r="CW200" s="758"/>
      <c r="CX200" s="758"/>
      <c r="CY200" s="758"/>
      <c r="CZ200" s="758"/>
      <c r="DA200" s="758"/>
    </row>
    <row r="201" spans="2:105" ht="15" thickBot="1" x14ac:dyDescent="0.4">
      <c r="B201" s="1221"/>
      <c r="C201" s="1219"/>
      <c r="D201" s="753" t="s">
        <v>1368</v>
      </c>
      <c r="E201" s="754"/>
      <c r="F201" s="755"/>
      <c r="G201" s="755"/>
      <c r="H201" s="755"/>
      <c r="I201" s="755"/>
      <c r="J201" s="755"/>
      <c r="K201" s="755"/>
      <c r="L201" s="755"/>
      <c r="M201" s="755"/>
      <c r="N201" s="755"/>
      <c r="O201" s="755"/>
      <c r="P201" s="755"/>
      <c r="Q201" s="755"/>
      <c r="R201" s="755"/>
      <c r="S201" s="756"/>
      <c r="T201" s="754"/>
      <c r="U201" s="755"/>
      <c r="V201" s="755"/>
      <c r="W201" s="755"/>
      <c r="X201" s="755"/>
      <c r="Y201" s="755"/>
      <c r="Z201" s="755"/>
      <c r="AA201" s="755"/>
      <c r="AB201" s="755"/>
      <c r="AC201" s="755"/>
      <c r="AD201" s="755"/>
      <c r="AE201" s="755"/>
      <c r="AF201" s="755"/>
      <c r="AG201" s="755"/>
      <c r="AH201" s="755"/>
      <c r="AI201" s="755"/>
      <c r="AJ201" s="656" t="s">
        <v>743</v>
      </c>
      <c r="AK201" s="656"/>
      <c r="AL201" s="757"/>
      <c r="AM201" s="757"/>
      <c r="AN201" s="656" t="s">
        <v>743</v>
      </c>
      <c r="AO201" s="757"/>
      <c r="AP201" s="757"/>
      <c r="AQ201" s="757"/>
      <c r="AR201" s="656" t="s">
        <v>743</v>
      </c>
      <c r="AS201" s="757"/>
      <c r="AT201" s="757"/>
      <c r="AU201" s="757"/>
      <c r="AV201" s="757"/>
      <c r="AW201" s="757"/>
      <c r="AX201" s="757"/>
      <c r="AY201" s="757"/>
      <c r="AZ201" s="757"/>
      <c r="BA201" s="758"/>
      <c r="BB201" s="758"/>
      <c r="BC201" s="758"/>
      <c r="BD201" s="758"/>
      <c r="BE201" s="758"/>
      <c r="BF201" s="758"/>
      <c r="BG201" s="758"/>
      <c r="BH201" s="758"/>
      <c r="BI201" s="758"/>
      <c r="BJ201" s="758"/>
      <c r="BK201" s="758"/>
      <c r="BL201" s="758"/>
      <c r="BM201" s="758"/>
      <c r="BN201" s="758"/>
      <c r="BO201" s="758"/>
      <c r="BP201" s="758"/>
      <c r="BQ201" s="758"/>
      <c r="BR201" s="758"/>
      <c r="BS201" s="758"/>
      <c r="BT201" s="758"/>
      <c r="BU201" s="758"/>
      <c r="BV201" s="758"/>
      <c r="BW201" s="758"/>
      <c r="BX201" s="758"/>
      <c r="BY201" s="758"/>
      <c r="BZ201" s="758"/>
      <c r="CA201" s="758"/>
      <c r="CB201" s="758"/>
      <c r="CC201" s="758"/>
      <c r="CD201" s="758"/>
      <c r="CE201" s="758"/>
      <c r="CF201" s="758"/>
      <c r="CG201" s="758"/>
      <c r="CH201" s="758"/>
      <c r="CI201" s="758"/>
      <c r="CJ201" s="758"/>
      <c r="CK201" s="758"/>
      <c r="CL201" s="758"/>
      <c r="CM201" s="758"/>
      <c r="CN201" s="758"/>
      <c r="CO201" s="758"/>
      <c r="CP201" s="758"/>
      <c r="CQ201" s="758"/>
      <c r="CR201" s="758"/>
      <c r="CS201" s="758"/>
      <c r="CT201" s="758"/>
      <c r="CU201" s="758"/>
      <c r="CV201" s="758"/>
      <c r="CW201" s="758"/>
      <c r="CX201" s="758"/>
      <c r="CY201" s="758"/>
      <c r="CZ201" s="758"/>
      <c r="DA201" s="758"/>
    </row>
    <row r="202" spans="2:105" x14ac:dyDescent="0.35">
      <c r="B202" s="1221"/>
      <c r="C202" s="1219"/>
      <c r="D202" s="753" t="s">
        <v>1369</v>
      </c>
      <c r="E202" s="744"/>
      <c r="F202" s="755"/>
      <c r="G202" s="755"/>
      <c r="H202" s="755"/>
      <c r="I202" s="755"/>
      <c r="J202" s="755"/>
      <c r="K202" s="755"/>
      <c r="L202" s="755"/>
      <c r="M202" s="755"/>
      <c r="N202" s="755"/>
      <c r="O202" s="755"/>
      <c r="P202" s="755"/>
      <c r="Q202" s="755"/>
      <c r="R202" s="755"/>
      <c r="S202" s="756"/>
      <c r="T202" s="754"/>
      <c r="U202" s="755"/>
      <c r="V202" s="755"/>
      <c r="W202" s="755"/>
      <c r="X202" s="755"/>
      <c r="Y202" s="755"/>
      <c r="Z202" s="755"/>
      <c r="AA202" s="755"/>
      <c r="AB202" s="755"/>
      <c r="AC202" s="755"/>
      <c r="AD202" s="755"/>
      <c r="AE202" s="755"/>
      <c r="AF202" s="755"/>
      <c r="AG202" s="755"/>
      <c r="AH202" s="755"/>
      <c r="AI202" s="755"/>
      <c r="AJ202" s="656" t="s">
        <v>743</v>
      </c>
      <c r="AK202" s="656"/>
      <c r="AL202" s="757"/>
      <c r="AM202" s="757"/>
      <c r="AN202" s="656" t="s">
        <v>743</v>
      </c>
      <c r="AO202" s="757"/>
      <c r="AP202" s="757"/>
      <c r="AQ202" s="757"/>
      <c r="AR202" s="656" t="s">
        <v>743</v>
      </c>
      <c r="AS202" s="757"/>
      <c r="AT202" s="757"/>
      <c r="AU202" s="757"/>
      <c r="AV202" s="757"/>
      <c r="AW202" s="757"/>
      <c r="AX202" s="757"/>
      <c r="AY202" s="757"/>
      <c r="AZ202" s="757"/>
      <c r="BA202" s="758"/>
      <c r="BB202" s="758"/>
      <c r="BC202" s="758"/>
      <c r="BD202" s="758"/>
      <c r="BE202" s="758"/>
      <c r="BF202" s="758"/>
      <c r="BG202" s="758"/>
      <c r="BH202" s="758"/>
      <c r="BI202" s="758"/>
      <c r="BJ202" s="758"/>
      <c r="BK202" s="758"/>
      <c r="BL202" s="758"/>
      <c r="BM202" s="758"/>
      <c r="BN202" s="758"/>
      <c r="BO202" s="758"/>
      <c r="BP202" s="758"/>
      <c r="BQ202" s="758"/>
      <c r="BR202" s="758"/>
      <c r="BS202" s="758"/>
      <c r="BT202" s="758"/>
      <c r="BU202" s="758"/>
      <c r="BV202" s="758"/>
      <c r="BW202" s="758"/>
      <c r="BX202" s="758"/>
      <c r="BY202" s="758"/>
      <c r="BZ202" s="758"/>
      <c r="CA202" s="758"/>
      <c r="CB202" s="758"/>
      <c r="CC202" s="758"/>
      <c r="CD202" s="758"/>
      <c r="CE202" s="758"/>
      <c r="CF202" s="758"/>
      <c r="CG202" s="758"/>
      <c r="CH202" s="758"/>
      <c r="CI202" s="758"/>
      <c r="CJ202" s="758"/>
      <c r="CK202" s="758"/>
      <c r="CL202" s="758"/>
      <c r="CM202" s="758"/>
      <c r="CN202" s="758"/>
      <c r="CO202" s="758"/>
      <c r="CP202" s="758"/>
      <c r="CQ202" s="758"/>
      <c r="CR202" s="758"/>
      <c r="CS202" s="758"/>
      <c r="CT202" s="758"/>
      <c r="CU202" s="758"/>
      <c r="CV202" s="758"/>
      <c r="CW202" s="758"/>
      <c r="CX202" s="758"/>
      <c r="CY202" s="758"/>
      <c r="CZ202" s="758"/>
      <c r="DA202" s="758"/>
    </row>
    <row r="203" spans="2:105" ht="15" thickBot="1" x14ac:dyDescent="0.4">
      <c r="B203" s="1221"/>
      <c r="C203" s="1219"/>
      <c r="D203" s="753" t="s">
        <v>1370</v>
      </c>
      <c r="E203" s="754"/>
      <c r="F203" s="755"/>
      <c r="G203" s="755"/>
      <c r="H203" s="755"/>
      <c r="I203" s="755"/>
      <c r="J203" s="755"/>
      <c r="K203" s="755"/>
      <c r="L203" s="755"/>
      <c r="M203" s="755"/>
      <c r="N203" s="755"/>
      <c r="O203" s="755"/>
      <c r="P203" s="755"/>
      <c r="Q203" s="755"/>
      <c r="R203" s="755"/>
      <c r="S203" s="756"/>
      <c r="T203" s="754"/>
      <c r="U203" s="755"/>
      <c r="V203" s="755"/>
      <c r="W203" s="755"/>
      <c r="X203" s="755"/>
      <c r="Y203" s="755"/>
      <c r="Z203" s="755"/>
      <c r="AA203" s="755"/>
      <c r="AB203" s="755"/>
      <c r="AC203" s="755"/>
      <c r="AD203" s="755"/>
      <c r="AE203" s="755"/>
      <c r="AF203" s="755"/>
      <c r="AG203" s="755"/>
      <c r="AH203" s="755"/>
      <c r="AI203" s="755"/>
      <c r="AJ203" s="656" t="s">
        <v>743</v>
      </c>
      <c r="AK203" s="656"/>
      <c r="AL203" s="757"/>
      <c r="AM203" s="757"/>
      <c r="AN203" s="656" t="s">
        <v>743</v>
      </c>
      <c r="AO203" s="757"/>
      <c r="AP203" s="757"/>
      <c r="AQ203" s="757"/>
      <c r="AR203" s="656" t="s">
        <v>743</v>
      </c>
      <c r="AS203" s="757"/>
      <c r="AT203" s="757"/>
      <c r="AU203" s="757"/>
      <c r="AV203" s="757"/>
      <c r="AW203" s="757"/>
      <c r="AX203" s="757"/>
      <c r="AY203" s="757"/>
      <c r="AZ203" s="757"/>
      <c r="BA203" s="758"/>
      <c r="BB203" s="758"/>
      <c r="BC203" s="758"/>
      <c r="BD203" s="758"/>
      <c r="BE203" s="758"/>
      <c r="BF203" s="758"/>
      <c r="BG203" s="758"/>
      <c r="BH203" s="758"/>
      <c r="BI203" s="758"/>
      <c r="BJ203" s="758"/>
      <c r="BK203" s="758"/>
      <c r="BL203" s="758"/>
      <c r="BM203" s="758"/>
      <c r="BN203" s="758"/>
      <c r="BO203" s="758"/>
      <c r="BP203" s="758"/>
      <c r="BQ203" s="758"/>
      <c r="BR203" s="758"/>
      <c r="BS203" s="758"/>
      <c r="BT203" s="758"/>
      <c r="BU203" s="758"/>
      <c r="BV203" s="758"/>
      <c r="BW203" s="758"/>
      <c r="BX203" s="758"/>
      <c r="BY203" s="758"/>
      <c r="BZ203" s="758"/>
      <c r="CA203" s="758"/>
      <c r="CB203" s="758"/>
      <c r="CC203" s="758"/>
      <c r="CD203" s="758"/>
      <c r="CE203" s="758"/>
      <c r="CF203" s="758"/>
      <c r="CG203" s="758"/>
      <c r="CH203" s="758"/>
      <c r="CI203" s="758"/>
      <c r="CJ203" s="758"/>
      <c r="CK203" s="758"/>
      <c r="CL203" s="758"/>
      <c r="CM203" s="758"/>
      <c r="CN203" s="758"/>
      <c r="CO203" s="758"/>
      <c r="CP203" s="758"/>
      <c r="CQ203" s="758"/>
      <c r="CR203" s="758"/>
      <c r="CS203" s="758"/>
      <c r="CT203" s="758"/>
      <c r="CU203" s="758"/>
      <c r="CV203" s="758"/>
      <c r="CW203" s="758"/>
      <c r="CX203" s="758"/>
      <c r="CY203" s="758"/>
      <c r="CZ203" s="758"/>
      <c r="DA203" s="758"/>
    </row>
    <row r="204" spans="2:105" x14ac:dyDescent="0.35">
      <c r="B204" s="1221"/>
      <c r="C204" s="1219"/>
      <c r="D204" s="753" t="s">
        <v>1371</v>
      </c>
      <c r="E204" s="744"/>
      <c r="F204" s="755"/>
      <c r="G204" s="755"/>
      <c r="H204" s="755"/>
      <c r="I204" s="755"/>
      <c r="J204" s="755"/>
      <c r="K204" s="755"/>
      <c r="L204" s="755"/>
      <c r="M204" s="755"/>
      <c r="N204" s="755"/>
      <c r="O204" s="755"/>
      <c r="P204" s="755"/>
      <c r="Q204" s="755"/>
      <c r="R204" s="755"/>
      <c r="S204" s="756"/>
      <c r="T204" s="754"/>
      <c r="U204" s="755"/>
      <c r="V204" s="755"/>
      <c r="W204" s="755"/>
      <c r="X204" s="755"/>
      <c r="Y204" s="755"/>
      <c r="Z204" s="755"/>
      <c r="AA204" s="755"/>
      <c r="AB204" s="755"/>
      <c r="AC204" s="755"/>
      <c r="AD204" s="755"/>
      <c r="AE204" s="755"/>
      <c r="AF204" s="755"/>
      <c r="AG204" s="755"/>
      <c r="AH204" s="755"/>
      <c r="AI204" s="755"/>
      <c r="AJ204" s="656" t="s">
        <v>743</v>
      </c>
      <c r="AK204" s="656"/>
      <c r="AL204" s="757"/>
      <c r="AM204" s="757"/>
      <c r="AN204" s="656" t="s">
        <v>743</v>
      </c>
      <c r="AO204" s="757"/>
      <c r="AP204" s="757"/>
      <c r="AQ204" s="757"/>
      <c r="AR204" s="656" t="s">
        <v>743</v>
      </c>
      <c r="AS204" s="757"/>
      <c r="AT204" s="757"/>
      <c r="AU204" s="757"/>
      <c r="AV204" s="757"/>
      <c r="AW204" s="757"/>
      <c r="AX204" s="757"/>
      <c r="AY204" s="757"/>
      <c r="AZ204" s="757"/>
      <c r="BA204" s="758"/>
      <c r="BB204" s="758"/>
      <c r="BC204" s="758"/>
      <c r="BD204" s="758"/>
      <c r="BE204" s="758"/>
      <c r="BF204" s="758"/>
      <c r="BG204" s="758"/>
      <c r="BH204" s="758"/>
      <c r="BI204" s="758"/>
      <c r="BJ204" s="758"/>
      <c r="BK204" s="758"/>
      <c r="BL204" s="758"/>
      <c r="BM204" s="758"/>
      <c r="BN204" s="758"/>
      <c r="BO204" s="758"/>
      <c r="BP204" s="758"/>
      <c r="BQ204" s="758"/>
      <c r="BR204" s="758"/>
      <c r="BS204" s="758"/>
      <c r="BT204" s="758"/>
      <c r="BU204" s="758"/>
      <c r="BV204" s="758"/>
      <c r="BW204" s="758"/>
      <c r="BX204" s="758"/>
      <c r="BY204" s="758"/>
      <c r="BZ204" s="758"/>
      <c r="CA204" s="758"/>
      <c r="CB204" s="758"/>
      <c r="CC204" s="758"/>
      <c r="CD204" s="758"/>
      <c r="CE204" s="758"/>
      <c r="CF204" s="758"/>
      <c r="CG204" s="758"/>
      <c r="CH204" s="758"/>
      <c r="CI204" s="758"/>
      <c r="CJ204" s="758"/>
      <c r="CK204" s="758"/>
      <c r="CL204" s="758"/>
      <c r="CM204" s="758"/>
      <c r="CN204" s="758"/>
      <c r="CO204" s="758"/>
      <c r="CP204" s="758"/>
      <c r="CQ204" s="758"/>
      <c r="CR204" s="758"/>
      <c r="CS204" s="758"/>
      <c r="CT204" s="758"/>
      <c r="CU204" s="758"/>
      <c r="CV204" s="758"/>
      <c r="CW204" s="758"/>
      <c r="CX204" s="758"/>
      <c r="CY204" s="758"/>
      <c r="CZ204" s="758"/>
      <c r="DA204" s="758"/>
    </row>
    <row r="205" spans="2:105" ht="15" thickBot="1" x14ac:dyDescent="0.4">
      <c r="B205" s="1221"/>
      <c r="C205" s="1219"/>
      <c r="D205" s="753" t="s">
        <v>1372</v>
      </c>
      <c r="E205" s="754"/>
      <c r="F205" s="755"/>
      <c r="G205" s="755"/>
      <c r="H205" s="755"/>
      <c r="I205" s="755"/>
      <c r="J205" s="755"/>
      <c r="K205" s="755"/>
      <c r="L205" s="755"/>
      <c r="M205" s="755"/>
      <c r="N205" s="755"/>
      <c r="O205" s="755"/>
      <c r="P205" s="755"/>
      <c r="Q205" s="755"/>
      <c r="R205" s="755"/>
      <c r="S205" s="756"/>
      <c r="T205" s="754"/>
      <c r="U205" s="755"/>
      <c r="V205" s="755"/>
      <c r="W205" s="755"/>
      <c r="X205" s="755"/>
      <c r="Y205" s="755"/>
      <c r="Z205" s="755"/>
      <c r="AA205" s="755"/>
      <c r="AB205" s="755"/>
      <c r="AC205" s="755"/>
      <c r="AD205" s="755"/>
      <c r="AE205" s="755"/>
      <c r="AF205" s="755"/>
      <c r="AG205" s="755"/>
      <c r="AH205" s="755"/>
      <c r="AI205" s="755"/>
      <c r="AJ205" s="656" t="s">
        <v>743</v>
      </c>
      <c r="AK205" s="656"/>
      <c r="AL205" s="757"/>
      <c r="AM205" s="757"/>
      <c r="AN205" s="656" t="s">
        <v>743</v>
      </c>
      <c r="AO205" s="757"/>
      <c r="AP205" s="757"/>
      <c r="AQ205" s="757"/>
      <c r="AR205" s="656" t="s">
        <v>743</v>
      </c>
      <c r="AS205" s="757"/>
      <c r="AT205" s="757"/>
      <c r="AU205" s="757"/>
      <c r="AV205" s="757"/>
      <c r="AW205" s="757"/>
      <c r="AX205" s="757"/>
      <c r="AY205" s="757"/>
      <c r="AZ205" s="757"/>
      <c r="BA205" s="758"/>
      <c r="BB205" s="758"/>
      <c r="BC205" s="758"/>
      <c r="BD205" s="758"/>
      <c r="BE205" s="758"/>
      <c r="BF205" s="758"/>
      <c r="BG205" s="758"/>
      <c r="BH205" s="758"/>
      <c r="BI205" s="758"/>
      <c r="BJ205" s="758"/>
      <c r="BK205" s="758"/>
      <c r="BL205" s="758"/>
      <c r="BM205" s="758"/>
      <c r="BN205" s="758"/>
      <c r="BO205" s="758"/>
      <c r="BP205" s="758"/>
      <c r="BQ205" s="758"/>
      <c r="BR205" s="758"/>
      <c r="BS205" s="758"/>
      <c r="BT205" s="758"/>
      <c r="BU205" s="758"/>
      <c r="BV205" s="758"/>
      <c r="BW205" s="758"/>
      <c r="BX205" s="758"/>
      <c r="BY205" s="758"/>
      <c r="BZ205" s="758"/>
      <c r="CA205" s="758"/>
      <c r="CB205" s="758"/>
      <c r="CC205" s="758"/>
      <c r="CD205" s="758"/>
      <c r="CE205" s="758"/>
      <c r="CF205" s="758"/>
      <c r="CG205" s="758"/>
      <c r="CH205" s="758"/>
      <c r="CI205" s="758"/>
      <c r="CJ205" s="758"/>
      <c r="CK205" s="758"/>
      <c r="CL205" s="758"/>
      <c r="CM205" s="758"/>
      <c r="CN205" s="758"/>
      <c r="CO205" s="758"/>
      <c r="CP205" s="758"/>
      <c r="CQ205" s="758"/>
      <c r="CR205" s="758"/>
      <c r="CS205" s="758"/>
      <c r="CT205" s="758"/>
      <c r="CU205" s="758"/>
      <c r="CV205" s="758"/>
      <c r="CW205" s="758"/>
      <c r="CX205" s="758"/>
      <c r="CY205" s="758"/>
      <c r="CZ205" s="758"/>
      <c r="DA205" s="758"/>
    </row>
    <row r="206" spans="2:105" x14ac:dyDescent="0.35">
      <c r="B206" s="1221"/>
      <c r="C206" s="1219"/>
      <c r="D206" s="753" t="s">
        <v>1373</v>
      </c>
      <c r="E206" s="744"/>
      <c r="F206" s="755"/>
      <c r="G206" s="755"/>
      <c r="H206" s="755"/>
      <c r="I206" s="755"/>
      <c r="J206" s="755"/>
      <c r="K206" s="755"/>
      <c r="L206" s="755"/>
      <c r="M206" s="755"/>
      <c r="N206" s="755"/>
      <c r="O206" s="755"/>
      <c r="P206" s="755"/>
      <c r="Q206" s="755"/>
      <c r="R206" s="755"/>
      <c r="S206" s="756"/>
      <c r="T206" s="754"/>
      <c r="U206" s="755"/>
      <c r="V206" s="755"/>
      <c r="W206" s="755"/>
      <c r="X206" s="755"/>
      <c r="Y206" s="755"/>
      <c r="Z206" s="755"/>
      <c r="AA206" s="755"/>
      <c r="AB206" s="755"/>
      <c r="AC206" s="755"/>
      <c r="AD206" s="755"/>
      <c r="AE206" s="755"/>
      <c r="AF206" s="755"/>
      <c r="AG206" s="755"/>
      <c r="AH206" s="755"/>
      <c r="AI206" s="755"/>
      <c r="AJ206" s="656" t="s">
        <v>743</v>
      </c>
      <c r="AK206" s="656"/>
      <c r="AL206" s="757"/>
      <c r="AM206" s="757"/>
      <c r="AN206" s="656" t="s">
        <v>743</v>
      </c>
      <c r="AO206" s="757"/>
      <c r="AP206" s="757"/>
      <c r="AQ206" s="757"/>
      <c r="AR206" s="656" t="s">
        <v>743</v>
      </c>
      <c r="AS206" s="757"/>
      <c r="AT206" s="757"/>
      <c r="AU206" s="757"/>
      <c r="AV206" s="757"/>
      <c r="AW206" s="757"/>
      <c r="AX206" s="757"/>
      <c r="AY206" s="757"/>
      <c r="AZ206" s="757"/>
      <c r="BA206" s="758"/>
      <c r="BB206" s="758"/>
      <c r="BC206" s="758"/>
      <c r="BD206" s="758"/>
      <c r="BE206" s="758"/>
      <c r="BF206" s="758"/>
      <c r="BG206" s="758"/>
      <c r="BH206" s="758"/>
      <c r="BI206" s="758"/>
      <c r="BJ206" s="758"/>
      <c r="BK206" s="758"/>
      <c r="BL206" s="758"/>
      <c r="BM206" s="758"/>
      <c r="BN206" s="758"/>
      <c r="BO206" s="758"/>
      <c r="BP206" s="758"/>
      <c r="BQ206" s="758"/>
      <c r="BR206" s="758"/>
      <c r="BS206" s="758"/>
      <c r="BT206" s="758"/>
      <c r="BU206" s="758"/>
      <c r="BV206" s="758"/>
      <c r="BW206" s="758"/>
      <c r="BX206" s="758"/>
      <c r="BY206" s="758"/>
      <c r="BZ206" s="758"/>
      <c r="CA206" s="758"/>
      <c r="CB206" s="758"/>
      <c r="CC206" s="758"/>
      <c r="CD206" s="758"/>
      <c r="CE206" s="758"/>
      <c r="CF206" s="758"/>
      <c r="CG206" s="758"/>
      <c r="CH206" s="758"/>
      <c r="CI206" s="758"/>
      <c r="CJ206" s="758"/>
      <c r="CK206" s="758"/>
      <c r="CL206" s="758"/>
      <c r="CM206" s="758"/>
      <c r="CN206" s="758"/>
      <c r="CO206" s="758"/>
      <c r="CP206" s="758"/>
      <c r="CQ206" s="758"/>
      <c r="CR206" s="758"/>
      <c r="CS206" s="758"/>
      <c r="CT206" s="758"/>
      <c r="CU206" s="758"/>
      <c r="CV206" s="758"/>
      <c r="CW206" s="758"/>
      <c r="CX206" s="758"/>
      <c r="CY206" s="758"/>
      <c r="CZ206" s="758"/>
      <c r="DA206" s="758"/>
    </row>
    <row r="207" spans="2:105" ht="15" thickBot="1" x14ac:dyDescent="0.4">
      <c r="B207" s="1221"/>
      <c r="C207" s="1219"/>
      <c r="D207" s="753" t="s">
        <v>1374</v>
      </c>
      <c r="E207" s="754"/>
      <c r="F207" s="755"/>
      <c r="G207" s="755"/>
      <c r="H207" s="755"/>
      <c r="I207" s="755"/>
      <c r="J207" s="755"/>
      <c r="K207" s="755"/>
      <c r="L207" s="755"/>
      <c r="M207" s="755"/>
      <c r="N207" s="755"/>
      <c r="O207" s="755"/>
      <c r="P207" s="755"/>
      <c r="Q207" s="755"/>
      <c r="R207" s="755"/>
      <c r="S207" s="756"/>
      <c r="T207" s="754"/>
      <c r="U207" s="755"/>
      <c r="V207" s="755"/>
      <c r="W207" s="755"/>
      <c r="X207" s="755"/>
      <c r="Y207" s="755"/>
      <c r="Z207" s="755"/>
      <c r="AA207" s="755"/>
      <c r="AB207" s="755"/>
      <c r="AC207" s="755"/>
      <c r="AD207" s="755"/>
      <c r="AE207" s="755"/>
      <c r="AF207" s="755"/>
      <c r="AG207" s="755"/>
      <c r="AH207" s="755"/>
      <c r="AI207" s="755"/>
      <c r="AJ207" s="656" t="s">
        <v>743</v>
      </c>
      <c r="AK207" s="656"/>
      <c r="AL207" s="757"/>
      <c r="AM207" s="757"/>
      <c r="AN207" s="656" t="s">
        <v>743</v>
      </c>
      <c r="AO207" s="757"/>
      <c r="AP207" s="757"/>
      <c r="AQ207" s="757"/>
      <c r="AR207" s="656" t="s">
        <v>743</v>
      </c>
      <c r="AS207" s="757"/>
      <c r="AT207" s="757"/>
      <c r="AU207" s="757"/>
      <c r="AV207" s="757"/>
      <c r="AW207" s="757"/>
      <c r="AX207" s="757"/>
      <c r="AY207" s="757"/>
      <c r="AZ207" s="757"/>
      <c r="BA207" s="758"/>
      <c r="BB207" s="758"/>
      <c r="BC207" s="758"/>
      <c r="BD207" s="758"/>
      <c r="BE207" s="758"/>
      <c r="BF207" s="758"/>
      <c r="BG207" s="758"/>
      <c r="BH207" s="758"/>
      <c r="BI207" s="758"/>
      <c r="BJ207" s="758"/>
      <c r="BK207" s="758"/>
      <c r="BL207" s="758"/>
      <c r="BM207" s="758"/>
      <c r="BN207" s="758"/>
      <c r="BO207" s="758"/>
      <c r="BP207" s="758"/>
      <c r="BQ207" s="758"/>
      <c r="BR207" s="758"/>
      <c r="BS207" s="758"/>
      <c r="BT207" s="758"/>
      <c r="BU207" s="758"/>
      <c r="BV207" s="758"/>
      <c r="BW207" s="758"/>
      <c r="BX207" s="758"/>
      <c r="BY207" s="758"/>
      <c r="BZ207" s="758"/>
      <c r="CA207" s="758"/>
      <c r="CB207" s="758"/>
      <c r="CC207" s="758"/>
      <c r="CD207" s="758"/>
      <c r="CE207" s="758"/>
      <c r="CF207" s="758"/>
      <c r="CG207" s="758"/>
      <c r="CH207" s="758"/>
      <c r="CI207" s="758"/>
      <c r="CJ207" s="758"/>
      <c r="CK207" s="758"/>
      <c r="CL207" s="758"/>
      <c r="CM207" s="758"/>
      <c r="CN207" s="758"/>
      <c r="CO207" s="758"/>
      <c r="CP207" s="758"/>
      <c r="CQ207" s="758"/>
      <c r="CR207" s="758"/>
      <c r="CS207" s="758"/>
      <c r="CT207" s="758"/>
      <c r="CU207" s="758"/>
      <c r="CV207" s="758"/>
      <c r="CW207" s="758"/>
      <c r="CX207" s="758"/>
      <c r="CY207" s="758"/>
      <c r="CZ207" s="758"/>
      <c r="DA207" s="758"/>
    </row>
    <row r="208" spans="2:105" x14ac:dyDescent="0.35">
      <c r="B208" s="1221"/>
      <c r="C208" s="1219"/>
      <c r="D208" s="753" t="s">
        <v>1375</v>
      </c>
      <c r="E208" s="744"/>
      <c r="F208" s="755"/>
      <c r="G208" s="755"/>
      <c r="H208" s="755"/>
      <c r="I208" s="755"/>
      <c r="J208" s="755"/>
      <c r="K208" s="755"/>
      <c r="L208" s="755"/>
      <c r="M208" s="755"/>
      <c r="N208" s="755"/>
      <c r="O208" s="755"/>
      <c r="P208" s="755"/>
      <c r="Q208" s="755"/>
      <c r="R208" s="755"/>
      <c r="S208" s="756"/>
      <c r="T208" s="754"/>
      <c r="U208" s="755"/>
      <c r="V208" s="755"/>
      <c r="W208" s="755"/>
      <c r="X208" s="755"/>
      <c r="Y208" s="755"/>
      <c r="Z208" s="755"/>
      <c r="AA208" s="755"/>
      <c r="AB208" s="755"/>
      <c r="AC208" s="755"/>
      <c r="AD208" s="755"/>
      <c r="AE208" s="755"/>
      <c r="AF208" s="755"/>
      <c r="AG208" s="755"/>
      <c r="AH208" s="755"/>
      <c r="AI208" s="755"/>
      <c r="AJ208" s="656" t="s">
        <v>743</v>
      </c>
      <c r="AK208" s="656"/>
      <c r="AL208" s="757"/>
      <c r="AM208" s="757"/>
      <c r="AN208" s="656" t="s">
        <v>743</v>
      </c>
      <c r="AO208" s="757"/>
      <c r="AP208" s="757"/>
      <c r="AQ208" s="757"/>
      <c r="AR208" s="656" t="s">
        <v>743</v>
      </c>
      <c r="AS208" s="757"/>
      <c r="AT208" s="757"/>
      <c r="AU208" s="757"/>
      <c r="AV208" s="757"/>
      <c r="AW208" s="757"/>
      <c r="AX208" s="757"/>
      <c r="AY208" s="757"/>
      <c r="AZ208" s="757"/>
      <c r="BA208" s="758"/>
      <c r="BB208" s="758"/>
      <c r="BC208" s="758"/>
      <c r="BD208" s="758"/>
      <c r="BE208" s="758"/>
      <c r="BF208" s="758"/>
      <c r="BG208" s="758"/>
      <c r="BH208" s="758"/>
      <c r="BI208" s="758"/>
      <c r="BJ208" s="758"/>
      <c r="BK208" s="758"/>
      <c r="BL208" s="758"/>
      <c r="BM208" s="758"/>
      <c r="BN208" s="758"/>
      <c r="BO208" s="758"/>
      <c r="BP208" s="758"/>
      <c r="BQ208" s="758"/>
      <c r="BR208" s="758"/>
      <c r="BS208" s="758"/>
      <c r="BT208" s="758"/>
      <c r="BU208" s="758"/>
      <c r="BV208" s="758"/>
      <c r="BW208" s="758"/>
      <c r="BX208" s="758"/>
      <c r="BY208" s="758"/>
      <c r="BZ208" s="758"/>
      <c r="CA208" s="758"/>
      <c r="CB208" s="758"/>
      <c r="CC208" s="758"/>
      <c r="CD208" s="758"/>
      <c r="CE208" s="758"/>
      <c r="CF208" s="758"/>
      <c r="CG208" s="758"/>
      <c r="CH208" s="758"/>
      <c r="CI208" s="758"/>
      <c r="CJ208" s="758"/>
      <c r="CK208" s="758"/>
      <c r="CL208" s="758"/>
      <c r="CM208" s="758"/>
      <c r="CN208" s="758"/>
      <c r="CO208" s="758"/>
      <c r="CP208" s="758"/>
      <c r="CQ208" s="758"/>
      <c r="CR208" s="758"/>
      <c r="CS208" s="758"/>
      <c r="CT208" s="758"/>
      <c r="CU208" s="758"/>
      <c r="CV208" s="758"/>
      <c r="CW208" s="758"/>
      <c r="CX208" s="758"/>
      <c r="CY208" s="758"/>
      <c r="CZ208" s="758"/>
      <c r="DA208" s="758"/>
    </row>
    <row r="209" spans="2:105" ht="15" thickBot="1" x14ac:dyDescent="0.4">
      <c r="B209" s="1222"/>
      <c r="C209" s="1219"/>
      <c r="D209" s="759" t="s">
        <v>1376</v>
      </c>
      <c r="E209" s="754"/>
      <c r="F209" s="760"/>
      <c r="G209" s="760"/>
      <c r="H209" s="760"/>
      <c r="I209" s="760"/>
      <c r="J209" s="760"/>
      <c r="K209" s="760"/>
      <c r="L209" s="760"/>
      <c r="M209" s="760"/>
      <c r="N209" s="760"/>
      <c r="O209" s="760"/>
      <c r="P209" s="760"/>
      <c r="Q209" s="760"/>
      <c r="R209" s="760"/>
      <c r="S209" s="761"/>
      <c r="T209" s="762"/>
      <c r="U209" s="760"/>
      <c r="V209" s="760"/>
      <c r="W209" s="760"/>
      <c r="X209" s="760"/>
      <c r="Y209" s="760"/>
      <c r="Z209" s="760"/>
      <c r="AA209" s="760"/>
      <c r="AB209" s="760"/>
      <c r="AC209" s="760"/>
      <c r="AD209" s="760"/>
      <c r="AE209" s="760"/>
      <c r="AF209" s="760"/>
      <c r="AG209" s="760"/>
      <c r="AH209" s="760"/>
      <c r="AI209" s="760"/>
      <c r="AJ209" s="660" t="s">
        <v>743</v>
      </c>
      <c r="AK209" s="660"/>
      <c r="AL209" s="763"/>
      <c r="AM209" s="763"/>
      <c r="AN209" s="660" t="s">
        <v>743</v>
      </c>
      <c r="AO209" s="763"/>
      <c r="AP209" s="763"/>
      <c r="AQ209" s="763"/>
      <c r="AR209" s="660" t="s">
        <v>743</v>
      </c>
      <c r="AS209" s="763"/>
      <c r="AT209" s="763"/>
      <c r="AU209" s="763"/>
      <c r="AV209" s="763"/>
      <c r="AW209" s="763"/>
      <c r="AX209" s="763"/>
      <c r="AY209" s="763"/>
      <c r="AZ209" s="763"/>
      <c r="BA209" s="764"/>
      <c r="BB209" s="764"/>
      <c r="BC209" s="764"/>
      <c r="BD209" s="764"/>
      <c r="BE209" s="764"/>
      <c r="BF209" s="764"/>
      <c r="BG209" s="764"/>
      <c r="BH209" s="764"/>
      <c r="BI209" s="764"/>
      <c r="BJ209" s="764"/>
      <c r="BK209" s="764"/>
      <c r="BL209" s="764"/>
      <c r="BM209" s="764"/>
      <c r="BN209" s="764"/>
      <c r="BO209" s="764"/>
      <c r="BP209" s="764"/>
      <c r="BQ209" s="764"/>
      <c r="BR209" s="764"/>
      <c r="BS209" s="764"/>
      <c r="BT209" s="764"/>
      <c r="BU209" s="764"/>
      <c r="BV209" s="764"/>
      <c r="BW209" s="764"/>
      <c r="BX209" s="764"/>
      <c r="BY209" s="764"/>
      <c r="BZ209" s="764"/>
      <c r="CA209" s="764"/>
      <c r="CB209" s="764"/>
      <c r="CC209" s="764"/>
      <c r="CD209" s="764"/>
      <c r="CE209" s="764"/>
      <c r="CF209" s="764"/>
      <c r="CG209" s="764"/>
      <c r="CH209" s="764"/>
      <c r="CI209" s="764"/>
      <c r="CJ209" s="764"/>
      <c r="CK209" s="764"/>
      <c r="CL209" s="764"/>
      <c r="CM209" s="764"/>
      <c r="CN209" s="764"/>
      <c r="CO209" s="764"/>
      <c r="CP209" s="764"/>
      <c r="CQ209" s="764"/>
      <c r="CR209" s="764"/>
      <c r="CS209" s="764"/>
      <c r="CT209" s="764"/>
      <c r="CU209" s="764"/>
      <c r="CV209" s="764"/>
      <c r="CW209" s="764"/>
      <c r="CX209" s="764"/>
      <c r="CY209" s="764"/>
      <c r="CZ209" s="764"/>
      <c r="DA209" s="764"/>
    </row>
    <row r="210" spans="2:105" ht="15" outlineLevel="1" thickBot="1" x14ac:dyDescent="0.4">
      <c r="B210" s="577" t="s">
        <v>962</v>
      </c>
      <c r="C210" s="1210"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48"/>
      <c r="AM210" s="648"/>
      <c r="AN210" s="650"/>
      <c r="AO210" s="648"/>
      <c r="AP210" s="648"/>
      <c r="AQ210" s="648"/>
      <c r="AR210" s="650"/>
      <c r="AS210" s="648"/>
      <c r="AT210" s="648"/>
      <c r="AU210" s="648"/>
      <c r="AV210" s="648"/>
      <c r="AW210" s="648"/>
      <c r="AX210" s="648"/>
      <c r="AY210" s="648"/>
      <c r="AZ210" s="648"/>
      <c r="BA210" s="649"/>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row>
    <row r="211" spans="2:105" outlineLevel="1" x14ac:dyDescent="0.35">
      <c r="B211" s="1213" t="s">
        <v>964</v>
      </c>
      <c r="C211" s="1211"/>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3"/>
      <c r="AM211" s="653"/>
      <c r="AN211" s="651"/>
      <c r="AO211" s="653"/>
      <c r="AP211" s="653"/>
      <c r="AQ211" s="653"/>
      <c r="AR211" s="651"/>
      <c r="AS211" s="653"/>
      <c r="AT211" s="653"/>
      <c r="AU211" s="653"/>
      <c r="AV211" s="653"/>
      <c r="AW211" s="653"/>
      <c r="AX211" s="653"/>
      <c r="AY211" s="653"/>
      <c r="AZ211" s="653"/>
      <c r="BA211" s="654"/>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row>
    <row r="212" spans="2:105" outlineLevel="1" x14ac:dyDescent="0.35">
      <c r="B212" s="1214"/>
      <c r="C212" s="1211"/>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38"/>
      <c r="AM212" s="638"/>
      <c r="AN212" s="656"/>
      <c r="AO212" s="638"/>
      <c r="AP212" s="638"/>
      <c r="AQ212" s="638"/>
      <c r="AR212" s="656"/>
      <c r="AS212" s="638"/>
      <c r="AT212" s="638"/>
      <c r="AU212" s="638"/>
      <c r="AV212" s="638"/>
      <c r="AW212" s="638"/>
      <c r="AX212" s="638"/>
      <c r="AY212" s="638"/>
      <c r="AZ212" s="638"/>
      <c r="BA212" s="639"/>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row>
    <row r="213" spans="2:105" outlineLevel="1" x14ac:dyDescent="0.35">
      <c r="B213" s="1214"/>
      <c r="C213" s="1211"/>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38"/>
      <c r="AM213" s="638"/>
      <c r="AN213" s="656"/>
      <c r="AO213" s="638"/>
      <c r="AP213" s="638"/>
      <c r="AQ213" s="638"/>
      <c r="AR213" s="656"/>
      <c r="AS213" s="638"/>
      <c r="AT213" s="638"/>
      <c r="AU213" s="638"/>
      <c r="AV213" s="638"/>
      <c r="AW213" s="638"/>
      <c r="AX213" s="638"/>
      <c r="AY213" s="638"/>
      <c r="AZ213" s="638"/>
      <c r="BA213" s="639"/>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row>
    <row r="214" spans="2:105" outlineLevel="1" x14ac:dyDescent="0.35">
      <c r="B214" s="1214"/>
      <c r="C214" s="1211"/>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38"/>
      <c r="AM214" s="638"/>
      <c r="AN214" s="656"/>
      <c r="AO214" s="638"/>
      <c r="AP214" s="638"/>
      <c r="AQ214" s="638"/>
      <c r="AR214" s="656"/>
      <c r="AS214" s="638"/>
      <c r="AT214" s="638"/>
      <c r="AU214" s="638"/>
      <c r="AV214" s="638"/>
      <c r="AW214" s="638"/>
      <c r="AX214" s="638"/>
      <c r="AY214" s="638"/>
      <c r="AZ214" s="638"/>
      <c r="BA214" s="639"/>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row>
    <row r="215" spans="2:105" outlineLevel="1" x14ac:dyDescent="0.35">
      <c r="B215" s="1214"/>
      <c r="C215" s="1211"/>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38"/>
      <c r="AM215" s="638"/>
      <c r="AN215" s="656"/>
      <c r="AO215" s="638"/>
      <c r="AP215" s="638"/>
      <c r="AQ215" s="638"/>
      <c r="AR215" s="656"/>
      <c r="AS215" s="638"/>
      <c r="AT215" s="638"/>
      <c r="AU215" s="638"/>
      <c r="AV215" s="638"/>
      <c r="AW215" s="638"/>
      <c r="AX215" s="638"/>
      <c r="AY215" s="638"/>
      <c r="AZ215" s="638"/>
      <c r="BA215" s="639"/>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row>
    <row r="216" spans="2:105" outlineLevel="1" x14ac:dyDescent="0.35">
      <c r="B216" s="1214"/>
      <c r="C216" s="1211"/>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38"/>
      <c r="AM216" s="638"/>
      <c r="AN216" s="656"/>
      <c r="AO216" s="638"/>
      <c r="AP216" s="638"/>
      <c r="AQ216" s="638"/>
      <c r="AR216" s="656"/>
      <c r="AS216" s="638"/>
      <c r="AT216" s="638"/>
      <c r="AU216" s="638"/>
      <c r="AV216" s="638"/>
      <c r="AW216" s="638"/>
      <c r="AX216" s="638"/>
      <c r="AY216" s="638"/>
      <c r="AZ216" s="638"/>
      <c r="BA216" s="639"/>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row>
    <row r="217" spans="2:105" outlineLevel="1" x14ac:dyDescent="0.35">
      <c r="B217" s="1214"/>
      <c r="C217" s="1211"/>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38"/>
      <c r="AM217" s="638"/>
      <c r="AN217" s="656"/>
      <c r="AO217" s="638"/>
      <c r="AP217" s="638"/>
      <c r="AQ217" s="638"/>
      <c r="AR217" s="656"/>
      <c r="AS217" s="638"/>
      <c r="AT217" s="638"/>
      <c r="AU217" s="638"/>
      <c r="AV217" s="638"/>
      <c r="AW217" s="638"/>
      <c r="AX217" s="638"/>
      <c r="AY217" s="638"/>
      <c r="AZ217" s="638"/>
      <c r="BA217" s="639"/>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row>
    <row r="218" spans="2:105" outlineLevel="1" x14ac:dyDescent="0.35">
      <c r="B218" s="1214"/>
      <c r="C218" s="1211"/>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38"/>
      <c r="AM218" s="638"/>
      <c r="AN218" s="656"/>
      <c r="AO218" s="638"/>
      <c r="AP218" s="638"/>
      <c r="AQ218" s="638"/>
      <c r="AR218" s="656"/>
      <c r="AS218" s="638"/>
      <c r="AT218" s="638"/>
      <c r="AU218" s="638"/>
      <c r="AV218" s="638"/>
      <c r="AW218" s="638"/>
      <c r="AX218" s="638"/>
      <c r="AY218" s="638"/>
      <c r="AZ218" s="638"/>
      <c r="BA218" s="639"/>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row>
    <row r="219" spans="2:105" outlineLevel="1" x14ac:dyDescent="0.35">
      <c r="B219" s="1214"/>
      <c r="C219" s="1211"/>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38"/>
      <c r="AM219" s="638"/>
      <c r="AN219" s="656"/>
      <c r="AO219" s="638"/>
      <c r="AP219" s="638"/>
      <c r="AQ219" s="638"/>
      <c r="AR219" s="656"/>
      <c r="AS219" s="638"/>
      <c r="AT219" s="638"/>
      <c r="AU219" s="638"/>
      <c r="AV219" s="638"/>
      <c r="AW219" s="638"/>
      <c r="AX219" s="638"/>
      <c r="AY219" s="638"/>
      <c r="AZ219" s="638"/>
      <c r="BA219" s="639"/>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row>
    <row r="220" spans="2:105" outlineLevel="1" x14ac:dyDescent="0.35">
      <c r="B220" s="1214"/>
      <c r="C220" s="1211"/>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38"/>
      <c r="AM220" s="638"/>
      <c r="AN220" s="656"/>
      <c r="AO220" s="638"/>
      <c r="AP220" s="638"/>
      <c r="AQ220" s="638"/>
      <c r="AR220" s="656"/>
      <c r="AS220" s="638"/>
      <c r="AT220" s="638"/>
      <c r="AU220" s="638"/>
      <c r="AV220" s="638"/>
      <c r="AW220" s="638"/>
      <c r="AX220" s="638"/>
      <c r="AY220" s="638"/>
      <c r="AZ220" s="638"/>
      <c r="BA220" s="639"/>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row>
    <row r="221" spans="2:105" outlineLevel="1" x14ac:dyDescent="0.35">
      <c r="B221" s="1214"/>
      <c r="C221" s="1211"/>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38"/>
      <c r="AM221" s="638"/>
      <c r="AN221" s="656"/>
      <c r="AO221" s="638"/>
      <c r="AP221" s="638"/>
      <c r="AQ221" s="638"/>
      <c r="AR221" s="656"/>
      <c r="AS221" s="638"/>
      <c r="AT221" s="638"/>
      <c r="AU221" s="638"/>
      <c r="AV221" s="638"/>
      <c r="AW221" s="638"/>
      <c r="AX221" s="638"/>
      <c r="AY221" s="638"/>
      <c r="AZ221" s="638"/>
      <c r="BA221" s="639"/>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row>
    <row r="222" spans="2:105" outlineLevel="1" x14ac:dyDescent="0.35">
      <c r="B222" s="1214"/>
      <c r="C222" s="1211"/>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38"/>
      <c r="AM222" s="638"/>
      <c r="AN222" s="656"/>
      <c r="AO222" s="638"/>
      <c r="AP222" s="638"/>
      <c r="AQ222" s="638"/>
      <c r="AR222" s="656"/>
      <c r="AS222" s="638"/>
      <c r="AT222" s="638"/>
      <c r="AU222" s="638"/>
      <c r="AV222" s="638"/>
      <c r="AW222" s="638"/>
      <c r="AX222" s="638"/>
      <c r="AY222" s="638"/>
      <c r="AZ222" s="638"/>
      <c r="BA222" s="639"/>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row>
    <row r="223" spans="2:105" outlineLevel="1" x14ac:dyDescent="0.35">
      <c r="B223" s="1214"/>
      <c r="C223" s="1211"/>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38"/>
      <c r="AM223" s="638"/>
      <c r="AN223" s="656"/>
      <c r="AO223" s="638"/>
      <c r="AP223" s="638"/>
      <c r="AQ223" s="638"/>
      <c r="AR223" s="656"/>
      <c r="AS223" s="638"/>
      <c r="AT223" s="638"/>
      <c r="AU223" s="638"/>
      <c r="AV223" s="638"/>
      <c r="AW223" s="638"/>
      <c r="AX223" s="638"/>
      <c r="AY223" s="638"/>
      <c r="AZ223" s="638"/>
      <c r="BA223" s="639"/>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row>
    <row r="224" spans="2:105" outlineLevel="1" x14ac:dyDescent="0.35">
      <c r="B224" s="1214"/>
      <c r="C224" s="1211"/>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38"/>
      <c r="AM224" s="638"/>
      <c r="AN224" s="656"/>
      <c r="AO224" s="638"/>
      <c r="AP224" s="638"/>
      <c r="AQ224" s="638"/>
      <c r="AR224" s="656"/>
      <c r="AS224" s="638"/>
      <c r="AT224" s="638"/>
      <c r="AU224" s="638"/>
      <c r="AV224" s="638"/>
      <c r="AW224" s="638"/>
      <c r="AX224" s="638"/>
      <c r="AY224" s="638"/>
      <c r="AZ224" s="638"/>
      <c r="BA224" s="639"/>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row>
    <row r="225" spans="2:106" outlineLevel="1" x14ac:dyDescent="0.35">
      <c r="B225" s="1214"/>
      <c r="C225" s="1211"/>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38"/>
      <c r="AM225" s="638"/>
      <c r="AN225" s="656"/>
      <c r="AO225" s="638"/>
      <c r="AP225" s="638"/>
      <c r="AQ225" s="638"/>
      <c r="AR225" s="656"/>
      <c r="AS225" s="638"/>
      <c r="AT225" s="638"/>
      <c r="AU225" s="638"/>
      <c r="AV225" s="638"/>
      <c r="AW225" s="638"/>
      <c r="AX225" s="638"/>
      <c r="AY225" s="638"/>
      <c r="AZ225" s="638"/>
      <c r="BA225" s="639"/>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row>
    <row r="226" spans="2:106" ht="15" outlineLevel="1" thickBot="1" x14ac:dyDescent="0.4">
      <c r="B226" s="1215"/>
      <c r="C226" s="1212"/>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43"/>
      <c r="AM226" s="643"/>
      <c r="AN226" s="660"/>
      <c r="AO226" s="643"/>
      <c r="AP226" s="643"/>
      <c r="AQ226" s="643"/>
      <c r="AR226" s="660"/>
      <c r="AS226" s="643"/>
      <c r="AT226" s="643"/>
      <c r="AU226" s="643"/>
      <c r="AV226" s="643"/>
      <c r="AW226" s="643"/>
      <c r="AX226" s="643"/>
      <c r="AY226" s="643"/>
      <c r="AZ226" s="643"/>
      <c r="BA226" s="644"/>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row>
    <row r="227" spans="2:106" s="582" customFormat="1" ht="15" thickBot="1" x14ac:dyDescent="0.4">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5"/>
      <c r="AM227" s="675"/>
      <c r="AN227" s="674"/>
      <c r="AO227" s="675"/>
      <c r="AP227" s="675"/>
      <c r="AQ227" s="675"/>
      <c r="AR227" s="674"/>
      <c r="AS227" s="675"/>
      <c r="AT227" s="675"/>
      <c r="AU227" s="675"/>
      <c r="AV227" s="675"/>
      <c r="AW227" s="675"/>
      <c r="AX227" s="675"/>
      <c r="AY227" s="675"/>
      <c r="AZ227" s="675"/>
      <c r="BA227" s="676"/>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row>
    <row r="228" spans="2:106" s="582" customFormat="1" ht="15" thickBot="1" x14ac:dyDescent="0.4">
      <c r="B228" s="577" t="s">
        <v>982</v>
      </c>
      <c r="C228" s="1211"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8"/>
      <c r="AM228" s="628"/>
      <c r="AN228" s="626"/>
      <c r="AO228" s="628"/>
      <c r="AP228" s="628"/>
      <c r="AQ228" s="628"/>
      <c r="AR228" s="626"/>
      <c r="AS228" s="628"/>
      <c r="AT228" s="628"/>
      <c r="AU228" s="628"/>
      <c r="AV228" s="628"/>
      <c r="AW228" s="628"/>
      <c r="AX228" s="628"/>
      <c r="AY228" s="628"/>
      <c r="AZ228" s="628"/>
      <c r="BA228" s="629"/>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row>
    <row r="229" spans="2:106" s="582" customFormat="1" x14ac:dyDescent="0.35">
      <c r="B229" s="1213" t="s">
        <v>983</v>
      </c>
      <c r="C229" s="1211"/>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3"/>
      <c r="AM229" s="633"/>
      <c r="AN229" s="631"/>
      <c r="AO229" s="633"/>
      <c r="AP229" s="633"/>
      <c r="AQ229" s="633"/>
      <c r="AR229" s="631"/>
      <c r="AS229" s="633"/>
      <c r="AT229" s="633"/>
      <c r="AU229" s="633"/>
      <c r="AV229" s="633"/>
      <c r="AW229" s="633"/>
      <c r="AX229" s="633"/>
      <c r="AY229" s="633"/>
      <c r="AZ229" s="633"/>
      <c r="BA229" s="634"/>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row>
    <row r="230" spans="2:106" s="582" customFormat="1" x14ac:dyDescent="0.35">
      <c r="B230" s="1214"/>
      <c r="C230" s="1211"/>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8"/>
      <c r="AM230" s="638"/>
      <c r="AN230" s="636"/>
      <c r="AO230" s="638"/>
      <c r="AP230" s="638"/>
      <c r="AQ230" s="638"/>
      <c r="AR230" s="636"/>
      <c r="AS230" s="638"/>
      <c r="AT230" s="638"/>
      <c r="AU230" s="638"/>
      <c r="AV230" s="638"/>
      <c r="AW230" s="638"/>
      <c r="AX230" s="638"/>
      <c r="AY230" s="638"/>
      <c r="AZ230" s="638"/>
      <c r="BA230" s="639"/>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row>
    <row r="231" spans="2:106" s="582" customFormat="1" x14ac:dyDescent="0.35">
      <c r="B231" s="1214"/>
      <c r="C231" s="1211"/>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8"/>
      <c r="AM231" s="638"/>
      <c r="AN231" s="636"/>
      <c r="AO231" s="638"/>
      <c r="AP231" s="638"/>
      <c r="AQ231" s="638"/>
      <c r="AR231" s="636"/>
      <c r="AS231" s="638"/>
      <c r="AT231" s="638"/>
      <c r="AU231" s="638"/>
      <c r="AV231" s="638"/>
      <c r="AW231" s="638"/>
      <c r="AX231" s="638"/>
      <c r="AY231" s="638"/>
      <c r="AZ231" s="638"/>
      <c r="BA231" s="639"/>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row>
    <row r="232" spans="2:106" s="582" customFormat="1" x14ac:dyDescent="0.35">
      <c r="B232" s="1214"/>
      <c r="C232" s="1211"/>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8"/>
      <c r="AM232" s="638"/>
      <c r="AN232" s="636"/>
      <c r="AO232" s="638"/>
      <c r="AP232" s="638"/>
      <c r="AQ232" s="638"/>
      <c r="AR232" s="636"/>
      <c r="AS232" s="638"/>
      <c r="AT232" s="638"/>
      <c r="AU232" s="638"/>
      <c r="AV232" s="638"/>
      <c r="AW232" s="638"/>
      <c r="AX232" s="638"/>
      <c r="AY232" s="638"/>
      <c r="AZ232" s="638"/>
      <c r="BA232" s="639"/>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row>
    <row r="233" spans="2:106" s="582" customFormat="1" x14ac:dyDescent="0.35">
      <c r="B233" s="1214"/>
      <c r="C233" s="1211"/>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8"/>
      <c r="AM233" s="638"/>
      <c r="AN233" s="636"/>
      <c r="AO233" s="638"/>
      <c r="AP233" s="638"/>
      <c r="AQ233" s="638"/>
      <c r="AR233" s="636"/>
      <c r="AS233" s="638"/>
      <c r="AT233" s="638"/>
      <c r="AU233" s="638"/>
      <c r="AV233" s="638"/>
      <c r="AW233" s="638"/>
      <c r="AX233" s="638"/>
      <c r="AY233" s="638"/>
      <c r="AZ233" s="638"/>
      <c r="BA233" s="639"/>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row>
    <row r="234" spans="2:106" s="582" customFormat="1" x14ac:dyDescent="0.35">
      <c r="B234" s="1214"/>
      <c r="C234" s="1211"/>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8"/>
      <c r="AM234" s="638"/>
      <c r="AN234" s="636"/>
      <c r="AO234" s="638"/>
      <c r="AP234" s="638"/>
      <c r="AQ234" s="638"/>
      <c r="AR234" s="636"/>
      <c r="AS234" s="638"/>
      <c r="AT234" s="638"/>
      <c r="AU234" s="638"/>
      <c r="AV234" s="638"/>
      <c r="AW234" s="638"/>
      <c r="AX234" s="638"/>
      <c r="AY234" s="638"/>
      <c r="AZ234" s="638"/>
      <c r="BA234" s="639"/>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row>
    <row r="235" spans="2:106" s="582" customFormat="1" x14ac:dyDescent="0.35">
      <c r="B235" s="1214"/>
      <c r="C235" s="1211"/>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8"/>
      <c r="AM235" s="638"/>
      <c r="AN235" s="636"/>
      <c r="AO235" s="638"/>
      <c r="AP235" s="638"/>
      <c r="AQ235" s="638"/>
      <c r="AR235" s="636"/>
      <c r="AS235" s="638"/>
      <c r="AT235" s="638"/>
      <c r="AU235" s="638"/>
      <c r="AV235" s="638"/>
      <c r="AW235" s="638"/>
      <c r="AX235" s="638"/>
      <c r="AY235" s="638"/>
      <c r="AZ235" s="638"/>
      <c r="BA235" s="639"/>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row>
    <row r="236" spans="2:106" s="582" customFormat="1" x14ac:dyDescent="0.35">
      <c r="B236" s="1214"/>
      <c r="C236" s="1211"/>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8"/>
      <c r="AM236" s="638"/>
      <c r="AN236" s="636"/>
      <c r="AO236" s="638"/>
      <c r="AP236" s="638"/>
      <c r="AQ236" s="638"/>
      <c r="AR236" s="636"/>
      <c r="AS236" s="638"/>
      <c r="AT236" s="638"/>
      <c r="AU236" s="638"/>
      <c r="AV236" s="638"/>
      <c r="AW236" s="638"/>
      <c r="AX236" s="638"/>
      <c r="AY236" s="638"/>
      <c r="AZ236" s="638"/>
      <c r="BA236" s="639"/>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row>
    <row r="237" spans="2:106" s="582" customFormat="1" x14ac:dyDescent="0.35">
      <c r="B237" s="1214"/>
      <c r="C237" s="1211"/>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8"/>
      <c r="AM237" s="638"/>
      <c r="AN237" s="636"/>
      <c r="AO237" s="638"/>
      <c r="AP237" s="638"/>
      <c r="AQ237" s="638"/>
      <c r="AR237" s="636"/>
      <c r="AS237" s="638"/>
      <c r="AT237" s="638"/>
      <c r="AU237" s="638"/>
      <c r="AV237" s="638"/>
      <c r="AW237" s="638"/>
      <c r="AX237" s="638"/>
      <c r="AY237" s="638"/>
      <c r="AZ237" s="638"/>
      <c r="BA237" s="639"/>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row>
    <row r="238" spans="2:106" s="582" customFormat="1" x14ac:dyDescent="0.35">
      <c r="B238" s="1214"/>
      <c r="C238" s="1211"/>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8"/>
      <c r="AM238" s="638"/>
      <c r="AN238" s="636"/>
      <c r="AO238" s="638"/>
      <c r="AP238" s="638"/>
      <c r="AQ238" s="638"/>
      <c r="AR238" s="636"/>
      <c r="AS238" s="638"/>
      <c r="AT238" s="638"/>
      <c r="AU238" s="638"/>
      <c r="AV238" s="638"/>
      <c r="AW238" s="638"/>
      <c r="AX238" s="638"/>
      <c r="AY238" s="638"/>
      <c r="AZ238" s="638"/>
      <c r="BA238" s="639"/>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row>
    <row r="239" spans="2:106" s="582" customFormat="1" x14ac:dyDescent="0.35">
      <c r="B239" s="1214"/>
      <c r="C239" s="1211"/>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8"/>
      <c r="AM239" s="638"/>
      <c r="AN239" s="636"/>
      <c r="AO239" s="638"/>
      <c r="AP239" s="638"/>
      <c r="AQ239" s="638"/>
      <c r="AR239" s="636"/>
      <c r="AS239" s="638"/>
      <c r="AT239" s="638"/>
      <c r="AU239" s="638"/>
      <c r="AV239" s="638"/>
      <c r="AW239" s="638"/>
      <c r="AX239" s="638"/>
      <c r="AY239" s="638"/>
      <c r="AZ239" s="638"/>
      <c r="BA239" s="639"/>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row>
    <row r="240" spans="2:106" s="582" customFormat="1" x14ac:dyDescent="0.35">
      <c r="B240" s="1214"/>
      <c r="C240" s="1211"/>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8"/>
      <c r="AM240" s="638"/>
      <c r="AN240" s="636"/>
      <c r="AO240" s="638"/>
      <c r="AP240" s="638"/>
      <c r="AQ240" s="638"/>
      <c r="AR240" s="636"/>
      <c r="AS240" s="638"/>
      <c r="AT240" s="638"/>
      <c r="AU240" s="638"/>
      <c r="AV240" s="638"/>
      <c r="AW240" s="638"/>
      <c r="AX240" s="638"/>
      <c r="AY240" s="638"/>
      <c r="AZ240" s="638"/>
      <c r="BA240" s="639"/>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row>
    <row r="241" spans="2:106" s="582" customFormat="1" x14ac:dyDescent="0.35">
      <c r="B241" s="1214"/>
      <c r="C241" s="1211"/>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8"/>
      <c r="AM241" s="638"/>
      <c r="AN241" s="636"/>
      <c r="AO241" s="638"/>
      <c r="AP241" s="638"/>
      <c r="AQ241" s="638"/>
      <c r="AR241" s="636"/>
      <c r="AS241" s="638"/>
      <c r="AT241" s="638"/>
      <c r="AU241" s="638"/>
      <c r="AV241" s="638"/>
      <c r="AW241" s="638"/>
      <c r="AX241" s="638"/>
      <c r="AY241" s="638"/>
      <c r="AZ241" s="638"/>
      <c r="BA241" s="639"/>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row>
    <row r="242" spans="2:106" s="582" customFormat="1" x14ac:dyDescent="0.35">
      <c r="B242" s="1214"/>
      <c r="C242" s="1211"/>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8"/>
      <c r="AM242" s="638"/>
      <c r="AN242" s="636"/>
      <c r="AO242" s="638"/>
      <c r="AP242" s="638"/>
      <c r="AQ242" s="638"/>
      <c r="AR242" s="636"/>
      <c r="AS242" s="638"/>
      <c r="AT242" s="638"/>
      <c r="AU242" s="638"/>
      <c r="AV242" s="638"/>
      <c r="AW242" s="638"/>
      <c r="AX242" s="638"/>
      <c r="AY242" s="638"/>
      <c r="AZ242" s="638"/>
      <c r="BA242" s="639"/>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row>
    <row r="243" spans="2:106" s="582" customFormat="1" x14ac:dyDescent="0.35">
      <c r="B243" s="1214"/>
      <c r="C243" s="1211"/>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8"/>
      <c r="AM243" s="638"/>
      <c r="AN243" s="636"/>
      <c r="AO243" s="638"/>
      <c r="AP243" s="638"/>
      <c r="AQ243" s="638"/>
      <c r="AR243" s="636"/>
      <c r="AS243" s="638"/>
      <c r="AT243" s="638"/>
      <c r="AU243" s="638"/>
      <c r="AV243" s="638"/>
      <c r="AW243" s="638"/>
      <c r="AX243" s="638"/>
      <c r="AY243" s="638"/>
      <c r="AZ243" s="638"/>
      <c r="BA243" s="639"/>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row>
    <row r="244" spans="2:106" s="582" customFormat="1" ht="15" thickBot="1" x14ac:dyDescent="0.4">
      <c r="B244" s="1215"/>
      <c r="C244" s="1212"/>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3"/>
      <c r="AM244" s="643"/>
      <c r="AN244" s="641"/>
      <c r="AO244" s="643"/>
      <c r="AP244" s="643"/>
      <c r="AQ244" s="643"/>
      <c r="AR244" s="641"/>
      <c r="AS244" s="643"/>
      <c r="AT244" s="643"/>
      <c r="AU244" s="643"/>
      <c r="AV244" s="643"/>
      <c r="AW244" s="643"/>
      <c r="AX244" s="643"/>
      <c r="AY244" s="643"/>
      <c r="AZ244" s="643"/>
      <c r="BA244" s="644"/>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row>
    <row r="245" spans="2:106" s="582" customFormat="1" ht="15" thickBot="1" x14ac:dyDescent="0.4">
      <c r="B245" s="577" t="s">
        <v>984</v>
      </c>
      <c r="C245" s="1210"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8"/>
      <c r="AM245" s="648"/>
      <c r="AN245" s="646"/>
      <c r="AO245" s="648"/>
      <c r="AP245" s="648"/>
      <c r="AQ245" s="648"/>
      <c r="AR245" s="646"/>
      <c r="AS245" s="648"/>
      <c r="AT245" s="648"/>
      <c r="AU245" s="648"/>
      <c r="AV245" s="648"/>
      <c r="AW245" s="648"/>
      <c r="AX245" s="648"/>
      <c r="AY245" s="648"/>
      <c r="AZ245" s="648"/>
      <c r="BA245" s="649"/>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row>
    <row r="246" spans="2:106" s="582" customFormat="1" x14ac:dyDescent="0.35">
      <c r="B246" s="1213" t="s">
        <v>985</v>
      </c>
      <c r="C246" s="1211"/>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3"/>
      <c r="AM246" s="653"/>
      <c r="AN246" s="651"/>
      <c r="AO246" s="653"/>
      <c r="AP246" s="653"/>
      <c r="AQ246" s="653"/>
      <c r="AR246" s="651"/>
      <c r="AS246" s="653"/>
      <c r="AT246" s="653"/>
      <c r="AU246" s="653"/>
      <c r="AV246" s="653"/>
      <c r="AW246" s="653"/>
      <c r="AX246" s="653"/>
      <c r="AY246" s="653"/>
      <c r="AZ246" s="653"/>
      <c r="BA246" s="654"/>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row>
    <row r="247" spans="2:106" s="582" customFormat="1" x14ac:dyDescent="0.35">
      <c r="B247" s="1214"/>
      <c r="C247" s="1211"/>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38"/>
      <c r="AM247" s="638"/>
      <c r="AN247" s="656"/>
      <c r="AO247" s="638"/>
      <c r="AP247" s="638"/>
      <c r="AQ247" s="638"/>
      <c r="AR247" s="656"/>
      <c r="AS247" s="638"/>
      <c r="AT247" s="638"/>
      <c r="AU247" s="638"/>
      <c r="AV247" s="638"/>
      <c r="AW247" s="638"/>
      <c r="AX247" s="638"/>
      <c r="AY247" s="638"/>
      <c r="AZ247" s="638"/>
      <c r="BA247" s="639"/>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row>
    <row r="248" spans="2:106" s="582" customFormat="1" x14ac:dyDescent="0.35">
      <c r="B248" s="1214"/>
      <c r="C248" s="1211"/>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38"/>
      <c r="AM248" s="638"/>
      <c r="AN248" s="656"/>
      <c r="AO248" s="638"/>
      <c r="AP248" s="638"/>
      <c r="AQ248" s="638"/>
      <c r="AR248" s="656"/>
      <c r="AS248" s="638"/>
      <c r="AT248" s="638"/>
      <c r="AU248" s="638"/>
      <c r="AV248" s="638"/>
      <c r="AW248" s="638"/>
      <c r="AX248" s="638"/>
      <c r="AY248" s="638"/>
      <c r="AZ248" s="638"/>
      <c r="BA248" s="639"/>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row>
    <row r="249" spans="2:106" s="582" customFormat="1" x14ac:dyDescent="0.35">
      <c r="B249" s="1214"/>
      <c r="C249" s="1211"/>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38"/>
      <c r="AM249" s="638"/>
      <c r="AN249" s="656"/>
      <c r="AO249" s="638"/>
      <c r="AP249" s="638"/>
      <c r="AQ249" s="638"/>
      <c r="AR249" s="656"/>
      <c r="AS249" s="638"/>
      <c r="AT249" s="638"/>
      <c r="AU249" s="638"/>
      <c r="AV249" s="638"/>
      <c r="AW249" s="638"/>
      <c r="AX249" s="638"/>
      <c r="AY249" s="638"/>
      <c r="AZ249" s="638"/>
      <c r="BA249" s="639"/>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row>
    <row r="250" spans="2:106" s="582" customFormat="1" x14ac:dyDescent="0.35">
      <c r="B250" s="1214"/>
      <c r="C250" s="1211"/>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38"/>
      <c r="AM250" s="638"/>
      <c r="AN250" s="656"/>
      <c r="AO250" s="638"/>
      <c r="AP250" s="638"/>
      <c r="AQ250" s="638"/>
      <c r="AR250" s="656"/>
      <c r="AS250" s="638"/>
      <c r="AT250" s="638"/>
      <c r="AU250" s="638"/>
      <c r="AV250" s="638"/>
      <c r="AW250" s="638"/>
      <c r="AX250" s="638"/>
      <c r="AY250" s="638"/>
      <c r="AZ250" s="638"/>
      <c r="BA250" s="639"/>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row>
    <row r="251" spans="2:106" s="582" customFormat="1" x14ac:dyDescent="0.35">
      <c r="B251" s="1214"/>
      <c r="C251" s="1211"/>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38"/>
      <c r="AM251" s="638"/>
      <c r="AN251" s="656"/>
      <c r="AO251" s="638"/>
      <c r="AP251" s="638"/>
      <c r="AQ251" s="638"/>
      <c r="AR251" s="656"/>
      <c r="AS251" s="638"/>
      <c r="AT251" s="638"/>
      <c r="AU251" s="638"/>
      <c r="AV251" s="638"/>
      <c r="AW251" s="638"/>
      <c r="AX251" s="638"/>
      <c r="AY251" s="638"/>
      <c r="AZ251" s="638"/>
      <c r="BA251" s="639"/>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row>
    <row r="252" spans="2:106" s="582" customFormat="1" x14ac:dyDescent="0.35">
      <c r="B252" s="1214"/>
      <c r="C252" s="1211"/>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38"/>
      <c r="AM252" s="638"/>
      <c r="AN252" s="657"/>
      <c r="AO252" s="638"/>
      <c r="AP252" s="638"/>
      <c r="AQ252" s="638"/>
      <c r="AR252" s="657"/>
      <c r="AS252" s="638"/>
      <c r="AT252" s="638"/>
      <c r="AU252" s="638"/>
      <c r="AV252" s="638"/>
      <c r="AW252" s="638"/>
      <c r="AX252" s="638"/>
      <c r="AY252" s="638"/>
      <c r="AZ252" s="638"/>
      <c r="BA252" s="639"/>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row>
    <row r="253" spans="2:106" s="582" customFormat="1" x14ac:dyDescent="0.35">
      <c r="B253" s="1214"/>
      <c r="C253" s="1211"/>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38"/>
      <c r="AM253" s="638"/>
      <c r="AN253" s="656"/>
      <c r="AO253" s="638"/>
      <c r="AP253" s="638"/>
      <c r="AQ253" s="638"/>
      <c r="AR253" s="656"/>
      <c r="AS253" s="638"/>
      <c r="AT253" s="638"/>
      <c r="AU253" s="638"/>
      <c r="AV253" s="638"/>
      <c r="AW253" s="638"/>
      <c r="AX253" s="638"/>
      <c r="AY253" s="638"/>
      <c r="AZ253" s="638"/>
      <c r="BA253" s="639"/>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row>
    <row r="254" spans="2:106" s="582" customFormat="1" x14ac:dyDescent="0.35">
      <c r="B254" s="1214"/>
      <c r="C254" s="1211"/>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38"/>
      <c r="AM254" s="638"/>
      <c r="AN254" s="656"/>
      <c r="AO254" s="638"/>
      <c r="AP254" s="638"/>
      <c r="AQ254" s="638"/>
      <c r="AR254" s="656"/>
      <c r="AS254" s="638"/>
      <c r="AT254" s="638"/>
      <c r="AU254" s="638"/>
      <c r="AV254" s="638"/>
      <c r="AW254" s="638"/>
      <c r="AX254" s="638"/>
      <c r="AY254" s="638"/>
      <c r="AZ254" s="638"/>
      <c r="BA254" s="639"/>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row>
    <row r="255" spans="2:106" s="582" customFormat="1" x14ac:dyDescent="0.35">
      <c r="B255" s="1214"/>
      <c r="C255" s="1211"/>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38"/>
      <c r="AM255" s="638"/>
      <c r="AN255" s="658"/>
      <c r="AO255" s="638"/>
      <c r="AP255" s="638"/>
      <c r="AQ255" s="638"/>
      <c r="AR255" s="658"/>
      <c r="AS255" s="638"/>
      <c r="AT255" s="638"/>
      <c r="AU255" s="638"/>
      <c r="AV255" s="638"/>
      <c r="AW255" s="638"/>
      <c r="AX255" s="638"/>
      <c r="AY255" s="638"/>
      <c r="AZ255" s="638"/>
      <c r="BA255" s="639"/>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row>
    <row r="256" spans="2:106" s="582" customFormat="1" x14ac:dyDescent="0.35">
      <c r="B256" s="1214"/>
      <c r="C256" s="1211"/>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38"/>
      <c r="AM256" s="638"/>
      <c r="AN256" s="656"/>
      <c r="AO256" s="638"/>
      <c r="AP256" s="638"/>
      <c r="AQ256" s="638"/>
      <c r="AR256" s="656"/>
      <c r="AS256" s="638"/>
      <c r="AT256" s="638"/>
      <c r="AU256" s="638"/>
      <c r="AV256" s="638"/>
      <c r="AW256" s="638"/>
      <c r="AX256" s="638"/>
      <c r="AY256" s="638"/>
      <c r="AZ256" s="638"/>
      <c r="BA256" s="639"/>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row>
    <row r="257" spans="2:106" s="582" customFormat="1" x14ac:dyDescent="0.35">
      <c r="B257" s="1214"/>
      <c r="C257" s="1211"/>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38"/>
      <c r="AM257" s="638"/>
      <c r="AN257" s="656"/>
      <c r="AO257" s="638"/>
      <c r="AP257" s="638"/>
      <c r="AQ257" s="638"/>
      <c r="AR257" s="656"/>
      <c r="AS257" s="638"/>
      <c r="AT257" s="638"/>
      <c r="AU257" s="638"/>
      <c r="AV257" s="638"/>
      <c r="AW257" s="638"/>
      <c r="AX257" s="638"/>
      <c r="AY257" s="638"/>
      <c r="AZ257" s="638"/>
      <c r="BA257" s="639"/>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row>
    <row r="258" spans="2:106" s="582" customFormat="1" x14ac:dyDescent="0.35">
      <c r="B258" s="1214"/>
      <c r="C258" s="1211"/>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38"/>
      <c r="AM258" s="638"/>
      <c r="AN258" s="656"/>
      <c r="AO258" s="638"/>
      <c r="AP258" s="638"/>
      <c r="AQ258" s="638"/>
      <c r="AR258" s="656"/>
      <c r="AS258" s="638"/>
      <c r="AT258" s="638"/>
      <c r="AU258" s="638"/>
      <c r="AV258" s="638"/>
      <c r="AW258" s="638"/>
      <c r="AX258" s="638"/>
      <c r="AY258" s="638"/>
      <c r="AZ258" s="638"/>
      <c r="BA258" s="639"/>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row>
    <row r="259" spans="2:106" s="582" customFormat="1" x14ac:dyDescent="0.35">
      <c r="B259" s="1214"/>
      <c r="C259" s="1211"/>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38"/>
      <c r="AM259" s="638"/>
      <c r="AN259" s="656"/>
      <c r="AO259" s="638"/>
      <c r="AP259" s="638"/>
      <c r="AQ259" s="638"/>
      <c r="AR259" s="656"/>
      <c r="AS259" s="638"/>
      <c r="AT259" s="638"/>
      <c r="AU259" s="638"/>
      <c r="AV259" s="638"/>
      <c r="AW259" s="638"/>
      <c r="AX259" s="638"/>
      <c r="AY259" s="638"/>
      <c r="AZ259" s="638"/>
      <c r="BA259" s="639"/>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row>
    <row r="260" spans="2:106" s="582" customFormat="1" x14ac:dyDescent="0.35">
      <c r="B260" s="1214"/>
      <c r="C260" s="1211"/>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38"/>
      <c r="AM260" s="638"/>
      <c r="AN260" s="656"/>
      <c r="AO260" s="638"/>
      <c r="AP260" s="638"/>
      <c r="AQ260" s="638"/>
      <c r="AR260" s="656"/>
      <c r="AS260" s="638"/>
      <c r="AT260" s="638"/>
      <c r="AU260" s="638"/>
      <c r="AV260" s="638"/>
      <c r="AW260" s="638"/>
      <c r="AX260" s="638"/>
      <c r="AY260" s="638"/>
      <c r="AZ260" s="638"/>
      <c r="BA260" s="639"/>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row>
    <row r="261" spans="2:106" s="582" customFormat="1" ht="15" thickBot="1" x14ac:dyDescent="0.4">
      <c r="B261" s="1215"/>
      <c r="C261" s="1212"/>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43"/>
      <c r="AM261" s="643"/>
      <c r="AN261" s="660"/>
      <c r="AO261" s="643"/>
      <c r="AP261" s="643"/>
      <c r="AQ261" s="643"/>
      <c r="AR261" s="660"/>
      <c r="AS261" s="643"/>
      <c r="AT261" s="643"/>
      <c r="AU261" s="643"/>
      <c r="AV261" s="643"/>
      <c r="AW261" s="643"/>
      <c r="AX261" s="643"/>
      <c r="AY261" s="643"/>
      <c r="AZ261" s="643"/>
      <c r="BA261" s="644"/>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row>
    <row r="262" spans="2:106" s="582" customFormat="1" ht="15" thickBot="1" x14ac:dyDescent="0.4">
      <c r="B262" s="577" t="s">
        <v>986</v>
      </c>
      <c r="C262" s="1210"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48"/>
      <c r="AM262" s="648"/>
      <c r="AN262" s="650"/>
      <c r="AO262" s="648"/>
      <c r="AP262" s="648"/>
      <c r="AQ262" s="648"/>
      <c r="AR262" s="650"/>
      <c r="AS262" s="648"/>
      <c r="AT262" s="648"/>
      <c r="AU262" s="648"/>
      <c r="AV262" s="648"/>
      <c r="AW262" s="648"/>
      <c r="AX262" s="648"/>
      <c r="AY262" s="648"/>
      <c r="AZ262" s="648"/>
      <c r="BA262" s="649"/>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row>
    <row r="263" spans="2:106" s="582" customFormat="1" x14ac:dyDescent="0.35">
      <c r="B263" s="1213" t="s">
        <v>988</v>
      </c>
      <c r="C263" s="1211"/>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3"/>
      <c r="AM263" s="653"/>
      <c r="AN263" s="651"/>
      <c r="AO263" s="653"/>
      <c r="AP263" s="653"/>
      <c r="AQ263" s="653"/>
      <c r="AR263" s="651"/>
      <c r="AS263" s="653"/>
      <c r="AT263" s="653"/>
      <c r="AU263" s="653"/>
      <c r="AV263" s="653"/>
      <c r="AW263" s="653"/>
      <c r="AX263" s="653"/>
      <c r="AY263" s="653"/>
      <c r="AZ263" s="653"/>
      <c r="BA263" s="654"/>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row>
    <row r="264" spans="2:106" s="582" customFormat="1" x14ac:dyDescent="0.35">
      <c r="B264" s="1214"/>
      <c r="C264" s="1211"/>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38"/>
      <c r="AM264" s="638"/>
      <c r="AN264" s="656"/>
      <c r="AO264" s="638"/>
      <c r="AP264" s="638"/>
      <c r="AQ264" s="638"/>
      <c r="AR264" s="656"/>
      <c r="AS264" s="638"/>
      <c r="AT264" s="638"/>
      <c r="AU264" s="638"/>
      <c r="AV264" s="638"/>
      <c r="AW264" s="638"/>
      <c r="AX264" s="638"/>
      <c r="AY264" s="638"/>
      <c r="AZ264" s="638"/>
      <c r="BA264" s="639"/>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row>
    <row r="265" spans="2:106" s="582" customFormat="1" x14ac:dyDescent="0.35">
      <c r="B265" s="1214"/>
      <c r="C265" s="1211"/>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38"/>
      <c r="AM265" s="638"/>
      <c r="AN265" s="656"/>
      <c r="AO265" s="638"/>
      <c r="AP265" s="638"/>
      <c r="AQ265" s="638"/>
      <c r="AR265" s="656"/>
      <c r="AS265" s="638"/>
      <c r="AT265" s="638"/>
      <c r="AU265" s="638"/>
      <c r="AV265" s="638"/>
      <c r="AW265" s="638"/>
      <c r="AX265" s="638"/>
      <c r="AY265" s="638"/>
      <c r="AZ265" s="638"/>
      <c r="BA265" s="639"/>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row>
    <row r="266" spans="2:106" s="582" customFormat="1" x14ac:dyDescent="0.35">
      <c r="B266" s="1214"/>
      <c r="C266" s="1211"/>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38"/>
      <c r="AM266" s="638"/>
      <c r="AN266" s="656"/>
      <c r="AO266" s="638"/>
      <c r="AP266" s="638"/>
      <c r="AQ266" s="638"/>
      <c r="AR266" s="656"/>
      <c r="AS266" s="638"/>
      <c r="AT266" s="638"/>
      <c r="AU266" s="638"/>
      <c r="AV266" s="638"/>
      <c r="AW266" s="638"/>
      <c r="AX266" s="638"/>
      <c r="AY266" s="638"/>
      <c r="AZ266" s="638"/>
      <c r="BA266" s="639"/>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row>
    <row r="267" spans="2:106" s="582" customFormat="1" x14ac:dyDescent="0.35">
      <c r="B267" s="1214"/>
      <c r="C267" s="1211"/>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38"/>
      <c r="AM267" s="638"/>
      <c r="AN267" s="656"/>
      <c r="AO267" s="638"/>
      <c r="AP267" s="638"/>
      <c r="AQ267" s="638"/>
      <c r="AR267" s="656"/>
      <c r="AS267" s="638"/>
      <c r="AT267" s="638"/>
      <c r="AU267" s="638"/>
      <c r="AV267" s="638"/>
      <c r="AW267" s="638"/>
      <c r="AX267" s="638"/>
      <c r="AY267" s="638"/>
      <c r="AZ267" s="638"/>
      <c r="BA267" s="639"/>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row>
    <row r="268" spans="2:106" s="582" customFormat="1" x14ac:dyDescent="0.35">
      <c r="B268" s="1214"/>
      <c r="C268" s="1211"/>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38"/>
      <c r="AM268" s="638"/>
      <c r="AN268" s="656"/>
      <c r="AO268" s="638"/>
      <c r="AP268" s="638"/>
      <c r="AQ268" s="638"/>
      <c r="AR268" s="656"/>
      <c r="AS268" s="638"/>
      <c r="AT268" s="638"/>
      <c r="AU268" s="638"/>
      <c r="AV268" s="638"/>
      <c r="AW268" s="638"/>
      <c r="AX268" s="638"/>
      <c r="AY268" s="638"/>
      <c r="AZ268" s="638"/>
      <c r="BA268" s="639"/>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row>
    <row r="269" spans="2:106" s="582" customFormat="1" x14ac:dyDescent="0.35">
      <c r="B269" s="1214"/>
      <c r="C269" s="1211"/>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38"/>
      <c r="AM269" s="638"/>
      <c r="AN269" s="656"/>
      <c r="AO269" s="638"/>
      <c r="AP269" s="638"/>
      <c r="AQ269" s="638"/>
      <c r="AR269" s="656"/>
      <c r="AS269" s="638"/>
      <c r="AT269" s="638"/>
      <c r="AU269" s="638"/>
      <c r="AV269" s="638"/>
      <c r="AW269" s="638"/>
      <c r="AX269" s="638"/>
      <c r="AY269" s="638"/>
      <c r="AZ269" s="638"/>
      <c r="BA269" s="639"/>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row>
    <row r="270" spans="2:106" s="582" customFormat="1" x14ac:dyDescent="0.35">
      <c r="B270" s="1214"/>
      <c r="C270" s="1211"/>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38"/>
      <c r="AM270" s="638"/>
      <c r="AN270" s="656"/>
      <c r="AO270" s="638"/>
      <c r="AP270" s="638"/>
      <c r="AQ270" s="638"/>
      <c r="AR270" s="656"/>
      <c r="AS270" s="638"/>
      <c r="AT270" s="638"/>
      <c r="AU270" s="638"/>
      <c r="AV270" s="638"/>
      <c r="AW270" s="638"/>
      <c r="AX270" s="638"/>
      <c r="AY270" s="638"/>
      <c r="AZ270" s="638"/>
      <c r="BA270" s="639"/>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row>
    <row r="271" spans="2:106" s="582" customFormat="1" x14ac:dyDescent="0.35">
      <c r="B271" s="1214"/>
      <c r="C271" s="1211"/>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38"/>
      <c r="AM271" s="638"/>
      <c r="AN271" s="656"/>
      <c r="AO271" s="638"/>
      <c r="AP271" s="638"/>
      <c r="AQ271" s="638"/>
      <c r="AR271" s="656"/>
      <c r="AS271" s="638"/>
      <c r="AT271" s="638"/>
      <c r="AU271" s="638"/>
      <c r="AV271" s="638"/>
      <c r="AW271" s="638"/>
      <c r="AX271" s="638"/>
      <c r="AY271" s="638"/>
      <c r="AZ271" s="638"/>
      <c r="BA271" s="639"/>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row>
    <row r="272" spans="2:106" s="582" customFormat="1" x14ac:dyDescent="0.35">
      <c r="B272" s="1214"/>
      <c r="C272" s="1211"/>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38"/>
      <c r="AM272" s="638"/>
      <c r="AN272" s="656"/>
      <c r="AO272" s="638"/>
      <c r="AP272" s="638"/>
      <c r="AQ272" s="638"/>
      <c r="AR272" s="656"/>
      <c r="AS272" s="638"/>
      <c r="AT272" s="638"/>
      <c r="AU272" s="638"/>
      <c r="AV272" s="638"/>
      <c r="AW272" s="638"/>
      <c r="AX272" s="638"/>
      <c r="AY272" s="638"/>
      <c r="AZ272" s="638"/>
      <c r="BA272" s="639"/>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row>
    <row r="273" spans="2:106" s="582" customFormat="1" x14ac:dyDescent="0.35">
      <c r="B273" s="1214"/>
      <c r="C273" s="1211"/>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38"/>
      <c r="AM273" s="638"/>
      <c r="AN273" s="656"/>
      <c r="AO273" s="638"/>
      <c r="AP273" s="638"/>
      <c r="AQ273" s="638"/>
      <c r="AR273" s="656"/>
      <c r="AS273" s="638"/>
      <c r="AT273" s="638"/>
      <c r="AU273" s="638"/>
      <c r="AV273" s="638"/>
      <c r="AW273" s="638"/>
      <c r="AX273" s="638"/>
      <c r="AY273" s="638"/>
      <c r="AZ273" s="638"/>
      <c r="BA273" s="639"/>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row>
    <row r="274" spans="2:106" s="582" customFormat="1" x14ac:dyDescent="0.35">
      <c r="B274" s="1214"/>
      <c r="C274" s="1211"/>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38"/>
      <c r="AM274" s="638"/>
      <c r="AN274" s="656"/>
      <c r="AO274" s="638"/>
      <c r="AP274" s="638"/>
      <c r="AQ274" s="638"/>
      <c r="AR274" s="656"/>
      <c r="AS274" s="638"/>
      <c r="AT274" s="638"/>
      <c r="AU274" s="638"/>
      <c r="AV274" s="638"/>
      <c r="AW274" s="638"/>
      <c r="AX274" s="638"/>
      <c r="AY274" s="638"/>
      <c r="AZ274" s="638"/>
      <c r="BA274" s="639"/>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row>
    <row r="275" spans="2:106" s="582" customFormat="1" x14ac:dyDescent="0.35">
      <c r="B275" s="1214"/>
      <c r="C275" s="1211"/>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38"/>
      <c r="AM275" s="638"/>
      <c r="AN275" s="656"/>
      <c r="AO275" s="638"/>
      <c r="AP275" s="638"/>
      <c r="AQ275" s="638"/>
      <c r="AR275" s="656"/>
      <c r="AS275" s="638"/>
      <c r="AT275" s="638"/>
      <c r="AU275" s="638"/>
      <c r="AV275" s="638"/>
      <c r="AW275" s="638"/>
      <c r="AX275" s="638"/>
      <c r="AY275" s="638"/>
      <c r="AZ275" s="638"/>
      <c r="BA275" s="639"/>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row>
    <row r="276" spans="2:106" s="582" customFormat="1" x14ac:dyDescent="0.35">
      <c r="B276" s="1214"/>
      <c r="C276" s="1211"/>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38"/>
      <c r="AM276" s="638"/>
      <c r="AN276" s="656"/>
      <c r="AO276" s="638"/>
      <c r="AP276" s="638"/>
      <c r="AQ276" s="638"/>
      <c r="AR276" s="656"/>
      <c r="AS276" s="638"/>
      <c r="AT276" s="638"/>
      <c r="AU276" s="638"/>
      <c r="AV276" s="638"/>
      <c r="AW276" s="638"/>
      <c r="AX276" s="638"/>
      <c r="AY276" s="638"/>
      <c r="AZ276" s="638"/>
      <c r="BA276" s="639"/>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row>
    <row r="277" spans="2:106" s="582" customFormat="1" x14ac:dyDescent="0.35">
      <c r="B277" s="1214"/>
      <c r="C277" s="1211"/>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38"/>
      <c r="AM277" s="638"/>
      <c r="AN277" s="656"/>
      <c r="AO277" s="638"/>
      <c r="AP277" s="638"/>
      <c r="AQ277" s="638"/>
      <c r="AR277" s="656"/>
      <c r="AS277" s="638"/>
      <c r="AT277" s="638"/>
      <c r="AU277" s="638"/>
      <c r="AV277" s="638"/>
      <c r="AW277" s="638"/>
      <c r="AX277" s="638"/>
      <c r="AY277" s="638"/>
      <c r="AZ277" s="638"/>
      <c r="BA277" s="639"/>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row>
    <row r="278" spans="2:106" s="582" customFormat="1" ht="15" thickBot="1" x14ac:dyDescent="0.4">
      <c r="B278" s="1214"/>
      <c r="C278" s="1211"/>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43"/>
      <c r="AM278" s="643"/>
      <c r="AN278" s="660"/>
      <c r="AO278" s="643"/>
      <c r="AP278" s="643"/>
      <c r="AQ278" s="643"/>
      <c r="AR278" s="660"/>
      <c r="AS278" s="643"/>
      <c r="AT278" s="643"/>
      <c r="AU278" s="643"/>
      <c r="AV278" s="643"/>
      <c r="AW278" s="643"/>
      <c r="AX278" s="643"/>
      <c r="AY278" s="643"/>
      <c r="AZ278" s="643"/>
      <c r="BA278" s="644"/>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row>
    <row r="279" spans="2:106" s="582" customFormat="1" ht="15" thickBot="1" x14ac:dyDescent="0.4">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5"/>
      <c r="AM279" s="675"/>
      <c r="AN279" s="674"/>
      <c r="AO279" s="675"/>
      <c r="AP279" s="675"/>
      <c r="AQ279" s="675"/>
      <c r="AR279" s="674"/>
      <c r="AS279" s="675"/>
      <c r="AT279" s="675"/>
      <c r="AU279" s="675"/>
      <c r="AV279" s="675"/>
      <c r="AW279" s="675"/>
      <c r="AX279" s="675"/>
      <c r="AY279" s="675"/>
      <c r="AZ279" s="675"/>
      <c r="BA279" s="676"/>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row>
    <row r="280" spans="2:106" s="582" customFormat="1" ht="15" thickBot="1" x14ac:dyDescent="0.4">
      <c r="B280" s="577" t="s">
        <v>1006</v>
      </c>
      <c r="C280" s="1211"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8"/>
      <c r="AM280" s="628"/>
      <c r="AN280" s="626"/>
      <c r="AO280" s="628"/>
      <c r="AP280" s="628"/>
      <c r="AQ280" s="628"/>
      <c r="AR280" s="626"/>
      <c r="AS280" s="628"/>
      <c r="AT280" s="628"/>
      <c r="AU280" s="628"/>
      <c r="AV280" s="628"/>
      <c r="AW280" s="628"/>
      <c r="AX280" s="628"/>
      <c r="AY280" s="628"/>
      <c r="AZ280" s="628"/>
      <c r="BA280" s="629"/>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row>
    <row r="281" spans="2:106" s="582" customFormat="1" x14ac:dyDescent="0.35">
      <c r="B281" s="1213" t="s">
        <v>1007</v>
      </c>
      <c r="C281" s="1211"/>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62"/>
      <c r="AM281" s="662"/>
      <c r="AN281" s="631"/>
      <c r="AO281" s="662"/>
      <c r="AP281" s="662"/>
      <c r="AQ281" s="662"/>
      <c r="AR281" s="631"/>
      <c r="AS281" s="662"/>
      <c r="AT281" s="662"/>
      <c r="AU281" s="662"/>
      <c r="AV281" s="662"/>
      <c r="AW281" s="662"/>
      <c r="AX281" s="662"/>
      <c r="AY281" s="662"/>
      <c r="AZ281" s="662"/>
      <c r="BA281" s="663"/>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row>
    <row r="282" spans="2:106" s="582" customFormat="1" x14ac:dyDescent="0.35">
      <c r="B282" s="1214"/>
      <c r="C282" s="1211"/>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64"/>
      <c r="AM282" s="664"/>
      <c r="AN282" s="636"/>
      <c r="AO282" s="664"/>
      <c r="AP282" s="664"/>
      <c r="AQ282" s="664"/>
      <c r="AR282" s="636"/>
      <c r="AS282" s="664"/>
      <c r="AT282" s="664"/>
      <c r="AU282" s="664"/>
      <c r="AV282" s="664"/>
      <c r="AW282" s="664"/>
      <c r="AX282" s="664"/>
      <c r="AY282" s="664"/>
      <c r="AZ282" s="664"/>
      <c r="BA282" s="665"/>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row>
    <row r="283" spans="2:106" s="582" customFormat="1" x14ac:dyDescent="0.35">
      <c r="B283" s="1214"/>
      <c r="C283" s="1211"/>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64"/>
      <c r="AM283" s="664"/>
      <c r="AN283" s="636"/>
      <c r="AO283" s="664"/>
      <c r="AP283" s="664"/>
      <c r="AQ283" s="664"/>
      <c r="AR283" s="636"/>
      <c r="AS283" s="664"/>
      <c r="AT283" s="664"/>
      <c r="AU283" s="664"/>
      <c r="AV283" s="664"/>
      <c r="AW283" s="664"/>
      <c r="AX283" s="664"/>
      <c r="AY283" s="664"/>
      <c r="AZ283" s="664"/>
      <c r="BA283" s="665"/>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row>
    <row r="284" spans="2:106" s="582" customFormat="1" x14ac:dyDescent="0.35">
      <c r="B284" s="1214"/>
      <c r="C284" s="1211"/>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64"/>
      <c r="AM284" s="664"/>
      <c r="AN284" s="636"/>
      <c r="AO284" s="664"/>
      <c r="AP284" s="664"/>
      <c r="AQ284" s="664"/>
      <c r="AR284" s="636"/>
      <c r="AS284" s="664"/>
      <c r="AT284" s="664"/>
      <c r="AU284" s="664"/>
      <c r="AV284" s="664"/>
      <c r="AW284" s="664"/>
      <c r="AX284" s="664"/>
      <c r="AY284" s="664"/>
      <c r="AZ284" s="664"/>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row>
    <row r="285" spans="2:106" s="582" customFormat="1" x14ac:dyDescent="0.35">
      <c r="B285" s="1214"/>
      <c r="C285" s="1211"/>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64"/>
      <c r="AM285" s="664"/>
      <c r="AN285" s="636"/>
      <c r="AO285" s="664"/>
      <c r="AP285" s="664"/>
      <c r="AQ285" s="664"/>
      <c r="AR285" s="636"/>
      <c r="AS285" s="664"/>
      <c r="AT285" s="664"/>
      <c r="AU285" s="664"/>
      <c r="AV285" s="664"/>
      <c r="AW285" s="664"/>
      <c r="AX285" s="664"/>
      <c r="AY285" s="664"/>
      <c r="AZ285" s="664"/>
      <c r="BA285" s="665"/>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row>
    <row r="286" spans="2:106" s="582" customFormat="1" x14ac:dyDescent="0.35">
      <c r="B286" s="1214"/>
      <c r="C286" s="1211"/>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64"/>
      <c r="AM286" s="664"/>
      <c r="AN286" s="636"/>
      <c r="AO286" s="664"/>
      <c r="AP286" s="664"/>
      <c r="AQ286" s="664"/>
      <c r="AR286" s="636"/>
      <c r="AS286" s="664"/>
      <c r="AT286" s="664"/>
      <c r="AU286" s="664"/>
      <c r="AV286" s="664"/>
      <c r="AW286" s="664"/>
      <c r="AX286" s="664"/>
      <c r="AY286" s="664"/>
      <c r="AZ286" s="664"/>
      <c r="BA286" s="665"/>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row>
    <row r="287" spans="2:106" s="582" customFormat="1" x14ac:dyDescent="0.35">
      <c r="B287" s="1214"/>
      <c r="C287" s="1211"/>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64"/>
      <c r="AM287" s="664"/>
      <c r="AN287" s="636"/>
      <c r="AO287" s="664"/>
      <c r="AP287" s="664"/>
      <c r="AQ287" s="664"/>
      <c r="AR287" s="636"/>
      <c r="AS287" s="664"/>
      <c r="AT287" s="664"/>
      <c r="AU287" s="664"/>
      <c r="AV287" s="664"/>
      <c r="AW287" s="664"/>
      <c r="AX287" s="664"/>
      <c r="AY287" s="664"/>
      <c r="AZ287" s="664"/>
      <c r="BA287" s="665"/>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row>
    <row r="288" spans="2:106" s="582" customFormat="1" x14ac:dyDescent="0.35">
      <c r="B288" s="1214"/>
      <c r="C288" s="1211"/>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64"/>
      <c r="AM288" s="664"/>
      <c r="AN288" s="636"/>
      <c r="AO288" s="664"/>
      <c r="AP288" s="664"/>
      <c r="AQ288" s="664"/>
      <c r="AR288" s="636"/>
      <c r="AS288" s="664"/>
      <c r="AT288" s="664"/>
      <c r="AU288" s="664"/>
      <c r="AV288" s="664"/>
      <c r="AW288" s="664"/>
      <c r="AX288" s="664"/>
      <c r="AY288" s="664"/>
      <c r="AZ288" s="664"/>
      <c r="BA288" s="665"/>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row>
    <row r="289" spans="2:106" s="582" customFormat="1" x14ac:dyDescent="0.35">
      <c r="B289" s="1214"/>
      <c r="C289" s="1211"/>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64"/>
      <c r="AM289" s="664"/>
      <c r="AN289" s="636"/>
      <c r="AO289" s="664"/>
      <c r="AP289" s="664"/>
      <c r="AQ289" s="664"/>
      <c r="AR289" s="636"/>
      <c r="AS289" s="664"/>
      <c r="AT289" s="664"/>
      <c r="AU289" s="664"/>
      <c r="AV289" s="664"/>
      <c r="AW289" s="664"/>
      <c r="AX289" s="664"/>
      <c r="AY289" s="664"/>
      <c r="AZ289" s="664"/>
      <c r="BA289" s="665"/>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row>
    <row r="290" spans="2:106" s="582" customFormat="1" x14ac:dyDescent="0.35">
      <c r="B290" s="1214"/>
      <c r="C290" s="1211"/>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64"/>
      <c r="AM290" s="664"/>
      <c r="AN290" s="636"/>
      <c r="AO290" s="664"/>
      <c r="AP290" s="664"/>
      <c r="AQ290" s="664"/>
      <c r="AR290" s="636"/>
      <c r="AS290" s="664"/>
      <c r="AT290" s="664"/>
      <c r="AU290" s="664"/>
      <c r="AV290" s="664"/>
      <c r="AW290" s="664"/>
      <c r="AX290" s="664"/>
      <c r="AY290" s="664"/>
      <c r="AZ290" s="664"/>
      <c r="BA290" s="665"/>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row>
    <row r="291" spans="2:106" s="582" customFormat="1" x14ac:dyDescent="0.35">
      <c r="B291" s="1214"/>
      <c r="C291" s="1211"/>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64"/>
      <c r="AM291" s="664"/>
      <c r="AN291" s="636"/>
      <c r="AO291" s="664"/>
      <c r="AP291" s="664"/>
      <c r="AQ291" s="664"/>
      <c r="AR291" s="636"/>
      <c r="AS291" s="664"/>
      <c r="AT291" s="664"/>
      <c r="AU291" s="664"/>
      <c r="AV291" s="664"/>
      <c r="AW291" s="664"/>
      <c r="AX291" s="664"/>
      <c r="AY291" s="664"/>
      <c r="AZ291" s="664"/>
      <c r="BA291" s="665"/>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row>
    <row r="292" spans="2:106" s="582" customFormat="1" x14ac:dyDescent="0.35">
      <c r="B292" s="1214"/>
      <c r="C292" s="1211"/>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64"/>
      <c r="AM292" s="664"/>
      <c r="AN292" s="636"/>
      <c r="AO292" s="664"/>
      <c r="AP292" s="664"/>
      <c r="AQ292" s="664"/>
      <c r="AR292" s="636"/>
      <c r="AS292" s="664"/>
      <c r="AT292" s="664"/>
      <c r="AU292" s="664"/>
      <c r="AV292" s="664"/>
      <c r="AW292" s="664"/>
      <c r="AX292" s="664"/>
      <c r="AY292" s="664"/>
      <c r="AZ292" s="664"/>
      <c r="BA292" s="665"/>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row>
    <row r="293" spans="2:106" s="582" customFormat="1" x14ac:dyDescent="0.35">
      <c r="B293" s="1214"/>
      <c r="C293" s="1211"/>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64"/>
      <c r="AM293" s="664"/>
      <c r="AN293" s="636"/>
      <c r="AO293" s="664"/>
      <c r="AP293" s="664"/>
      <c r="AQ293" s="664"/>
      <c r="AR293" s="636"/>
      <c r="AS293" s="664"/>
      <c r="AT293" s="664"/>
      <c r="AU293" s="664"/>
      <c r="AV293" s="664"/>
      <c r="AW293" s="664"/>
      <c r="AX293" s="664"/>
      <c r="AY293" s="664"/>
      <c r="AZ293" s="664"/>
      <c r="BA293" s="665"/>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row>
    <row r="294" spans="2:106" s="582" customFormat="1" x14ac:dyDescent="0.35">
      <c r="B294" s="1214"/>
      <c r="C294" s="1211"/>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64"/>
      <c r="AM294" s="664"/>
      <c r="AN294" s="636"/>
      <c r="AO294" s="664"/>
      <c r="AP294" s="664"/>
      <c r="AQ294" s="664"/>
      <c r="AR294" s="636"/>
      <c r="AS294" s="664"/>
      <c r="AT294" s="664"/>
      <c r="AU294" s="664"/>
      <c r="AV294" s="664"/>
      <c r="AW294" s="664"/>
      <c r="AX294" s="664"/>
      <c r="AY294" s="664"/>
      <c r="AZ294" s="664"/>
      <c r="BA294" s="665"/>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row>
    <row r="295" spans="2:106" s="582" customFormat="1" x14ac:dyDescent="0.35">
      <c r="B295" s="1214"/>
      <c r="C295" s="1211"/>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64"/>
      <c r="AM295" s="664"/>
      <c r="AN295" s="636"/>
      <c r="AO295" s="664"/>
      <c r="AP295" s="664"/>
      <c r="AQ295" s="664"/>
      <c r="AR295" s="636"/>
      <c r="AS295" s="664"/>
      <c r="AT295" s="664"/>
      <c r="AU295" s="664"/>
      <c r="AV295" s="664"/>
      <c r="AW295" s="664"/>
      <c r="AX295" s="664"/>
      <c r="AY295" s="664"/>
      <c r="AZ295" s="664"/>
      <c r="BA295" s="665"/>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row>
    <row r="296" spans="2:106" s="582" customFormat="1" ht="15" thickBot="1" x14ac:dyDescent="0.4">
      <c r="B296" s="1215"/>
      <c r="C296" s="1212"/>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66"/>
      <c r="AM296" s="666"/>
      <c r="AN296" s="641"/>
      <c r="AO296" s="666"/>
      <c r="AP296" s="666"/>
      <c r="AQ296" s="666"/>
      <c r="AR296" s="641"/>
      <c r="AS296" s="666"/>
      <c r="AT296" s="666"/>
      <c r="AU296" s="666"/>
      <c r="AV296" s="666"/>
      <c r="AW296" s="666"/>
      <c r="AX296" s="666"/>
      <c r="AY296" s="666"/>
      <c r="AZ296" s="666"/>
      <c r="BA296" s="667"/>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row>
    <row r="297" spans="2:106" s="582" customFormat="1" ht="15" thickBot="1" x14ac:dyDescent="0.4">
      <c r="B297" s="577" t="s">
        <v>1008</v>
      </c>
      <c r="C297" s="1210"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68"/>
      <c r="AM297" s="668"/>
      <c r="AN297" s="646"/>
      <c r="AO297" s="668"/>
      <c r="AP297" s="668"/>
      <c r="AQ297" s="668"/>
      <c r="AR297" s="646"/>
      <c r="AS297" s="668"/>
      <c r="AT297" s="668"/>
      <c r="AU297" s="668"/>
      <c r="AV297" s="668"/>
      <c r="AW297" s="668"/>
      <c r="AX297" s="668"/>
      <c r="AY297" s="668"/>
      <c r="AZ297" s="668"/>
      <c r="BA297" s="669"/>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row>
    <row r="298" spans="2:106" s="582" customFormat="1" x14ac:dyDescent="0.35">
      <c r="B298" s="1213" t="s">
        <v>1009</v>
      </c>
      <c r="C298" s="1211"/>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71"/>
      <c r="AM298" s="671"/>
      <c r="AN298" s="651"/>
      <c r="AO298" s="671"/>
      <c r="AP298" s="671"/>
      <c r="AQ298" s="671"/>
      <c r="AR298" s="651"/>
      <c r="AS298" s="671"/>
      <c r="AT298" s="671"/>
      <c r="AU298" s="671"/>
      <c r="AV298" s="671"/>
      <c r="AW298" s="671"/>
      <c r="AX298" s="671"/>
      <c r="AY298" s="671"/>
      <c r="AZ298" s="671"/>
      <c r="BA298" s="672"/>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row>
    <row r="299" spans="2:106" s="582" customFormat="1" x14ac:dyDescent="0.35">
      <c r="B299" s="1214"/>
      <c r="C299" s="1211"/>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64"/>
      <c r="AM299" s="664"/>
      <c r="AN299" s="656"/>
      <c r="AO299" s="664"/>
      <c r="AP299" s="664"/>
      <c r="AQ299" s="664"/>
      <c r="AR299" s="656"/>
      <c r="AS299" s="664"/>
      <c r="AT299" s="664"/>
      <c r="AU299" s="664"/>
      <c r="AV299" s="664"/>
      <c r="AW299" s="664"/>
      <c r="AX299" s="664"/>
      <c r="AY299" s="664"/>
      <c r="AZ299" s="664"/>
      <c r="BA299" s="665"/>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row>
    <row r="300" spans="2:106" s="582" customFormat="1" x14ac:dyDescent="0.35">
      <c r="B300" s="1214"/>
      <c r="C300" s="1211"/>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64"/>
      <c r="AM300" s="664"/>
      <c r="AN300" s="656"/>
      <c r="AO300" s="664"/>
      <c r="AP300" s="664"/>
      <c r="AQ300" s="664"/>
      <c r="AR300" s="656"/>
      <c r="AS300" s="664"/>
      <c r="AT300" s="664"/>
      <c r="AU300" s="664"/>
      <c r="AV300" s="664"/>
      <c r="AW300" s="664"/>
      <c r="AX300" s="664"/>
      <c r="AY300" s="664"/>
      <c r="AZ300" s="664"/>
      <c r="BA300" s="665"/>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row>
    <row r="301" spans="2:106" s="582" customFormat="1" x14ac:dyDescent="0.35">
      <c r="B301" s="1214"/>
      <c r="C301" s="1211"/>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64"/>
      <c r="AM301" s="664"/>
      <c r="AN301" s="656"/>
      <c r="AO301" s="664"/>
      <c r="AP301" s="664"/>
      <c r="AQ301" s="664"/>
      <c r="AR301" s="656"/>
      <c r="AS301" s="664"/>
      <c r="AT301" s="664"/>
      <c r="AU301" s="664"/>
      <c r="AV301" s="664"/>
      <c r="AW301" s="664"/>
      <c r="AX301" s="664"/>
      <c r="AY301" s="664"/>
      <c r="AZ301" s="664"/>
      <c r="BA301" s="665"/>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row>
    <row r="302" spans="2:106" s="582" customFormat="1" x14ac:dyDescent="0.35">
      <c r="B302" s="1214"/>
      <c r="C302" s="1211"/>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64"/>
      <c r="AM302" s="664"/>
      <c r="AN302" s="656"/>
      <c r="AO302" s="664"/>
      <c r="AP302" s="664"/>
      <c r="AQ302" s="664"/>
      <c r="AR302" s="656"/>
      <c r="AS302" s="664"/>
      <c r="AT302" s="664"/>
      <c r="AU302" s="664"/>
      <c r="AV302" s="664"/>
      <c r="AW302" s="664"/>
      <c r="AX302" s="664"/>
      <c r="AY302" s="664"/>
      <c r="AZ302" s="664"/>
      <c r="BA302" s="665"/>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row>
    <row r="303" spans="2:106" s="582" customFormat="1" x14ac:dyDescent="0.35">
      <c r="B303" s="1214"/>
      <c r="C303" s="1211"/>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64"/>
      <c r="AM303" s="664"/>
      <c r="AN303" s="656"/>
      <c r="AO303" s="664"/>
      <c r="AP303" s="664"/>
      <c r="AQ303" s="664"/>
      <c r="AR303" s="656"/>
      <c r="AS303" s="664"/>
      <c r="AT303" s="664"/>
      <c r="AU303" s="664"/>
      <c r="AV303" s="664"/>
      <c r="AW303" s="664"/>
      <c r="AX303" s="664"/>
      <c r="AY303" s="664"/>
      <c r="AZ303" s="664"/>
      <c r="BA303" s="665"/>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row>
    <row r="304" spans="2:106" s="582" customFormat="1" x14ac:dyDescent="0.35">
      <c r="B304" s="1214"/>
      <c r="C304" s="1211"/>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64"/>
      <c r="AM304" s="664"/>
      <c r="AN304" s="657"/>
      <c r="AO304" s="664"/>
      <c r="AP304" s="664"/>
      <c r="AQ304" s="664"/>
      <c r="AR304" s="657"/>
      <c r="AS304" s="664"/>
      <c r="AT304" s="664"/>
      <c r="AU304" s="664"/>
      <c r="AV304" s="664"/>
      <c r="AW304" s="664"/>
      <c r="AX304" s="664"/>
      <c r="AY304" s="664"/>
      <c r="AZ304" s="664"/>
      <c r="BA304" s="665"/>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row>
    <row r="305" spans="2:106" s="582" customFormat="1" x14ac:dyDescent="0.35">
      <c r="B305" s="1214"/>
      <c r="C305" s="1211"/>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64"/>
      <c r="AM305" s="664"/>
      <c r="AN305" s="656"/>
      <c r="AO305" s="664"/>
      <c r="AP305" s="664"/>
      <c r="AQ305" s="664"/>
      <c r="AR305" s="656"/>
      <c r="AS305" s="664"/>
      <c r="AT305" s="664"/>
      <c r="AU305" s="664"/>
      <c r="AV305" s="664"/>
      <c r="AW305" s="664"/>
      <c r="AX305" s="664"/>
      <c r="AY305" s="664"/>
      <c r="AZ305" s="664"/>
      <c r="BA305" s="665"/>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row>
    <row r="306" spans="2:106" s="582" customFormat="1" x14ac:dyDescent="0.35">
      <c r="B306" s="1214"/>
      <c r="C306" s="1211"/>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64"/>
      <c r="AM306" s="664"/>
      <c r="AN306" s="656"/>
      <c r="AO306" s="664"/>
      <c r="AP306" s="664"/>
      <c r="AQ306" s="664"/>
      <c r="AR306" s="656"/>
      <c r="AS306" s="664"/>
      <c r="AT306" s="664"/>
      <c r="AU306" s="664"/>
      <c r="AV306" s="664"/>
      <c r="AW306" s="664"/>
      <c r="AX306" s="664"/>
      <c r="AY306" s="664"/>
      <c r="AZ306" s="664"/>
      <c r="BA306" s="665"/>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row>
    <row r="307" spans="2:106" s="582" customFormat="1" x14ac:dyDescent="0.35">
      <c r="B307" s="1214"/>
      <c r="C307" s="1211"/>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64"/>
      <c r="AM307" s="664"/>
      <c r="AN307" s="658"/>
      <c r="AO307" s="664"/>
      <c r="AP307" s="664"/>
      <c r="AQ307" s="664"/>
      <c r="AR307" s="658"/>
      <c r="AS307" s="664"/>
      <c r="AT307" s="664"/>
      <c r="AU307" s="664"/>
      <c r="AV307" s="664"/>
      <c r="AW307" s="664"/>
      <c r="AX307" s="664"/>
      <c r="AY307" s="664"/>
      <c r="AZ307" s="664"/>
      <c r="BA307" s="665"/>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row>
    <row r="308" spans="2:106" s="582" customFormat="1" x14ac:dyDescent="0.35">
      <c r="B308" s="1214"/>
      <c r="C308" s="1211"/>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64"/>
      <c r="AM308" s="664"/>
      <c r="AN308" s="656"/>
      <c r="AO308" s="664"/>
      <c r="AP308" s="664"/>
      <c r="AQ308" s="664"/>
      <c r="AR308" s="656"/>
      <c r="AS308" s="664"/>
      <c r="AT308" s="664"/>
      <c r="AU308" s="664"/>
      <c r="AV308" s="664"/>
      <c r="AW308" s="664"/>
      <c r="AX308" s="664"/>
      <c r="AY308" s="664"/>
      <c r="AZ308" s="664"/>
      <c r="BA308" s="665"/>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row>
    <row r="309" spans="2:106" s="582" customFormat="1" x14ac:dyDescent="0.35">
      <c r="B309" s="1214"/>
      <c r="C309" s="1211"/>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64"/>
      <c r="AM309" s="664"/>
      <c r="AN309" s="656"/>
      <c r="AO309" s="664"/>
      <c r="AP309" s="664"/>
      <c r="AQ309" s="664"/>
      <c r="AR309" s="656"/>
      <c r="AS309" s="664"/>
      <c r="AT309" s="664"/>
      <c r="AU309" s="664"/>
      <c r="AV309" s="664"/>
      <c r="AW309" s="664"/>
      <c r="AX309" s="664"/>
      <c r="AY309" s="664"/>
      <c r="AZ309" s="664"/>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row>
    <row r="310" spans="2:106" s="582" customFormat="1" x14ac:dyDescent="0.35">
      <c r="B310" s="1214"/>
      <c r="C310" s="1211"/>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64"/>
      <c r="AM310" s="664"/>
      <c r="AN310" s="656"/>
      <c r="AO310" s="664"/>
      <c r="AP310" s="664"/>
      <c r="AQ310" s="664"/>
      <c r="AR310" s="656"/>
      <c r="AS310" s="664"/>
      <c r="AT310" s="664"/>
      <c r="AU310" s="664"/>
      <c r="AV310" s="664"/>
      <c r="AW310" s="664"/>
      <c r="AX310" s="664"/>
      <c r="AY310" s="664"/>
      <c r="AZ310" s="664"/>
      <c r="BA310" s="665"/>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row>
    <row r="311" spans="2:106" s="582" customFormat="1" x14ac:dyDescent="0.35">
      <c r="B311" s="1214"/>
      <c r="C311" s="1211"/>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64"/>
      <c r="AM311" s="664"/>
      <c r="AN311" s="656"/>
      <c r="AO311" s="664"/>
      <c r="AP311" s="664"/>
      <c r="AQ311" s="664"/>
      <c r="AR311" s="656"/>
      <c r="AS311" s="664"/>
      <c r="AT311" s="664"/>
      <c r="AU311" s="664"/>
      <c r="AV311" s="664"/>
      <c r="AW311" s="664"/>
      <c r="AX311" s="664"/>
      <c r="AY311" s="664"/>
      <c r="AZ311" s="664"/>
      <c r="BA311" s="665"/>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row>
    <row r="312" spans="2:106" s="582" customFormat="1" x14ac:dyDescent="0.35">
      <c r="B312" s="1214"/>
      <c r="C312" s="1211"/>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64"/>
      <c r="AM312" s="664"/>
      <c r="AN312" s="656"/>
      <c r="AO312" s="664"/>
      <c r="AP312" s="664"/>
      <c r="AQ312" s="664"/>
      <c r="AR312" s="656"/>
      <c r="AS312" s="664"/>
      <c r="AT312" s="664"/>
      <c r="AU312" s="664"/>
      <c r="AV312" s="664"/>
      <c r="AW312" s="664"/>
      <c r="AX312" s="664"/>
      <c r="AY312" s="664"/>
      <c r="AZ312" s="664"/>
      <c r="BA312" s="665"/>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row>
    <row r="313" spans="2:106" s="582" customFormat="1" ht="15" thickBot="1" x14ac:dyDescent="0.4">
      <c r="B313" s="1215"/>
      <c r="C313" s="1212"/>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6"/>
      <c r="AM313" s="666"/>
      <c r="AN313" s="660"/>
      <c r="AO313" s="666"/>
      <c r="AP313" s="666"/>
      <c r="AQ313" s="666"/>
      <c r="AR313" s="660"/>
      <c r="AS313" s="666"/>
      <c r="AT313" s="666"/>
      <c r="AU313" s="666"/>
      <c r="AV313" s="666"/>
      <c r="AW313" s="666"/>
      <c r="AX313" s="666"/>
      <c r="AY313" s="666"/>
      <c r="AZ313" s="666"/>
      <c r="BA313" s="667"/>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row>
    <row r="314" spans="2:106" s="582" customFormat="1" ht="15" thickBot="1" x14ac:dyDescent="0.4">
      <c r="B314" s="569" t="s">
        <v>1010</v>
      </c>
      <c r="C314" s="1210"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68"/>
      <c r="AM314" s="668"/>
      <c r="AN314" s="650"/>
      <c r="AO314" s="668"/>
      <c r="AP314" s="668"/>
      <c r="AQ314" s="668"/>
      <c r="AR314" s="650"/>
      <c r="AS314" s="668"/>
      <c r="AT314" s="668"/>
      <c r="AU314" s="668"/>
      <c r="AV314" s="668"/>
      <c r="AW314" s="668"/>
      <c r="AX314" s="668"/>
      <c r="AY314" s="668"/>
      <c r="AZ314" s="668"/>
      <c r="BA314" s="669"/>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row>
    <row r="315" spans="2:106" s="582" customFormat="1" x14ac:dyDescent="0.35">
      <c r="B315" s="1213" t="s">
        <v>1011</v>
      </c>
      <c r="C315" s="1211"/>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71"/>
      <c r="AM315" s="671"/>
      <c r="AN315" s="651"/>
      <c r="AO315" s="671"/>
      <c r="AP315" s="671"/>
      <c r="AQ315" s="671"/>
      <c r="AR315" s="651"/>
      <c r="AS315" s="671"/>
      <c r="AT315" s="671"/>
      <c r="AU315" s="671"/>
      <c r="AV315" s="671"/>
      <c r="AW315" s="671"/>
      <c r="AX315" s="671"/>
      <c r="AY315" s="671"/>
      <c r="AZ315" s="671"/>
      <c r="BA315" s="672"/>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row>
    <row r="316" spans="2:106" s="582" customFormat="1" x14ac:dyDescent="0.35">
      <c r="B316" s="1214"/>
      <c r="C316" s="1211"/>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64"/>
      <c r="AM316" s="664"/>
      <c r="AN316" s="656"/>
      <c r="AO316" s="664"/>
      <c r="AP316" s="664"/>
      <c r="AQ316" s="664"/>
      <c r="AR316" s="656"/>
      <c r="AS316" s="664"/>
      <c r="AT316" s="664"/>
      <c r="AU316" s="664"/>
      <c r="AV316" s="664"/>
      <c r="AW316" s="664"/>
      <c r="AX316" s="664"/>
      <c r="AY316" s="664"/>
      <c r="AZ316" s="664"/>
      <c r="BA316" s="665"/>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row>
    <row r="317" spans="2:106" s="582" customFormat="1" x14ac:dyDescent="0.35">
      <c r="B317" s="1214"/>
      <c r="C317" s="1211"/>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64"/>
      <c r="AM317" s="664"/>
      <c r="AN317" s="656"/>
      <c r="AO317" s="664"/>
      <c r="AP317" s="664"/>
      <c r="AQ317" s="664"/>
      <c r="AR317" s="656"/>
      <c r="AS317" s="664"/>
      <c r="AT317" s="664"/>
      <c r="AU317" s="664"/>
      <c r="AV317" s="664"/>
      <c r="AW317" s="664"/>
      <c r="AX317" s="664"/>
      <c r="AY317" s="664"/>
      <c r="AZ317" s="664"/>
      <c r="BA317" s="665"/>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row>
    <row r="318" spans="2:106" s="582" customFormat="1" x14ac:dyDescent="0.35">
      <c r="B318" s="1214"/>
      <c r="C318" s="1211"/>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64"/>
      <c r="AM318" s="664"/>
      <c r="AN318" s="656"/>
      <c r="AO318" s="664"/>
      <c r="AP318" s="664"/>
      <c r="AQ318" s="664"/>
      <c r="AR318" s="656"/>
      <c r="AS318" s="664"/>
      <c r="AT318" s="664"/>
      <c r="AU318" s="664"/>
      <c r="AV318" s="664"/>
      <c r="AW318" s="664"/>
      <c r="AX318" s="664"/>
      <c r="AY318" s="664"/>
      <c r="AZ318" s="664"/>
      <c r="BA318" s="665"/>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row>
    <row r="319" spans="2:106" s="582" customFormat="1" x14ac:dyDescent="0.35">
      <c r="B319" s="1214"/>
      <c r="C319" s="1211"/>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64"/>
      <c r="AM319" s="664"/>
      <c r="AN319" s="656"/>
      <c r="AO319" s="664"/>
      <c r="AP319" s="664"/>
      <c r="AQ319" s="664"/>
      <c r="AR319" s="656"/>
      <c r="AS319" s="664"/>
      <c r="AT319" s="664"/>
      <c r="AU319" s="664"/>
      <c r="AV319" s="664"/>
      <c r="AW319" s="664"/>
      <c r="AX319" s="664"/>
      <c r="AY319" s="664"/>
      <c r="AZ319" s="664"/>
      <c r="BA319" s="665"/>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row>
    <row r="320" spans="2:106" s="582" customFormat="1" x14ac:dyDescent="0.35">
      <c r="B320" s="1214"/>
      <c r="C320" s="1211"/>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64"/>
      <c r="AM320" s="664"/>
      <c r="AN320" s="656"/>
      <c r="AO320" s="664"/>
      <c r="AP320" s="664"/>
      <c r="AQ320" s="664"/>
      <c r="AR320" s="656"/>
      <c r="AS320" s="664"/>
      <c r="AT320" s="664"/>
      <c r="AU320" s="664"/>
      <c r="AV320" s="664"/>
      <c r="AW320" s="664"/>
      <c r="AX320" s="664"/>
      <c r="AY320" s="664"/>
      <c r="AZ320" s="664"/>
      <c r="BA320" s="665"/>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row>
    <row r="321" spans="2:106" s="582" customFormat="1" x14ac:dyDescent="0.35">
      <c r="B321" s="1214"/>
      <c r="C321" s="1211"/>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64"/>
      <c r="AM321" s="664"/>
      <c r="AN321" s="656"/>
      <c r="AO321" s="664"/>
      <c r="AP321" s="664"/>
      <c r="AQ321" s="664"/>
      <c r="AR321" s="656"/>
      <c r="AS321" s="664"/>
      <c r="AT321" s="664"/>
      <c r="AU321" s="664"/>
      <c r="AV321" s="664"/>
      <c r="AW321" s="664"/>
      <c r="AX321" s="664"/>
      <c r="AY321" s="664"/>
      <c r="AZ321" s="664"/>
      <c r="BA321" s="665"/>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row>
    <row r="322" spans="2:106" s="582" customFormat="1" x14ac:dyDescent="0.35">
      <c r="B322" s="1214"/>
      <c r="C322" s="1211"/>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64"/>
      <c r="AM322" s="664"/>
      <c r="AN322" s="656"/>
      <c r="AO322" s="664"/>
      <c r="AP322" s="664"/>
      <c r="AQ322" s="664"/>
      <c r="AR322" s="656"/>
      <c r="AS322" s="664"/>
      <c r="AT322" s="664"/>
      <c r="AU322" s="664"/>
      <c r="AV322" s="664"/>
      <c r="AW322" s="664"/>
      <c r="AX322" s="664"/>
      <c r="AY322" s="664"/>
      <c r="AZ322" s="664"/>
      <c r="BA322" s="665"/>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row>
    <row r="323" spans="2:106" s="582" customFormat="1" x14ac:dyDescent="0.35">
      <c r="B323" s="1214"/>
      <c r="C323" s="1211"/>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64"/>
      <c r="AM323" s="664"/>
      <c r="AN323" s="656"/>
      <c r="AO323" s="664"/>
      <c r="AP323" s="664"/>
      <c r="AQ323" s="664"/>
      <c r="AR323" s="656"/>
      <c r="AS323" s="664"/>
      <c r="AT323" s="664"/>
      <c r="AU323" s="664"/>
      <c r="AV323" s="664"/>
      <c r="AW323" s="664"/>
      <c r="AX323" s="664"/>
      <c r="AY323" s="664"/>
      <c r="AZ323" s="664"/>
      <c r="BA323" s="665"/>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row>
    <row r="324" spans="2:106" s="582" customFormat="1" x14ac:dyDescent="0.35">
      <c r="B324" s="1214"/>
      <c r="C324" s="1211"/>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64"/>
      <c r="AM324" s="664"/>
      <c r="AN324" s="656"/>
      <c r="AO324" s="664"/>
      <c r="AP324" s="664"/>
      <c r="AQ324" s="664"/>
      <c r="AR324" s="656"/>
      <c r="AS324" s="664"/>
      <c r="AT324" s="664"/>
      <c r="AU324" s="664"/>
      <c r="AV324" s="664"/>
      <c r="AW324" s="664"/>
      <c r="AX324" s="664"/>
      <c r="AY324" s="664"/>
      <c r="AZ324" s="664"/>
      <c r="BA324" s="665"/>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row>
    <row r="325" spans="2:106" s="582" customFormat="1" x14ac:dyDescent="0.35">
      <c r="B325" s="1214"/>
      <c r="C325" s="1211"/>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64"/>
      <c r="AM325" s="664"/>
      <c r="AN325" s="656"/>
      <c r="AO325" s="664"/>
      <c r="AP325" s="664"/>
      <c r="AQ325" s="664"/>
      <c r="AR325" s="656"/>
      <c r="AS325" s="664"/>
      <c r="AT325" s="664"/>
      <c r="AU325" s="664"/>
      <c r="AV325" s="664"/>
      <c r="AW325" s="664"/>
      <c r="AX325" s="664"/>
      <c r="AY325" s="664"/>
      <c r="AZ325" s="664"/>
      <c r="BA325" s="665"/>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row>
    <row r="326" spans="2:106" s="582" customFormat="1" x14ac:dyDescent="0.35">
      <c r="B326" s="1214"/>
      <c r="C326" s="1211"/>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64"/>
      <c r="AM326" s="664"/>
      <c r="AN326" s="656"/>
      <c r="AO326" s="664"/>
      <c r="AP326" s="664"/>
      <c r="AQ326" s="664"/>
      <c r="AR326" s="656"/>
      <c r="AS326" s="664"/>
      <c r="AT326" s="664"/>
      <c r="AU326" s="664"/>
      <c r="AV326" s="664"/>
      <c r="AW326" s="664"/>
      <c r="AX326" s="664"/>
      <c r="AY326" s="664"/>
      <c r="AZ326" s="664"/>
      <c r="BA326" s="665"/>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row>
    <row r="327" spans="2:106" s="582" customFormat="1" x14ac:dyDescent="0.35">
      <c r="B327" s="1214"/>
      <c r="C327" s="1211"/>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64"/>
      <c r="AM327" s="664"/>
      <c r="AN327" s="656"/>
      <c r="AO327" s="664"/>
      <c r="AP327" s="664"/>
      <c r="AQ327" s="664"/>
      <c r="AR327" s="656"/>
      <c r="AS327" s="664"/>
      <c r="AT327" s="664"/>
      <c r="AU327" s="664"/>
      <c r="AV327" s="664"/>
      <c r="AW327" s="664"/>
      <c r="AX327" s="664"/>
      <c r="AY327" s="664"/>
      <c r="AZ327" s="664"/>
      <c r="BA327" s="665"/>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row>
    <row r="328" spans="2:106" s="582" customFormat="1" x14ac:dyDescent="0.35">
      <c r="B328" s="1214"/>
      <c r="C328" s="1211"/>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64"/>
      <c r="AM328" s="664"/>
      <c r="AN328" s="656"/>
      <c r="AO328" s="664"/>
      <c r="AP328" s="664"/>
      <c r="AQ328" s="664"/>
      <c r="AR328" s="656"/>
      <c r="AS328" s="664"/>
      <c r="AT328" s="664"/>
      <c r="AU328" s="664"/>
      <c r="AV328" s="664"/>
      <c r="AW328" s="664"/>
      <c r="AX328" s="664"/>
      <c r="AY328" s="664"/>
      <c r="AZ328" s="664"/>
      <c r="BA328" s="665"/>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row>
    <row r="329" spans="2:106" s="582" customFormat="1" x14ac:dyDescent="0.35">
      <c r="B329" s="1214"/>
      <c r="C329" s="1211"/>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64"/>
      <c r="AM329" s="664"/>
      <c r="AN329" s="656"/>
      <c r="AO329" s="664"/>
      <c r="AP329" s="664"/>
      <c r="AQ329" s="664"/>
      <c r="AR329" s="656"/>
      <c r="AS329" s="664"/>
      <c r="AT329" s="664"/>
      <c r="AU329" s="664"/>
      <c r="AV329" s="664"/>
      <c r="AW329" s="664"/>
      <c r="AX329" s="664"/>
      <c r="AY329" s="664"/>
      <c r="AZ329" s="664"/>
      <c r="BA329" s="665"/>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row>
    <row r="330" spans="2:106" s="582" customFormat="1" ht="15" thickBot="1" x14ac:dyDescent="0.4">
      <c r="B330" s="1215"/>
      <c r="C330" s="1212"/>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6"/>
      <c r="AM330" s="666"/>
      <c r="AN330" s="660"/>
      <c r="AO330" s="666"/>
      <c r="AP330" s="666"/>
      <c r="AQ330" s="666"/>
      <c r="AR330" s="660"/>
      <c r="AS330" s="666"/>
      <c r="AT330" s="666"/>
      <c r="AU330" s="666"/>
      <c r="AV330" s="666"/>
      <c r="AW330" s="666"/>
      <c r="AX330" s="666"/>
      <c r="AY330" s="666"/>
      <c r="AZ330" s="666"/>
      <c r="BA330" s="667"/>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row>
    <row r="331" spans="2:106" s="582" customFormat="1" ht="15" thickBot="1" x14ac:dyDescent="0.4">
      <c r="B331" s="569" t="s">
        <v>1012</v>
      </c>
      <c r="C331" s="1210"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68"/>
      <c r="AM331" s="668"/>
      <c r="AN331" s="650"/>
      <c r="AO331" s="668"/>
      <c r="AP331" s="668"/>
      <c r="AQ331" s="668"/>
      <c r="AR331" s="650"/>
      <c r="AS331" s="668"/>
      <c r="AT331" s="668"/>
      <c r="AU331" s="668"/>
      <c r="AV331" s="668"/>
      <c r="AW331" s="668"/>
      <c r="AX331" s="668"/>
      <c r="AY331" s="668"/>
      <c r="AZ331" s="668"/>
      <c r="BA331" s="669"/>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row>
    <row r="332" spans="2:106" s="582" customFormat="1" x14ac:dyDescent="0.35">
      <c r="B332" s="1213" t="s">
        <v>1013</v>
      </c>
      <c r="C332" s="1211"/>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71"/>
      <c r="AM332" s="671"/>
      <c r="AN332" s="651"/>
      <c r="AO332" s="671"/>
      <c r="AP332" s="671"/>
      <c r="AQ332" s="671"/>
      <c r="AR332" s="651"/>
      <c r="AS332" s="671"/>
      <c r="AT332" s="671"/>
      <c r="AU332" s="671"/>
      <c r="AV332" s="671"/>
      <c r="AW332" s="671"/>
      <c r="AX332" s="671"/>
      <c r="AY332" s="671"/>
      <c r="AZ332" s="671"/>
      <c r="BA332" s="672"/>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row>
    <row r="333" spans="2:106" s="582" customFormat="1" x14ac:dyDescent="0.35">
      <c r="B333" s="1214"/>
      <c r="C333" s="1211"/>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64"/>
      <c r="AM333" s="664"/>
      <c r="AN333" s="656"/>
      <c r="AO333" s="664"/>
      <c r="AP333" s="664"/>
      <c r="AQ333" s="664"/>
      <c r="AR333" s="656"/>
      <c r="AS333" s="664"/>
      <c r="AT333" s="664"/>
      <c r="AU333" s="664"/>
      <c r="AV333" s="664"/>
      <c r="AW333" s="664"/>
      <c r="AX333" s="664"/>
      <c r="AY333" s="664"/>
      <c r="AZ333" s="664"/>
      <c r="BA333" s="665"/>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row>
    <row r="334" spans="2:106" s="582" customFormat="1" x14ac:dyDescent="0.35">
      <c r="B334" s="1214"/>
      <c r="C334" s="1211"/>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64"/>
      <c r="AM334" s="664"/>
      <c r="AN334" s="656"/>
      <c r="AO334" s="664"/>
      <c r="AP334" s="664"/>
      <c r="AQ334" s="664"/>
      <c r="AR334" s="656"/>
      <c r="AS334" s="664"/>
      <c r="AT334" s="664"/>
      <c r="AU334" s="664"/>
      <c r="AV334" s="664"/>
      <c r="AW334" s="664"/>
      <c r="AX334" s="664"/>
      <c r="AY334" s="664"/>
      <c r="AZ334" s="664"/>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row>
    <row r="335" spans="2:106" s="582" customFormat="1" x14ac:dyDescent="0.35">
      <c r="B335" s="1214"/>
      <c r="C335" s="1211"/>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64"/>
      <c r="AM335" s="664"/>
      <c r="AN335" s="656"/>
      <c r="AO335" s="664"/>
      <c r="AP335" s="664"/>
      <c r="AQ335" s="664"/>
      <c r="AR335" s="656"/>
      <c r="AS335" s="664"/>
      <c r="AT335" s="664"/>
      <c r="AU335" s="664"/>
      <c r="AV335" s="664"/>
      <c r="AW335" s="664"/>
      <c r="AX335" s="664"/>
      <c r="AY335" s="664"/>
      <c r="AZ335" s="664"/>
      <c r="BA335" s="665"/>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row>
    <row r="336" spans="2:106" s="582" customFormat="1" x14ac:dyDescent="0.35">
      <c r="B336" s="1214"/>
      <c r="C336" s="1211"/>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64"/>
      <c r="AM336" s="664"/>
      <c r="AN336" s="656"/>
      <c r="AO336" s="664"/>
      <c r="AP336" s="664"/>
      <c r="AQ336" s="664"/>
      <c r="AR336" s="656"/>
      <c r="AS336" s="664"/>
      <c r="AT336" s="664"/>
      <c r="AU336" s="664"/>
      <c r="AV336" s="664"/>
      <c r="AW336" s="664"/>
      <c r="AX336" s="664"/>
      <c r="AY336" s="664"/>
      <c r="AZ336" s="664"/>
      <c r="BA336" s="665"/>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row>
    <row r="337" spans="2:106" s="582" customFormat="1" x14ac:dyDescent="0.35">
      <c r="B337" s="1214"/>
      <c r="C337" s="1211"/>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64"/>
      <c r="AM337" s="664"/>
      <c r="AN337" s="656"/>
      <c r="AO337" s="664"/>
      <c r="AP337" s="664"/>
      <c r="AQ337" s="664"/>
      <c r="AR337" s="656"/>
      <c r="AS337" s="664"/>
      <c r="AT337" s="664"/>
      <c r="AU337" s="664"/>
      <c r="AV337" s="664"/>
      <c r="AW337" s="664"/>
      <c r="AX337" s="664"/>
      <c r="AY337" s="664"/>
      <c r="AZ337" s="664"/>
      <c r="BA337" s="665"/>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row>
    <row r="338" spans="2:106" s="582" customFormat="1" x14ac:dyDescent="0.35">
      <c r="B338" s="1214"/>
      <c r="C338" s="1211"/>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64"/>
      <c r="AM338" s="664"/>
      <c r="AN338" s="656"/>
      <c r="AO338" s="664"/>
      <c r="AP338" s="664"/>
      <c r="AQ338" s="664"/>
      <c r="AR338" s="656"/>
      <c r="AS338" s="664"/>
      <c r="AT338" s="664"/>
      <c r="AU338" s="664"/>
      <c r="AV338" s="664"/>
      <c r="AW338" s="664"/>
      <c r="AX338" s="664"/>
      <c r="AY338" s="664"/>
      <c r="AZ338" s="664"/>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row>
    <row r="339" spans="2:106" s="582" customFormat="1" x14ac:dyDescent="0.35">
      <c r="B339" s="1214"/>
      <c r="C339" s="1211"/>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64"/>
      <c r="AM339" s="664"/>
      <c r="AN339" s="656"/>
      <c r="AO339" s="664"/>
      <c r="AP339" s="664"/>
      <c r="AQ339" s="664"/>
      <c r="AR339" s="656"/>
      <c r="AS339" s="664"/>
      <c r="AT339" s="664"/>
      <c r="AU339" s="664"/>
      <c r="AV339" s="664"/>
      <c r="AW339" s="664"/>
      <c r="AX339" s="664"/>
      <c r="AY339" s="664"/>
      <c r="AZ339" s="664"/>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row>
    <row r="340" spans="2:106" s="582" customFormat="1" x14ac:dyDescent="0.35">
      <c r="B340" s="1214"/>
      <c r="C340" s="1211"/>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64"/>
      <c r="AM340" s="664"/>
      <c r="AN340" s="656"/>
      <c r="AO340" s="664"/>
      <c r="AP340" s="664"/>
      <c r="AQ340" s="664"/>
      <c r="AR340" s="656"/>
      <c r="AS340" s="664"/>
      <c r="AT340" s="664"/>
      <c r="AU340" s="664"/>
      <c r="AV340" s="664"/>
      <c r="AW340" s="664"/>
      <c r="AX340" s="664"/>
      <c r="AY340" s="664"/>
      <c r="AZ340" s="664"/>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row>
    <row r="341" spans="2:106" s="582" customFormat="1" x14ac:dyDescent="0.35">
      <c r="B341" s="1214"/>
      <c r="C341" s="1211"/>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64"/>
      <c r="AM341" s="664"/>
      <c r="AN341" s="656"/>
      <c r="AO341" s="664"/>
      <c r="AP341" s="664"/>
      <c r="AQ341" s="664"/>
      <c r="AR341" s="656"/>
      <c r="AS341" s="664"/>
      <c r="AT341" s="664"/>
      <c r="AU341" s="664"/>
      <c r="AV341" s="664"/>
      <c r="AW341" s="664"/>
      <c r="AX341" s="664"/>
      <c r="AY341" s="664"/>
      <c r="AZ341" s="664"/>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row>
    <row r="342" spans="2:106" s="582" customFormat="1" x14ac:dyDescent="0.35">
      <c r="B342" s="1214"/>
      <c r="C342" s="1211"/>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64"/>
      <c r="AM342" s="664"/>
      <c r="AN342" s="656"/>
      <c r="AO342" s="664"/>
      <c r="AP342" s="664"/>
      <c r="AQ342" s="664"/>
      <c r="AR342" s="656"/>
      <c r="AS342" s="664"/>
      <c r="AT342" s="664"/>
      <c r="AU342" s="664"/>
      <c r="AV342" s="664"/>
      <c r="AW342" s="664"/>
      <c r="AX342" s="664"/>
      <c r="AY342" s="664"/>
      <c r="AZ342" s="664"/>
      <c r="BA342" s="665"/>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row>
    <row r="343" spans="2:106" s="582" customFormat="1" x14ac:dyDescent="0.35">
      <c r="B343" s="1214"/>
      <c r="C343" s="1211"/>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64"/>
      <c r="AM343" s="664"/>
      <c r="AN343" s="656"/>
      <c r="AO343" s="664"/>
      <c r="AP343" s="664"/>
      <c r="AQ343" s="664"/>
      <c r="AR343" s="656"/>
      <c r="AS343" s="664"/>
      <c r="AT343" s="664"/>
      <c r="AU343" s="664"/>
      <c r="AV343" s="664"/>
      <c r="AW343" s="664"/>
      <c r="AX343" s="664"/>
      <c r="AY343" s="664"/>
      <c r="AZ343" s="664"/>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row>
    <row r="344" spans="2:106" s="582" customFormat="1" x14ac:dyDescent="0.35">
      <c r="B344" s="1214"/>
      <c r="C344" s="1211"/>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64"/>
      <c r="AM344" s="664"/>
      <c r="AN344" s="656"/>
      <c r="AO344" s="664"/>
      <c r="AP344" s="664"/>
      <c r="AQ344" s="664"/>
      <c r="AR344" s="656"/>
      <c r="AS344" s="664"/>
      <c r="AT344" s="664"/>
      <c r="AU344" s="664"/>
      <c r="AV344" s="664"/>
      <c r="AW344" s="664"/>
      <c r="AX344" s="664"/>
      <c r="AY344" s="664"/>
      <c r="AZ344" s="664"/>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row>
    <row r="345" spans="2:106" s="582" customFormat="1" x14ac:dyDescent="0.35">
      <c r="B345" s="1214"/>
      <c r="C345" s="1211"/>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64"/>
      <c r="AM345" s="664"/>
      <c r="AN345" s="656"/>
      <c r="AO345" s="664"/>
      <c r="AP345" s="664"/>
      <c r="AQ345" s="664"/>
      <c r="AR345" s="656"/>
      <c r="AS345" s="664"/>
      <c r="AT345" s="664"/>
      <c r="AU345" s="664"/>
      <c r="AV345" s="664"/>
      <c r="AW345" s="664"/>
      <c r="AX345" s="664"/>
      <c r="AY345" s="664"/>
      <c r="AZ345" s="664"/>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row>
    <row r="346" spans="2:106" s="582" customFormat="1" x14ac:dyDescent="0.35">
      <c r="B346" s="1214"/>
      <c r="C346" s="1211"/>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64"/>
      <c r="AM346" s="664"/>
      <c r="AN346" s="656"/>
      <c r="AO346" s="664"/>
      <c r="AP346" s="664"/>
      <c r="AQ346" s="664"/>
      <c r="AR346" s="656"/>
      <c r="AS346" s="664"/>
      <c r="AT346" s="664"/>
      <c r="AU346" s="664"/>
      <c r="AV346" s="664"/>
      <c r="AW346" s="664"/>
      <c r="AX346" s="664"/>
      <c r="AY346" s="664"/>
      <c r="AZ346" s="664"/>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row>
    <row r="347" spans="2:106" s="582" customFormat="1" ht="15" thickBot="1" x14ac:dyDescent="0.4">
      <c r="B347" s="1215"/>
      <c r="C347" s="1212"/>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6"/>
      <c r="AM347" s="666"/>
      <c r="AN347" s="660"/>
      <c r="AO347" s="666"/>
      <c r="AP347" s="666"/>
      <c r="AQ347" s="666"/>
      <c r="AR347" s="660"/>
      <c r="AS347" s="666"/>
      <c r="AT347" s="666"/>
      <c r="AU347" s="666"/>
      <c r="AV347" s="666"/>
      <c r="AW347" s="666"/>
      <c r="AX347" s="666"/>
      <c r="AY347" s="666"/>
      <c r="AZ347" s="666"/>
      <c r="BA347" s="667"/>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row>
    <row r="348" spans="2:106" s="582" customFormat="1" ht="15" thickBot="1" x14ac:dyDescent="0.4">
      <c r="B348" s="569" t="s">
        <v>1014</v>
      </c>
      <c r="C348" s="1210"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68"/>
      <c r="AM348" s="668"/>
      <c r="AN348" s="650"/>
      <c r="AO348" s="668"/>
      <c r="AP348" s="668"/>
      <c r="AQ348" s="668"/>
      <c r="AR348" s="650"/>
      <c r="AS348" s="668"/>
      <c r="AT348" s="668"/>
      <c r="AU348" s="668"/>
      <c r="AV348" s="668"/>
      <c r="AW348" s="668"/>
      <c r="AX348" s="668"/>
      <c r="AY348" s="668"/>
      <c r="AZ348" s="668"/>
      <c r="BA348" s="669"/>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row>
    <row r="349" spans="2:106" s="582" customFormat="1" x14ac:dyDescent="0.35">
      <c r="B349" s="1213" t="s">
        <v>1017</v>
      </c>
      <c r="C349" s="1211"/>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71"/>
      <c r="AM349" s="671"/>
      <c r="AN349" s="651"/>
      <c r="AO349" s="671"/>
      <c r="AP349" s="671"/>
      <c r="AQ349" s="671"/>
      <c r="AR349" s="651"/>
      <c r="AS349" s="671"/>
      <c r="AT349" s="671"/>
      <c r="AU349" s="671"/>
      <c r="AV349" s="671"/>
      <c r="AW349" s="671"/>
      <c r="AX349" s="671"/>
      <c r="AY349" s="671"/>
      <c r="AZ349" s="671"/>
      <c r="BA349" s="672"/>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row>
    <row r="350" spans="2:106" s="582" customFormat="1" x14ac:dyDescent="0.35">
      <c r="B350" s="1214"/>
      <c r="C350" s="1211"/>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64"/>
      <c r="AM350" s="664"/>
      <c r="AN350" s="656"/>
      <c r="AO350" s="664"/>
      <c r="AP350" s="664"/>
      <c r="AQ350" s="664"/>
      <c r="AR350" s="656"/>
      <c r="AS350" s="664"/>
      <c r="AT350" s="664"/>
      <c r="AU350" s="664"/>
      <c r="AV350" s="664"/>
      <c r="AW350" s="664"/>
      <c r="AX350" s="664"/>
      <c r="AY350" s="664"/>
      <c r="AZ350" s="664"/>
      <c r="BA350" s="665"/>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row>
    <row r="351" spans="2:106" s="582" customFormat="1" x14ac:dyDescent="0.35">
      <c r="B351" s="1214"/>
      <c r="C351" s="1211"/>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64"/>
      <c r="AM351" s="664"/>
      <c r="AN351" s="656"/>
      <c r="AO351" s="664"/>
      <c r="AP351" s="664"/>
      <c r="AQ351" s="664"/>
      <c r="AR351" s="656"/>
      <c r="AS351" s="664"/>
      <c r="AT351" s="664"/>
      <c r="AU351" s="664"/>
      <c r="AV351" s="664"/>
      <c r="AW351" s="664"/>
      <c r="AX351" s="664"/>
      <c r="AY351" s="664"/>
      <c r="AZ351" s="664"/>
      <c r="BA351" s="665"/>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row>
    <row r="352" spans="2:106" s="582" customFormat="1" x14ac:dyDescent="0.35">
      <c r="B352" s="1214"/>
      <c r="C352" s="1211"/>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64"/>
      <c r="AM352" s="664"/>
      <c r="AN352" s="656"/>
      <c r="AO352" s="664"/>
      <c r="AP352" s="664"/>
      <c r="AQ352" s="664"/>
      <c r="AR352" s="656"/>
      <c r="AS352" s="664"/>
      <c r="AT352" s="664"/>
      <c r="AU352" s="664"/>
      <c r="AV352" s="664"/>
      <c r="AW352" s="664"/>
      <c r="AX352" s="664"/>
      <c r="AY352" s="664"/>
      <c r="AZ352" s="664"/>
      <c r="BA352" s="665"/>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row>
    <row r="353" spans="2:106" s="582" customFormat="1" x14ac:dyDescent="0.35">
      <c r="B353" s="1214"/>
      <c r="C353" s="1211"/>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64"/>
      <c r="AM353" s="664"/>
      <c r="AN353" s="656"/>
      <c r="AO353" s="664"/>
      <c r="AP353" s="664"/>
      <c r="AQ353" s="664"/>
      <c r="AR353" s="656"/>
      <c r="AS353" s="664"/>
      <c r="AT353" s="664"/>
      <c r="AU353" s="664"/>
      <c r="AV353" s="664"/>
      <c r="AW353" s="664"/>
      <c r="AX353" s="664"/>
      <c r="AY353" s="664"/>
      <c r="AZ353" s="664"/>
      <c r="BA353" s="665"/>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row>
    <row r="354" spans="2:106" s="582" customFormat="1" x14ac:dyDescent="0.35">
      <c r="B354" s="1214"/>
      <c r="C354" s="1211"/>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64"/>
      <c r="AM354" s="664"/>
      <c r="AN354" s="656"/>
      <c r="AO354" s="664"/>
      <c r="AP354" s="664"/>
      <c r="AQ354" s="664"/>
      <c r="AR354" s="656"/>
      <c r="AS354" s="664"/>
      <c r="AT354" s="664"/>
      <c r="AU354" s="664"/>
      <c r="AV354" s="664"/>
      <c r="AW354" s="664"/>
      <c r="AX354" s="664"/>
      <c r="AY354" s="664"/>
      <c r="AZ354" s="664"/>
      <c r="BA354" s="665"/>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row>
    <row r="355" spans="2:106" s="582" customFormat="1" x14ac:dyDescent="0.35">
      <c r="B355" s="1214"/>
      <c r="C355" s="1211"/>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64"/>
      <c r="AM355" s="664"/>
      <c r="AN355" s="656"/>
      <c r="AO355" s="664"/>
      <c r="AP355" s="664"/>
      <c r="AQ355" s="664"/>
      <c r="AR355" s="656"/>
      <c r="AS355" s="664"/>
      <c r="AT355" s="664"/>
      <c r="AU355" s="664"/>
      <c r="AV355" s="664"/>
      <c r="AW355" s="664"/>
      <c r="AX355" s="664"/>
      <c r="AY355" s="664"/>
      <c r="AZ355" s="664"/>
      <c r="BA355" s="665"/>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row>
    <row r="356" spans="2:106" s="582" customFormat="1" x14ac:dyDescent="0.35">
      <c r="B356" s="1214"/>
      <c r="C356" s="1211"/>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64"/>
      <c r="AM356" s="664"/>
      <c r="AN356" s="656"/>
      <c r="AO356" s="664"/>
      <c r="AP356" s="664"/>
      <c r="AQ356" s="664"/>
      <c r="AR356" s="656"/>
      <c r="AS356" s="664"/>
      <c r="AT356" s="664"/>
      <c r="AU356" s="664"/>
      <c r="AV356" s="664"/>
      <c r="AW356" s="664"/>
      <c r="AX356" s="664"/>
      <c r="AY356" s="664"/>
      <c r="AZ356" s="664"/>
      <c r="BA356" s="665"/>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row>
    <row r="357" spans="2:106" s="582" customFormat="1" x14ac:dyDescent="0.35">
      <c r="B357" s="1214"/>
      <c r="C357" s="1211"/>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64"/>
      <c r="AM357" s="664"/>
      <c r="AN357" s="656"/>
      <c r="AO357" s="664"/>
      <c r="AP357" s="664"/>
      <c r="AQ357" s="664"/>
      <c r="AR357" s="656"/>
      <c r="AS357" s="664"/>
      <c r="AT357" s="664"/>
      <c r="AU357" s="664"/>
      <c r="AV357" s="664"/>
      <c r="AW357" s="664"/>
      <c r="AX357" s="664"/>
      <c r="AY357" s="664"/>
      <c r="AZ357" s="664"/>
      <c r="BA357" s="665"/>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row>
    <row r="358" spans="2:106" s="582" customFormat="1" x14ac:dyDescent="0.35">
      <c r="B358" s="1214"/>
      <c r="C358" s="1211"/>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64"/>
      <c r="AM358" s="664"/>
      <c r="AN358" s="656"/>
      <c r="AO358" s="664"/>
      <c r="AP358" s="664"/>
      <c r="AQ358" s="664"/>
      <c r="AR358" s="656"/>
      <c r="AS358" s="664"/>
      <c r="AT358" s="664"/>
      <c r="AU358" s="664"/>
      <c r="AV358" s="664"/>
      <c r="AW358" s="664"/>
      <c r="AX358" s="664"/>
      <c r="AY358" s="664"/>
      <c r="AZ358" s="664"/>
      <c r="BA358" s="665"/>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row>
    <row r="359" spans="2:106" s="582" customFormat="1" x14ac:dyDescent="0.35">
      <c r="B359" s="1214"/>
      <c r="C359" s="1211"/>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64"/>
      <c r="AM359" s="664"/>
      <c r="AN359" s="656"/>
      <c r="AO359" s="664"/>
      <c r="AP359" s="664"/>
      <c r="AQ359" s="664"/>
      <c r="AR359" s="656"/>
      <c r="AS359" s="664"/>
      <c r="AT359" s="664"/>
      <c r="AU359" s="664"/>
      <c r="AV359" s="664"/>
      <c r="AW359" s="664"/>
      <c r="AX359" s="664"/>
      <c r="AY359" s="664"/>
      <c r="AZ359" s="664"/>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row>
    <row r="360" spans="2:106" s="582" customFormat="1" x14ac:dyDescent="0.35">
      <c r="B360" s="1214"/>
      <c r="C360" s="1211"/>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64"/>
      <c r="AM360" s="664"/>
      <c r="AN360" s="656"/>
      <c r="AO360" s="664"/>
      <c r="AP360" s="664"/>
      <c r="AQ360" s="664"/>
      <c r="AR360" s="656"/>
      <c r="AS360" s="664"/>
      <c r="AT360" s="664"/>
      <c r="AU360" s="664"/>
      <c r="AV360" s="664"/>
      <c r="AW360" s="664"/>
      <c r="AX360" s="664"/>
      <c r="AY360" s="664"/>
      <c r="AZ360" s="664"/>
      <c r="BA360" s="665"/>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row>
    <row r="361" spans="2:106" s="582" customFormat="1" x14ac:dyDescent="0.35">
      <c r="B361" s="1214"/>
      <c r="C361" s="1211"/>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64"/>
      <c r="AM361" s="664"/>
      <c r="AN361" s="656"/>
      <c r="AO361" s="664"/>
      <c r="AP361" s="664"/>
      <c r="AQ361" s="664"/>
      <c r="AR361" s="656"/>
      <c r="AS361" s="664"/>
      <c r="AT361" s="664"/>
      <c r="AU361" s="664"/>
      <c r="AV361" s="664"/>
      <c r="AW361" s="664"/>
      <c r="AX361" s="664"/>
      <c r="AY361" s="664"/>
      <c r="AZ361" s="664"/>
      <c r="BA361" s="665"/>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row>
    <row r="362" spans="2:106" s="582" customFormat="1" x14ac:dyDescent="0.35">
      <c r="B362" s="1214"/>
      <c r="C362" s="1211"/>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64"/>
      <c r="AM362" s="664"/>
      <c r="AN362" s="656"/>
      <c r="AO362" s="664"/>
      <c r="AP362" s="664"/>
      <c r="AQ362" s="664"/>
      <c r="AR362" s="656"/>
      <c r="AS362" s="664"/>
      <c r="AT362" s="664"/>
      <c r="AU362" s="664"/>
      <c r="AV362" s="664"/>
      <c r="AW362" s="664"/>
      <c r="AX362" s="664"/>
      <c r="AY362" s="664"/>
      <c r="AZ362" s="664"/>
      <c r="BA362" s="665"/>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row>
    <row r="363" spans="2:106" s="582" customFormat="1" x14ac:dyDescent="0.35">
      <c r="B363" s="1214"/>
      <c r="C363" s="1211"/>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64"/>
      <c r="AM363" s="664"/>
      <c r="AN363" s="656"/>
      <c r="AO363" s="664"/>
      <c r="AP363" s="664"/>
      <c r="AQ363" s="664"/>
      <c r="AR363" s="656"/>
      <c r="AS363" s="664"/>
      <c r="AT363" s="664"/>
      <c r="AU363" s="664"/>
      <c r="AV363" s="664"/>
      <c r="AW363" s="664"/>
      <c r="AX363" s="664"/>
      <c r="AY363" s="664"/>
      <c r="AZ363" s="664"/>
      <c r="BA363" s="665"/>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row>
    <row r="364" spans="2:106" s="582" customFormat="1" ht="15" thickBot="1" x14ac:dyDescent="0.4">
      <c r="B364" s="1215"/>
      <c r="C364" s="1212"/>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6"/>
      <c r="AM364" s="666"/>
      <c r="AN364" s="660"/>
      <c r="AO364" s="666"/>
      <c r="AP364" s="666"/>
      <c r="AQ364" s="666"/>
      <c r="AR364" s="660"/>
      <c r="AS364" s="666"/>
      <c r="AT364" s="666"/>
      <c r="AU364" s="666"/>
      <c r="AV364" s="666"/>
      <c r="AW364" s="666"/>
      <c r="AX364" s="666"/>
      <c r="AY364" s="666"/>
      <c r="AZ364" s="666"/>
      <c r="BA364" s="667"/>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row>
    <row r="365" spans="2:106" ht="15" thickBot="1" x14ac:dyDescent="0.4">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5"/>
      <c r="AM365" s="675"/>
      <c r="AN365" s="674"/>
      <c r="AO365" s="675"/>
      <c r="AP365" s="675"/>
      <c r="AQ365" s="675"/>
      <c r="AR365" s="674"/>
      <c r="AS365" s="675"/>
      <c r="AT365" s="675"/>
      <c r="AU365" s="675"/>
      <c r="AV365" s="675"/>
      <c r="AW365" s="675"/>
      <c r="AX365" s="675"/>
      <c r="AY365" s="675"/>
      <c r="AZ365" s="675"/>
      <c r="BA365" s="676"/>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row>
    <row r="366" spans="2:106" ht="15" thickBot="1" x14ac:dyDescent="0.4">
      <c r="B366" s="577" t="s">
        <v>1168</v>
      </c>
      <c r="C366" s="1211"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8"/>
      <c r="AM366" s="628"/>
      <c r="AN366" s="626"/>
      <c r="AO366" s="628"/>
      <c r="AP366" s="628"/>
      <c r="AQ366" s="628"/>
      <c r="AR366" s="626"/>
      <c r="AS366" s="628"/>
      <c r="AT366" s="628"/>
      <c r="AU366" s="628"/>
      <c r="AV366" s="628"/>
      <c r="AW366" s="628"/>
      <c r="AX366" s="628"/>
      <c r="AY366" s="628"/>
      <c r="AZ366" s="628"/>
      <c r="BA366" s="629"/>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row>
    <row r="367" spans="2:106" x14ac:dyDescent="0.35">
      <c r="B367" s="1213" t="s">
        <v>1169</v>
      </c>
      <c r="C367" s="1211"/>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62"/>
      <c r="AM367" s="662"/>
      <c r="AN367" s="631"/>
      <c r="AO367" s="662"/>
      <c r="AP367" s="662"/>
      <c r="AQ367" s="662"/>
      <c r="AR367" s="631"/>
      <c r="AS367" s="662"/>
      <c r="AT367" s="662"/>
      <c r="AU367" s="662"/>
      <c r="AV367" s="662"/>
      <c r="AW367" s="662"/>
      <c r="AX367" s="662"/>
      <c r="AY367" s="662"/>
      <c r="AZ367" s="662"/>
      <c r="BA367" s="663"/>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row>
    <row r="368" spans="2:106" x14ac:dyDescent="0.35">
      <c r="B368" s="1214"/>
      <c r="C368" s="1211"/>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64"/>
      <c r="AM368" s="664"/>
      <c r="AN368" s="636"/>
      <c r="AO368" s="664"/>
      <c r="AP368" s="664"/>
      <c r="AQ368" s="664"/>
      <c r="AR368" s="636"/>
      <c r="AS368" s="664"/>
      <c r="AT368" s="664"/>
      <c r="AU368" s="664"/>
      <c r="AV368" s="664"/>
      <c r="AW368" s="664"/>
      <c r="AX368" s="664"/>
      <c r="AY368" s="664"/>
      <c r="AZ368" s="664"/>
      <c r="BA368" s="665"/>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row>
    <row r="369" spans="2:105" x14ac:dyDescent="0.35">
      <c r="B369" s="1214"/>
      <c r="C369" s="1211"/>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64"/>
      <c r="AM369" s="664"/>
      <c r="AN369" s="636"/>
      <c r="AO369" s="664"/>
      <c r="AP369" s="664"/>
      <c r="AQ369" s="664"/>
      <c r="AR369" s="636"/>
      <c r="AS369" s="664"/>
      <c r="AT369" s="664"/>
      <c r="AU369" s="664"/>
      <c r="AV369" s="664"/>
      <c r="AW369" s="664"/>
      <c r="AX369" s="664"/>
      <c r="AY369" s="664"/>
      <c r="AZ369" s="664"/>
      <c r="BA369" s="665"/>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row>
    <row r="370" spans="2:105" x14ac:dyDescent="0.35">
      <c r="B370" s="1214"/>
      <c r="C370" s="1211"/>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64"/>
      <c r="AM370" s="664"/>
      <c r="AN370" s="636"/>
      <c r="AO370" s="664"/>
      <c r="AP370" s="664"/>
      <c r="AQ370" s="664"/>
      <c r="AR370" s="636"/>
      <c r="AS370" s="664"/>
      <c r="AT370" s="664"/>
      <c r="AU370" s="664"/>
      <c r="AV370" s="664"/>
      <c r="AW370" s="664"/>
      <c r="AX370" s="664"/>
      <c r="AY370" s="664"/>
      <c r="AZ370" s="664"/>
      <c r="BA370" s="665"/>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row>
    <row r="371" spans="2:105" x14ac:dyDescent="0.35">
      <c r="B371" s="1214"/>
      <c r="C371" s="1211"/>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64"/>
      <c r="AM371" s="664"/>
      <c r="AN371" s="636"/>
      <c r="AO371" s="664"/>
      <c r="AP371" s="664"/>
      <c r="AQ371" s="664"/>
      <c r="AR371" s="636"/>
      <c r="AS371" s="664"/>
      <c r="AT371" s="664"/>
      <c r="AU371" s="664"/>
      <c r="AV371" s="664"/>
      <c r="AW371" s="664"/>
      <c r="AX371" s="664"/>
      <c r="AY371" s="664"/>
      <c r="AZ371" s="664"/>
      <c r="BA371" s="665"/>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row>
    <row r="372" spans="2:105" x14ac:dyDescent="0.35">
      <c r="B372" s="1214"/>
      <c r="C372" s="1211"/>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64"/>
      <c r="AM372" s="664"/>
      <c r="AN372" s="636"/>
      <c r="AO372" s="664"/>
      <c r="AP372" s="664"/>
      <c r="AQ372" s="664"/>
      <c r="AR372" s="636"/>
      <c r="AS372" s="664"/>
      <c r="AT372" s="664"/>
      <c r="AU372" s="664"/>
      <c r="AV372" s="664"/>
      <c r="AW372" s="664"/>
      <c r="AX372" s="664"/>
      <c r="AY372" s="664"/>
      <c r="AZ372" s="664"/>
      <c r="BA372" s="665"/>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row>
    <row r="373" spans="2:105" x14ac:dyDescent="0.35">
      <c r="B373" s="1214"/>
      <c r="C373" s="1211"/>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64"/>
      <c r="AM373" s="664"/>
      <c r="AN373" s="636"/>
      <c r="AO373" s="664"/>
      <c r="AP373" s="664"/>
      <c r="AQ373" s="664"/>
      <c r="AR373" s="636"/>
      <c r="AS373" s="664"/>
      <c r="AT373" s="664"/>
      <c r="AU373" s="664"/>
      <c r="AV373" s="664"/>
      <c r="AW373" s="664"/>
      <c r="AX373" s="664"/>
      <c r="AY373" s="664"/>
      <c r="AZ373" s="664"/>
      <c r="BA373" s="665"/>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row>
    <row r="374" spans="2:105" x14ac:dyDescent="0.35">
      <c r="B374" s="1214"/>
      <c r="C374" s="1211"/>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64"/>
      <c r="AM374" s="664"/>
      <c r="AN374" s="636"/>
      <c r="AO374" s="664"/>
      <c r="AP374" s="664"/>
      <c r="AQ374" s="664"/>
      <c r="AR374" s="636"/>
      <c r="AS374" s="664"/>
      <c r="AT374" s="664"/>
      <c r="AU374" s="664"/>
      <c r="AV374" s="664"/>
      <c r="AW374" s="664"/>
      <c r="AX374" s="664"/>
      <c r="AY374" s="664"/>
      <c r="AZ374" s="664"/>
      <c r="BA374" s="665"/>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row>
    <row r="375" spans="2:105" x14ac:dyDescent="0.35">
      <c r="B375" s="1214"/>
      <c r="C375" s="1211"/>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64"/>
      <c r="AM375" s="664"/>
      <c r="AN375" s="636"/>
      <c r="AO375" s="664"/>
      <c r="AP375" s="664"/>
      <c r="AQ375" s="664"/>
      <c r="AR375" s="636"/>
      <c r="AS375" s="664"/>
      <c r="AT375" s="664"/>
      <c r="AU375" s="664"/>
      <c r="AV375" s="664"/>
      <c r="AW375" s="664"/>
      <c r="AX375" s="664"/>
      <c r="AY375" s="664"/>
      <c r="AZ375" s="664"/>
      <c r="BA375" s="665"/>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row>
    <row r="376" spans="2:105" x14ac:dyDescent="0.35">
      <c r="B376" s="1214"/>
      <c r="C376" s="1211"/>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64"/>
      <c r="AM376" s="664"/>
      <c r="AN376" s="636"/>
      <c r="AO376" s="664"/>
      <c r="AP376" s="664"/>
      <c r="AQ376" s="664"/>
      <c r="AR376" s="636"/>
      <c r="AS376" s="664"/>
      <c r="AT376" s="664"/>
      <c r="AU376" s="664"/>
      <c r="AV376" s="664"/>
      <c r="AW376" s="664"/>
      <c r="AX376" s="664"/>
      <c r="AY376" s="664"/>
      <c r="AZ376" s="664"/>
      <c r="BA376" s="665"/>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row>
    <row r="377" spans="2:105" x14ac:dyDescent="0.35">
      <c r="B377" s="1214"/>
      <c r="C377" s="1211"/>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64"/>
      <c r="AM377" s="664"/>
      <c r="AN377" s="636"/>
      <c r="AO377" s="664"/>
      <c r="AP377" s="664"/>
      <c r="AQ377" s="664"/>
      <c r="AR377" s="636"/>
      <c r="AS377" s="664"/>
      <c r="AT377" s="664"/>
      <c r="AU377" s="664"/>
      <c r="AV377" s="664"/>
      <c r="AW377" s="664"/>
      <c r="AX377" s="664"/>
      <c r="AY377" s="664"/>
      <c r="AZ377" s="664"/>
      <c r="BA377" s="665"/>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row>
    <row r="378" spans="2:105" x14ac:dyDescent="0.35">
      <c r="B378" s="1214"/>
      <c r="C378" s="1211"/>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64"/>
      <c r="AM378" s="664"/>
      <c r="AN378" s="636"/>
      <c r="AO378" s="664"/>
      <c r="AP378" s="664"/>
      <c r="AQ378" s="664"/>
      <c r="AR378" s="636"/>
      <c r="AS378" s="664"/>
      <c r="AT378" s="664"/>
      <c r="AU378" s="664"/>
      <c r="AV378" s="664"/>
      <c r="AW378" s="664"/>
      <c r="AX378" s="664"/>
      <c r="AY378" s="664"/>
      <c r="AZ378" s="664"/>
      <c r="BA378" s="665"/>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row>
    <row r="379" spans="2:105" x14ac:dyDescent="0.35">
      <c r="B379" s="1214"/>
      <c r="C379" s="1211"/>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64"/>
      <c r="AM379" s="664"/>
      <c r="AN379" s="636"/>
      <c r="AO379" s="664"/>
      <c r="AP379" s="664"/>
      <c r="AQ379" s="664"/>
      <c r="AR379" s="636"/>
      <c r="AS379" s="664"/>
      <c r="AT379" s="664"/>
      <c r="AU379" s="664"/>
      <c r="AV379" s="664"/>
      <c r="AW379" s="664"/>
      <c r="AX379" s="664"/>
      <c r="AY379" s="664"/>
      <c r="AZ379" s="664"/>
      <c r="BA379" s="665"/>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row>
    <row r="380" spans="2:105" x14ac:dyDescent="0.35">
      <c r="B380" s="1214"/>
      <c r="C380" s="1211"/>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64"/>
      <c r="AM380" s="664"/>
      <c r="AN380" s="636"/>
      <c r="AO380" s="664"/>
      <c r="AP380" s="664"/>
      <c r="AQ380" s="664"/>
      <c r="AR380" s="636"/>
      <c r="AS380" s="664"/>
      <c r="AT380" s="664"/>
      <c r="AU380" s="664"/>
      <c r="AV380" s="664"/>
      <c r="AW380" s="664"/>
      <c r="AX380" s="664"/>
      <c r="AY380" s="664"/>
      <c r="AZ380" s="664"/>
      <c r="BA380" s="665"/>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row>
    <row r="381" spans="2:105" x14ac:dyDescent="0.35">
      <c r="B381" s="1214"/>
      <c r="C381" s="1211"/>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64"/>
      <c r="AM381" s="664"/>
      <c r="AN381" s="636"/>
      <c r="AO381" s="664"/>
      <c r="AP381" s="664"/>
      <c r="AQ381" s="664"/>
      <c r="AR381" s="636"/>
      <c r="AS381" s="664"/>
      <c r="AT381" s="664"/>
      <c r="AU381" s="664"/>
      <c r="AV381" s="664"/>
      <c r="AW381" s="664"/>
      <c r="AX381" s="664"/>
      <c r="AY381" s="664"/>
      <c r="AZ381" s="664"/>
      <c r="BA381" s="665"/>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row>
    <row r="382" spans="2:105" ht="15" thickBot="1" x14ac:dyDescent="0.4">
      <c r="B382" s="1215"/>
      <c r="C382" s="1212"/>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66"/>
      <c r="AM382" s="666"/>
      <c r="AN382" s="641"/>
      <c r="AO382" s="666"/>
      <c r="AP382" s="666"/>
      <c r="AQ382" s="666"/>
      <c r="AR382" s="641"/>
      <c r="AS382" s="666"/>
      <c r="AT382" s="666"/>
      <c r="AU382" s="666"/>
      <c r="AV382" s="666"/>
      <c r="AW382" s="666"/>
      <c r="AX382" s="666"/>
      <c r="AY382" s="666"/>
      <c r="AZ382" s="666"/>
      <c r="BA382" s="667"/>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row>
    <row r="383" spans="2:105" ht="15" thickBot="1" x14ac:dyDescent="0.4">
      <c r="B383" s="577" t="s">
        <v>1166</v>
      </c>
      <c r="C383" s="1210"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68"/>
      <c r="AM383" s="668"/>
      <c r="AN383" s="646"/>
      <c r="AO383" s="668"/>
      <c r="AP383" s="668"/>
      <c r="AQ383" s="668"/>
      <c r="AR383" s="646"/>
      <c r="AS383" s="668"/>
      <c r="AT383" s="668"/>
      <c r="AU383" s="668"/>
      <c r="AV383" s="668"/>
      <c r="AW383" s="668"/>
      <c r="AX383" s="668"/>
      <c r="AY383" s="668"/>
      <c r="AZ383" s="668"/>
      <c r="BA383" s="669"/>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row>
    <row r="384" spans="2:105" x14ac:dyDescent="0.35">
      <c r="B384" s="1213" t="s">
        <v>1170</v>
      </c>
      <c r="C384" s="1211"/>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71"/>
      <c r="AM384" s="671"/>
      <c r="AN384" s="651"/>
      <c r="AO384" s="671"/>
      <c r="AP384" s="671"/>
      <c r="AQ384" s="671"/>
      <c r="AR384" s="651"/>
      <c r="AS384" s="671"/>
      <c r="AT384" s="671"/>
      <c r="AU384" s="671"/>
      <c r="AV384" s="671"/>
      <c r="AW384" s="671"/>
      <c r="AX384" s="671"/>
      <c r="AY384" s="671"/>
      <c r="AZ384" s="671"/>
      <c r="BA384" s="672"/>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row>
    <row r="385" spans="2:105" x14ac:dyDescent="0.35">
      <c r="B385" s="1214"/>
      <c r="C385" s="1211"/>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64"/>
      <c r="AM385" s="664"/>
      <c r="AN385" s="656"/>
      <c r="AO385" s="664"/>
      <c r="AP385" s="664"/>
      <c r="AQ385" s="664"/>
      <c r="AR385" s="656"/>
      <c r="AS385" s="664"/>
      <c r="AT385" s="664"/>
      <c r="AU385" s="664"/>
      <c r="AV385" s="664"/>
      <c r="AW385" s="664"/>
      <c r="AX385" s="664"/>
      <c r="AY385" s="664"/>
      <c r="AZ385" s="664"/>
      <c r="BA385" s="665"/>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row>
    <row r="386" spans="2:105" x14ac:dyDescent="0.35">
      <c r="B386" s="1214"/>
      <c r="C386" s="1211"/>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64"/>
      <c r="AM386" s="664"/>
      <c r="AN386" s="656"/>
      <c r="AO386" s="664"/>
      <c r="AP386" s="664"/>
      <c r="AQ386" s="664"/>
      <c r="AR386" s="656"/>
      <c r="AS386" s="664"/>
      <c r="AT386" s="664"/>
      <c r="AU386" s="664"/>
      <c r="AV386" s="664"/>
      <c r="AW386" s="664"/>
      <c r="AX386" s="664"/>
      <c r="AY386" s="664"/>
      <c r="AZ386" s="664"/>
      <c r="BA386" s="665"/>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row>
    <row r="387" spans="2:105" x14ac:dyDescent="0.35">
      <c r="B387" s="1214"/>
      <c r="C387" s="1211"/>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64"/>
      <c r="AM387" s="664"/>
      <c r="AN387" s="656"/>
      <c r="AO387" s="664"/>
      <c r="AP387" s="664"/>
      <c r="AQ387" s="664"/>
      <c r="AR387" s="656"/>
      <c r="AS387" s="664"/>
      <c r="AT387" s="664"/>
      <c r="AU387" s="664"/>
      <c r="AV387" s="664"/>
      <c r="AW387" s="664"/>
      <c r="AX387" s="664"/>
      <c r="AY387" s="664"/>
      <c r="AZ387" s="664"/>
      <c r="BA387" s="665"/>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row>
    <row r="388" spans="2:105" x14ac:dyDescent="0.35">
      <c r="B388" s="1214"/>
      <c r="C388" s="1211"/>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64"/>
      <c r="AM388" s="664"/>
      <c r="AN388" s="656"/>
      <c r="AO388" s="664"/>
      <c r="AP388" s="664"/>
      <c r="AQ388" s="664"/>
      <c r="AR388" s="656"/>
      <c r="AS388" s="664"/>
      <c r="AT388" s="664"/>
      <c r="AU388" s="664"/>
      <c r="AV388" s="664"/>
      <c r="AW388" s="664"/>
      <c r="AX388" s="664"/>
      <c r="AY388" s="664"/>
      <c r="AZ388" s="664"/>
      <c r="BA388" s="665"/>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row>
    <row r="389" spans="2:105" x14ac:dyDescent="0.35">
      <c r="B389" s="1214"/>
      <c r="C389" s="1211"/>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64"/>
      <c r="AM389" s="664"/>
      <c r="AN389" s="656"/>
      <c r="AO389" s="664"/>
      <c r="AP389" s="664"/>
      <c r="AQ389" s="664"/>
      <c r="AR389" s="656"/>
      <c r="AS389" s="664"/>
      <c r="AT389" s="664"/>
      <c r="AU389" s="664"/>
      <c r="AV389" s="664"/>
      <c r="AW389" s="664"/>
      <c r="AX389" s="664"/>
      <c r="AY389" s="664"/>
      <c r="AZ389" s="664"/>
      <c r="BA389" s="665"/>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row>
    <row r="390" spans="2:105" x14ac:dyDescent="0.35">
      <c r="B390" s="1214"/>
      <c r="C390" s="1211"/>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64"/>
      <c r="AM390" s="664"/>
      <c r="AN390" s="657"/>
      <c r="AO390" s="664"/>
      <c r="AP390" s="664"/>
      <c r="AQ390" s="664"/>
      <c r="AR390" s="657"/>
      <c r="AS390" s="664"/>
      <c r="AT390" s="664"/>
      <c r="AU390" s="664"/>
      <c r="AV390" s="664"/>
      <c r="AW390" s="664"/>
      <c r="AX390" s="664"/>
      <c r="AY390" s="664"/>
      <c r="AZ390" s="664"/>
      <c r="BA390" s="665"/>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row>
    <row r="391" spans="2:105" x14ac:dyDescent="0.35">
      <c r="B391" s="1214"/>
      <c r="C391" s="1211"/>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64"/>
      <c r="AM391" s="664"/>
      <c r="AN391" s="656"/>
      <c r="AO391" s="664"/>
      <c r="AP391" s="664"/>
      <c r="AQ391" s="664"/>
      <c r="AR391" s="656"/>
      <c r="AS391" s="664"/>
      <c r="AT391" s="664"/>
      <c r="AU391" s="664"/>
      <c r="AV391" s="664"/>
      <c r="AW391" s="664"/>
      <c r="AX391" s="664"/>
      <c r="AY391" s="664"/>
      <c r="AZ391" s="664"/>
      <c r="BA391" s="665"/>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row>
    <row r="392" spans="2:105" x14ac:dyDescent="0.35">
      <c r="B392" s="1214"/>
      <c r="C392" s="1211"/>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64"/>
      <c r="AM392" s="664"/>
      <c r="AN392" s="656"/>
      <c r="AO392" s="664"/>
      <c r="AP392" s="664"/>
      <c r="AQ392" s="664"/>
      <c r="AR392" s="656"/>
      <c r="AS392" s="664"/>
      <c r="AT392" s="664"/>
      <c r="AU392" s="664"/>
      <c r="AV392" s="664"/>
      <c r="AW392" s="664"/>
      <c r="AX392" s="664"/>
      <c r="AY392" s="664"/>
      <c r="AZ392" s="664"/>
      <c r="BA392" s="665"/>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row>
    <row r="393" spans="2:105" x14ac:dyDescent="0.35">
      <c r="B393" s="1214"/>
      <c r="C393" s="1211"/>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64"/>
      <c r="AM393" s="664"/>
      <c r="AN393" s="658"/>
      <c r="AO393" s="664"/>
      <c r="AP393" s="664"/>
      <c r="AQ393" s="664"/>
      <c r="AR393" s="658"/>
      <c r="AS393" s="664"/>
      <c r="AT393" s="664"/>
      <c r="AU393" s="664"/>
      <c r="AV393" s="664"/>
      <c r="AW393" s="664"/>
      <c r="AX393" s="664"/>
      <c r="AY393" s="664"/>
      <c r="AZ393" s="664"/>
      <c r="BA393" s="665"/>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row>
    <row r="394" spans="2:105" x14ac:dyDescent="0.35">
      <c r="B394" s="1214"/>
      <c r="C394" s="1211"/>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64"/>
      <c r="AM394" s="664"/>
      <c r="AN394" s="656"/>
      <c r="AO394" s="664"/>
      <c r="AP394" s="664"/>
      <c r="AQ394" s="664"/>
      <c r="AR394" s="656"/>
      <c r="AS394" s="664"/>
      <c r="AT394" s="664"/>
      <c r="AU394" s="664"/>
      <c r="AV394" s="664"/>
      <c r="AW394" s="664"/>
      <c r="AX394" s="664"/>
      <c r="AY394" s="664"/>
      <c r="AZ394" s="664"/>
      <c r="BA394" s="665"/>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row>
    <row r="395" spans="2:105" x14ac:dyDescent="0.35">
      <c r="B395" s="1214"/>
      <c r="C395" s="1211"/>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64"/>
      <c r="AM395" s="664"/>
      <c r="AN395" s="656"/>
      <c r="AO395" s="664"/>
      <c r="AP395" s="664"/>
      <c r="AQ395" s="664"/>
      <c r="AR395" s="656"/>
      <c r="AS395" s="664"/>
      <c r="AT395" s="664"/>
      <c r="AU395" s="664"/>
      <c r="AV395" s="664"/>
      <c r="AW395" s="664"/>
      <c r="AX395" s="664"/>
      <c r="AY395" s="664"/>
      <c r="AZ395" s="664"/>
      <c r="BA395" s="665"/>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row>
    <row r="396" spans="2:105" x14ac:dyDescent="0.35">
      <c r="B396" s="1214"/>
      <c r="C396" s="1211"/>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64"/>
      <c r="AM396" s="664"/>
      <c r="AN396" s="656"/>
      <c r="AO396" s="664"/>
      <c r="AP396" s="664"/>
      <c r="AQ396" s="664"/>
      <c r="AR396" s="656"/>
      <c r="AS396" s="664"/>
      <c r="AT396" s="664"/>
      <c r="AU396" s="664"/>
      <c r="AV396" s="664"/>
      <c r="AW396" s="664"/>
      <c r="AX396" s="664"/>
      <c r="AY396" s="664"/>
      <c r="AZ396" s="664"/>
      <c r="BA396" s="665"/>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row>
    <row r="397" spans="2:105" x14ac:dyDescent="0.35">
      <c r="B397" s="1214"/>
      <c r="C397" s="1211"/>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64"/>
      <c r="AM397" s="664"/>
      <c r="AN397" s="656"/>
      <c r="AO397" s="664"/>
      <c r="AP397" s="664"/>
      <c r="AQ397" s="664"/>
      <c r="AR397" s="656"/>
      <c r="AS397" s="664"/>
      <c r="AT397" s="664"/>
      <c r="AU397" s="664"/>
      <c r="AV397" s="664"/>
      <c r="AW397" s="664"/>
      <c r="AX397" s="664"/>
      <c r="AY397" s="664"/>
      <c r="AZ397" s="664"/>
      <c r="BA397" s="665"/>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row>
    <row r="398" spans="2:105" x14ac:dyDescent="0.35">
      <c r="B398" s="1214"/>
      <c r="C398" s="1211"/>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64"/>
      <c r="AM398" s="664"/>
      <c r="AN398" s="656"/>
      <c r="AO398" s="664"/>
      <c r="AP398" s="664"/>
      <c r="AQ398" s="664"/>
      <c r="AR398" s="656"/>
      <c r="AS398" s="664"/>
      <c r="AT398" s="664"/>
      <c r="AU398" s="664"/>
      <c r="AV398" s="664"/>
      <c r="AW398" s="664"/>
      <c r="AX398" s="664"/>
      <c r="AY398" s="664"/>
      <c r="AZ398" s="664"/>
      <c r="BA398" s="665"/>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row>
    <row r="399" spans="2:105" ht="15" thickBot="1" x14ac:dyDescent="0.4">
      <c r="B399" s="1215"/>
      <c r="C399" s="1212"/>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6"/>
      <c r="AM399" s="666"/>
      <c r="AN399" s="660"/>
      <c r="AO399" s="666"/>
      <c r="AP399" s="666"/>
      <c r="AQ399" s="666"/>
      <c r="AR399" s="660"/>
      <c r="AS399" s="666"/>
      <c r="AT399" s="666"/>
      <c r="AU399" s="666"/>
      <c r="AV399" s="666"/>
      <c r="AW399" s="666"/>
      <c r="AX399" s="666"/>
      <c r="AY399" s="666"/>
      <c r="AZ399" s="666"/>
      <c r="BA399" s="667"/>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row>
    <row r="400" spans="2:105" ht="15" thickBot="1" x14ac:dyDescent="0.4">
      <c r="B400" s="577" t="s">
        <v>1171</v>
      </c>
      <c r="C400" s="1210"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68"/>
      <c r="AM400" s="668"/>
      <c r="AN400" s="650"/>
      <c r="AO400" s="668"/>
      <c r="AP400" s="668"/>
      <c r="AQ400" s="668"/>
      <c r="AR400" s="650"/>
      <c r="AS400" s="668"/>
      <c r="AT400" s="668"/>
      <c r="AU400" s="668"/>
      <c r="AV400" s="668"/>
      <c r="AW400" s="668"/>
      <c r="AX400" s="668"/>
      <c r="AY400" s="668"/>
      <c r="AZ400" s="668"/>
      <c r="BA400" s="669"/>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row>
    <row r="401" spans="2:105" x14ac:dyDescent="0.35">
      <c r="B401" s="1213" t="s">
        <v>1172</v>
      </c>
      <c r="C401" s="1211"/>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71"/>
      <c r="AM401" s="671"/>
      <c r="AN401" s="651"/>
      <c r="AO401" s="671"/>
      <c r="AP401" s="671"/>
      <c r="AQ401" s="671"/>
      <c r="AR401" s="651"/>
      <c r="AS401" s="671"/>
      <c r="AT401" s="671"/>
      <c r="AU401" s="671"/>
      <c r="AV401" s="671"/>
      <c r="AW401" s="671"/>
      <c r="AX401" s="671"/>
      <c r="AY401" s="671"/>
      <c r="AZ401" s="671"/>
      <c r="BA401" s="672"/>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row>
    <row r="402" spans="2:105" x14ac:dyDescent="0.35">
      <c r="B402" s="1214"/>
      <c r="C402" s="1211"/>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64"/>
      <c r="AM402" s="664"/>
      <c r="AN402" s="656"/>
      <c r="AO402" s="664"/>
      <c r="AP402" s="664"/>
      <c r="AQ402" s="664"/>
      <c r="AR402" s="656"/>
      <c r="AS402" s="664"/>
      <c r="AT402" s="664"/>
      <c r="AU402" s="664"/>
      <c r="AV402" s="664"/>
      <c r="AW402" s="664"/>
      <c r="AX402" s="664"/>
      <c r="AY402" s="664"/>
      <c r="AZ402" s="664"/>
      <c r="BA402" s="665"/>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row>
    <row r="403" spans="2:105" x14ac:dyDescent="0.35">
      <c r="B403" s="1214"/>
      <c r="C403" s="1211"/>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64"/>
      <c r="AM403" s="664"/>
      <c r="AN403" s="656"/>
      <c r="AO403" s="664"/>
      <c r="AP403" s="664"/>
      <c r="AQ403" s="664"/>
      <c r="AR403" s="656"/>
      <c r="AS403" s="664"/>
      <c r="AT403" s="664"/>
      <c r="AU403" s="664"/>
      <c r="AV403" s="664"/>
      <c r="AW403" s="664"/>
      <c r="AX403" s="664"/>
      <c r="AY403" s="664"/>
      <c r="AZ403" s="664"/>
      <c r="BA403" s="665"/>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row>
    <row r="404" spans="2:105" x14ac:dyDescent="0.35">
      <c r="B404" s="1214"/>
      <c r="C404" s="1211"/>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64"/>
      <c r="AM404" s="664"/>
      <c r="AN404" s="656"/>
      <c r="AO404" s="664"/>
      <c r="AP404" s="664"/>
      <c r="AQ404" s="664"/>
      <c r="AR404" s="656"/>
      <c r="AS404" s="664"/>
      <c r="AT404" s="664"/>
      <c r="AU404" s="664"/>
      <c r="AV404" s="664"/>
      <c r="AW404" s="664"/>
      <c r="AX404" s="664"/>
      <c r="AY404" s="664"/>
      <c r="AZ404" s="664"/>
      <c r="BA404" s="665"/>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row>
    <row r="405" spans="2:105" x14ac:dyDescent="0.35">
      <c r="B405" s="1214"/>
      <c r="C405" s="1211"/>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64"/>
      <c r="AM405" s="664"/>
      <c r="AN405" s="656"/>
      <c r="AO405" s="664"/>
      <c r="AP405" s="664"/>
      <c r="AQ405" s="664"/>
      <c r="AR405" s="656"/>
      <c r="AS405" s="664"/>
      <c r="AT405" s="664"/>
      <c r="AU405" s="664"/>
      <c r="AV405" s="664"/>
      <c r="AW405" s="664"/>
      <c r="AX405" s="664"/>
      <c r="AY405" s="664"/>
      <c r="AZ405" s="664"/>
      <c r="BA405" s="665"/>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row>
    <row r="406" spans="2:105" x14ac:dyDescent="0.35">
      <c r="B406" s="1214"/>
      <c r="C406" s="1211"/>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64"/>
      <c r="AM406" s="664"/>
      <c r="AN406" s="656"/>
      <c r="AO406" s="664"/>
      <c r="AP406" s="664"/>
      <c r="AQ406" s="664"/>
      <c r="AR406" s="656"/>
      <c r="AS406" s="664"/>
      <c r="AT406" s="664"/>
      <c r="AU406" s="664"/>
      <c r="AV406" s="664"/>
      <c r="AW406" s="664"/>
      <c r="AX406" s="664"/>
      <c r="AY406" s="664"/>
      <c r="AZ406" s="664"/>
      <c r="BA406" s="665"/>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row>
    <row r="407" spans="2:105" x14ac:dyDescent="0.35">
      <c r="B407" s="1214"/>
      <c r="C407" s="1211"/>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64"/>
      <c r="AM407" s="664"/>
      <c r="AN407" s="656"/>
      <c r="AO407" s="664"/>
      <c r="AP407" s="664"/>
      <c r="AQ407" s="664"/>
      <c r="AR407" s="656"/>
      <c r="AS407" s="664"/>
      <c r="AT407" s="664"/>
      <c r="AU407" s="664"/>
      <c r="AV407" s="664"/>
      <c r="AW407" s="664"/>
      <c r="AX407" s="664"/>
      <c r="AY407" s="664"/>
      <c r="AZ407" s="664"/>
      <c r="BA407" s="665"/>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row>
    <row r="408" spans="2:105" x14ac:dyDescent="0.35">
      <c r="B408" s="1214"/>
      <c r="C408" s="1211"/>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64"/>
      <c r="AM408" s="664"/>
      <c r="AN408" s="656"/>
      <c r="AO408" s="664"/>
      <c r="AP408" s="664"/>
      <c r="AQ408" s="664"/>
      <c r="AR408" s="656"/>
      <c r="AS408" s="664"/>
      <c r="AT408" s="664"/>
      <c r="AU408" s="664"/>
      <c r="AV408" s="664"/>
      <c r="AW408" s="664"/>
      <c r="AX408" s="664"/>
      <c r="AY408" s="664"/>
      <c r="AZ408" s="664"/>
      <c r="BA408" s="665"/>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row>
    <row r="409" spans="2:105" x14ac:dyDescent="0.35">
      <c r="B409" s="1214"/>
      <c r="C409" s="1211"/>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64"/>
      <c r="AM409" s="664"/>
      <c r="AN409" s="656"/>
      <c r="AO409" s="664"/>
      <c r="AP409" s="664"/>
      <c r="AQ409" s="664"/>
      <c r="AR409" s="656"/>
      <c r="AS409" s="664"/>
      <c r="AT409" s="664"/>
      <c r="AU409" s="664"/>
      <c r="AV409" s="664"/>
      <c r="AW409" s="664"/>
      <c r="AX409" s="664"/>
      <c r="AY409" s="664"/>
      <c r="AZ409" s="664"/>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row>
    <row r="410" spans="2:105" x14ac:dyDescent="0.35">
      <c r="B410" s="1214"/>
      <c r="C410" s="1211"/>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64"/>
      <c r="AM410" s="664"/>
      <c r="AN410" s="656"/>
      <c r="AO410" s="664"/>
      <c r="AP410" s="664"/>
      <c r="AQ410" s="664"/>
      <c r="AR410" s="656"/>
      <c r="AS410" s="664"/>
      <c r="AT410" s="664"/>
      <c r="AU410" s="664"/>
      <c r="AV410" s="664"/>
      <c r="AW410" s="664"/>
      <c r="AX410" s="664"/>
      <c r="AY410" s="664"/>
      <c r="AZ410" s="664"/>
      <c r="BA410" s="665"/>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row>
    <row r="411" spans="2:105" x14ac:dyDescent="0.35">
      <c r="B411" s="1214"/>
      <c r="C411" s="1211"/>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64"/>
      <c r="AM411" s="664"/>
      <c r="AN411" s="656"/>
      <c r="AO411" s="664"/>
      <c r="AP411" s="664"/>
      <c r="AQ411" s="664"/>
      <c r="AR411" s="656"/>
      <c r="AS411" s="664"/>
      <c r="AT411" s="664"/>
      <c r="AU411" s="664"/>
      <c r="AV411" s="664"/>
      <c r="AW411" s="664"/>
      <c r="AX411" s="664"/>
      <c r="AY411" s="664"/>
      <c r="AZ411" s="664"/>
      <c r="BA411" s="665"/>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row>
    <row r="412" spans="2:105" x14ac:dyDescent="0.35">
      <c r="B412" s="1214"/>
      <c r="C412" s="1211"/>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64"/>
      <c r="AM412" s="664"/>
      <c r="AN412" s="656"/>
      <c r="AO412" s="664"/>
      <c r="AP412" s="664"/>
      <c r="AQ412" s="664"/>
      <c r="AR412" s="656"/>
      <c r="AS412" s="664"/>
      <c r="AT412" s="664"/>
      <c r="AU412" s="664"/>
      <c r="AV412" s="664"/>
      <c r="AW412" s="664"/>
      <c r="AX412" s="664"/>
      <c r="AY412" s="664"/>
      <c r="AZ412" s="664"/>
      <c r="BA412" s="665"/>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row>
    <row r="413" spans="2:105" x14ac:dyDescent="0.35">
      <c r="B413" s="1214"/>
      <c r="C413" s="1211"/>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64"/>
      <c r="AM413" s="664"/>
      <c r="AN413" s="656"/>
      <c r="AO413" s="664"/>
      <c r="AP413" s="664"/>
      <c r="AQ413" s="664"/>
      <c r="AR413" s="656"/>
      <c r="AS413" s="664"/>
      <c r="AT413" s="664"/>
      <c r="AU413" s="664"/>
      <c r="AV413" s="664"/>
      <c r="AW413" s="664"/>
      <c r="AX413" s="664"/>
      <c r="AY413" s="664"/>
      <c r="AZ413" s="664"/>
      <c r="BA413" s="665"/>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row>
    <row r="414" spans="2:105" x14ac:dyDescent="0.35">
      <c r="B414" s="1214"/>
      <c r="C414" s="1211"/>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64"/>
      <c r="AM414" s="664"/>
      <c r="AN414" s="656"/>
      <c r="AO414" s="664"/>
      <c r="AP414" s="664"/>
      <c r="AQ414" s="664"/>
      <c r="AR414" s="656"/>
      <c r="AS414" s="664"/>
      <c r="AT414" s="664"/>
      <c r="AU414" s="664"/>
      <c r="AV414" s="664"/>
      <c r="AW414" s="664"/>
      <c r="AX414" s="664"/>
      <c r="AY414" s="664"/>
      <c r="AZ414" s="664"/>
      <c r="BA414" s="665"/>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row>
    <row r="415" spans="2:105" x14ac:dyDescent="0.35">
      <c r="B415" s="1214"/>
      <c r="C415" s="1211"/>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64"/>
      <c r="AM415" s="664"/>
      <c r="AN415" s="656"/>
      <c r="AO415" s="664"/>
      <c r="AP415" s="664"/>
      <c r="AQ415" s="664"/>
      <c r="AR415" s="656"/>
      <c r="AS415" s="664"/>
      <c r="AT415" s="664"/>
      <c r="AU415" s="664"/>
      <c r="AV415" s="664"/>
      <c r="AW415" s="664"/>
      <c r="AX415" s="664"/>
      <c r="AY415" s="664"/>
      <c r="AZ415" s="664"/>
      <c r="BA415" s="665"/>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row>
    <row r="416" spans="2:105" ht="15" thickBot="1" x14ac:dyDescent="0.4">
      <c r="B416" s="1214"/>
      <c r="C416" s="1212"/>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6"/>
      <c r="AM416" s="666"/>
      <c r="AN416" s="660"/>
      <c r="AO416" s="666"/>
      <c r="AP416" s="666"/>
      <c r="AQ416" s="666"/>
      <c r="AR416" s="660"/>
      <c r="AS416" s="666"/>
      <c r="AT416" s="666"/>
      <c r="AU416" s="666"/>
      <c r="AV416" s="666"/>
      <c r="AW416" s="666"/>
      <c r="AX416" s="666"/>
      <c r="AY416" s="666"/>
      <c r="AZ416" s="666"/>
      <c r="BA416" s="667"/>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row>
    <row r="417" spans="2:105" ht="15" thickBot="1" x14ac:dyDescent="0.4">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5"/>
      <c r="AM417" s="675"/>
      <c r="AN417" s="674"/>
      <c r="AO417" s="675"/>
      <c r="AP417" s="675"/>
      <c r="AQ417" s="675"/>
      <c r="AR417" s="674"/>
      <c r="AS417" s="675"/>
      <c r="AT417" s="675"/>
      <c r="AU417" s="675"/>
      <c r="AV417" s="675"/>
      <c r="AW417" s="675"/>
      <c r="AX417" s="675"/>
      <c r="AY417" s="675"/>
      <c r="AZ417" s="675"/>
      <c r="BA417" s="676"/>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row>
    <row r="418" spans="2:105" ht="15" thickBot="1" x14ac:dyDescent="0.4">
      <c r="B418" s="577" t="s">
        <v>1176</v>
      </c>
      <c r="C418" s="1211"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8"/>
      <c r="AM418" s="628"/>
      <c r="AN418" s="626"/>
      <c r="AO418" s="628"/>
      <c r="AP418" s="628"/>
      <c r="AQ418" s="628"/>
      <c r="AR418" s="626"/>
      <c r="AS418" s="628"/>
      <c r="AT418" s="628"/>
      <c r="AU418" s="628"/>
      <c r="AV418" s="628"/>
      <c r="AW418" s="628"/>
      <c r="AX418" s="628"/>
      <c r="AY418" s="628"/>
      <c r="AZ418" s="628"/>
      <c r="BA418" s="629"/>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row>
    <row r="419" spans="2:105" x14ac:dyDescent="0.35">
      <c r="B419" s="1213" t="s">
        <v>1177</v>
      </c>
      <c r="C419" s="1211"/>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62"/>
      <c r="AM419" s="662"/>
      <c r="AN419" s="631"/>
      <c r="AO419" s="662"/>
      <c r="AP419" s="662"/>
      <c r="AQ419" s="662"/>
      <c r="AR419" s="631"/>
      <c r="AS419" s="662"/>
      <c r="AT419" s="662"/>
      <c r="AU419" s="662"/>
      <c r="AV419" s="662"/>
      <c r="AW419" s="662"/>
      <c r="AX419" s="662"/>
      <c r="AY419" s="662"/>
      <c r="AZ419" s="662"/>
      <c r="BA419" s="663"/>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row>
    <row r="420" spans="2:105" x14ac:dyDescent="0.35">
      <c r="B420" s="1214"/>
      <c r="C420" s="1211"/>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64"/>
      <c r="AM420" s="664"/>
      <c r="AN420" s="636"/>
      <c r="AO420" s="664"/>
      <c r="AP420" s="664"/>
      <c r="AQ420" s="664"/>
      <c r="AR420" s="636"/>
      <c r="AS420" s="664"/>
      <c r="AT420" s="664"/>
      <c r="AU420" s="664"/>
      <c r="AV420" s="664"/>
      <c r="AW420" s="664"/>
      <c r="AX420" s="664"/>
      <c r="AY420" s="664"/>
      <c r="AZ420" s="664"/>
      <c r="BA420" s="665"/>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row>
    <row r="421" spans="2:105" x14ac:dyDescent="0.35">
      <c r="B421" s="1214"/>
      <c r="C421" s="1211"/>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64"/>
      <c r="AM421" s="664"/>
      <c r="AN421" s="636"/>
      <c r="AO421" s="664"/>
      <c r="AP421" s="664"/>
      <c r="AQ421" s="664"/>
      <c r="AR421" s="636"/>
      <c r="AS421" s="664"/>
      <c r="AT421" s="664"/>
      <c r="AU421" s="664"/>
      <c r="AV421" s="664"/>
      <c r="AW421" s="664"/>
      <c r="AX421" s="664"/>
      <c r="AY421" s="664"/>
      <c r="AZ421" s="664"/>
      <c r="BA421" s="665"/>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row>
    <row r="422" spans="2:105" x14ac:dyDescent="0.35">
      <c r="B422" s="1214"/>
      <c r="C422" s="1211"/>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64"/>
      <c r="AM422" s="664"/>
      <c r="AN422" s="636"/>
      <c r="AO422" s="664"/>
      <c r="AP422" s="664"/>
      <c r="AQ422" s="664"/>
      <c r="AR422" s="636"/>
      <c r="AS422" s="664"/>
      <c r="AT422" s="664"/>
      <c r="AU422" s="664"/>
      <c r="AV422" s="664"/>
      <c r="AW422" s="664"/>
      <c r="AX422" s="664"/>
      <c r="AY422" s="664"/>
      <c r="AZ422" s="664"/>
      <c r="BA422" s="665"/>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row>
    <row r="423" spans="2:105" x14ac:dyDescent="0.35">
      <c r="B423" s="1214"/>
      <c r="C423" s="1211"/>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64"/>
      <c r="AM423" s="664"/>
      <c r="AN423" s="636"/>
      <c r="AO423" s="664"/>
      <c r="AP423" s="664"/>
      <c r="AQ423" s="664"/>
      <c r="AR423" s="636"/>
      <c r="AS423" s="664"/>
      <c r="AT423" s="664"/>
      <c r="AU423" s="664"/>
      <c r="AV423" s="664"/>
      <c r="AW423" s="664"/>
      <c r="AX423" s="664"/>
      <c r="AY423" s="664"/>
      <c r="AZ423" s="664"/>
      <c r="BA423" s="665"/>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row>
    <row r="424" spans="2:105" x14ac:dyDescent="0.35">
      <c r="B424" s="1214"/>
      <c r="C424" s="1211"/>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64"/>
      <c r="AM424" s="664"/>
      <c r="AN424" s="636"/>
      <c r="AO424" s="664"/>
      <c r="AP424" s="664"/>
      <c r="AQ424" s="664"/>
      <c r="AR424" s="636"/>
      <c r="AS424" s="664"/>
      <c r="AT424" s="664"/>
      <c r="AU424" s="664"/>
      <c r="AV424" s="664"/>
      <c r="AW424" s="664"/>
      <c r="AX424" s="664"/>
      <c r="AY424" s="664"/>
      <c r="AZ424" s="664"/>
      <c r="BA424" s="665"/>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row>
    <row r="425" spans="2:105" x14ac:dyDescent="0.35">
      <c r="B425" s="1214"/>
      <c r="C425" s="1211"/>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64"/>
      <c r="AM425" s="664"/>
      <c r="AN425" s="636"/>
      <c r="AO425" s="664"/>
      <c r="AP425" s="664"/>
      <c r="AQ425" s="664"/>
      <c r="AR425" s="636"/>
      <c r="AS425" s="664"/>
      <c r="AT425" s="664"/>
      <c r="AU425" s="664"/>
      <c r="AV425" s="664"/>
      <c r="AW425" s="664"/>
      <c r="AX425" s="664"/>
      <c r="AY425" s="664"/>
      <c r="AZ425" s="664"/>
      <c r="BA425" s="665"/>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row>
    <row r="426" spans="2:105" x14ac:dyDescent="0.35">
      <c r="B426" s="1214"/>
      <c r="C426" s="1211"/>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64"/>
      <c r="AM426" s="664"/>
      <c r="AN426" s="636"/>
      <c r="AO426" s="664"/>
      <c r="AP426" s="664"/>
      <c r="AQ426" s="664"/>
      <c r="AR426" s="636"/>
      <c r="AS426" s="664"/>
      <c r="AT426" s="664"/>
      <c r="AU426" s="664"/>
      <c r="AV426" s="664"/>
      <c r="AW426" s="664"/>
      <c r="AX426" s="664"/>
      <c r="AY426" s="664"/>
      <c r="AZ426" s="664"/>
      <c r="BA426" s="665"/>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row>
    <row r="427" spans="2:105" x14ac:dyDescent="0.35">
      <c r="B427" s="1214"/>
      <c r="C427" s="1211"/>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64"/>
      <c r="AM427" s="664"/>
      <c r="AN427" s="636"/>
      <c r="AO427" s="664"/>
      <c r="AP427" s="664"/>
      <c r="AQ427" s="664"/>
      <c r="AR427" s="636"/>
      <c r="AS427" s="664"/>
      <c r="AT427" s="664"/>
      <c r="AU427" s="664"/>
      <c r="AV427" s="664"/>
      <c r="AW427" s="664"/>
      <c r="AX427" s="664"/>
      <c r="AY427" s="664"/>
      <c r="AZ427" s="664"/>
      <c r="BA427" s="665"/>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row>
    <row r="428" spans="2:105" x14ac:dyDescent="0.35">
      <c r="B428" s="1214"/>
      <c r="C428" s="1211"/>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64"/>
      <c r="AM428" s="664"/>
      <c r="AN428" s="636"/>
      <c r="AO428" s="664"/>
      <c r="AP428" s="664"/>
      <c r="AQ428" s="664"/>
      <c r="AR428" s="636"/>
      <c r="AS428" s="664"/>
      <c r="AT428" s="664"/>
      <c r="AU428" s="664"/>
      <c r="AV428" s="664"/>
      <c r="AW428" s="664"/>
      <c r="AX428" s="664"/>
      <c r="AY428" s="664"/>
      <c r="AZ428" s="664"/>
      <c r="BA428" s="665"/>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row>
    <row r="429" spans="2:105" x14ac:dyDescent="0.35">
      <c r="B429" s="1214"/>
      <c r="C429" s="1211"/>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64"/>
      <c r="AM429" s="664"/>
      <c r="AN429" s="636"/>
      <c r="AO429" s="664"/>
      <c r="AP429" s="664"/>
      <c r="AQ429" s="664"/>
      <c r="AR429" s="636"/>
      <c r="AS429" s="664"/>
      <c r="AT429" s="664"/>
      <c r="AU429" s="664"/>
      <c r="AV429" s="664"/>
      <c r="AW429" s="664"/>
      <c r="AX429" s="664"/>
      <c r="AY429" s="664"/>
      <c r="AZ429" s="664"/>
      <c r="BA429" s="665"/>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row>
    <row r="430" spans="2:105" x14ac:dyDescent="0.35">
      <c r="B430" s="1214"/>
      <c r="C430" s="1211"/>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64"/>
      <c r="AM430" s="664"/>
      <c r="AN430" s="636"/>
      <c r="AO430" s="664"/>
      <c r="AP430" s="664"/>
      <c r="AQ430" s="664"/>
      <c r="AR430" s="636"/>
      <c r="AS430" s="664"/>
      <c r="AT430" s="664"/>
      <c r="AU430" s="664"/>
      <c r="AV430" s="664"/>
      <c r="AW430" s="664"/>
      <c r="AX430" s="664"/>
      <c r="AY430" s="664"/>
      <c r="AZ430" s="664"/>
      <c r="BA430" s="665"/>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row>
    <row r="431" spans="2:105" x14ac:dyDescent="0.35">
      <c r="B431" s="1214"/>
      <c r="C431" s="1211"/>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64"/>
      <c r="AM431" s="664"/>
      <c r="AN431" s="636"/>
      <c r="AO431" s="664"/>
      <c r="AP431" s="664"/>
      <c r="AQ431" s="664"/>
      <c r="AR431" s="636"/>
      <c r="AS431" s="664"/>
      <c r="AT431" s="664"/>
      <c r="AU431" s="664"/>
      <c r="AV431" s="664"/>
      <c r="AW431" s="664"/>
      <c r="AX431" s="664"/>
      <c r="AY431" s="664"/>
      <c r="AZ431" s="664"/>
      <c r="BA431" s="665"/>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row>
    <row r="432" spans="2:105" x14ac:dyDescent="0.35">
      <c r="B432" s="1214"/>
      <c r="C432" s="1211"/>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64"/>
      <c r="AM432" s="664"/>
      <c r="AN432" s="636"/>
      <c r="AO432" s="664"/>
      <c r="AP432" s="664"/>
      <c r="AQ432" s="664"/>
      <c r="AR432" s="636"/>
      <c r="AS432" s="664"/>
      <c r="AT432" s="664"/>
      <c r="AU432" s="664"/>
      <c r="AV432" s="664"/>
      <c r="AW432" s="664"/>
      <c r="AX432" s="664"/>
      <c r="AY432" s="664"/>
      <c r="AZ432" s="664"/>
      <c r="BA432" s="665"/>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row>
    <row r="433" spans="2:105" x14ac:dyDescent="0.35">
      <c r="B433" s="1214"/>
      <c r="C433" s="1211"/>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64"/>
      <c r="AM433" s="664"/>
      <c r="AN433" s="636"/>
      <c r="AO433" s="664"/>
      <c r="AP433" s="664"/>
      <c r="AQ433" s="664"/>
      <c r="AR433" s="636"/>
      <c r="AS433" s="664"/>
      <c r="AT433" s="664"/>
      <c r="AU433" s="664"/>
      <c r="AV433" s="664"/>
      <c r="AW433" s="664"/>
      <c r="AX433" s="664"/>
      <c r="AY433" s="664"/>
      <c r="AZ433" s="664"/>
      <c r="BA433" s="665"/>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row>
    <row r="434" spans="2:105" ht="15" thickBot="1" x14ac:dyDescent="0.4">
      <c r="B434" s="1215"/>
      <c r="C434" s="1212"/>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66"/>
      <c r="AM434" s="666"/>
      <c r="AN434" s="641"/>
      <c r="AO434" s="666"/>
      <c r="AP434" s="666"/>
      <c r="AQ434" s="666"/>
      <c r="AR434" s="641"/>
      <c r="AS434" s="666"/>
      <c r="AT434" s="666"/>
      <c r="AU434" s="666"/>
      <c r="AV434" s="666"/>
      <c r="AW434" s="666"/>
      <c r="AX434" s="666"/>
      <c r="AY434" s="666"/>
      <c r="AZ434" s="666"/>
      <c r="BA434" s="667"/>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row>
    <row r="435" spans="2:105" ht="15" thickBot="1" x14ac:dyDescent="0.4">
      <c r="B435" s="577" t="s">
        <v>1178</v>
      </c>
      <c r="C435" s="1210"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68"/>
      <c r="AM435" s="668"/>
      <c r="AN435" s="646"/>
      <c r="AO435" s="668"/>
      <c r="AP435" s="668"/>
      <c r="AQ435" s="668"/>
      <c r="AR435" s="646"/>
      <c r="AS435" s="668"/>
      <c r="AT435" s="668"/>
      <c r="AU435" s="668"/>
      <c r="AV435" s="668"/>
      <c r="AW435" s="668"/>
      <c r="AX435" s="668"/>
      <c r="AY435" s="668"/>
      <c r="AZ435" s="668"/>
      <c r="BA435" s="669"/>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row>
    <row r="436" spans="2:105" x14ac:dyDescent="0.35">
      <c r="B436" s="1213" t="s">
        <v>1179</v>
      </c>
      <c r="C436" s="1211"/>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71"/>
      <c r="AM436" s="671"/>
      <c r="AN436" s="651"/>
      <c r="AO436" s="671"/>
      <c r="AP436" s="671"/>
      <c r="AQ436" s="671"/>
      <c r="AR436" s="651"/>
      <c r="AS436" s="671"/>
      <c r="AT436" s="671"/>
      <c r="AU436" s="671"/>
      <c r="AV436" s="671"/>
      <c r="AW436" s="671"/>
      <c r="AX436" s="671"/>
      <c r="AY436" s="671"/>
      <c r="AZ436" s="671"/>
      <c r="BA436" s="672"/>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row>
    <row r="437" spans="2:105" x14ac:dyDescent="0.35">
      <c r="B437" s="1214"/>
      <c r="C437" s="1211"/>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64"/>
      <c r="AM437" s="664"/>
      <c r="AN437" s="656"/>
      <c r="AO437" s="664"/>
      <c r="AP437" s="664"/>
      <c r="AQ437" s="664"/>
      <c r="AR437" s="656"/>
      <c r="AS437" s="664"/>
      <c r="AT437" s="664"/>
      <c r="AU437" s="664"/>
      <c r="AV437" s="664"/>
      <c r="AW437" s="664"/>
      <c r="AX437" s="664"/>
      <c r="AY437" s="664"/>
      <c r="AZ437" s="664"/>
      <c r="BA437" s="665"/>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row>
    <row r="438" spans="2:105" x14ac:dyDescent="0.35">
      <c r="B438" s="1214"/>
      <c r="C438" s="1211"/>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64"/>
      <c r="AM438" s="664"/>
      <c r="AN438" s="656"/>
      <c r="AO438" s="664"/>
      <c r="AP438" s="664"/>
      <c r="AQ438" s="664"/>
      <c r="AR438" s="656"/>
      <c r="AS438" s="664"/>
      <c r="AT438" s="664"/>
      <c r="AU438" s="664"/>
      <c r="AV438" s="664"/>
      <c r="AW438" s="664"/>
      <c r="AX438" s="664"/>
      <c r="AY438" s="664"/>
      <c r="AZ438" s="664"/>
      <c r="BA438" s="665"/>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row>
    <row r="439" spans="2:105" x14ac:dyDescent="0.35">
      <c r="B439" s="1214"/>
      <c r="C439" s="1211"/>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64"/>
      <c r="AM439" s="664"/>
      <c r="AN439" s="656"/>
      <c r="AO439" s="664"/>
      <c r="AP439" s="664"/>
      <c r="AQ439" s="664"/>
      <c r="AR439" s="656"/>
      <c r="AS439" s="664"/>
      <c r="AT439" s="664"/>
      <c r="AU439" s="664"/>
      <c r="AV439" s="664"/>
      <c r="AW439" s="664"/>
      <c r="AX439" s="664"/>
      <c r="AY439" s="664"/>
      <c r="AZ439" s="664"/>
      <c r="BA439" s="665"/>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row>
    <row r="440" spans="2:105" x14ac:dyDescent="0.35">
      <c r="B440" s="1214"/>
      <c r="C440" s="1211"/>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64"/>
      <c r="AM440" s="664"/>
      <c r="AN440" s="656"/>
      <c r="AO440" s="664"/>
      <c r="AP440" s="664"/>
      <c r="AQ440" s="664"/>
      <c r="AR440" s="656"/>
      <c r="AS440" s="664"/>
      <c r="AT440" s="664"/>
      <c r="AU440" s="664"/>
      <c r="AV440" s="664"/>
      <c r="AW440" s="664"/>
      <c r="AX440" s="664"/>
      <c r="AY440" s="664"/>
      <c r="AZ440" s="664"/>
      <c r="BA440" s="665"/>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row>
    <row r="441" spans="2:105" x14ac:dyDescent="0.35">
      <c r="B441" s="1214"/>
      <c r="C441" s="1211"/>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64"/>
      <c r="AM441" s="664"/>
      <c r="AN441" s="656"/>
      <c r="AO441" s="664"/>
      <c r="AP441" s="664"/>
      <c r="AQ441" s="664"/>
      <c r="AR441" s="656"/>
      <c r="AS441" s="664"/>
      <c r="AT441" s="664"/>
      <c r="AU441" s="664"/>
      <c r="AV441" s="664"/>
      <c r="AW441" s="664"/>
      <c r="AX441" s="664"/>
      <c r="AY441" s="664"/>
      <c r="AZ441" s="664"/>
      <c r="BA441" s="665"/>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row>
    <row r="442" spans="2:105" x14ac:dyDescent="0.35">
      <c r="B442" s="1214"/>
      <c r="C442" s="1211"/>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64"/>
      <c r="AM442" s="664"/>
      <c r="AN442" s="657"/>
      <c r="AO442" s="664"/>
      <c r="AP442" s="664"/>
      <c r="AQ442" s="664"/>
      <c r="AR442" s="657"/>
      <c r="AS442" s="664"/>
      <c r="AT442" s="664"/>
      <c r="AU442" s="664"/>
      <c r="AV442" s="664"/>
      <c r="AW442" s="664"/>
      <c r="AX442" s="664"/>
      <c r="AY442" s="664"/>
      <c r="AZ442" s="664"/>
      <c r="BA442" s="665"/>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row>
    <row r="443" spans="2:105" x14ac:dyDescent="0.35">
      <c r="B443" s="1214"/>
      <c r="C443" s="1211"/>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64"/>
      <c r="AM443" s="664"/>
      <c r="AN443" s="656"/>
      <c r="AO443" s="664"/>
      <c r="AP443" s="664"/>
      <c r="AQ443" s="664"/>
      <c r="AR443" s="656"/>
      <c r="AS443" s="664"/>
      <c r="AT443" s="664"/>
      <c r="AU443" s="664"/>
      <c r="AV443" s="664"/>
      <c r="AW443" s="664"/>
      <c r="AX443" s="664"/>
      <c r="AY443" s="664"/>
      <c r="AZ443" s="664"/>
      <c r="BA443" s="665"/>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row>
    <row r="444" spans="2:105" x14ac:dyDescent="0.35">
      <c r="B444" s="1214"/>
      <c r="C444" s="1211"/>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64"/>
      <c r="AM444" s="664"/>
      <c r="AN444" s="656"/>
      <c r="AO444" s="664"/>
      <c r="AP444" s="664"/>
      <c r="AQ444" s="664"/>
      <c r="AR444" s="656"/>
      <c r="AS444" s="664"/>
      <c r="AT444" s="664"/>
      <c r="AU444" s="664"/>
      <c r="AV444" s="664"/>
      <c r="AW444" s="664"/>
      <c r="AX444" s="664"/>
      <c r="AY444" s="664"/>
      <c r="AZ444" s="664"/>
      <c r="BA444" s="665"/>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row>
    <row r="445" spans="2:105" x14ac:dyDescent="0.35">
      <c r="B445" s="1214"/>
      <c r="C445" s="1211"/>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64"/>
      <c r="AM445" s="664"/>
      <c r="AN445" s="658"/>
      <c r="AO445" s="664"/>
      <c r="AP445" s="664"/>
      <c r="AQ445" s="664"/>
      <c r="AR445" s="658"/>
      <c r="AS445" s="664"/>
      <c r="AT445" s="664"/>
      <c r="AU445" s="664"/>
      <c r="AV445" s="664"/>
      <c r="AW445" s="664"/>
      <c r="AX445" s="664"/>
      <c r="AY445" s="664"/>
      <c r="AZ445" s="664"/>
      <c r="BA445" s="665"/>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row>
    <row r="446" spans="2:105" x14ac:dyDescent="0.35">
      <c r="B446" s="1214"/>
      <c r="C446" s="1211"/>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64"/>
      <c r="AM446" s="664"/>
      <c r="AN446" s="656"/>
      <c r="AO446" s="664"/>
      <c r="AP446" s="664"/>
      <c r="AQ446" s="664"/>
      <c r="AR446" s="656"/>
      <c r="AS446" s="664"/>
      <c r="AT446" s="664"/>
      <c r="AU446" s="664"/>
      <c r="AV446" s="664"/>
      <c r="AW446" s="664"/>
      <c r="AX446" s="664"/>
      <c r="AY446" s="664"/>
      <c r="AZ446" s="664"/>
      <c r="BA446" s="665"/>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row>
    <row r="447" spans="2:105" x14ac:dyDescent="0.35">
      <c r="B447" s="1214"/>
      <c r="C447" s="1211"/>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64"/>
      <c r="AM447" s="664"/>
      <c r="AN447" s="656"/>
      <c r="AO447" s="664"/>
      <c r="AP447" s="664"/>
      <c r="AQ447" s="664"/>
      <c r="AR447" s="656"/>
      <c r="AS447" s="664"/>
      <c r="AT447" s="664"/>
      <c r="AU447" s="664"/>
      <c r="AV447" s="664"/>
      <c r="AW447" s="664"/>
      <c r="AX447" s="664"/>
      <c r="AY447" s="664"/>
      <c r="AZ447" s="664"/>
      <c r="BA447" s="665"/>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row>
    <row r="448" spans="2:105" x14ac:dyDescent="0.35">
      <c r="B448" s="1214"/>
      <c r="C448" s="1211"/>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64"/>
      <c r="AM448" s="664"/>
      <c r="AN448" s="656"/>
      <c r="AO448" s="664"/>
      <c r="AP448" s="664"/>
      <c r="AQ448" s="664"/>
      <c r="AR448" s="656"/>
      <c r="AS448" s="664"/>
      <c r="AT448" s="664"/>
      <c r="AU448" s="664"/>
      <c r="AV448" s="664"/>
      <c r="AW448" s="664"/>
      <c r="AX448" s="664"/>
      <c r="AY448" s="664"/>
      <c r="AZ448" s="664"/>
      <c r="BA448" s="665"/>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row>
    <row r="449" spans="2:105" x14ac:dyDescent="0.35">
      <c r="B449" s="1214"/>
      <c r="C449" s="1211"/>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64"/>
      <c r="AM449" s="664"/>
      <c r="AN449" s="656"/>
      <c r="AO449" s="664"/>
      <c r="AP449" s="664"/>
      <c r="AQ449" s="664"/>
      <c r="AR449" s="656"/>
      <c r="AS449" s="664"/>
      <c r="AT449" s="664"/>
      <c r="AU449" s="664"/>
      <c r="AV449" s="664"/>
      <c r="AW449" s="664"/>
      <c r="AX449" s="664"/>
      <c r="AY449" s="664"/>
      <c r="AZ449" s="664"/>
      <c r="BA449" s="665"/>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row>
    <row r="450" spans="2:105" x14ac:dyDescent="0.35">
      <c r="B450" s="1214"/>
      <c r="C450" s="1211"/>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64"/>
      <c r="AM450" s="664"/>
      <c r="AN450" s="656"/>
      <c r="AO450" s="664"/>
      <c r="AP450" s="664"/>
      <c r="AQ450" s="664"/>
      <c r="AR450" s="656"/>
      <c r="AS450" s="664"/>
      <c r="AT450" s="664"/>
      <c r="AU450" s="664"/>
      <c r="AV450" s="664"/>
      <c r="AW450" s="664"/>
      <c r="AX450" s="664"/>
      <c r="AY450" s="664"/>
      <c r="AZ450" s="664"/>
      <c r="BA450" s="665"/>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row>
    <row r="451" spans="2:105" ht="15" thickBot="1" x14ac:dyDescent="0.4">
      <c r="B451" s="1215"/>
      <c r="C451" s="1212"/>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6"/>
      <c r="AM451" s="666"/>
      <c r="AN451" s="660"/>
      <c r="AO451" s="666"/>
      <c r="AP451" s="666"/>
      <c r="AQ451" s="666"/>
      <c r="AR451" s="660"/>
      <c r="AS451" s="666"/>
      <c r="AT451" s="666"/>
      <c r="AU451" s="666"/>
      <c r="AV451" s="666"/>
      <c r="AW451" s="666"/>
      <c r="AX451" s="666"/>
      <c r="AY451" s="666"/>
      <c r="AZ451" s="666"/>
      <c r="BA451" s="667"/>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row>
    <row r="452" spans="2:105" ht="15" thickBot="1" x14ac:dyDescent="0.4">
      <c r="B452" s="577" t="s">
        <v>1180</v>
      </c>
      <c r="C452" s="1210"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68"/>
      <c r="AM452" s="668"/>
      <c r="AN452" s="650"/>
      <c r="AO452" s="668"/>
      <c r="AP452" s="668"/>
      <c r="AQ452" s="668"/>
      <c r="AR452" s="650"/>
      <c r="AS452" s="668"/>
      <c r="AT452" s="668"/>
      <c r="AU452" s="668"/>
      <c r="AV452" s="668"/>
      <c r="AW452" s="668"/>
      <c r="AX452" s="668"/>
      <c r="AY452" s="668"/>
      <c r="AZ452" s="668"/>
      <c r="BA452" s="669"/>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row>
    <row r="453" spans="2:105" x14ac:dyDescent="0.35">
      <c r="B453" s="1213" t="s">
        <v>1181</v>
      </c>
      <c r="C453" s="1211"/>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71"/>
      <c r="AM453" s="671"/>
      <c r="AN453" s="651"/>
      <c r="AO453" s="671"/>
      <c r="AP453" s="671"/>
      <c r="AQ453" s="671"/>
      <c r="AR453" s="651"/>
      <c r="AS453" s="671"/>
      <c r="AT453" s="671"/>
      <c r="AU453" s="671"/>
      <c r="AV453" s="671"/>
      <c r="AW453" s="671"/>
      <c r="AX453" s="671"/>
      <c r="AY453" s="671"/>
      <c r="AZ453" s="671"/>
      <c r="BA453" s="672"/>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row>
    <row r="454" spans="2:105" x14ac:dyDescent="0.35">
      <c r="B454" s="1214"/>
      <c r="C454" s="1211"/>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64"/>
      <c r="AM454" s="664"/>
      <c r="AN454" s="656"/>
      <c r="AO454" s="664"/>
      <c r="AP454" s="664"/>
      <c r="AQ454" s="664"/>
      <c r="AR454" s="656"/>
      <c r="AS454" s="664"/>
      <c r="AT454" s="664"/>
      <c r="AU454" s="664"/>
      <c r="AV454" s="664"/>
      <c r="AW454" s="664"/>
      <c r="AX454" s="664"/>
      <c r="AY454" s="664"/>
      <c r="AZ454" s="664"/>
      <c r="BA454" s="665"/>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row>
    <row r="455" spans="2:105" x14ac:dyDescent="0.35">
      <c r="B455" s="1214"/>
      <c r="C455" s="1211"/>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64"/>
      <c r="AM455" s="664"/>
      <c r="AN455" s="656"/>
      <c r="AO455" s="664"/>
      <c r="AP455" s="664"/>
      <c r="AQ455" s="664"/>
      <c r="AR455" s="656"/>
      <c r="AS455" s="664"/>
      <c r="AT455" s="664"/>
      <c r="AU455" s="664"/>
      <c r="AV455" s="664"/>
      <c r="AW455" s="664"/>
      <c r="AX455" s="664"/>
      <c r="AY455" s="664"/>
      <c r="AZ455" s="664"/>
      <c r="BA455" s="665"/>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row>
    <row r="456" spans="2:105" x14ac:dyDescent="0.35">
      <c r="B456" s="1214"/>
      <c r="C456" s="1211"/>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64"/>
      <c r="AM456" s="664"/>
      <c r="AN456" s="656"/>
      <c r="AO456" s="664"/>
      <c r="AP456" s="664"/>
      <c r="AQ456" s="664"/>
      <c r="AR456" s="656"/>
      <c r="AS456" s="664"/>
      <c r="AT456" s="664"/>
      <c r="AU456" s="664"/>
      <c r="AV456" s="664"/>
      <c r="AW456" s="664"/>
      <c r="AX456" s="664"/>
      <c r="AY456" s="664"/>
      <c r="AZ456" s="664"/>
      <c r="BA456" s="665"/>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row>
    <row r="457" spans="2:105" x14ac:dyDescent="0.35">
      <c r="B457" s="1214"/>
      <c r="C457" s="1211"/>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64"/>
      <c r="AM457" s="664"/>
      <c r="AN457" s="656"/>
      <c r="AO457" s="664"/>
      <c r="AP457" s="664"/>
      <c r="AQ457" s="664"/>
      <c r="AR457" s="656"/>
      <c r="AS457" s="664"/>
      <c r="AT457" s="664"/>
      <c r="AU457" s="664"/>
      <c r="AV457" s="664"/>
      <c r="AW457" s="664"/>
      <c r="AX457" s="664"/>
      <c r="AY457" s="664"/>
      <c r="AZ457" s="664"/>
      <c r="BA457" s="665"/>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row>
    <row r="458" spans="2:105" x14ac:dyDescent="0.35">
      <c r="B458" s="1214"/>
      <c r="C458" s="1211"/>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64"/>
      <c r="AM458" s="664"/>
      <c r="AN458" s="656"/>
      <c r="AO458" s="664"/>
      <c r="AP458" s="664"/>
      <c r="AQ458" s="664"/>
      <c r="AR458" s="656"/>
      <c r="AS458" s="664"/>
      <c r="AT458" s="664"/>
      <c r="AU458" s="664"/>
      <c r="AV458" s="664"/>
      <c r="AW458" s="664"/>
      <c r="AX458" s="664"/>
      <c r="AY458" s="664"/>
      <c r="AZ458" s="664"/>
      <c r="BA458" s="665"/>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row>
    <row r="459" spans="2:105" x14ac:dyDescent="0.35">
      <c r="B459" s="1214"/>
      <c r="C459" s="1211"/>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64"/>
      <c r="AM459" s="664"/>
      <c r="AN459" s="656"/>
      <c r="AO459" s="664"/>
      <c r="AP459" s="664"/>
      <c r="AQ459" s="664"/>
      <c r="AR459" s="656"/>
      <c r="AS459" s="664"/>
      <c r="AT459" s="664"/>
      <c r="AU459" s="664"/>
      <c r="AV459" s="664"/>
      <c r="AW459" s="664"/>
      <c r="AX459" s="664"/>
      <c r="AY459" s="664"/>
      <c r="AZ459" s="664"/>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row>
    <row r="460" spans="2:105" x14ac:dyDescent="0.35">
      <c r="B460" s="1214"/>
      <c r="C460" s="1211"/>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64"/>
      <c r="AM460" s="664"/>
      <c r="AN460" s="656"/>
      <c r="AO460" s="664"/>
      <c r="AP460" s="664"/>
      <c r="AQ460" s="664"/>
      <c r="AR460" s="656"/>
      <c r="AS460" s="664"/>
      <c r="AT460" s="664"/>
      <c r="AU460" s="664"/>
      <c r="AV460" s="664"/>
      <c r="AW460" s="664"/>
      <c r="AX460" s="664"/>
      <c r="AY460" s="664"/>
      <c r="AZ460" s="664"/>
      <c r="BA460" s="665"/>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row>
    <row r="461" spans="2:105" x14ac:dyDescent="0.35">
      <c r="B461" s="1214"/>
      <c r="C461" s="1211"/>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64"/>
      <c r="AM461" s="664"/>
      <c r="AN461" s="656"/>
      <c r="AO461" s="664"/>
      <c r="AP461" s="664"/>
      <c r="AQ461" s="664"/>
      <c r="AR461" s="656"/>
      <c r="AS461" s="664"/>
      <c r="AT461" s="664"/>
      <c r="AU461" s="664"/>
      <c r="AV461" s="664"/>
      <c r="AW461" s="664"/>
      <c r="AX461" s="664"/>
      <c r="AY461" s="664"/>
      <c r="AZ461" s="664"/>
      <c r="BA461" s="665"/>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row>
    <row r="462" spans="2:105" x14ac:dyDescent="0.35">
      <c r="B462" s="1214"/>
      <c r="C462" s="1211"/>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64"/>
      <c r="AM462" s="664"/>
      <c r="AN462" s="656"/>
      <c r="AO462" s="664"/>
      <c r="AP462" s="664"/>
      <c r="AQ462" s="664"/>
      <c r="AR462" s="656"/>
      <c r="AS462" s="664"/>
      <c r="AT462" s="664"/>
      <c r="AU462" s="664"/>
      <c r="AV462" s="664"/>
      <c r="AW462" s="664"/>
      <c r="AX462" s="664"/>
      <c r="AY462" s="664"/>
      <c r="AZ462" s="664"/>
      <c r="BA462" s="665"/>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row>
    <row r="463" spans="2:105" x14ac:dyDescent="0.35">
      <c r="B463" s="1214"/>
      <c r="C463" s="1211"/>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64"/>
      <c r="AM463" s="664"/>
      <c r="AN463" s="656"/>
      <c r="AO463" s="664"/>
      <c r="AP463" s="664"/>
      <c r="AQ463" s="664"/>
      <c r="AR463" s="656"/>
      <c r="AS463" s="664"/>
      <c r="AT463" s="664"/>
      <c r="AU463" s="664"/>
      <c r="AV463" s="664"/>
      <c r="AW463" s="664"/>
      <c r="AX463" s="664"/>
      <c r="AY463" s="664"/>
      <c r="AZ463" s="664"/>
      <c r="BA463" s="665"/>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row>
    <row r="464" spans="2:105" x14ac:dyDescent="0.35">
      <c r="B464" s="1214"/>
      <c r="C464" s="1211"/>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64"/>
      <c r="AM464" s="664"/>
      <c r="AN464" s="656"/>
      <c r="AO464" s="664"/>
      <c r="AP464" s="664"/>
      <c r="AQ464" s="664"/>
      <c r="AR464" s="656"/>
      <c r="AS464" s="664"/>
      <c r="AT464" s="664"/>
      <c r="AU464" s="664"/>
      <c r="AV464" s="664"/>
      <c r="AW464" s="664"/>
      <c r="AX464" s="664"/>
      <c r="AY464" s="664"/>
      <c r="AZ464" s="664"/>
      <c r="BA464" s="665"/>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row>
    <row r="465" spans="2:105" x14ac:dyDescent="0.35">
      <c r="B465" s="1214"/>
      <c r="C465" s="1211"/>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64"/>
      <c r="AM465" s="664"/>
      <c r="AN465" s="656"/>
      <c r="AO465" s="664"/>
      <c r="AP465" s="664"/>
      <c r="AQ465" s="664"/>
      <c r="AR465" s="656"/>
      <c r="AS465" s="664"/>
      <c r="AT465" s="664"/>
      <c r="AU465" s="664"/>
      <c r="AV465" s="664"/>
      <c r="AW465" s="664"/>
      <c r="AX465" s="664"/>
      <c r="AY465" s="664"/>
      <c r="AZ465" s="664"/>
      <c r="BA465" s="665"/>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row>
    <row r="466" spans="2:105" x14ac:dyDescent="0.35">
      <c r="B466" s="1214"/>
      <c r="C466" s="1211"/>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64"/>
      <c r="AM466" s="664"/>
      <c r="AN466" s="656"/>
      <c r="AO466" s="664"/>
      <c r="AP466" s="664"/>
      <c r="AQ466" s="664"/>
      <c r="AR466" s="656"/>
      <c r="AS466" s="664"/>
      <c r="AT466" s="664"/>
      <c r="AU466" s="664"/>
      <c r="AV466" s="664"/>
      <c r="AW466" s="664"/>
      <c r="AX466" s="664"/>
      <c r="AY466" s="664"/>
      <c r="AZ466" s="664"/>
      <c r="BA466" s="665"/>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row>
    <row r="467" spans="2:105" x14ac:dyDescent="0.35">
      <c r="B467" s="1214"/>
      <c r="C467" s="1211"/>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64"/>
      <c r="AM467" s="664"/>
      <c r="AN467" s="656"/>
      <c r="AO467" s="664"/>
      <c r="AP467" s="664"/>
      <c r="AQ467" s="664"/>
      <c r="AR467" s="656"/>
      <c r="AS467" s="664"/>
      <c r="AT467" s="664"/>
      <c r="AU467" s="664"/>
      <c r="AV467" s="664"/>
      <c r="AW467" s="664"/>
      <c r="AX467" s="664"/>
      <c r="AY467" s="664"/>
      <c r="AZ467" s="664"/>
      <c r="BA467" s="665"/>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row>
    <row r="468" spans="2:105" ht="15" thickBot="1" x14ac:dyDescent="0.4">
      <c r="B468" s="1215"/>
      <c r="C468" s="1212"/>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6"/>
      <c r="AM468" s="666"/>
      <c r="AN468" s="660"/>
      <c r="AO468" s="666"/>
      <c r="AP468" s="666"/>
      <c r="AQ468" s="666"/>
      <c r="AR468" s="660"/>
      <c r="AS468" s="666"/>
      <c r="AT468" s="666"/>
      <c r="AU468" s="666"/>
      <c r="AV468" s="666"/>
      <c r="AW468" s="666"/>
      <c r="AX468" s="666"/>
      <c r="AY468" s="666"/>
      <c r="AZ468" s="666"/>
      <c r="BA468" s="667"/>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row>
    <row r="469" spans="2:105" ht="15" thickBot="1" x14ac:dyDescent="0.4">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5"/>
      <c r="AM469" s="675"/>
      <c r="AN469" s="674"/>
      <c r="AO469" s="675"/>
      <c r="AP469" s="675"/>
      <c r="AQ469" s="675"/>
      <c r="AR469" s="674"/>
      <c r="AS469" s="675"/>
      <c r="AT469" s="675"/>
      <c r="AU469" s="675"/>
      <c r="AV469" s="675"/>
      <c r="AW469" s="675"/>
      <c r="AX469" s="675"/>
      <c r="AY469" s="675"/>
      <c r="AZ469" s="675"/>
      <c r="BA469" s="676"/>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row>
    <row r="470" spans="2:105" ht="15" thickBot="1" x14ac:dyDescent="0.4">
      <c r="B470" s="577" t="s">
        <v>1246</v>
      </c>
      <c r="C470" s="1210"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8"/>
      <c r="AM470" s="628"/>
      <c r="AN470" s="626"/>
      <c r="AO470" s="628"/>
      <c r="AP470" s="628"/>
      <c r="AQ470" s="628"/>
      <c r="AR470" s="626"/>
      <c r="AS470" s="628"/>
      <c r="AT470" s="628"/>
      <c r="AU470" s="628"/>
      <c r="AV470" s="628"/>
      <c r="AW470" s="628"/>
      <c r="AX470" s="628"/>
      <c r="AY470" s="628"/>
      <c r="AZ470" s="628"/>
      <c r="BA470" s="629"/>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row>
    <row r="471" spans="2:105" x14ac:dyDescent="0.35">
      <c r="B471" s="1213" t="s">
        <v>1247</v>
      </c>
      <c r="C471" s="1211"/>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62"/>
      <c r="AM471" s="662"/>
      <c r="AN471" s="631"/>
      <c r="AO471" s="662"/>
      <c r="AP471" s="662"/>
      <c r="AQ471" s="662"/>
      <c r="AR471" s="631"/>
      <c r="AS471" s="662"/>
      <c r="AT471" s="662"/>
      <c r="AU471" s="662"/>
      <c r="AV471" s="662"/>
      <c r="AW471" s="662"/>
      <c r="AX471" s="662"/>
      <c r="AY471" s="662"/>
      <c r="AZ471" s="662"/>
      <c r="BA471" s="663"/>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row>
    <row r="472" spans="2:105" x14ac:dyDescent="0.35">
      <c r="B472" s="1214"/>
      <c r="C472" s="1211"/>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64"/>
      <c r="AM472" s="664"/>
      <c r="AN472" s="636"/>
      <c r="AO472" s="664"/>
      <c r="AP472" s="664"/>
      <c r="AQ472" s="664"/>
      <c r="AR472" s="636"/>
      <c r="AS472" s="664"/>
      <c r="AT472" s="664"/>
      <c r="AU472" s="664"/>
      <c r="AV472" s="664"/>
      <c r="AW472" s="664"/>
      <c r="AX472" s="664"/>
      <c r="AY472" s="664"/>
      <c r="AZ472" s="664"/>
      <c r="BA472" s="665"/>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row>
    <row r="473" spans="2:105" x14ac:dyDescent="0.35">
      <c r="B473" s="1214"/>
      <c r="C473" s="1211"/>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64"/>
      <c r="AM473" s="664"/>
      <c r="AN473" s="636"/>
      <c r="AO473" s="664"/>
      <c r="AP473" s="664"/>
      <c r="AQ473" s="664"/>
      <c r="AR473" s="636"/>
      <c r="AS473" s="664"/>
      <c r="AT473" s="664"/>
      <c r="AU473" s="664"/>
      <c r="AV473" s="664"/>
      <c r="AW473" s="664"/>
      <c r="AX473" s="664"/>
      <c r="AY473" s="664"/>
      <c r="AZ473" s="664"/>
      <c r="BA473" s="665"/>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row>
    <row r="474" spans="2:105" x14ac:dyDescent="0.35">
      <c r="B474" s="1214"/>
      <c r="C474" s="1211"/>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64"/>
      <c r="AM474" s="664"/>
      <c r="AN474" s="636"/>
      <c r="AO474" s="664"/>
      <c r="AP474" s="664"/>
      <c r="AQ474" s="664"/>
      <c r="AR474" s="636"/>
      <c r="AS474" s="664"/>
      <c r="AT474" s="664"/>
      <c r="AU474" s="664"/>
      <c r="AV474" s="664"/>
      <c r="AW474" s="664"/>
      <c r="AX474" s="664"/>
      <c r="AY474" s="664"/>
      <c r="AZ474" s="664"/>
      <c r="BA474" s="665"/>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row>
    <row r="475" spans="2:105" x14ac:dyDescent="0.35">
      <c r="B475" s="1214"/>
      <c r="C475" s="1211"/>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64"/>
      <c r="AM475" s="664"/>
      <c r="AN475" s="636"/>
      <c r="AO475" s="664"/>
      <c r="AP475" s="664"/>
      <c r="AQ475" s="664"/>
      <c r="AR475" s="636"/>
      <c r="AS475" s="664"/>
      <c r="AT475" s="664"/>
      <c r="AU475" s="664"/>
      <c r="AV475" s="664"/>
      <c r="AW475" s="664"/>
      <c r="AX475" s="664"/>
      <c r="AY475" s="664"/>
      <c r="AZ475" s="664"/>
      <c r="BA475" s="665"/>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row>
    <row r="476" spans="2:105" x14ac:dyDescent="0.35">
      <c r="B476" s="1214"/>
      <c r="C476" s="1211"/>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64"/>
      <c r="AM476" s="664"/>
      <c r="AN476" s="636"/>
      <c r="AO476" s="664"/>
      <c r="AP476" s="664"/>
      <c r="AQ476" s="664"/>
      <c r="AR476" s="636"/>
      <c r="AS476" s="664"/>
      <c r="AT476" s="664"/>
      <c r="AU476" s="664"/>
      <c r="AV476" s="664"/>
      <c r="AW476" s="664"/>
      <c r="AX476" s="664"/>
      <c r="AY476" s="664"/>
      <c r="AZ476" s="664"/>
      <c r="BA476" s="665"/>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row>
    <row r="477" spans="2:105" x14ac:dyDescent="0.35">
      <c r="B477" s="1214"/>
      <c r="C477" s="1211"/>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64"/>
      <c r="AM477" s="664"/>
      <c r="AN477" s="636"/>
      <c r="AO477" s="664"/>
      <c r="AP477" s="664"/>
      <c r="AQ477" s="664"/>
      <c r="AR477" s="636"/>
      <c r="AS477" s="664"/>
      <c r="AT477" s="664"/>
      <c r="AU477" s="664"/>
      <c r="AV477" s="664"/>
      <c r="AW477" s="664"/>
      <c r="AX477" s="664"/>
      <c r="AY477" s="664"/>
      <c r="AZ477" s="664"/>
      <c r="BA477" s="665"/>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row>
    <row r="478" spans="2:105" x14ac:dyDescent="0.35">
      <c r="B478" s="1214"/>
      <c r="C478" s="1211"/>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64"/>
      <c r="AM478" s="664"/>
      <c r="AN478" s="636"/>
      <c r="AO478" s="664"/>
      <c r="AP478" s="664"/>
      <c r="AQ478" s="664"/>
      <c r="AR478" s="636"/>
      <c r="AS478" s="664"/>
      <c r="AT478" s="664"/>
      <c r="AU478" s="664"/>
      <c r="AV478" s="664"/>
      <c r="AW478" s="664"/>
      <c r="AX478" s="664"/>
      <c r="AY478" s="664"/>
      <c r="AZ478" s="664"/>
      <c r="BA478" s="665"/>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row>
    <row r="479" spans="2:105" x14ac:dyDescent="0.35">
      <c r="B479" s="1214"/>
      <c r="C479" s="1211"/>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64"/>
      <c r="AM479" s="664"/>
      <c r="AN479" s="636"/>
      <c r="AO479" s="664"/>
      <c r="AP479" s="664"/>
      <c r="AQ479" s="664"/>
      <c r="AR479" s="636"/>
      <c r="AS479" s="664"/>
      <c r="AT479" s="664"/>
      <c r="AU479" s="664"/>
      <c r="AV479" s="664"/>
      <c r="AW479" s="664"/>
      <c r="AX479" s="664"/>
      <c r="AY479" s="664"/>
      <c r="AZ479" s="664"/>
      <c r="BA479" s="665"/>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row>
    <row r="480" spans="2:105" x14ac:dyDescent="0.35">
      <c r="B480" s="1214"/>
      <c r="C480" s="1211"/>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64"/>
      <c r="AM480" s="664"/>
      <c r="AN480" s="636"/>
      <c r="AO480" s="664"/>
      <c r="AP480" s="664"/>
      <c r="AQ480" s="664"/>
      <c r="AR480" s="636"/>
      <c r="AS480" s="664"/>
      <c r="AT480" s="664"/>
      <c r="AU480" s="664"/>
      <c r="AV480" s="664"/>
      <c r="AW480" s="664"/>
      <c r="AX480" s="664"/>
      <c r="AY480" s="664"/>
      <c r="AZ480" s="664"/>
      <c r="BA480" s="665"/>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row>
    <row r="481" spans="2:105" x14ac:dyDescent="0.35">
      <c r="B481" s="1214"/>
      <c r="C481" s="1211"/>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64"/>
      <c r="AM481" s="664"/>
      <c r="AN481" s="636"/>
      <c r="AO481" s="664"/>
      <c r="AP481" s="664"/>
      <c r="AQ481" s="664"/>
      <c r="AR481" s="636"/>
      <c r="AS481" s="664"/>
      <c r="AT481" s="664"/>
      <c r="AU481" s="664"/>
      <c r="AV481" s="664"/>
      <c r="AW481" s="664"/>
      <c r="AX481" s="664"/>
      <c r="AY481" s="664"/>
      <c r="AZ481" s="664"/>
      <c r="BA481" s="665"/>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row>
    <row r="482" spans="2:105" x14ac:dyDescent="0.35">
      <c r="B482" s="1214"/>
      <c r="C482" s="1211"/>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64"/>
      <c r="AM482" s="664"/>
      <c r="AN482" s="636"/>
      <c r="AO482" s="664"/>
      <c r="AP482" s="664"/>
      <c r="AQ482" s="664"/>
      <c r="AR482" s="636"/>
      <c r="AS482" s="664"/>
      <c r="AT482" s="664"/>
      <c r="AU482" s="664"/>
      <c r="AV482" s="664"/>
      <c r="AW482" s="664"/>
      <c r="AX482" s="664"/>
      <c r="AY482" s="664"/>
      <c r="AZ482" s="664"/>
      <c r="BA482" s="665"/>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row>
    <row r="483" spans="2:105" x14ac:dyDescent="0.35">
      <c r="B483" s="1214"/>
      <c r="C483" s="1211"/>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64"/>
      <c r="AM483" s="664"/>
      <c r="AN483" s="636"/>
      <c r="AO483" s="664"/>
      <c r="AP483" s="664"/>
      <c r="AQ483" s="664"/>
      <c r="AR483" s="636"/>
      <c r="AS483" s="664"/>
      <c r="AT483" s="664"/>
      <c r="AU483" s="664"/>
      <c r="AV483" s="664"/>
      <c r="AW483" s="664"/>
      <c r="AX483" s="664"/>
      <c r="AY483" s="664"/>
      <c r="AZ483" s="664"/>
      <c r="BA483" s="665"/>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row>
    <row r="484" spans="2:105" x14ac:dyDescent="0.35">
      <c r="B484" s="1214"/>
      <c r="C484" s="1211"/>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64"/>
      <c r="AM484" s="664"/>
      <c r="AN484" s="636"/>
      <c r="AO484" s="664"/>
      <c r="AP484" s="664"/>
      <c r="AQ484" s="664"/>
      <c r="AR484" s="636"/>
      <c r="AS484" s="664"/>
      <c r="AT484" s="664"/>
      <c r="AU484" s="664"/>
      <c r="AV484" s="664"/>
      <c r="AW484" s="664"/>
      <c r="AX484" s="664"/>
      <c r="AY484" s="664"/>
      <c r="AZ484" s="664"/>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row>
    <row r="485" spans="2:105" x14ac:dyDescent="0.35">
      <c r="B485" s="1214"/>
      <c r="C485" s="1211"/>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64"/>
      <c r="AM485" s="664"/>
      <c r="AN485" s="636"/>
      <c r="AO485" s="664"/>
      <c r="AP485" s="664"/>
      <c r="AQ485" s="664"/>
      <c r="AR485" s="636"/>
      <c r="AS485" s="664"/>
      <c r="AT485" s="664"/>
      <c r="AU485" s="664"/>
      <c r="AV485" s="664"/>
      <c r="AW485" s="664"/>
      <c r="AX485" s="664"/>
      <c r="AY485" s="664"/>
      <c r="AZ485" s="664"/>
      <c r="BA485" s="665"/>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row>
    <row r="486" spans="2:105" ht="15" thickBot="1" x14ac:dyDescent="0.4">
      <c r="B486" s="1215"/>
      <c r="C486" s="1212"/>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66"/>
      <c r="AM486" s="666"/>
      <c r="AN486" s="641"/>
      <c r="AO486" s="666"/>
      <c r="AP486" s="666"/>
      <c r="AQ486" s="666"/>
      <c r="AR486" s="641"/>
      <c r="AS486" s="666"/>
      <c r="AT486" s="666"/>
      <c r="AU486" s="666"/>
      <c r="AV486" s="666"/>
      <c r="AW486" s="666"/>
      <c r="AX486" s="666"/>
      <c r="AY486" s="666"/>
      <c r="AZ486" s="666"/>
      <c r="BA486" s="667"/>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row>
    <row r="487" spans="2:105" ht="15" thickBot="1" x14ac:dyDescent="0.4">
      <c r="B487" s="577" t="s">
        <v>1248</v>
      </c>
      <c r="C487" s="1210"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68"/>
      <c r="AM487" s="668"/>
      <c r="AN487" s="646"/>
      <c r="AO487" s="668"/>
      <c r="AP487" s="668"/>
      <c r="AQ487" s="668"/>
      <c r="AR487" s="646"/>
      <c r="AS487" s="668"/>
      <c r="AT487" s="668"/>
      <c r="AU487" s="668"/>
      <c r="AV487" s="668"/>
      <c r="AW487" s="668"/>
      <c r="AX487" s="668"/>
      <c r="AY487" s="668"/>
      <c r="AZ487" s="668"/>
      <c r="BA487" s="669"/>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row>
    <row r="488" spans="2:105" x14ac:dyDescent="0.35">
      <c r="B488" s="1213" t="s">
        <v>1249</v>
      </c>
      <c r="C488" s="1211"/>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71"/>
      <c r="AM488" s="671"/>
      <c r="AN488" s="651"/>
      <c r="AO488" s="671"/>
      <c r="AP488" s="671"/>
      <c r="AQ488" s="671"/>
      <c r="AR488" s="651"/>
      <c r="AS488" s="671"/>
      <c r="AT488" s="671"/>
      <c r="AU488" s="671"/>
      <c r="AV488" s="671"/>
      <c r="AW488" s="671"/>
      <c r="AX488" s="671"/>
      <c r="AY488" s="671"/>
      <c r="AZ488" s="671"/>
      <c r="BA488" s="672"/>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row>
    <row r="489" spans="2:105" x14ac:dyDescent="0.35">
      <c r="B489" s="1214"/>
      <c r="C489" s="1211"/>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64"/>
      <c r="AM489" s="664"/>
      <c r="AN489" s="656"/>
      <c r="AO489" s="664"/>
      <c r="AP489" s="664"/>
      <c r="AQ489" s="664"/>
      <c r="AR489" s="656"/>
      <c r="AS489" s="664"/>
      <c r="AT489" s="664"/>
      <c r="AU489" s="664"/>
      <c r="AV489" s="664"/>
      <c r="AW489" s="664"/>
      <c r="AX489" s="664"/>
      <c r="AY489" s="664"/>
      <c r="AZ489" s="664"/>
      <c r="BA489" s="665"/>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row>
    <row r="490" spans="2:105" x14ac:dyDescent="0.35">
      <c r="B490" s="1214"/>
      <c r="C490" s="1211"/>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64"/>
      <c r="AM490" s="664"/>
      <c r="AN490" s="656"/>
      <c r="AO490" s="664"/>
      <c r="AP490" s="664"/>
      <c r="AQ490" s="664"/>
      <c r="AR490" s="656"/>
      <c r="AS490" s="664"/>
      <c r="AT490" s="664"/>
      <c r="AU490" s="664"/>
      <c r="AV490" s="664"/>
      <c r="AW490" s="664"/>
      <c r="AX490" s="664"/>
      <c r="AY490" s="664"/>
      <c r="AZ490" s="664"/>
      <c r="BA490" s="665"/>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row>
    <row r="491" spans="2:105" x14ac:dyDescent="0.35">
      <c r="B491" s="1214"/>
      <c r="C491" s="1211"/>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64"/>
      <c r="AM491" s="664"/>
      <c r="AN491" s="656"/>
      <c r="AO491" s="664"/>
      <c r="AP491" s="664"/>
      <c r="AQ491" s="664"/>
      <c r="AR491" s="656"/>
      <c r="AS491" s="664"/>
      <c r="AT491" s="664"/>
      <c r="AU491" s="664"/>
      <c r="AV491" s="664"/>
      <c r="AW491" s="664"/>
      <c r="AX491" s="664"/>
      <c r="AY491" s="664"/>
      <c r="AZ491" s="664"/>
      <c r="BA491" s="665"/>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row>
    <row r="492" spans="2:105" x14ac:dyDescent="0.35">
      <c r="B492" s="1214"/>
      <c r="C492" s="1211"/>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64"/>
      <c r="AM492" s="664"/>
      <c r="AN492" s="656"/>
      <c r="AO492" s="664"/>
      <c r="AP492" s="664"/>
      <c r="AQ492" s="664"/>
      <c r="AR492" s="656"/>
      <c r="AS492" s="664"/>
      <c r="AT492" s="664"/>
      <c r="AU492" s="664"/>
      <c r="AV492" s="664"/>
      <c r="AW492" s="664"/>
      <c r="AX492" s="664"/>
      <c r="AY492" s="664"/>
      <c r="AZ492" s="664"/>
      <c r="BA492" s="665"/>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row>
    <row r="493" spans="2:105" x14ac:dyDescent="0.35">
      <c r="B493" s="1214"/>
      <c r="C493" s="1211"/>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64"/>
      <c r="AM493" s="664"/>
      <c r="AN493" s="656"/>
      <c r="AO493" s="664"/>
      <c r="AP493" s="664"/>
      <c r="AQ493" s="664"/>
      <c r="AR493" s="656"/>
      <c r="AS493" s="664"/>
      <c r="AT493" s="664"/>
      <c r="AU493" s="664"/>
      <c r="AV493" s="664"/>
      <c r="AW493" s="664"/>
      <c r="AX493" s="664"/>
      <c r="AY493" s="664"/>
      <c r="AZ493" s="664"/>
      <c r="BA493" s="665"/>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row>
    <row r="494" spans="2:105" x14ac:dyDescent="0.35">
      <c r="B494" s="1214"/>
      <c r="C494" s="1211"/>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64"/>
      <c r="AM494" s="664"/>
      <c r="AN494" s="657"/>
      <c r="AO494" s="664"/>
      <c r="AP494" s="664"/>
      <c r="AQ494" s="664"/>
      <c r="AR494" s="657"/>
      <c r="AS494" s="664"/>
      <c r="AT494" s="664"/>
      <c r="AU494" s="664"/>
      <c r="AV494" s="664"/>
      <c r="AW494" s="664"/>
      <c r="AX494" s="664"/>
      <c r="AY494" s="664"/>
      <c r="AZ494" s="664"/>
      <c r="BA494" s="665"/>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row>
    <row r="495" spans="2:105" x14ac:dyDescent="0.35">
      <c r="B495" s="1214"/>
      <c r="C495" s="1211"/>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64"/>
      <c r="AM495" s="664"/>
      <c r="AN495" s="656"/>
      <c r="AO495" s="664"/>
      <c r="AP495" s="664"/>
      <c r="AQ495" s="664"/>
      <c r="AR495" s="656"/>
      <c r="AS495" s="664"/>
      <c r="AT495" s="664"/>
      <c r="AU495" s="664"/>
      <c r="AV495" s="664"/>
      <c r="AW495" s="664"/>
      <c r="AX495" s="664"/>
      <c r="AY495" s="664"/>
      <c r="AZ495" s="664"/>
      <c r="BA495" s="665"/>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row>
    <row r="496" spans="2:105" x14ac:dyDescent="0.35">
      <c r="B496" s="1214"/>
      <c r="C496" s="1211"/>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64"/>
      <c r="AM496" s="664"/>
      <c r="AN496" s="656"/>
      <c r="AO496" s="664"/>
      <c r="AP496" s="664"/>
      <c r="AQ496" s="664"/>
      <c r="AR496" s="656"/>
      <c r="AS496" s="664"/>
      <c r="AT496" s="664"/>
      <c r="AU496" s="664"/>
      <c r="AV496" s="664"/>
      <c r="AW496" s="664"/>
      <c r="AX496" s="664"/>
      <c r="AY496" s="664"/>
      <c r="AZ496" s="664"/>
      <c r="BA496" s="665"/>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row>
    <row r="497" spans="2:105" x14ac:dyDescent="0.35">
      <c r="B497" s="1214"/>
      <c r="C497" s="1211"/>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64"/>
      <c r="AM497" s="664"/>
      <c r="AN497" s="658"/>
      <c r="AO497" s="664"/>
      <c r="AP497" s="664"/>
      <c r="AQ497" s="664"/>
      <c r="AR497" s="658"/>
      <c r="AS497" s="664"/>
      <c r="AT497" s="664"/>
      <c r="AU497" s="664"/>
      <c r="AV497" s="664"/>
      <c r="AW497" s="664"/>
      <c r="AX497" s="664"/>
      <c r="AY497" s="664"/>
      <c r="AZ497" s="664"/>
      <c r="BA497" s="665"/>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row>
    <row r="498" spans="2:105" x14ac:dyDescent="0.35">
      <c r="B498" s="1214"/>
      <c r="C498" s="1211"/>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64"/>
      <c r="AM498" s="664"/>
      <c r="AN498" s="656"/>
      <c r="AO498" s="664"/>
      <c r="AP498" s="664"/>
      <c r="AQ498" s="664"/>
      <c r="AR498" s="656"/>
      <c r="AS498" s="664"/>
      <c r="AT498" s="664"/>
      <c r="AU498" s="664"/>
      <c r="AV498" s="664"/>
      <c r="AW498" s="664"/>
      <c r="AX498" s="664"/>
      <c r="AY498" s="664"/>
      <c r="AZ498" s="664"/>
      <c r="BA498" s="665"/>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row>
    <row r="499" spans="2:105" x14ac:dyDescent="0.35">
      <c r="B499" s="1214"/>
      <c r="C499" s="1211"/>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64"/>
      <c r="AM499" s="664"/>
      <c r="AN499" s="656"/>
      <c r="AO499" s="664"/>
      <c r="AP499" s="664"/>
      <c r="AQ499" s="664"/>
      <c r="AR499" s="656"/>
      <c r="AS499" s="664"/>
      <c r="AT499" s="664"/>
      <c r="AU499" s="664"/>
      <c r="AV499" s="664"/>
      <c r="AW499" s="664"/>
      <c r="AX499" s="664"/>
      <c r="AY499" s="664"/>
      <c r="AZ499" s="664"/>
      <c r="BA499" s="665"/>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row>
    <row r="500" spans="2:105" x14ac:dyDescent="0.35">
      <c r="B500" s="1214"/>
      <c r="C500" s="1211"/>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64"/>
      <c r="AM500" s="664"/>
      <c r="AN500" s="656"/>
      <c r="AO500" s="664"/>
      <c r="AP500" s="664"/>
      <c r="AQ500" s="664"/>
      <c r="AR500" s="656"/>
      <c r="AS500" s="664"/>
      <c r="AT500" s="664"/>
      <c r="AU500" s="664"/>
      <c r="AV500" s="664"/>
      <c r="AW500" s="664"/>
      <c r="AX500" s="664"/>
      <c r="AY500" s="664"/>
      <c r="AZ500" s="664"/>
      <c r="BA500" s="665"/>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row>
    <row r="501" spans="2:105" x14ac:dyDescent="0.35">
      <c r="B501" s="1214"/>
      <c r="C501" s="1211"/>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64"/>
      <c r="AM501" s="664"/>
      <c r="AN501" s="656"/>
      <c r="AO501" s="664"/>
      <c r="AP501" s="664"/>
      <c r="AQ501" s="664"/>
      <c r="AR501" s="656"/>
      <c r="AS501" s="664"/>
      <c r="AT501" s="664"/>
      <c r="AU501" s="664"/>
      <c r="AV501" s="664"/>
      <c r="AW501" s="664"/>
      <c r="AX501" s="664"/>
      <c r="AY501" s="664"/>
      <c r="AZ501" s="664"/>
      <c r="BA501" s="665"/>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row>
    <row r="502" spans="2:105" x14ac:dyDescent="0.35">
      <c r="B502" s="1214"/>
      <c r="C502" s="1211"/>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64"/>
      <c r="AM502" s="664"/>
      <c r="AN502" s="656"/>
      <c r="AO502" s="664"/>
      <c r="AP502" s="664"/>
      <c r="AQ502" s="664"/>
      <c r="AR502" s="656"/>
      <c r="AS502" s="664"/>
      <c r="AT502" s="664"/>
      <c r="AU502" s="664"/>
      <c r="AV502" s="664"/>
      <c r="AW502" s="664"/>
      <c r="AX502" s="664"/>
      <c r="AY502" s="664"/>
      <c r="AZ502" s="664"/>
      <c r="BA502" s="665"/>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row>
    <row r="503" spans="2:105" ht="15" thickBot="1" x14ac:dyDescent="0.4">
      <c r="B503" s="1215"/>
      <c r="C503" s="1212"/>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6"/>
      <c r="AM503" s="666"/>
      <c r="AN503" s="660"/>
      <c r="AO503" s="666"/>
      <c r="AP503" s="666"/>
      <c r="AQ503" s="666"/>
      <c r="AR503" s="660"/>
      <c r="AS503" s="666"/>
      <c r="AT503" s="666"/>
      <c r="AU503" s="666"/>
      <c r="AV503" s="666"/>
      <c r="AW503" s="666"/>
      <c r="AX503" s="666"/>
      <c r="AY503" s="666"/>
      <c r="AZ503" s="666"/>
      <c r="BA503" s="667"/>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row>
    <row r="504" spans="2:105" ht="15" thickBot="1" x14ac:dyDescent="0.4">
      <c r="B504" s="577" t="s">
        <v>1250</v>
      </c>
      <c r="C504" s="1210"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68"/>
      <c r="AM504" s="668"/>
      <c r="AN504" s="650"/>
      <c r="AO504" s="668"/>
      <c r="AP504" s="668"/>
      <c r="AQ504" s="668"/>
      <c r="AR504" s="650"/>
      <c r="AS504" s="668"/>
      <c r="AT504" s="668"/>
      <c r="AU504" s="668"/>
      <c r="AV504" s="668"/>
      <c r="AW504" s="668"/>
      <c r="AX504" s="668"/>
      <c r="AY504" s="668"/>
      <c r="AZ504" s="668"/>
      <c r="BA504" s="669"/>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row>
    <row r="505" spans="2:105" x14ac:dyDescent="0.35">
      <c r="B505" s="1213" t="s">
        <v>1251</v>
      </c>
      <c r="C505" s="1211"/>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71"/>
      <c r="AM505" s="671"/>
      <c r="AN505" s="651"/>
      <c r="AO505" s="671"/>
      <c r="AP505" s="671"/>
      <c r="AQ505" s="671"/>
      <c r="AR505" s="651"/>
      <c r="AS505" s="671"/>
      <c r="AT505" s="671"/>
      <c r="AU505" s="671"/>
      <c r="AV505" s="671"/>
      <c r="AW505" s="671"/>
      <c r="AX505" s="671"/>
      <c r="AY505" s="671"/>
      <c r="AZ505" s="671"/>
      <c r="BA505" s="672"/>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row>
    <row r="506" spans="2:105" x14ac:dyDescent="0.35">
      <c r="B506" s="1214"/>
      <c r="C506" s="1211"/>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64"/>
      <c r="AM506" s="664"/>
      <c r="AN506" s="656"/>
      <c r="AO506" s="664"/>
      <c r="AP506" s="664"/>
      <c r="AQ506" s="664"/>
      <c r="AR506" s="656"/>
      <c r="AS506" s="664"/>
      <c r="AT506" s="664"/>
      <c r="AU506" s="664"/>
      <c r="AV506" s="664"/>
      <c r="AW506" s="664"/>
      <c r="AX506" s="664"/>
      <c r="AY506" s="664"/>
      <c r="AZ506" s="664"/>
      <c r="BA506" s="665"/>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row>
    <row r="507" spans="2:105" x14ac:dyDescent="0.35">
      <c r="B507" s="1214"/>
      <c r="C507" s="1211"/>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64"/>
      <c r="AM507" s="664"/>
      <c r="AN507" s="656"/>
      <c r="AO507" s="664"/>
      <c r="AP507" s="664"/>
      <c r="AQ507" s="664"/>
      <c r="AR507" s="656"/>
      <c r="AS507" s="664"/>
      <c r="AT507" s="664"/>
      <c r="AU507" s="664"/>
      <c r="AV507" s="664"/>
      <c r="AW507" s="664"/>
      <c r="AX507" s="664"/>
      <c r="AY507" s="664"/>
      <c r="AZ507" s="664"/>
      <c r="BA507" s="665"/>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row>
    <row r="508" spans="2:105" x14ac:dyDescent="0.35">
      <c r="B508" s="1214"/>
      <c r="C508" s="1211"/>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64"/>
      <c r="AM508" s="664"/>
      <c r="AN508" s="656"/>
      <c r="AO508" s="664"/>
      <c r="AP508" s="664"/>
      <c r="AQ508" s="664"/>
      <c r="AR508" s="656"/>
      <c r="AS508" s="664"/>
      <c r="AT508" s="664"/>
      <c r="AU508" s="664"/>
      <c r="AV508" s="664"/>
      <c r="AW508" s="664"/>
      <c r="AX508" s="664"/>
      <c r="AY508" s="664"/>
      <c r="AZ508" s="664"/>
      <c r="BA508" s="665"/>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row>
    <row r="509" spans="2:105" x14ac:dyDescent="0.35">
      <c r="B509" s="1214"/>
      <c r="C509" s="1211"/>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64"/>
      <c r="AM509" s="664"/>
      <c r="AN509" s="656"/>
      <c r="AO509" s="664"/>
      <c r="AP509" s="664"/>
      <c r="AQ509" s="664"/>
      <c r="AR509" s="656"/>
      <c r="AS509" s="664"/>
      <c r="AT509" s="664"/>
      <c r="AU509" s="664"/>
      <c r="AV509" s="664"/>
      <c r="AW509" s="664"/>
      <c r="AX509" s="664"/>
      <c r="AY509" s="664"/>
      <c r="AZ509" s="664"/>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row>
    <row r="510" spans="2:105" x14ac:dyDescent="0.35">
      <c r="B510" s="1214"/>
      <c r="C510" s="1211"/>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64"/>
      <c r="AM510" s="664"/>
      <c r="AN510" s="656"/>
      <c r="AO510" s="664"/>
      <c r="AP510" s="664"/>
      <c r="AQ510" s="664"/>
      <c r="AR510" s="656"/>
      <c r="AS510" s="664"/>
      <c r="AT510" s="664"/>
      <c r="AU510" s="664"/>
      <c r="AV510" s="664"/>
      <c r="AW510" s="664"/>
      <c r="AX510" s="664"/>
      <c r="AY510" s="664"/>
      <c r="AZ510" s="664"/>
      <c r="BA510" s="665"/>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row>
    <row r="511" spans="2:105" x14ac:dyDescent="0.35">
      <c r="B511" s="1214"/>
      <c r="C511" s="1211"/>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64"/>
      <c r="AM511" s="664"/>
      <c r="AN511" s="656"/>
      <c r="AO511" s="664"/>
      <c r="AP511" s="664"/>
      <c r="AQ511" s="664"/>
      <c r="AR511" s="656"/>
      <c r="AS511" s="664"/>
      <c r="AT511" s="664"/>
      <c r="AU511" s="664"/>
      <c r="AV511" s="664"/>
      <c r="AW511" s="664"/>
      <c r="AX511" s="664"/>
      <c r="AY511" s="664"/>
      <c r="AZ511" s="664"/>
      <c r="BA511" s="665"/>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row>
    <row r="512" spans="2:105" x14ac:dyDescent="0.35">
      <c r="B512" s="1214"/>
      <c r="C512" s="1211"/>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64"/>
      <c r="AM512" s="664"/>
      <c r="AN512" s="656"/>
      <c r="AO512" s="664"/>
      <c r="AP512" s="664"/>
      <c r="AQ512" s="664"/>
      <c r="AR512" s="656"/>
      <c r="AS512" s="664"/>
      <c r="AT512" s="664"/>
      <c r="AU512" s="664"/>
      <c r="AV512" s="664"/>
      <c r="AW512" s="664"/>
      <c r="AX512" s="664"/>
      <c r="AY512" s="664"/>
      <c r="AZ512" s="664"/>
      <c r="BA512" s="665"/>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row>
    <row r="513" spans="2:105" x14ac:dyDescent="0.35">
      <c r="B513" s="1214"/>
      <c r="C513" s="1211"/>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64"/>
      <c r="AM513" s="664"/>
      <c r="AN513" s="656"/>
      <c r="AO513" s="664"/>
      <c r="AP513" s="664"/>
      <c r="AQ513" s="664"/>
      <c r="AR513" s="656"/>
      <c r="AS513" s="664"/>
      <c r="AT513" s="664"/>
      <c r="AU513" s="664"/>
      <c r="AV513" s="664"/>
      <c r="AW513" s="664"/>
      <c r="AX513" s="664"/>
      <c r="AY513" s="664"/>
      <c r="AZ513" s="664"/>
      <c r="BA513" s="665"/>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row>
    <row r="514" spans="2:105" x14ac:dyDescent="0.35">
      <c r="B514" s="1214"/>
      <c r="C514" s="1211"/>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64"/>
      <c r="AM514" s="664"/>
      <c r="AN514" s="656"/>
      <c r="AO514" s="664"/>
      <c r="AP514" s="664"/>
      <c r="AQ514" s="664"/>
      <c r="AR514" s="656"/>
      <c r="AS514" s="664"/>
      <c r="AT514" s="664"/>
      <c r="AU514" s="664"/>
      <c r="AV514" s="664"/>
      <c r="AW514" s="664"/>
      <c r="AX514" s="664"/>
      <c r="AY514" s="664"/>
      <c r="AZ514" s="664"/>
      <c r="BA514" s="665"/>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row>
    <row r="515" spans="2:105" x14ac:dyDescent="0.35">
      <c r="B515" s="1214"/>
      <c r="C515" s="1211"/>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64"/>
      <c r="AM515" s="664"/>
      <c r="AN515" s="656"/>
      <c r="AO515" s="664"/>
      <c r="AP515" s="664"/>
      <c r="AQ515" s="664"/>
      <c r="AR515" s="656"/>
      <c r="AS515" s="664"/>
      <c r="AT515" s="664"/>
      <c r="AU515" s="664"/>
      <c r="AV515" s="664"/>
      <c r="AW515" s="664"/>
      <c r="AX515" s="664"/>
      <c r="AY515" s="664"/>
      <c r="AZ515" s="664"/>
      <c r="BA515" s="665"/>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row>
    <row r="516" spans="2:105" x14ac:dyDescent="0.35">
      <c r="B516" s="1214"/>
      <c r="C516" s="1211"/>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64"/>
      <c r="AM516" s="664"/>
      <c r="AN516" s="656"/>
      <c r="AO516" s="664"/>
      <c r="AP516" s="664"/>
      <c r="AQ516" s="664"/>
      <c r="AR516" s="656"/>
      <c r="AS516" s="664"/>
      <c r="AT516" s="664"/>
      <c r="AU516" s="664"/>
      <c r="AV516" s="664"/>
      <c r="AW516" s="664"/>
      <c r="AX516" s="664"/>
      <c r="AY516" s="664"/>
      <c r="AZ516" s="664"/>
      <c r="BA516" s="665"/>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row>
    <row r="517" spans="2:105" x14ac:dyDescent="0.35">
      <c r="B517" s="1214"/>
      <c r="C517" s="1211"/>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64"/>
      <c r="AM517" s="664"/>
      <c r="AN517" s="656"/>
      <c r="AO517" s="664"/>
      <c r="AP517" s="664"/>
      <c r="AQ517" s="664"/>
      <c r="AR517" s="656"/>
      <c r="AS517" s="664"/>
      <c r="AT517" s="664"/>
      <c r="AU517" s="664"/>
      <c r="AV517" s="664"/>
      <c r="AW517" s="664"/>
      <c r="AX517" s="664"/>
      <c r="AY517" s="664"/>
      <c r="AZ517" s="664"/>
      <c r="BA517" s="665"/>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row>
    <row r="518" spans="2:105" x14ac:dyDescent="0.35">
      <c r="B518" s="1214"/>
      <c r="C518" s="1211"/>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64"/>
      <c r="AM518" s="664"/>
      <c r="AN518" s="656"/>
      <c r="AO518" s="664"/>
      <c r="AP518" s="664"/>
      <c r="AQ518" s="664"/>
      <c r="AR518" s="656"/>
      <c r="AS518" s="664"/>
      <c r="AT518" s="664"/>
      <c r="AU518" s="664"/>
      <c r="AV518" s="664"/>
      <c r="AW518" s="664"/>
      <c r="AX518" s="664"/>
      <c r="AY518" s="664"/>
      <c r="AZ518" s="664"/>
      <c r="BA518" s="665"/>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row>
    <row r="519" spans="2:105" x14ac:dyDescent="0.35">
      <c r="B519" s="1214"/>
      <c r="C519" s="1211"/>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64"/>
      <c r="AM519" s="664"/>
      <c r="AN519" s="656"/>
      <c r="AO519" s="664"/>
      <c r="AP519" s="664"/>
      <c r="AQ519" s="664"/>
      <c r="AR519" s="656"/>
      <c r="AS519" s="664"/>
      <c r="AT519" s="664"/>
      <c r="AU519" s="664"/>
      <c r="AV519" s="664"/>
      <c r="AW519" s="664"/>
      <c r="AX519" s="664"/>
      <c r="AY519" s="664"/>
      <c r="AZ519" s="664"/>
      <c r="BA519" s="665"/>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row>
    <row r="520" spans="2:105" ht="15" thickBot="1" x14ac:dyDescent="0.4">
      <c r="B520" s="1215"/>
      <c r="C520" s="1212"/>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6"/>
      <c r="AM520" s="666"/>
      <c r="AN520" s="660"/>
      <c r="AO520" s="666"/>
      <c r="AP520" s="666"/>
      <c r="AQ520" s="666"/>
      <c r="AR520" s="660"/>
      <c r="AS520" s="666"/>
      <c r="AT520" s="666"/>
      <c r="AU520" s="666"/>
      <c r="AV520" s="666"/>
      <c r="AW520" s="666"/>
      <c r="AX520" s="666"/>
      <c r="AY520" s="666"/>
      <c r="AZ520" s="666"/>
      <c r="BA520" s="667"/>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row>
    <row r="521" spans="2:105" ht="15" thickBot="1" x14ac:dyDescent="0.4">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5"/>
      <c r="AM521" s="675"/>
      <c r="AN521" s="674"/>
      <c r="AO521" s="675"/>
      <c r="AP521" s="675"/>
      <c r="AQ521" s="675"/>
      <c r="AR521" s="674"/>
      <c r="AS521" s="675"/>
      <c r="AT521" s="675"/>
      <c r="AU521" s="675"/>
      <c r="AV521" s="675"/>
      <c r="AW521" s="675"/>
      <c r="AX521" s="675"/>
      <c r="AY521" s="675"/>
      <c r="AZ521" s="675"/>
      <c r="BA521" s="676"/>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row>
    <row r="522" spans="2:105" ht="15" thickBot="1" x14ac:dyDescent="0.4">
      <c r="B522" s="577" t="s">
        <v>1183</v>
      </c>
      <c r="C522" s="1210"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8"/>
      <c r="AM522" s="628"/>
      <c r="AN522" s="626"/>
      <c r="AO522" s="628"/>
      <c r="AP522" s="628"/>
      <c r="AQ522" s="628"/>
      <c r="AR522" s="626"/>
      <c r="AS522" s="628"/>
      <c r="AT522" s="628"/>
      <c r="AU522" s="628"/>
      <c r="AV522" s="628"/>
      <c r="AW522" s="628"/>
      <c r="AX522" s="628"/>
      <c r="AY522" s="628"/>
      <c r="AZ522" s="628"/>
      <c r="BA522" s="629"/>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row>
    <row r="523" spans="2:105" x14ac:dyDescent="0.35">
      <c r="B523" s="1213" t="s">
        <v>1184</v>
      </c>
      <c r="C523" s="1211"/>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62"/>
      <c r="AM523" s="662"/>
      <c r="AN523" s="631"/>
      <c r="AO523" s="662"/>
      <c r="AP523" s="662"/>
      <c r="AQ523" s="662"/>
      <c r="AR523" s="631"/>
      <c r="AS523" s="662"/>
      <c r="AT523" s="662"/>
      <c r="AU523" s="662"/>
      <c r="AV523" s="662"/>
      <c r="AW523" s="662"/>
      <c r="AX523" s="662"/>
      <c r="AY523" s="662"/>
      <c r="AZ523" s="662"/>
      <c r="BA523" s="663"/>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row>
    <row r="524" spans="2:105" x14ac:dyDescent="0.35">
      <c r="B524" s="1214"/>
      <c r="C524" s="1211"/>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64"/>
      <c r="AM524" s="664"/>
      <c r="AN524" s="636"/>
      <c r="AO524" s="664"/>
      <c r="AP524" s="664"/>
      <c r="AQ524" s="664"/>
      <c r="AR524" s="636"/>
      <c r="AS524" s="664"/>
      <c r="AT524" s="664"/>
      <c r="AU524" s="664"/>
      <c r="AV524" s="664"/>
      <c r="AW524" s="664"/>
      <c r="AX524" s="664"/>
      <c r="AY524" s="664"/>
      <c r="AZ524" s="664"/>
      <c r="BA524" s="665"/>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row>
    <row r="525" spans="2:105" x14ac:dyDescent="0.35">
      <c r="B525" s="1214"/>
      <c r="C525" s="1211"/>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64"/>
      <c r="AM525" s="664"/>
      <c r="AN525" s="636"/>
      <c r="AO525" s="664"/>
      <c r="AP525" s="664"/>
      <c r="AQ525" s="664"/>
      <c r="AR525" s="636"/>
      <c r="AS525" s="664"/>
      <c r="AT525" s="664"/>
      <c r="AU525" s="664"/>
      <c r="AV525" s="664"/>
      <c r="AW525" s="664"/>
      <c r="AX525" s="664"/>
      <c r="AY525" s="664"/>
      <c r="AZ525" s="664"/>
      <c r="BA525" s="665"/>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row>
    <row r="526" spans="2:105" x14ac:dyDescent="0.35">
      <c r="B526" s="1214"/>
      <c r="C526" s="1211"/>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64"/>
      <c r="AM526" s="664"/>
      <c r="AN526" s="636"/>
      <c r="AO526" s="664"/>
      <c r="AP526" s="664"/>
      <c r="AQ526" s="664"/>
      <c r="AR526" s="636"/>
      <c r="AS526" s="664"/>
      <c r="AT526" s="664"/>
      <c r="AU526" s="664"/>
      <c r="AV526" s="664"/>
      <c r="AW526" s="664"/>
      <c r="AX526" s="664"/>
      <c r="AY526" s="664"/>
      <c r="AZ526" s="664"/>
      <c r="BA526" s="665"/>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row>
    <row r="527" spans="2:105" x14ac:dyDescent="0.35">
      <c r="B527" s="1214"/>
      <c r="C527" s="1211"/>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64"/>
      <c r="AM527" s="664"/>
      <c r="AN527" s="636"/>
      <c r="AO527" s="664"/>
      <c r="AP527" s="664"/>
      <c r="AQ527" s="664"/>
      <c r="AR527" s="636"/>
      <c r="AS527" s="664"/>
      <c r="AT527" s="664"/>
      <c r="AU527" s="664"/>
      <c r="AV527" s="664"/>
      <c r="AW527" s="664"/>
      <c r="AX527" s="664"/>
      <c r="AY527" s="664"/>
      <c r="AZ527" s="664"/>
      <c r="BA527" s="665"/>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row>
    <row r="528" spans="2:105" x14ac:dyDescent="0.35">
      <c r="B528" s="1214"/>
      <c r="C528" s="1211"/>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64"/>
      <c r="AM528" s="664"/>
      <c r="AN528" s="636"/>
      <c r="AO528" s="664"/>
      <c r="AP528" s="664"/>
      <c r="AQ528" s="664"/>
      <c r="AR528" s="636"/>
      <c r="AS528" s="664"/>
      <c r="AT528" s="664"/>
      <c r="AU528" s="664"/>
      <c r="AV528" s="664"/>
      <c r="AW528" s="664"/>
      <c r="AX528" s="664"/>
      <c r="AY528" s="664"/>
      <c r="AZ528" s="664"/>
      <c r="BA528" s="665"/>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row>
    <row r="529" spans="2:105" x14ac:dyDescent="0.35">
      <c r="B529" s="1214"/>
      <c r="C529" s="1211"/>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64"/>
      <c r="AM529" s="664"/>
      <c r="AN529" s="636"/>
      <c r="AO529" s="664"/>
      <c r="AP529" s="664"/>
      <c r="AQ529" s="664"/>
      <c r="AR529" s="636"/>
      <c r="AS529" s="664"/>
      <c r="AT529" s="664"/>
      <c r="AU529" s="664"/>
      <c r="AV529" s="664"/>
      <c r="AW529" s="664"/>
      <c r="AX529" s="664"/>
      <c r="AY529" s="664"/>
      <c r="AZ529" s="664"/>
      <c r="BA529" s="665"/>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row>
    <row r="530" spans="2:105" x14ac:dyDescent="0.35">
      <c r="B530" s="1214"/>
      <c r="C530" s="1211"/>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64"/>
      <c r="AM530" s="664"/>
      <c r="AN530" s="636"/>
      <c r="AO530" s="664"/>
      <c r="AP530" s="664"/>
      <c r="AQ530" s="664"/>
      <c r="AR530" s="636"/>
      <c r="AS530" s="664"/>
      <c r="AT530" s="664"/>
      <c r="AU530" s="664"/>
      <c r="AV530" s="664"/>
      <c r="AW530" s="664"/>
      <c r="AX530" s="664"/>
      <c r="AY530" s="664"/>
      <c r="AZ530" s="664"/>
      <c r="BA530" s="665"/>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row>
    <row r="531" spans="2:105" x14ac:dyDescent="0.35">
      <c r="B531" s="1214"/>
      <c r="C531" s="1211"/>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64"/>
      <c r="AM531" s="664"/>
      <c r="AN531" s="636"/>
      <c r="AO531" s="664"/>
      <c r="AP531" s="664"/>
      <c r="AQ531" s="664"/>
      <c r="AR531" s="636"/>
      <c r="AS531" s="664"/>
      <c r="AT531" s="664"/>
      <c r="AU531" s="664"/>
      <c r="AV531" s="664"/>
      <c r="AW531" s="664"/>
      <c r="AX531" s="664"/>
      <c r="AY531" s="664"/>
      <c r="AZ531" s="664"/>
      <c r="BA531" s="665"/>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row>
    <row r="532" spans="2:105" x14ac:dyDescent="0.35">
      <c r="B532" s="1214"/>
      <c r="C532" s="1211"/>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64"/>
      <c r="AM532" s="664"/>
      <c r="AN532" s="636"/>
      <c r="AO532" s="664"/>
      <c r="AP532" s="664"/>
      <c r="AQ532" s="664"/>
      <c r="AR532" s="636"/>
      <c r="AS532" s="664"/>
      <c r="AT532" s="664"/>
      <c r="AU532" s="664"/>
      <c r="AV532" s="664"/>
      <c r="AW532" s="664"/>
      <c r="AX532" s="664"/>
      <c r="AY532" s="664"/>
      <c r="AZ532" s="664"/>
      <c r="BA532" s="665"/>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row>
    <row r="533" spans="2:105" x14ac:dyDescent="0.35">
      <c r="B533" s="1214"/>
      <c r="C533" s="1211"/>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64"/>
      <c r="AM533" s="664"/>
      <c r="AN533" s="636"/>
      <c r="AO533" s="664"/>
      <c r="AP533" s="664"/>
      <c r="AQ533" s="664"/>
      <c r="AR533" s="636"/>
      <c r="AS533" s="664"/>
      <c r="AT533" s="664"/>
      <c r="AU533" s="664"/>
      <c r="AV533" s="664"/>
      <c r="AW533" s="664"/>
      <c r="AX533" s="664"/>
      <c r="AY533" s="664"/>
      <c r="AZ533" s="664"/>
      <c r="BA533" s="665"/>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row>
    <row r="534" spans="2:105" x14ac:dyDescent="0.35">
      <c r="B534" s="1214"/>
      <c r="C534" s="1211"/>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64"/>
      <c r="AM534" s="664"/>
      <c r="AN534" s="636"/>
      <c r="AO534" s="664"/>
      <c r="AP534" s="664"/>
      <c r="AQ534" s="664"/>
      <c r="AR534" s="636"/>
      <c r="AS534" s="664"/>
      <c r="AT534" s="664"/>
      <c r="AU534" s="664"/>
      <c r="AV534" s="664"/>
      <c r="AW534" s="664"/>
      <c r="AX534" s="664"/>
      <c r="AY534" s="664"/>
      <c r="AZ534" s="664"/>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row>
    <row r="535" spans="2:105" x14ac:dyDescent="0.35">
      <c r="B535" s="1214"/>
      <c r="C535" s="1211"/>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64"/>
      <c r="AM535" s="664"/>
      <c r="AN535" s="636"/>
      <c r="AO535" s="664"/>
      <c r="AP535" s="664"/>
      <c r="AQ535" s="664"/>
      <c r="AR535" s="636"/>
      <c r="AS535" s="664"/>
      <c r="AT535" s="664"/>
      <c r="AU535" s="664"/>
      <c r="AV535" s="664"/>
      <c r="AW535" s="664"/>
      <c r="AX535" s="664"/>
      <c r="AY535" s="664"/>
      <c r="AZ535" s="664"/>
      <c r="BA535" s="665"/>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row>
    <row r="536" spans="2:105" x14ac:dyDescent="0.35">
      <c r="B536" s="1214"/>
      <c r="C536" s="1211"/>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64"/>
      <c r="AM536" s="664"/>
      <c r="AN536" s="636"/>
      <c r="AO536" s="664"/>
      <c r="AP536" s="664"/>
      <c r="AQ536" s="664"/>
      <c r="AR536" s="636"/>
      <c r="AS536" s="664"/>
      <c r="AT536" s="664"/>
      <c r="AU536" s="664"/>
      <c r="AV536" s="664"/>
      <c r="AW536" s="664"/>
      <c r="AX536" s="664"/>
      <c r="AY536" s="664"/>
      <c r="AZ536" s="664"/>
      <c r="BA536" s="665"/>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row>
    <row r="537" spans="2:105" x14ac:dyDescent="0.35">
      <c r="B537" s="1214"/>
      <c r="C537" s="1211"/>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64"/>
      <c r="AM537" s="664"/>
      <c r="AN537" s="636"/>
      <c r="AO537" s="664"/>
      <c r="AP537" s="664"/>
      <c r="AQ537" s="664"/>
      <c r="AR537" s="636"/>
      <c r="AS537" s="664"/>
      <c r="AT537" s="664"/>
      <c r="AU537" s="664"/>
      <c r="AV537" s="664"/>
      <c r="AW537" s="664"/>
      <c r="AX537" s="664"/>
      <c r="AY537" s="664"/>
      <c r="AZ537" s="664"/>
      <c r="BA537" s="665"/>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row>
    <row r="538" spans="2:105" ht="15" thickBot="1" x14ac:dyDescent="0.4">
      <c r="B538" s="1215"/>
      <c r="C538" s="1212"/>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66"/>
      <c r="AM538" s="666"/>
      <c r="AN538" s="641"/>
      <c r="AO538" s="666"/>
      <c r="AP538" s="666"/>
      <c r="AQ538" s="666"/>
      <c r="AR538" s="641"/>
      <c r="AS538" s="666"/>
      <c r="AT538" s="666"/>
      <c r="AU538" s="666"/>
      <c r="AV538" s="666"/>
      <c r="AW538" s="666"/>
      <c r="AX538" s="666"/>
      <c r="AY538" s="666"/>
      <c r="AZ538" s="666"/>
      <c r="BA538" s="667"/>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row>
    <row r="539" spans="2:105" ht="15" thickBot="1" x14ac:dyDescent="0.4">
      <c r="B539" s="577" t="s">
        <v>1185</v>
      </c>
      <c r="C539" s="1210"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68"/>
      <c r="AM539" s="668"/>
      <c r="AN539" s="646"/>
      <c r="AO539" s="668"/>
      <c r="AP539" s="668"/>
      <c r="AQ539" s="668"/>
      <c r="AR539" s="646"/>
      <c r="AS539" s="668"/>
      <c r="AT539" s="668"/>
      <c r="AU539" s="668"/>
      <c r="AV539" s="668"/>
      <c r="AW539" s="668"/>
      <c r="AX539" s="668"/>
      <c r="AY539" s="668"/>
      <c r="AZ539" s="668"/>
      <c r="BA539" s="669"/>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row>
    <row r="540" spans="2:105" x14ac:dyDescent="0.35">
      <c r="B540" s="1213" t="s">
        <v>1186</v>
      </c>
      <c r="C540" s="1211"/>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71"/>
      <c r="AM540" s="671"/>
      <c r="AN540" s="651"/>
      <c r="AO540" s="671"/>
      <c r="AP540" s="671"/>
      <c r="AQ540" s="671"/>
      <c r="AR540" s="651"/>
      <c r="AS540" s="671"/>
      <c r="AT540" s="671"/>
      <c r="AU540" s="671"/>
      <c r="AV540" s="671"/>
      <c r="AW540" s="671"/>
      <c r="AX540" s="671"/>
      <c r="AY540" s="671"/>
      <c r="AZ540" s="671"/>
      <c r="BA540" s="672"/>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row>
    <row r="541" spans="2:105" x14ac:dyDescent="0.35">
      <c r="B541" s="1214"/>
      <c r="C541" s="1211"/>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64"/>
      <c r="AM541" s="664"/>
      <c r="AN541" s="656"/>
      <c r="AO541" s="664"/>
      <c r="AP541" s="664"/>
      <c r="AQ541" s="664"/>
      <c r="AR541" s="656"/>
      <c r="AS541" s="664"/>
      <c r="AT541" s="664"/>
      <c r="AU541" s="664"/>
      <c r="AV541" s="664"/>
      <c r="AW541" s="664"/>
      <c r="AX541" s="664"/>
      <c r="AY541" s="664"/>
      <c r="AZ541" s="664"/>
      <c r="BA541" s="665"/>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row>
    <row r="542" spans="2:105" x14ac:dyDescent="0.35">
      <c r="B542" s="1214"/>
      <c r="C542" s="1211"/>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64"/>
      <c r="AM542" s="664"/>
      <c r="AN542" s="656"/>
      <c r="AO542" s="664"/>
      <c r="AP542" s="664"/>
      <c r="AQ542" s="664"/>
      <c r="AR542" s="656"/>
      <c r="AS542" s="664"/>
      <c r="AT542" s="664"/>
      <c r="AU542" s="664"/>
      <c r="AV542" s="664"/>
      <c r="AW542" s="664"/>
      <c r="AX542" s="664"/>
      <c r="AY542" s="664"/>
      <c r="AZ542" s="664"/>
      <c r="BA542" s="665"/>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row>
    <row r="543" spans="2:105" x14ac:dyDescent="0.35">
      <c r="B543" s="1214"/>
      <c r="C543" s="1211"/>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64"/>
      <c r="AM543" s="664"/>
      <c r="AN543" s="656"/>
      <c r="AO543" s="664"/>
      <c r="AP543" s="664"/>
      <c r="AQ543" s="664"/>
      <c r="AR543" s="656"/>
      <c r="AS543" s="664"/>
      <c r="AT543" s="664"/>
      <c r="AU543" s="664"/>
      <c r="AV543" s="664"/>
      <c r="AW543" s="664"/>
      <c r="AX543" s="664"/>
      <c r="AY543" s="664"/>
      <c r="AZ543" s="664"/>
      <c r="BA543" s="665"/>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row>
    <row r="544" spans="2:105" x14ac:dyDescent="0.35">
      <c r="B544" s="1214"/>
      <c r="C544" s="1211"/>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64"/>
      <c r="AM544" s="664"/>
      <c r="AN544" s="656"/>
      <c r="AO544" s="664"/>
      <c r="AP544" s="664"/>
      <c r="AQ544" s="664"/>
      <c r="AR544" s="656"/>
      <c r="AS544" s="664"/>
      <c r="AT544" s="664"/>
      <c r="AU544" s="664"/>
      <c r="AV544" s="664"/>
      <c r="AW544" s="664"/>
      <c r="AX544" s="664"/>
      <c r="AY544" s="664"/>
      <c r="AZ544" s="664"/>
      <c r="BA544" s="665"/>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row>
    <row r="545" spans="2:105" x14ac:dyDescent="0.35">
      <c r="B545" s="1214"/>
      <c r="C545" s="1211"/>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64"/>
      <c r="AM545" s="664"/>
      <c r="AN545" s="656"/>
      <c r="AO545" s="664"/>
      <c r="AP545" s="664"/>
      <c r="AQ545" s="664"/>
      <c r="AR545" s="656"/>
      <c r="AS545" s="664"/>
      <c r="AT545" s="664"/>
      <c r="AU545" s="664"/>
      <c r="AV545" s="664"/>
      <c r="AW545" s="664"/>
      <c r="AX545" s="664"/>
      <c r="AY545" s="664"/>
      <c r="AZ545" s="664"/>
      <c r="BA545" s="665"/>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row>
    <row r="546" spans="2:105" x14ac:dyDescent="0.35">
      <c r="B546" s="1214"/>
      <c r="C546" s="1211"/>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64"/>
      <c r="AM546" s="664"/>
      <c r="AN546" s="657"/>
      <c r="AO546" s="664"/>
      <c r="AP546" s="664"/>
      <c r="AQ546" s="664"/>
      <c r="AR546" s="657"/>
      <c r="AS546" s="664"/>
      <c r="AT546" s="664"/>
      <c r="AU546" s="664"/>
      <c r="AV546" s="664"/>
      <c r="AW546" s="664"/>
      <c r="AX546" s="664"/>
      <c r="AY546" s="664"/>
      <c r="AZ546" s="664"/>
      <c r="BA546" s="665"/>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row>
    <row r="547" spans="2:105" x14ac:dyDescent="0.35">
      <c r="B547" s="1214"/>
      <c r="C547" s="1211"/>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64"/>
      <c r="AM547" s="664"/>
      <c r="AN547" s="656"/>
      <c r="AO547" s="664"/>
      <c r="AP547" s="664"/>
      <c r="AQ547" s="664"/>
      <c r="AR547" s="656"/>
      <c r="AS547" s="664"/>
      <c r="AT547" s="664"/>
      <c r="AU547" s="664"/>
      <c r="AV547" s="664"/>
      <c r="AW547" s="664"/>
      <c r="AX547" s="664"/>
      <c r="AY547" s="664"/>
      <c r="AZ547" s="664"/>
      <c r="BA547" s="665"/>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row>
    <row r="548" spans="2:105" x14ac:dyDescent="0.35">
      <c r="B548" s="1214"/>
      <c r="C548" s="1211"/>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64"/>
      <c r="AM548" s="664"/>
      <c r="AN548" s="656"/>
      <c r="AO548" s="664"/>
      <c r="AP548" s="664"/>
      <c r="AQ548" s="664"/>
      <c r="AR548" s="656"/>
      <c r="AS548" s="664"/>
      <c r="AT548" s="664"/>
      <c r="AU548" s="664"/>
      <c r="AV548" s="664"/>
      <c r="AW548" s="664"/>
      <c r="AX548" s="664"/>
      <c r="AY548" s="664"/>
      <c r="AZ548" s="664"/>
      <c r="BA548" s="665"/>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row>
    <row r="549" spans="2:105" x14ac:dyDescent="0.35">
      <c r="B549" s="1214"/>
      <c r="C549" s="1211"/>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64"/>
      <c r="AM549" s="664"/>
      <c r="AN549" s="658"/>
      <c r="AO549" s="664"/>
      <c r="AP549" s="664"/>
      <c r="AQ549" s="664"/>
      <c r="AR549" s="658"/>
      <c r="AS549" s="664"/>
      <c r="AT549" s="664"/>
      <c r="AU549" s="664"/>
      <c r="AV549" s="664"/>
      <c r="AW549" s="664"/>
      <c r="AX549" s="664"/>
      <c r="AY549" s="664"/>
      <c r="AZ549" s="664"/>
      <c r="BA549" s="665"/>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row>
    <row r="550" spans="2:105" x14ac:dyDescent="0.35">
      <c r="B550" s="1214"/>
      <c r="C550" s="1211"/>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64"/>
      <c r="AM550" s="664"/>
      <c r="AN550" s="656"/>
      <c r="AO550" s="664"/>
      <c r="AP550" s="664"/>
      <c r="AQ550" s="664"/>
      <c r="AR550" s="656"/>
      <c r="AS550" s="664"/>
      <c r="AT550" s="664"/>
      <c r="AU550" s="664"/>
      <c r="AV550" s="664"/>
      <c r="AW550" s="664"/>
      <c r="AX550" s="664"/>
      <c r="AY550" s="664"/>
      <c r="AZ550" s="664"/>
      <c r="BA550" s="665"/>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row>
    <row r="551" spans="2:105" x14ac:dyDescent="0.35">
      <c r="B551" s="1214"/>
      <c r="C551" s="1211"/>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64"/>
      <c r="AM551" s="664"/>
      <c r="AN551" s="656"/>
      <c r="AO551" s="664"/>
      <c r="AP551" s="664"/>
      <c r="AQ551" s="664"/>
      <c r="AR551" s="656"/>
      <c r="AS551" s="664"/>
      <c r="AT551" s="664"/>
      <c r="AU551" s="664"/>
      <c r="AV551" s="664"/>
      <c r="AW551" s="664"/>
      <c r="AX551" s="664"/>
      <c r="AY551" s="664"/>
      <c r="AZ551" s="664"/>
      <c r="BA551" s="665"/>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row>
    <row r="552" spans="2:105" x14ac:dyDescent="0.35">
      <c r="B552" s="1214"/>
      <c r="C552" s="1211"/>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64"/>
      <c r="AM552" s="664"/>
      <c r="AN552" s="656"/>
      <c r="AO552" s="664"/>
      <c r="AP552" s="664"/>
      <c r="AQ552" s="664"/>
      <c r="AR552" s="656"/>
      <c r="AS552" s="664"/>
      <c r="AT552" s="664"/>
      <c r="AU552" s="664"/>
      <c r="AV552" s="664"/>
      <c r="AW552" s="664"/>
      <c r="AX552" s="664"/>
      <c r="AY552" s="664"/>
      <c r="AZ552" s="664"/>
      <c r="BA552" s="665"/>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row>
    <row r="553" spans="2:105" x14ac:dyDescent="0.35">
      <c r="B553" s="1214"/>
      <c r="C553" s="1211"/>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64"/>
      <c r="AM553" s="664"/>
      <c r="AN553" s="656"/>
      <c r="AO553" s="664"/>
      <c r="AP553" s="664"/>
      <c r="AQ553" s="664"/>
      <c r="AR553" s="656"/>
      <c r="AS553" s="664"/>
      <c r="AT553" s="664"/>
      <c r="AU553" s="664"/>
      <c r="AV553" s="664"/>
      <c r="AW553" s="664"/>
      <c r="AX553" s="664"/>
      <c r="AY553" s="664"/>
      <c r="AZ553" s="664"/>
      <c r="BA553" s="665"/>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row>
    <row r="554" spans="2:105" x14ac:dyDescent="0.35">
      <c r="B554" s="1214"/>
      <c r="C554" s="1211"/>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64"/>
      <c r="AM554" s="664"/>
      <c r="AN554" s="656"/>
      <c r="AO554" s="664"/>
      <c r="AP554" s="664"/>
      <c r="AQ554" s="664"/>
      <c r="AR554" s="656"/>
      <c r="AS554" s="664"/>
      <c r="AT554" s="664"/>
      <c r="AU554" s="664"/>
      <c r="AV554" s="664"/>
      <c r="AW554" s="664"/>
      <c r="AX554" s="664"/>
      <c r="AY554" s="664"/>
      <c r="AZ554" s="664"/>
      <c r="BA554" s="665"/>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row>
    <row r="555" spans="2:105" ht="15" thickBot="1" x14ac:dyDescent="0.4">
      <c r="B555" s="1215"/>
      <c r="C555" s="1212"/>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6"/>
      <c r="AM555" s="666"/>
      <c r="AN555" s="660"/>
      <c r="AO555" s="666"/>
      <c r="AP555" s="666"/>
      <c r="AQ555" s="666"/>
      <c r="AR555" s="660"/>
      <c r="AS555" s="666"/>
      <c r="AT555" s="666"/>
      <c r="AU555" s="666"/>
      <c r="AV555" s="666"/>
      <c r="AW555" s="666"/>
      <c r="AX555" s="666"/>
      <c r="AY555" s="666"/>
      <c r="AZ555" s="666"/>
      <c r="BA555" s="667"/>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row>
    <row r="556" spans="2:105" ht="15" thickBot="1" x14ac:dyDescent="0.4">
      <c r="B556" s="577" t="s">
        <v>1187</v>
      </c>
      <c r="C556" s="1210"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68"/>
      <c r="AM556" s="668"/>
      <c r="AN556" s="650"/>
      <c r="AO556" s="668"/>
      <c r="AP556" s="668"/>
      <c r="AQ556" s="668"/>
      <c r="AR556" s="650"/>
      <c r="AS556" s="668"/>
      <c r="AT556" s="668"/>
      <c r="AU556" s="668"/>
      <c r="AV556" s="668"/>
      <c r="AW556" s="668"/>
      <c r="AX556" s="668"/>
      <c r="AY556" s="668"/>
      <c r="AZ556" s="668"/>
      <c r="BA556" s="669"/>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row>
    <row r="557" spans="2:105" x14ac:dyDescent="0.35">
      <c r="B557" s="1213" t="s">
        <v>1188</v>
      </c>
      <c r="C557" s="1211"/>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71"/>
      <c r="AM557" s="671"/>
      <c r="AN557" s="651"/>
      <c r="AO557" s="671"/>
      <c r="AP557" s="671"/>
      <c r="AQ557" s="671"/>
      <c r="AR557" s="651"/>
      <c r="AS557" s="671"/>
      <c r="AT557" s="671"/>
      <c r="AU557" s="671"/>
      <c r="AV557" s="671"/>
      <c r="AW557" s="671"/>
      <c r="AX557" s="671"/>
      <c r="AY557" s="671"/>
      <c r="AZ557" s="671"/>
      <c r="BA557" s="672"/>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row>
    <row r="558" spans="2:105" x14ac:dyDescent="0.35">
      <c r="B558" s="1214"/>
      <c r="C558" s="1211"/>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64"/>
      <c r="AM558" s="664"/>
      <c r="AN558" s="656"/>
      <c r="AO558" s="664"/>
      <c r="AP558" s="664"/>
      <c r="AQ558" s="664"/>
      <c r="AR558" s="656"/>
      <c r="AS558" s="664"/>
      <c r="AT558" s="664"/>
      <c r="AU558" s="664"/>
      <c r="AV558" s="664"/>
      <c r="AW558" s="664"/>
      <c r="AX558" s="664"/>
      <c r="AY558" s="664"/>
      <c r="AZ558" s="664"/>
      <c r="BA558" s="665"/>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row>
    <row r="559" spans="2:105" x14ac:dyDescent="0.35">
      <c r="B559" s="1214"/>
      <c r="C559" s="1211"/>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64"/>
      <c r="AM559" s="664"/>
      <c r="AN559" s="656"/>
      <c r="AO559" s="664"/>
      <c r="AP559" s="664"/>
      <c r="AQ559" s="664"/>
      <c r="AR559" s="656"/>
      <c r="AS559" s="664"/>
      <c r="AT559" s="664"/>
      <c r="AU559" s="664"/>
      <c r="AV559" s="664"/>
      <c r="AW559" s="664"/>
      <c r="AX559" s="664"/>
      <c r="AY559" s="664"/>
      <c r="AZ559" s="664"/>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row>
    <row r="560" spans="2:105" x14ac:dyDescent="0.35">
      <c r="B560" s="1214"/>
      <c r="C560" s="1211"/>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64"/>
      <c r="AM560" s="664"/>
      <c r="AN560" s="656"/>
      <c r="AO560" s="664"/>
      <c r="AP560" s="664"/>
      <c r="AQ560" s="664"/>
      <c r="AR560" s="656"/>
      <c r="AS560" s="664"/>
      <c r="AT560" s="664"/>
      <c r="AU560" s="664"/>
      <c r="AV560" s="664"/>
      <c r="AW560" s="664"/>
      <c r="AX560" s="664"/>
      <c r="AY560" s="664"/>
      <c r="AZ560" s="664"/>
      <c r="BA560" s="665"/>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row>
    <row r="561" spans="2:105" x14ac:dyDescent="0.35">
      <c r="B561" s="1214"/>
      <c r="C561" s="1211"/>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64"/>
      <c r="AM561" s="664"/>
      <c r="AN561" s="656"/>
      <c r="AO561" s="664"/>
      <c r="AP561" s="664"/>
      <c r="AQ561" s="664"/>
      <c r="AR561" s="656"/>
      <c r="AS561" s="664"/>
      <c r="AT561" s="664"/>
      <c r="AU561" s="664"/>
      <c r="AV561" s="664"/>
      <c r="AW561" s="664"/>
      <c r="AX561" s="664"/>
      <c r="AY561" s="664"/>
      <c r="AZ561" s="664"/>
      <c r="BA561" s="665"/>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row>
    <row r="562" spans="2:105" x14ac:dyDescent="0.35">
      <c r="B562" s="1214"/>
      <c r="C562" s="1211"/>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64"/>
      <c r="AM562" s="664"/>
      <c r="AN562" s="656"/>
      <c r="AO562" s="664"/>
      <c r="AP562" s="664"/>
      <c r="AQ562" s="664"/>
      <c r="AR562" s="656"/>
      <c r="AS562" s="664"/>
      <c r="AT562" s="664"/>
      <c r="AU562" s="664"/>
      <c r="AV562" s="664"/>
      <c r="AW562" s="664"/>
      <c r="AX562" s="664"/>
      <c r="AY562" s="664"/>
      <c r="AZ562" s="664"/>
      <c r="BA562" s="665"/>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row>
    <row r="563" spans="2:105" x14ac:dyDescent="0.35">
      <c r="B563" s="1214"/>
      <c r="C563" s="1211"/>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64"/>
      <c r="AM563" s="664"/>
      <c r="AN563" s="656"/>
      <c r="AO563" s="664"/>
      <c r="AP563" s="664"/>
      <c r="AQ563" s="664"/>
      <c r="AR563" s="656"/>
      <c r="AS563" s="664"/>
      <c r="AT563" s="664"/>
      <c r="AU563" s="664"/>
      <c r="AV563" s="664"/>
      <c r="AW563" s="664"/>
      <c r="AX563" s="664"/>
      <c r="AY563" s="664"/>
      <c r="AZ563" s="664"/>
      <c r="BA563" s="665"/>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row>
    <row r="564" spans="2:105" x14ac:dyDescent="0.35">
      <c r="B564" s="1214"/>
      <c r="C564" s="1211"/>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64"/>
      <c r="AM564" s="664"/>
      <c r="AN564" s="656"/>
      <c r="AO564" s="664"/>
      <c r="AP564" s="664"/>
      <c r="AQ564" s="664"/>
      <c r="AR564" s="656"/>
      <c r="AS564" s="664"/>
      <c r="AT564" s="664"/>
      <c r="AU564" s="664"/>
      <c r="AV564" s="664"/>
      <c r="AW564" s="664"/>
      <c r="AX564" s="664"/>
      <c r="AY564" s="664"/>
      <c r="AZ564" s="664"/>
      <c r="BA564" s="665"/>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row>
    <row r="565" spans="2:105" x14ac:dyDescent="0.35">
      <c r="B565" s="1214"/>
      <c r="C565" s="1211"/>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64"/>
      <c r="AM565" s="664"/>
      <c r="AN565" s="656"/>
      <c r="AO565" s="664"/>
      <c r="AP565" s="664"/>
      <c r="AQ565" s="664"/>
      <c r="AR565" s="656"/>
      <c r="AS565" s="664"/>
      <c r="AT565" s="664"/>
      <c r="AU565" s="664"/>
      <c r="AV565" s="664"/>
      <c r="AW565" s="664"/>
      <c r="AX565" s="664"/>
      <c r="AY565" s="664"/>
      <c r="AZ565" s="664"/>
      <c r="BA565" s="665"/>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row>
    <row r="566" spans="2:105" x14ac:dyDescent="0.35">
      <c r="B566" s="1214"/>
      <c r="C566" s="1211"/>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64"/>
      <c r="AM566" s="664"/>
      <c r="AN566" s="656"/>
      <c r="AO566" s="664"/>
      <c r="AP566" s="664"/>
      <c r="AQ566" s="664"/>
      <c r="AR566" s="656"/>
      <c r="AS566" s="664"/>
      <c r="AT566" s="664"/>
      <c r="AU566" s="664"/>
      <c r="AV566" s="664"/>
      <c r="AW566" s="664"/>
      <c r="AX566" s="664"/>
      <c r="AY566" s="664"/>
      <c r="AZ566" s="664"/>
      <c r="BA566" s="665"/>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row>
    <row r="567" spans="2:105" x14ac:dyDescent="0.35">
      <c r="B567" s="1214"/>
      <c r="C567" s="1211"/>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64"/>
      <c r="AM567" s="664"/>
      <c r="AN567" s="656"/>
      <c r="AO567" s="664"/>
      <c r="AP567" s="664"/>
      <c r="AQ567" s="664"/>
      <c r="AR567" s="656"/>
      <c r="AS567" s="664"/>
      <c r="AT567" s="664"/>
      <c r="AU567" s="664"/>
      <c r="AV567" s="664"/>
      <c r="AW567" s="664"/>
      <c r="AX567" s="664"/>
      <c r="AY567" s="664"/>
      <c r="AZ567" s="664"/>
      <c r="BA567" s="665"/>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row>
    <row r="568" spans="2:105" x14ac:dyDescent="0.35">
      <c r="B568" s="1214"/>
      <c r="C568" s="1211"/>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64"/>
      <c r="AM568" s="664"/>
      <c r="AN568" s="656"/>
      <c r="AO568" s="664"/>
      <c r="AP568" s="664"/>
      <c r="AQ568" s="664"/>
      <c r="AR568" s="656"/>
      <c r="AS568" s="664"/>
      <c r="AT568" s="664"/>
      <c r="AU568" s="664"/>
      <c r="AV568" s="664"/>
      <c r="AW568" s="664"/>
      <c r="AX568" s="664"/>
      <c r="AY568" s="664"/>
      <c r="AZ568" s="664"/>
      <c r="BA568" s="665"/>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row>
    <row r="569" spans="2:105" x14ac:dyDescent="0.35">
      <c r="B569" s="1214"/>
      <c r="C569" s="1211"/>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64"/>
      <c r="AM569" s="664"/>
      <c r="AN569" s="656"/>
      <c r="AO569" s="664"/>
      <c r="AP569" s="664"/>
      <c r="AQ569" s="664"/>
      <c r="AR569" s="656"/>
      <c r="AS569" s="664"/>
      <c r="AT569" s="664"/>
      <c r="AU569" s="664"/>
      <c r="AV569" s="664"/>
      <c r="AW569" s="664"/>
      <c r="AX569" s="664"/>
      <c r="AY569" s="664"/>
      <c r="AZ569" s="664"/>
      <c r="BA569" s="665"/>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row>
    <row r="570" spans="2:105" x14ac:dyDescent="0.35">
      <c r="B570" s="1214"/>
      <c r="C570" s="1211"/>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64"/>
      <c r="AM570" s="664"/>
      <c r="AN570" s="656"/>
      <c r="AO570" s="664"/>
      <c r="AP570" s="664"/>
      <c r="AQ570" s="664"/>
      <c r="AR570" s="656"/>
      <c r="AS570" s="664"/>
      <c r="AT570" s="664"/>
      <c r="AU570" s="664"/>
      <c r="AV570" s="664"/>
      <c r="AW570" s="664"/>
      <c r="AX570" s="664"/>
      <c r="AY570" s="664"/>
      <c r="AZ570" s="664"/>
      <c r="BA570" s="665"/>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row>
    <row r="571" spans="2:105" x14ac:dyDescent="0.35">
      <c r="B571" s="1214"/>
      <c r="C571" s="1211"/>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64"/>
      <c r="AM571" s="664"/>
      <c r="AN571" s="656"/>
      <c r="AO571" s="664"/>
      <c r="AP571" s="664"/>
      <c r="AQ571" s="664"/>
      <c r="AR571" s="656"/>
      <c r="AS571" s="664"/>
      <c r="AT571" s="664"/>
      <c r="AU571" s="664"/>
      <c r="AV571" s="664"/>
      <c r="AW571" s="664"/>
      <c r="AX571" s="664"/>
      <c r="AY571" s="664"/>
      <c r="AZ571" s="664"/>
      <c r="BA571" s="665"/>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row>
    <row r="572" spans="2:105" ht="15" thickBot="1" x14ac:dyDescent="0.4">
      <c r="B572" s="1215"/>
      <c r="C572" s="1212"/>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6"/>
      <c r="AM572" s="666"/>
      <c r="AN572" s="660"/>
      <c r="AO572" s="666"/>
      <c r="AP572" s="666"/>
      <c r="AQ572" s="666"/>
      <c r="AR572" s="660"/>
      <c r="AS572" s="666"/>
      <c r="AT572" s="666"/>
      <c r="AU572" s="666"/>
      <c r="AV572" s="666"/>
      <c r="AW572" s="666"/>
      <c r="AX572" s="666"/>
      <c r="AY572" s="666"/>
      <c r="AZ572" s="666"/>
      <c r="BA572" s="667"/>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row>
    <row r="573" spans="2:105" ht="15" thickBot="1" x14ac:dyDescent="0.4">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5"/>
      <c r="AM573" s="675"/>
      <c r="AN573" s="674"/>
      <c r="AO573" s="675"/>
      <c r="AP573" s="675"/>
      <c r="AQ573" s="675"/>
      <c r="AR573" s="674"/>
      <c r="AS573" s="675"/>
      <c r="AT573" s="675"/>
      <c r="AU573" s="675"/>
      <c r="AV573" s="675"/>
      <c r="AW573" s="675"/>
      <c r="AX573" s="675"/>
      <c r="AY573" s="675"/>
      <c r="AZ573" s="675"/>
      <c r="BA573" s="676"/>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row>
    <row r="574" spans="2:105" ht="15" thickBot="1" x14ac:dyDescent="0.4">
      <c r="B574" s="577" t="s">
        <v>1192</v>
      </c>
      <c r="C574" s="1210"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8"/>
      <c r="AM574" s="628"/>
      <c r="AN574" s="626"/>
      <c r="AO574" s="628"/>
      <c r="AP574" s="628"/>
      <c r="AQ574" s="628"/>
      <c r="AR574" s="626"/>
      <c r="AS574" s="628"/>
      <c r="AT574" s="628"/>
      <c r="AU574" s="628"/>
      <c r="AV574" s="628"/>
      <c r="AW574" s="628"/>
      <c r="AX574" s="628"/>
      <c r="AY574" s="628"/>
      <c r="AZ574" s="628"/>
      <c r="BA574" s="629"/>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row>
    <row r="575" spans="2:105" x14ac:dyDescent="0.35">
      <c r="B575" s="1213" t="s">
        <v>1193</v>
      </c>
      <c r="C575" s="1211"/>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62"/>
      <c r="AM575" s="662"/>
      <c r="AN575" s="631"/>
      <c r="AO575" s="662"/>
      <c r="AP575" s="662"/>
      <c r="AQ575" s="662"/>
      <c r="AR575" s="631"/>
      <c r="AS575" s="662"/>
      <c r="AT575" s="662"/>
      <c r="AU575" s="662"/>
      <c r="AV575" s="662"/>
      <c r="AW575" s="662"/>
      <c r="AX575" s="662"/>
      <c r="AY575" s="662"/>
      <c r="AZ575" s="662"/>
      <c r="BA575" s="663"/>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row>
    <row r="576" spans="2:105" x14ac:dyDescent="0.35">
      <c r="B576" s="1214"/>
      <c r="C576" s="1211"/>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64"/>
      <c r="AM576" s="664"/>
      <c r="AN576" s="636"/>
      <c r="AO576" s="664"/>
      <c r="AP576" s="664"/>
      <c r="AQ576" s="664"/>
      <c r="AR576" s="636"/>
      <c r="AS576" s="664"/>
      <c r="AT576" s="664"/>
      <c r="AU576" s="664"/>
      <c r="AV576" s="664"/>
      <c r="AW576" s="664"/>
      <c r="AX576" s="664"/>
      <c r="AY576" s="664"/>
      <c r="AZ576" s="664"/>
      <c r="BA576" s="665"/>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row>
    <row r="577" spans="2:105" x14ac:dyDescent="0.35">
      <c r="B577" s="1214"/>
      <c r="C577" s="1211"/>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64"/>
      <c r="AM577" s="664"/>
      <c r="AN577" s="636"/>
      <c r="AO577" s="664"/>
      <c r="AP577" s="664"/>
      <c r="AQ577" s="664"/>
      <c r="AR577" s="636"/>
      <c r="AS577" s="664"/>
      <c r="AT577" s="664"/>
      <c r="AU577" s="664"/>
      <c r="AV577" s="664"/>
      <c r="AW577" s="664"/>
      <c r="AX577" s="664"/>
      <c r="AY577" s="664"/>
      <c r="AZ577" s="664"/>
      <c r="BA577" s="665"/>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row>
    <row r="578" spans="2:105" x14ac:dyDescent="0.35">
      <c r="B578" s="1214"/>
      <c r="C578" s="1211"/>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64"/>
      <c r="AM578" s="664"/>
      <c r="AN578" s="636"/>
      <c r="AO578" s="664"/>
      <c r="AP578" s="664"/>
      <c r="AQ578" s="664"/>
      <c r="AR578" s="636"/>
      <c r="AS578" s="664"/>
      <c r="AT578" s="664"/>
      <c r="AU578" s="664"/>
      <c r="AV578" s="664"/>
      <c r="AW578" s="664"/>
      <c r="AX578" s="664"/>
      <c r="AY578" s="664"/>
      <c r="AZ578" s="664"/>
      <c r="BA578" s="665"/>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row>
    <row r="579" spans="2:105" x14ac:dyDescent="0.35">
      <c r="B579" s="1214"/>
      <c r="C579" s="1211"/>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64"/>
      <c r="AM579" s="664"/>
      <c r="AN579" s="636"/>
      <c r="AO579" s="664"/>
      <c r="AP579" s="664"/>
      <c r="AQ579" s="664"/>
      <c r="AR579" s="636"/>
      <c r="AS579" s="664"/>
      <c r="AT579" s="664"/>
      <c r="AU579" s="664"/>
      <c r="AV579" s="664"/>
      <c r="AW579" s="664"/>
      <c r="AX579" s="664"/>
      <c r="AY579" s="664"/>
      <c r="AZ579" s="664"/>
      <c r="BA579" s="665"/>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row>
    <row r="580" spans="2:105" x14ac:dyDescent="0.35">
      <c r="B580" s="1214"/>
      <c r="C580" s="1211"/>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64"/>
      <c r="AM580" s="664"/>
      <c r="AN580" s="636"/>
      <c r="AO580" s="664"/>
      <c r="AP580" s="664"/>
      <c r="AQ580" s="664"/>
      <c r="AR580" s="636"/>
      <c r="AS580" s="664"/>
      <c r="AT580" s="664"/>
      <c r="AU580" s="664"/>
      <c r="AV580" s="664"/>
      <c r="AW580" s="664"/>
      <c r="AX580" s="664"/>
      <c r="AY580" s="664"/>
      <c r="AZ580" s="664"/>
      <c r="BA580" s="665"/>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row>
    <row r="581" spans="2:105" x14ac:dyDescent="0.35">
      <c r="B581" s="1214"/>
      <c r="C581" s="1211"/>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64"/>
      <c r="AM581" s="664"/>
      <c r="AN581" s="636"/>
      <c r="AO581" s="664"/>
      <c r="AP581" s="664"/>
      <c r="AQ581" s="664"/>
      <c r="AR581" s="636"/>
      <c r="AS581" s="664"/>
      <c r="AT581" s="664"/>
      <c r="AU581" s="664"/>
      <c r="AV581" s="664"/>
      <c r="AW581" s="664"/>
      <c r="AX581" s="664"/>
      <c r="AY581" s="664"/>
      <c r="AZ581" s="664"/>
      <c r="BA581" s="665"/>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row>
    <row r="582" spans="2:105" x14ac:dyDescent="0.35">
      <c r="B582" s="1214"/>
      <c r="C582" s="1211"/>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64"/>
      <c r="AM582" s="664"/>
      <c r="AN582" s="636"/>
      <c r="AO582" s="664"/>
      <c r="AP582" s="664"/>
      <c r="AQ582" s="664"/>
      <c r="AR582" s="636"/>
      <c r="AS582" s="664"/>
      <c r="AT582" s="664"/>
      <c r="AU582" s="664"/>
      <c r="AV582" s="664"/>
      <c r="AW582" s="664"/>
      <c r="AX582" s="664"/>
      <c r="AY582" s="664"/>
      <c r="AZ582" s="664"/>
      <c r="BA582" s="665"/>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row>
    <row r="583" spans="2:105" x14ac:dyDescent="0.35">
      <c r="B583" s="1214"/>
      <c r="C583" s="1211"/>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64"/>
      <c r="AM583" s="664"/>
      <c r="AN583" s="636"/>
      <c r="AO583" s="664"/>
      <c r="AP583" s="664"/>
      <c r="AQ583" s="664"/>
      <c r="AR583" s="636"/>
      <c r="AS583" s="664"/>
      <c r="AT583" s="664"/>
      <c r="AU583" s="664"/>
      <c r="AV583" s="664"/>
      <c r="AW583" s="664"/>
      <c r="AX583" s="664"/>
      <c r="AY583" s="664"/>
      <c r="AZ583" s="664"/>
      <c r="BA583" s="665"/>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row>
    <row r="584" spans="2:105" x14ac:dyDescent="0.35">
      <c r="B584" s="1214"/>
      <c r="C584" s="1211"/>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64"/>
      <c r="AM584" s="664"/>
      <c r="AN584" s="636"/>
      <c r="AO584" s="664"/>
      <c r="AP584" s="664"/>
      <c r="AQ584" s="664"/>
      <c r="AR584" s="636"/>
      <c r="AS584" s="664"/>
      <c r="AT584" s="664"/>
      <c r="AU584" s="664"/>
      <c r="AV584" s="664"/>
      <c r="AW584" s="664"/>
      <c r="AX584" s="664"/>
      <c r="AY584" s="664"/>
      <c r="AZ584" s="664"/>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row>
    <row r="585" spans="2:105" x14ac:dyDescent="0.35">
      <c r="B585" s="1214"/>
      <c r="C585" s="1211"/>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64"/>
      <c r="AM585" s="664"/>
      <c r="AN585" s="636"/>
      <c r="AO585" s="664"/>
      <c r="AP585" s="664"/>
      <c r="AQ585" s="664"/>
      <c r="AR585" s="636"/>
      <c r="AS585" s="664"/>
      <c r="AT585" s="664"/>
      <c r="AU585" s="664"/>
      <c r="AV585" s="664"/>
      <c r="AW585" s="664"/>
      <c r="AX585" s="664"/>
      <c r="AY585" s="664"/>
      <c r="AZ585" s="664"/>
      <c r="BA585" s="665"/>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row>
    <row r="586" spans="2:105" x14ac:dyDescent="0.35">
      <c r="B586" s="1214"/>
      <c r="C586" s="1211"/>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64"/>
      <c r="AM586" s="664"/>
      <c r="AN586" s="636"/>
      <c r="AO586" s="664"/>
      <c r="AP586" s="664"/>
      <c r="AQ586" s="664"/>
      <c r="AR586" s="636"/>
      <c r="AS586" s="664"/>
      <c r="AT586" s="664"/>
      <c r="AU586" s="664"/>
      <c r="AV586" s="664"/>
      <c r="AW586" s="664"/>
      <c r="AX586" s="664"/>
      <c r="AY586" s="664"/>
      <c r="AZ586" s="664"/>
      <c r="BA586" s="665"/>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row>
    <row r="587" spans="2:105" x14ac:dyDescent="0.35">
      <c r="B587" s="1214"/>
      <c r="C587" s="1211"/>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64"/>
      <c r="AM587" s="664"/>
      <c r="AN587" s="636"/>
      <c r="AO587" s="664"/>
      <c r="AP587" s="664"/>
      <c r="AQ587" s="664"/>
      <c r="AR587" s="636"/>
      <c r="AS587" s="664"/>
      <c r="AT587" s="664"/>
      <c r="AU587" s="664"/>
      <c r="AV587" s="664"/>
      <c r="AW587" s="664"/>
      <c r="AX587" s="664"/>
      <c r="AY587" s="664"/>
      <c r="AZ587" s="664"/>
      <c r="BA587" s="665"/>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row>
    <row r="588" spans="2:105" x14ac:dyDescent="0.35">
      <c r="B588" s="1214"/>
      <c r="C588" s="1211"/>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64"/>
      <c r="AM588" s="664"/>
      <c r="AN588" s="636"/>
      <c r="AO588" s="664"/>
      <c r="AP588" s="664"/>
      <c r="AQ588" s="664"/>
      <c r="AR588" s="636"/>
      <c r="AS588" s="664"/>
      <c r="AT588" s="664"/>
      <c r="AU588" s="664"/>
      <c r="AV588" s="664"/>
      <c r="AW588" s="664"/>
      <c r="AX588" s="664"/>
      <c r="AY588" s="664"/>
      <c r="AZ588" s="664"/>
      <c r="BA588" s="665"/>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row>
    <row r="589" spans="2:105" x14ac:dyDescent="0.35">
      <c r="B589" s="1214"/>
      <c r="C589" s="1211"/>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64"/>
      <c r="AM589" s="664"/>
      <c r="AN589" s="636"/>
      <c r="AO589" s="664"/>
      <c r="AP589" s="664"/>
      <c r="AQ589" s="664"/>
      <c r="AR589" s="636"/>
      <c r="AS589" s="664"/>
      <c r="AT589" s="664"/>
      <c r="AU589" s="664"/>
      <c r="AV589" s="664"/>
      <c r="AW589" s="664"/>
      <c r="AX589" s="664"/>
      <c r="AY589" s="664"/>
      <c r="AZ589" s="664"/>
      <c r="BA589" s="665"/>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row>
    <row r="590" spans="2:105" ht="15" thickBot="1" x14ac:dyDescent="0.4">
      <c r="B590" s="1215"/>
      <c r="C590" s="1212"/>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66"/>
      <c r="AM590" s="666"/>
      <c r="AN590" s="641"/>
      <c r="AO590" s="666"/>
      <c r="AP590" s="666"/>
      <c r="AQ590" s="666"/>
      <c r="AR590" s="641"/>
      <c r="AS590" s="666"/>
      <c r="AT590" s="666"/>
      <c r="AU590" s="666"/>
      <c r="AV590" s="666"/>
      <c r="AW590" s="666"/>
      <c r="AX590" s="666"/>
      <c r="AY590" s="666"/>
      <c r="AZ590" s="666"/>
      <c r="BA590" s="667"/>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row>
    <row r="591" spans="2:105" ht="15" thickBot="1" x14ac:dyDescent="0.4">
      <c r="B591" s="577" t="s">
        <v>1194</v>
      </c>
      <c r="C591" s="1210"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68"/>
      <c r="AM591" s="668"/>
      <c r="AN591" s="646"/>
      <c r="AO591" s="668"/>
      <c r="AP591" s="668"/>
      <c r="AQ591" s="668"/>
      <c r="AR591" s="646"/>
      <c r="AS591" s="668"/>
      <c r="AT591" s="668"/>
      <c r="AU591" s="668"/>
      <c r="AV591" s="668"/>
      <c r="AW591" s="668"/>
      <c r="AX591" s="668"/>
      <c r="AY591" s="668"/>
      <c r="AZ591" s="668"/>
      <c r="BA591" s="669"/>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row>
    <row r="592" spans="2:105" x14ac:dyDescent="0.35">
      <c r="B592" s="1213" t="s">
        <v>1195</v>
      </c>
      <c r="C592" s="1211"/>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71"/>
      <c r="AM592" s="671"/>
      <c r="AN592" s="651"/>
      <c r="AO592" s="671"/>
      <c r="AP592" s="671"/>
      <c r="AQ592" s="671"/>
      <c r="AR592" s="651"/>
      <c r="AS592" s="671"/>
      <c r="AT592" s="671"/>
      <c r="AU592" s="671"/>
      <c r="AV592" s="671"/>
      <c r="AW592" s="671"/>
      <c r="AX592" s="671"/>
      <c r="AY592" s="671"/>
      <c r="AZ592" s="671"/>
      <c r="BA592" s="672"/>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row>
    <row r="593" spans="2:105" x14ac:dyDescent="0.35">
      <c r="B593" s="1214"/>
      <c r="C593" s="1211"/>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64"/>
      <c r="AM593" s="664"/>
      <c r="AN593" s="656"/>
      <c r="AO593" s="664"/>
      <c r="AP593" s="664"/>
      <c r="AQ593" s="664"/>
      <c r="AR593" s="656"/>
      <c r="AS593" s="664"/>
      <c r="AT593" s="664"/>
      <c r="AU593" s="664"/>
      <c r="AV593" s="664"/>
      <c r="AW593" s="664"/>
      <c r="AX593" s="664"/>
      <c r="AY593" s="664"/>
      <c r="AZ593" s="664"/>
      <c r="BA593" s="665"/>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row>
    <row r="594" spans="2:105" x14ac:dyDescent="0.35">
      <c r="B594" s="1214"/>
      <c r="C594" s="1211"/>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64"/>
      <c r="AM594" s="664"/>
      <c r="AN594" s="656"/>
      <c r="AO594" s="664"/>
      <c r="AP594" s="664"/>
      <c r="AQ594" s="664"/>
      <c r="AR594" s="656"/>
      <c r="AS594" s="664"/>
      <c r="AT594" s="664"/>
      <c r="AU594" s="664"/>
      <c r="AV594" s="664"/>
      <c r="AW594" s="664"/>
      <c r="AX594" s="664"/>
      <c r="AY594" s="664"/>
      <c r="AZ594" s="664"/>
      <c r="BA594" s="665"/>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row>
    <row r="595" spans="2:105" x14ac:dyDescent="0.35">
      <c r="B595" s="1214"/>
      <c r="C595" s="1211"/>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64"/>
      <c r="AM595" s="664"/>
      <c r="AN595" s="656"/>
      <c r="AO595" s="664"/>
      <c r="AP595" s="664"/>
      <c r="AQ595" s="664"/>
      <c r="AR595" s="656"/>
      <c r="AS595" s="664"/>
      <c r="AT595" s="664"/>
      <c r="AU595" s="664"/>
      <c r="AV595" s="664"/>
      <c r="AW595" s="664"/>
      <c r="AX595" s="664"/>
      <c r="AY595" s="664"/>
      <c r="AZ595" s="664"/>
      <c r="BA595" s="665"/>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row>
    <row r="596" spans="2:105" x14ac:dyDescent="0.35">
      <c r="B596" s="1214"/>
      <c r="C596" s="1211"/>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64"/>
      <c r="AM596" s="664"/>
      <c r="AN596" s="656"/>
      <c r="AO596" s="664"/>
      <c r="AP596" s="664"/>
      <c r="AQ596" s="664"/>
      <c r="AR596" s="656"/>
      <c r="AS596" s="664"/>
      <c r="AT596" s="664"/>
      <c r="AU596" s="664"/>
      <c r="AV596" s="664"/>
      <c r="AW596" s="664"/>
      <c r="AX596" s="664"/>
      <c r="AY596" s="664"/>
      <c r="AZ596" s="664"/>
      <c r="BA596" s="665"/>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row>
    <row r="597" spans="2:105" x14ac:dyDescent="0.35">
      <c r="B597" s="1214"/>
      <c r="C597" s="1211"/>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64"/>
      <c r="AM597" s="664"/>
      <c r="AN597" s="656"/>
      <c r="AO597" s="664"/>
      <c r="AP597" s="664"/>
      <c r="AQ597" s="664"/>
      <c r="AR597" s="656"/>
      <c r="AS597" s="664"/>
      <c r="AT597" s="664"/>
      <c r="AU597" s="664"/>
      <c r="AV597" s="664"/>
      <c r="AW597" s="664"/>
      <c r="AX597" s="664"/>
      <c r="AY597" s="664"/>
      <c r="AZ597" s="664"/>
      <c r="BA597" s="665"/>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row>
    <row r="598" spans="2:105" x14ac:dyDescent="0.35">
      <c r="B598" s="1214"/>
      <c r="C598" s="1211"/>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64"/>
      <c r="AM598" s="664"/>
      <c r="AN598" s="657"/>
      <c r="AO598" s="664"/>
      <c r="AP598" s="664"/>
      <c r="AQ598" s="664"/>
      <c r="AR598" s="657"/>
      <c r="AS598" s="664"/>
      <c r="AT598" s="664"/>
      <c r="AU598" s="664"/>
      <c r="AV598" s="664"/>
      <c r="AW598" s="664"/>
      <c r="AX598" s="664"/>
      <c r="AY598" s="664"/>
      <c r="AZ598" s="664"/>
      <c r="BA598" s="665"/>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row>
    <row r="599" spans="2:105" x14ac:dyDescent="0.35">
      <c r="B599" s="1214"/>
      <c r="C599" s="1211"/>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64"/>
      <c r="AM599" s="664"/>
      <c r="AN599" s="656"/>
      <c r="AO599" s="664"/>
      <c r="AP599" s="664"/>
      <c r="AQ599" s="664"/>
      <c r="AR599" s="656"/>
      <c r="AS599" s="664"/>
      <c r="AT599" s="664"/>
      <c r="AU599" s="664"/>
      <c r="AV599" s="664"/>
      <c r="AW599" s="664"/>
      <c r="AX599" s="664"/>
      <c r="AY599" s="664"/>
      <c r="AZ599" s="664"/>
      <c r="BA599" s="665"/>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row>
    <row r="600" spans="2:105" x14ac:dyDescent="0.35">
      <c r="B600" s="1214"/>
      <c r="C600" s="1211"/>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64"/>
      <c r="AM600" s="664"/>
      <c r="AN600" s="656"/>
      <c r="AO600" s="664"/>
      <c r="AP600" s="664"/>
      <c r="AQ600" s="664"/>
      <c r="AR600" s="656"/>
      <c r="AS600" s="664"/>
      <c r="AT600" s="664"/>
      <c r="AU600" s="664"/>
      <c r="AV600" s="664"/>
      <c r="AW600" s="664"/>
      <c r="AX600" s="664"/>
      <c r="AY600" s="664"/>
      <c r="AZ600" s="664"/>
      <c r="BA600" s="665"/>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row>
    <row r="601" spans="2:105" x14ac:dyDescent="0.35">
      <c r="B601" s="1214"/>
      <c r="C601" s="1211"/>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64"/>
      <c r="AM601" s="664"/>
      <c r="AN601" s="658"/>
      <c r="AO601" s="664"/>
      <c r="AP601" s="664"/>
      <c r="AQ601" s="664"/>
      <c r="AR601" s="658"/>
      <c r="AS601" s="664"/>
      <c r="AT601" s="664"/>
      <c r="AU601" s="664"/>
      <c r="AV601" s="664"/>
      <c r="AW601" s="664"/>
      <c r="AX601" s="664"/>
      <c r="AY601" s="664"/>
      <c r="AZ601" s="664"/>
      <c r="BA601" s="665"/>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row>
    <row r="602" spans="2:105" x14ac:dyDescent="0.35">
      <c r="B602" s="1214"/>
      <c r="C602" s="1211"/>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64"/>
      <c r="AM602" s="664"/>
      <c r="AN602" s="656"/>
      <c r="AO602" s="664"/>
      <c r="AP602" s="664"/>
      <c r="AQ602" s="664"/>
      <c r="AR602" s="656"/>
      <c r="AS602" s="664"/>
      <c r="AT602" s="664"/>
      <c r="AU602" s="664"/>
      <c r="AV602" s="664"/>
      <c r="AW602" s="664"/>
      <c r="AX602" s="664"/>
      <c r="AY602" s="664"/>
      <c r="AZ602" s="664"/>
      <c r="BA602" s="665"/>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row>
    <row r="603" spans="2:105" x14ac:dyDescent="0.35">
      <c r="B603" s="1214"/>
      <c r="C603" s="1211"/>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64"/>
      <c r="AM603" s="664"/>
      <c r="AN603" s="656"/>
      <c r="AO603" s="664"/>
      <c r="AP603" s="664"/>
      <c r="AQ603" s="664"/>
      <c r="AR603" s="656"/>
      <c r="AS603" s="664"/>
      <c r="AT603" s="664"/>
      <c r="AU603" s="664"/>
      <c r="AV603" s="664"/>
      <c r="AW603" s="664"/>
      <c r="AX603" s="664"/>
      <c r="AY603" s="664"/>
      <c r="AZ603" s="664"/>
      <c r="BA603" s="665"/>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row>
    <row r="604" spans="2:105" x14ac:dyDescent="0.35">
      <c r="B604" s="1214"/>
      <c r="C604" s="1211"/>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64"/>
      <c r="AM604" s="664"/>
      <c r="AN604" s="656"/>
      <c r="AO604" s="664"/>
      <c r="AP604" s="664"/>
      <c r="AQ604" s="664"/>
      <c r="AR604" s="656"/>
      <c r="AS604" s="664"/>
      <c r="AT604" s="664"/>
      <c r="AU604" s="664"/>
      <c r="AV604" s="664"/>
      <c r="AW604" s="664"/>
      <c r="AX604" s="664"/>
      <c r="AY604" s="664"/>
      <c r="AZ604" s="664"/>
      <c r="BA604" s="665"/>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row>
    <row r="605" spans="2:105" x14ac:dyDescent="0.35">
      <c r="B605" s="1214"/>
      <c r="C605" s="1211"/>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64"/>
      <c r="AM605" s="664"/>
      <c r="AN605" s="656"/>
      <c r="AO605" s="664"/>
      <c r="AP605" s="664"/>
      <c r="AQ605" s="664"/>
      <c r="AR605" s="656"/>
      <c r="AS605" s="664"/>
      <c r="AT605" s="664"/>
      <c r="AU605" s="664"/>
      <c r="AV605" s="664"/>
      <c r="AW605" s="664"/>
      <c r="AX605" s="664"/>
      <c r="AY605" s="664"/>
      <c r="AZ605" s="664"/>
      <c r="BA605" s="665"/>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row>
    <row r="606" spans="2:105" x14ac:dyDescent="0.35">
      <c r="B606" s="1214"/>
      <c r="C606" s="1211"/>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64"/>
      <c r="AM606" s="664"/>
      <c r="AN606" s="656"/>
      <c r="AO606" s="664"/>
      <c r="AP606" s="664"/>
      <c r="AQ606" s="664"/>
      <c r="AR606" s="656"/>
      <c r="AS606" s="664"/>
      <c r="AT606" s="664"/>
      <c r="AU606" s="664"/>
      <c r="AV606" s="664"/>
      <c r="AW606" s="664"/>
      <c r="AX606" s="664"/>
      <c r="AY606" s="664"/>
      <c r="AZ606" s="664"/>
      <c r="BA606" s="665"/>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row>
    <row r="607" spans="2:105" ht="15" thickBot="1" x14ac:dyDescent="0.4">
      <c r="B607" s="1215"/>
      <c r="C607" s="1212"/>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6"/>
      <c r="AM607" s="666"/>
      <c r="AN607" s="660"/>
      <c r="AO607" s="666"/>
      <c r="AP607" s="666"/>
      <c r="AQ607" s="666"/>
      <c r="AR607" s="660"/>
      <c r="AS607" s="666"/>
      <c r="AT607" s="666"/>
      <c r="AU607" s="666"/>
      <c r="AV607" s="666"/>
      <c r="AW607" s="666"/>
      <c r="AX607" s="666"/>
      <c r="AY607" s="666"/>
      <c r="AZ607" s="666"/>
      <c r="BA607" s="667"/>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row>
    <row r="608" spans="2:105" ht="15" thickBot="1" x14ac:dyDescent="0.4">
      <c r="B608" s="577" t="s">
        <v>1196</v>
      </c>
      <c r="C608" s="1210"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68"/>
      <c r="AM608" s="668"/>
      <c r="AN608" s="650"/>
      <c r="AO608" s="668"/>
      <c r="AP608" s="668"/>
      <c r="AQ608" s="668"/>
      <c r="AR608" s="650"/>
      <c r="AS608" s="668"/>
      <c r="AT608" s="668"/>
      <c r="AU608" s="668"/>
      <c r="AV608" s="668"/>
      <c r="AW608" s="668"/>
      <c r="AX608" s="668"/>
      <c r="AY608" s="668"/>
      <c r="AZ608" s="668"/>
      <c r="BA608" s="669"/>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row>
    <row r="609" spans="2:105" x14ac:dyDescent="0.35">
      <c r="B609" s="1213" t="s">
        <v>1197</v>
      </c>
      <c r="C609" s="1211"/>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71"/>
      <c r="AM609" s="671"/>
      <c r="AN609" s="651"/>
      <c r="AO609" s="671"/>
      <c r="AP609" s="671"/>
      <c r="AQ609" s="671"/>
      <c r="AR609" s="651"/>
      <c r="AS609" s="671"/>
      <c r="AT609" s="671"/>
      <c r="AU609" s="671"/>
      <c r="AV609" s="671"/>
      <c r="AW609" s="671"/>
      <c r="AX609" s="671"/>
      <c r="AY609" s="671"/>
      <c r="AZ609" s="671"/>
      <c r="BA609" s="672"/>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row>
    <row r="610" spans="2:105" x14ac:dyDescent="0.35">
      <c r="B610" s="1214"/>
      <c r="C610" s="1211"/>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64"/>
      <c r="AM610" s="664"/>
      <c r="AN610" s="656"/>
      <c r="AO610" s="664"/>
      <c r="AP610" s="664"/>
      <c r="AQ610" s="664"/>
      <c r="AR610" s="656"/>
      <c r="AS610" s="664"/>
      <c r="AT610" s="664"/>
      <c r="AU610" s="664"/>
      <c r="AV610" s="664"/>
      <c r="AW610" s="664"/>
      <c r="AX610" s="664"/>
      <c r="AY610" s="664"/>
      <c r="AZ610" s="664"/>
      <c r="BA610" s="665"/>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row>
    <row r="611" spans="2:105" x14ac:dyDescent="0.35">
      <c r="B611" s="1214"/>
      <c r="C611" s="1211"/>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64"/>
      <c r="AM611" s="664"/>
      <c r="AN611" s="656"/>
      <c r="AO611" s="664"/>
      <c r="AP611" s="664"/>
      <c r="AQ611" s="664"/>
      <c r="AR611" s="656"/>
      <c r="AS611" s="664"/>
      <c r="AT611" s="664"/>
      <c r="AU611" s="664"/>
      <c r="AV611" s="664"/>
      <c r="AW611" s="664"/>
      <c r="AX611" s="664"/>
      <c r="AY611" s="664"/>
      <c r="AZ611" s="664"/>
      <c r="BA611" s="665"/>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row>
    <row r="612" spans="2:105" x14ac:dyDescent="0.35">
      <c r="B612" s="1214"/>
      <c r="C612" s="1211"/>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64"/>
      <c r="AM612" s="664"/>
      <c r="AN612" s="656"/>
      <c r="AO612" s="664"/>
      <c r="AP612" s="664"/>
      <c r="AQ612" s="664"/>
      <c r="AR612" s="656"/>
      <c r="AS612" s="664"/>
      <c r="AT612" s="664"/>
      <c r="AU612" s="664"/>
      <c r="AV612" s="664"/>
      <c r="AW612" s="664"/>
      <c r="AX612" s="664"/>
      <c r="AY612" s="664"/>
      <c r="AZ612" s="664"/>
      <c r="BA612" s="665"/>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row>
    <row r="613" spans="2:105" x14ac:dyDescent="0.35">
      <c r="B613" s="1214"/>
      <c r="C613" s="1211"/>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64"/>
      <c r="AM613" s="664"/>
      <c r="AN613" s="656"/>
      <c r="AO613" s="664"/>
      <c r="AP613" s="664"/>
      <c r="AQ613" s="664"/>
      <c r="AR613" s="656"/>
      <c r="AS613" s="664"/>
      <c r="AT613" s="664"/>
      <c r="AU613" s="664"/>
      <c r="AV613" s="664"/>
      <c r="AW613" s="664"/>
      <c r="AX613" s="664"/>
      <c r="AY613" s="664"/>
      <c r="AZ613" s="664"/>
      <c r="BA613" s="665"/>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row>
    <row r="614" spans="2:105" x14ac:dyDescent="0.35">
      <c r="B614" s="1214"/>
      <c r="C614" s="1211"/>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64"/>
      <c r="AM614" s="664"/>
      <c r="AN614" s="656"/>
      <c r="AO614" s="664"/>
      <c r="AP614" s="664"/>
      <c r="AQ614" s="664"/>
      <c r="AR614" s="656"/>
      <c r="AS614" s="664"/>
      <c r="AT614" s="664"/>
      <c r="AU614" s="664"/>
      <c r="AV614" s="664"/>
      <c r="AW614" s="664"/>
      <c r="AX614" s="664"/>
      <c r="AY614" s="664"/>
      <c r="AZ614" s="664"/>
      <c r="BA614" s="665"/>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row>
    <row r="615" spans="2:105" x14ac:dyDescent="0.35">
      <c r="B615" s="1214"/>
      <c r="C615" s="1211"/>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64"/>
      <c r="AM615" s="664"/>
      <c r="AN615" s="656"/>
      <c r="AO615" s="664"/>
      <c r="AP615" s="664"/>
      <c r="AQ615" s="664"/>
      <c r="AR615" s="656"/>
      <c r="AS615" s="664"/>
      <c r="AT615" s="664"/>
      <c r="AU615" s="664"/>
      <c r="AV615" s="664"/>
      <c r="AW615" s="664"/>
      <c r="AX615" s="664"/>
      <c r="AY615" s="664"/>
      <c r="AZ615" s="664"/>
      <c r="BA615" s="665"/>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row>
    <row r="616" spans="2:105" x14ac:dyDescent="0.35">
      <c r="B616" s="1214"/>
      <c r="C616" s="1211"/>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64"/>
      <c r="AM616" s="664"/>
      <c r="AN616" s="656"/>
      <c r="AO616" s="664"/>
      <c r="AP616" s="664"/>
      <c r="AQ616" s="664"/>
      <c r="AR616" s="656"/>
      <c r="AS616" s="664"/>
      <c r="AT616" s="664"/>
      <c r="AU616" s="664"/>
      <c r="AV616" s="664"/>
      <c r="AW616" s="664"/>
      <c r="AX616" s="664"/>
      <c r="AY616" s="664"/>
      <c r="AZ616" s="664"/>
      <c r="BA616" s="665"/>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row>
    <row r="617" spans="2:105" x14ac:dyDescent="0.35">
      <c r="B617" s="1214"/>
      <c r="C617" s="1211"/>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64"/>
      <c r="AM617" s="664"/>
      <c r="AN617" s="656"/>
      <c r="AO617" s="664"/>
      <c r="AP617" s="664"/>
      <c r="AQ617" s="664"/>
      <c r="AR617" s="656"/>
      <c r="AS617" s="664"/>
      <c r="AT617" s="664"/>
      <c r="AU617" s="664"/>
      <c r="AV617" s="664"/>
      <c r="AW617" s="664"/>
      <c r="AX617" s="664"/>
      <c r="AY617" s="664"/>
      <c r="AZ617" s="664"/>
      <c r="BA617" s="665"/>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row>
    <row r="618" spans="2:105" x14ac:dyDescent="0.35">
      <c r="B618" s="1214"/>
      <c r="C618" s="1211"/>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64"/>
      <c r="AM618" s="664"/>
      <c r="AN618" s="656"/>
      <c r="AO618" s="664"/>
      <c r="AP618" s="664"/>
      <c r="AQ618" s="664"/>
      <c r="AR618" s="656"/>
      <c r="AS618" s="664"/>
      <c r="AT618" s="664"/>
      <c r="AU618" s="664"/>
      <c r="AV618" s="664"/>
      <c r="AW618" s="664"/>
      <c r="AX618" s="664"/>
      <c r="AY618" s="664"/>
      <c r="AZ618" s="664"/>
      <c r="BA618" s="665"/>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row>
    <row r="619" spans="2:105" x14ac:dyDescent="0.35">
      <c r="B619" s="1214"/>
      <c r="C619" s="1211"/>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64"/>
      <c r="AM619" s="664"/>
      <c r="AN619" s="656"/>
      <c r="AO619" s="664"/>
      <c r="AP619" s="664"/>
      <c r="AQ619" s="664"/>
      <c r="AR619" s="656"/>
      <c r="AS619" s="664"/>
      <c r="AT619" s="664"/>
      <c r="AU619" s="664"/>
      <c r="AV619" s="664"/>
      <c r="AW619" s="664"/>
      <c r="AX619" s="664"/>
      <c r="AY619" s="664"/>
      <c r="AZ619" s="664"/>
      <c r="BA619" s="665"/>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row>
    <row r="620" spans="2:105" x14ac:dyDescent="0.35">
      <c r="B620" s="1214"/>
      <c r="C620" s="1211"/>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64"/>
      <c r="AM620" s="664"/>
      <c r="AN620" s="656"/>
      <c r="AO620" s="664"/>
      <c r="AP620" s="664"/>
      <c r="AQ620" s="664"/>
      <c r="AR620" s="656"/>
      <c r="AS620" s="664"/>
      <c r="AT620" s="664"/>
      <c r="AU620" s="664"/>
      <c r="AV620" s="664"/>
      <c r="AW620" s="664"/>
      <c r="AX620" s="664"/>
      <c r="AY620" s="664"/>
      <c r="AZ620" s="664"/>
      <c r="BA620" s="665"/>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row>
    <row r="621" spans="2:105" x14ac:dyDescent="0.35">
      <c r="B621" s="1214"/>
      <c r="C621" s="1211"/>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64"/>
      <c r="AM621" s="664"/>
      <c r="AN621" s="656"/>
      <c r="AO621" s="664"/>
      <c r="AP621" s="664"/>
      <c r="AQ621" s="664"/>
      <c r="AR621" s="656"/>
      <c r="AS621" s="664"/>
      <c r="AT621" s="664"/>
      <c r="AU621" s="664"/>
      <c r="AV621" s="664"/>
      <c r="AW621" s="664"/>
      <c r="AX621" s="664"/>
      <c r="AY621" s="664"/>
      <c r="AZ621" s="664"/>
      <c r="BA621" s="665"/>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row>
    <row r="622" spans="2:105" x14ac:dyDescent="0.35">
      <c r="B622" s="1214"/>
      <c r="C622" s="1211"/>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64"/>
      <c r="AM622" s="664"/>
      <c r="AN622" s="656"/>
      <c r="AO622" s="664"/>
      <c r="AP622" s="664"/>
      <c r="AQ622" s="664"/>
      <c r="AR622" s="656"/>
      <c r="AS622" s="664"/>
      <c r="AT622" s="664"/>
      <c r="AU622" s="664"/>
      <c r="AV622" s="664"/>
      <c r="AW622" s="664"/>
      <c r="AX622" s="664"/>
      <c r="AY622" s="664"/>
      <c r="AZ622" s="664"/>
      <c r="BA622" s="665"/>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row>
    <row r="623" spans="2:105" x14ac:dyDescent="0.35">
      <c r="B623" s="1214"/>
      <c r="C623" s="1211"/>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64"/>
      <c r="AM623" s="664"/>
      <c r="AN623" s="656"/>
      <c r="AO623" s="664"/>
      <c r="AP623" s="664"/>
      <c r="AQ623" s="664"/>
      <c r="AR623" s="656"/>
      <c r="AS623" s="664"/>
      <c r="AT623" s="664"/>
      <c r="AU623" s="664"/>
      <c r="AV623" s="664"/>
      <c r="AW623" s="664"/>
      <c r="AX623" s="664"/>
      <c r="AY623" s="664"/>
      <c r="AZ623" s="664"/>
      <c r="BA623" s="665"/>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row>
    <row r="624" spans="2:105" ht="15" thickBot="1" x14ac:dyDescent="0.4">
      <c r="B624" s="1215"/>
      <c r="C624" s="1212"/>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6"/>
      <c r="AM624" s="666"/>
      <c r="AN624" s="660"/>
      <c r="AO624" s="666"/>
      <c r="AP624" s="666"/>
      <c r="AQ624" s="666"/>
      <c r="AR624" s="660"/>
      <c r="AS624" s="666"/>
      <c r="AT624" s="666"/>
      <c r="AU624" s="666"/>
      <c r="AV624" s="666"/>
      <c r="AW624" s="666"/>
      <c r="AX624" s="666"/>
      <c r="AY624" s="666"/>
      <c r="AZ624" s="666"/>
      <c r="BA624" s="667"/>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row>
    <row r="625" spans="2:105" ht="15" thickBot="1" x14ac:dyDescent="0.4">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5"/>
      <c r="AM625" s="675"/>
      <c r="AN625" s="674"/>
      <c r="AO625" s="675"/>
      <c r="AP625" s="675"/>
      <c r="AQ625" s="675"/>
      <c r="AR625" s="674"/>
      <c r="AS625" s="675"/>
      <c r="AT625" s="675"/>
      <c r="AU625" s="675"/>
      <c r="AV625" s="675"/>
      <c r="AW625" s="675"/>
      <c r="AX625" s="675"/>
      <c r="AY625" s="675"/>
      <c r="AZ625" s="675"/>
      <c r="BA625" s="676"/>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row>
    <row r="626" spans="2:105" ht="15" thickBot="1" x14ac:dyDescent="0.4">
      <c r="B626" s="577" t="s">
        <v>1231</v>
      </c>
      <c r="C626" s="1210"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8"/>
      <c r="AM626" s="628"/>
      <c r="AN626" s="626"/>
      <c r="AO626" s="628"/>
      <c r="AP626" s="628"/>
      <c r="AQ626" s="628"/>
      <c r="AR626" s="626"/>
      <c r="AS626" s="628"/>
      <c r="AT626" s="628"/>
      <c r="AU626" s="628"/>
      <c r="AV626" s="628"/>
      <c r="AW626" s="628"/>
      <c r="AX626" s="628"/>
      <c r="AY626" s="628"/>
      <c r="AZ626" s="628"/>
      <c r="BA626" s="629"/>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row>
    <row r="627" spans="2:105" x14ac:dyDescent="0.35">
      <c r="B627" s="1213" t="s">
        <v>1232</v>
      </c>
      <c r="C627" s="1211"/>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62"/>
      <c r="AM627" s="662"/>
      <c r="AN627" s="631"/>
      <c r="AO627" s="662"/>
      <c r="AP627" s="662"/>
      <c r="AQ627" s="662"/>
      <c r="AR627" s="631"/>
      <c r="AS627" s="662"/>
      <c r="AT627" s="662"/>
      <c r="AU627" s="662"/>
      <c r="AV627" s="662"/>
      <c r="AW627" s="662"/>
      <c r="AX627" s="662"/>
      <c r="AY627" s="662"/>
      <c r="AZ627" s="662"/>
      <c r="BA627" s="663"/>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row>
    <row r="628" spans="2:105" x14ac:dyDescent="0.35">
      <c r="B628" s="1214"/>
      <c r="C628" s="1211"/>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64"/>
      <c r="AM628" s="664"/>
      <c r="AN628" s="636"/>
      <c r="AO628" s="664"/>
      <c r="AP628" s="664"/>
      <c r="AQ628" s="664"/>
      <c r="AR628" s="636"/>
      <c r="AS628" s="664"/>
      <c r="AT628" s="664"/>
      <c r="AU628" s="664"/>
      <c r="AV628" s="664"/>
      <c r="AW628" s="664"/>
      <c r="AX628" s="664"/>
      <c r="AY628" s="664"/>
      <c r="AZ628" s="664"/>
      <c r="BA628" s="665"/>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row>
    <row r="629" spans="2:105" x14ac:dyDescent="0.35">
      <c r="B629" s="1214"/>
      <c r="C629" s="1211"/>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64"/>
      <c r="AM629" s="664"/>
      <c r="AN629" s="636"/>
      <c r="AO629" s="664"/>
      <c r="AP629" s="664"/>
      <c r="AQ629" s="664"/>
      <c r="AR629" s="636"/>
      <c r="AS629" s="664"/>
      <c r="AT629" s="664"/>
      <c r="AU629" s="664"/>
      <c r="AV629" s="664"/>
      <c r="AW629" s="664"/>
      <c r="AX629" s="664"/>
      <c r="AY629" s="664"/>
      <c r="AZ629" s="664"/>
      <c r="BA629" s="665"/>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row>
    <row r="630" spans="2:105" x14ac:dyDescent="0.35">
      <c r="B630" s="1214"/>
      <c r="C630" s="1211"/>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64"/>
      <c r="AM630" s="664"/>
      <c r="AN630" s="636"/>
      <c r="AO630" s="664"/>
      <c r="AP630" s="664"/>
      <c r="AQ630" s="664"/>
      <c r="AR630" s="636"/>
      <c r="AS630" s="664"/>
      <c r="AT630" s="664"/>
      <c r="AU630" s="664"/>
      <c r="AV630" s="664"/>
      <c r="AW630" s="664"/>
      <c r="AX630" s="664"/>
      <c r="AY630" s="664"/>
      <c r="AZ630" s="664"/>
      <c r="BA630" s="665"/>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row>
    <row r="631" spans="2:105" x14ac:dyDescent="0.35">
      <c r="B631" s="1214"/>
      <c r="C631" s="1211"/>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64"/>
      <c r="AM631" s="664"/>
      <c r="AN631" s="636"/>
      <c r="AO631" s="664"/>
      <c r="AP631" s="664"/>
      <c r="AQ631" s="664"/>
      <c r="AR631" s="636"/>
      <c r="AS631" s="664"/>
      <c r="AT631" s="664"/>
      <c r="AU631" s="664"/>
      <c r="AV631" s="664"/>
      <c r="AW631" s="664"/>
      <c r="AX631" s="664"/>
      <c r="AY631" s="664"/>
      <c r="AZ631" s="664"/>
      <c r="BA631" s="665"/>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row>
    <row r="632" spans="2:105" x14ac:dyDescent="0.35">
      <c r="B632" s="1214"/>
      <c r="C632" s="1211"/>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64"/>
      <c r="AM632" s="664"/>
      <c r="AN632" s="636"/>
      <c r="AO632" s="664"/>
      <c r="AP632" s="664"/>
      <c r="AQ632" s="664"/>
      <c r="AR632" s="636"/>
      <c r="AS632" s="664"/>
      <c r="AT632" s="664"/>
      <c r="AU632" s="664"/>
      <c r="AV632" s="664"/>
      <c r="AW632" s="664"/>
      <c r="AX632" s="664"/>
      <c r="AY632" s="664"/>
      <c r="AZ632" s="664"/>
      <c r="BA632" s="665"/>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row>
    <row r="633" spans="2:105" x14ac:dyDescent="0.35">
      <c r="B633" s="1214"/>
      <c r="C633" s="1211"/>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64"/>
      <c r="AM633" s="664"/>
      <c r="AN633" s="636"/>
      <c r="AO633" s="664"/>
      <c r="AP633" s="664"/>
      <c r="AQ633" s="664"/>
      <c r="AR633" s="636"/>
      <c r="AS633" s="664"/>
      <c r="AT633" s="664"/>
      <c r="AU633" s="664"/>
      <c r="AV633" s="664"/>
      <c r="AW633" s="664"/>
      <c r="AX633" s="664"/>
      <c r="AY633" s="664"/>
      <c r="AZ633" s="664"/>
      <c r="BA633" s="665"/>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row>
    <row r="634" spans="2:105" x14ac:dyDescent="0.35">
      <c r="B634" s="1214"/>
      <c r="C634" s="1211"/>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64"/>
      <c r="AM634" s="664"/>
      <c r="AN634" s="636"/>
      <c r="AO634" s="664"/>
      <c r="AP634" s="664"/>
      <c r="AQ634" s="664"/>
      <c r="AR634" s="636"/>
      <c r="AS634" s="664"/>
      <c r="AT634" s="664"/>
      <c r="AU634" s="664"/>
      <c r="AV634" s="664"/>
      <c r="AW634" s="664"/>
      <c r="AX634" s="664"/>
      <c r="AY634" s="664"/>
      <c r="AZ634" s="664"/>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row>
    <row r="635" spans="2:105" x14ac:dyDescent="0.35">
      <c r="B635" s="1214"/>
      <c r="C635" s="1211"/>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64"/>
      <c r="AM635" s="664"/>
      <c r="AN635" s="636"/>
      <c r="AO635" s="664"/>
      <c r="AP635" s="664"/>
      <c r="AQ635" s="664"/>
      <c r="AR635" s="636"/>
      <c r="AS635" s="664"/>
      <c r="AT635" s="664"/>
      <c r="AU635" s="664"/>
      <c r="AV635" s="664"/>
      <c r="AW635" s="664"/>
      <c r="AX635" s="664"/>
      <c r="AY635" s="664"/>
      <c r="AZ635" s="664"/>
      <c r="BA635" s="665"/>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row>
    <row r="636" spans="2:105" x14ac:dyDescent="0.35">
      <c r="B636" s="1214"/>
      <c r="C636" s="1211"/>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64"/>
      <c r="AM636" s="664"/>
      <c r="AN636" s="636"/>
      <c r="AO636" s="664"/>
      <c r="AP636" s="664"/>
      <c r="AQ636" s="664"/>
      <c r="AR636" s="636"/>
      <c r="AS636" s="664"/>
      <c r="AT636" s="664"/>
      <c r="AU636" s="664"/>
      <c r="AV636" s="664"/>
      <c r="AW636" s="664"/>
      <c r="AX636" s="664"/>
      <c r="AY636" s="664"/>
      <c r="AZ636" s="664"/>
      <c r="BA636" s="665"/>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row>
    <row r="637" spans="2:105" x14ac:dyDescent="0.35">
      <c r="B637" s="1214"/>
      <c r="C637" s="1211"/>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64"/>
      <c r="AM637" s="664"/>
      <c r="AN637" s="636"/>
      <c r="AO637" s="664"/>
      <c r="AP637" s="664"/>
      <c r="AQ637" s="664"/>
      <c r="AR637" s="636"/>
      <c r="AS637" s="664"/>
      <c r="AT637" s="664"/>
      <c r="AU637" s="664"/>
      <c r="AV637" s="664"/>
      <c r="AW637" s="664"/>
      <c r="AX637" s="664"/>
      <c r="AY637" s="664"/>
      <c r="AZ637" s="664"/>
      <c r="BA637" s="665"/>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row>
    <row r="638" spans="2:105" x14ac:dyDescent="0.35">
      <c r="B638" s="1214"/>
      <c r="C638" s="1211"/>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64"/>
      <c r="AM638" s="664"/>
      <c r="AN638" s="636"/>
      <c r="AO638" s="664"/>
      <c r="AP638" s="664"/>
      <c r="AQ638" s="664"/>
      <c r="AR638" s="636"/>
      <c r="AS638" s="664"/>
      <c r="AT638" s="664"/>
      <c r="AU638" s="664"/>
      <c r="AV638" s="664"/>
      <c r="AW638" s="664"/>
      <c r="AX638" s="664"/>
      <c r="AY638" s="664"/>
      <c r="AZ638" s="664"/>
      <c r="BA638" s="665"/>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row>
    <row r="639" spans="2:105" x14ac:dyDescent="0.35">
      <c r="B639" s="1214"/>
      <c r="C639" s="1211"/>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64"/>
      <c r="AM639" s="664"/>
      <c r="AN639" s="636"/>
      <c r="AO639" s="664"/>
      <c r="AP639" s="664"/>
      <c r="AQ639" s="664"/>
      <c r="AR639" s="636"/>
      <c r="AS639" s="664"/>
      <c r="AT639" s="664"/>
      <c r="AU639" s="664"/>
      <c r="AV639" s="664"/>
      <c r="AW639" s="664"/>
      <c r="AX639" s="664"/>
      <c r="AY639" s="664"/>
      <c r="AZ639" s="664"/>
      <c r="BA639" s="665"/>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row>
    <row r="640" spans="2:105" x14ac:dyDescent="0.35">
      <c r="B640" s="1214"/>
      <c r="C640" s="1211"/>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64"/>
      <c r="AM640" s="664"/>
      <c r="AN640" s="636"/>
      <c r="AO640" s="664"/>
      <c r="AP640" s="664"/>
      <c r="AQ640" s="664"/>
      <c r="AR640" s="636"/>
      <c r="AS640" s="664"/>
      <c r="AT640" s="664"/>
      <c r="AU640" s="664"/>
      <c r="AV640" s="664"/>
      <c r="AW640" s="664"/>
      <c r="AX640" s="664"/>
      <c r="AY640" s="664"/>
      <c r="AZ640" s="664"/>
      <c r="BA640" s="665"/>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row>
    <row r="641" spans="2:105" x14ac:dyDescent="0.35">
      <c r="B641" s="1214"/>
      <c r="C641" s="1211"/>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64"/>
      <c r="AM641" s="664"/>
      <c r="AN641" s="636"/>
      <c r="AO641" s="664"/>
      <c r="AP641" s="664"/>
      <c r="AQ641" s="664"/>
      <c r="AR641" s="636"/>
      <c r="AS641" s="664"/>
      <c r="AT641" s="664"/>
      <c r="AU641" s="664"/>
      <c r="AV641" s="664"/>
      <c r="AW641" s="664"/>
      <c r="AX641" s="664"/>
      <c r="AY641" s="664"/>
      <c r="AZ641" s="664"/>
      <c r="BA641" s="665"/>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row>
    <row r="642" spans="2:105" ht="15" thickBot="1" x14ac:dyDescent="0.4">
      <c r="B642" s="1215"/>
      <c r="C642" s="1212"/>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66"/>
      <c r="AM642" s="666"/>
      <c r="AN642" s="641"/>
      <c r="AO642" s="666"/>
      <c r="AP642" s="666"/>
      <c r="AQ642" s="666"/>
      <c r="AR642" s="641"/>
      <c r="AS642" s="666"/>
      <c r="AT642" s="666"/>
      <c r="AU642" s="666"/>
      <c r="AV642" s="666"/>
      <c r="AW642" s="666"/>
      <c r="AX642" s="666"/>
      <c r="AY642" s="666"/>
      <c r="AZ642" s="666"/>
      <c r="BA642" s="667"/>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row>
    <row r="643" spans="2:105" ht="15" thickBot="1" x14ac:dyDescent="0.4">
      <c r="B643" s="577" t="s">
        <v>1233</v>
      </c>
      <c r="C643" s="1210"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68"/>
      <c r="AM643" s="668"/>
      <c r="AN643" s="646"/>
      <c r="AO643" s="668"/>
      <c r="AP643" s="668"/>
      <c r="AQ643" s="668"/>
      <c r="AR643" s="646"/>
      <c r="AS643" s="668"/>
      <c r="AT643" s="668"/>
      <c r="AU643" s="668"/>
      <c r="AV643" s="668"/>
      <c r="AW643" s="668"/>
      <c r="AX643" s="668"/>
      <c r="AY643" s="668"/>
      <c r="AZ643" s="668"/>
      <c r="BA643" s="669"/>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row>
    <row r="644" spans="2:105" x14ac:dyDescent="0.35">
      <c r="B644" s="1213" t="s">
        <v>1234</v>
      </c>
      <c r="C644" s="1211"/>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71"/>
      <c r="AM644" s="671"/>
      <c r="AN644" s="651"/>
      <c r="AO644" s="671"/>
      <c r="AP644" s="671"/>
      <c r="AQ644" s="671"/>
      <c r="AR644" s="651"/>
      <c r="AS644" s="671"/>
      <c r="AT644" s="671"/>
      <c r="AU644" s="671"/>
      <c r="AV644" s="671"/>
      <c r="AW644" s="671"/>
      <c r="AX644" s="671"/>
      <c r="AY644" s="671"/>
      <c r="AZ644" s="671"/>
      <c r="BA644" s="672"/>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row>
    <row r="645" spans="2:105" x14ac:dyDescent="0.35">
      <c r="B645" s="1214"/>
      <c r="C645" s="1211"/>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64"/>
      <c r="AM645" s="664"/>
      <c r="AN645" s="656"/>
      <c r="AO645" s="664"/>
      <c r="AP645" s="664"/>
      <c r="AQ645" s="664"/>
      <c r="AR645" s="656"/>
      <c r="AS645" s="664"/>
      <c r="AT645" s="664"/>
      <c r="AU645" s="664"/>
      <c r="AV645" s="664"/>
      <c r="AW645" s="664"/>
      <c r="AX645" s="664"/>
      <c r="AY645" s="664"/>
      <c r="AZ645" s="664"/>
      <c r="BA645" s="665"/>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row>
    <row r="646" spans="2:105" x14ac:dyDescent="0.35">
      <c r="B646" s="1214"/>
      <c r="C646" s="1211"/>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64"/>
      <c r="AM646" s="664"/>
      <c r="AN646" s="656"/>
      <c r="AO646" s="664"/>
      <c r="AP646" s="664"/>
      <c r="AQ646" s="664"/>
      <c r="AR646" s="656"/>
      <c r="AS646" s="664"/>
      <c r="AT646" s="664"/>
      <c r="AU646" s="664"/>
      <c r="AV646" s="664"/>
      <c r="AW646" s="664"/>
      <c r="AX646" s="664"/>
      <c r="AY646" s="664"/>
      <c r="AZ646" s="664"/>
      <c r="BA646" s="665"/>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row>
    <row r="647" spans="2:105" x14ac:dyDescent="0.35">
      <c r="B647" s="1214"/>
      <c r="C647" s="1211"/>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64"/>
      <c r="AM647" s="664"/>
      <c r="AN647" s="656"/>
      <c r="AO647" s="664"/>
      <c r="AP647" s="664"/>
      <c r="AQ647" s="664"/>
      <c r="AR647" s="656"/>
      <c r="AS647" s="664"/>
      <c r="AT647" s="664"/>
      <c r="AU647" s="664"/>
      <c r="AV647" s="664"/>
      <c r="AW647" s="664"/>
      <c r="AX647" s="664"/>
      <c r="AY647" s="664"/>
      <c r="AZ647" s="664"/>
      <c r="BA647" s="665"/>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row>
    <row r="648" spans="2:105" x14ac:dyDescent="0.35">
      <c r="B648" s="1214"/>
      <c r="C648" s="1211"/>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64"/>
      <c r="AM648" s="664"/>
      <c r="AN648" s="656"/>
      <c r="AO648" s="664"/>
      <c r="AP648" s="664"/>
      <c r="AQ648" s="664"/>
      <c r="AR648" s="656"/>
      <c r="AS648" s="664"/>
      <c r="AT648" s="664"/>
      <c r="AU648" s="664"/>
      <c r="AV648" s="664"/>
      <c r="AW648" s="664"/>
      <c r="AX648" s="664"/>
      <c r="AY648" s="664"/>
      <c r="AZ648" s="664"/>
      <c r="BA648" s="665"/>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row>
    <row r="649" spans="2:105" x14ac:dyDescent="0.35">
      <c r="B649" s="1214"/>
      <c r="C649" s="1211"/>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64"/>
      <c r="AM649" s="664"/>
      <c r="AN649" s="656"/>
      <c r="AO649" s="664"/>
      <c r="AP649" s="664"/>
      <c r="AQ649" s="664"/>
      <c r="AR649" s="656"/>
      <c r="AS649" s="664"/>
      <c r="AT649" s="664"/>
      <c r="AU649" s="664"/>
      <c r="AV649" s="664"/>
      <c r="AW649" s="664"/>
      <c r="AX649" s="664"/>
      <c r="AY649" s="664"/>
      <c r="AZ649" s="664"/>
      <c r="BA649" s="665"/>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row>
    <row r="650" spans="2:105" x14ac:dyDescent="0.35">
      <c r="B650" s="1214"/>
      <c r="C650" s="1211"/>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64"/>
      <c r="AM650" s="664"/>
      <c r="AN650" s="657"/>
      <c r="AO650" s="664"/>
      <c r="AP650" s="664"/>
      <c r="AQ650" s="664"/>
      <c r="AR650" s="657"/>
      <c r="AS650" s="664"/>
      <c r="AT650" s="664"/>
      <c r="AU650" s="664"/>
      <c r="AV650" s="664"/>
      <c r="AW650" s="664"/>
      <c r="AX650" s="664"/>
      <c r="AY650" s="664"/>
      <c r="AZ650" s="664"/>
      <c r="BA650" s="665"/>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row>
    <row r="651" spans="2:105" x14ac:dyDescent="0.35">
      <c r="B651" s="1214"/>
      <c r="C651" s="1211"/>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64"/>
      <c r="AM651" s="664"/>
      <c r="AN651" s="656"/>
      <c r="AO651" s="664"/>
      <c r="AP651" s="664"/>
      <c r="AQ651" s="664"/>
      <c r="AR651" s="656"/>
      <c r="AS651" s="664"/>
      <c r="AT651" s="664"/>
      <c r="AU651" s="664"/>
      <c r="AV651" s="664"/>
      <c r="AW651" s="664"/>
      <c r="AX651" s="664"/>
      <c r="AY651" s="664"/>
      <c r="AZ651" s="664"/>
      <c r="BA651" s="665"/>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row>
    <row r="652" spans="2:105" x14ac:dyDescent="0.35">
      <c r="B652" s="1214"/>
      <c r="C652" s="1211"/>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64"/>
      <c r="AM652" s="664"/>
      <c r="AN652" s="656"/>
      <c r="AO652" s="664"/>
      <c r="AP652" s="664"/>
      <c r="AQ652" s="664"/>
      <c r="AR652" s="656"/>
      <c r="AS652" s="664"/>
      <c r="AT652" s="664"/>
      <c r="AU652" s="664"/>
      <c r="AV652" s="664"/>
      <c r="AW652" s="664"/>
      <c r="AX652" s="664"/>
      <c r="AY652" s="664"/>
      <c r="AZ652" s="664"/>
      <c r="BA652" s="665"/>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row>
    <row r="653" spans="2:105" x14ac:dyDescent="0.35">
      <c r="B653" s="1214"/>
      <c r="C653" s="1211"/>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64"/>
      <c r="AM653" s="664"/>
      <c r="AN653" s="658"/>
      <c r="AO653" s="664"/>
      <c r="AP653" s="664"/>
      <c r="AQ653" s="664"/>
      <c r="AR653" s="658"/>
      <c r="AS653" s="664"/>
      <c r="AT653" s="664"/>
      <c r="AU653" s="664"/>
      <c r="AV653" s="664"/>
      <c r="AW653" s="664"/>
      <c r="AX653" s="664"/>
      <c r="AY653" s="664"/>
      <c r="AZ653" s="664"/>
      <c r="BA653" s="665"/>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row>
    <row r="654" spans="2:105" x14ac:dyDescent="0.35">
      <c r="B654" s="1214"/>
      <c r="C654" s="1211"/>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64"/>
      <c r="AM654" s="664"/>
      <c r="AN654" s="656"/>
      <c r="AO654" s="664"/>
      <c r="AP654" s="664"/>
      <c r="AQ654" s="664"/>
      <c r="AR654" s="656"/>
      <c r="AS654" s="664"/>
      <c r="AT654" s="664"/>
      <c r="AU654" s="664"/>
      <c r="AV654" s="664"/>
      <c r="AW654" s="664"/>
      <c r="AX654" s="664"/>
      <c r="AY654" s="664"/>
      <c r="AZ654" s="664"/>
      <c r="BA654" s="665"/>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row>
    <row r="655" spans="2:105" x14ac:dyDescent="0.35">
      <c r="B655" s="1214"/>
      <c r="C655" s="1211"/>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64"/>
      <c r="AM655" s="664"/>
      <c r="AN655" s="656"/>
      <c r="AO655" s="664"/>
      <c r="AP655" s="664"/>
      <c r="AQ655" s="664"/>
      <c r="AR655" s="656"/>
      <c r="AS655" s="664"/>
      <c r="AT655" s="664"/>
      <c r="AU655" s="664"/>
      <c r="AV655" s="664"/>
      <c r="AW655" s="664"/>
      <c r="AX655" s="664"/>
      <c r="AY655" s="664"/>
      <c r="AZ655" s="664"/>
      <c r="BA655" s="665"/>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row>
    <row r="656" spans="2:105" x14ac:dyDescent="0.35">
      <c r="B656" s="1214"/>
      <c r="C656" s="1211"/>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64"/>
      <c r="AM656" s="664"/>
      <c r="AN656" s="656"/>
      <c r="AO656" s="664"/>
      <c r="AP656" s="664"/>
      <c r="AQ656" s="664"/>
      <c r="AR656" s="656"/>
      <c r="AS656" s="664"/>
      <c r="AT656" s="664"/>
      <c r="AU656" s="664"/>
      <c r="AV656" s="664"/>
      <c r="AW656" s="664"/>
      <c r="AX656" s="664"/>
      <c r="AY656" s="664"/>
      <c r="AZ656" s="664"/>
      <c r="BA656" s="665"/>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row>
    <row r="657" spans="2:105" x14ac:dyDescent="0.35">
      <c r="B657" s="1214"/>
      <c r="C657" s="1211"/>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64"/>
      <c r="AM657" s="664"/>
      <c r="AN657" s="656"/>
      <c r="AO657" s="664"/>
      <c r="AP657" s="664"/>
      <c r="AQ657" s="664"/>
      <c r="AR657" s="656"/>
      <c r="AS657" s="664"/>
      <c r="AT657" s="664"/>
      <c r="AU657" s="664"/>
      <c r="AV657" s="664"/>
      <c r="AW657" s="664"/>
      <c r="AX657" s="664"/>
      <c r="AY657" s="664"/>
      <c r="AZ657" s="664"/>
      <c r="BA657" s="665"/>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row>
    <row r="658" spans="2:105" x14ac:dyDescent="0.35">
      <c r="B658" s="1214"/>
      <c r="C658" s="1211"/>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64"/>
      <c r="AM658" s="664"/>
      <c r="AN658" s="656"/>
      <c r="AO658" s="664"/>
      <c r="AP658" s="664"/>
      <c r="AQ658" s="664"/>
      <c r="AR658" s="656"/>
      <c r="AS658" s="664"/>
      <c r="AT658" s="664"/>
      <c r="AU658" s="664"/>
      <c r="AV658" s="664"/>
      <c r="AW658" s="664"/>
      <c r="AX658" s="664"/>
      <c r="AY658" s="664"/>
      <c r="AZ658" s="664"/>
      <c r="BA658" s="665"/>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row>
    <row r="659" spans="2:105" ht="15" thickBot="1" x14ac:dyDescent="0.4">
      <c r="B659" s="1215"/>
      <c r="C659" s="1212"/>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6"/>
      <c r="AM659" s="666"/>
      <c r="AN659" s="660"/>
      <c r="AO659" s="666"/>
      <c r="AP659" s="666"/>
      <c r="AQ659" s="666"/>
      <c r="AR659" s="660"/>
      <c r="AS659" s="666"/>
      <c r="AT659" s="666"/>
      <c r="AU659" s="666"/>
      <c r="AV659" s="666"/>
      <c r="AW659" s="666"/>
      <c r="AX659" s="666"/>
      <c r="AY659" s="666"/>
      <c r="AZ659" s="666"/>
      <c r="BA659" s="667"/>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row>
    <row r="660" spans="2:105" ht="15" thickBot="1" x14ac:dyDescent="0.4">
      <c r="B660" s="577" t="s">
        <v>1235</v>
      </c>
      <c r="C660" s="1210"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68"/>
      <c r="AM660" s="668"/>
      <c r="AN660" s="650"/>
      <c r="AO660" s="668"/>
      <c r="AP660" s="668"/>
      <c r="AQ660" s="668"/>
      <c r="AR660" s="650"/>
      <c r="AS660" s="668"/>
      <c r="AT660" s="668"/>
      <c r="AU660" s="668"/>
      <c r="AV660" s="668"/>
      <c r="AW660" s="668"/>
      <c r="AX660" s="668"/>
      <c r="AY660" s="668"/>
      <c r="AZ660" s="668"/>
      <c r="BA660" s="669"/>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row>
    <row r="661" spans="2:105" x14ac:dyDescent="0.35">
      <c r="B661" s="1213" t="s">
        <v>1236</v>
      </c>
      <c r="C661" s="1211"/>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71"/>
      <c r="AM661" s="671"/>
      <c r="AN661" s="651"/>
      <c r="AO661" s="671"/>
      <c r="AP661" s="671"/>
      <c r="AQ661" s="671"/>
      <c r="AR661" s="651"/>
      <c r="AS661" s="671"/>
      <c r="AT661" s="671"/>
      <c r="AU661" s="671"/>
      <c r="AV661" s="671"/>
      <c r="AW661" s="671"/>
      <c r="AX661" s="671"/>
      <c r="AY661" s="671"/>
      <c r="AZ661" s="671"/>
      <c r="BA661" s="672"/>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row>
    <row r="662" spans="2:105" x14ac:dyDescent="0.35">
      <c r="B662" s="1214"/>
      <c r="C662" s="1211"/>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64"/>
      <c r="AM662" s="664"/>
      <c r="AN662" s="656"/>
      <c r="AO662" s="664"/>
      <c r="AP662" s="664"/>
      <c r="AQ662" s="664"/>
      <c r="AR662" s="656"/>
      <c r="AS662" s="664"/>
      <c r="AT662" s="664"/>
      <c r="AU662" s="664"/>
      <c r="AV662" s="664"/>
      <c r="AW662" s="664"/>
      <c r="AX662" s="664"/>
      <c r="AY662" s="664"/>
      <c r="AZ662" s="664"/>
      <c r="BA662" s="665"/>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row>
    <row r="663" spans="2:105" x14ac:dyDescent="0.35">
      <c r="B663" s="1214"/>
      <c r="C663" s="1211"/>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64"/>
      <c r="AM663" s="664"/>
      <c r="AN663" s="656"/>
      <c r="AO663" s="664"/>
      <c r="AP663" s="664"/>
      <c r="AQ663" s="664"/>
      <c r="AR663" s="656"/>
      <c r="AS663" s="664"/>
      <c r="AT663" s="664"/>
      <c r="AU663" s="664"/>
      <c r="AV663" s="664"/>
      <c r="AW663" s="664"/>
      <c r="AX663" s="664"/>
      <c r="AY663" s="664"/>
      <c r="AZ663" s="664"/>
      <c r="BA663" s="665"/>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row>
    <row r="664" spans="2:105" x14ac:dyDescent="0.35">
      <c r="B664" s="1214"/>
      <c r="C664" s="1211"/>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64"/>
      <c r="AM664" s="664"/>
      <c r="AN664" s="656"/>
      <c r="AO664" s="664"/>
      <c r="AP664" s="664"/>
      <c r="AQ664" s="664"/>
      <c r="AR664" s="656"/>
      <c r="AS664" s="664"/>
      <c r="AT664" s="664"/>
      <c r="AU664" s="664"/>
      <c r="AV664" s="664"/>
      <c r="AW664" s="664"/>
      <c r="AX664" s="664"/>
      <c r="AY664" s="664"/>
      <c r="AZ664" s="664"/>
      <c r="BA664" s="665"/>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row>
    <row r="665" spans="2:105" x14ac:dyDescent="0.35">
      <c r="B665" s="1214"/>
      <c r="C665" s="1211"/>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64"/>
      <c r="AM665" s="664"/>
      <c r="AN665" s="656"/>
      <c r="AO665" s="664"/>
      <c r="AP665" s="664"/>
      <c r="AQ665" s="664"/>
      <c r="AR665" s="656"/>
      <c r="AS665" s="664"/>
      <c r="AT665" s="664"/>
      <c r="AU665" s="664"/>
      <c r="AV665" s="664"/>
      <c r="AW665" s="664"/>
      <c r="AX665" s="664"/>
      <c r="AY665" s="664"/>
      <c r="AZ665" s="664"/>
      <c r="BA665" s="665"/>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row>
    <row r="666" spans="2:105" x14ac:dyDescent="0.35">
      <c r="B666" s="1214"/>
      <c r="C666" s="1211"/>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64"/>
      <c r="AM666" s="664"/>
      <c r="AN666" s="656"/>
      <c r="AO666" s="664"/>
      <c r="AP666" s="664"/>
      <c r="AQ666" s="664"/>
      <c r="AR666" s="656"/>
      <c r="AS666" s="664"/>
      <c r="AT666" s="664"/>
      <c r="AU666" s="664"/>
      <c r="AV666" s="664"/>
      <c r="AW666" s="664"/>
      <c r="AX666" s="664"/>
      <c r="AY666" s="664"/>
      <c r="AZ666" s="664"/>
      <c r="BA666" s="665"/>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row>
    <row r="667" spans="2:105" x14ac:dyDescent="0.35">
      <c r="B667" s="1214"/>
      <c r="C667" s="1211"/>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64"/>
      <c r="AM667" s="664"/>
      <c r="AN667" s="656"/>
      <c r="AO667" s="664"/>
      <c r="AP667" s="664"/>
      <c r="AQ667" s="664"/>
      <c r="AR667" s="656"/>
      <c r="AS667" s="664"/>
      <c r="AT667" s="664"/>
      <c r="AU667" s="664"/>
      <c r="AV667" s="664"/>
      <c r="AW667" s="664"/>
      <c r="AX667" s="664"/>
      <c r="AY667" s="664"/>
      <c r="AZ667" s="664"/>
      <c r="BA667" s="665"/>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row>
    <row r="668" spans="2:105" x14ac:dyDescent="0.35">
      <c r="B668" s="1214"/>
      <c r="C668" s="1211"/>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64"/>
      <c r="AM668" s="664"/>
      <c r="AN668" s="656"/>
      <c r="AO668" s="664"/>
      <c r="AP668" s="664"/>
      <c r="AQ668" s="664"/>
      <c r="AR668" s="656"/>
      <c r="AS668" s="664"/>
      <c r="AT668" s="664"/>
      <c r="AU668" s="664"/>
      <c r="AV668" s="664"/>
      <c r="AW668" s="664"/>
      <c r="AX668" s="664"/>
      <c r="AY668" s="664"/>
      <c r="AZ668" s="664"/>
      <c r="BA668" s="665"/>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row>
    <row r="669" spans="2:105" x14ac:dyDescent="0.35">
      <c r="B669" s="1214"/>
      <c r="C669" s="1211"/>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64"/>
      <c r="AM669" s="664"/>
      <c r="AN669" s="656"/>
      <c r="AO669" s="664"/>
      <c r="AP669" s="664"/>
      <c r="AQ669" s="664"/>
      <c r="AR669" s="656"/>
      <c r="AS669" s="664"/>
      <c r="AT669" s="664"/>
      <c r="AU669" s="664"/>
      <c r="AV669" s="664"/>
      <c r="AW669" s="664"/>
      <c r="AX669" s="664"/>
      <c r="AY669" s="664"/>
      <c r="AZ669" s="664"/>
      <c r="BA669" s="665"/>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row>
    <row r="670" spans="2:105" x14ac:dyDescent="0.35">
      <c r="B670" s="1214"/>
      <c r="C670" s="1211"/>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64"/>
      <c r="AM670" s="664"/>
      <c r="AN670" s="656"/>
      <c r="AO670" s="664"/>
      <c r="AP670" s="664"/>
      <c r="AQ670" s="664"/>
      <c r="AR670" s="656"/>
      <c r="AS670" s="664"/>
      <c r="AT670" s="664"/>
      <c r="AU670" s="664"/>
      <c r="AV670" s="664"/>
      <c r="AW670" s="664"/>
      <c r="AX670" s="664"/>
      <c r="AY670" s="664"/>
      <c r="AZ670" s="664"/>
      <c r="BA670" s="665"/>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row>
    <row r="671" spans="2:105" x14ac:dyDescent="0.35">
      <c r="B671" s="1214"/>
      <c r="C671" s="1211"/>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64"/>
      <c r="AM671" s="664"/>
      <c r="AN671" s="656"/>
      <c r="AO671" s="664"/>
      <c r="AP671" s="664"/>
      <c r="AQ671" s="664"/>
      <c r="AR671" s="656"/>
      <c r="AS671" s="664"/>
      <c r="AT671" s="664"/>
      <c r="AU671" s="664"/>
      <c r="AV671" s="664"/>
      <c r="AW671" s="664"/>
      <c r="AX671" s="664"/>
      <c r="AY671" s="664"/>
      <c r="AZ671" s="664"/>
      <c r="BA671" s="665"/>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row>
    <row r="672" spans="2:105" x14ac:dyDescent="0.35">
      <c r="B672" s="1214"/>
      <c r="C672" s="1211"/>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64"/>
      <c r="AM672" s="664"/>
      <c r="AN672" s="656"/>
      <c r="AO672" s="664"/>
      <c r="AP672" s="664"/>
      <c r="AQ672" s="664"/>
      <c r="AR672" s="656"/>
      <c r="AS672" s="664"/>
      <c r="AT672" s="664"/>
      <c r="AU672" s="664"/>
      <c r="AV672" s="664"/>
      <c r="AW672" s="664"/>
      <c r="AX672" s="664"/>
      <c r="AY672" s="664"/>
      <c r="AZ672" s="664"/>
      <c r="BA672" s="665"/>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row>
    <row r="673" spans="2:105" x14ac:dyDescent="0.35">
      <c r="B673" s="1214"/>
      <c r="C673" s="1211"/>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64"/>
      <c r="AM673" s="664"/>
      <c r="AN673" s="656"/>
      <c r="AO673" s="664"/>
      <c r="AP673" s="664"/>
      <c r="AQ673" s="664"/>
      <c r="AR673" s="656"/>
      <c r="AS673" s="664"/>
      <c r="AT673" s="664"/>
      <c r="AU673" s="664"/>
      <c r="AV673" s="664"/>
      <c r="AW673" s="664"/>
      <c r="AX673" s="664"/>
      <c r="AY673" s="664"/>
      <c r="AZ673" s="664"/>
      <c r="BA673" s="665"/>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row>
    <row r="674" spans="2:105" x14ac:dyDescent="0.35">
      <c r="B674" s="1214"/>
      <c r="C674" s="1211"/>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64"/>
      <c r="AM674" s="664"/>
      <c r="AN674" s="656"/>
      <c r="AO674" s="664"/>
      <c r="AP674" s="664"/>
      <c r="AQ674" s="664"/>
      <c r="AR674" s="656"/>
      <c r="AS674" s="664"/>
      <c r="AT674" s="664"/>
      <c r="AU674" s="664"/>
      <c r="AV674" s="664"/>
      <c r="AW674" s="664"/>
      <c r="AX674" s="664"/>
      <c r="AY674" s="664"/>
      <c r="AZ674" s="664"/>
      <c r="BA674" s="665"/>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row>
    <row r="675" spans="2:105" x14ac:dyDescent="0.35">
      <c r="B675" s="1214"/>
      <c r="C675" s="1211"/>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64"/>
      <c r="AM675" s="664"/>
      <c r="AN675" s="656"/>
      <c r="AO675" s="664"/>
      <c r="AP675" s="664"/>
      <c r="AQ675" s="664"/>
      <c r="AR675" s="656"/>
      <c r="AS675" s="664"/>
      <c r="AT675" s="664"/>
      <c r="AU675" s="664"/>
      <c r="AV675" s="664"/>
      <c r="AW675" s="664"/>
      <c r="AX675" s="664"/>
      <c r="AY675" s="664"/>
      <c r="AZ675" s="664"/>
      <c r="BA675" s="665"/>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row>
    <row r="676" spans="2:105" ht="15" thickBot="1" x14ac:dyDescent="0.4">
      <c r="B676" s="1215"/>
      <c r="C676" s="1212"/>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6"/>
      <c r="AM676" s="666"/>
      <c r="AN676" s="660"/>
      <c r="AO676" s="666"/>
      <c r="AP676" s="666"/>
      <c r="AQ676" s="666"/>
      <c r="AR676" s="660"/>
      <c r="AS676" s="666"/>
      <c r="AT676" s="666"/>
      <c r="AU676" s="666"/>
      <c r="AV676" s="666"/>
      <c r="AW676" s="666"/>
      <c r="AX676" s="666"/>
      <c r="AY676" s="666"/>
      <c r="AZ676" s="666"/>
      <c r="BA676" s="667"/>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row>
    <row r="677" spans="2:105" ht="15" thickBot="1" x14ac:dyDescent="0.4">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5"/>
      <c r="AM677" s="675"/>
      <c r="AN677" s="674"/>
      <c r="AO677" s="675"/>
      <c r="AP677" s="675"/>
      <c r="AQ677" s="675"/>
      <c r="AR677" s="674"/>
      <c r="AS677" s="675"/>
      <c r="AT677" s="675"/>
      <c r="AU677" s="675"/>
      <c r="AV677" s="675"/>
      <c r="AW677" s="675"/>
      <c r="AX677" s="675"/>
      <c r="AY677" s="675"/>
      <c r="AZ677" s="675"/>
      <c r="BA677" s="676"/>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row>
    <row r="678" spans="2:105" ht="15" thickBot="1" x14ac:dyDescent="0.4">
      <c r="B678" s="577" t="s">
        <v>1200</v>
      </c>
      <c r="C678" s="1210"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8"/>
      <c r="AM678" s="628"/>
      <c r="AN678" s="626"/>
      <c r="AO678" s="628"/>
      <c r="AP678" s="628"/>
      <c r="AQ678" s="628"/>
      <c r="AR678" s="626"/>
      <c r="AS678" s="628"/>
      <c r="AT678" s="628"/>
      <c r="AU678" s="628"/>
      <c r="AV678" s="628"/>
      <c r="AW678" s="628"/>
      <c r="AX678" s="628"/>
      <c r="AY678" s="628"/>
      <c r="AZ678" s="628"/>
      <c r="BA678" s="629"/>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row>
    <row r="679" spans="2:105" x14ac:dyDescent="0.35">
      <c r="B679" s="1213" t="s">
        <v>1201</v>
      </c>
      <c r="C679" s="1211"/>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62"/>
      <c r="AM679" s="662"/>
      <c r="AN679" s="631"/>
      <c r="AO679" s="662"/>
      <c r="AP679" s="662"/>
      <c r="AQ679" s="662"/>
      <c r="AR679" s="631"/>
      <c r="AS679" s="662"/>
      <c r="AT679" s="662"/>
      <c r="AU679" s="662"/>
      <c r="AV679" s="662"/>
      <c r="AW679" s="662"/>
      <c r="AX679" s="662"/>
      <c r="AY679" s="662"/>
      <c r="AZ679" s="662"/>
      <c r="BA679" s="663"/>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row>
    <row r="680" spans="2:105" x14ac:dyDescent="0.35">
      <c r="B680" s="1214"/>
      <c r="C680" s="1211"/>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64"/>
      <c r="AM680" s="664"/>
      <c r="AN680" s="636"/>
      <c r="AO680" s="664"/>
      <c r="AP680" s="664"/>
      <c r="AQ680" s="664"/>
      <c r="AR680" s="636"/>
      <c r="AS680" s="664"/>
      <c r="AT680" s="664"/>
      <c r="AU680" s="664"/>
      <c r="AV680" s="664"/>
      <c r="AW680" s="664"/>
      <c r="AX680" s="664"/>
      <c r="AY680" s="664"/>
      <c r="AZ680" s="664"/>
      <c r="BA680" s="665"/>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row>
    <row r="681" spans="2:105" x14ac:dyDescent="0.35">
      <c r="B681" s="1214"/>
      <c r="C681" s="1211"/>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64"/>
      <c r="AM681" s="664"/>
      <c r="AN681" s="636"/>
      <c r="AO681" s="664"/>
      <c r="AP681" s="664"/>
      <c r="AQ681" s="664"/>
      <c r="AR681" s="636"/>
      <c r="AS681" s="664"/>
      <c r="AT681" s="664"/>
      <c r="AU681" s="664"/>
      <c r="AV681" s="664"/>
      <c r="AW681" s="664"/>
      <c r="AX681" s="664"/>
      <c r="AY681" s="664"/>
      <c r="AZ681" s="664"/>
      <c r="BA681" s="665"/>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row>
    <row r="682" spans="2:105" x14ac:dyDescent="0.35">
      <c r="B682" s="1214"/>
      <c r="C682" s="1211"/>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64"/>
      <c r="AM682" s="664"/>
      <c r="AN682" s="636"/>
      <c r="AO682" s="664"/>
      <c r="AP682" s="664"/>
      <c r="AQ682" s="664"/>
      <c r="AR682" s="636"/>
      <c r="AS682" s="664"/>
      <c r="AT682" s="664"/>
      <c r="AU682" s="664"/>
      <c r="AV682" s="664"/>
      <c r="AW682" s="664"/>
      <c r="AX682" s="664"/>
      <c r="AY682" s="664"/>
      <c r="AZ682" s="664"/>
      <c r="BA682" s="665"/>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row>
    <row r="683" spans="2:105" x14ac:dyDescent="0.35">
      <c r="B683" s="1214"/>
      <c r="C683" s="1211"/>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64"/>
      <c r="AM683" s="664"/>
      <c r="AN683" s="636"/>
      <c r="AO683" s="664"/>
      <c r="AP683" s="664"/>
      <c r="AQ683" s="664"/>
      <c r="AR683" s="636"/>
      <c r="AS683" s="664"/>
      <c r="AT683" s="664"/>
      <c r="AU683" s="664"/>
      <c r="AV683" s="664"/>
      <c r="AW683" s="664"/>
      <c r="AX683" s="664"/>
      <c r="AY683" s="664"/>
      <c r="AZ683" s="664"/>
      <c r="BA683" s="665"/>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row>
    <row r="684" spans="2:105" x14ac:dyDescent="0.35">
      <c r="B684" s="1214"/>
      <c r="C684" s="1211"/>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64"/>
      <c r="AM684" s="664"/>
      <c r="AN684" s="636"/>
      <c r="AO684" s="664"/>
      <c r="AP684" s="664"/>
      <c r="AQ684" s="664"/>
      <c r="AR684" s="636"/>
      <c r="AS684" s="664"/>
      <c r="AT684" s="664"/>
      <c r="AU684" s="664"/>
      <c r="AV684" s="664"/>
      <c r="AW684" s="664"/>
      <c r="AX684" s="664"/>
      <c r="AY684" s="664"/>
      <c r="AZ684" s="664"/>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row>
    <row r="685" spans="2:105" x14ac:dyDescent="0.35">
      <c r="B685" s="1214"/>
      <c r="C685" s="1211"/>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64"/>
      <c r="AM685" s="664"/>
      <c r="AN685" s="636"/>
      <c r="AO685" s="664"/>
      <c r="AP685" s="664"/>
      <c r="AQ685" s="664"/>
      <c r="AR685" s="636"/>
      <c r="AS685" s="664"/>
      <c r="AT685" s="664"/>
      <c r="AU685" s="664"/>
      <c r="AV685" s="664"/>
      <c r="AW685" s="664"/>
      <c r="AX685" s="664"/>
      <c r="AY685" s="664"/>
      <c r="AZ685" s="664"/>
      <c r="BA685" s="665"/>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row>
    <row r="686" spans="2:105" x14ac:dyDescent="0.35">
      <c r="B686" s="1214"/>
      <c r="C686" s="1211"/>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64"/>
      <c r="AM686" s="664"/>
      <c r="AN686" s="636"/>
      <c r="AO686" s="664"/>
      <c r="AP686" s="664"/>
      <c r="AQ686" s="664"/>
      <c r="AR686" s="636"/>
      <c r="AS686" s="664"/>
      <c r="AT686" s="664"/>
      <c r="AU686" s="664"/>
      <c r="AV686" s="664"/>
      <c r="AW686" s="664"/>
      <c r="AX686" s="664"/>
      <c r="AY686" s="664"/>
      <c r="AZ686" s="664"/>
      <c r="BA686" s="665"/>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row>
    <row r="687" spans="2:105" x14ac:dyDescent="0.35">
      <c r="B687" s="1214"/>
      <c r="C687" s="1211"/>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64"/>
      <c r="AM687" s="664"/>
      <c r="AN687" s="636"/>
      <c r="AO687" s="664"/>
      <c r="AP687" s="664"/>
      <c r="AQ687" s="664"/>
      <c r="AR687" s="636"/>
      <c r="AS687" s="664"/>
      <c r="AT687" s="664"/>
      <c r="AU687" s="664"/>
      <c r="AV687" s="664"/>
      <c r="AW687" s="664"/>
      <c r="AX687" s="664"/>
      <c r="AY687" s="664"/>
      <c r="AZ687" s="664"/>
      <c r="BA687" s="665"/>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row>
    <row r="688" spans="2:105" x14ac:dyDescent="0.35">
      <c r="B688" s="1214"/>
      <c r="C688" s="1211"/>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64"/>
      <c r="AM688" s="664"/>
      <c r="AN688" s="636"/>
      <c r="AO688" s="664"/>
      <c r="AP688" s="664"/>
      <c r="AQ688" s="664"/>
      <c r="AR688" s="636"/>
      <c r="AS688" s="664"/>
      <c r="AT688" s="664"/>
      <c r="AU688" s="664"/>
      <c r="AV688" s="664"/>
      <c r="AW688" s="664"/>
      <c r="AX688" s="664"/>
      <c r="AY688" s="664"/>
      <c r="AZ688" s="664"/>
      <c r="BA688" s="665"/>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row>
    <row r="689" spans="2:105" x14ac:dyDescent="0.35">
      <c r="B689" s="1214"/>
      <c r="C689" s="1211"/>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64"/>
      <c r="AM689" s="664"/>
      <c r="AN689" s="636"/>
      <c r="AO689" s="664"/>
      <c r="AP689" s="664"/>
      <c r="AQ689" s="664"/>
      <c r="AR689" s="636"/>
      <c r="AS689" s="664"/>
      <c r="AT689" s="664"/>
      <c r="AU689" s="664"/>
      <c r="AV689" s="664"/>
      <c r="AW689" s="664"/>
      <c r="AX689" s="664"/>
      <c r="AY689" s="664"/>
      <c r="AZ689" s="664"/>
      <c r="BA689" s="665"/>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row>
    <row r="690" spans="2:105" x14ac:dyDescent="0.35">
      <c r="B690" s="1214"/>
      <c r="C690" s="1211"/>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64"/>
      <c r="AM690" s="664"/>
      <c r="AN690" s="636"/>
      <c r="AO690" s="664"/>
      <c r="AP690" s="664"/>
      <c r="AQ690" s="664"/>
      <c r="AR690" s="636"/>
      <c r="AS690" s="664"/>
      <c r="AT690" s="664"/>
      <c r="AU690" s="664"/>
      <c r="AV690" s="664"/>
      <c r="AW690" s="664"/>
      <c r="AX690" s="664"/>
      <c r="AY690" s="664"/>
      <c r="AZ690" s="664"/>
      <c r="BA690" s="665"/>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row>
    <row r="691" spans="2:105" x14ac:dyDescent="0.35">
      <c r="B691" s="1214"/>
      <c r="C691" s="1211"/>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64"/>
      <c r="AM691" s="664"/>
      <c r="AN691" s="636"/>
      <c r="AO691" s="664"/>
      <c r="AP691" s="664"/>
      <c r="AQ691" s="664"/>
      <c r="AR691" s="636"/>
      <c r="AS691" s="664"/>
      <c r="AT691" s="664"/>
      <c r="AU691" s="664"/>
      <c r="AV691" s="664"/>
      <c r="AW691" s="664"/>
      <c r="AX691" s="664"/>
      <c r="AY691" s="664"/>
      <c r="AZ691" s="664"/>
      <c r="BA691" s="665"/>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row>
    <row r="692" spans="2:105" x14ac:dyDescent="0.35">
      <c r="B692" s="1214"/>
      <c r="C692" s="1211"/>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64"/>
      <c r="AM692" s="664"/>
      <c r="AN692" s="636"/>
      <c r="AO692" s="664"/>
      <c r="AP692" s="664"/>
      <c r="AQ692" s="664"/>
      <c r="AR692" s="636"/>
      <c r="AS692" s="664"/>
      <c r="AT692" s="664"/>
      <c r="AU692" s="664"/>
      <c r="AV692" s="664"/>
      <c r="AW692" s="664"/>
      <c r="AX692" s="664"/>
      <c r="AY692" s="664"/>
      <c r="AZ692" s="664"/>
      <c r="BA692" s="665"/>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row>
    <row r="693" spans="2:105" x14ac:dyDescent="0.35">
      <c r="B693" s="1214"/>
      <c r="C693" s="1211"/>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64"/>
      <c r="AM693" s="664"/>
      <c r="AN693" s="636"/>
      <c r="AO693" s="664"/>
      <c r="AP693" s="664"/>
      <c r="AQ693" s="664"/>
      <c r="AR693" s="636"/>
      <c r="AS693" s="664"/>
      <c r="AT693" s="664"/>
      <c r="AU693" s="664"/>
      <c r="AV693" s="664"/>
      <c r="AW693" s="664"/>
      <c r="AX693" s="664"/>
      <c r="AY693" s="664"/>
      <c r="AZ693" s="664"/>
      <c r="BA693" s="665"/>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row>
    <row r="694" spans="2:105" ht="15" thickBot="1" x14ac:dyDescent="0.4">
      <c r="B694" s="1215"/>
      <c r="C694" s="1212"/>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66"/>
      <c r="AM694" s="666"/>
      <c r="AN694" s="641"/>
      <c r="AO694" s="666"/>
      <c r="AP694" s="666"/>
      <c r="AQ694" s="666"/>
      <c r="AR694" s="641"/>
      <c r="AS694" s="666"/>
      <c r="AT694" s="666"/>
      <c r="AU694" s="666"/>
      <c r="AV694" s="666"/>
      <c r="AW694" s="666"/>
      <c r="AX694" s="666"/>
      <c r="AY694" s="666"/>
      <c r="AZ694" s="666"/>
      <c r="BA694" s="667"/>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row>
    <row r="695" spans="2:105" ht="15" thickBot="1" x14ac:dyDescent="0.4">
      <c r="B695" s="577" t="s">
        <v>1202</v>
      </c>
      <c r="C695" s="1210"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68"/>
      <c r="AM695" s="668"/>
      <c r="AN695" s="646"/>
      <c r="AO695" s="668"/>
      <c r="AP695" s="668"/>
      <c r="AQ695" s="668"/>
      <c r="AR695" s="646"/>
      <c r="AS695" s="668"/>
      <c r="AT695" s="668"/>
      <c r="AU695" s="668"/>
      <c r="AV695" s="668"/>
      <c r="AW695" s="668"/>
      <c r="AX695" s="668"/>
      <c r="AY695" s="668"/>
      <c r="AZ695" s="668"/>
      <c r="BA695" s="669"/>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row>
    <row r="696" spans="2:105" x14ac:dyDescent="0.35">
      <c r="B696" s="1213" t="s">
        <v>1203</v>
      </c>
      <c r="C696" s="1211"/>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71"/>
      <c r="AM696" s="671"/>
      <c r="AN696" s="651"/>
      <c r="AO696" s="671"/>
      <c r="AP696" s="671"/>
      <c r="AQ696" s="671"/>
      <c r="AR696" s="651"/>
      <c r="AS696" s="671"/>
      <c r="AT696" s="671"/>
      <c r="AU696" s="671"/>
      <c r="AV696" s="671"/>
      <c r="AW696" s="671"/>
      <c r="AX696" s="671"/>
      <c r="AY696" s="671"/>
      <c r="AZ696" s="671"/>
      <c r="BA696" s="672"/>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row>
    <row r="697" spans="2:105" x14ac:dyDescent="0.35">
      <c r="B697" s="1214"/>
      <c r="C697" s="1211"/>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64"/>
      <c r="AM697" s="664"/>
      <c r="AN697" s="656"/>
      <c r="AO697" s="664"/>
      <c r="AP697" s="664"/>
      <c r="AQ697" s="664"/>
      <c r="AR697" s="656"/>
      <c r="AS697" s="664"/>
      <c r="AT697" s="664"/>
      <c r="AU697" s="664"/>
      <c r="AV697" s="664"/>
      <c r="AW697" s="664"/>
      <c r="AX697" s="664"/>
      <c r="AY697" s="664"/>
      <c r="AZ697" s="664"/>
      <c r="BA697" s="665"/>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row>
    <row r="698" spans="2:105" x14ac:dyDescent="0.35">
      <c r="B698" s="1214"/>
      <c r="C698" s="1211"/>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64"/>
      <c r="AM698" s="664"/>
      <c r="AN698" s="656"/>
      <c r="AO698" s="664"/>
      <c r="AP698" s="664"/>
      <c r="AQ698" s="664"/>
      <c r="AR698" s="656"/>
      <c r="AS698" s="664"/>
      <c r="AT698" s="664"/>
      <c r="AU698" s="664"/>
      <c r="AV698" s="664"/>
      <c r="AW698" s="664"/>
      <c r="AX698" s="664"/>
      <c r="AY698" s="664"/>
      <c r="AZ698" s="664"/>
      <c r="BA698" s="665"/>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row>
    <row r="699" spans="2:105" x14ac:dyDescent="0.35">
      <c r="B699" s="1214"/>
      <c r="C699" s="1211"/>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64"/>
      <c r="AM699" s="664"/>
      <c r="AN699" s="656"/>
      <c r="AO699" s="664"/>
      <c r="AP699" s="664"/>
      <c r="AQ699" s="664"/>
      <c r="AR699" s="656"/>
      <c r="AS699" s="664"/>
      <c r="AT699" s="664"/>
      <c r="AU699" s="664"/>
      <c r="AV699" s="664"/>
      <c r="AW699" s="664"/>
      <c r="AX699" s="664"/>
      <c r="AY699" s="664"/>
      <c r="AZ699" s="664"/>
      <c r="BA699" s="665"/>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row>
    <row r="700" spans="2:105" x14ac:dyDescent="0.35">
      <c r="B700" s="1214"/>
      <c r="C700" s="1211"/>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64"/>
      <c r="AM700" s="664"/>
      <c r="AN700" s="656"/>
      <c r="AO700" s="664"/>
      <c r="AP700" s="664"/>
      <c r="AQ700" s="664"/>
      <c r="AR700" s="656"/>
      <c r="AS700" s="664"/>
      <c r="AT700" s="664"/>
      <c r="AU700" s="664"/>
      <c r="AV700" s="664"/>
      <c r="AW700" s="664"/>
      <c r="AX700" s="664"/>
      <c r="AY700" s="664"/>
      <c r="AZ700" s="664"/>
      <c r="BA700" s="665"/>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row>
    <row r="701" spans="2:105" x14ac:dyDescent="0.35">
      <c r="B701" s="1214"/>
      <c r="C701" s="1211"/>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64"/>
      <c r="AM701" s="664"/>
      <c r="AN701" s="656"/>
      <c r="AO701" s="664"/>
      <c r="AP701" s="664"/>
      <c r="AQ701" s="664"/>
      <c r="AR701" s="656"/>
      <c r="AS701" s="664"/>
      <c r="AT701" s="664"/>
      <c r="AU701" s="664"/>
      <c r="AV701" s="664"/>
      <c r="AW701" s="664"/>
      <c r="AX701" s="664"/>
      <c r="AY701" s="664"/>
      <c r="AZ701" s="664"/>
      <c r="BA701" s="665"/>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row>
    <row r="702" spans="2:105" x14ac:dyDescent="0.35">
      <c r="B702" s="1214"/>
      <c r="C702" s="1211"/>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64"/>
      <c r="AM702" s="664"/>
      <c r="AN702" s="657"/>
      <c r="AO702" s="664"/>
      <c r="AP702" s="664"/>
      <c r="AQ702" s="664"/>
      <c r="AR702" s="657"/>
      <c r="AS702" s="664"/>
      <c r="AT702" s="664"/>
      <c r="AU702" s="664"/>
      <c r="AV702" s="664"/>
      <c r="AW702" s="664"/>
      <c r="AX702" s="664"/>
      <c r="AY702" s="664"/>
      <c r="AZ702" s="664"/>
      <c r="BA702" s="665"/>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row>
    <row r="703" spans="2:105" x14ac:dyDescent="0.35">
      <c r="B703" s="1214"/>
      <c r="C703" s="1211"/>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64"/>
      <c r="AM703" s="664"/>
      <c r="AN703" s="656"/>
      <c r="AO703" s="664"/>
      <c r="AP703" s="664"/>
      <c r="AQ703" s="664"/>
      <c r="AR703" s="656"/>
      <c r="AS703" s="664"/>
      <c r="AT703" s="664"/>
      <c r="AU703" s="664"/>
      <c r="AV703" s="664"/>
      <c r="AW703" s="664"/>
      <c r="AX703" s="664"/>
      <c r="AY703" s="664"/>
      <c r="AZ703" s="664"/>
      <c r="BA703" s="665"/>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row>
    <row r="704" spans="2:105" x14ac:dyDescent="0.35">
      <c r="B704" s="1214"/>
      <c r="C704" s="1211"/>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64"/>
      <c r="AM704" s="664"/>
      <c r="AN704" s="656"/>
      <c r="AO704" s="664"/>
      <c r="AP704" s="664"/>
      <c r="AQ704" s="664"/>
      <c r="AR704" s="656"/>
      <c r="AS704" s="664"/>
      <c r="AT704" s="664"/>
      <c r="AU704" s="664"/>
      <c r="AV704" s="664"/>
      <c r="AW704" s="664"/>
      <c r="AX704" s="664"/>
      <c r="AY704" s="664"/>
      <c r="AZ704" s="664"/>
      <c r="BA704" s="665"/>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row>
    <row r="705" spans="2:105" x14ac:dyDescent="0.35">
      <c r="B705" s="1214"/>
      <c r="C705" s="1211"/>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64"/>
      <c r="AM705" s="664"/>
      <c r="AN705" s="658"/>
      <c r="AO705" s="664"/>
      <c r="AP705" s="664"/>
      <c r="AQ705" s="664"/>
      <c r="AR705" s="658"/>
      <c r="AS705" s="664"/>
      <c r="AT705" s="664"/>
      <c r="AU705" s="664"/>
      <c r="AV705" s="664"/>
      <c r="AW705" s="664"/>
      <c r="AX705" s="664"/>
      <c r="AY705" s="664"/>
      <c r="AZ705" s="664"/>
      <c r="BA705" s="665"/>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row>
    <row r="706" spans="2:105" x14ac:dyDescent="0.35">
      <c r="B706" s="1214"/>
      <c r="C706" s="1211"/>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64"/>
      <c r="AM706" s="664"/>
      <c r="AN706" s="656"/>
      <c r="AO706" s="664"/>
      <c r="AP706" s="664"/>
      <c r="AQ706" s="664"/>
      <c r="AR706" s="656"/>
      <c r="AS706" s="664"/>
      <c r="AT706" s="664"/>
      <c r="AU706" s="664"/>
      <c r="AV706" s="664"/>
      <c r="AW706" s="664"/>
      <c r="AX706" s="664"/>
      <c r="AY706" s="664"/>
      <c r="AZ706" s="664"/>
      <c r="BA706" s="665"/>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row>
    <row r="707" spans="2:105" x14ac:dyDescent="0.35">
      <c r="B707" s="1214"/>
      <c r="C707" s="1211"/>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64"/>
      <c r="AM707" s="664"/>
      <c r="AN707" s="656"/>
      <c r="AO707" s="664"/>
      <c r="AP707" s="664"/>
      <c r="AQ707" s="664"/>
      <c r="AR707" s="656"/>
      <c r="AS707" s="664"/>
      <c r="AT707" s="664"/>
      <c r="AU707" s="664"/>
      <c r="AV707" s="664"/>
      <c r="AW707" s="664"/>
      <c r="AX707" s="664"/>
      <c r="AY707" s="664"/>
      <c r="AZ707" s="664"/>
      <c r="BA707" s="665"/>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row>
    <row r="708" spans="2:105" x14ac:dyDescent="0.35">
      <c r="B708" s="1214"/>
      <c r="C708" s="1211"/>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64"/>
      <c r="AM708" s="664"/>
      <c r="AN708" s="656"/>
      <c r="AO708" s="664"/>
      <c r="AP708" s="664"/>
      <c r="AQ708" s="664"/>
      <c r="AR708" s="656"/>
      <c r="AS708" s="664"/>
      <c r="AT708" s="664"/>
      <c r="AU708" s="664"/>
      <c r="AV708" s="664"/>
      <c r="AW708" s="664"/>
      <c r="AX708" s="664"/>
      <c r="AY708" s="664"/>
      <c r="AZ708" s="664"/>
      <c r="BA708" s="665"/>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row>
    <row r="709" spans="2:105" x14ac:dyDescent="0.35">
      <c r="B709" s="1214"/>
      <c r="C709" s="1211"/>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64"/>
      <c r="AM709" s="664"/>
      <c r="AN709" s="656"/>
      <c r="AO709" s="664"/>
      <c r="AP709" s="664"/>
      <c r="AQ709" s="664"/>
      <c r="AR709" s="656"/>
      <c r="AS709" s="664"/>
      <c r="AT709" s="664"/>
      <c r="AU709" s="664"/>
      <c r="AV709" s="664"/>
      <c r="AW709" s="664"/>
      <c r="AX709" s="664"/>
      <c r="AY709" s="664"/>
      <c r="AZ709" s="664"/>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row>
    <row r="710" spans="2:105" x14ac:dyDescent="0.35">
      <c r="B710" s="1214"/>
      <c r="C710" s="1211"/>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64"/>
      <c r="AM710" s="664"/>
      <c r="AN710" s="656"/>
      <c r="AO710" s="664"/>
      <c r="AP710" s="664"/>
      <c r="AQ710" s="664"/>
      <c r="AR710" s="656"/>
      <c r="AS710" s="664"/>
      <c r="AT710" s="664"/>
      <c r="AU710" s="664"/>
      <c r="AV710" s="664"/>
      <c r="AW710" s="664"/>
      <c r="AX710" s="664"/>
      <c r="AY710" s="664"/>
      <c r="AZ710" s="664"/>
      <c r="BA710" s="665"/>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row>
    <row r="711" spans="2:105" ht="15" thickBot="1" x14ac:dyDescent="0.4">
      <c r="B711" s="1215"/>
      <c r="C711" s="1212"/>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6"/>
      <c r="AM711" s="666"/>
      <c r="AN711" s="660"/>
      <c r="AO711" s="666"/>
      <c r="AP711" s="666"/>
      <c r="AQ711" s="666"/>
      <c r="AR711" s="660"/>
      <c r="AS711" s="666"/>
      <c r="AT711" s="666"/>
      <c r="AU711" s="666"/>
      <c r="AV711" s="666"/>
      <c r="AW711" s="666"/>
      <c r="AX711" s="666"/>
      <c r="AY711" s="666"/>
      <c r="AZ711" s="666"/>
      <c r="BA711" s="667"/>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row>
    <row r="712" spans="2:105" ht="15" thickBot="1" x14ac:dyDescent="0.4">
      <c r="B712" s="577" t="s">
        <v>1204</v>
      </c>
      <c r="C712" s="1210"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68"/>
      <c r="AM712" s="668"/>
      <c r="AN712" s="650"/>
      <c r="AO712" s="668"/>
      <c r="AP712" s="668"/>
      <c r="AQ712" s="668"/>
      <c r="AR712" s="650"/>
      <c r="AS712" s="668"/>
      <c r="AT712" s="668"/>
      <c r="AU712" s="668"/>
      <c r="AV712" s="668"/>
      <c r="AW712" s="668"/>
      <c r="AX712" s="668"/>
      <c r="AY712" s="668"/>
      <c r="AZ712" s="668"/>
      <c r="BA712" s="669"/>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row>
    <row r="713" spans="2:105" x14ac:dyDescent="0.35">
      <c r="B713" s="1213" t="s">
        <v>1205</v>
      </c>
      <c r="C713" s="1211"/>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71"/>
      <c r="AM713" s="671"/>
      <c r="AN713" s="651"/>
      <c r="AO713" s="671"/>
      <c r="AP713" s="671"/>
      <c r="AQ713" s="671"/>
      <c r="AR713" s="651"/>
      <c r="AS713" s="671"/>
      <c r="AT713" s="671"/>
      <c r="AU713" s="671"/>
      <c r="AV713" s="671"/>
      <c r="AW713" s="671"/>
      <c r="AX713" s="671"/>
      <c r="AY713" s="671"/>
      <c r="AZ713" s="671"/>
      <c r="BA713" s="672"/>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row>
    <row r="714" spans="2:105" x14ac:dyDescent="0.35">
      <c r="B714" s="1214"/>
      <c r="C714" s="1211"/>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64"/>
      <c r="AM714" s="664"/>
      <c r="AN714" s="656"/>
      <c r="AO714" s="664"/>
      <c r="AP714" s="664"/>
      <c r="AQ714" s="664"/>
      <c r="AR714" s="656"/>
      <c r="AS714" s="664"/>
      <c r="AT714" s="664"/>
      <c r="AU714" s="664"/>
      <c r="AV714" s="664"/>
      <c r="AW714" s="664"/>
      <c r="AX714" s="664"/>
      <c r="AY714" s="664"/>
      <c r="AZ714" s="664"/>
      <c r="BA714" s="665"/>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row>
    <row r="715" spans="2:105" x14ac:dyDescent="0.35">
      <c r="B715" s="1214"/>
      <c r="C715" s="1211"/>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64"/>
      <c r="AM715" s="664"/>
      <c r="AN715" s="656"/>
      <c r="AO715" s="664"/>
      <c r="AP715" s="664"/>
      <c r="AQ715" s="664"/>
      <c r="AR715" s="656"/>
      <c r="AS715" s="664"/>
      <c r="AT715" s="664"/>
      <c r="AU715" s="664"/>
      <c r="AV715" s="664"/>
      <c r="AW715" s="664"/>
      <c r="AX715" s="664"/>
      <c r="AY715" s="664"/>
      <c r="AZ715" s="664"/>
      <c r="BA715" s="665"/>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row>
    <row r="716" spans="2:105" x14ac:dyDescent="0.35">
      <c r="B716" s="1214"/>
      <c r="C716" s="1211"/>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64"/>
      <c r="AM716" s="664"/>
      <c r="AN716" s="656"/>
      <c r="AO716" s="664"/>
      <c r="AP716" s="664"/>
      <c r="AQ716" s="664"/>
      <c r="AR716" s="656"/>
      <c r="AS716" s="664"/>
      <c r="AT716" s="664"/>
      <c r="AU716" s="664"/>
      <c r="AV716" s="664"/>
      <c r="AW716" s="664"/>
      <c r="AX716" s="664"/>
      <c r="AY716" s="664"/>
      <c r="AZ716" s="664"/>
      <c r="BA716" s="665"/>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row>
    <row r="717" spans="2:105" x14ac:dyDescent="0.35">
      <c r="B717" s="1214"/>
      <c r="C717" s="1211"/>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64"/>
      <c r="AM717" s="664"/>
      <c r="AN717" s="656"/>
      <c r="AO717" s="664"/>
      <c r="AP717" s="664"/>
      <c r="AQ717" s="664"/>
      <c r="AR717" s="656"/>
      <c r="AS717" s="664"/>
      <c r="AT717" s="664"/>
      <c r="AU717" s="664"/>
      <c r="AV717" s="664"/>
      <c r="AW717" s="664"/>
      <c r="AX717" s="664"/>
      <c r="AY717" s="664"/>
      <c r="AZ717" s="664"/>
      <c r="BA717" s="665"/>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row>
    <row r="718" spans="2:105" x14ac:dyDescent="0.35">
      <c r="B718" s="1214"/>
      <c r="C718" s="1211"/>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64"/>
      <c r="AM718" s="664"/>
      <c r="AN718" s="656"/>
      <c r="AO718" s="664"/>
      <c r="AP718" s="664"/>
      <c r="AQ718" s="664"/>
      <c r="AR718" s="656"/>
      <c r="AS718" s="664"/>
      <c r="AT718" s="664"/>
      <c r="AU718" s="664"/>
      <c r="AV718" s="664"/>
      <c r="AW718" s="664"/>
      <c r="AX718" s="664"/>
      <c r="AY718" s="664"/>
      <c r="AZ718" s="664"/>
      <c r="BA718" s="665"/>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row>
    <row r="719" spans="2:105" x14ac:dyDescent="0.35">
      <c r="B719" s="1214"/>
      <c r="C719" s="1211"/>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64"/>
      <c r="AM719" s="664"/>
      <c r="AN719" s="656"/>
      <c r="AO719" s="664"/>
      <c r="AP719" s="664"/>
      <c r="AQ719" s="664"/>
      <c r="AR719" s="656"/>
      <c r="AS719" s="664"/>
      <c r="AT719" s="664"/>
      <c r="AU719" s="664"/>
      <c r="AV719" s="664"/>
      <c r="AW719" s="664"/>
      <c r="AX719" s="664"/>
      <c r="AY719" s="664"/>
      <c r="AZ719" s="664"/>
      <c r="BA719" s="665"/>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row>
    <row r="720" spans="2:105" x14ac:dyDescent="0.35">
      <c r="B720" s="1214"/>
      <c r="C720" s="1211"/>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64"/>
      <c r="AM720" s="664"/>
      <c r="AN720" s="656"/>
      <c r="AO720" s="664"/>
      <c r="AP720" s="664"/>
      <c r="AQ720" s="664"/>
      <c r="AR720" s="656"/>
      <c r="AS720" s="664"/>
      <c r="AT720" s="664"/>
      <c r="AU720" s="664"/>
      <c r="AV720" s="664"/>
      <c r="AW720" s="664"/>
      <c r="AX720" s="664"/>
      <c r="AY720" s="664"/>
      <c r="AZ720" s="664"/>
      <c r="BA720" s="665"/>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row>
    <row r="721" spans="2:105" x14ac:dyDescent="0.35">
      <c r="B721" s="1214"/>
      <c r="C721" s="1211"/>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64"/>
      <c r="AM721" s="664"/>
      <c r="AN721" s="656"/>
      <c r="AO721" s="664"/>
      <c r="AP721" s="664"/>
      <c r="AQ721" s="664"/>
      <c r="AR721" s="656"/>
      <c r="AS721" s="664"/>
      <c r="AT721" s="664"/>
      <c r="AU721" s="664"/>
      <c r="AV721" s="664"/>
      <c r="AW721" s="664"/>
      <c r="AX721" s="664"/>
      <c r="AY721" s="664"/>
      <c r="AZ721" s="664"/>
      <c r="BA721" s="665"/>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row>
    <row r="722" spans="2:105" x14ac:dyDescent="0.35">
      <c r="B722" s="1214"/>
      <c r="C722" s="1211"/>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64"/>
      <c r="AM722" s="664"/>
      <c r="AN722" s="656"/>
      <c r="AO722" s="664"/>
      <c r="AP722" s="664"/>
      <c r="AQ722" s="664"/>
      <c r="AR722" s="656"/>
      <c r="AS722" s="664"/>
      <c r="AT722" s="664"/>
      <c r="AU722" s="664"/>
      <c r="AV722" s="664"/>
      <c r="AW722" s="664"/>
      <c r="AX722" s="664"/>
      <c r="AY722" s="664"/>
      <c r="AZ722" s="664"/>
      <c r="BA722" s="665"/>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row>
    <row r="723" spans="2:105" x14ac:dyDescent="0.35">
      <c r="B723" s="1214"/>
      <c r="C723" s="1211"/>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64"/>
      <c r="AM723" s="664"/>
      <c r="AN723" s="656"/>
      <c r="AO723" s="664"/>
      <c r="AP723" s="664"/>
      <c r="AQ723" s="664"/>
      <c r="AR723" s="656"/>
      <c r="AS723" s="664"/>
      <c r="AT723" s="664"/>
      <c r="AU723" s="664"/>
      <c r="AV723" s="664"/>
      <c r="AW723" s="664"/>
      <c r="AX723" s="664"/>
      <c r="AY723" s="664"/>
      <c r="AZ723" s="664"/>
      <c r="BA723" s="665"/>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row>
    <row r="724" spans="2:105" x14ac:dyDescent="0.35">
      <c r="B724" s="1214"/>
      <c r="C724" s="1211"/>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64"/>
      <c r="AM724" s="664"/>
      <c r="AN724" s="656"/>
      <c r="AO724" s="664"/>
      <c r="AP724" s="664"/>
      <c r="AQ724" s="664"/>
      <c r="AR724" s="656"/>
      <c r="AS724" s="664"/>
      <c r="AT724" s="664"/>
      <c r="AU724" s="664"/>
      <c r="AV724" s="664"/>
      <c r="AW724" s="664"/>
      <c r="AX724" s="664"/>
      <c r="AY724" s="664"/>
      <c r="AZ724" s="664"/>
      <c r="BA724" s="665"/>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row>
    <row r="725" spans="2:105" x14ac:dyDescent="0.35">
      <c r="B725" s="1214"/>
      <c r="C725" s="1211"/>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64"/>
      <c r="AM725" s="664"/>
      <c r="AN725" s="656"/>
      <c r="AO725" s="664"/>
      <c r="AP725" s="664"/>
      <c r="AQ725" s="664"/>
      <c r="AR725" s="656"/>
      <c r="AS725" s="664"/>
      <c r="AT725" s="664"/>
      <c r="AU725" s="664"/>
      <c r="AV725" s="664"/>
      <c r="AW725" s="664"/>
      <c r="AX725" s="664"/>
      <c r="AY725" s="664"/>
      <c r="AZ725" s="664"/>
      <c r="BA725" s="665"/>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row>
    <row r="726" spans="2:105" x14ac:dyDescent="0.35">
      <c r="B726" s="1214"/>
      <c r="C726" s="1211"/>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64"/>
      <c r="AM726" s="664"/>
      <c r="AN726" s="656"/>
      <c r="AO726" s="664"/>
      <c r="AP726" s="664"/>
      <c r="AQ726" s="664"/>
      <c r="AR726" s="656"/>
      <c r="AS726" s="664"/>
      <c r="AT726" s="664"/>
      <c r="AU726" s="664"/>
      <c r="AV726" s="664"/>
      <c r="AW726" s="664"/>
      <c r="AX726" s="664"/>
      <c r="AY726" s="664"/>
      <c r="AZ726" s="664"/>
      <c r="BA726" s="665"/>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row>
    <row r="727" spans="2:105" x14ac:dyDescent="0.35">
      <c r="B727" s="1214"/>
      <c r="C727" s="1211"/>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64"/>
      <c r="AM727" s="664"/>
      <c r="AN727" s="656"/>
      <c r="AO727" s="664"/>
      <c r="AP727" s="664"/>
      <c r="AQ727" s="664"/>
      <c r="AR727" s="656"/>
      <c r="AS727" s="664"/>
      <c r="AT727" s="664"/>
      <c r="AU727" s="664"/>
      <c r="AV727" s="664"/>
      <c r="AW727" s="664"/>
      <c r="AX727" s="664"/>
      <c r="AY727" s="664"/>
      <c r="AZ727" s="664"/>
      <c r="BA727" s="665"/>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row>
    <row r="728" spans="2:105" ht="15" thickBot="1" x14ac:dyDescent="0.4">
      <c r="B728" s="1215"/>
      <c r="C728" s="1212"/>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6"/>
      <c r="AM728" s="666"/>
      <c r="AN728" s="660"/>
      <c r="AO728" s="666"/>
      <c r="AP728" s="666"/>
      <c r="AQ728" s="666"/>
      <c r="AR728" s="660"/>
      <c r="AS728" s="666"/>
      <c r="AT728" s="666"/>
      <c r="AU728" s="666"/>
      <c r="AV728" s="666"/>
      <c r="AW728" s="666"/>
      <c r="AX728" s="666"/>
      <c r="AY728" s="666"/>
      <c r="AZ728" s="666"/>
      <c r="BA728" s="667"/>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row>
    <row r="729" spans="2:105" ht="15" thickBot="1" x14ac:dyDescent="0.4">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5"/>
      <c r="AM729" s="675"/>
      <c r="AN729" s="674">
        <v>1</v>
      </c>
      <c r="AO729" s="675"/>
      <c r="AP729" s="675"/>
      <c r="AQ729" s="675"/>
      <c r="AR729" s="674">
        <v>1</v>
      </c>
      <c r="AS729" s="675"/>
      <c r="AT729" s="675"/>
      <c r="AU729" s="675"/>
      <c r="AV729" s="675"/>
      <c r="AW729" s="675"/>
      <c r="AX729" s="675"/>
      <c r="AY729" s="675"/>
      <c r="AZ729" s="675"/>
      <c r="BA729" s="676"/>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row>
    <row r="730" spans="2:105" ht="15" thickBot="1" x14ac:dyDescent="0.4">
      <c r="B730" s="577" t="s">
        <v>1208</v>
      </c>
      <c r="C730" s="1210"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8"/>
      <c r="AM730" s="628"/>
      <c r="AN730" s="626" t="s">
        <v>738</v>
      </c>
      <c r="AO730" s="628"/>
      <c r="AP730" s="628"/>
      <c r="AQ730" s="628"/>
      <c r="AR730" s="626" t="s">
        <v>738</v>
      </c>
      <c r="AS730" s="628"/>
      <c r="AT730" s="628"/>
      <c r="AU730" s="628"/>
      <c r="AV730" s="628"/>
      <c r="AW730" s="628"/>
      <c r="AX730" s="628"/>
      <c r="AY730" s="628"/>
      <c r="AZ730" s="628"/>
      <c r="BA730" s="629"/>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row>
    <row r="731" spans="2:105" x14ac:dyDescent="0.35">
      <c r="B731" s="1213" t="s">
        <v>1209</v>
      </c>
      <c r="C731" s="1211"/>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62"/>
      <c r="AM731" s="662"/>
      <c r="AN731" s="631" t="s">
        <v>738</v>
      </c>
      <c r="AO731" s="662"/>
      <c r="AP731" s="662"/>
      <c r="AQ731" s="662"/>
      <c r="AR731" s="631" t="s">
        <v>738</v>
      </c>
      <c r="AS731" s="662"/>
      <c r="AT731" s="662"/>
      <c r="AU731" s="662"/>
      <c r="AV731" s="662"/>
      <c r="AW731" s="662"/>
      <c r="AX731" s="662"/>
      <c r="AY731" s="662"/>
      <c r="AZ731" s="662"/>
      <c r="BA731" s="663"/>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row>
    <row r="732" spans="2:105" x14ac:dyDescent="0.35">
      <c r="B732" s="1214"/>
      <c r="C732" s="1211"/>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64"/>
      <c r="AM732" s="664"/>
      <c r="AN732" s="636" t="s">
        <v>738</v>
      </c>
      <c r="AO732" s="664"/>
      <c r="AP732" s="664"/>
      <c r="AQ732" s="664"/>
      <c r="AR732" s="636" t="s">
        <v>738</v>
      </c>
      <c r="AS732" s="664"/>
      <c r="AT732" s="664"/>
      <c r="AU732" s="664"/>
      <c r="AV732" s="664"/>
      <c r="AW732" s="664"/>
      <c r="AX732" s="664"/>
      <c r="AY732" s="664"/>
      <c r="AZ732" s="664"/>
      <c r="BA732" s="665"/>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row>
    <row r="733" spans="2:105" x14ac:dyDescent="0.35">
      <c r="B733" s="1214"/>
      <c r="C733" s="1211"/>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64"/>
      <c r="AM733" s="664"/>
      <c r="AN733" s="636" t="s">
        <v>743</v>
      </c>
      <c r="AO733" s="664"/>
      <c r="AP733" s="664"/>
      <c r="AQ733" s="664"/>
      <c r="AR733" s="636" t="s">
        <v>743</v>
      </c>
      <c r="AS733" s="664"/>
      <c r="AT733" s="664"/>
      <c r="AU733" s="664"/>
      <c r="AV733" s="664"/>
      <c r="AW733" s="664"/>
      <c r="AX733" s="664"/>
      <c r="AY733" s="664"/>
      <c r="AZ733" s="664"/>
      <c r="BA733" s="665"/>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row>
    <row r="734" spans="2:105" x14ac:dyDescent="0.35">
      <c r="B734" s="1214"/>
      <c r="C734" s="1211"/>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64"/>
      <c r="AM734" s="664"/>
      <c r="AN734" s="636" t="s">
        <v>738</v>
      </c>
      <c r="AO734" s="664"/>
      <c r="AP734" s="664"/>
      <c r="AQ734" s="664"/>
      <c r="AR734" s="636" t="s">
        <v>738</v>
      </c>
      <c r="AS734" s="664"/>
      <c r="AT734" s="664"/>
      <c r="AU734" s="664"/>
      <c r="AV734" s="664"/>
      <c r="AW734" s="664"/>
      <c r="AX734" s="664"/>
      <c r="AY734" s="664"/>
      <c r="AZ734" s="664"/>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row>
    <row r="735" spans="2:105" x14ac:dyDescent="0.35">
      <c r="B735" s="1214"/>
      <c r="C735" s="1211"/>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64"/>
      <c r="AM735" s="664"/>
      <c r="AN735" s="636" t="s">
        <v>743</v>
      </c>
      <c r="AO735" s="664"/>
      <c r="AP735" s="664"/>
      <c r="AQ735" s="664"/>
      <c r="AR735" s="636" t="s">
        <v>743</v>
      </c>
      <c r="AS735" s="664"/>
      <c r="AT735" s="664"/>
      <c r="AU735" s="664"/>
      <c r="AV735" s="664"/>
      <c r="AW735" s="664"/>
      <c r="AX735" s="664"/>
      <c r="AY735" s="664"/>
      <c r="AZ735" s="664"/>
      <c r="BA735" s="665"/>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row>
    <row r="736" spans="2:105" x14ac:dyDescent="0.35">
      <c r="B736" s="1214"/>
      <c r="C736" s="1211"/>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64"/>
      <c r="AM736" s="664"/>
      <c r="AN736" s="636" t="s">
        <v>743</v>
      </c>
      <c r="AO736" s="664"/>
      <c r="AP736" s="664"/>
      <c r="AQ736" s="664"/>
      <c r="AR736" s="636" t="s">
        <v>743</v>
      </c>
      <c r="AS736" s="664"/>
      <c r="AT736" s="664"/>
      <c r="AU736" s="664"/>
      <c r="AV736" s="664"/>
      <c r="AW736" s="664"/>
      <c r="AX736" s="664"/>
      <c r="AY736" s="664"/>
      <c r="AZ736" s="664"/>
      <c r="BA736" s="665"/>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row>
    <row r="737" spans="2:105" x14ac:dyDescent="0.35">
      <c r="B737" s="1214"/>
      <c r="C737" s="1211"/>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64"/>
      <c r="AM737" s="664"/>
      <c r="AN737" s="636" t="s">
        <v>738</v>
      </c>
      <c r="AO737" s="664"/>
      <c r="AP737" s="664"/>
      <c r="AQ737" s="664"/>
      <c r="AR737" s="636" t="s">
        <v>738</v>
      </c>
      <c r="AS737" s="664"/>
      <c r="AT737" s="664"/>
      <c r="AU737" s="664"/>
      <c r="AV737" s="664"/>
      <c r="AW737" s="664"/>
      <c r="AX737" s="664"/>
      <c r="AY737" s="664"/>
      <c r="AZ737" s="664"/>
      <c r="BA737" s="665"/>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row>
    <row r="738" spans="2:105" x14ac:dyDescent="0.35">
      <c r="B738" s="1214"/>
      <c r="C738" s="1211"/>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64"/>
      <c r="AM738" s="664"/>
      <c r="AN738" s="636" t="s">
        <v>743</v>
      </c>
      <c r="AO738" s="664"/>
      <c r="AP738" s="664"/>
      <c r="AQ738" s="664"/>
      <c r="AR738" s="636" t="s">
        <v>743</v>
      </c>
      <c r="AS738" s="664"/>
      <c r="AT738" s="664"/>
      <c r="AU738" s="664"/>
      <c r="AV738" s="664"/>
      <c r="AW738" s="664"/>
      <c r="AX738" s="664"/>
      <c r="AY738" s="664"/>
      <c r="AZ738" s="664"/>
      <c r="BA738" s="665"/>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row>
    <row r="739" spans="2:105" x14ac:dyDescent="0.35">
      <c r="B739" s="1214"/>
      <c r="C739" s="1211"/>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64"/>
      <c r="AM739" s="664"/>
      <c r="AN739" s="636" t="s">
        <v>743</v>
      </c>
      <c r="AO739" s="664"/>
      <c r="AP739" s="664"/>
      <c r="AQ739" s="664"/>
      <c r="AR739" s="636" t="s">
        <v>743</v>
      </c>
      <c r="AS739" s="664"/>
      <c r="AT739" s="664"/>
      <c r="AU739" s="664"/>
      <c r="AV739" s="664"/>
      <c r="AW739" s="664"/>
      <c r="AX739" s="664"/>
      <c r="AY739" s="664"/>
      <c r="AZ739" s="664"/>
      <c r="BA739" s="665"/>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row>
    <row r="740" spans="2:105" x14ac:dyDescent="0.35">
      <c r="B740" s="1214"/>
      <c r="C740" s="1211"/>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64"/>
      <c r="AM740" s="664"/>
      <c r="AN740" s="636" t="s">
        <v>738</v>
      </c>
      <c r="AO740" s="664"/>
      <c r="AP740" s="664"/>
      <c r="AQ740" s="664"/>
      <c r="AR740" s="636" t="s">
        <v>738</v>
      </c>
      <c r="AS740" s="664"/>
      <c r="AT740" s="664"/>
      <c r="AU740" s="664"/>
      <c r="AV740" s="664"/>
      <c r="AW740" s="664"/>
      <c r="AX740" s="664"/>
      <c r="AY740" s="664"/>
      <c r="AZ740" s="664"/>
      <c r="BA740" s="665"/>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row>
    <row r="741" spans="2:105" x14ac:dyDescent="0.35">
      <c r="B741" s="1214"/>
      <c r="C741" s="1211"/>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64"/>
      <c r="AM741" s="664"/>
      <c r="AN741" s="636" t="s">
        <v>743</v>
      </c>
      <c r="AO741" s="664"/>
      <c r="AP741" s="664"/>
      <c r="AQ741" s="664"/>
      <c r="AR741" s="636" t="s">
        <v>743</v>
      </c>
      <c r="AS741" s="664"/>
      <c r="AT741" s="664"/>
      <c r="AU741" s="664"/>
      <c r="AV741" s="664"/>
      <c r="AW741" s="664"/>
      <c r="AX741" s="664"/>
      <c r="AY741" s="664"/>
      <c r="AZ741" s="664"/>
      <c r="BA741" s="665"/>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row>
    <row r="742" spans="2:105" x14ac:dyDescent="0.35">
      <c r="B742" s="1214"/>
      <c r="C742" s="1211"/>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64"/>
      <c r="AM742" s="664"/>
      <c r="AN742" s="636" t="s">
        <v>743</v>
      </c>
      <c r="AO742" s="664"/>
      <c r="AP742" s="664"/>
      <c r="AQ742" s="664"/>
      <c r="AR742" s="636" t="s">
        <v>743</v>
      </c>
      <c r="AS742" s="664"/>
      <c r="AT742" s="664"/>
      <c r="AU742" s="664"/>
      <c r="AV742" s="664"/>
      <c r="AW742" s="664"/>
      <c r="AX742" s="664"/>
      <c r="AY742" s="664"/>
      <c r="AZ742" s="664"/>
      <c r="BA742" s="665"/>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row>
    <row r="743" spans="2:105" x14ac:dyDescent="0.35">
      <c r="B743" s="1214"/>
      <c r="C743" s="1211"/>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64"/>
      <c r="AM743" s="664"/>
      <c r="AN743" s="636" t="s">
        <v>743</v>
      </c>
      <c r="AO743" s="664"/>
      <c r="AP743" s="664"/>
      <c r="AQ743" s="664"/>
      <c r="AR743" s="636" t="s">
        <v>743</v>
      </c>
      <c r="AS743" s="664"/>
      <c r="AT743" s="664"/>
      <c r="AU743" s="664"/>
      <c r="AV743" s="664"/>
      <c r="AW743" s="664"/>
      <c r="AX743" s="664"/>
      <c r="AY743" s="664"/>
      <c r="AZ743" s="664"/>
      <c r="BA743" s="665"/>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row>
    <row r="744" spans="2:105" x14ac:dyDescent="0.35">
      <c r="B744" s="1214"/>
      <c r="C744" s="1211"/>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64"/>
      <c r="AM744" s="664"/>
      <c r="AN744" s="636" t="s">
        <v>743</v>
      </c>
      <c r="AO744" s="664"/>
      <c r="AP744" s="664"/>
      <c r="AQ744" s="664"/>
      <c r="AR744" s="636" t="s">
        <v>743</v>
      </c>
      <c r="AS744" s="664"/>
      <c r="AT744" s="664"/>
      <c r="AU744" s="664"/>
      <c r="AV744" s="664"/>
      <c r="AW744" s="664"/>
      <c r="AX744" s="664"/>
      <c r="AY744" s="664"/>
      <c r="AZ744" s="664"/>
      <c r="BA744" s="665"/>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row>
    <row r="745" spans="2:105" x14ac:dyDescent="0.35">
      <c r="B745" s="1214"/>
      <c r="C745" s="1211"/>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64"/>
      <c r="AM745" s="664"/>
      <c r="AN745" s="636" t="s">
        <v>743</v>
      </c>
      <c r="AO745" s="664"/>
      <c r="AP745" s="664"/>
      <c r="AQ745" s="664"/>
      <c r="AR745" s="636" t="s">
        <v>743</v>
      </c>
      <c r="AS745" s="664"/>
      <c r="AT745" s="664"/>
      <c r="AU745" s="664"/>
      <c r="AV745" s="664"/>
      <c r="AW745" s="664"/>
      <c r="AX745" s="664"/>
      <c r="AY745" s="664"/>
      <c r="AZ745" s="664"/>
      <c r="BA745" s="665"/>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row>
    <row r="746" spans="2:105" ht="15" thickBot="1" x14ac:dyDescent="0.4">
      <c r="B746" s="1215"/>
      <c r="C746" s="1212"/>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66"/>
      <c r="AM746" s="666"/>
      <c r="AN746" s="641" t="s">
        <v>738</v>
      </c>
      <c r="AO746" s="666"/>
      <c r="AP746" s="666"/>
      <c r="AQ746" s="666"/>
      <c r="AR746" s="641" t="s">
        <v>738</v>
      </c>
      <c r="AS746" s="666"/>
      <c r="AT746" s="666"/>
      <c r="AU746" s="666"/>
      <c r="AV746" s="666"/>
      <c r="AW746" s="666"/>
      <c r="AX746" s="666"/>
      <c r="AY746" s="666"/>
      <c r="AZ746" s="666"/>
      <c r="BA746" s="667"/>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row>
    <row r="747" spans="2:105" ht="15" thickBot="1" x14ac:dyDescent="0.4">
      <c r="B747" s="577" t="s">
        <v>1210</v>
      </c>
      <c r="C747" s="1210"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68"/>
      <c r="AM747" s="668"/>
      <c r="AN747" s="646" t="s">
        <v>743</v>
      </c>
      <c r="AO747" s="668"/>
      <c r="AP747" s="668"/>
      <c r="AQ747" s="668"/>
      <c r="AR747" s="646" t="s">
        <v>743</v>
      </c>
      <c r="AS747" s="668"/>
      <c r="AT747" s="668"/>
      <c r="AU747" s="668"/>
      <c r="AV747" s="668"/>
      <c r="AW747" s="668"/>
      <c r="AX747" s="668"/>
      <c r="AY747" s="668"/>
      <c r="AZ747" s="668"/>
      <c r="BA747" s="669"/>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row>
    <row r="748" spans="2:105" x14ac:dyDescent="0.35">
      <c r="B748" s="1213" t="s">
        <v>1211</v>
      </c>
      <c r="C748" s="1211"/>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71"/>
      <c r="AM748" s="671"/>
      <c r="AN748" s="651" t="s">
        <v>743</v>
      </c>
      <c r="AO748" s="671"/>
      <c r="AP748" s="671"/>
      <c r="AQ748" s="671"/>
      <c r="AR748" s="651" t="s">
        <v>743</v>
      </c>
      <c r="AS748" s="671"/>
      <c r="AT748" s="671"/>
      <c r="AU748" s="671"/>
      <c r="AV748" s="671"/>
      <c r="AW748" s="671"/>
      <c r="AX748" s="671"/>
      <c r="AY748" s="671"/>
      <c r="AZ748" s="671"/>
      <c r="BA748" s="672"/>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row>
    <row r="749" spans="2:105" x14ac:dyDescent="0.35">
      <c r="B749" s="1214"/>
      <c r="C749" s="1211"/>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64"/>
      <c r="AM749" s="664"/>
      <c r="AN749" s="656" t="s">
        <v>738</v>
      </c>
      <c r="AO749" s="664"/>
      <c r="AP749" s="664"/>
      <c r="AQ749" s="664"/>
      <c r="AR749" s="656" t="s">
        <v>738</v>
      </c>
      <c r="AS749" s="664"/>
      <c r="AT749" s="664"/>
      <c r="AU749" s="664"/>
      <c r="AV749" s="664"/>
      <c r="AW749" s="664"/>
      <c r="AX749" s="664"/>
      <c r="AY749" s="664"/>
      <c r="AZ749" s="664"/>
      <c r="BA749" s="665"/>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row>
    <row r="750" spans="2:105" x14ac:dyDescent="0.35">
      <c r="B750" s="1214"/>
      <c r="C750" s="1211"/>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64"/>
      <c r="AM750" s="664"/>
      <c r="AN750" s="656" t="s">
        <v>743</v>
      </c>
      <c r="AO750" s="664"/>
      <c r="AP750" s="664"/>
      <c r="AQ750" s="664"/>
      <c r="AR750" s="656" t="s">
        <v>743</v>
      </c>
      <c r="AS750" s="664"/>
      <c r="AT750" s="664"/>
      <c r="AU750" s="664"/>
      <c r="AV750" s="664"/>
      <c r="AW750" s="664"/>
      <c r="AX750" s="664"/>
      <c r="AY750" s="664"/>
      <c r="AZ750" s="664"/>
      <c r="BA750" s="665"/>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row>
    <row r="751" spans="2:105" x14ac:dyDescent="0.35">
      <c r="B751" s="1214"/>
      <c r="C751" s="1211"/>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64"/>
      <c r="AM751" s="664"/>
      <c r="AN751" s="656" t="s">
        <v>743</v>
      </c>
      <c r="AO751" s="664"/>
      <c r="AP751" s="664"/>
      <c r="AQ751" s="664"/>
      <c r="AR751" s="656" t="s">
        <v>743</v>
      </c>
      <c r="AS751" s="664"/>
      <c r="AT751" s="664"/>
      <c r="AU751" s="664"/>
      <c r="AV751" s="664"/>
      <c r="AW751" s="664"/>
      <c r="AX751" s="664"/>
      <c r="AY751" s="664"/>
      <c r="AZ751" s="664"/>
      <c r="BA751" s="665"/>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row>
    <row r="752" spans="2:105" x14ac:dyDescent="0.35">
      <c r="B752" s="1214"/>
      <c r="C752" s="1211"/>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64"/>
      <c r="AM752" s="664"/>
      <c r="AN752" s="656" t="s">
        <v>743</v>
      </c>
      <c r="AO752" s="664"/>
      <c r="AP752" s="664"/>
      <c r="AQ752" s="664"/>
      <c r="AR752" s="656" t="s">
        <v>743</v>
      </c>
      <c r="AS752" s="664"/>
      <c r="AT752" s="664"/>
      <c r="AU752" s="664"/>
      <c r="AV752" s="664"/>
      <c r="AW752" s="664"/>
      <c r="AX752" s="664"/>
      <c r="AY752" s="664"/>
      <c r="AZ752" s="664"/>
      <c r="BA752" s="665"/>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row>
    <row r="753" spans="2:105" x14ac:dyDescent="0.35">
      <c r="B753" s="1214"/>
      <c r="C753" s="1211"/>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64"/>
      <c r="AM753" s="664"/>
      <c r="AN753" s="656" t="s">
        <v>738</v>
      </c>
      <c r="AO753" s="664"/>
      <c r="AP753" s="664"/>
      <c r="AQ753" s="664"/>
      <c r="AR753" s="656" t="s">
        <v>738</v>
      </c>
      <c r="AS753" s="664"/>
      <c r="AT753" s="664"/>
      <c r="AU753" s="664"/>
      <c r="AV753" s="664"/>
      <c r="AW753" s="664"/>
      <c r="AX753" s="664"/>
      <c r="AY753" s="664"/>
      <c r="AZ753" s="664"/>
      <c r="BA753" s="665"/>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row>
    <row r="754" spans="2:105" x14ac:dyDescent="0.35">
      <c r="B754" s="1214"/>
      <c r="C754" s="1211"/>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64"/>
      <c r="AM754" s="664"/>
      <c r="AN754" s="657" t="s">
        <v>743</v>
      </c>
      <c r="AO754" s="664"/>
      <c r="AP754" s="664"/>
      <c r="AQ754" s="664"/>
      <c r="AR754" s="657" t="s">
        <v>743</v>
      </c>
      <c r="AS754" s="664"/>
      <c r="AT754" s="664"/>
      <c r="AU754" s="664"/>
      <c r="AV754" s="664"/>
      <c r="AW754" s="664"/>
      <c r="AX754" s="664"/>
      <c r="AY754" s="664"/>
      <c r="AZ754" s="664"/>
      <c r="BA754" s="665"/>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row>
    <row r="755" spans="2:105" x14ac:dyDescent="0.35">
      <c r="B755" s="1214"/>
      <c r="C755" s="1211"/>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64"/>
      <c r="AM755" s="664"/>
      <c r="AN755" s="656" t="s">
        <v>743</v>
      </c>
      <c r="AO755" s="664"/>
      <c r="AP755" s="664"/>
      <c r="AQ755" s="664"/>
      <c r="AR755" s="656" t="s">
        <v>743</v>
      </c>
      <c r="AS755" s="664"/>
      <c r="AT755" s="664"/>
      <c r="AU755" s="664"/>
      <c r="AV755" s="664"/>
      <c r="AW755" s="664"/>
      <c r="AX755" s="664"/>
      <c r="AY755" s="664"/>
      <c r="AZ755" s="664"/>
      <c r="BA755" s="665"/>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row>
    <row r="756" spans="2:105" x14ac:dyDescent="0.35">
      <c r="B756" s="1214"/>
      <c r="C756" s="1211"/>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64"/>
      <c r="AM756" s="664"/>
      <c r="AN756" s="656" t="s">
        <v>738</v>
      </c>
      <c r="AO756" s="664"/>
      <c r="AP756" s="664"/>
      <c r="AQ756" s="664"/>
      <c r="AR756" s="656" t="s">
        <v>738</v>
      </c>
      <c r="AS756" s="664"/>
      <c r="AT756" s="664"/>
      <c r="AU756" s="664"/>
      <c r="AV756" s="664"/>
      <c r="AW756" s="664"/>
      <c r="AX756" s="664"/>
      <c r="AY756" s="664"/>
      <c r="AZ756" s="664"/>
      <c r="BA756" s="665"/>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row>
    <row r="757" spans="2:105" x14ac:dyDescent="0.35">
      <c r="B757" s="1214"/>
      <c r="C757" s="1211"/>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64"/>
      <c r="AM757" s="664"/>
      <c r="AN757" s="658" t="s">
        <v>743</v>
      </c>
      <c r="AO757" s="664"/>
      <c r="AP757" s="664"/>
      <c r="AQ757" s="664"/>
      <c r="AR757" s="658" t="s">
        <v>743</v>
      </c>
      <c r="AS757" s="664"/>
      <c r="AT757" s="664"/>
      <c r="AU757" s="664"/>
      <c r="AV757" s="664"/>
      <c r="AW757" s="664"/>
      <c r="AX757" s="664"/>
      <c r="AY757" s="664"/>
      <c r="AZ757" s="664"/>
      <c r="BA757" s="665"/>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row>
    <row r="758" spans="2:105" x14ac:dyDescent="0.35">
      <c r="B758" s="1214"/>
      <c r="C758" s="1211"/>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64"/>
      <c r="AM758" s="664"/>
      <c r="AN758" s="656" t="s">
        <v>738</v>
      </c>
      <c r="AO758" s="664"/>
      <c r="AP758" s="664"/>
      <c r="AQ758" s="664"/>
      <c r="AR758" s="656" t="s">
        <v>738</v>
      </c>
      <c r="AS758" s="664"/>
      <c r="AT758" s="664"/>
      <c r="AU758" s="664"/>
      <c r="AV758" s="664"/>
      <c r="AW758" s="664"/>
      <c r="AX758" s="664"/>
      <c r="AY758" s="664"/>
      <c r="AZ758" s="664"/>
      <c r="BA758" s="665"/>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row>
    <row r="759" spans="2:105" x14ac:dyDescent="0.35">
      <c r="B759" s="1214"/>
      <c r="C759" s="1211"/>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64"/>
      <c r="AM759" s="664"/>
      <c r="AN759" s="656" t="s">
        <v>738</v>
      </c>
      <c r="AO759" s="664"/>
      <c r="AP759" s="664"/>
      <c r="AQ759" s="664"/>
      <c r="AR759" s="656" t="s">
        <v>738</v>
      </c>
      <c r="AS759" s="664"/>
      <c r="AT759" s="664"/>
      <c r="AU759" s="664"/>
      <c r="AV759" s="664"/>
      <c r="AW759" s="664"/>
      <c r="AX759" s="664"/>
      <c r="AY759" s="664"/>
      <c r="AZ759" s="664"/>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row>
    <row r="760" spans="2:105" x14ac:dyDescent="0.35">
      <c r="B760" s="1214"/>
      <c r="C760" s="1211"/>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64"/>
      <c r="AM760" s="664"/>
      <c r="AN760" s="656" t="s">
        <v>738</v>
      </c>
      <c r="AO760" s="664"/>
      <c r="AP760" s="664"/>
      <c r="AQ760" s="664"/>
      <c r="AR760" s="656" t="s">
        <v>738</v>
      </c>
      <c r="AS760" s="664"/>
      <c r="AT760" s="664"/>
      <c r="AU760" s="664"/>
      <c r="AV760" s="664"/>
      <c r="AW760" s="664"/>
      <c r="AX760" s="664"/>
      <c r="AY760" s="664"/>
      <c r="AZ760" s="664"/>
      <c r="BA760" s="665"/>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row>
    <row r="761" spans="2:105" x14ac:dyDescent="0.35">
      <c r="B761" s="1214"/>
      <c r="C761" s="1211"/>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64"/>
      <c r="AM761" s="664"/>
      <c r="AN761" s="656" t="s">
        <v>738</v>
      </c>
      <c r="AO761" s="664"/>
      <c r="AP761" s="664"/>
      <c r="AQ761" s="664"/>
      <c r="AR761" s="656" t="s">
        <v>738</v>
      </c>
      <c r="AS761" s="664"/>
      <c r="AT761" s="664"/>
      <c r="AU761" s="664"/>
      <c r="AV761" s="664"/>
      <c r="AW761" s="664"/>
      <c r="AX761" s="664"/>
      <c r="AY761" s="664"/>
      <c r="AZ761" s="664"/>
      <c r="BA761" s="665"/>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row>
    <row r="762" spans="2:105" x14ac:dyDescent="0.35">
      <c r="B762" s="1214"/>
      <c r="C762" s="1211"/>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64"/>
      <c r="AM762" s="664"/>
      <c r="AN762" s="656" t="s">
        <v>738</v>
      </c>
      <c r="AO762" s="664"/>
      <c r="AP762" s="664"/>
      <c r="AQ762" s="664"/>
      <c r="AR762" s="656" t="s">
        <v>738</v>
      </c>
      <c r="AS762" s="664"/>
      <c r="AT762" s="664"/>
      <c r="AU762" s="664"/>
      <c r="AV762" s="664"/>
      <c r="AW762" s="664"/>
      <c r="AX762" s="664"/>
      <c r="AY762" s="664"/>
      <c r="AZ762" s="664"/>
      <c r="BA762" s="665"/>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row>
    <row r="763" spans="2:105" ht="15" thickBot="1" x14ac:dyDescent="0.4">
      <c r="B763" s="1215"/>
      <c r="C763" s="1212"/>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6"/>
      <c r="AM763" s="666"/>
      <c r="AN763" s="660" t="s">
        <v>738</v>
      </c>
      <c r="AO763" s="666"/>
      <c r="AP763" s="666"/>
      <c r="AQ763" s="666"/>
      <c r="AR763" s="660" t="s">
        <v>738</v>
      </c>
      <c r="AS763" s="666"/>
      <c r="AT763" s="666"/>
      <c r="AU763" s="666"/>
      <c r="AV763" s="666"/>
      <c r="AW763" s="666"/>
      <c r="AX763" s="666"/>
      <c r="AY763" s="666"/>
      <c r="AZ763" s="666"/>
      <c r="BA763" s="667"/>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row>
    <row r="764" spans="2:105" ht="15" thickBot="1" x14ac:dyDescent="0.4">
      <c r="B764" s="577" t="s">
        <v>1212</v>
      </c>
      <c r="C764" s="1210"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68"/>
      <c r="AM764" s="668"/>
      <c r="AN764" s="650" t="s">
        <v>743</v>
      </c>
      <c r="AO764" s="668"/>
      <c r="AP764" s="668"/>
      <c r="AQ764" s="668"/>
      <c r="AR764" s="650" t="s">
        <v>743</v>
      </c>
      <c r="AS764" s="668"/>
      <c r="AT764" s="668"/>
      <c r="AU764" s="668"/>
      <c r="AV764" s="668"/>
      <c r="AW764" s="668"/>
      <c r="AX764" s="668"/>
      <c r="AY764" s="668"/>
      <c r="AZ764" s="668"/>
      <c r="BA764" s="669"/>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row>
    <row r="765" spans="2:105" x14ac:dyDescent="0.35">
      <c r="B765" s="1213" t="s">
        <v>1213</v>
      </c>
      <c r="C765" s="1211"/>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71"/>
      <c r="AM765" s="671"/>
      <c r="AN765" s="651" t="s">
        <v>743</v>
      </c>
      <c r="AO765" s="671"/>
      <c r="AP765" s="671"/>
      <c r="AQ765" s="671"/>
      <c r="AR765" s="651" t="s">
        <v>743</v>
      </c>
      <c r="AS765" s="671"/>
      <c r="AT765" s="671"/>
      <c r="AU765" s="671"/>
      <c r="AV765" s="671"/>
      <c r="AW765" s="671"/>
      <c r="AX765" s="671"/>
      <c r="AY765" s="671"/>
      <c r="AZ765" s="671"/>
      <c r="BA765" s="672"/>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row>
    <row r="766" spans="2:105" x14ac:dyDescent="0.35">
      <c r="B766" s="1214"/>
      <c r="C766" s="1211"/>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64"/>
      <c r="AM766" s="664"/>
      <c r="AN766" s="656" t="s">
        <v>743</v>
      </c>
      <c r="AO766" s="664"/>
      <c r="AP766" s="664"/>
      <c r="AQ766" s="664"/>
      <c r="AR766" s="656" t="s">
        <v>743</v>
      </c>
      <c r="AS766" s="664"/>
      <c r="AT766" s="664"/>
      <c r="AU766" s="664"/>
      <c r="AV766" s="664"/>
      <c r="AW766" s="664"/>
      <c r="AX766" s="664"/>
      <c r="AY766" s="664"/>
      <c r="AZ766" s="664"/>
      <c r="BA766" s="665"/>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row>
    <row r="767" spans="2:105" x14ac:dyDescent="0.35">
      <c r="B767" s="1214"/>
      <c r="C767" s="1211"/>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64"/>
      <c r="AM767" s="664"/>
      <c r="AN767" s="656" t="s">
        <v>738</v>
      </c>
      <c r="AO767" s="664"/>
      <c r="AP767" s="664"/>
      <c r="AQ767" s="664"/>
      <c r="AR767" s="656" t="s">
        <v>738</v>
      </c>
      <c r="AS767" s="664"/>
      <c r="AT767" s="664"/>
      <c r="AU767" s="664"/>
      <c r="AV767" s="664"/>
      <c r="AW767" s="664"/>
      <c r="AX767" s="664"/>
      <c r="AY767" s="664"/>
      <c r="AZ767" s="664"/>
      <c r="BA767" s="665"/>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row>
    <row r="768" spans="2:105" x14ac:dyDescent="0.35">
      <c r="B768" s="1214"/>
      <c r="C768" s="1211"/>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64"/>
      <c r="AM768" s="664"/>
      <c r="AN768" s="656" t="s">
        <v>743</v>
      </c>
      <c r="AO768" s="664"/>
      <c r="AP768" s="664"/>
      <c r="AQ768" s="664"/>
      <c r="AR768" s="656" t="s">
        <v>743</v>
      </c>
      <c r="AS768" s="664"/>
      <c r="AT768" s="664"/>
      <c r="AU768" s="664"/>
      <c r="AV768" s="664"/>
      <c r="AW768" s="664"/>
      <c r="AX768" s="664"/>
      <c r="AY768" s="664"/>
      <c r="AZ768" s="664"/>
      <c r="BA768" s="665"/>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row>
    <row r="769" spans="2:105" x14ac:dyDescent="0.35">
      <c r="B769" s="1214"/>
      <c r="C769" s="1211"/>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64"/>
      <c r="AM769" s="664"/>
      <c r="AN769" s="656" t="s">
        <v>738</v>
      </c>
      <c r="AO769" s="664"/>
      <c r="AP769" s="664"/>
      <c r="AQ769" s="664"/>
      <c r="AR769" s="656" t="s">
        <v>738</v>
      </c>
      <c r="AS769" s="664"/>
      <c r="AT769" s="664"/>
      <c r="AU769" s="664"/>
      <c r="AV769" s="664"/>
      <c r="AW769" s="664"/>
      <c r="AX769" s="664"/>
      <c r="AY769" s="664"/>
      <c r="AZ769" s="664"/>
      <c r="BA769" s="665"/>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row>
    <row r="770" spans="2:105" x14ac:dyDescent="0.35">
      <c r="B770" s="1214"/>
      <c r="C770" s="1211"/>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64"/>
      <c r="AM770" s="664"/>
      <c r="AN770" s="656" t="s">
        <v>743</v>
      </c>
      <c r="AO770" s="664"/>
      <c r="AP770" s="664"/>
      <c r="AQ770" s="664"/>
      <c r="AR770" s="656" t="s">
        <v>743</v>
      </c>
      <c r="AS770" s="664"/>
      <c r="AT770" s="664"/>
      <c r="AU770" s="664"/>
      <c r="AV770" s="664"/>
      <c r="AW770" s="664"/>
      <c r="AX770" s="664"/>
      <c r="AY770" s="664"/>
      <c r="AZ770" s="664"/>
      <c r="BA770" s="665"/>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row>
    <row r="771" spans="2:105" x14ac:dyDescent="0.35">
      <c r="B771" s="1214"/>
      <c r="C771" s="1211"/>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64"/>
      <c r="AM771" s="664"/>
      <c r="AN771" s="656" t="s">
        <v>743</v>
      </c>
      <c r="AO771" s="664"/>
      <c r="AP771" s="664"/>
      <c r="AQ771" s="664"/>
      <c r="AR771" s="656" t="s">
        <v>743</v>
      </c>
      <c r="AS771" s="664"/>
      <c r="AT771" s="664"/>
      <c r="AU771" s="664"/>
      <c r="AV771" s="664"/>
      <c r="AW771" s="664"/>
      <c r="AX771" s="664"/>
      <c r="AY771" s="664"/>
      <c r="AZ771" s="664"/>
      <c r="BA771" s="665"/>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row>
    <row r="772" spans="2:105" x14ac:dyDescent="0.35">
      <c r="B772" s="1214"/>
      <c r="C772" s="1211"/>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64"/>
      <c r="AM772" s="664"/>
      <c r="AN772" s="656" t="s">
        <v>743</v>
      </c>
      <c r="AO772" s="664"/>
      <c r="AP772" s="664"/>
      <c r="AQ772" s="664"/>
      <c r="AR772" s="656" t="s">
        <v>743</v>
      </c>
      <c r="AS772" s="664"/>
      <c r="AT772" s="664"/>
      <c r="AU772" s="664"/>
      <c r="AV772" s="664"/>
      <c r="AW772" s="664"/>
      <c r="AX772" s="664"/>
      <c r="AY772" s="664"/>
      <c r="AZ772" s="664"/>
      <c r="BA772" s="665"/>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row>
    <row r="773" spans="2:105" x14ac:dyDescent="0.35">
      <c r="B773" s="1214"/>
      <c r="C773" s="1211"/>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64"/>
      <c r="AM773" s="664"/>
      <c r="AN773" s="656" t="s">
        <v>743</v>
      </c>
      <c r="AO773" s="664"/>
      <c r="AP773" s="664"/>
      <c r="AQ773" s="664"/>
      <c r="AR773" s="656" t="s">
        <v>743</v>
      </c>
      <c r="AS773" s="664"/>
      <c r="AT773" s="664"/>
      <c r="AU773" s="664"/>
      <c r="AV773" s="664"/>
      <c r="AW773" s="664"/>
      <c r="AX773" s="664"/>
      <c r="AY773" s="664"/>
      <c r="AZ773" s="664"/>
      <c r="BA773" s="665"/>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row>
    <row r="774" spans="2:105" x14ac:dyDescent="0.35">
      <c r="B774" s="1214"/>
      <c r="C774" s="1211"/>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64"/>
      <c r="AM774" s="664"/>
      <c r="AN774" s="656" t="s">
        <v>743</v>
      </c>
      <c r="AO774" s="664"/>
      <c r="AP774" s="664"/>
      <c r="AQ774" s="664"/>
      <c r="AR774" s="656" t="s">
        <v>743</v>
      </c>
      <c r="AS774" s="664"/>
      <c r="AT774" s="664"/>
      <c r="AU774" s="664"/>
      <c r="AV774" s="664"/>
      <c r="AW774" s="664"/>
      <c r="AX774" s="664"/>
      <c r="AY774" s="664"/>
      <c r="AZ774" s="664"/>
      <c r="BA774" s="665"/>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row>
    <row r="775" spans="2:105" x14ac:dyDescent="0.35">
      <c r="B775" s="1214"/>
      <c r="C775" s="1211"/>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64"/>
      <c r="AM775" s="664"/>
      <c r="AN775" s="656" t="s">
        <v>743</v>
      </c>
      <c r="AO775" s="664"/>
      <c r="AP775" s="664"/>
      <c r="AQ775" s="664"/>
      <c r="AR775" s="656" t="s">
        <v>743</v>
      </c>
      <c r="AS775" s="664"/>
      <c r="AT775" s="664"/>
      <c r="AU775" s="664"/>
      <c r="AV775" s="664"/>
      <c r="AW775" s="664"/>
      <c r="AX775" s="664"/>
      <c r="AY775" s="664"/>
      <c r="AZ775" s="664"/>
      <c r="BA775" s="665"/>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row>
    <row r="776" spans="2:105" x14ac:dyDescent="0.35">
      <c r="B776" s="1214"/>
      <c r="C776" s="1211"/>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64"/>
      <c r="AM776" s="664"/>
      <c r="AN776" s="656" t="s">
        <v>743</v>
      </c>
      <c r="AO776" s="664"/>
      <c r="AP776" s="664"/>
      <c r="AQ776" s="664"/>
      <c r="AR776" s="656" t="s">
        <v>743</v>
      </c>
      <c r="AS776" s="664"/>
      <c r="AT776" s="664"/>
      <c r="AU776" s="664"/>
      <c r="AV776" s="664"/>
      <c r="AW776" s="664"/>
      <c r="AX776" s="664"/>
      <c r="AY776" s="664"/>
      <c r="AZ776" s="664"/>
      <c r="BA776" s="665"/>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row>
    <row r="777" spans="2:105" x14ac:dyDescent="0.35">
      <c r="B777" s="1214"/>
      <c r="C777" s="1211"/>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64"/>
      <c r="AM777" s="664"/>
      <c r="AN777" s="656" t="s">
        <v>743</v>
      </c>
      <c r="AO777" s="664"/>
      <c r="AP777" s="664"/>
      <c r="AQ777" s="664"/>
      <c r="AR777" s="656" t="s">
        <v>743</v>
      </c>
      <c r="AS777" s="664"/>
      <c r="AT777" s="664"/>
      <c r="AU777" s="664"/>
      <c r="AV777" s="664"/>
      <c r="AW777" s="664"/>
      <c r="AX777" s="664"/>
      <c r="AY777" s="664"/>
      <c r="AZ777" s="664"/>
      <c r="BA777" s="665"/>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row>
    <row r="778" spans="2:105" x14ac:dyDescent="0.35">
      <c r="B778" s="1214"/>
      <c r="C778" s="1211"/>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64"/>
      <c r="AM778" s="664"/>
      <c r="AN778" s="656" t="s">
        <v>743</v>
      </c>
      <c r="AO778" s="664"/>
      <c r="AP778" s="664"/>
      <c r="AQ778" s="664"/>
      <c r="AR778" s="656" t="s">
        <v>743</v>
      </c>
      <c r="AS778" s="664"/>
      <c r="AT778" s="664"/>
      <c r="AU778" s="664"/>
      <c r="AV778" s="664"/>
      <c r="AW778" s="664"/>
      <c r="AX778" s="664"/>
      <c r="AY778" s="664"/>
      <c r="AZ778" s="664"/>
      <c r="BA778" s="665"/>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row>
    <row r="779" spans="2:105" x14ac:dyDescent="0.35">
      <c r="B779" s="1214"/>
      <c r="C779" s="1211"/>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64"/>
      <c r="AM779" s="664"/>
      <c r="AN779" s="656" t="s">
        <v>743</v>
      </c>
      <c r="AO779" s="664"/>
      <c r="AP779" s="664"/>
      <c r="AQ779" s="664"/>
      <c r="AR779" s="656" t="s">
        <v>743</v>
      </c>
      <c r="AS779" s="664"/>
      <c r="AT779" s="664"/>
      <c r="AU779" s="664"/>
      <c r="AV779" s="664"/>
      <c r="AW779" s="664"/>
      <c r="AX779" s="664"/>
      <c r="AY779" s="664"/>
      <c r="AZ779" s="664"/>
      <c r="BA779" s="665"/>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row>
    <row r="780" spans="2:105" ht="15" thickBot="1" x14ac:dyDescent="0.4">
      <c r="B780" s="1215"/>
      <c r="C780" s="1212"/>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6"/>
      <c r="AM780" s="666"/>
      <c r="AN780" s="660" t="s">
        <v>743</v>
      </c>
      <c r="AO780" s="666"/>
      <c r="AP780" s="666"/>
      <c r="AQ780" s="666"/>
      <c r="AR780" s="660" t="s">
        <v>743</v>
      </c>
      <c r="AS780" s="666"/>
      <c r="AT780" s="666"/>
      <c r="AU780" s="666"/>
      <c r="AV780" s="666"/>
      <c r="AW780" s="666"/>
      <c r="AX780" s="666"/>
      <c r="AY780" s="666"/>
      <c r="AZ780" s="666"/>
      <c r="BA780" s="667"/>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row>
    <row r="781" spans="2:105" ht="15" thickBot="1" x14ac:dyDescent="0.4">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5"/>
      <c r="AM781" s="675"/>
      <c r="AN781" s="674">
        <v>1</v>
      </c>
      <c r="AO781" s="675"/>
      <c r="AP781" s="675"/>
      <c r="AQ781" s="675"/>
      <c r="AR781" s="674">
        <v>1</v>
      </c>
      <c r="AS781" s="675"/>
      <c r="AT781" s="675"/>
      <c r="AU781" s="675"/>
      <c r="AV781" s="675"/>
      <c r="AW781" s="675"/>
      <c r="AX781" s="675"/>
      <c r="AY781" s="675"/>
      <c r="AZ781" s="675"/>
      <c r="BA781" s="676"/>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row>
    <row r="782" spans="2:105" ht="15" thickBot="1" x14ac:dyDescent="0.4">
      <c r="B782" s="577" t="s">
        <v>1216</v>
      </c>
      <c r="C782" s="1210"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8"/>
      <c r="AM782" s="628"/>
      <c r="AN782" s="626" t="s">
        <v>738</v>
      </c>
      <c r="AO782" s="628"/>
      <c r="AP782" s="628"/>
      <c r="AQ782" s="628"/>
      <c r="AR782" s="626" t="s">
        <v>738</v>
      </c>
      <c r="AS782" s="628"/>
      <c r="AT782" s="628"/>
      <c r="AU782" s="628"/>
      <c r="AV782" s="628"/>
      <c r="AW782" s="628"/>
      <c r="AX782" s="628"/>
      <c r="AY782" s="628"/>
      <c r="AZ782" s="628"/>
      <c r="BA782" s="629"/>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row>
    <row r="783" spans="2:105" x14ac:dyDescent="0.35">
      <c r="B783" s="1213" t="s">
        <v>1217</v>
      </c>
      <c r="C783" s="1211"/>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62"/>
      <c r="AM783" s="662"/>
      <c r="AN783" s="631" t="s">
        <v>738</v>
      </c>
      <c r="AO783" s="662"/>
      <c r="AP783" s="662"/>
      <c r="AQ783" s="662"/>
      <c r="AR783" s="631" t="s">
        <v>738</v>
      </c>
      <c r="AS783" s="662"/>
      <c r="AT783" s="662"/>
      <c r="AU783" s="662"/>
      <c r="AV783" s="662"/>
      <c r="AW783" s="662"/>
      <c r="AX783" s="662"/>
      <c r="AY783" s="662"/>
      <c r="AZ783" s="662"/>
      <c r="BA783" s="663"/>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row>
    <row r="784" spans="2:105" x14ac:dyDescent="0.35">
      <c r="B784" s="1214"/>
      <c r="C784" s="1211"/>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64"/>
      <c r="AM784" s="664"/>
      <c r="AN784" s="636" t="s">
        <v>738</v>
      </c>
      <c r="AO784" s="664"/>
      <c r="AP784" s="664"/>
      <c r="AQ784" s="664"/>
      <c r="AR784" s="636" t="s">
        <v>738</v>
      </c>
      <c r="AS784" s="664"/>
      <c r="AT784" s="664"/>
      <c r="AU784" s="664"/>
      <c r="AV784" s="664"/>
      <c r="AW784" s="664"/>
      <c r="AX784" s="664"/>
      <c r="AY784" s="664"/>
      <c r="AZ784" s="664"/>
      <c r="BA784" s="665"/>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row>
    <row r="785" spans="2:105" x14ac:dyDescent="0.35">
      <c r="B785" s="1214"/>
      <c r="C785" s="1211"/>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64"/>
      <c r="AM785" s="664"/>
      <c r="AN785" s="636" t="s">
        <v>743</v>
      </c>
      <c r="AO785" s="664"/>
      <c r="AP785" s="664"/>
      <c r="AQ785" s="664"/>
      <c r="AR785" s="636" t="s">
        <v>743</v>
      </c>
      <c r="AS785" s="664"/>
      <c r="AT785" s="664"/>
      <c r="AU785" s="664"/>
      <c r="AV785" s="664"/>
      <c r="AW785" s="664"/>
      <c r="AX785" s="664"/>
      <c r="AY785" s="664"/>
      <c r="AZ785" s="664"/>
      <c r="BA785" s="665"/>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row>
    <row r="786" spans="2:105" x14ac:dyDescent="0.35">
      <c r="B786" s="1214"/>
      <c r="C786" s="1211"/>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64"/>
      <c r="AM786" s="664"/>
      <c r="AN786" s="636" t="s">
        <v>738</v>
      </c>
      <c r="AO786" s="664"/>
      <c r="AP786" s="664"/>
      <c r="AQ786" s="664"/>
      <c r="AR786" s="636" t="s">
        <v>738</v>
      </c>
      <c r="AS786" s="664"/>
      <c r="AT786" s="664"/>
      <c r="AU786" s="664"/>
      <c r="AV786" s="664"/>
      <c r="AW786" s="664"/>
      <c r="AX786" s="664"/>
      <c r="AY786" s="664"/>
      <c r="AZ786" s="664"/>
      <c r="BA786" s="665"/>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row>
    <row r="787" spans="2:105" x14ac:dyDescent="0.35">
      <c r="B787" s="1214"/>
      <c r="C787" s="1211"/>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64"/>
      <c r="AM787" s="664"/>
      <c r="AN787" s="636" t="s">
        <v>743</v>
      </c>
      <c r="AO787" s="664"/>
      <c r="AP787" s="664"/>
      <c r="AQ787" s="664"/>
      <c r="AR787" s="636" t="s">
        <v>743</v>
      </c>
      <c r="AS787" s="664"/>
      <c r="AT787" s="664"/>
      <c r="AU787" s="664"/>
      <c r="AV787" s="664"/>
      <c r="AW787" s="664"/>
      <c r="AX787" s="664"/>
      <c r="AY787" s="664"/>
      <c r="AZ787" s="664"/>
      <c r="BA787" s="665"/>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row>
    <row r="788" spans="2:105" x14ac:dyDescent="0.35">
      <c r="B788" s="1214"/>
      <c r="C788" s="1211"/>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64"/>
      <c r="AM788" s="664"/>
      <c r="AN788" s="636" t="s">
        <v>743</v>
      </c>
      <c r="AO788" s="664"/>
      <c r="AP788" s="664"/>
      <c r="AQ788" s="664"/>
      <c r="AR788" s="636" t="s">
        <v>743</v>
      </c>
      <c r="AS788" s="664"/>
      <c r="AT788" s="664"/>
      <c r="AU788" s="664"/>
      <c r="AV788" s="664"/>
      <c r="AW788" s="664"/>
      <c r="AX788" s="664"/>
      <c r="AY788" s="664"/>
      <c r="AZ788" s="664"/>
      <c r="BA788" s="665"/>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row>
    <row r="789" spans="2:105" x14ac:dyDescent="0.35">
      <c r="B789" s="1214"/>
      <c r="C789" s="1211"/>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64"/>
      <c r="AM789" s="664"/>
      <c r="AN789" s="636" t="s">
        <v>738</v>
      </c>
      <c r="AO789" s="664"/>
      <c r="AP789" s="664"/>
      <c r="AQ789" s="664"/>
      <c r="AR789" s="636" t="s">
        <v>738</v>
      </c>
      <c r="AS789" s="664"/>
      <c r="AT789" s="664"/>
      <c r="AU789" s="664"/>
      <c r="AV789" s="664"/>
      <c r="AW789" s="664"/>
      <c r="AX789" s="664"/>
      <c r="AY789" s="664"/>
      <c r="AZ789" s="664"/>
      <c r="BA789" s="665"/>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row>
    <row r="790" spans="2:105" x14ac:dyDescent="0.35">
      <c r="B790" s="1214"/>
      <c r="C790" s="1211"/>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64"/>
      <c r="AM790" s="664"/>
      <c r="AN790" s="636" t="s">
        <v>743</v>
      </c>
      <c r="AO790" s="664"/>
      <c r="AP790" s="664"/>
      <c r="AQ790" s="664"/>
      <c r="AR790" s="636" t="s">
        <v>743</v>
      </c>
      <c r="AS790" s="664"/>
      <c r="AT790" s="664"/>
      <c r="AU790" s="664"/>
      <c r="AV790" s="664"/>
      <c r="AW790" s="664"/>
      <c r="AX790" s="664"/>
      <c r="AY790" s="664"/>
      <c r="AZ790" s="664"/>
      <c r="BA790" s="665"/>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row>
    <row r="791" spans="2:105" x14ac:dyDescent="0.35">
      <c r="B791" s="1214"/>
      <c r="C791" s="1211"/>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64"/>
      <c r="AM791" s="664"/>
      <c r="AN791" s="636" t="s">
        <v>743</v>
      </c>
      <c r="AO791" s="664"/>
      <c r="AP791" s="664"/>
      <c r="AQ791" s="664"/>
      <c r="AR791" s="636" t="s">
        <v>743</v>
      </c>
      <c r="AS791" s="664"/>
      <c r="AT791" s="664"/>
      <c r="AU791" s="664"/>
      <c r="AV791" s="664"/>
      <c r="AW791" s="664"/>
      <c r="AX791" s="664"/>
      <c r="AY791" s="664"/>
      <c r="AZ791" s="664"/>
      <c r="BA791" s="665"/>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row>
    <row r="792" spans="2:105" x14ac:dyDescent="0.35">
      <c r="B792" s="1214"/>
      <c r="C792" s="1211"/>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64"/>
      <c r="AM792" s="664"/>
      <c r="AN792" s="636" t="s">
        <v>738</v>
      </c>
      <c r="AO792" s="664"/>
      <c r="AP792" s="664"/>
      <c r="AQ792" s="664"/>
      <c r="AR792" s="636" t="s">
        <v>738</v>
      </c>
      <c r="AS792" s="664"/>
      <c r="AT792" s="664"/>
      <c r="AU792" s="664"/>
      <c r="AV792" s="664"/>
      <c r="AW792" s="664"/>
      <c r="AX792" s="664"/>
      <c r="AY792" s="664"/>
      <c r="AZ792" s="664"/>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row>
    <row r="793" spans="2:105" x14ac:dyDescent="0.35">
      <c r="B793" s="1214"/>
      <c r="C793" s="1211"/>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64"/>
      <c r="AM793" s="664"/>
      <c r="AN793" s="636" t="s">
        <v>743</v>
      </c>
      <c r="AO793" s="664"/>
      <c r="AP793" s="664"/>
      <c r="AQ793" s="664"/>
      <c r="AR793" s="636" t="s">
        <v>743</v>
      </c>
      <c r="AS793" s="664"/>
      <c r="AT793" s="664"/>
      <c r="AU793" s="664"/>
      <c r="AV793" s="664"/>
      <c r="AW793" s="664"/>
      <c r="AX793" s="664"/>
      <c r="AY793" s="664"/>
      <c r="AZ793" s="664"/>
      <c r="BA793" s="665"/>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row>
    <row r="794" spans="2:105" x14ac:dyDescent="0.35">
      <c r="B794" s="1214"/>
      <c r="C794" s="1211"/>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64"/>
      <c r="AM794" s="664"/>
      <c r="AN794" s="636" t="s">
        <v>743</v>
      </c>
      <c r="AO794" s="664"/>
      <c r="AP794" s="664"/>
      <c r="AQ794" s="664"/>
      <c r="AR794" s="636" t="s">
        <v>743</v>
      </c>
      <c r="AS794" s="664"/>
      <c r="AT794" s="664"/>
      <c r="AU794" s="664"/>
      <c r="AV794" s="664"/>
      <c r="AW794" s="664"/>
      <c r="AX794" s="664"/>
      <c r="AY794" s="664"/>
      <c r="AZ794" s="664"/>
      <c r="BA794" s="665"/>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row>
    <row r="795" spans="2:105" x14ac:dyDescent="0.35">
      <c r="B795" s="1214"/>
      <c r="C795" s="1211"/>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64"/>
      <c r="AM795" s="664"/>
      <c r="AN795" s="636" t="s">
        <v>743</v>
      </c>
      <c r="AO795" s="664"/>
      <c r="AP795" s="664"/>
      <c r="AQ795" s="664"/>
      <c r="AR795" s="636" t="s">
        <v>743</v>
      </c>
      <c r="AS795" s="664"/>
      <c r="AT795" s="664"/>
      <c r="AU795" s="664"/>
      <c r="AV795" s="664"/>
      <c r="AW795" s="664"/>
      <c r="AX795" s="664"/>
      <c r="AY795" s="664"/>
      <c r="AZ795" s="664"/>
      <c r="BA795" s="665"/>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row>
    <row r="796" spans="2:105" x14ac:dyDescent="0.35">
      <c r="B796" s="1214"/>
      <c r="C796" s="1211"/>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64"/>
      <c r="AM796" s="664"/>
      <c r="AN796" s="636" t="s">
        <v>743</v>
      </c>
      <c r="AO796" s="664"/>
      <c r="AP796" s="664"/>
      <c r="AQ796" s="664"/>
      <c r="AR796" s="636" t="s">
        <v>743</v>
      </c>
      <c r="AS796" s="664"/>
      <c r="AT796" s="664"/>
      <c r="AU796" s="664"/>
      <c r="AV796" s="664"/>
      <c r="AW796" s="664"/>
      <c r="AX796" s="664"/>
      <c r="AY796" s="664"/>
      <c r="AZ796" s="664"/>
      <c r="BA796" s="665"/>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row>
    <row r="797" spans="2:105" x14ac:dyDescent="0.35">
      <c r="B797" s="1214"/>
      <c r="C797" s="1211"/>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64"/>
      <c r="AM797" s="664"/>
      <c r="AN797" s="636" t="s">
        <v>743</v>
      </c>
      <c r="AO797" s="664"/>
      <c r="AP797" s="664"/>
      <c r="AQ797" s="664"/>
      <c r="AR797" s="636" t="s">
        <v>743</v>
      </c>
      <c r="AS797" s="664"/>
      <c r="AT797" s="664"/>
      <c r="AU797" s="664"/>
      <c r="AV797" s="664"/>
      <c r="AW797" s="664"/>
      <c r="AX797" s="664"/>
      <c r="AY797" s="664"/>
      <c r="AZ797" s="664"/>
      <c r="BA797" s="665"/>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row>
    <row r="798" spans="2:105" ht="15" thickBot="1" x14ac:dyDescent="0.4">
      <c r="B798" s="1215"/>
      <c r="C798" s="1212"/>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66"/>
      <c r="AM798" s="666"/>
      <c r="AN798" s="641" t="s">
        <v>738</v>
      </c>
      <c r="AO798" s="666"/>
      <c r="AP798" s="666"/>
      <c r="AQ798" s="666"/>
      <c r="AR798" s="641" t="s">
        <v>738</v>
      </c>
      <c r="AS798" s="666"/>
      <c r="AT798" s="666"/>
      <c r="AU798" s="666"/>
      <c r="AV798" s="666"/>
      <c r="AW798" s="666"/>
      <c r="AX798" s="666"/>
      <c r="AY798" s="666"/>
      <c r="AZ798" s="666"/>
      <c r="BA798" s="667"/>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row>
    <row r="799" spans="2:105" ht="15" thickBot="1" x14ac:dyDescent="0.4">
      <c r="B799" s="577" t="s">
        <v>1218</v>
      </c>
      <c r="C799" s="1210"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68"/>
      <c r="AM799" s="668"/>
      <c r="AN799" s="646" t="s">
        <v>743</v>
      </c>
      <c r="AO799" s="668"/>
      <c r="AP799" s="668"/>
      <c r="AQ799" s="668"/>
      <c r="AR799" s="646" t="s">
        <v>743</v>
      </c>
      <c r="AS799" s="668"/>
      <c r="AT799" s="668"/>
      <c r="AU799" s="668"/>
      <c r="AV799" s="668"/>
      <c r="AW799" s="668"/>
      <c r="AX799" s="668"/>
      <c r="AY799" s="668"/>
      <c r="AZ799" s="668"/>
      <c r="BA799" s="669"/>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row>
    <row r="800" spans="2:105" x14ac:dyDescent="0.35">
      <c r="B800" s="1213" t="s">
        <v>1219</v>
      </c>
      <c r="C800" s="1211"/>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71"/>
      <c r="AM800" s="671"/>
      <c r="AN800" s="651" t="s">
        <v>743</v>
      </c>
      <c r="AO800" s="671"/>
      <c r="AP800" s="671"/>
      <c r="AQ800" s="671"/>
      <c r="AR800" s="651" t="s">
        <v>743</v>
      </c>
      <c r="AS800" s="671"/>
      <c r="AT800" s="671"/>
      <c r="AU800" s="671"/>
      <c r="AV800" s="671"/>
      <c r="AW800" s="671"/>
      <c r="AX800" s="671"/>
      <c r="AY800" s="671"/>
      <c r="AZ800" s="671"/>
      <c r="BA800" s="672"/>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row>
    <row r="801" spans="2:105" x14ac:dyDescent="0.35">
      <c r="B801" s="1214"/>
      <c r="C801" s="1211"/>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64"/>
      <c r="AM801" s="664"/>
      <c r="AN801" s="656" t="s">
        <v>738</v>
      </c>
      <c r="AO801" s="664"/>
      <c r="AP801" s="664"/>
      <c r="AQ801" s="664"/>
      <c r="AR801" s="656" t="s">
        <v>738</v>
      </c>
      <c r="AS801" s="664"/>
      <c r="AT801" s="664"/>
      <c r="AU801" s="664"/>
      <c r="AV801" s="664"/>
      <c r="AW801" s="664"/>
      <c r="AX801" s="664"/>
      <c r="AY801" s="664"/>
      <c r="AZ801" s="664"/>
      <c r="BA801" s="665"/>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row>
    <row r="802" spans="2:105" x14ac:dyDescent="0.35">
      <c r="B802" s="1214"/>
      <c r="C802" s="1211"/>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64"/>
      <c r="AM802" s="664"/>
      <c r="AN802" s="656" t="s">
        <v>743</v>
      </c>
      <c r="AO802" s="664"/>
      <c r="AP802" s="664"/>
      <c r="AQ802" s="664"/>
      <c r="AR802" s="656" t="s">
        <v>743</v>
      </c>
      <c r="AS802" s="664"/>
      <c r="AT802" s="664"/>
      <c r="AU802" s="664"/>
      <c r="AV802" s="664"/>
      <c r="AW802" s="664"/>
      <c r="AX802" s="664"/>
      <c r="AY802" s="664"/>
      <c r="AZ802" s="664"/>
      <c r="BA802" s="665"/>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row>
    <row r="803" spans="2:105" x14ac:dyDescent="0.35">
      <c r="B803" s="1214"/>
      <c r="C803" s="1211"/>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64"/>
      <c r="AM803" s="664"/>
      <c r="AN803" s="656" t="s">
        <v>743</v>
      </c>
      <c r="AO803" s="664"/>
      <c r="AP803" s="664"/>
      <c r="AQ803" s="664"/>
      <c r="AR803" s="656" t="s">
        <v>743</v>
      </c>
      <c r="AS803" s="664"/>
      <c r="AT803" s="664"/>
      <c r="AU803" s="664"/>
      <c r="AV803" s="664"/>
      <c r="AW803" s="664"/>
      <c r="AX803" s="664"/>
      <c r="AY803" s="664"/>
      <c r="AZ803" s="664"/>
      <c r="BA803" s="665"/>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row>
    <row r="804" spans="2:105" x14ac:dyDescent="0.35">
      <c r="B804" s="1214"/>
      <c r="C804" s="1211"/>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64"/>
      <c r="AM804" s="664"/>
      <c r="AN804" s="656" t="s">
        <v>743</v>
      </c>
      <c r="AO804" s="664"/>
      <c r="AP804" s="664"/>
      <c r="AQ804" s="664"/>
      <c r="AR804" s="656" t="s">
        <v>743</v>
      </c>
      <c r="AS804" s="664"/>
      <c r="AT804" s="664"/>
      <c r="AU804" s="664"/>
      <c r="AV804" s="664"/>
      <c r="AW804" s="664"/>
      <c r="AX804" s="664"/>
      <c r="AY804" s="664"/>
      <c r="AZ804" s="664"/>
      <c r="BA804" s="665"/>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row>
    <row r="805" spans="2:105" x14ac:dyDescent="0.35">
      <c r="B805" s="1214"/>
      <c r="C805" s="1211"/>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64"/>
      <c r="AM805" s="664"/>
      <c r="AN805" s="656" t="s">
        <v>738</v>
      </c>
      <c r="AO805" s="664"/>
      <c r="AP805" s="664"/>
      <c r="AQ805" s="664"/>
      <c r="AR805" s="656" t="s">
        <v>738</v>
      </c>
      <c r="AS805" s="664"/>
      <c r="AT805" s="664"/>
      <c r="AU805" s="664"/>
      <c r="AV805" s="664"/>
      <c r="AW805" s="664"/>
      <c r="AX805" s="664"/>
      <c r="AY805" s="664"/>
      <c r="AZ805" s="664"/>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row>
    <row r="806" spans="2:105" x14ac:dyDescent="0.35">
      <c r="B806" s="1214"/>
      <c r="C806" s="1211"/>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64"/>
      <c r="AM806" s="664"/>
      <c r="AN806" s="657" t="s">
        <v>743</v>
      </c>
      <c r="AO806" s="664"/>
      <c r="AP806" s="664"/>
      <c r="AQ806" s="664"/>
      <c r="AR806" s="657" t="s">
        <v>743</v>
      </c>
      <c r="AS806" s="664"/>
      <c r="AT806" s="664"/>
      <c r="AU806" s="664"/>
      <c r="AV806" s="664"/>
      <c r="AW806" s="664"/>
      <c r="AX806" s="664"/>
      <c r="AY806" s="664"/>
      <c r="AZ806" s="664"/>
      <c r="BA806" s="665"/>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row>
    <row r="807" spans="2:105" x14ac:dyDescent="0.35">
      <c r="B807" s="1214"/>
      <c r="C807" s="1211"/>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64"/>
      <c r="AM807" s="664"/>
      <c r="AN807" s="656" t="s">
        <v>743</v>
      </c>
      <c r="AO807" s="664"/>
      <c r="AP807" s="664"/>
      <c r="AQ807" s="664"/>
      <c r="AR807" s="656" t="s">
        <v>743</v>
      </c>
      <c r="AS807" s="664"/>
      <c r="AT807" s="664"/>
      <c r="AU807" s="664"/>
      <c r="AV807" s="664"/>
      <c r="AW807" s="664"/>
      <c r="AX807" s="664"/>
      <c r="AY807" s="664"/>
      <c r="AZ807" s="664"/>
      <c r="BA807" s="665"/>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row>
    <row r="808" spans="2:105" x14ac:dyDescent="0.35">
      <c r="B808" s="1214"/>
      <c r="C808" s="1211"/>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64"/>
      <c r="AM808" s="664"/>
      <c r="AN808" s="656" t="s">
        <v>738</v>
      </c>
      <c r="AO808" s="664"/>
      <c r="AP808" s="664"/>
      <c r="AQ808" s="664"/>
      <c r="AR808" s="656" t="s">
        <v>738</v>
      </c>
      <c r="AS808" s="664"/>
      <c r="AT808" s="664"/>
      <c r="AU808" s="664"/>
      <c r="AV808" s="664"/>
      <c r="AW808" s="664"/>
      <c r="AX808" s="664"/>
      <c r="AY808" s="664"/>
      <c r="AZ808" s="664"/>
      <c r="BA808" s="665"/>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row>
    <row r="809" spans="2:105" x14ac:dyDescent="0.35">
      <c r="B809" s="1214"/>
      <c r="C809" s="1211"/>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64"/>
      <c r="AM809" s="664"/>
      <c r="AN809" s="658" t="s">
        <v>743</v>
      </c>
      <c r="AO809" s="664"/>
      <c r="AP809" s="664"/>
      <c r="AQ809" s="664"/>
      <c r="AR809" s="658" t="s">
        <v>743</v>
      </c>
      <c r="AS809" s="664"/>
      <c r="AT809" s="664"/>
      <c r="AU809" s="664"/>
      <c r="AV809" s="664"/>
      <c r="AW809" s="664"/>
      <c r="AX809" s="664"/>
      <c r="AY809" s="664"/>
      <c r="AZ809" s="664"/>
      <c r="BA809" s="665"/>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row>
    <row r="810" spans="2:105" x14ac:dyDescent="0.35">
      <c r="B810" s="1214"/>
      <c r="C810" s="1211"/>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64"/>
      <c r="AM810" s="664"/>
      <c r="AN810" s="656" t="s">
        <v>738</v>
      </c>
      <c r="AO810" s="664"/>
      <c r="AP810" s="664"/>
      <c r="AQ810" s="664"/>
      <c r="AR810" s="656" t="s">
        <v>738</v>
      </c>
      <c r="AS810" s="664"/>
      <c r="AT810" s="664"/>
      <c r="AU810" s="664"/>
      <c r="AV810" s="664"/>
      <c r="AW810" s="664"/>
      <c r="AX810" s="664"/>
      <c r="AY810" s="664"/>
      <c r="AZ810" s="664"/>
      <c r="BA810" s="665"/>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row>
    <row r="811" spans="2:105" x14ac:dyDescent="0.35">
      <c r="B811" s="1214"/>
      <c r="C811" s="1211"/>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64"/>
      <c r="AM811" s="664"/>
      <c r="AN811" s="656" t="s">
        <v>738</v>
      </c>
      <c r="AO811" s="664"/>
      <c r="AP811" s="664"/>
      <c r="AQ811" s="664"/>
      <c r="AR811" s="656" t="s">
        <v>738</v>
      </c>
      <c r="AS811" s="664"/>
      <c r="AT811" s="664"/>
      <c r="AU811" s="664"/>
      <c r="AV811" s="664"/>
      <c r="AW811" s="664"/>
      <c r="AX811" s="664"/>
      <c r="AY811" s="664"/>
      <c r="AZ811" s="664"/>
      <c r="BA811" s="665"/>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row>
    <row r="812" spans="2:105" x14ac:dyDescent="0.35">
      <c r="B812" s="1214"/>
      <c r="C812" s="1211"/>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64"/>
      <c r="AM812" s="664"/>
      <c r="AN812" s="656" t="s">
        <v>738</v>
      </c>
      <c r="AO812" s="664"/>
      <c r="AP812" s="664"/>
      <c r="AQ812" s="664"/>
      <c r="AR812" s="656" t="s">
        <v>738</v>
      </c>
      <c r="AS812" s="664"/>
      <c r="AT812" s="664"/>
      <c r="AU812" s="664"/>
      <c r="AV812" s="664"/>
      <c r="AW812" s="664"/>
      <c r="AX812" s="664"/>
      <c r="AY812" s="664"/>
      <c r="AZ812" s="664"/>
      <c r="BA812" s="665"/>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row>
    <row r="813" spans="2:105" x14ac:dyDescent="0.35">
      <c r="B813" s="1214"/>
      <c r="C813" s="1211"/>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64"/>
      <c r="AM813" s="664"/>
      <c r="AN813" s="656" t="s">
        <v>738</v>
      </c>
      <c r="AO813" s="664"/>
      <c r="AP813" s="664"/>
      <c r="AQ813" s="664"/>
      <c r="AR813" s="656" t="s">
        <v>738</v>
      </c>
      <c r="AS813" s="664"/>
      <c r="AT813" s="664"/>
      <c r="AU813" s="664"/>
      <c r="AV813" s="664"/>
      <c r="AW813" s="664"/>
      <c r="AX813" s="664"/>
      <c r="AY813" s="664"/>
      <c r="AZ813" s="664"/>
      <c r="BA813" s="665"/>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row>
    <row r="814" spans="2:105" x14ac:dyDescent="0.35">
      <c r="B814" s="1214"/>
      <c r="C814" s="1211"/>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64"/>
      <c r="AM814" s="664"/>
      <c r="AN814" s="656" t="s">
        <v>738</v>
      </c>
      <c r="AO814" s="664"/>
      <c r="AP814" s="664"/>
      <c r="AQ814" s="664"/>
      <c r="AR814" s="656" t="s">
        <v>738</v>
      </c>
      <c r="AS814" s="664"/>
      <c r="AT814" s="664"/>
      <c r="AU814" s="664"/>
      <c r="AV814" s="664"/>
      <c r="AW814" s="664"/>
      <c r="AX814" s="664"/>
      <c r="AY814" s="664"/>
      <c r="AZ814" s="664"/>
      <c r="BA814" s="665"/>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row>
    <row r="815" spans="2:105" ht="15" thickBot="1" x14ac:dyDescent="0.4">
      <c r="B815" s="1215"/>
      <c r="C815" s="1212"/>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6"/>
      <c r="AM815" s="666"/>
      <c r="AN815" s="660" t="s">
        <v>738</v>
      </c>
      <c r="AO815" s="666"/>
      <c r="AP815" s="666"/>
      <c r="AQ815" s="666"/>
      <c r="AR815" s="660" t="s">
        <v>738</v>
      </c>
      <c r="AS815" s="666"/>
      <c r="AT815" s="666"/>
      <c r="AU815" s="666"/>
      <c r="AV815" s="666"/>
      <c r="AW815" s="666"/>
      <c r="AX815" s="666"/>
      <c r="AY815" s="666"/>
      <c r="AZ815" s="666"/>
      <c r="BA815" s="667"/>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row>
    <row r="816" spans="2:105" ht="15" thickBot="1" x14ac:dyDescent="0.4">
      <c r="B816" s="577" t="s">
        <v>1220</v>
      </c>
      <c r="C816" s="1210"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68"/>
      <c r="AM816" s="668"/>
      <c r="AN816" s="650" t="s">
        <v>743</v>
      </c>
      <c r="AO816" s="668"/>
      <c r="AP816" s="668"/>
      <c r="AQ816" s="668"/>
      <c r="AR816" s="650" t="s">
        <v>743</v>
      </c>
      <c r="AS816" s="668"/>
      <c r="AT816" s="668"/>
      <c r="AU816" s="668"/>
      <c r="AV816" s="668"/>
      <c r="AW816" s="668"/>
      <c r="AX816" s="668"/>
      <c r="AY816" s="668"/>
      <c r="AZ816" s="668"/>
      <c r="BA816" s="669"/>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row>
    <row r="817" spans="2:105" x14ac:dyDescent="0.35">
      <c r="B817" s="1213" t="s">
        <v>1221</v>
      </c>
      <c r="C817" s="1211"/>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71"/>
      <c r="AM817" s="671"/>
      <c r="AN817" s="651" t="s">
        <v>743</v>
      </c>
      <c r="AO817" s="671"/>
      <c r="AP817" s="671"/>
      <c r="AQ817" s="671"/>
      <c r="AR817" s="651" t="s">
        <v>743</v>
      </c>
      <c r="AS817" s="671"/>
      <c r="AT817" s="671"/>
      <c r="AU817" s="671"/>
      <c r="AV817" s="671"/>
      <c r="AW817" s="671"/>
      <c r="AX817" s="671"/>
      <c r="AY817" s="671"/>
      <c r="AZ817" s="671"/>
      <c r="BA817" s="672"/>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row>
    <row r="818" spans="2:105" x14ac:dyDescent="0.35">
      <c r="B818" s="1214"/>
      <c r="C818" s="1211"/>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64"/>
      <c r="AM818" s="664"/>
      <c r="AN818" s="656" t="s">
        <v>743</v>
      </c>
      <c r="AO818" s="664"/>
      <c r="AP818" s="664"/>
      <c r="AQ818" s="664"/>
      <c r="AR818" s="656" t="s">
        <v>743</v>
      </c>
      <c r="AS818" s="664"/>
      <c r="AT818" s="664"/>
      <c r="AU818" s="664"/>
      <c r="AV818" s="664"/>
      <c r="AW818" s="664"/>
      <c r="AX818" s="664"/>
      <c r="AY818" s="664"/>
      <c r="AZ818" s="664"/>
      <c r="BA818" s="665"/>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row>
    <row r="819" spans="2:105" x14ac:dyDescent="0.35">
      <c r="B819" s="1214"/>
      <c r="C819" s="1211"/>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64"/>
      <c r="AM819" s="664"/>
      <c r="AN819" s="656" t="s">
        <v>738</v>
      </c>
      <c r="AO819" s="664"/>
      <c r="AP819" s="664"/>
      <c r="AQ819" s="664"/>
      <c r="AR819" s="656" t="s">
        <v>738</v>
      </c>
      <c r="AS819" s="664"/>
      <c r="AT819" s="664"/>
      <c r="AU819" s="664"/>
      <c r="AV819" s="664"/>
      <c r="AW819" s="664"/>
      <c r="AX819" s="664"/>
      <c r="AY819" s="664"/>
      <c r="AZ819" s="664"/>
      <c r="BA819" s="665"/>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row>
    <row r="820" spans="2:105" x14ac:dyDescent="0.35">
      <c r="B820" s="1214"/>
      <c r="C820" s="1211"/>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64"/>
      <c r="AM820" s="664"/>
      <c r="AN820" s="656" t="s">
        <v>743</v>
      </c>
      <c r="AO820" s="664"/>
      <c r="AP820" s="664"/>
      <c r="AQ820" s="664"/>
      <c r="AR820" s="656" t="s">
        <v>743</v>
      </c>
      <c r="AS820" s="664"/>
      <c r="AT820" s="664"/>
      <c r="AU820" s="664"/>
      <c r="AV820" s="664"/>
      <c r="AW820" s="664"/>
      <c r="AX820" s="664"/>
      <c r="AY820" s="664"/>
      <c r="AZ820" s="664"/>
      <c r="BA820" s="665"/>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row>
    <row r="821" spans="2:105" x14ac:dyDescent="0.35">
      <c r="B821" s="1214"/>
      <c r="C821" s="1211"/>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64"/>
      <c r="AM821" s="664"/>
      <c r="AN821" s="656" t="s">
        <v>738</v>
      </c>
      <c r="AO821" s="664"/>
      <c r="AP821" s="664"/>
      <c r="AQ821" s="664"/>
      <c r="AR821" s="656" t="s">
        <v>738</v>
      </c>
      <c r="AS821" s="664"/>
      <c r="AT821" s="664"/>
      <c r="AU821" s="664"/>
      <c r="AV821" s="664"/>
      <c r="AW821" s="664"/>
      <c r="AX821" s="664"/>
      <c r="AY821" s="664"/>
      <c r="AZ821" s="664"/>
      <c r="BA821" s="665"/>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row>
    <row r="822" spans="2:105" x14ac:dyDescent="0.35">
      <c r="B822" s="1214"/>
      <c r="C822" s="1211"/>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64"/>
      <c r="AM822" s="664"/>
      <c r="AN822" s="656" t="s">
        <v>743</v>
      </c>
      <c r="AO822" s="664"/>
      <c r="AP822" s="664"/>
      <c r="AQ822" s="664"/>
      <c r="AR822" s="656" t="s">
        <v>743</v>
      </c>
      <c r="AS822" s="664"/>
      <c r="AT822" s="664"/>
      <c r="AU822" s="664"/>
      <c r="AV822" s="664"/>
      <c r="AW822" s="664"/>
      <c r="AX822" s="664"/>
      <c r="AY822" s="664"/>
      <c r="AZ822" s="664"/>
      <c r="BA822" s="665"/>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row>
    <row r="823" spans="2:105" x14ac:dyDescent="0.35">
      <c r="B823" s="1214"/>
      <c r="C823" s="1211"/>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64"/>
      <c r="AM823" s="664"/>
      <c r="AN823" s="656" t="s">
        <v>743</v>
      </c>
      <c r="AO823" s="664"/>
      <c r="AP823" s="664"/>
      <c r="AQ823" s="664"/>
      <c r="AR823" s="656" t="s">
        <v>743</v>
      </c>
      <c r="AS823" s="664"/>
      <c r="AT823" s="664"/>
      <c r="AU823" s="664"/>
      <c r="AV823" s="664"/>
      <c r="AW823" s="664"/>
      <c r="AX823" s="664"/>
      <c r="AY823" s="664"/>
      <c r="AZ823" s="664"/>
      <c r="BA823" s="665"/>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row>
    <row r="824" spans="2:105" x14ac:dyDescent="0.35">
      <c r="B824" s="1214"/>
      <c r="C824" s="1211"/>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64"/>
      <c r="AM824" s="664"/>
      <c r="AN824" s="656" t="s">
        <v>743</v>
      </c>
      <c r="AO824" s="664"/>
      <c r="AP824" s="664"/>
      <c r="AQ824" s="664"/>
      <c r="AR824" s="656" t="s">
        <v>743</v>
      </c>
      <c r="AS824" s="664"/>
      <c r="AT824" s="664"/>
      <c r="AU824" s="664"/>
      <c r="AV824" s="664"/>
      <c r="AW824" s="664"/>
      <c r="AX824" s="664"/>
      <c r="AY824" s="664"/>
      <c r="AZ824" s="664"/>
      <c r="BA824" s="665"/>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row>
    <row r="825" spans="2:105" x14ac:dyDescent="0.35">
      <c r="B825" s="1214"/>
      <c r="C825" s="1211"/>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64"/>
      <c r="AM825" s="664"/>
      <c r="AN825" s="656" t="s">
        <v>743</v>
      </c>
      <c r="AO825" s="664"/>
      <c r="AP825" s="664"/>
      <c r="AQ825" s="664"/>
      <c r="AR825" s="656" t="s">
        <v>743</v>
      </c>
      <c r="AS825" s="664"/>
      <c r="AT825" s="664"/>
      <c r="AU825" s="664"/>
      <c r="AV825" s="664"/>
      <c r="AW825" s="664"/>
      <c r="AX825" s="664"/>
      <c r="AY825" s="664"/>
      <c r="AZ825" s="664"/>
      <c r="BA825" s="665"/>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row>
    <row r="826" spans="2:105" x14ac:dyDescent="0.35">
      <c r="B826" s="1214"/>
      <c r="C826" s="1211"/>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64"/>
      <c r="AM826" s="664"/>
      <c r="AN826" s="656" t="s">
        <v>743</v>
      </c>
      <c r="AO826" s="664"/>
      <c r="AP826" s="664"/>
      <c r="AQ826" s="664"/>
      <c r="AR826" s="656" t="s">
        <v>743</v>
      </c>
      <c r="AS826" s="664"/>
      <c r="AT826" s="664"/>
      <c r="AU826" s="664"/>
      <c r="AV826" s="664"/>
      <c r="AW826" s="664"/>
      <c r="AX826" s="664"/>
      <c r="AY826" s="664"/>
      <c r="AZ826" s="664"/>
      <c r="BA826" s="665"/>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row>
    <row r="827" spans="2:105" x14ac:dyDescent="0.35">
      <c r="B827" s="1214"/>
      <c r="C827" s="1211"/>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64"/>
      <c r="AM827" s="664"/>
      <c r="AN827" s="656" t="s">
        <v>743</v>
      </c>
      <c r="AO827" s="664"/>
      <c r="AP827" s="664"/>
      <c r="AQ827" s="664"/>
      <c r="AR827" s="656" t="s">
        <v>743</v>
      </c>
      <c r="AS827" s="664"/>
      <c r="AT827" s="664"/>
      <c r="AU827" s="664"/>
      <c r="AV827" s="664"/>
      <c r="AW827" s="664"/>
      <c r="AX827" s="664"/>
      <c r="AY827" s="664"/>
      <c r="AZ827" s="664"/>
      <c r="BA827" s="665"/>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row>
    <row r="828" spans="2:105" x14ac:dyDescent="0.35">
      <c r="B828" s="1214"/>
      <c r="C828" s="1211"/>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64"/>
      <c r="AM828" s="664"/>
      <c r="AN828" s="656" t="s">
        <v>743</v>
      </c>
      <c r="AO828" s="664"/>
      <c r="AP828" s="664"/>
      <c r="AQ828" s="664"/>
      <c r="AR828" s="656" t="s">
        <v>743</v>
      </c>
      <c r="AS828" s="664"/>
      <c r="AT828" s="664"/>
      <c r="AU828" s="664"/>
      <c r="AV828" s="664"/>
      <c r="AW828" s="664"/>
      <c r="AX828" s="664"/>
      <c r="AY828" s="664"/>
      <c r="AZ828" s="664"/>
      <c r="BA828" s="665"/>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row>
    <row r="829" spans="2:105" x14ac:dyDescent="0.35">
      <c r="B829" s="1214"/>
      <c r="C829" s="1211"/>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64"/>
      <c r="AM829" s="664"/>
      <c r="AN829" s="656" t="s">
        <v>743</v>
      </c>
      <c r="AO829" s="664"/>
      <c r="AP829" s="664"/>
      <c r="AQ829" s="664"/>
      <c r="AR829" s="656" t="s">
        <v>743</v>
      </c>
      <c r="AS829" s="664"/>
      <c r="AT829" s="664"/>
      <c r="AU829" s="664"/>
      <c r="AV829" s="664"/>
      <c r="AW829" s="664"/>
      <c r="AX829" s="664"/>
      <c r="AY829" s="664"/>
      <c r="AZ829" s="664"/>
      <c r="BA829" s="665"/>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row>
    <row r="830" spans="2:105" x14ac:dyDescent="0.35">
      <c r="B830" s="1214"/>
      <c r="C830" s="1211"/>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64"/>
      <c r="AM830" s="664"/>
      <c r="AN830" s="656" t="s">
        <v>743</v>
      </c>
      <c r="AO830" s="664"/>
      <c r="AP830" s="664"/>
      <c r="AQ830" s="664"/>
      <c r="AR830" s="656" t="s">
        <v>743</v>
      </c>
      <c r="AS830" s="664"/>
      <c r="AT830" s="664"/>
      <c r="AU830" s="664"/>
      <c r="AV830" s="664"/>
      <c r="AW830" s="664"/>
      <c r="AX830" s="664"/>
      <c r="AY830" s="664"/>
      <c r="AZ830" s="664"/>
      <c r="BA830" s="665"/>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row>
    <row r="831" spans="2:105" x14ac:dyDescent="0.35">
      <c r="B831" s="1214"/>
      <c r="C831" s="1211"/>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64"/>
      <c r="AM831" s="664"/>
      <c r="AN831" s="656" t="s">
        <v>743</v>
      </c>
      <c r="AO831" s="664"/>
      <c r="AP831" s="664"/>
      <c r="AQ831" s="664"/>
      <c r="AR831" s="656" t="s">
        <v>743</v>
      </c>
      <c r="AS831" s="664"/>
      <c r="AT831" s="664"/>
      <c r="AU831" s="664"/>
      <c r="AV831" s="664"/>
      <c r="AW831" s="664"/>
      <c r="AX831" s="664"/>
      <c r="AY831" s="664"/>
      <c r="AZ831" s="664"/>
      <c r="BA831" s="665"/>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row>
    <row r="832" spans="2:105" ht="15" thickBot="1" x14ac:dyDescent="0.4">
      <c r="B832" s="1215"/>
      <c r="C832" s="1212"/>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6"/>
      <c r="AM832" s="666"/>
      <c r="AN832" s="660" t="s">
        <v>743</v>
      </c>
      <c r="AO832" s="666"/>
      <c r="AP832" s="666"/>
      <c r="AQ832" s="666"/>
      <c r="AR832" s="660" t="s">
        <v>743</v>
      </c>
      <c r="AS832" s="666"/>
      <c r="AT832" s="666"/>
      <c r="AU832" s="666"/>
      <c r="AV832" s="666"/>
      <c r="AW832" s="666"/>
      <c r="AX832" s="666"/>
      <c r="AY832" s="666"/>
      <c r="AZ832" s="666"/>
      <c r="BA832" s="667"/>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row>
    <row r="833" spans="2:105" ht="15" thickBot="1" x14ac:dyDescent="0.4">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5"/>
      <c r="AM833" s="675"/>
      <c r="AN833" s="674"/>
      <c r="AO833" s="675"/>
      <c r="AP833" s="675"/>
      <c r="AQ833" s="675"/>
      <c r="AR833" s="674"/>
      <c r="AS833" s="675"/>
      <c r="AT833" s="675"/>
      <c r="AU833" s="675"/>
      <c r="AV833" s="675"/>
      <c r="AW833" s="675"/>
      <c r="AX833" s="675"/>
      <c r="AY833" s="675"/>
      <c r="AZ833" s="675"/>
      <c r="BA833" s="676"/>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row>
    <row r="834" spans="2:105" ht="15" thickBot="1" x14ac:dyDescent="0.4">
      <c r="B834" s="577" t="s">
        <v>1224</v>
      </c>
      <c r="C834" s="1210"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8"/>
      <c r="AM834" s="628"/>
      <c r="AN834" s="626"/>
      <c r="AO834" s="628"/>
      <c r="AP834" s="628"/>
      <c r="AQ834" s="628"/>
      <c r="AR834" s="626"/>
      <c r="AS834" s="628"/>
      <c r="AT834" s="628"/>
      <c r="AU834" s="628"/>
      <c r="AV834" s="628"/>
      <c r="AW834" s="628"/>
      <c r="AX834" s="628"/>
      <c r="AY834" s="628"/>
      <c r="AZ834" s="628"/>
      <c r="BA834" s="629"/>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row>
    <row r="835" spans="2:105" x14ac:dyDescent="0.35">
      <c r="B835" s="1213" t="s">
        <v>1225</v>
      </c>
      <c r="C835" s="1211"/>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62"/>
      <c r="AM835" s="662"/>
      <c r="AN835" s="631"/>
      <c r="AO835" s="662"/>
      <c r="AP835" s="662"/>
      <c r="AQ835" s="662"/>
      <c r="AR835" s="631"/>
      <c r="AS835" s="662"/>
      <c r="AT835" s="662"/>
      <c r="AU835" s="662"/>
      <c r="AV835" s="662"/>
      <c r="AW835" s="662"/>
      <c r="AX835" s="662"/>
      <c r="AY835" s="662"/>
      <c r="AZ835" s="662"/>
      <c r="BA835" s="663"/>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row>
    <row r="836" spans="2:105" x14ac:dyDescent="0.35">
      <c r="B836" s="1214"/>
      <c r="C836" s="1211"/>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64"/>
      <c r="AM836" s="664"/>
      <c r="AN836" s="636"/>
      <c r="AO836" s="664"/>
      <c r="AP836" s="664"/>
      <c r="AQ836" s="664"/>
      <c r="AR836" s="636"/>
      <c r="AS836" s="664"/>
      <c r="AT836" s="664"/>
      <c r="AU836" s="664"/>
      <c r="AV836" s="664"/>
      <c r="AW836" s="664"/>
      <c r="AX836" s="664"/>
      <c r="AY836" s="664"/>
      <c r="AZ836" s="664"/>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row>
    <row r="837" spans="2:105" x14ac:dyDescent="0.35">
      <c r="B837" s="1214"/>
      <c r="C837" s="1211"/>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64"/>
      <c r="AM837" s="664"/>
      <c r="AN837" s="636"/>
      <c r="AO837" s="664"/>
      <c r="AP837" s="664"/>
      <c r="AQ837" s="664"/>
      <c r="AR837" s="636"/>
      <c r="AS837" s="664"/>
      <c r="AT837" s="664"/>
      <c r="AU837" s="664"/>
      <c r="AV837" s="664"/>
      <c r="AW837" s="664"/>
      <c r="AX837" s="664"/>
      <c r="AY837" s="664"/>
      <c r="AZ837" s="664"/>
      <c r="BA837" s="665"/>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row>
    <row r="838" spans="2:105" x14ac:dyDescent="0.35">
      <c r="B838" s="1214"/>
      <c r="C838" s="1211"/>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64"/>
      <c r="AM838" s="664"/>
      <c r="AN838" s="636"/>
      <c r="AO838" s="664"/>
      <c r="AP838" s="664"/>
      <c r="AQ838" s="664"/>
      <c r="AR838" s="636"/>
      <c r="AS838" s="664"/>
      <c r="AT838" s="664"/>
      <c r="AU838" s="664"/>
      <c r="AV838" s="664"/>
      <c r="AW838" s="664"/>
      <c r="AX838" s="664"/>
      <c r="AY838" s="664"/>
      <c r="AZ838" s="664"/>
      <c r="BA838" s="665"/>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row>
    <row r="839" spans="2:105" x14ac:dyDescent="0.35">
      <c r="B839" s="1214"/>
      <c r="C839" s="1211"/>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64"/>
      <c r="AM839" s="664"/>
      <c r="AN839" s="636"/>
      <c r="AO839" s="664"/>
      <c r="AP839" s="664"/>
      <c r="AQ839" s="664"/>
      <c r="AR839" s="636"/>
      <c r="AS839" s="664"/>
      <c r="AT839" s="664"/>
      <c r="AU839" s="664"/>
      <c r="AV839" s="664"/>
      <c r="AW839" s="664"/>
      <c r="AX839" s="664"/>
      <c r="AY839" s="664"/>
      <c r="AZ839" s="664"/>
      <c r="BA839" s="665"/>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row>
    <row r="840" spans="2:105" x14ac:dyDescent="0.35">
      <c r="B840" s="1214"/>
      <c r="C840" s="1211"/>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64"/>
      <c r="AM840" s="664"/>
      <c r="AN840" s="636"/>
      <c r="AO840" s="664"/>
      <c r="AP840" s="664"/>
      <c r="AQ840" s="664"/>
      <c r="AR840" s="636"/>
      <c r="AS840" s="664"/>
      <c r="AT840" s="664"/>
      <c r="AU840" s="664"/>
      <c r="AV840" s="664"/>
      <c r="AW840" s="664"/>
      <c r="AX840" s="664"/>
      <c r="AY840" s="664"/>
      <c r="AZ840" s="664"/>
      <c r="BA840" s="665"/>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row>
    <row r="841" spans="2:105" x14ac:dyDescent="0.35">
      <c r="B841" s="1214"/>
      <c r="C841" s="1211"/>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64"/>
      <c r="AM841" s="664"/>
      <c r="AN841" s="636"/>
      <c r="AO841" s="664"/>
      <c r="AP841" s="664"/>
      <c r="AQ841" s="664"/>
      <c r="AR841" s="636"/>
      <c r="AS841" s="664"/>
      <c r="AT841" s="664"/>
      <c r="AU841" s="664"/>
      <c r="AV841" s="664"/>
      <c r="AW841" s="664"/>
      <c r="AX841" s="664"/>
      <c r="AY841" s="664"/>
      <c r="AZ841" s="664"/>
      <c r="BA841" s="665"/>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row>
    <row r="842" spans="2:105" x14ac:dyDescent="0.35">
      <c r="B842" s="1214"/>
      <c r="C842" s="1211"/>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64"/>
      <c r="AM842" s="664"/>
      <c r="AN842" s="636"/>
      <c r="AO842" s="664"/>
      <c r="AP842" s="664"/>
      <c r="AQ842" s="664"/>
      <c r="AR842" s="636"/>
      <c r="AS842" s="664"/>
      <c r="AT842" s="664"/>
      <c r="AU842" s="664"/>
      <c r="AV842" s="664"/>
      <c r="AW842" s="664"/>
      <c r="AX842" s="664"/>
      <c r="AY842" s="664"/>
      <c r="AZ842" s="664"/>
      <c r="BA842" s="665"/>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row>
    <row r="843" spans="2:105" x14ac:dyDescent="0.35">
      <c r="B843" s="1214"/>
      <c r="C843" s="1211"/>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64"/>
      <c r="AM843" s="664"/>
      <c r="AN843" s="636"/>
      <c r="AO843" s="664"/>
      <c r="AP843" s="664"/>
      <c r="AQ843" s="664"/>
      <c r="AR843" s="636"/>
      <c r="AS843" s="664"/>
      <c r="AT843" s="664"/>
      <c r="AU843" s="664"/>
      <c r="AV843" s="664"/>
      <c r="AW843" s="664"/>
      <c r="AX843" s="664"/>
      <c r="AY843" s="664"/>
      <c r="AZ843" s="664"/>
      <c r="BA843" s="665"/>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row>
    <row r="844" spans="2:105" x14ac:dyDescent="0.35">
      <c r="B844" s="1214"/>
      <c r="C844" s="1211"/>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64"/>
      <c r="AM844" s="664"/>
      <c r="AN844" s="636"/>
      <c r="AO844" s="664"/>
      <c r="AP844" s="664"/>
      <c r="AQ844" s="664"/>
      <c r="AR844" s="636"/>
      <c r="AS844" s="664"/>
      <c r="AT844" s="664"/>
      <c r="AU844" s="664"/>
      <c r="AV844" s="664"/>
      <c r="AW844" s="664"/>
      <c r="AX844" s="664"/>
      <c r="AY844" s="664"/>
      <c r="AZ844" s="664"/>
      <c r="BA844" s="665"/>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row>
    <row r="845" spans="2:105" x14ac:dyDescent="0.35">
      <c r="B845" s="1214"/>
      <c r="C845" s="1211"/>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64"/>
      <c r="AM845" s="664"/>
      <c r="AN845" s="636"/>
      <c r="AO845" s="664"/>
      <c r="AP845" s="664"/>
      <c r="AQ845" s="664"/>
      <c r="AR845" s="636"/>
      <c r="AS845" s="664"/>
      <c r="AT845" s="664"/>
      <c r="AU845" s="664"/>
      <c r="AV845" s="664"/>
      <c r="AW845" s="664"/>
      <c r="AX845" s="664"/>
      <c r="AY845" s="664"/>
      <c r="AZ845" s="664"/>
      <c r="BA845" s="665"/>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row>
    <row r="846" spans="2:105" x14ac:dyDescent="0.35">
      <c r="B846" s="1214"/>
      <c r="C846" s="1211"/>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64"/>
      <c r="AM846" s="664"/>
      <c r="AN846" s="636"/>
      <c r="AO846" s="664"/>
      <c r="AP846" s="664"/>
      <c r="AQ846" s="664"/>
      <c r="AR846" s="636"/>
      <c r="AS846" s="664"/>
      <c r="AT846" s="664"/>
      <c r="AU846" s="664"/>
      <c r="AV846" s="664"/>
      <c r="AW846" s="664"/>
      <c r="AX846" s="664"/>
      <c r="AY846" s="664"/>
      <c r="AZ846" s="664"/>
      <c r="BA846" s="665"/>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row>
    <row r="847" spans="2:105" x14ac:dyDescent="0.35">
      <c r="B847" s="1214"/>
      <c r="C847" s="1211"/>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64"/>
      <c r="AM847" s="664"/>
      <c r="AN847" s="636"/>
      <c r="AO847" s="664"/>
      <c r="AP847" s="664"/>
      <c r="AQ847" s="664"/>
      <c r="AR847" s="636"/>
      <c r="AS847" s="664"/>
      <c r="AT847" s="664"/>
      <c r="AU847" s="664"/>
      <c r="AV847" s="664"/>
      <c r="AW847" s="664"/>
      <c r="AX847" s="664"/>
      <c r="AY847" s="664"/>
      <c r="AZ847" s="664"/>
      <c r="BA847" s="665"/>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row>
    <row r="848" spans="2:105" x14ac:dyDescent="0.35">
      <c r="B848" s="1214"/>
      <c r="C848" s="1211"/>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64"/>
      <c r="AM848" s="664"/>
      <c r="AN848" s="636"/>
      <c r="AO848" s="664"/>
      <c r="AP848" s="664"/>
      <c r="AQ848" s="664"/>
      <c r="AR848" s="636"/>
      <c r="AS848" s="664"/>
      <c r="AT848" s="664"/>
      <c r="AU848" s="664"/>
      <c r="AV848" s="664"/>
      <c r="AW848" s="664"/>
      <c r="AX848" s="664"/>
      <c r="AY848" s="664"/>
      <c r="AZ848" s="664"/>
      <c r="BA848" s="665"/>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row>
    <row r="849" spans="2:105" x14ac:dyDescent="0.35">
      <c r="B849" s="1214"/>
      <c r="C849" s="1211"/>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64"/>
      <c r="AM849" s="664"/>
      <c r="AN849" s="636"/>
      <c r="AO849" s="664"/>
      <c r="AP849" s="664"/>
      <c r="AQ849" s="664"/>
      <c r="AR849" s="636"/>
      <c r="AS849" s="664"/>
      <c r="AT849" s="664"/>
      <c r="AU849" s="664"/>
      <c r="AV849" s="664"/>
      <c r="AW849" s="664"/>
      <c r="AX849" s="664"/>
      <c r="AY849" s="664"/>
      <c r="AZ849" s="664"/>
      <c r="BA849" s="665"/>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row>
    <row r="850" spans="2:105" ht="15" thickBot="1" x14ac:dyDescent="0.4">
      <c r="B850" s="1215"/>
      <c r="C850" s="1212"/>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66"/>
      <c r="AM850" s="666"/>
      <c r="AN850" s="641"/>
      <c r="AO850" s="666"/>
      <c r="AP850" s="666"/>
      <c r="AQ850" s="666"/>
      <c r="AR850" s="641"/>
      <c r="AS850" s="666"/>
      <c r="AT850" s="666"/>
      <c r="AU850" s="666"/>
      <c r="AV850" s="666"/>
      <c r="AW850" s="666"/>
      <c r="AX850" s="666"/>
      <c r="AY850" s="666"/>
      <c r="AZ850" s="666"/>
      <c r="BA850" s="667"/>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row>
    <row r="851" spans="2:105" ht="15" thickBot="1" x14ac:dyDescent="0.4">
      <c r="B851" s="577" t="s">
        <v>1226</v>
      </c>
      <c r="C851" s="1210"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68"/>
      <c r="AM851" s="668"/>
      <c r="AN851" s="646"/>
      <c r="AO851" s="668"/>
      <c r="AP851" s="668"/>
      <c r="AQ851" s="668"/>
      <c r="AR851" s="646"/>
      <c r="AS851" s="668"/>
      <c r="AT851" s="668"/>
      <c r="AU851" s="668"/>
      <c r="AV851" s="668"/>
      <c r="AW851" s="668"/>
      <c r="AX851" s="668"/>
      <c r="AY851" s="668"/>
      <c r="AZ851" s="668"/>
      <c r="BA851" s="669"/>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row>
    <row r="852" spans="2:105" x14ac:dyDescent="0.35">
      <c r="B852" s="1213" t="s">
        <v>1227</v>
      </c>
      <c r="C852" s="1211"/>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71"/>
      <c r="AM852" s="671"/>
      <c r="AN852" s="651"/>
      <c r="AO852" s="671"/>
      <c r="AP852" s="671"/>
      <c r="AQ852" s="671"/>
      <c r="AR852" s="651"/>
      <c r="AS852" s="671"/>
      <c r="AT852" s="671"/>
      <c r="AU852" s="671"/>
      <c r="AV852" s="671"/>
      <c r="AW852" s="671"/>
      <c r="AX852" s="671"/>
      <c r="AY852" s="671"/>
      <c r="AZ852" s="671"/>
      <c r="BA852" s="672"/>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row>
    <row r="853" spans="2:105" x14ac:dyDescent="0.35">
      <c r="B853" s="1214"/>
      <c r="C853" s="1211"/>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64"/>
      <c r="AM853" s="664"/>
      <c r="AN853" s="656"/>
      <c r="AO853" s="664"/>
      <c r="AP853" s="664"/>
      <c r="AQ853" s="664"/>
      <c r="AR853" s="656"/>
      <c r="AS853" s="664"/>
      <c r="AT853" s="664"/>
      <c r="AU853" s="664"/>
      <c r="AV853" s="664"/>
      <c r="AW853" s="664"/>
      <c r="AX853" s="664"/>
      <c r="AY853" s="664"/>
      <c r="AZ853" s="664"/>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row>
    <row r="854" spans="2:105" x14ac:dyDescent="0.35">
      <c r="B854" s="1214"/>
      <c r="C854" s="1211"/>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64"/>
      <c r="AM854" s="664"/>
      <c r="AN854" s="656"/>
      <c r="AO854" s="664"/>
      <c r="AP854" s="664"/>
      <c r="AQ854" s="664"/>
      <c r="AR854" s="656"/>
      <c r="AS854" s="664"/>
      <c r="AT854" s="664"/>
      <c r="AU854" s="664"/>
      <c r="AV854" s="664"/>
      <c r="AW854" s="664"/>
      <c r="AX854" s="664"/>
      <c r="AY854" s="664"/>
      <c r="AZ854" s="664"/>
      <c r="BA854" s="665"/>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row>
    <row r="855" spans="2:105" x14ac:dyDescent="0.35">
      <c r="B855" s="1214"/>
      <c r="C855" s="1211"/>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64"/>
      <c r="AM855" s="664"/>
      <c r="AN855" s="656"/>
      <c r="AO855" s="664"/>
      <c r="AP855" s="664"/>
      <c r="AQ855" s="664"/>
      <c r="AR855" s="656"/>
      <c r="AS855" s="664"/>
      <c r="AT855" s="664"/>
      <c r="AU855" s="664"/>
      <c r="AV855" s="664"/>
      <c r="AW855" s="664"/>
      <c r="AX855" s="664"/>
      <c r="AY855" s="664"/>
      <c r="AZ855" s="664"/>
      <c r="BA855" s="665"/>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row>
    <row r="856" spans="2:105" x14ac:dyDescent="0.35">
      <c r="B856" s="1214"/>
      <c r="C856" s="1211"/>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64"/>
      <c r="AM856" s="664"/>
      <c r="AN856" s="656"/>
      <c r="AO856" s="664"/>
      <c r="AP856" s="664"/>
      <c r="AQ856" s="664"/>
      <c r="AR856" s="656"/>
      <c r="AS856" s="664"/>
      <c r="AT856" s="664"/>
      <c r="AU856" s="664"/>
      <c r="AV856" s="664"/>
      <c r="AW856" s="664"/>
      <c r="AX856" s="664"/>
      <c r="AY856" s="664"/>
      <c r="AZ856" s="664"/>
      <c r="BA856" s="665"/>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row>
    <row r="857" spans="2:105" x14ac:dyDescent="0.35">
      <c r="B857" s="1214"/>
      <c r="C857" s="1211"/>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64"/>
      <c r="AM857" s="664"/>
      <c r="AN857" s="656"/>
      <c r="AO857" s="664"/>
      <c r="AP857" s="664"/>
      <c r="AQ857" s="664"/>
      <c r="AR857" s="656"/>
      <c r="AS857" s="664"/>
      <c r="AT857" s="664"/>
      <c r="AU857" s="664"/>
      <c r="AV857" s="664"/>
      <c r="AW857" s="664"/>
      <c r="AX857" s="664"/>
      <c r="AY857" s="664"/>
      <c r="AZ857" s="664"/>
      <c r="BA857" s="665"/>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row>
    <row r="858" spans="2:105" x14ac:dyDescent="0.35">
      <c r="B858" s="1214"/>
      <c r="C858" s="1211"/>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64"/>
      <c r="AM858" s="664"/>
      <c r="AN858" s="657"/>
      <c r="AO858" s="664"/>
      <c r="AP858" s="664"/>
      <c r="AQ858" s="664"/>
      <c r="AR858" s="657"/>
      <c r="AS858" s="664"/>
      <c r="AT858" s="664"/>
      <c r="AU858" s="664"/>
      <c r="AV858" s="664"/>
      <c r="AW858" s="664"/>
      <c r="AX858" s="664"/>
      <c r="AY858" s="664"/>
      <c r="AZ858" s="664"/>
      <c r="BA858" s="665"/>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row>
    <row r="859" spans="2:105" x14ac:dyDescent="0.35">
      <c r="B859" s="1214"/>
      <c r="C859" s="1211"/>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64"/>
      <c r="AM859" s="664"/>
      <c r="AN859" s="656"/>
      <c r="AO859" s="664"/>
      <c r="AP859" s="664"/>
      <c r="AQ859" s="664"/>
      <c r="AR859" s="656"/>
      <c r="AS859" s="664"/>
      <c r="AT859" s="664"/>
      <c r="AU859" s="664"/>
      <c r="AV859" s="664"/>
      <c r="AW859" s="664"/>
      <c r="AX859" s="664"/>
      <c r="AY859" s="664"/>
      <c r="AZ859" s="664"/>
      <c r="BA859" s="665"/>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row>
    <row r="860" spans="2:105" x14ac:dyDescent="0.35">
      <c r="B860" s="1214"/>
      <c r="C860" s="1211"/>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64"/>
      <c r="AM860" s="664"/>
      <c r="AN860" s="656"/>
      <c r="AO860" s="664"/>
      <c r="AP860" s="664"/>
      <c r="AQ860" s="664"/>
      <c r="AR860" s="656"/>
      <c r="AS860" s="664"/>
      <c r="AT860" s="664"/>
      <c r="AU860" s="664"/>
      <c r="AV860" s="664"/>
      <c r="AW860" s="664"/>
      <c r="AX860" s="664"/>
      <c r="AY860" s="664"/>
      <c r="AZ860" s="664"/>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row>
    <row r="861" spans="2:105" x14ac:dyDescent="0.35">
      <c r="B861" s="1214"/>
      <c r="C861" s="1211"/>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64"/>
      <c r="AM861" s="664"/>
      <c r="AN861" s="658"/>
      <c r="AO861" s="664"/>
      <c r="AP861" s="664"/>
      <c r="AQ861" s="664"/>
      <c r="AR861" s="658"/>
      <c r="AS861" s="664"/>
      <c r="AT861" s="664"/>
      <c r="AU861" s="664"/>
      <c r="AV861" s="664"/>
      <c r="AW861" s="664"/>
      <c r="AX861" s="664"/>
      <c r="AY861" s="664"/>
      <c r="AZ861" s="664"/>
      <c r="BA861" s="665"/>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row>
    <row r="862" spans="2:105" x14ac:dyDescent="0.35">
      <c r="B862" s="1214"/>
      <c r="C862" s="1211"/>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64"/>
      <c r="AM862" s="664"/>
      <c r="AN862" s="656"/>
      <c r="AO862" s="664"/>
      <c r="AP862" s="664"/>
      <c r="AQ862" s="664"/>
      <c r="AR862" s="656"/>
      <c r="AS862" s="664"/>
      <c r="AT862" s="664"/>
      <c r="AU862" s="664"/>
      <c r="AV862" s="664"/>
      <c r="AW862" s="664"/>
      <c r="AX862" s="664"/>
      <c r="AY862" s="664"/>
      <c r="AZ862" s="664"/>
      <c r="BA862" s="665"/>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row>
    <row r="863" spans="2:105" x14ac:dyDescent="0.35">
      <c r="B863" s="1214"/>
      <c r="C863" s="1211"/>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64"/>
      <c r="AM863" s="664"/>
      <c r="AN863" s="656"/>
      <c r="AO863" s="664"/>
      <c r="AP863" s="664"/>
      <c r="AQ863" s="664"/>
      <c r="AR863" s="656"/>
      <c r="AS863" s="664"/>
      <c r="AT863" s="664"/>
      <c r="AU863" s="664"/>
      <c r="AV863" s="664"/>
      <c r="AW863" s="664"/>
      <c r="AX863" s="664"/>
      <c r="AY863" s="664"/>
      <c r="AZ863" s="664"/>
      <c r="BA863" s="665"/>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row>
    <row r="864" spans="2:105" x14ac:dyDescent="0.35">
      <c r="B864" s="1214"/>
      <c r="C864" s="1211"/>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64"/>
      <c r="AM864" s="664"/>
      <c r="AN864" s="656"/>
      <c r="AO864" s="664"/>
      <c r="AP864" s="664"/>
      <c r="AQ864" s="664"/>
      <c r="AR864" s="656"/>
      <c r="AS864" s="664"/>
      <c r="AT864" s="664"/>
      <c r="AU864" s="664"/>
      <c r="AV864" s="664"/>
      <c r="AW864" s="664"/>
      <c r="AX864" s="664"/>
      <c r="AY864" s="664"/>
      <c r="AZ864" s="664"/>
      <c r="BA864" s="665"/>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row>
    <row r="865" spans="2:105" x14ac:dyDescent="0.35">
      <c r="B865" s="1214"/>
      <c r="C865" s="1211"/>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64"/>
      <c r="AM865" s="664"/>
      <c r="AN865" s="656"/>
      <c r="AO865" s="664"/>
      <c r="AP865" s="664"/>
      <c r="AQ865" s="664"/>
      <c r="AR865" s="656"/>
      <c r="AS865" s="664"/>
      <c r="AT865" s="664"/>
      <c r="AU865" s="664"/>
      <c r="AV865" s="664"/>
      <c r="AW865" s="664"/>
      <c r="AX865" s="664"/>
      <c r="AY865" s="664"/>
      <c r="AZ865" s="664"/>
      <c r="BA865" s="665"/>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row>
    <row r="866" spans="2:105" x14ac:dyDescent="0.35">
      <c r="B866" s="1214"/>
      <c r="C866" s="1211"/>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64"/>
      <c r="AM866" s="664"/>
      <c r="AN866" s="656"/>
      <c r="AO866" s="664"/>
      <c r="AP866" s="664"/>
      <c r="AQ866" s="664"/>
      <c r="AR866" s="656"/>
      <c r="AS866" s="664"/>
      <c r="AT866" s="664"/>
      <c r="AU866" s="664"/>
      <c r="AV866" s="664"/>
      <c r="AW866" s="664"/>
      <c r="AX866" s="664"/>
      <c r="AY866" s="664"/>
      <c r="AZ866" s="664"/>
      <c r="BA866" s="665"/>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row>
    <row r="867" spans="2:105" ht="15" thickBot="1" x14ac:dyDescent="0.4">
      <c r="B867" s="1215"/>
      <c r="C867" s="1212"/>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6"/>
      <c r="AM867" s="666"/>
      <c r="AN867" s="660"/>
      <c r="AO867" s="666"/>
      <c r="AP867" s="666"/>
      <c r="AQ867" s="666"/>
      <c r="AR867" s="660"/>
      <c r="AS867" s="666"/>
      <c r="AT867" s="666"/>
      <c r="AU867" s="666"/>
      <c r="AV867" s="666"/>
      <c r="AW867" s="666"/>
      <c r="AX867" s="666"/>
      <c r="AY867" s="666"/>
      <c r="AZ867" s="666"/>
      <c r="BA867" s="667"/>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row>
    <row r="868" spans="2:105" ht="15" thickBot="1" x14ac:dyDescent="0.4">
      <c r="B868" s="577" t="s">
        <v>1228</v>
      </c>
      <c r="C868" s="1210"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68"/>
      <c r="AM868" s="668"/>
      <c r="AN868" s="650"/>
      <c r="AO868" s="668"/>
      <c r="AP868" s="668"/>
      <c r="AQ868" s="668"/>
      <c r="AR868" s="650"/>
      <c r="AS868" s="668"/>
      <c r="AT868" s="668"/>
      <c r="AU868" s="668"/>
      <c r="AV868" s="668"/>
      <c r="AW868" s="668"/>
      <c r="AX868" s="668"/>
      <c r="AY868" s="668"/>
      <c r="AZ868" s="668"/>
      <c r="BA868" s="669"/>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row>
    <row r="869" spans="2:105" x14ac:dyDescent="0.35">
      <c r="B869" s="1213" t="s">
        <v>1229</v>
      </c>
      <c r="C869" s="1211"/>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71"/>
      <c r="AM869" s="671"/>
      <c r="AN869" s="651"/>
      <c r="AO869" s="671"/>
      <c r="AP869" s="671"/>
      <c r="AQ869" s="671"/>
      <c r="AR869" s="651"/>
      <c r="AS869" s="671"/>
      <c r="AT869" s="671"/>
      <c r="AU869" s="671"/>
      <c r="AV869" s="671"/>
      <c r="AW869" s="671"/>
      <c r="AX869" s="671"/>
      <c r="AY869" s="671"/>
      <c r="AZ869" s="671"/>
      <c r="BA869" s="672"/>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row>
    <row r="870" spans="2:105" x14ac:dyDescent="0.35">
      <c r="B870" s="1214"/>
      <c r="C870" s="1211"/>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64"/>
      <c r="AM870" s="664"/>
      <c r="AN870" s="656"/>
      <c r="AO870" s="664"/>
      <c r="AP870" s="664"/>
      <c r="AQ870" s="664"/>
      <c r="AR870" s="656"/>
      <c r="AS870" s="664"/>
      <c r="AT870" s="664"/>
      <c r="AU870" s="664"/>
      <c r="AV870" s="664"/>
      <c r="AW870" s="664"/>
      <c r="AX870" s="664"/>
      <c r="AY870" s="664"/>
      <c r="AZ870" s="664"/>
      <c r="BA870" s="665"/>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row>
    <row r="871" spans="2:105" x14ac:dyDescent="0.35">
      <c r="B871" s="1214"/>
      <c r="C871" s="1211"/>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64"/>
      <c r="AM871" s="664"/>
      <c r="AN871" s="656"/>
      <c r="AO871" s="664"/>
      <c r="AP871" s="664"/>
      <c r="AQ871" s="664"/>
      <c r="AR871" s="656"/>
      <c r="AS871" s="664"/>
      <c r="AT871" s="664"/>
      <c r="AU871" s="664"/>
      <c r="AV871" s="664"/>
      <c r="AW871" s="664"/>
      <c r="AX871" s="664"/>
      <c r="AY871" s="664"/>
      <c r="AZ871" s="664"/>
      <c r="BA871" s="665"/>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row>
    <row r="872" spans="2:105" x14ac:dyDescent="0.35">
      <c r="B872" s="1214"/>
      <c r="C872" s="1211"/>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64"/>
      <c r="AM872" s="664"/>
      <c r="AN872" s="656"/>
      <c r="AO872" s="664"/>
      <c r="AP872" s="664"/>
      <c r="AQ872" s="664"/>
      <c r="AR872" s="656"/>
      <c r="AS872" s="664"/>
      <c r="AT872" s="664"/>
      <c r="AU872" s="664"/>
      <c r="AV872" s="664"/>
      <c r="AW872" s="664"/>
      <c r="AX872" s="664"/>
      <c r="AY872" s="664"/>
      <c r="AZ872" s="664"/>
      <c r="BA872" s="665"/>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row>
    <row r="873" spans="2:105" x14ac:dyDescent="0.35">
      <c r="B873" s="1214"/>
      <c r="C873" s="1211"/>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64"/>
      <c r="AM873" s="664"/>
      <c r="AN873" s="656"/>
      <c r="AO873" s="664"/>
      <c r="AP873" s="664"/>
      <c r="AQ873" s="664"/>
      <c r="AR873" s="656"/>
      <c r="AS873" s="664"/>
      <c r="AT873" s="664"/>
      <c r="AU873" s="664"/>
      <c r="AV873" s="664"/>
      <c r="AW873" s="664"/>
      <c r="AX873" s="664"/>
      <c r="AY873" s="664"/>
      <c r="AZ873" s="664"/>
      <c r="BA873" s="665"/>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row>
    <row r="874" spans="2:105" x14ac:dyDescent="0.35">
      <c r="B874" s="1214"/>
      <c r="C874" s="1211"/>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64"/>
      <c r="AM874" s="664"/>
      <c r="AN874" s="656"/>
      <c r="AO874" s="664"/>
      <c r="AP874" s="664"/>
      <c r="AQ874" s="664"/>
      <c r="AR874" s="656"/>
      <c r="AS874" s="664"/>
      <c r="AT874" s="664"/>
      <c r="AU874" s="664"/>
      <c r="AV874" s="664"/>
      <c r="AW874" s="664"/>
      <c r="AX874" s="664"/>
      <c r="AY874" s="664"/>
      <c r="AZ874" s="664"/>
      <c r="BA874" s="665"/>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row>
    <row r="875" spans="2:105" x14ac:dyDescent="0.35">
      <c r="B875" s="1214"/>
      <c r="C875" s="1211"/>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64"/>
      <c r="AM875" s="664"/>
      <c r="AN875" s="656"/>
      <c r="AO875" s="664"/>
      <c r="AP875" s="664"/>
      <c r="AQ875" s="664"/>
      <c r="AR875" s="656"/>
      <c r="AS875" s="664"/>
      <c r="AT875" s="664"/>
      <c r="AU875" s="664"/>
      <c r="AV875" s="664"/>
      <c r="AW875" s="664"/>
      <c r="AX875" s="664"/>
      <c r="AY875" s="664"/>
      <c r="AZ875" s="664"/>
      <c r="BA875" s="665"/>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row>
    <row r="876" spans="2:105" x14ac:dyDescent="0.35">
      <c r="B876" s="1214"/>
      <c r="C876" s="1211"/>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64"/>
      <c r="AM876" s="664"/>
      <c r="AN876" s="656"/>
      <c r="AO876" s="664"/>
      <c r="AP876" s="664"/>
      <c r="AQ876" s="664"/>
      <c r="AR876" s="656"/>
      <c r="AS876" s="664"/>
      <c r="AT876" s="664"/>
      <c r="AU876" s="664"/>
      <c r="AV876" s="664"/>
      <c r="AW876" s="664"/>
      <c r="AX876" s="664"/>
      <c r="AY876" s="664"/>
      <c r="AZ876" s="664"/>
      <c r="BA876" s="665"/>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row>
    <row r="877" spans="2:105" x14ac:dyDescent="0.35">
      <c r="B877" s="1214"/>
      <c r="C877" s="1211"/>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64"/>
      <c r="AM877" s="664"/>
      <c r="AN877" s="656"/>
      <c r="AO877" s="664"/>
      <c r="AP877" s="664"/>
      <c r="AQ877" s="664"/>
      <c r="AR877" s="656"/>
      <c r="AS877" s="664"/>
      <c r="AT877" s="664"/>
      <c r="AU877" s="664"/>
      <c r="AV877" s="664"/>
      <c r="AW877" s="664"/>
      <c r="AX877" s="664"/>
      <c r="AY877" s="664"/>
      <c r="AZ877" s="664"/>
      <c r="BA877" s="665"/>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row>
    <row r="878" spans="2:105" x14ac:dyDescent="0.35">
      <c r="B878" s="1214"/>
      <c r="C878" s="1211"/>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64"/>
      <c r="AM878" s="664"/>
      <c r="AN878" s="656"/>
      <c r="AO878" s="664"/>
      <c r="AP878" s="664"/>
      <c r="AQ878" s="664"/>
      <c r="AR878" s="656"/>
      <c r="AS878" s="664"/>
      <c r="AT878" s="664"/>
      <c r="AU878" s="664"/>
      <c r="AV878" s="664"/>
      <c r="AW878" s="664"/>
      <c r="AX878" s="664"/>
      <c r="AY878" s="664"/>
      <c r="AZ878" s="664"/>
      <c r="BA878" s="665"/>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row>
    <row r="879" spans="2:105" x14ac:dyDescent="0.35">
      <c r="B879" s="1214"/>
      <c r="C879" s="1211"/>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64"/>
      <c r="AM879" s="664"/>
      <c r="AN879" s="656"/>
      <c r="AO879" s="664"/>
      <c r="AP879" s="664"/>
      <c r="AQ879" s="664"/>
      <c r="AR879" s="656"/>
      <c r="AS879" s="664"/>
      <c r="AT879" s="664"/>
      <c r="AU879" s="664"/>
      <c r="AV879" s="664"/>
      <c r="AW879" s="664"/>
      <c r="AX879" s="664"/>
      <c r="AY879" s="664"/>
      <c r="AZ879" s="664"/>
      <c r="BA879" s="665"/>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row>
    <row r="880" spans="2:105" x14ac:dyDescent="0.35">
      <c r="B880" s="1214"/>
      <c r="C880" s="1211"/>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64"/>
      <c r="AM880" s="664"/>
      <c r="AN880" s="656"/>
      <c r="AO880" s="664"/>
      <c r="AP880" s="664"/>
      <c r="AQ880" s="664"/>
      <c r="AR880" s="656"/>
      <c r="AS880" s="664"/>
      <c r="AT880" s="664"/>
      <c r="AU880" s="664"/>
      <c r="AV880" s="664"/>
      <c r="AW880" s="664"/>
      <c r="AX880" s="664"/>
      <c r="AY880" s="664"/>
      <c r="AZ880" s="664"/>
      <c r="BA880" s="665"/>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row>
    <row r="881" spans="2:105" x14ac:dyDescent="0.35">
      <c r="B881" s="1214"/>
      <c r="C881" s="1211"/>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64"/>
      <c r="AM881" s="664"/>
      <c r="AN881" s="656"/>
      <c r="AO881" s="664"/>
      <c r="AP881" s="664"/>
      <c r="AQ881" s="664"/>
      <c r="AR881" s="656"/>
      <c r="AS881" s="664"/>
      <c r="AT881" s="664"/>
      <c r="AU881" s="664"/>
      <c r="AV881" s="664"/>
      <c r="AW881" s="664"/>
      <c r="AX881" s="664"/>
      <c r="AY881" s="664"/>
      <c r="AZ881" s="664"/>
      <c r="BA881" s="665"/>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row>
    <row r="882" spans="2:105" x14ac:dyDescent="0.35">
      <c r="B882" s="1214"/>
      <c r="C882" s="1211"/>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64"/>
      <c r="AM882" s="664"/>
      <c r="AN882" s="656"/>
      <c r="AO882" s="664"/>
      <c r="AP882" s="664"/>
      <c r="AQ882" s="664"/>
      <c r="AR882" s="656"/>
      <c r="AS882" s="664"/>
      <c r="AT882" s="664"/>
      <c r="AU882" s="664"/>
      <c r="AV882" s="664"/>
      <c r="AW882" s="664"/>
      <c r="AX882" s="664"/>
      <c r="AY882" s="664"/>
      <c r="AZ882" s="664"/>
      <c r="BA882" s="665"/>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row>
    <row r="883" spans="2:105" x14ac:dyDescent="0.35">
      <c r="B883" s="1214"/>
      <c r="C883" s="1211"/>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64"/>
      <c r="AM883" s="664"/>
      <c r="AN883" s="656"/>
      <c r="AO883" s="664"/>
      <c r="AP883" s="664"/>
      <c r="AQ883" s="664"/>
      <c r="AR883" s="656"/>
      <c r="AS883" s="664"/>
      <c r="AT883" s="664"/>
      <c r="AU883" s="664"/>
      <c r="AV883" s="664"/>
      <c r="AW883" s="664"/>
      <c r="AX883" s="664"/>
      <c r="AY883" s="664"/>
      <c r="AZ883" s="664"/>
      <c r="BA883" s="665"/>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row>
    <row r="884" spans="2:105" ht="15" thickBot="1" x14ac:dyDescent="0.4">
      <c r="B884" s="1215"/>
      <c r="C884" s="1212"/>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6"/>
      <c r="AM884" s="666"/>
      <c r="AN884" s="660"/>
      <c r="AO884" s="666"/>
      <c r="AP884" s="666"/>
      <c r="AQ884" s="666"/>
      <c r="AR884" s="660"/>
      <c r="AS884" s="666"/>
      <c r="AT884" s="666"/>
      <c r="AU884" s="666"/>
      <c r="AV884" s="666"/>
      <c r="AW884" s="666"/>
      <c r="AX884" s="666"/>
      <c r="AY884" s="666"/>
      <c r="AZ884" s="666"/>
      <c r="BA884" s="667"/>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row>
    <row r="885" spans="2:105" ht="15" thickBot="1" x14ac:dyDescent="0.4">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5"/>
      <c r="AM885" s="675"/>
      <c r="AN885" s="674">
        <v>1</v>
      </c>
      <c r="AO885" s="675"/>
      <c r="AP885" s="675"/>
      <c r="AQ885" s="675"/>
      <c r="AR885" s="674">
        <v>1</v>
      </c>
      <c r="AS885" s="675"/>
      <c r="AT885" s="675"/>
      <c r="AU885" s="675"/>
      <c r="AV885" s="675"/>
      <c r="AW885" s="675"/>
      <c r="AX885" s="675"/>
      <c r="AY885" s="675"/>
      <c r="AZ885" s="675"/>
      <c r="BA885" s="676"/>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row>
    <row r="886" spans="2:105" ht="15" thickBot="1" x14ac:dyDescent="0.4">
      <c r="B886" s="577" t="s">
        <v>1035</v>
      </c>
      <c r="C886" s="1210"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8"/>
      <c r="AM886" s="628"/>
      <c r="AN886" s="626" t="s">
        <v>738</v>
      </c>
      <c r="AO886" s="628"/>
      <c r="AP886" s="628"/>
      <c r="AQ886" s="628"/>
      <c r="AR886" s="626" t="s">
        <v>738</v>
      </c>
      <c r="AS886" s="628"/>
      <c r="AT886" s="628"/>
      <c r="AU886" s="628"/>
      <c r="AV886" s="628"/>
      <c r="AW886" s="628"/>
      <c r="AX886" s="628"/>
      <c r="AY886" s="628"/>
      <c r="AZ886" s="628"/>
      <c r="BA886" s="629"/>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row>
    <row r="887" spans="2:105" x14ac:dyDescent="0.35">
      <c r="B887" s="1213" t="s">
        <v>1036</v>
      </c>
      <c r="C887" s="1211"/>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62"/>
      <c r="AM887" s="662"/>
      <c r="AN887" s="631" t="s">
        <v>738</v>
      </c>
      <c r="AO887" s="662"/>
      <c r="AP887" s="662"/>
      <c r="AQ887" s="662"/>
      <c r="AR887" s="631" t="s">
        <v>738</v>
      </c>
      <c r="AS887" s="662"/>
      <c r="AT887" s="662"/>
      <c r="AU887" s="662"/>
      <c r="AV887" s="662"/>
      <c r="AW887" s="662"/>
      <c r="AX887" s="662"/>
      <c r="AY887" s="662"/>
      <c r="AZ887" s="662"/>
      <c r="BA887" s="663"/>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row>
    <row r="888" spans="2:105" x14ac:dyDescent="0.35">
      <c r="B888" s="1214"/>
      <c r="C888" s="1211"/>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64"/>
      <c r="AM888" s="664"/>
      <c r="AN888" s="636" t="s">
        <v>738</v>
      </c>
      <c r="AO888" s="664"/>
      <c r="AP888" s="664"/>
      <c r="AQ888" s="664"/>
      <c r="AR888" s="636" t="s">
        <v>738</v>
      </c>
      <c r="AS888" s="664"/>
      <c r="AT888" s="664"/>
      <c r="AU888" s="664"/>
      <c r="AV888" s="664"/>
      <c r="AW888" s="664"/>
      <c r="AX888" s="664"/>
      <c r="AY888" s="664"/>
      <c r="AZ888" s="664"/>
      <c r="BA888" s="665"/>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row>
    <row r="889" spans="2:105" x14ac:dyDescent="0.35">
      <c r="B889" s="1214"/>
      <c r="C889" s="1211"/>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64"/>
      <c r="AM889" s="664"/>
      <c r="AN889" s="636" t="s">
        <v>743</v>
      </c>
      <c r="AO889" s="664"/>
      <c r="AP889" s="664"/>
      <c r="AQ889" s="664"/>
      <c r="AR889" s="636" t="s">
        <v>743</v>
      </c>
      <c r="AS889" s="664"/>
      <c r="AT889" s="664"/>
      <c r="AU889" s="664"/>
      <c r="AV889" s="664"/>
      <c r="AW889" s="664"/>
      <c r="AX889" s="664"/>
      <c r="AY889" s="664"/>
      <c r="AZ889" s="664"/>
      <c r="BA889" s="665"/>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row>
    <row r="890" spans="2:105" x14ac:dyDescent="0.35">
      <c r="B890" s="1214"/>
      <c r="C890" s="1211"/>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64"/>
      <c r="AM890" s="664"/>
      <c r="AN890" s="636" t="s">
        <v>738</v>
      </c>
      <c r="AO890" s="664"/>
      <c r="AP890" s="664"/>
      <c r="AQ890" s="664"/>
      <c r="AR890" s="636" t="s">
        <v>738</v>
      </c>
      <c r="AS890" s="664"/>
      <c r="AT890" s="664"/>
      <c r="AU890" s="664"/>
      <c r="AV890" s="664"/>
      <c r="AW890" s="664"/>
      <c r="AX890" s="664"/>
      <c r="AY890" s="664"/>
      <c r="AZ890" s="664"/>
      <c r="BA890" s="665"/>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row>
    <row r="891" spans="2:105" x14ac:dyDescent="0.35">
      <c r="B891" s="1214"/>
      <c r="C891" s="1211"/>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64"/>
      <c r="AM891" s="664"/>
      <c r="AN891" s="636" t="s">
        <v>743</v>
      </c>
      <c r="AO891" s="664"/>
      <c r="AP891" s="664"/>
      <c r="AQ891" s="664"/>
      <c r="AR891" s="636" t="s">
        <v>743</v>
      </c>
      <c r="AS891" s="664"/>
      <c r="AT891" s="664"/>
      <c r="AU891" s="664"/>
      <c r="AV891" s="664"/>
      <c r="AW891" s="664"/>
      <c r="AX891" s="664"/>
      <c r="AY891" s="664"/>
      <c r="AZ891" s="664"/>
      <c r="BA891" s="665"/>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row>
    <row r="892" spans="2:105" x14ac:dyDescent="0.35">
      <c r="B892" s="1214"/>
      <c r="C892" s="1211"/>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64"/>
      <c r="AM892" s="664"/>
      <c r="AN892" s="636" t="s">
        <v>743</v>
      </c>
      <c r="AO892" s="664"/>
      <c r="AP892" s="664"/>
      <c r="AQ892" s="664"/>
      <c r="AR892" s="636" t="s">
        <v>743</v>
      </c>
      <c r="AS892" s="664"/>
      <c r="AT892" s="664"/>
      <c r="AU892" s="664"/>
      <c r="AV892" s="664"/>
      <c r="AW892" s="664"/>
      <c r="AX892" s="664"/>
      <c r="AY892" s="664"/>
      <c r="AZ892" s="664"/>
      <c r="BA892" s="665"/>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row>
    <row r="893" spans="2:105" x14ac:dyDescent="0.35">
      <c r="B893" s="1214"/>
      <c r="C893" s="1211"/>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64"/>
      <c r="AM893" s="664"/>
      <c r="AN893" s="636" t="s">
        <v>738</v>
      </c>
      <c r="AO893" s="664"/>
      <c r="AP893" s="664"/>
      <c r="AQ893" s="664"/>
      <c r="AR893" s="636" t="s">
        <v>738</v>
      </c>
      <c r="AS893" s="664"/>
      <c r="AT893" s="664"/>
      <c r="AU893" s="664"/>
      <c r="AV893" s="664"/>
      <c r="AW893" s="664"/>
      <c r="AX893" s="664"/>
      <c r="AY893" s="664"/>
      <c r="AZ893" s="664"/>
      <c r="BA893" s="665"/>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row>
    <row r="894" spans="2:105" x14ac:dyDescent="0.35">
      <c r="B894" s="1214"/>
      <c r="C894" s="1211"/>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64"/>
      <c r="AM894" s="664"/>
      <c r="AN894" s="636" t="s">
        <v>743</v>
      </c>
      <c r="AO894" s="664"/>
      <c r="AP894" s="664"/>
      <c r="AQ894" s="664"/>
      <c r="AR894" s="636" t="s">
        <v>743</v>
      </c>
      <c r="AS894" s="664"/>
      <c r="AT894" s="664"/>
      <c r="AU894" s="664"/>
      <c r="AV894" s="664"/>
      <c r="AW894" s="664"/>
      <c r="AX894" s="664"/>
      <c r="AY894" s="664"/>
      <c r="AZ894" s="664"/>
      <c r="BA894" s="665"/>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row>
    <row r="895" spans="2:105" x14ac:dyDescent="0.35">
      <c r="B895" s="1214"/>
      <c r="C895" s="1211"/>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64"/>
      <c r="AM895" s="664"/>
      <c r="AN895" s="636" t="s">
        <v>743</v>
      </c>
      <c r="AO895" s="664"/>
      <c r="AP895" s="664"/>
      <c r="AQ895" s="664"/>
      <c r="AR895" s="636" t="s">
        <v>743</v>
      </c>
      <c r="AS895" s="664"/>
      <c r="AT895" s="664"/>
      <c r="AU895" s="664"/>
      <c r="AV895" s="664"/>
      <c r="AW895" s="664"/>
      <c r="AX895" s="664"/>
      <c r="AY895" s="664"/>
      <c r="AZ895" s="664"/>
      <c r="BA895" s="665"/>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row>
    <row r="896" spans="2:105" x14ac:dyDescent="0.35">
      <c r="B896" s="1214"/>
      <c r="C896" s="1211"/>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64"/>
      <c r="AM896" s="664"/>
      <c r="AN896" s="636" t="s">
        <v>738</v>
      </c>
      <c r="AO896" s="664"/>
      <c r="AP896" s="664"/>
      <c r="AQ896" s="664"/>
      <c r="AR896" s="636" t="s">
        <v>738</v>
      </c>
      <c r="AS896" s="664"/>
      <c r="AT896" s="664"/>
      <c r="AU896" s="664"/>
      <c r="AV896" s="664"/>
      <c r="AW896" s="664"/>
      <c r="AX896" s="664"/>
      <c r="AY896" s="664"/>
      <c r="AZ896" s="664"/>
      <c r="BA896" s="665"/>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row>
    <row r="897" spans="2:105" x14ac:dyDescent="0.35">
      <c r="B897" s="1214"/>
      <c r="C897" s="1211"/>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64"/>
      <c r="AM897" s="664"/>
      <c r="AN897" s="636" t="s">
        <v>743</v>
      </c>
      <c r="AO897" s="664"/>
      <c r="AP897" s="664"/>
      <c r="AQ897" s="664"/>
      <c r="AR897" s="636" t="s">
        <v>743</v>
      </c>
      <c r="AS897" s="664"/>
      <c r="AT897" s="664"/>
      <c r="AU897" s="664"/>
      <c r="AV897" s="664"/>
      <c r="AW897" s="664"/>
      <c r="AX897" s="664"/>
      <c r="AY897" s="664"/>
      <c r="AZ897" s="664"/>
      <c r="BA897" s="665"/>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row>
    <row r="898" spans="2:105" x14ac:dyDescent="0.35">
      <c r="B898" s="1214"/>
      <c r="C898" s="1211"/>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64"/>
      <c r="AM898" s="664"/>
      <c r="AN898" s="636" t="s">
        <v>743</v>
      </c>
      <c r="AO898" s="664"/>
      <c r="AP898" s="664"/>
      <c r="AQ898" s="664"/>
      <c r="AR898" s="636" t="s">
        <v>743</v>
      </c>
      <c r="AS898" s="664"/>
      <c r="AT898" s="664"/>
      <c r="AU898" s="664"/>
      <c r="AV898" s="664"/>
      <c r="AW898" s="664"/>
      <c r="AX898" s="664"/>
      <c r="AY898" s="664"/>
      <c r="AZ898" s="664"/>
      <c r="BA898" s="665"/>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row>
    <row r="899" spans="2:105" x14ac:dyDescent="0.35">
      <c r="B899" s="1214"/>
      <c r="C899" s="1211"/>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64"/>
      <c r="AM899" s="664"/>
      <c r="AN899" s="636" t="s">
        <v>743</v>
      </c>
      <c r="AO899" s="664"/>
      <c r="AP899" s="664"/>
      <c r="AQ899" s="664"/>
      <c r="AR899" s="636" t="s">
        <v>743</v>
      </c>
      <c r="AS899" s="664"/>
      <c r="AT899" s="664"/>
      <c r="AU899" s="664"/>
      <c r="AV899" s="664"/>
      <c r="AW899" s="664"/>
      <c r="AX899" s="664"/>
      <c r="AY899" s="664"/>
      <c r="AZ899" s="664"/>
      <c r="BA899" s="665"/>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row>
    <row r="900" spans="2:105" x14ac:dyDescent="0.35">
      <c r="B900" s="1214"/>
      <c r="C900" s="1211"/>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64"/>
      <c r="AM900" s="664"/>
      <c r="AN900" s="636" t="s">
        <v>743</v>
      </c>
      <c r="AO900" s="664"/>
      <c r="AP900" s="664"/>
      <c r="AQ900" s="664"/>
      <c r="AR900" s="636" t="s">
        <v>743</v>
      </c>
      <c r="AS900" s="664"/>
      <c r="AT900" s="664"/>
      <c r="AU900" s="664"/>
      <c r="AV900" s="664"/>
      <c r="AW900" s="664"/>
      <c r="AX900" s="664"/>
      <c r="AY900" s="664"/>
      <c r="AZ900" s="664"/>
      <c r="BA900" s="665"/>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row>
    <row r="901" spans="2:105" x14ac:dyDescent="0.35">
      <c r="B901" s="1214"/>
      <c r="C901" s="1211"/>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64"/>
      <c r="AM901" s="664"/>
      <c r="AN901" s="636" t="s">
        <v>743</v>
      </c>
      <c r="AO901" s="664"/>
      <c r="AP901" s="664"/>
      <c r="AQ901" s="664"/>
      <c r="AR901" s="636" t="s">
        <v>743</v>
      </c>
      <c r="AS901" s="664"/>
      <c r="AT901" s="664"/>
      <c r="AU901" s="664"/>
      <c r="AV901" s="664"/>
      <c r="AW901" s="664"/>
      <c r="AX901" s="664"/>
      <c r="AY901" s="664"/>
      <c r="AZ901" s="664"/>
      <c r="BA901" s="665"/>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row>
    <row r="902" spans="2:105" ht="15" thickBot="1" x14ac:dyDescent="0.4">
      <c r="B902" s="1215"/>
      <c r="C902" s="1212"/>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66"/>
      <c r="AM902" s="666"/>
      <c r="AN902" s="641" t="s">
        <v>738</v>
      </c>
      <c r="AO902" s="666"/>
      <c r="AP902" s="666"/>
      <c r="AQ902" s="666"/>
      <c r="AR902" s="641" t="s">
        <v>738</v>
      </c>
      <c r="AS902" s="666"/>
      <c r="AT902" s="666"/>
      <c r="AU902" s="666"/>
      <c r="AV902" s="666"/>
      <c r="AW902" s="666"/>
      <c r="AX902" s="666"/>
      <c r="AY902" s="666"/>
      <c r="AZ902" s="666"/>
      <c r="BA902" s="667"/>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row>
    <row r="903" spans="2:105" ht="15" thickBot="1" x14ac:dyDescent="0.4">
      <c r="B903" s="577" t="s">
        <v>1037</v>
      </c>
      <c r="C903" s="1210"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68"/>
      <c r="AM903" s="668"/>
      <c r="AN903" s="646" t="s">
        <v>743</v>
      </c>
      <c r="AO903" s="668"/>
      <c r="AP903" s="668"/>
      <c r="AQ903" s="668"/>
      <c r="AR903" s="646" t="s">
        <v>743</v>
      </c>
      <c r="AS903" s="668"/>
      <c r="AT903" s="668"/>
      <c r="AU903" s="668"/>
      <c r="AV903" s="668"/>
      <c r="AW903" s="668"/>
      <c r="AX903" s="668"/>
      <c r="AY903" s="668"/>
      <c r="AZ903" s="668"/>
      <c r="BA903" s="669"/>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row>
    <row r="904" spans="2:105" x14ac:dyDescent="0.35">
      <c r="B904" s="1213" t="s">
        <v>1038</v>
      </c>
      <c r="C904" s="1211"/>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71"/>
      <c r="AM904" s="671"/>
      <c r="AN904" s="651" t="s">
        <v>743</v>
      </c>
      <c r="AO904" s="671"/>
      <c r="AP904" s="671"/>
      <c r="AQ904" s="671"/>
      <c r="AR904" s="651" t="s">
        <v>743</v>
      </c>
      <c r="AS904" s="671"/>
      <c r="AT904" s="671"/>
      <c r="AU904" s="671"/>
      <c r="AV904" s="671"/>
      <c r="AW904" s="671"/>
      <c r="AX904" s="671"/>
      <c r="AY904" s="671"/>
      <c r="AZ904" s="671"/>
      <c r="BA904" s="672"/>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row>
    <row r="905" spans="2:105" x14ac:dyDescent="0.35">
      <c r="B905" s="1214"/>
      <c r="C905" s="1211"/>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64"/>
      <c r="AM905" s="664"/>
      <c r="AN905" s="656" t="s">
        <v>738</v>
      </c>
      <c r="AO905" s="664"/>
      <c r="AP905" s="664"/>
      <c r="AQ905" s="664"/>
      <c r="AR905" s="656" t="s">
        <v>738</v>
      </c>
      <c r="AS905" s="664"/>
      <c r="AT905" s="664"/>
      <c r="AU905" s="664"/>
      <c r="AV905" s="664"/>
      <c r="AW905" s="664"/>
      <c r="AX905" s="664"/>
      <c r="AY905" s="664"/>
      <c r="AZ905" s="664"/>
      <c r="BA905" s="665"/>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row>
    <row r="906" spans="2:105" x14ac:dyDescent="0.35">
      <c r="B906" s="1214"/>
      <c r="C906" s="1211"/>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64"/>
      <c r="AM906" s="664"/>
      <c r="AN906" s="656" t="s">
        <v>743</v>
      </c>
      <c r="AO906" s="664"/>
      <c r="AP906" s="664"/>
      <c r="AQ906" s="664"/>
      <c r="AR906" s="656" t="s">
        <v>743</v>
      </c>
      <c r="AS906" s="664"/>
      <c r="AT906" s="664"/>
      <c r="AU906" s="664"/>
      <c r="AV906" s="664"/>
      <c r="AW906" s="664"/>
      <c r="AX906" s="664"/>
      <c r="AY906" s="664"/>
      <c r="AZ906" s="664"/>
      <c r="BA906" s="665"/>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row>
    <row r="907" spans="2:105" x14ac:dyDescent="0.35">
      <c r="B907" s="1214"/>
      <c r="C907" s="1211"/>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64"/>
      <c r="AM907" s="664"/>
      <c r="AN907" s="656" t="s">
        <v>743</v>
      </c>
      <c r="AO907" s="664"/>
      <c r="AP907" s="664"/>
      <c r="AQ907" s="664"/>
      <c r="AR907" s="656" t="s">
        <v>743</v>
      </c>
      <c r="AS907" s="664"/>
      <c r="AT907" s="664"/>
      <c r="AU907" s="664"/>
      <c r="AV907" s="664"/>
      <c r="AW907" s="664"/>
      <c r="AX907" s="664"/>
      <c r="AY907" s="664"/>
      <c r="AZ907" s="664"/>
      <c r="BA907" s="665"/>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row>
    <row r="908" spans="2:105" x14ac:dyDescent="0.35">
      <c r="B908" s="1214"/>
      <c r="C908" s="1211"/>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64"/>
      <c r="AM908" s="664"/>
      <c r="AN908" s="656" t="s">
        <v>743</v>
      </c>
      <c r="AO908" s="664"/>
      <c r="AP908" s="664"/>
      <c r="AQ908" s="664"/>
      <c r="AR908" s="656" t="s">
        <v>743</v>
      </c>
      <c r="AS908" s="664"/>
      <c r="AT908" s="664"/>
      <c r="AU908" s="664"/>
      <c r="AV908" s="664"/>
      <c r="AW908" s="664"/>
      <c r="AX908" s="664"/>
      <c r="AY908" s="664"/>
      <c r="AZ908" s="664"/>
      <c r="BA908" s="665"/>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row>
    <row r="909" spans="2:105" x14ac:dyDescent="0.35">
      <c r="B909" s="1214"/>
      <c r="C909" s="1211"/>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64"/>
      <c r="AM909" s="664"/>
      <c r="AN909" s="656" t="s">
        <v>738</v>
      </c>
      <c r="AO909" s="664"/>
      <c r="AP909" s="664"/>
      <c r="AQ909" s="664"/>
      <c r="AR909" s="656" t="s">
        <v>738</v>
      </c>
      <c r="AS909" s="664"/>
      <c r="AT909" s="664"/>
      <c r="AU909" s="664"/>
      <c r="AV909" s="664"/>
      <c r="AW909" s="664"/>
      <c r="AX909" s="664"/>
      <c r="AY909" s="664"/>
      <c r="AZ909" s="664"/>
      <c r="BA909" s="665"/>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row>
    <row r="910" spans="2:105" x14ac:dyDescent="0.35">
      <c r="B910" s="1214"/>
      <c r="C910" s="1211"/>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64"/>
      <c r="AM910" s="664"/>
      <c r="AN910" s="657" t="s">
        <v>743</v>
      </c>
      <c r="AO910" s="664"/>
      <c r="AP910" s="664"/>
      <c r="AQ910" s="664"/>
      <c r="AR910" s="657" t="s">
        <v>743</v>
      </c>
      <c r="AS910" s="664"/>
      <c r="AT910" s="664"/>
      <c r="AU910" s="664"/>
      <c r="AV910" s="664"/>
      <c r="AW910" s="664"/>
      <c r="AX910" s="664"/>
      <c r="AY910" s="664"/>
      <c r="AZ910" s="664"/>
      <c r="BA910" s="665"/>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row>
    <row r="911" spans="2:105" x14ac:dyDescent="0.35">
      <c r="B911" s="1214"/>
      <c r="C911" s="1211"/>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64"/>
      <c r="AM911" s="664"/>
      <c r="AN911" s="656" t="s">
        <v>743</v>
      </c>
      <c r="AO911" s="664"/>
      <c r="AP911" s="664"/>
      <c r="AQ911" s="664"/>
      <c r="AR911" s="656" t="s">
        <v>743</v>
      </c>
      <c r="AS911" s="664"/>
      <c r="AT911" s="664"/>
      <c r="AU911" s="664"/>
      <c r="AV911" s="664"/>
      <c r="AW911" s="664"/>
      <c r="AX911" s="664"/>
      <c r="AY911" s="664"/>
      <c r="AZ911" s="664"/>
      <c r="BA911" s="665"/>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row>
    <row r="912" spans="2:105" x14ac:dyDescent="0.35">
      <c r="B912" s="1214"/>
      <c r="C912" s="1211"/>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64"/>
      <c r="AM912" s="664"/>
      <c r="AN912" s="656" t="s">
        <v>738</v>
      </c>
      <c r="AO912" s="664"/>
      <c r="AP912" s="664"/>
      <c r="AQ912" s="664"/>
      <c r="AR912" s="656" t="s">
        <v>738</v>
      </c>
      <c r="AS912" s="664"/>
      <c r="AT912" s="664"/>
      <c r="AU912" s="664"/>
      <c r="AV912" s="664"/>
      <c r="AW912" s="664"/>
      <c r="AX912" s="664"/>
      <c r="AY912" s="664"/>
      <c r="AZ912" s="664"/>
      <c r="BA912" s="665"/>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row>
    <row r="913" spans="2:105" x14ac:dyDescent="0.35">
      <c r="B913" s="1214"/>
      <c r="C913" s="1211"/>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64"/>
      <c r="AM913" s="664"/>
      <c r="AN913" s="658" t="s">
        <v>743</v>
      </c>
      <c r="AO913" s="664"/>
      <c r="AP913" s="664"/>
      <c r="AQ913" s="664"/>
      <c r="AR913" s="658" t="s">
        <v>743</v>
      </c>
      <c r="AS913" s="664"/>
      <c r="AT913" s="664"/>
      <c r="AU913" s="664"/>
      <c r="AV913" s="664"/>
      <c r="AW913" s="664"/>
      <c r="AX913" s="664"/>
      <c r="AY913" s="664"/>
      <c r="AZ913" s="664"/>
      <c r="BA913" s="665"/>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row>
    <row r="914" spans="2:105" x14ac:dyDescent="0.35">
      <c r="B914" s="1214"/>
      <c r="C914" s="1211"/>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64"/>
      <c r="AM914" s="664"/>
      <c r="AN914" s="656" t="s">
        <v>738</v>
      </c>
      <c r="AO914" s="664"/>
      <c r="AP914" s="664"/>
      <c r="AQ914" s="664"/>
      <c r="AR914" s="656" t="s">
        <v>738</v>
      </c>
      <c r="AS914" s="664"/>
      <c r="AT914" s="664"/>
      <c r="AU914" s="664"/>
      <c r="AV914" s="664"/>
      <c r="AW914" s="664"/>
      <c r="AX914" s="664"/>
      <c r="AY914" s="664"/>
      <c r="AZ914" s="664"/>
      <c r="BA914" s="665"/>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row>
    <row r="915" spans="2:105" x14ac:dyDescent="0.35">
      <c r="B915" s="1214"/>
      <c r="C915" s="1211"/>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64"/>
      <c r="AM915" s="664"/>
      <c r="AN915" s="656" t="s">
        <v>738</v>
      </c>
      <c r="AO915" s="664"/>
      <c r="AP915" s="664"/>
      <c r="AQ915" s="664"/>
      <c r="AR915" s="656" t="s">
        <v>738</v>
      </c>
      <c r="AS915" s="664"/>
      <c r="AT915" s="664"/>
      <c r="AU915" s="664"/>
      <c r="AV915" s="664"/>
      <c r="AW915" s="664"/>
      <c r="AX915" s="664"/>
      <c r="AY915" s="664"/>
      <c r="AZ915" s="664"/>
      <c r="BA915" s="665"/>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row>
    <row r="916" spans="2:105" x14ac:dyDescent="0.35">
      <c r="B916" s="1214"/>
      <c r="C916" s="1211"/>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64"/>
      <c r="AM916" s="664"/>
      <c r="AN916" s="656" t="s">
        <v>738</v>
      </c>
      <c r="AO916" s="664"/>
      <c r="AP916" s="664"/>
      <c r="AQ916" s="664"/>
      <c r="AR916" s="656" t="s">
        <v>738</v>
      </c>
      <c r="AS916" s="664"/>
      <c r="AT916" s="664"/>
      <c r="AU916" s="664"/>
      <c r="AV916" s="664"/>
      <c r="AW916" s="664"/>
      <c r="AX916" s="664"/>
      <c r="AY916" s="664"/>
      <c r="AZ916" s="664"/>
      <c r="BA916" s="665"/>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row>
    <row r="917" spans="2:105" x14ac:dyDescent="0.35">
      <c r="B917" s="1214"/>
      <c r="C917" s="1211"/>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64"/>
      <c r="AM917" s="664"/>
      <c r="AN917" s="656" t="s">
        <v>738</v>
      </c>
      <c r="AO917" s="664"/>
      <c r="AP917" s="664"/>
      <c r="AQ917" s="664"/>
      <c r="AR917" s="656" t="s">
        <v>738</v>
      </c>
      <c r="AS917" s="664"/>
      <c r="AT917" s="664"/>
      <c r="AU917" s="664"/>
      <c r="AV917" s="664"/>
      <c r="AW917" s="664"/>
      <c r="AX917" s="664"/>
      <c r="AY917" s="664"/>
      <c r="AZ917" s="664"/>
      <c r="BA917" s="665"/>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row>
    <row r="918" spans="2:105" x14ac:dyDescent="0.35">
      <c r="B918" s="1214"/>
      <c r="C918" s="1211"/>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64"/>
      <c r="AM918" s="664"/>
      <c r="AN918" s="656" t="s">
        <v>738</v>
      </c>
      <c r="AO918" s="664"/>
      <c r="AP918" s="664"/>
      <c r="AQ918" s="664"/>
      <c r="AR918" s="656" t="s">
        <v>738</v>
      </c>
      <c r="AS918" s="664"/>
      <c r="AT918" s="664"/>
      <c r="AU918" s="664"/>
      <c r="AV918" s="664"/>
      <c r="AW918" s="664"/>
      <c r="AX918" s="664"/>
      <c r="AY918" s="664"/>
      <c r="AZ918" s="664"/>
      <c r="BA918" s="665"/>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row>
    <row r="919" spans="2:105" ht="15" thickBot="1" x14ac:dyDescent="0.4">
      <c r="B919" s="1215"/>
      <c r="C919" s="1212"/>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6"/>
      <c r="AM919" s="666"/>
      <c r="AN919" s="660" t="s">
        <v>738</v>
      </c>
      <c r="AO919" s="666"/>
      <c r="AP919" s="666"/>
      <c r="AQ919" s="666"/>
      <c r="AR919" s="660" t="s">
        <v>738</v>
      </c>
      <c r="AS919" s="666"/>
      <c r="AT919" s="666"/>
      <c r="AU919" s="666"/>
      <c r="AV919" s="666"/>
      <c r="AW919" s="666"/>
      <c r="AX919" s="666"/>
      <c r="AY919" s="666"/>
      <c r="AZ919" s="666"/>
      <c r="BA919" s="667"/>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row>
    <row r="920" spans="2:105" ht="15" thickBot="1" x14ac:dyDescent="0.4">
      <c r="B920" s="577" t="s">
        <v>1039</v>
      </c>
      <c r="C920" s="1210"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68"/>
      <c r="AM920" s="668"/>
      <c r="AN920" s="650" t="s">
        <v>743</v>
      </c>
      <c r="AO920" s="668"/>
      <c r="AP920" s="668"/>
      <c r="AQ920" s="668"/>
      <c r="AR920" s="650" t="s">
        <v>743</v>
      </c>
      <c r="AS920" s="668"/>
      <c r="AT920" s="668"/>
      <c r="AU920" s="668"/>
      <c r="AV920" s="668"/>
      <c r="AW920" s="668"/>
      <c r="AX920" s="668"/>
      <c r="AY920" s="668"/>
      <c r="AZ920" s="668"/>
      <c r="BA920" s="669"/>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row>
    <row r="921" spans="2:105" x14ac:dyDescent="0.35">
      <c r="B921" s="1213" t="s">
        <v>1040</v>
      </c>
      <c r="C921" s="1211"/>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71"/>
      <c r="AM921" s="671"/>
      <c r="AN921" s="651" t="s">
        <v>743</v>
      </c>
      <c r="AO921" s="671"/>
      <c r="AP921" s="671"/>
      <c r="AQ921" s="671"/>
      <c r="AR921" s="651" t="s">
        <v>743</v>
      </c>
      <c r="AS921" s="671"/>
      <c r="AT921" s="671"/>
      <c r="AU921" s="671"/>
      <c r="AV921" s="671"/>
      <c r="AW921" s="671"/>
      <c r="AX921" s="671"/>
      <c r="AY921" s="671"/>
      <c r="AZ921" s="671"/>
      <c r="BA921" s="672"/>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row>
    <row r="922" spans="2:105" x14ac:dyDescent="0.35">
      <c r="B922" s="1214"/>
      <c r="C922" s="1211"/>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64"/>
      <c r="AM922" s="664"/>
      <c r="AN922" s="656" t="s">
        <v>743</v>
      </c>
      <c r="AO922" s="664"/>
      <c r="AP922" s="664"/>
      <c r="AQ922" s="664"/>
      <c r="AR922" s="656" t="s">
        <v>743</v>
      </c>
      <c r="AS922" s="664"/>
      <c r="AT922" s="664"/>
      <c r="AU922" s="664"/>
      <c r="AV922" s="664"/>
      <c r="AW922" s="664"/>
      <c r="AX922" s="664"/>
      <c r="AY922" s="664"/>
      <c r="AZ922" s="664"/>
      <c r="BA922" s="665"/>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row>
    <row r="923" spans="2:105" x14ac:dyDescent="0.35">
      <c r="B923" s="1214"/>
      <c r="C923" s="1211"/>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64"/>
      <c r="AM923" s="664"/>
      <c r="AN923" s="656" t="s">
        <v>738</v>
      </c>
      <c r="AO923" s="664"/>
      <c r="AP923" s="664"/>
      <c r="AQ923" s="664"/>
      <c r="AR923" s="656" t="s">
        <v>738</v>
      </c>
      <c r="AS923" s="664"/>
      <c r="AT923" s="664"/>
      <c r="AU923" s="664"/>
      <c r="AV923" s="664"/>
      <c r="AW923" s="664"/>
      <c r="AX923" s="664"/>
      <c r="AY923" s="664"/>
      <c r="AZ923" s="664"/>
      <c r="BA923" s="665"/>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row>
    <row r="924" spans="2:105" x14ac:dyDescent="0.35">
      <c r="B924" s="1214"/>
      <c r="C924" s="1211"/>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64"/>
      <c r="AM924" s="664"/>
      <c r="AN924" s="656" t="s">
        <v>743</v>
      </c>
      <c r="AO924" s="664"/>
      <c r="AP924" s="664"/>
      <c r="AQ924" s="664"/>
      <c r="AR924" s="656" t="s">
        <v>743</v>
      </c>
      <c r="AS924" s="664"/>
      <c r="AT924" s="664"/>
      <c r="AU924" s="664"/>
      <c r="AV924" s="664"/>
      <c r="AW924" s="664"/>
      <c r="AX924" s="664"/>
      <c r="AY924" s="664"/>
      <c r="AZ924" s="664"/>
      <c r="BA924" s="665"/>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row>
    <row r="925" spans="2:105" x14ac:dyDescent="0.35">
      <c r="B925" s="1214"/>
      <c r="C925" s="1211"/>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64"/>
      <c r="AM925" s="664"/>
      <c r="AN925" s="656" t="s">
        <v>738</v>
      </c>
      <c r="AO925" s="664"/>
      <c r="AP925" s="664"/>
      <c r="AQ925" s="664"/>
      <c r="AR925" s="656" t="s">
        <v>738</v>
      </c>
      <c r="AS925" s="664"/>
      <c r="AT925" s="664"/>
      <c r="AU925" s="664"/>
      <c r="AV925" s="664"/>
      <c r="AW925" s="664"/>
      <c r="AX925" s="664"/>
      <c r="AY925" s="664"/>
      <c r="AZ925" s="664"/>
      <c r="BA925" s="665"/>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row>
    <row r="926" spans="2:105" x14ac:dyDescent="0.35">
      <c r="B926" s="1214"/>
      <c r="C926" s="1211"/>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64"/>
      <c r="AM926" s="664"/>
      <c r="AN926" s="656" t="s">
        <v>743</v>
      </c>
      <c r="AO926" s="664"/>
      <c r="AP926" s="664"/>
      <c r="AQ926" s="664"/>
      <c r="AR926" s="656" t="s">
        <v>743</v>
      </c>
      <c r="AS926" s="664"/>
      <c r="AT926" s="664"/>
      <c r="AU926" s="664"/>
      <c r="AV926" s="664"/>
      <c r="AW926" s="664"/>
      <c r="AX926" s="664"/>
      <c r="AY926" s="664"/>
      <c r="AZ926" s="664"/>
      <c r="BA926" s="665"/>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row>
    <row r="927" spans="2:105" x14ac:dyDescent="0.35">
      <c r="B927" s="1214"/>
      <c r="C927" s="1211"/>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64"/>
      <c r="AM927" s="664"/>
      <c r="AN927" s="656" t="s">
        <v>743</v>
      </c>
      <c r="AO927" s="664"/>
      <c r="AP927" s="664"/>
      <c r="AQ927" s="664"/>
      <c r="AR927" s="656" t="s">
        <v>743</v>
      </c>
      <c r="AS927" s="664"/>
      <c r="AT927" s="664"/>
      <c r="AU927" s="664"/>
      <c r="AV927" s="664"/>
      <c r="AW927" s="664"/>
      <c r="AX927" s="664"/>
      <c r="AY927" s="664"/>
      <c r="AZ927" s="664"/>
      <c r="BA927" s="665"/>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row>
    <row r="928" spans="2:105" x14ac:dyDescent="0.35">
      <c r="B928" s="1214"/>
      <c r="C928" s="1211"/>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64"/>
      <c r="AM928" s="664"/>
      <c r="AN928" s="656" t="s">
        <v>743</v>
      </c>
      <c r="AO928" s="664"/>
      <c r="AP928" s="664"/>
      <c r="AQ928" s="664"/>
      <c r="AR928" s="656" t="s">
        <v>743</v>
      </c>
      <c r="AS928" s="664"/>
      <c r="AT928" s="664"/>
      <c r="AU928" s="664"/>
      <c r="AV928" s="664"/>
      <c r="AW928" s="664"/>
      <c r="AX928" s="664"/>
      <c r="AY928" s="664"/>
      <c r="AZ928" s="664"/>
      <c r="BA928" s="665"/>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row>
    <row r="929" spans="2:105" x14ac:dyDescent="0.35">
      <c r="B929" s="1214"/>
      <c r="C929" s="1211"/>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64"/>
      <c r="AM929" s="664"/>
      <c r="AN929" s="656" t="s">
        <v>743</v>
      </c>
      <c r="AO929" s="664"/>
      <c r="AP929" s="664"/>
      <c r="AQ929" s="664"/>
      <c r="AR929" s="656" t="s">
        <v>743</v>
      </c>
      <c r="AS929" s="664"/>
      <c r="AT929" s="664"/>
      <c r="AU929" s="664"/>
      <c r="AV929" s="664"/>
      <c r="AW929" s="664"/>
      <c r="AX929" s="664"/>
      <c r="AY929" s="664"/>
      <c r="AZ929" s="664"/>
      <c r="BA929" s="665"/>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row>
    <row r="930" spans="2:105" x14ac:dyDescent="0.35">
      <c r="B930" s="1214"/>
      <c r="C930" s="1211"/>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64"/>
      <c r="AM930" s="664"/>
      <c r="AN930" s="656" t="s">
        <v>743</v>
      </c>
      <c r="AO930" s="664"/>
      <c r="AP930" s="664"/>
      <c r="AQ930" s="664"/>
      <c r="AR930" s="656" t="s">
        <v>743</v>
      </c>
      <c r="AS930" s="664"/>
      <c r="AT930" s="664"/>
      <c r="AU930" s="664"/>
      <c r="AV930" s="664"/>
      <c r="AW930" s="664"/>
      <c r="AX930" s="664"/>
      <c r="AY930" s="664"/>
      <c r="AZ930" s="664"/>
      <c r="BA930" s="665"/>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row>
    <row r="931" spans="2:105" x14ac:dyDescent="0.35">
      <c r="B931" s="1214"/>
      <c r="C931" s="1211"/>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64"/>
      <c r="AM931" s="664"/>
      <c r="AN931" s="656" t="s">
        <v>743</v>
      </c>
      <c r="AO931" s="664"/>
      <c r="AP931" s="664"/>
      <c r="AQ931" s="664"/>
      <c r="AR931" s="656" t="s">
        <v>743</v>
      </c>
      <c r="AS931" s="664"/>
      <c r="AT931" s="664"/>
      <c r="AU931" s="664"/>
      <c r="AV931" s="664"/>
      <c r="AW931" s="664"/>
      <c r="AX931" s="664"/>
      <c r="AY931" s="664"/>
      <c r="AZ931" s="664"/>
      <c r="BA931" s="665"/>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row>
    <row r="932" spans="2:105" x14ac:dyDescent="0.35">
      <c r="B932" s="1214"/>
      <c r="C932" s="1211"/>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64"/>
      <c r="AM932" s="664"/>
      <c r="AN932" s="656" t="s">
        <v>743</v>
      </c>
      <c r="AO932" s="664"/>
      <c r="AP932" s="664"/>
      <c r="AQ932" s="664"/>
      <c r="AR932" s="656" t="s">
        <v>743</v>
      </c>
      <c r="AS932" s="664"/>
      <c r="AT932" s="664"/>
      <c r="AU932" s="664"/>
      <c r="AV932" s="664"/>
      <c r="AW932" s="664"/>
      <c r="AX932" s="664"/>
      <c r="AY932" s="664"/>
      <c r="AZ932" s="664"/>
      <c r="BA932" s="665"/>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row>
    <row r="933" spans="2:105" x14ac:dyDescent="0.35">
      <c r="B933" s="1214"/>
      <c r="C933" s="1211"/>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64"/>
      <c r="AM933" s="664"/>
      <c r="AN933" s="656" t="s">
        <v>743</v>
      </c>
      <c r="AO933" s="664"/>
      <c r="AP933" s="664"/>
      <c r="AQ933" s="664"/>
      <c r="AR933" s="656" t="s">
        <v>743</v>
      </c>
      <c r="AS933" s="664"/>
      <c r="AT933" s="664"/>
      <c r="AU933" s="664"/>
      <c r="AV933" s="664"/>
      <c r="AW933" s="664"/>
      <c r="AX933" s="664"/>
      <c r="AY933" s="664"/>
      <c r="AZ933" s="664"/>
      <c r="BA933" s="665"/>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row>
    <row r="934" spans="2:105" x14ac:dyDescent="0.35">
      <c r="B934" s="1214"/>
      <c r="C934" s="1211"/>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64"/>
      <c r="AM934" s="664"/>
      <c r="AN934" s="656" t="s">
        <v>743</v>
      </c>
      <c r="AO934" s="664"/>
      <c r="AP934" s="664"/>
      <c r="AQ934" s="664"/>
      <c r="AR934" s="656" t="s">
        <v>743</v>
      </c>
      <c r="AS934" s="664"/>
      <c r="AT934" s="664"/>
      <c r="AU934" s="664"/>
      <c r="AV934" s="664"/>
      <c r="AW934" s="664"/>
      <c r="AX934" s="664"/>
      <c r="AY934" s="664"/>
      <c r="AZ934" s="664"/>
      <c r="BA934" s="665"/>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row>
    <row r="935" spans="2:105" x14ac:dyDescent="0.35">
      <c r="B935" s="1214"/>
      <c r="C935" s="1211"/>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64"/>
      <c r="AM935" s="664"/>
      <c r="AN935" s="656" t="s">
        <v>743</v>
      </c>
      <c r="AO935" s="664"/>
      <c r="AP935" s="664"/>
      <c r="AQ935" s="664"/>
      <c r="AR935" s="656" t="s">
        <v>743</v>
      </c>
      <c r="AS935" s="664"/>
      <c r="AT935" s="664"/>
      <c r="AU935" s="664"/>
      <c r="AV935" s="664"/>
      <c r="AW935" s="664"/>
      <c r="AX935" s="664"/>
      <c r="AY935" s="664"/>
      <c r="AZ935" s="664"/>
      <c r="BA935" s="665"/>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row>
    <row r="936" spans="2:105" ht="15" thickBot="1" x14ac:dyDescent="0.4">
      <c r="B936" s="1215"/>
      <c r="C936" s="1212"/>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6"/>
      <c r="AM936" s="666"/>
      <c r="AN936" s="660" t="s">
        <v>743</v>
      </c>
      <c r="AO936" s="666"/>
      <c r="AP936" s="666"/>
      <c r="AQ936" s="666"/>
      <c r="AR936" s="660" t="s">
        <v>743</v>
      </c>
      <c r="AS936" s="666"/>
      <c r="AT936" s="666"/>
      <c r="AU936" s="666"/>
      <c r="AV936" s="666"/>
      <c r="AW936" s="666"/>
      <c r="AX936" s="666"/>
      <c r="AY936" s="666"/>
      <c r="AZ936" s="666"/>
      <c r="BA936" s="667"/>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row>
    <row r="937" spans="2:105" ht="15" thickBot="1" x14ac:dyDescent="0.4">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5"/>
      <c r="AM937" s="675"/>
      <c r="AN937" s="674">
        <v>1</v>
      </c>
      <c r="AO937" s="675"/>
      <c r="AP937" s="675"/>
      <c r="AQ937" s="675"/>
      <c r="AR937" s="674">
        <v>1</v>
      </c>
      <c r="AS937" s="675"/>
      <c r="AT937" s="675"/>
      <c r="AU937" s="675"/>
      <c r="AV937" s="675"/>
      <c r="AW937" s="675"/>
      <c r="AX937" s="675"/>
      <c r="AY937" s="675"/>
      <c r="AZ937" s="675"/>
      <c r="BA937" s="676"/>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row>
    <row r="938" spans="2:105" ht="15" thickBot="1" x14ac:dyDescent="0.4">
      <c r="B938" s="577" t="s">
        <v>1042</v>
      </c>
      <c r="C938" s="1210"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8"/>
      <c r="AM938" s="628"/>
      <c r="AN938" s="626" t="s">
        <v>738</v>
      </c>
      <c r="AO938" s="628"/>
      <c r="AP938" s="628"/>
      <c r="AQ938" s="628"/>
      <c r="AR938" s="626" t="s">
        <v>738</v>
      </c>
      <c r="AS938" s="628"/>
      <c r="AT938" s="628"/>
      <c r="AU938" s="628"/>
      <c r="AV938" s="628"/>
      <c r="AW938" s="628"/>
      <c r="AX938" s="628"/>
      <c r="AY938" s="628"/>
      <c r="AZ938" s="628"/>
      <c r="BA938" s="629"/>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row>
    <row r="939" spans="2:105" x14ac:dyDescent="0.35">
      <c r="B939" s="1213" t="s">
        <v>1043</v>
      </c>
      <c r="C939" s="1211"/>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62"/>
      <c r="AM939" s="662"/>
      <c r="AN939" s="631" t="s">
        <v>738</v>
      </c>
      <c r="AO939" s="662"/>
      <c r="AP939" s="662"/>
      <c r="AQ939" s="662"/>
      <c r="AR939" s="631" t="s">
        <v>738</v>
      </c>
      <c r="AS939" s="662"/>
      <c r="AT939" s="662"/>
      <c r="AU939" s="662"/>
      <c r="AV939" s="662"/>
      <c r="AW939" s="662"/>
      <c r="AX939" s="662"/>
      <c r="AY939" s="662"/>
      <c r="AZ939" s="662"/>
      <c r="BA939" s="663"/>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row>
    <row r="940" spans="2:105" x14ac:dyDescent="0.35">
      <c r="B940" s="1214"/>
      <c r="C940" s="1211"/>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64"/>
      <c r="AM940" s="664"/>
      <c r="AN940" s="636" t="s">
        <v>738</v>
      </c>
      <c r="AO940" s="664"/>
      <c r="AP940" s="664"/>
      <c r="AQ940" s="664"/>
      <c r="AR940" s="636" t="s">
        <v>738</v>
      </c>
      <c r="AS940" s="664"/>
      <c r="AT940" s="664"/>
      <c r="AU940" s="664"/>
      <c r="AV940" s="664"/>
      <c r="AW940" s="664"/>
      <c r="AX940" s="664"/>
      <c r="AY940" s="664"/>
      <c r="AZ940" s="664"/>
      <c r="BA940" s="665"/>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row>
    <row r="941" spans="2:105" x14ac:dyDescent="0.35">
      <c r="B941" s="1214"/>
      <c r="C941" s="1211"/>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64"/>
      <c r="AM941" s="664"/>
      <c r="AN941" s="636" t="s">
        <v>743</v>
      </c>
      <c r="AO941" s="664"/>
      <c r="AP941" s="664"/>
      <c r="AQ941" s="664"/>
      <c r="AR941" s="636" t="s">
        <v>743</v>
      </c>
      <c r="AS941" s="664"/>
      <c r="AT941" s="664"/>
      <c r="AU941" s="664"/>
      <c r="AV941" s="664"/>
      <c r="AW941" s="664"/>
      <c r="AX941" s="664"/>
      <c r="AY941" s="664"/>
      <c r="AZ941" s="664"/>
      <c r="BA941" s="665"/>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row>
    <row r="942" spans="2:105" x14ac:dyDescent="0.35">
      <c r="B942" s="1214"/>
      <c r="C942" s="1211"/>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64"/>
      <c r="AM942" s="664"/>
      <c r="AN942" s="636" t="s">
        <v>738</v>
      </c>
      <c r="AO942" s="664"/>
      <c r="AP942" s="664"/>
      <c r="AQ942" s="664"/>
      <c r="AR942" s="636" t="s">
        <v>738</v>
      </c>
      <c r="AS942" s="664"/>
      <c r="AT942" s="664"/>
      <c r="AU942" s="664"/>
      <c r="AV942" s="664"/>
      <c r="AW942" s="664"/>
      <c r="AX942" s="664"/>
      <c r="AY942" s="664"/>
      <c r="AZ942" s="664"/>
      <c r="BA942" s="665"/>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row>
    <row r="943" spans="2:105" x14ac:dyDescent="0.35">
      <c r="B943" s="1214"/>
      <c r="C943" s="1211"/>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64"/>
      <c r="AM943" s="664"/>
      <c r="AN943" s="636" t="s">
        <v>743</v>
      </c>
      <c r="AO943" s="664"/>
      <c r="AP943" s="664"/>
      <c r="AQ943" s="664"/>
      <c r="AR943" s="636" t="s">
        <v>743</v>
      </c>
      <c r="AS943" s="664"/>
      <c r="AT943" s="664"/>
      <c r="AU943" s="664"/>
      <c r="AV943" s="664"/>
      <c r="AW943" s="664"/>
      <c r="AX943" s="664"/>
      <c r="AY943" s="664"/>
      <c r="AZ943" s="664"/>
      <c r="BA943" s="665"/>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row>
    <row r="944" spans="2:105" x14ac:dyDescent="0.35">
      <c r="B944" s="1214"/>
      <c r="C944" s="1211"/>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64"/>
      <c r="AM944" s="664"/>
      <c r="AN944" s="636" t="s">
        <v>743</v>
      </c>
      <c r="AO944" s="664"/>
      <c r="AP944" s="664"/>
      <c r="AQ944" s="664"/>
      <c r="AR944" s="636" t="s">
        <v>743</v>
      </c>
      <c r="AS944" s="664"/>
      <c r="AT944" s="664"/>
      <c r="AU944" s="664"/>
      <c r="AV944" s="664"/>
      <c r="AW944" s="664"/>
      <c r="AX944" s="664"/>
      <c r="AY944" s="664"/>
      <c r="AZ944" s="664"/>
      <c r="BA944" s="665"/>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row>
    <row r="945" spans="2:105" x14ac:dyDescent="0.35">
      <c r="B945" s="1214"/>
      <c r="C945" s="1211"/>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64"/>
      <c r="AM945" s="664"/>
      <c r="AN945" s="636" t="s">
        <v>738</v>
      </c>
      <c r="AO945" s="664"/>
      <c r="AP945" s="664"/>
      <c r="AQ945" s="664"/>
      <c r="AR945" s="636" t="s">
        <v>738</v>
      </c>
      <c r="AS945" s="664"/>
      <c r="AT945" s="664"/>
      <c r="AU945" s="664"/>
      <c r="AV945" s="664"/>
      <c r="AW945" s="664"/>
      <c r="AX945" s="664"/>
      <c r="AY945" s="664"/>
      <c r="AZ945" s="664"/>
      <c r="BA945" s="665"/>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row>
    <row r="946" spans="2:105" x14ac:dyDescent="0.35">
      <c r="B946" s="1214"/>
      <c r="C946" s="1211"/>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64"/>
      <c r="AM946" s="664"/>
      <c r="AN946" s="636" t="s">
        <v>743</v>
      </c>
      <c r="AO946" s="664"/>
      <c r="AP946" s="664"/>
      <c r="AQ946" s="664"/>
      <c r="AR946" s="636" t="s">
        <v>743</v>
      </c>
      <c r="AS946" s="664"/>
      <c r="AT946" s="664"/>
      <c r="AU946" s="664"/>
      <c r="AV946" s="664"/>
      <c r="AW946" s="664"/>
      <c r="AX946" s="664"/>
      <c r="AY946" s="664"/>
      <c r="AZ946" s="664"/>
      <c r="BA946" s="665"/>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row>
    <row r="947" spans="2:105" x14ac:dyDescent="0.35">
      <c r="B947" s="1214"/>
      <c r="C947" s="1211"/>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64"/>
      <c r="AM947" s="664"/>
      <c r="AN947" s="636" t="s">
        <v>743</v>
      </c>
      <c r="AO947" s="664"/>
      <c r="AP947" s="664"/>
      <c r="AQ947" s="664"/>
      <c r="AR947" s="636" t="s">
        <v>743</v>
      </c>
      <c r="AS947" s="664"/>
      <c r="AT947" s="664"/>
      <c r="AU947" s="664"/>
      <c r="AV947" s="664"/>
      <c r="AW947" s="664"/>
      <c r="AX947" s="664"/>
      <c r="AY947" s="664"/>
      <c r="AZ947" s="664"/>
      <c r="BA947" s="665"/>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row>
    <row r="948" spans="2:105" x14ac:dyDescent="0.35">
      <c r="B948" s="1214"/>
      <c r="C948" s="1211"/>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64"/>
      <c r="AM948" s="664"/>
      <c r="AN948" s="636" t="s">
        <v>738</v>
      </c>
      <c r="AO948" s="664"/>
      <c r="AP948" s="664"/>
      <c r="AQ948" s="664"/>
      <c r="AR948" s="636" t="s">
        <v>738</v>
      </c>
      <c r="AS948" s="664"/>
      <c r="AT948" s="664"/>
      <c r="AU948" s="664"/>
      <c r="AV948" s="664"/>
      <c r="AW948" s="664"/>
      <c r="AX948" s="664"/>
      <c r="AY948" s="664"/>
      <c r="AZ948" s="664"/>
      <c r="BA948" s="665"/>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row>
    <row r="949" spans="2:105" x14ac:dyDescent="0.35">
      <c r="B949" s="1214"/>
      <c r="C949" s="1211"/>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64"/>
      <c r="AM949" s="664"/>
      <c r="AN949" s="636" t="s">
        <v>743</v>
      </c>
      <c r="AO949" s="664"/>
      <c r="AP949" s="664"/>
      <c r="AQ949" s="664"/>
      <c r="AR949" s="636" t="s">
        <v>743</v>
      </c>
      <c r="AS949" s="664"/>
      <c r="AT949" s="664"/>
      <c r="AU949" s="664"/>
      <c r="AV949" s="664"/>
      <c r="AW949" s="664"/>
      <c r="AX949" s="664"/>
      <c r="AY949" s="664"/>
      <c r="AZ949" s="664"/>
      <c r="BA949" s="665"/>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row>
    <row r="950" spans="2:105" x14ac:dyDescent="0.35">
      <c r="B950" s="1214"/>
      <c r="C950" s="1211"/>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64"/>
      <c r="AM950" s="664"/>
      <c r="AN950" s="636" t="s">
        <v>743</v>
      </c>
      <c r="AO950" s="664"/>
      <c r="AP950" s="664"/>
      <c r="AQ950" s="664"/>
      <c r="AR950" s="636" t="s">
        <v>743</v>
      </c>
      <c r="AS950" s="664"/>
      <c r="AT950" s="664"/>
      <c r="AU950" s="664"/>
      <c r="AV950" s="664"/>
      <c r="AW950" s="664"/>
      <c r="AX950" s="664"/>
      <c r="AY950" s="664"/>
      <c r="AZ950" s="664"/>
      <c r="BA950" s="665"/>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row>
    <row r="951" spans="2:105" x14ac:dyDescent="0.35">
      <c r="B951" s="1214"/>
      <c r="C951" s="1211"/>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64"/>
      <c r="AM951" s="664"/>
      <c r="AN951" s="636" t="s">
        <v>743</v>
      </c>
      <c r="AO951" s="664"/>
      <c r="AP951" s="664"/>
      <c r="AQ951" s="664"/>
      <c r="AR951" s="636" t="s">
        <v>743</v>
      </c>
      <c r="AS951" s="664"/>
      <c r="AT951" s="664"/>
      <c r="AU951" s="664"/>
      <c r="AV951" s="664"/>
      <c r="AW951" s="664"/>
      <c r="AX951" s="664"/>
      <c r="AY951" s="664"/>
      <c r="AZ951" s="664"/>
      <c r="BA951" s="665"/>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row>
    <row r="952" spans="2:105" x14ac:dyDescent="0.35">
      <c r="B952" s="1214"/>
      <c r="C952" s="1211"/>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64"/>
      <c r="AM952" s="664"/>
      <c r="AN952" s="636" t="s">
        <v>743</v>
      </c>
      <c r="AO952" s="664"/>
      <c r="AP952" s="664"/>
      <c r="AQ952" s="664"/>
      <c r="AR952" s="636" t="s">
        <v>743</v>
      </c>
      <c r="AS952" s="664"/>
      <c r="AT952" s="664"/>
      <c r="AU952" s="664"/>
      <c r="AV952" s="664"/>
      <c r="AW952" s="664"/>
      <c r="AX952" s="664"/>
      <c r="AY952" s="664"/>
      <c r="AZ952" s="664"/>
      <c r="BA952" s="665"/>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row>
    <row r="953" spans="2:105" x14ac:dyDescent="0.35">
      <c r="B953" s="1214"/>
      <c r="C953" s="1211"/>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64"/>
      <c r="AM953" s="664"/>
      <c r="AN953" s="636" t="s">
        <v>743</v>
      </c>
      <c r="AO953" s="664"/>
      <c r="AP953" s="664"/>
      <c r="AQ953" s="664"/>
      <c r="AR953" s="636" t="s">
        <v>743</v>
      </c>
      <c r="AS953" s="664"/>
      <c r="AT953" s="664"/>
      <c r="AU953" s="664"/>
      <c r="AV953" s="664"/>
      <c r="AW953" s="664"/>
      <c r="AX953" s="664"/>
      <c r="AY953" s="664"/>
      <c r="AZ953" s="664"/>
      <c r="BA953" s="665"/>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row>
    <row r="954" spans="2:105" ht="15" thickBot="1" x14ac:dyDescent="0.4">
      <c r="B954" s="1215"/>
      <c r="C954" s="1212"/>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66"/>
      <c r="AM954" s="666"/>
      <c r="AN954" s="641" t="s">
        <v>738</v>
      </c>
      <c r="AO954" s="666"/>
      <c r="AP954" s="666"/>
      <c r="AQ954" s="666"/>
      <c r="AR954" s="641" t="s">
        <v>738</v>
      </c>
      <c r="AS954" s="666"/>
      <c r="AT954" s="666"/>
      <c r="AU954" s="666"/>
      <c r="AV954" s="666"/>
      <c r="AW954" s="666"/>
      <c r="AX954" s="666"/>
      <c r="AY954" s="666"/>
      <c r="AZ954" s="666"/>
      <c r="BA954" s="667"/>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row>
    <row r="955" spans="2:105" ht="15" thickBot="1" x14ac:dyDescent="0.4">
      <c r="B955" s="577" t="s">
        <v>1044</v>
      </c>
      <c r="C955" s="1210"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68"/>
      <c r="AM955" s="668"/>
      <c r="AN955" s="646" t="s">
        <v>743</v>
      </c>
      <c r="AO955" s="668"/>
      <c r="AP955" s="668"/>
      <c r="AQ955" s="668"/>
      <c r="AR955" s="646" t="s">
        <v>743</v>
      </c>
      <c r="AS955" s="668"/>
      <c r="AT955" s="668"/>
      <c r="AU955" s="668"/>
      <c r="AV955" s="668"/>
      <c r="AW955" s="668"/>
      <c r="AX955" s="668"/>
      <c r="AY955" s="668"/>
      <c r="AZ955" s="668"/>
      <c r="BA955" s="669"/>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row>
    <row r="956" spans="2:105" x14ac:dyDescent="0.35">
      <c r="B956" s="1213" t="s">
        <v>1045</v>
      </c>
      <c r="C956" s="1211"/>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71"/>
      <c r="AM956" s="671"/>
      <c r="AN956" s="651" t="s">
        <v>743</v>
      </c>
      <c r="AO956" s="671"/>
      <c r="AP956" s="671"/>
      <c r="AQ956" s="671"/>
      <c r="AR956" s="651" t="s">
        <v>743</v>
      </c>
      <c r="AS956" s="671"/>
      <c r="AT956" s="671"/>
      <c r="AU956" s="671"/>
      <c r="AV956" s="671"/>
      <c r="AW956" s="671"/>
      <c r="AX956" s="671"/>
      <c r="AY956" s="671"/>
      <c r="AZ956" s="671"/>
      <c r="BA956" s="672"/>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row>
    <row r="957" spans="2:105" x14ac:dyDescent="0.35">
      <c r="B957" s="1214"/>
      <c r="C957" s="1211"/>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64"/>
      <c r="AM957" s="664"/>
      <c r="AN957" s="656" t="s">
        <v>738</v>
      </c>
      <c r="AO957" s="664"/>
      <c r="AP957" s="664"/>
      <c r="AQ957" s="664"/>
      <c r="AR957" s="656" t="s">
        <v>738</v>
      </c>
      <c r="AS957" s="664"/>
      <c r="AT957" s="664"/>
      <c r="AU957" s="664"/>
      <c r="AV957" s="664"/>
      <c r="AW957" s="664"/>
      <c r="AX957" s="664"/>
      <c r="AY957" s="664"/>
      <c r="AZ957" s="664"/>
      <c r="BA957" s="665"/>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row>
    <row r="958" spans="2:105" x14ac:dyDescent="0.35">
      <c r="B958" s="1214"/>
      <c r="C958" s="1211"/>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64"/>
      <c r="AM958" s="664"/>
      <c r="AN958" s="656" t="s">
        <v>743</v>
      </c>
      <c r="AO958" s="664"/>
      <c r="AP958" s="664"/>
      <c r="AQ958" s="664"/>
      <c r="AR958" s="656" t="s">
        <v>743</v>
      </c>
      <c r="AS958" s="664"/>
      <c r="AT958" s="664"/>
      <c r="AU958" s="664"/>
      <c r="AV958" s="664"/>
      <c r="AW958" s="664"/>
      <c r="AX958" s="664"/>
      <c r="AY958" s="664"/>
      <c r="AZ958" s="664"/>
      <c r="BA958" s="665"/>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row>
    <row r="959" spans="2:105" x14ac:dyDescent="0.35">
      <c r="B959" s="1214"/>
      <c r="C959" s="1211"/>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64"/>
      <c r="AM959" s="664"/>
      <c r="AN959" s="656" t="s">
        <v>743</v>
      </c>
      <c r="AO959" s="664"/>
      <c r="AP959" s="664"/>
      <c r="AQ959" s="664"/>
      <c r="AR959" s="656" t="s">
        <v>743</v>
      </c>
      <c r="AS959" s="664"/>
      <c r="AT959" s="664"/>
      <c r="AU959" s="664"/>
      <c r="AV959" s="664"/>
      <c r="AW959" s="664"/>
      <c r="AX959" s="664"/>
      <c r="AY959" s="664"/>
      <c r="AZ959" s="664"/>
      <c r="BA959" s="665"/>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row>
    <row r="960" spans="2:105" x14ac:dyDescent="0.35">
      <c r="B960" s="1214"/>
      <c r="C960" s="1211"/>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64"/>
      <c r="AM960" s="664"/>
      <c r="AN960" s="656" t="s">
        <v>743</v>
      </c>
      <c r="AO960" s="664"/>
      <c r="AP960" s="664"/>
      <c r="AQ960" s="664"/>
      <c r="AR960" s="656" t="s">
        <v>743</v>
      </c>
      <c r="AS960" s="664"/>
      <c r="AT960" s="664"/>
      <c r="AU960" s="664"/>
      <c r="AV960" s="664"/>
      <c r="AW960" s="664"/>
      <c r="AX960" s="664"/>
      <c r="AY960" s="664"/>
      <c r="AZ960" s="664"/>
      <c r="BA960" s="665"/>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row>
    <row r="961" spans="2:105" x14ac:dyDescent="0.35">
      <c r="B961" s="1214"/>
      <c r="C961" s="1211"/>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64"/>
      <c r="AM961" s="664"/>
      <c r="AN961" s="656" t="s">
        <v>738</v>
      </c>
      <c r="AO961" s="664"/>
      <c r="AP961" s="664"/>
      <c r="AQ961" s="664"/>
      <c r="AR961" s="656" t="s">
        <v>738</v>
      </c>
      <c r="AS961" s="664"/>
      <c r="AT961" s="664"/>
      <c r="AU961" s="664"/>
      <c r="AV961" s="664"/>
      <c r="AW961" s="664"/>
      <c r="AX961" s="664"/>
      <c r="AY961" s="664"/>
      <c r="AZ961" s="664"/>
      <c r="BA961" s="665"/>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row>
    <row r="962" spans="2:105" x14ac:dyDescent="0.35">
      <c r="B962" s="1214"/>
      <c r="C962" s="1211"/>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64"/>
      <c r="AM962" s="664"/>
      <c r="AN962" s="657" t="s">
        <v>743</v>
      </c>
      <c r="AO962" s="664"/>
      <c r="AP962" s="664"/>
      <c r="AQ962" s="664"/>
      <c r="AR962" s="657" t="s">
        <v>743</v>
      </c>
      <c r="AS962" s="664"/>
      <c r="AT962" s="664"/>
      <c r="AU962" s="664"/>
      <c r="AV962" s="664"/>
      <c r="AW962" s="664"/>
      <c r="AX962" s="664"/>
      <c r="AY962" s="664"/>
      <c r="AZ962" s="664"/>
      <c r="BA962" s="665"/>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row>
    <row r="963" spans="2:105" x14ac:dyDescent="0.35">
      <c r="B963" s="1214"/>
      <c r="C963" s="1211"/>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64"/>
      <c r="AM963" s="664"/>
      <c r="AN963" s="656" t="s">
        <v>743</v>
      </c>
      <c r="AO963" s="664"/>
      <c r="AP963" s="664"/>
      <c r="AQ963" s="664"/>
      <c r="AR963" s="656" t="s">
        <v>743</v>
      </c>
      <c r="AS963" s="664"/>
      <c r="AT963" s="664"/>
      <c r="AU963" s="664"/>
      <c r="AV963" s="664"/>
      <c r="AW963" s="664"/>
      <c r="AX963" s="664"/>
      <c r="AY963" s="664"/>
      <c r="AZ963" s="664"/>
      <c r="BA963" s="665"/>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row>
    <row r="964" spans="2:105" x14ac:dyDescent="0.35">
      <c r="B964" s="1214"/>
      <c r="C964" s="1211"/>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64"/>
      <c r="AM964" s="664"/>
      <c r="AN964" s="656" t="s">
        <v>738</v>
      </c>
      <c r="AO964" s="664"/>
      <c r="AP964" s="664"/>
      <c r="AQ964" s="664"/>
      <c r="AR964" s="656" t="s">
        <v>738</v>
      </c>
      <c r="AS964" s="664"/>
      <c r="AT964" s="664"/>
      <c r="AU964" s="664"/>
      <c r="AV964" s="664"/>
      <c r="AW964" s="664"/>
      <c r="AX964" s="664"/>
      <c r="AY964" s="664"/>
      <c r="AZ964" s="664"/>
      <c r="BA964" s="665"/>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row>
    <row r="965" spans="2:105" x14ac:dyDescent="0.35">
      <c r="B965" s="1214"/>
      <c r="C965" s="1211"/>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64"/>
      <c r="AM965" s="664"/>
      <c r="AN965" s="658" t="s">
        <v>743</v>
      </c>
      <c r="AO965" s="664"/>
      <c r="AP965" s="664"/>
      <c r="AQ965" s="664"/>
      <c r="AR965" s="658" t="s">
        <v>743</v>
      </c>
      <c r="AS965" s="664"/>
      <c r="AT965" s="664"/>
      <c r="AU965" s="664"/>
      <c r="AV965" s="664"/>
      <c r="AW965" s="664"/>
      <c r="AX965" s="664"/>
      <c r="AY965" s="664"/>
      <c r="AZ965" s="664"/>
      <c r="BA965" s="665"/>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row>
    <row r="966" spans="2:105" x14ac:dyDescent="0.35">
      <c r="B966" s="1214"/>
      <c r="C966" s="1211"/>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64"/>
      <c r="AM966" s="664"/>
      <c r="AN966" s="656" t="s">
        <v>738</v>
      </c>
      <c r="AO966" s="664"/>
      <c r="AP966" s="664"/>
      <c r="AQ966" s="664"/>
      <c r="AR966" s="656" t="s">
        <v>738</v>
      </c>
      <c r="AS966" s="664"/>
      <c r="AT966" s="664"/>
      <c r="AU966" s="664"/>
      <c r="AV966" s="664"/>
      <c r="AW966" s="664"/>
      <c r="AX966" s="664"/>
      <c r="AY966" s="664"/>
      <c r="AZ966" s="664"/>
      <c r="BA966" s="665"/>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row>
    <row r="967" spans="2:105" x14ac:dyDescent="0.35">
      <c r="B967" s="1214"/>
      <c r="C967" s="1211"/>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64"/>
      <c r="AM967" s="664"/>
      <c r="AN967" s="656" t="s">
        <v>738</v>
      </c>
      <c r="AO967" s="664"/>
      <c r="AP967" s="664"/>
      <c r="AQ967" s="664"/>
      <c r="AR967" s="656" t="s">
        <v>738</v>
      </c>
      <c r="AS967" s="664"/>
      <c r="AT967" s="664"/>
      <c r="AU967" s="664"/>
      <c r="AV967" s="664"/>
      <c r="AW967" s="664"/>
      <c r="AX967" s="664"/>
      <c r="AY967" s="664"/>
      <c r="AZ967" s="664"/>
      <c r="BA967" s="665"/>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row>
    <row r="968" spans="2:105" x14ac:dyDescent="0.35">
      <c r="B968" s="1214"/>
      <c r="C968" s="1211"/>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64"/>
      <c r="AM968" s="664"/>
      <c r="AN968" s="656" t="s">
        <v>738</v>
      </c>
      <c r="AO968" s="664"/>
      <c r="AP968" s="664"/>
      <c r="AQ968" s="664"/>
      <c r="AR968" s="656" t="s">
        <v>738</v>
      </c>
      <c r="AS968" s="664"/>
      <c r="AT968" s="664"/>
      <c r="AU968" s="664"/>
      <c r="AV968" s="664"/>
      <c r="AW968" s="664"/>
      <c r="AX968" s="664"/>
      <c r="AY968" s="664"/>
      <c r="AZ968" s="664"/>
      <c r="BA968" s="665"/>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row>
    <row r="969" spans="2:105" x14ac:dyDescent="0.35">
      <c r="B969" s="1214"/>
      <c r="C969" s="1211"/>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64"/>
      <c r="AM969" s="664"/>
      <c r="AN969" s="656" t="s">
        <v>738</v>
      </c>
      <c r="AO969" s="664"/>
      <c r="AP969" s="664"/>
      <c r="AQ969" s="664"/>
      <c r="AR969" s="656" t="s">
        <v>738</v>
      </c>
      <c r="AS969" s="664"/>
      <c r="AT969" s="664"/>
      <c r="AU969" s="664"/>
      <c r="AV969" s="664"/>
      <c r="AW969" s="664"/>
      <c r="AX969" s="664"/>
      <c r="AY969" s="664"/>
      <c r="AZ969" s="664"/>
      <c r="BA969" s="665"/>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row>
    <row r="970" spans="2:105" x14ac:dyDescent="0.35">
      <c r="B970" s="1214"/>
      <c r="C970" s="1211"/>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64"/>
      <c r="AM970" s="664"/>
      <c r="AN970" s="656" t="s">
        <v>738</v>
      </c>
      <c r="AO970" s="664"/>
      <c r="AP970" s="664"/>
      <c r="AQ970" s="664"/>
      <c r="AR970" s="656" t="s">
        <v>738</v>
      </c>
      <c r="AS970" s="664"/>
      <c r="AT970" s="664"/>
      <c r="AU970" s="664"/>
      <c r="AV970" s="664"/>
      <c r="AW970" s="664"/>
      <c r="AX970" s="664"/>
      <c r="AY970" s="664"/>
      <c r="AZ970" s="664"/>
      <c r="BA970" s="665"/>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row>
    <row r="971" spans="2:105" ht="15" thickBot="1" x14ac:dyDescent="0.4">
      <c r="B971" s="1215"/>
      <c r="C971" s="1212"/>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6"/>
      <c r="AM971" s="666"/>
      <c r="AN971" s="660" t="s">
        <v>738</v>
      </c>
      <c r="AO971" s="666"/>
      <c r="AP971" s="666"/>
      <c r="AQ971" s="666"/>
      <c r="AR971" s="660" t="s">
        <v>738</v>
      </c>
      <c r="AS971" s="666"/>
      <c r="AT971" s="666"/>
      <c r="AU971" s="666"/>
      <c r="AV971" s="666"/>
      <c r="AW971" s="666"/>
      <c r="AX971" s="666"/>
      <c r="AY971" s="666"/>
      <c r="AZ971" s="666"/>
      <c r="BA971" s="667"/>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row>
    <row r="972" spans="2:105" ht="15" thickBot="1" x14ac:dyDescent="0.4">
      <c r="B972" s="577" t="s">
        <v>1046</v>
      </c>
      <c r="C972" s="1210"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68"/>
      <c r="AM972" s="668"/>
      <c r="AN972" s="650" t="s">
        <v>743</v>
      </c>
      <c r="AO972" s="668"/>
      <c r="AP972" s="668"/>
      <c r="AQ972" s="668"/>
      <c r="AR972" s="650" t="s">
        <v>743</v>
      </c>
      <c r="AS972" s="668"/>
      <c r="AT972" s="668"/>
      <c r="AU972" s="668"/>
      <c r="AV972" s="668"/>
      <c r="AW972" s="668"/>
      <c r="AX972" s="668"/>
      <c r="AY972" s="668"/>
      <c r="AZ972" s="668"/>
      <c r="BA972" s="669"/>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row>
    <row r="973" spans="2:105" x14ac:dyDescent="0.35">
      <c r="B973" s="1213" t="s">
        <v>1047</v>
      </c>
      <c r="C973" s="1211"/>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71"/>
      <c r="AM973" s="671"/>
      <c r="AN973" s="651" t="s">
        <v>743</v>
      </c>
      <c r="AO973" s="671"/>
      <c r="AP973" s="671"/>
      <c r="AQ973" s="671"/>
      <c r="AR973" s="651" t="s">
        <v>743</v>
      </c>
      <c r="AS973" s="671"/>
      <c r="AT973" s="671"/>
      <c r="AU973" s="671"/>
      <c r="AV973" s="671"/>
      <c r="AW973" s="671"/>
      <c r="AX973" s="671"/>
      <c r="AY973" s="671"/>
      <c r="AZ973" s="671"/>
      <c r="BA973" s="672"/>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row>
    <row r="974" spans="2:105" x14ac:dyDescent="0.35">
      <c r="B974" s="1214"/>
      <c r="C974" s="1211"/>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64"/>
      <c r="AM974" s="664"/>
      <c r="AN974" s="656" t="s">
        <v>743</v>
      </c>
      <c r="AO974" s="664"/>
      <c r="AP974" s="664"/>
      <c r="AQ974" s="664"/>
      <c r="AR974" s="656" t="s">
        <v>743</v>
      </c>
      <c r="AS974" s="664"/>
      <c r="AT974" s="664"/>
      <c r="AU974" s="664"/>
      <c r="AV974" s="664"/>
      <c r="AW974" s="664"/>
      <c r="AX974" s="664"/>
      <c r="AY974" s="664"/>
      <c r="AZ974" s="664"/>
      <c r="BA974" s="665"/>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row>
    <row r="975" spans="2:105" x14ac:dyDescent="0.35">
      <c r="B975" s="1214"/>
      <c r="C975" s="1211"/>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64"/>
      <c r="AM975" s="664"/>
      <c r="AN975" s="656" t="s">
        <v>738</v>
      </c>
      <c r="AO975" s="664"/>
      <c r="AP975" s="664"/>
      <c r="AQ975" s="664"/>
      <c r="AR975" s="656" t="s">
        <v>738</v>
      </c>
      <c r="AS975" s="664"/>
      <c r="AT975" s="664"/>
      <c r="AU975" s="664"/>
      <c r="AV975" s="664"/>
      <c r="AW975" s="664"/>
      <c r="AX975" s="664"/>
      <c r="AY975" s="664"/>
      <c r="AZ975" s="664"/>
      <c r="BA975" s="665"/>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row>
    <row r="976" spans="2:105" x14ac:dyDescent="0.35">
      <c r="B976" s="1214"/>
      <c r="C976" s="1211"/>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64"/>
      <c r="AM976" s="664"/>
      <c r="AN976" s="656" t="s">
        <v>743</v>
      </c>
      <c r="AO976" s="664"/>
      <c r="AP976" s="664"/>
      <c r="AQ976" s="664"/>
      <c r="AR976" s="656" t="s">
        <v>743</v>
      </c>
      <c r="AS976" s="664"/>
      <c r="AT976" s="664"/>
      <c r="AU976" s="664"/>
      <c r="AV976" s="664"/>
      <c r="AW976" s="664"/>
      <c r="AX976" s="664"/>
      <c r="AY976" s="664"/>
      <c r="AZ976" s="664"/>
      <c r="BA976" s="665"/>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row>
    <row r="977" spans="2:105" x14ac:dyDescent="0.35">
      <c r="B977" s="1214"/>
      <c r="C977" s="1211"/>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64"/>
      <c r="AM977" s="664"/>
      <c r="AN977" s="656" t="s">
        <v>738</v>
      </c>
      <c r="AO977" s="664"/>
      <c r="AP977" s="664"/>
      <c r="AQ977" s="664"/>
      <c r="AR977" s="656" t="s">
        <v>738</v>
      </c>
      <c r="AS977" s="664"/>
      <c r="AT977" s="664"/>
      <c r="AU977" s="664"/>
      <c r="AV977" s="664"/>
      <c r="AW977" s="664"/>
      <c r="AX977" s="664"/>
      <c r="AY977" s="664"/>
      <c r="AZ977" s="664"/>
      <c r="BA977" s="665"/>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row>
    <row r="978" spans="2:105" x14ac:dyDescent="0.35">
      <c r="B978" s="1214"/>
      <c r="C978" s="1211"/>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64"/>
      <c r="AM978" s="664"/>
      <c r="AN978" s="656" t="s">
        <v>743</v>
      </c>
      <c r="AO978" s="664"/>
      <c r="AP978" s="664"/>
      <c r="AQ978" s="664"/>
      <c r="AR978" s="656" t="s">
        <v>743</v>
      </c>
      <c r="AS978" s="664"/>
      <c r="AT978" s="664"/>
      <c r="AU978" s="664"/>
      <c r="AV978" s="664"/>
      <c r="AW978" s="664"/>
      <c r="AX978" s="664"/>
      <c r="AY978" s="664"/>
      <c r="AZ978" s="664"/>
      <c r="BA978" s="665"/>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row>
    <row r="979" spans="2:105" x14ac:dyDescent="0.35">
      <c r="B979" s="1214"/>
      <c r="C979" s="1211"/>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64"/>
      <c r="AM979" s="664"/>
      <c r="AN979" s="656" t="s">
        <v>743</v>
      </c>
      <c r="AO979" s="664"/>
      <c r="AP979" s="664"/>
      <c r="AQ979" s="664"/>
      <c r="AR979" s="656" t="s">
        <v>743</v>
      </c>
      <c r="AS979" s="664"/>
      <c r="AT979" s="664"/>
      <c r="AU979" s="664"/>
      <c r="AV979" s="664"/>
      <c r="AW979" s="664"/>
      <c r="AX979" s="664"/>
      <c r="AY979" s="664"/>
      <c r="AZ979" s="664"/>
      <c r="BA979" s="665"/>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row>
    <row r="980" spans="2:105" x14ac:dyDescent="0.35">
      <c r="B980" s="1214"/>
      <c r="C980" s="1211"/>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64"/>
      <c r="AM980" s="664"/>
      <c r="AN980" s="656" t="s">
        <v>743</v>
      </c>
      <c r="AO980" s="664"/>
      <c r="AP980" s="664"/>
      <c r="AQ980" s="664"/>
      <c r="AR980" s="656" t="s">
        <v>743</v>
      </c>
      <c r="AS980" s="664"/>
      <c r="AT980" s="664"/>
      <c r="AU980" s="664"/>
      <c r="AV980" s="664"/>
      <c r="AW980" s="664"/>
      <c r="AX980" s="664"/>
      <c r="AY980" s="664"/>
      <c r="AZ980" s="664"/>
      <c r="BA980" s="665"/>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row>
    <row r="981" spans="2:105" x14ac:dyDescent="0.35">
      <c r="B981" s="1214"/>
      <c r="C981" s="1211"/>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64"/>
      <c r="AM981" s="664"/>
      <c r="AN981" s="656" t="s">
        <v>743</v>
      </c>
      <c r="AO981" s="664"/>
      <c r="AP981" s="664"/>
      <c r="AQ981" s="664"/>
      <c r="AR981" s="656" t="s">
        <v>743</v>
      </c>
      <c r="AS981" s="664"/>
      <c r="AT981" s="664"/>
      <c r="AU981" s="664"/>
      <c r="AV981" s="664"/>
      <c r="AW981" s="664"/>
      <c r="AX981" s="664"/>
      <c r="AY981" s="664"/>
      <c r="AZ981" s="664"/>
      <c r="BA981" s="665"/>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row>
    <row r="982" spans="2:105" x14ac:dyDescent="0.35">
      <c r="B982" s="1214"/>
      <c r="C982" s="1211"/>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64"/>
      <c r="AM982" s="664"/>
      <c r="AN982" s="656" t="s">
        <v>743</v>
      </c>
      <c r="AO982" s="664"/>
      <c r="AP982" s="664"/>
      <c r="AQ982" s="664"/>
      <c r="AR982" s="656" t="s">
        <v>743</v>
      </c>
      <c r="AS982" s="664"/>
      <c r="AT982" s="664"/>
      <c r="AU982" s="664"/>
      <c r="AV982" s="664"/>
      <c r="AW982" s="664"/>
      <c r="AX982" s="664"/>
      <c r="AY982" s="664"/>
      <c r="AZ982" s="664"/>
      <c r="BA982" s="665"/>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row>
    <row r="983" spans="2:105" x14ac:dyDescent="0.35">
      <c r="B983" s="1214"/>
      <c r="C983" s="1211"/>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64"/>
      <c r="AM983" s="664"/>
      <c r="AN983" s="656" t="s">
        <v>743</v>
      </c>
      <c r="AO983" s="664"/>
      <c r="AP983" s="664"/>
      <c r="AQ983" s="664"/>
      <c r="AR983" s="656" t="s">
        <v>743</v>
      </c>
      <c r="AS983" s="664"/>
      <c r="AT983" s="664"/>
      <c r="AU983" s="664"/>
      <c r="AV983" s="664"/>
      <c r="AW983" s="664"/>
      <c r="AX983" s="664"/>
      <c r="AY983" s="664"/>
      <c r="AZ983" s="664"/>
      <c r="BA983" s="665"/>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row>
    <row r="984" spans="2:105" x14ac:dyDescent="0.35">
      <c r="B984" s="1214"/>
      <c r="C984" s="1211"/>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64"/>
      <c r="AM984" s="664"/>
      <c r="AN984" s="656" t="s">
        <v>743</v>
      </c>
      <c r="AO984" s="664"/>
      <c r="AP984" s="664"/>
      <c r="AQ984" s="664"/>
      <c r="AR984" s="656" t="s">
        <v>743</v>
      </c>
      <c r="AS984" s="664"/>
      <c r="AT984" s="664"/>
      <c r="AU984" s="664"/>
      <c r="AV984" s="664"/>
      <c r="AW984" s="664"/>
      <c r="AX984" s="664"/>
      <c r="AY984" s="664"/>
      <c r="AZ984" s="664"/>
      <c r="BA984" s="665"/>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row>
    <row r="985" spans="2:105" x14ac:dyDescent="0.35">
      <c r="B985" s="1214"/>
      <c r="C985" s="1211"/>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64"/>
      <c r="AM985" s="664"/>
      <c r="AN985" s="656" t="s">
        <v>743</v>
      </c>
      <c r="AO985" s="664"/>
      <c r="AP985" s="664"/>
      <c r="AQ985" s="664"/>
      <c r="AR985" s="656" t="s">
        <v>743</v>
      </c>
      <c r="AS985" s="664"/>
      <c r="AT985" s="664"/>
      <c r="AU985" s="664"/>
      <c r="AV985" s="664"/>
      <c r="AW985" s="664"/>
      <c r="AX985" s="664"/>
      <c r="AY985" s="664"/>
      <c r="AZ985" s="664"/>
      <c r="BA985" s="665"/>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row>
    <row r="986" spans="2:105" x14ac:dyDescent="0.35">
      <c r="B986" s="1214"/>
      <c r="C986" s="1211"/>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64"/>
      <c r="AM986" s="664"/>
      <c r="AN986" s="656" t="s">
        <v>743</v>
      </c>
      <c r="AO986" s="664"/>
      <c r="AP986" s="664"/>
      <c r="AQ986" s="664"/>
      <c r="AR986" s="656" t="s">
        <v>743</v>
      </c>
      <c r="AS986" s="664"/>
      <c r="AT986" s="664"/>
      <c r="AU986" s="664"/>
      <c r="AV986" s="664"/>
      <c r="AW986" s="664"/>
      <c r="AX986" s="664"/>
      <c r="AY986" s="664"/>
      <c r="AZ986" s="664"/>
      <c r="BA986" s="665"/>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row>
    <row r="987" spans="2:105" x14ac:dyDescent="0.35">
      <c r="B987" s="1214"/>
      <c r="C987" s="1211"/>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64"/>
      <c r="AM987" s="664"/>
      <c r="AN987" s="656" t="s">
        <v>743</v>
      </c>
      <c r="AO987" s="664"/>
      <c r="AP987" s="664"/>
      <c r="AQ987" s="664"/>
      <c r="AR987" s="656" t="s">
        <v>743</v>
      </c>
      <c r="AS987" s="664"/>
      <c r="AT987" s="664"/>
      <c r="AU987" s="664"/>
      <c r="AV987" s="664"/>
      <c r="AW987" s="664"/>
      <c r="AX987" s="664"/>
      <c r="AY987" s="664"/>
      <c r="AZ987" s="664"/>
      <c r="BA987" s="665"/>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row>
    <row r="988" spans="2:105" ht="15" thickBot="1" x14ac:dyDescent="0.4">
      <c r="B988" s="1215"/>
      <c r="C988" s="1212"/>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6"/>
      <c r="AM988" s="666"/>
      <c r="AN988" s="660" t="s">
        <v>743</v>
      </c>
      <c r="AO988" s="666"/>
      <c r="AP988" s="666"/>
      <c r="AQ988" s="666"/>
      <c r="AR988" s="660" t="s">
        <v>743</v>
      </c>
      <c r="AS988" s="666"/>
      <c r="AT988" s="666"/>
      <c r="AU988" s="666"/>
      <c r="AV988" s="666"/>
      <c r="AW988" s="666"/>
      <c r="AX988" s="666"/>
      <c r="AY988" s="666"/>
      <c r="AZ988" s="666"/>
      <c r="BA988" s="667"/>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row>
    <row r="989" spans="2:105" ht="15" thickBot="1" x14ac:dyDescent="0.4">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5"/>
      <c r="AM989" s="675"/>
      <c r="AN989" s="674"/>
      <c r="AO989" s="675"/>
      <c r="AP989" s="675"/>
      <c r="AQ989" s="675"/>
      <c r="AR989" s="674"/>
      <c r="AS989" s="675"/>
      <c r="AT989" s="675"/>
      <c r="AU989" s="675"/>
      <c r="AV989" s="675"/>
      <c r="AW989" s="675"/>
      <c r="AX989" s="675"/>
      <c r="AY989" s="675"/>
      <c r="AZ989" s="675"/>
      <c r="BA989" s="676"/>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row>
    <row r="990" spans="2:105" ht="15" thickBot="1" x14ac:dyDescent="0.4">
      <c r="B990" s="577" t="s">
        <v>1049</v>
      </c>
      <c r="C990" s="1210"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8"/>
      <c r="AM990" s="628"/>
      <c r="AN990" s="626"/>
      <c r="AO990" s="628"/>
      <c r="AP990" s="628"/>
      <c r="AQ990" s="628"/>
      <c r="AR990" s="626"/>
      <c r="AS990" s="628"/>
      <c r="AT990" s="628"/>
      <c r="AU990" s="628"/>
      <c r="AV990" s="628"/>
      <c r="AW990" s="628"/>
      <c r="AX990" s="628"/>
      <c r="AY990" s="628"/>
      <c r="AZ990" s="628"/>
      <c r="BA990" s="629"/>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row>
    <row r="991" spans="2:105" x14ac:dyDescent="0.35">
      <c r="B991" s="1213" t="s">
        <v>1050</v>
      </c>
      <c r="C991" s="1211"/>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62"/>
      <c r="AM991" s="662"/>
      <c r="AN991" s="631"/>
      <c r="AO991" s="662"/>
      <c r="AP991" s="662"/>
      <c r="AQ991" s="662"/>
      <c r="AR991" s="631"/>
      <c r="AS991" s="662"/>
      <c r="AT991" s="662"/>
      <c r="AU991" s="662"/>
      <c r="AV991" s="662"/>
      <c r="AW991" s="662"/>
      <c r="AX991" s="662"/>
      <c r="AY991" s="662"/>
      <c r="AZ991" s="662"/>
      <c r="BA991" s="663"/>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row>
    <row r="992" spans="2:105" x14ac:dyDescent="0.35">
      <c r="B992" s="1214"/>
      <c r="C992" s="1211"/>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64"/>
      <c r="AM992" s="664"/>
      <c r="AN992" s="636"/>
      <c r="AO992" s="664"/>
      <c r="AP992" s="664"/>
      <c r="AQ992" s="664"/>
      <c r="AR992" s="636"/>
      <c r="AS992" s="664"/>
      <c r="AT992" s="664"/>
      <c r="AU992" s="664"/>
      <c r="AV992" s="664"/>
      <c r="AW992" s="664"/>
      <c r="AX992" s="664"/>
      <c r="AY992" s="664"/>
      <c r="AZ992" s="664"/>
      <c r="BA992" s="665"/>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row>
    <row r="993" spans="2:105" x14ac:dyDescent="0.35">
      <c r="B993" s="1214"/>
      <c r="C993" s="1211"/>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64"/>
      <c r="AM993" s="664"/>
      <c r="AN993" s="636"/>
      <c r="AO993" s="664"/>
      <c r="AP993" s="664"/>
      <c r="AQ993" s="664"/>
      <c r="AR993" s="636"/>
      <c r="AS993" s="664"/>
      <c r="AT993" s="664"/>
      <c r="AU993" s="664"/>
      <c r="AV993" s="664"/>
      <c r="AW993" s="664"/>
      <c r="AX993" s="664"/>
      <c r="AY993" s="664"/>
      <c r="AZ993" s="664"/>
      <c r="BA993" s="665"/>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row>
    <row r="994" spans="2:105" x14ac:dyDescent="0.35">
      <c r="B994" s="1214"/>
      <c r="C994" s="1211"/>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64"/>
      <c r="AM994" s="664"/>
      <c r="AN994" s="636"/>
      <c r="AO994" s="664"/>
      <c r="AP994" s="664"/>
      <c r="AQ994" s="664"/>
      <c r="AR994" s="636"/>
      <c r="AS994" s="664"/>
      <c r="AT994" s="664"/>
      <c r="AU994" s="664"/>
      <c r="AV994" s="664"/>
      <c r="AW994" s="664"/>
      <c r="AX994" s="664"/>
      <c r="AY994" s="664"/>
      <c r="AZ994" s="664"/>
      <c r="BA994" s="665"/>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row>
    <row r="995" spans="2:105" x14ac:dyDescent="0.35">
      <c r="B995" s="1214"/>
      <c r="C995" s="1211"/>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64"/>
      <c r="AM995" s="664"/>
      <c r="AN995" s="636"/>
      <c r="AO995" s="664"/>
      <c r="AP995" s="664"/>
      <c r="AQ995" s="664"/>
      <c r="AR995" s="636"/>
      <c r="AS995" s="664"/>
      <c r="AT995" s="664"/>
      <c r="AU995" s="664"/>
      <c r="AV995" s="664"/>
      <c r="AW995" s="664"/>
      <c r="AX995" s="664"/>
      <c r="AY995" s="664"/>
      <c r="AZ995" s="664"/>
      <c r="BA995" s="665"/>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row>
    <row r="996" spans="2:105" x14ac:dyDescent="0.35">
      <c r="B996" s="1214"/>
      <c r="C996" s="1211"/>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64"/>
      <c r="AM996" s="664"/>
      <c r="AN996" s="636"/>
      <c r="AO996" s="664"/>
      <c r="AP996" s="664"/>
      <c r="AQ996" s="664"/>
      <c r="AR996" s="636"/>
      <c r="AS996" s="664"/>
      <c r="AT996" s="664"/>
      <c r="AU996" s="664"/>
      <c r="AV996" s="664"/>
      <c r="AW996" s="664"/>
      <c r="AX996" s="664"/>
      <c r="AY996" s="664"/>
      <c r="AZ996" s="664"/>
      <c r="BA996" s="665"/>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row>
    <row r="997" spans="2:105" x14ac:dyDescent="0.35">
      <c r="B997" s="1214"/>
      <c r="C997" s="1211"/>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64"/>
      <c r="AM997" s="664"/>
      <c r="AN997" s="636"/>
      <c r="AO997" s="664"/>
      <c r="AP997" s="664"/>
      <c r="AQ997" s="664"/>
      <c r="AR997" s="636"/>
      <c r="AS997" s="664"/>
      <c r="AT997" s="664"/>
      <c r="AU997" s="664"/>
      <c r="AV997" s="664"/>
      <c r="AW997" s="664"/>
      <c r="AX997" s="664"/>
      <c r="AY997" s="664"/>
      <c r="AZ997" s="664"/>
      <c r="BA997" s="665"/>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row>
    <row r="998" spans="2:105" x14ac:dyDescent="0.35">
      <c r="B998" s="1214"/>
      <c r="C998" s="1211"/>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64"/>
      <c r="AM998" s="664"/>
      <c r="AN998" s="636"/>
      <c r="AO998" s="664"/>
      <c r="AP998" s="664"/>
      <c r="AQ998" s="664"/>
      <c r="AR998" s="636"/>
      <c r="AS998" s="664"/>
      <c r="AT998" s="664"/>
      <c r="AU998" s="664"/>
      <c r="AV998" s="664"/>
      <c r="AW998" s="664"/>
      <c r="AX998" s="664"/>
      <c r="AY998" s="664"/>
      <c r="AZ998" s="664"/>
      <c r="BA998" s="665"/>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row>
    <row r="999" spans="2:105" x14ac:dyDescent="0.35">
      <c r="B999" s="1214"/>
      <c r="C999" s="1211"/>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64"/>
      <c r="AM999" s="664"/>
      <c r="AN999" s="636"/>
      <c r="AO999" s="664"/>
      <c r="AP999" s="664"/>
      <c r="AQ999" s="664"/>
      <c r="AR999" s="636"/>
      <c r="AS999" s="664"/>
      <c r="AT999" s="664"/>
      <c r="AU999" s="664"/>
      <c r="AV999" s="664"/>
      <c r="AW999" s="664"/>
      <c r="AX999" s="664"/>
      <c r="AY999" s="664"/>
      <c r="AZ999" s="664"/>
      <c r="BA999" s="665"/>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row>
    <row r="1000" spans="2:105" x14ac:dyDescent="0.35">
      <c r="B1000" s="1214"/>
      <c r="C1000" s="1211"/>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64"/>
      <c r="AM1000" s="664"/>
      <c r="AN1000" s="636"/>
      <c r="AO1000" s="664"/>
      <c r="AP1000" s="664"/>
      <c r="AQ1000" s="664"/>
      <c r="AR1000" s="636"/>
      <c r="AS1000" s="664"/>
      <c r="AT1000" s="664"/>
      <c r="AU1000" s="664"/>
      <c r="AV1000" s="664"/>
      <c r="AW1000" s="664"/>
      <c r="AX1000" s="664"/>
      <c r="AY1000" s="664"/>
      <c r="AZ1000" s="664"/>
      <c r="BA1000" s="665"/>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row>
    <row r="1001" spans="2:105" x14ac:dyDescent="0.35">
      <c r="B1001" s="1214"/>
      <c r="C1001" s="1211"/>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64"/>
      <c r="AM1001" s="664"/>
      <c r="AN1001" s="636"/>
      <c r="AO1001" s="664"/>
      <c r="AP1001" s="664"/>
      <c r="AQ1001" s="664"/>
      <c r="AR1001" s="636"/>
      <c r="AS1001" s="664"/>
      <c r="AT1001" s="664"/>
      <c r="AU1001" s="664"/>
      <c r="AV1001" s="664"/>
      <c r="AW1001" s="664"/>
      <c r="AX1001" s="664"/>
      <c r="AY1001" s="664"/>
      <c r="AZ1001" s="664"/>
      <c r="BA1001" s="665"/>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row>
    <row r="1002" spans="2:105" x14ac:dyDescent="0.35">
      <c r="B1002" s="1214"/>
      <c r="C1002" s="1211"/>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64"/>
      <c r="AM1002" s="664"/>
      <c r="AN1002" s="636"/>
      <c r="AO1002" s="664"/>
      <c r="AP1002" s="664"/>
      <c r="AQ1002" s="664"/>
      <c r="AR1002" s="636"/>
      <c r="AS1002" s="664"/>
      <c r="AT1002" s="664"/>
      <c r="AU1002" s="664"/>
      <c r="AV1002" s="664"/>
      <c r="AW1002" s="664"/>
      <c r="AX1002" s="664"/>
      <c r="AY1002" s="664"/>
      <c r="AZ1002" s="664"/>
      <c r="BA1002" s="665"/>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row>
    <row r="1003" spans="2:105" x14ac:dyDescent="0.35">
      <c r="B1003" s="1214"/>
      <c r="C1003" s="1211"/>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64"/>
      <c r="AM1003" s="664"/>
      <c r="AN1003" s="636"/>
      <c r="AO1003" s="664"/>
      <c r="AP1003" s="664"/>
      <c r="AQ1003" s="664"/>
      <c r="AR1003" s="636"/>
      <c r="AS1003" s="664"/>
      <c r="AT1003" s="664"/>
      <c r="AU1003" s="664"/>
      <c r="AV1003" s="664"/>
      <c r="AW1003" s="664"/>
      <c r="AX1003" s="664"/>
      <c r="AY1003" s="664"/>
      <c r="AZ1003" s="664"/>
      <c r="BA1003" s="665"/>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row>
    <row r="1004" spans="2:105" x14ac:dyDescent="0.35">
      <c r="B1004" s="1214"/>
      <c r="C1004" s="1211"/>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64"/>
      <c r="AM1004" s="664"/>
      <c r="AN1004" s="636"/>
      <c r="AO1004" s="664"/>
      <c r="AP1004" s="664"/>
      <c r="AQ1004" s="664"/>
      <c r="AR1004" s="636"/>
      <c r="AS1004" s="664"/>
      <c r="AT1004" s="664"/>
      <c r="AU1004" s="664"/>
      <c r="AV1004" s="664"/>
      <c r="AW1004" s="664"/>
      <c r="AX1004" s="664"/>
      <c r="AY1004" s="664"/>
      <c r="AZ1004" s="664"/>
      <c r="BA1004" s="665"/>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row>
    <row r="1005" spans="2:105" x14ac:dyDescent="0.35">
      <c r="B1005" s="1214"/>
      <c r="C1005" s="1211"/>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64"/>
      <c r="AM1005" s="664"/>
      <c r="AN1005" s="636"/>
      <c r="AO1005" s="664"/>
      <c r="AP1005" s="664"/>
      <c r="AQ1005" s="664"/>
      <c r="AR1005" s="636"/>
      <c r="AS1005" s="664"/>
      <c r="AT1005" s="664"/>
      <c r="AU1005" s="664"/>
      <c r="AV1005" s="664"/>
      <c r="AW1005" s="664"/>
      <c r="AX1005" s="664"/>
      <c r="AY1005" s="664"/>
      <c r="AZ1005" s="664"/>
      <c r="BA1005" s="665"/>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row>
    <row r="1006" spans="2:105" ht="15" thickBot="1" x14ac:dyDescent="0.4">
      <c r="B1006" s="1215"/>
      <c r="C1006" s="1212"/>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66"/>
      <c r="AM1006" s="666"/>
      <c r="AN1006" s="641"/>
      <c r="AO1006" s="666"/>
      <c r="AP1006" s="666"/>
      <c r="AQ1006" s="666"/>
      <c r="AR1006" s="641"/>
      <c r="AS1006" s="666"/>
      <c r="AT1006" s="666"/>
      <c r="AU1006" s="666"/>
      <c r="AV1006" s="666"/>
      <c r="AW1006" s="666"/>
      <c r="AX1006" s="666"/>
      <c r="AY1006" s="666"/>
      <c r="AZ1006" s="666"/>
      <c r="BA1006" s="667"/>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row>
    <row r="1007" spans="2:105" ht="15" thickBot="1" x14ac:dyDescent="0.4">
      <c r="B1007" s="577" t="s">
        <v>1051</v>
      </c>
      <c r="C1007" s="1210"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68"/>
      <c r="AM1007" s="668"/>
      <c r="AN1007" s="646"/>
      <c r="AO1007" s="668"/>
      <c r="AP1007" s="668"/>
      <c r="AQ1007" s="668"/>
      <c r="AR1007" s="646"/>
      <c r="AS1007" s="668"/>
      <c r="AT1007" s="668"/>
      <c r="AU1007" s="668"/>
      <c r="AV1007" s="668"/>
      <c r="AW1007" s="668"/>
      <c r="AX1007" s="668"/>
      <c r="AY1007" s="668"/>
      <c r="AZ1007" s="668"/>
      <c r="BA1007" s="669"/>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row>
    <row r="1008" spans="2:105" x14ac:dyDescent="0.35">
      <c r="B1008" s="1213" t="s">
        <v>1052</v>
      </c>
      <c r="C1008" s="1211"/>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71"/>
      <c r="AM1008" s="671"/>
      <c r="AN1008" s="651"/>
      <c r="AO1008" s="671"/>
      <c r="AP1008" s="671"/>
      <c r="AQ1008" s="671"/>
      <c r="AR1008" s="651"/>
      <c r="AS1008" s="671"/>
      <c r="AT1008" s="671"/>
      <c r="AU1008" s="671"/>
      <c r="AV1008" s="671"/>
      <c r="AW1008" s="671"/>
      <c r="AX1008" s="671"/>
      <c r="AY1008" s="671"/>
      <c r="AZ1008" s="671"/>
      <c r="BA1008" s="672"/>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row>
    <row r="1009" spans="2:105" x14ac:dyDescent="0.35">
      <c r="B1009" s="1214"/>
      <c r="C1009" s="1211"/>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64"/>
      <c r="AM1009" s="664"/>
      <c r="AN1009" s="656"/>
      <c r="AO1009" s="664"/>
      <c r="AP1009" s="664"/>
      <c r="AQ1009" s="664"/>
      <c r="AR1009" s="656"/>
      <c r="AS1009" s="664"/>
      <c r="AT1009" s="664"/>
      <c r="AU1009" s="664"/>
      <c r="AV1009" s="664"/>
      <c r="AW1009" s="664"/>
      <c r="AX1009" s="664"/>
      <c r="AY1009" s="664"/>
      <c r="AZ1009" s="664"/>
      <c r="BA1009" s="665"/>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row>
    <row r="1010" spans="2:105" x14ac:dyDescent="0.35">
      <c r="B1010" s="1214"/>
      <c r="C1010" s="1211"/>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64"/>
      <c r="AM1010" s="664"/>
      <c r="AN1010" s="656"/>
      <c r="AO1010" s="664"/>
      <c r="AP1010" s="664"/>
      <c r="AQ1010" s="664"/>
      <c r="AR1010" s="656"/>
      <c r="AS1010" s="664"/>
      <c r="AT1010" s="664"/>
      <c r="AU1010" s="664"/>
      <c r="AV1010" s="664"/>
      <c r="AW1010" s="664"/>
      <c r="AX1010" s="664"/>
      <c r="AY1010" s="664"/>
      <c r="AZ1010" s="664"/>
      <c r="BA1010" s="665"/>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row>
    <row r="1011" spans="2:105" x14ac:dyDescent="0.35">
      <c r="B1011" s="1214"/>
      <c r="C1011" s="1211"/>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64"/>
      <c r="AM1011" s="664"/>
      <c r="AN1011" s="656"/>
      <c r="AO1011" s="664"/>
      <c r="AP1011" s="664"/>
      <c r="AQ1011" s="664"/>
      <c r="AR1011" s="656"/>
      <c r="AS1011" s="664"/>
      <c r="AT1011" s="664"/>
      <c r="AU1011" s="664"/>
      <c r="AV1011" s="664"/>
      <c r="AW1011" s="664"/>
      <c r="AX1011" s="664"/>
      <c r="AY1011" s="664"/>
      <c r="AZ1011" s="664"/>
      <c r="BA1011" s="665"/>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row>
    <row r="1012" spans="2:105" x14ac:dyDescent="0.35">
      <c r="B1012" s="1214"/>
      <c r="C1012" s="1211"/>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64"/>
      <c r="AM1012" s="664"/>
      <c r="AN1012" s="656"/>
      <c r="AO1012" s="664"/>
      <c r="AP1012" s="664"/>
      <c r="AQ1012" s="664"/>
      <c r="AR1012" s="656"/>
      <c r="AS1012" s="664"/>
      <c r="AT1012" s="664"/>
      <c r="AU1012" s="664"/>
      <c r="AV1012" s="664"/>
      <c r="AW1012" s="664"/>
      <c r="AX1012" s="664"/>
      <c r="AY1012" s="664"/>
      <c r="AZ1012" s="664"/>
      <c r="BA1012" s="665"/>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row>
    <row r="1013" spans="2:105" x14ac:dyDescent="0.35">
      <c r="B1013" s="1214"/>
      <c r="C1013" s="1211"/>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64"/>
      <c r="AM1013" s="664"/>
      <c r="AN1013" s="656"/>
      <c r="AO1013" s="664"/>
      <c r="AP1013" s="664"/>
      <c r="AQ1013" s="664"/>
      <c r="AR1013" s="656"/>
      <c r="AS1013" s="664"/>
      <c r="AT1013" s="664"/>
      <c r="AU1013" s="664"/>
      <c r="AV1013" s="664"/>
      <c r="AW1013" s="664"/>
      <c r="AX1013" s="664"/>
      <c r="AY1013" s="664"/>
      <c r="AZ1013" s="664"/>
      <c r="BA1013" s="665"/>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row>
    <row r="1014" spans="2:105" x14ac:dyDescent="0.35">
      <c r="B1014" s="1214"/>
      <c r="C1014" s="1211"/>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64"/>
      <c r="AM1014" s="664"/>
      <c r="AN1014" s="657"/>
      <c r="AO1014" s="664"/>
      <c r="AP1014" s="664"/>
      <c r="AQ1014" s="664"/>
      <c r="AR1014" s="657"/>
      <c r="AS1014" s="664"/>
      <c r="AT1014" s="664"/>
      <c r="AU1014" s="664"/>
      <c r="AV1014" s="664"/>
      <c r="AW1014" s="664"/>
      <c r="AX1014" s="664"/>
      <c r="AY1014" s="664"/>
      <c r="AZ1014" s="664"/>
      <c r="BA1014" s="665"/>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row>
    <row r="1015" spans="2:105" x14ac:dyDescent="0.35">
      <c r="B1015" s="1214"/>
      <c r="C1015" s="1211"/>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64"/>
      <c r="AM1015" s="664"/>
      <c r="AN1015" s="656"/>
      <c r="AO1015" s="664"/>
      <c r="AP1015" s="664"/>
      <c r="AQ1015" s="664"/>
      <c r="AR1015" s="656"/>
      <c r="AS1015" s="664"/>
      <c r="AT1015" s="664"/>
      <c r="AU1015" s="664"/>
      <c r="AV1015" s="664"/>
      <c r="AW1015" s="664"/>
      <c r="AX1015" s="664"/>
      <c r="AY1015" s="664"/>
      <c r="AZ1015" s="664"/>
      <c r="BA1015" s="665"/>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row>
    <row r="1016" spans="2:105" x14ac:dyDescent="0.35">
      <c r="B1016" s="1214"/>
      <c r="C1016" s="1211"/>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64"/>
      <c r="AM1016" s="664"/>
      <c r="AN1016" s="656"/>
      <c r="AO1016" s="664"/>
      <c r="AP1016" s="664"/>
      <c r="AQ1016" s="664"/>
      <c r="AR1016" s="656"/>
      <c r="AS1016" s="664"/>
      <c r="AT1016" s="664"/>
      <c r="AU1016" s="664"/>
      <c r="AV1016" s="664"/>
      <c r="AW1016" s="664"/>
      <c r="AX1016" s="664"/>
      <c r="AY1016" s="664"/>
      <c r="AZ1016" s="664"/>
      <c r="BA1016" s="665"/>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row>
    <row r="1017" spans="2:105" x14ac:dyDescent="0.35">
      <c r="B1017" s="1214"/>
      <c r="C1017" s="1211"/>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64"/>
      <c r="AM1017" s="664"/>
      <c r="AN1017" s="658"/>
      <c r="AO1017" s="664"/>
      <c r="AP1017" s="664"/>
      <c r="AQ1017" s="664"/>
      <c r="AR1017" s="658"/>
      <c r="AS1017" s="664"/>
      <c r="AT1017" s="664"/>
      <c r="AU1017" s="664"/>
      <c r="AV1017" s="664"/>
      <c r="AW1017" s="664"/>
      <c r="AX1017" s="664"/>
      <c r="AY1017" s="664"/>
      <c r="AZ1017" s="664"/>
      <c r="BA1017" s="665"/>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row>
    <row r="1018" spans="2:105" x14ac:dyDescent="0.35">
      <c r="B1018" s="1214"/>
      <c r="C1018" s="1211"/>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64"/>
      <c r="AM1018" s="664"/>
      <c r="AN1018" s="656"/>
      <c r="AO1018" s="664"/>
      <c r="AP1018" s="664"/>
      <c r="AQ1018" s="664"/>
      <c r="AR1018" s="656"/>
      <c r="AS1018" s="664"/>
      <c r="AT1018" s="664"/>
      <c r="AU1018" s="664"/>
      <c r="AV1018" s="664"/>
      <c r="AW1018" s="664"/>
      <c r="AX1018" s="664"/>
      <c r="AY1018" s="664"/>
      <c r="AZ1018" s="664"/>
      <c r="BA1018" s="665"/>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row>
    <row r="1019" spans="2:105" x14ac:dyDescent="0.35">
      <c r="B1019" s="1214"/>
      <c r="C1019" s="1211"/>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64"/>
      <c r="AM1019" s="664"/>
      <c r="AN1019" s="656"/>
      <c r="AO1019" s="664"/>
      <c r="AP1019" s="664"/>
      <c r="AQ1019" s="664"/>
      <c r="AR1019" s="656"/>
      <c r="AS1019" s="664"/>
      <c r="AT1019" s="664"/>
      <c r="AU1019" s="664"/>
      <c r="AV1019" s="664"/>
      <c r="AW1019" s="664"/>
      <c r="AX1019" s="664"/>
      <c r="AY1019" s="664"/>
      <c r="AZ1019" s="664"/>
      <c r="BA1019" s="665"/>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row>
    <row r="1020" spans="2:105" x14ac:dyDescent="0.35">
      <c r="B1020" s="1214"/>
      <c r="C1020" s="1211"/>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64"/>
      <c r="AM1020" s="664"/>
      <c r="AN1020" s="656"/>
      <c r="AO1020" s="664"/>
      <c r="AP1020" s="664"/>
      <c r="AQ1020" s="664"/>
      <c r="AR1020" s="656"/>
      <c r="AS1020" s="664"/>
      <c r="AT1020" s="664"/>
      <c r="AU1020" s="664"/>
      <c r="AV1020" s="664"/>
      <c r="AW1020" s="664"/>
      <c r="AX1020" s="664"/>
      <c r="AY1020" s="664"/>
      <c r="AZ1020" s="664"/>
      <c r="BA1020" s="665"/>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row>
    <row r="1021" spans="2:105" x14ac:dyDescent="0.35">
      <c r="B1021" s="1214"/>
      <c r="C1021" s="1211"/>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64"/>
      <c r="AM1021" s="664"/>
      <c r="AN1021" s="656"/>
      <c r="AO1021" s="664"/>
      <c r="AP1021" s="664"/>
      <c r="AQ1021" s="664"/>
      <c r="AR1021" s="656"/>
      <c r="AS1021" s="664"/>
      <c r="AT1021" s="664"/>
      <c r="AU1021" s="664"/>
      <c r="AV1021" s="664"/>
      <c r="AW1021" s="664"/>
      <c r="AX1021" s="664"/>
      <c r="AY1021" s="664"/>
      <c r="AZ1021" s="664"/>
      <c r="BA1021" s="665"/>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row>
    <row r="1022" spans="2:105" x14ac:dyDescent="0.35">
      <c r="B1022" s="1214"/>
      <c r="C1022" s="1211"/>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64"/>
      <c r="AM1022" s="664"/>
      <c r="AN1022" s="656"/>
      <c r="AO1022" s="664"/>
      <c r="AP1022" s="664"/>
      <c r="AQ1022" s="664"/>
      <c r="AR1022" s="656"/>
      <c r="AS1022" s="664"/>
      <c r="AT1022" s="664"/>
      <c r="AU1022" s="664"/>
      <c r="AV1022" s="664"/>
      <c r="AW1022" s="664"/>
      <c r="AX1022" s="664"/>
      <c r="AY1022" s="664"/>
      <c r="AZ1022" s="664"/>
      <c r="BA1022" s="665"/>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row>
    <row r="1023" spans="2:105" ht="15" thickBot="1" x14ac:dyDescent="0.4">
      <c r="B1023" s="1215"/>
      <c r="C1023" s="1212"/>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6"/>
      <c r="AM1023" s="666"/>
      <c r="AN1023" s="660"/>
      <c r="AO1023" s="666"/>
      <c r="AP1023" s="666"/>
      <c r="AQ1023" s="666"/>
      <c r="AR1023" s="660"/>
      <c r="AS1023" s="666"/>
      <c r="AT1023" s="666"/>
      <c r="AU1023" s="666"/>
      <c r="AV1023" s="666"/>
      <c r="AW1023" s="666"/>
      <c r="AX1023" s="666"/>
      <c r="AY1023" s="666"/>
      <c r="AZ1023" s="666"/>
      <c r="BA1023" s="667"/>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row>
    <row r="1024" spans="2:105" ht="15" thickBot="1" x14ac:dyDescent="0.4">
      <c r="B1024" s="577" t="s">
        <v>1053</v>
      </c>
      <c r="C1024" s="1210"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68"/>
      <c r="AM1024" s="668"/>
      <c r="AN1024" s="650"/>
      <c r="AO1024" s="668"/>
      <c r="AP1024" s="668"/>
      <c r="AQ1024" s="668"/>
      <c r="AR1024" s="650"/>
      <c r="AS1024" s="668"/>
      <c r="AT1024" s="668"/>
      <c r="AU1024" s="668"/>
      <c r="AV1024" s="668"/>
      <c r="AW1024" s="668"/>
      <c r="AX1024" s="668"/>
      <c r="AY1024" s="668"/>
      <c r="AZ1024" s="668"/>
      <c r="BA1024" s="669"/>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row>
    <row r="1025" spans="2:105" x14ac:dyDescent="0.35">
      <c r="B1025" s="1213" t="s">
        <v>1054</v>
      </c>
      <c r="C1025" s="1211"/>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71"/>
      <c r="AM1025" s="671"/>
      <c r="AN1025" s="651"/>
      <c r="AO1025" s="671"/>
      <c r="AP1025" s="671"/>
      <c r="AQ1025" s="671"/>
      <c r="AR1025" s="651"/>
      <c r="AS1025" s="671"/>
      <c r="AT1025" s="671"/>
      <c r="AU1025" s="671"/>
      <c r="AV1025" s="671"/>
      <c r="AW1025" s="671"/>
      <c r="AX1025" s="671"/>
      <c r="AY1025" s="671"/>
      <c r="AZ1025" s="671"/>
      <c r="BA1025" s="672"/>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row>
    <row r="1026" spans="2:105" x14ac:dyDescent="0.35">
      <c r="B1026" s="1214"/>
      <c r="C1026" s="1211"/>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64"/>
      <c r="AM1026" s="664"/>
      <c r="AN1026" s="656"/>
      <c r="AO1026" s="664"/>
      <c r="AP1026" s="664"/>
      <c r="AQ1026" s="664"/>
      <c r="AR1026" s="656"/>
      <c r="AS1026" s="664"/>
      <c r="AT1026" s="664"/>
      <c r="AU1026" s="664"/>
      <c r="AV1026" s="664"/>
      <c r="AW1026" s="664"/>
      <c r="AX1026" s="664"/>
      <c r="AY1026" s="664"/>
      <c r="AZ1026" s="664"/>
      <c r="BA1026" s="665"/>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row>
    <row r="1027" spans="2:105" x14ac:dyDescent="0.35">
      <c r="B1027" s="1214"/>
      <c r="C1027" s="1211"/>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64"/>
      <c r="AM1027" s="664"/>
      <c r="AN1027" s="656"/>
      <c r="AO1027" s="664"/>
      <c r="AP1027" s="664"/>
      <c r="AQ1027" s="664"/>
      <c r="AR1027" s="656"/>
      <c r="AS1027" s="664"/>
      <c r="AT1027" s="664"/>
      <c r="AU1027" s="664"/>
      <c r="AV1027" s="664"/>
      <c r="AW1027" s="664"/>
      <c r="AX1027" s="664"/>
      <c r="AY1027" s="664"/>
      <c r="AZ1027" s="664"/>
      <c r="BA1027" s="665"/>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row>
    <row r="1028" spans="2:105" x14ac:dyDescent="0.35">
      <c r="B1028" s="1214"/>
      <c r="C1028" s="1211"/>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64"/>
      <c r="AM1028" s="664"/>
      <c r="AN1028" s="656"/>
      <c r="AO1028" s="664"/>
      <c r="AP1028" s="664"/>
      <c r="AQ1028" s="664"/>
      <c r="AR1028" s="656"/>
      <c r="AS1028" s="664"/>
      <c r="AT1028" s="664"/>
      <c r="AU1028" s="664"/>
      <c r="AV1028" s="664"/>
      <c r="AW1028" s="664"/>
      <c r="AX1028" s="664"/>
      <c r="AY1028" s="664"/>
      <c r="AZ1028" s="664"/>
      <c r="BA1028" s="665"/>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row>
    <row r="1029" spans="2:105" x14ac:dyDescent="0.35">
      <c r="B1029" s="1214"/>
      <c r="C1029" s="1211"/>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64"/>
      <c r="AM1029" s="664"/>
      <c r="AN1029" s="656"/>
      <c r="AO1029" s="664"/>
      <c r="AP1029" s="664"/>
      <c r="AQ1029" s="664"/>
      <c r="AR1029" s="656"/>
      <c r="AS1029" s="664"/>
      <c r="AT1029" s="664"/>
      <c r="AU1029" s="664"/>
      <c r="AV1029" s="664"/>
      <c r="AW1029" s="664"/>
      <c r="AX1029" s="664"/>
      <c r="AY1029" s="664"/>
      <c r="AZ1029" s="664"/>
      <c r="BA1029" s="665"/>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row>
    <row r="1030" spans="2:105" x14ac:dyDescent="0.35">
      <c r="B1030" s="1214"/>
      <c r="C1030" s="1211"/>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64"/>
      <c r="AM1030" s="664"/>
      <c r="AN1030" s="656"/>
      <c r="AO1030" s="664"/>
      <c r="AP1030" s="664"/>
      <c r="AQ1030" s="664"/>
      <c r="AR1030" s="656"/>
      <c r="AS1030" s="664"/>
      <c r="AT1030" s="664"/>
      <c r="AU1030" s="664"/>
      <c r="AV1030" s="664"/>
      <c r="AW1030" s="664"/>
      <c r="AX1030" s="664"/>
      <c r="AY1030" s="664"/>
      <c r="AZ1030" s="664"/>
      <c r="BA1030" s="665"/>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row>
    <row r="1031" spans="2:105" x14ac:dyDescent="0.35">
      <c r="B1031" s="1214"/>
      <c r="C1031" s="1211"/>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64"/>
      <c r="AM1031" s="664"/>
      <c r="AN1031" s="656"/>
      <c r="AO1031" s="664"/>
      <c r="AP1031" s="664"/>
      <c r="AQ1031" s="664"/>
      <c r="AR1031" s="656"/>
      <c r="AS1031" s="664"/>
      <c r="AT1031" s="664"/>
      <c r="AU1031" s="664"/>
      <c r="AV1031" s="664"/>
      <c r="AW1031" s="664"/>
      <c r="AX1031" s="664"/>
      <c r="AY1031" s="664"/>
      <c r="AZ1031" s="664"/>
      <c r="BA1031" s="665"/>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row>
    <row r="1032" spans="2:105" x14ac:dyDescent="0.35">
      <c r="B1032" s="1214"/>
      <c r="C1032" s="1211"/>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64"/>
      <c r="AM1032" s="664"/>
      <c r="AN1032" s="656"/>
      <c r="AO1032" s="664"/>
      <c r="AP1032" s="664"/>
      <c r="AQ1032" s="664"/>
      <c r="AR1032" s="656"/>
      <c r="AS1032" s="664"/>
      <c r="AT1032" s="664"/>
      <c r="AU1032" s="664"/>
      <c r="AV1032" s="664"/>
      <c r="AW1032" s="664"/>
      <c r="AX1032" s="664"/>
      <c r="AY1032" s="664"/>
      <c r="AZ1032" s="664"/>
      <c r="BA1032" s="665"/>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row>
    <row r="1033" spans="2:105" x14ac:dyDescent="0.35">
      <c r="B1033" s="1214"/>
      <c r="C1033" s="1211"/>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64"/>
      <c r="AM1033" s="664"/>
      <c r="AN1033" s="656"/>
      <c r="AO1033" s="664"/>
      <c r="AP1033" s="664"/>
      <c r="AQ1033" s="664"/>
      <c r="AR1033" s="656"/>
      <c r="AS1033" s="664"/>
      <c r="AT1033" s="664"/>
      <c r="AU1033" s="664"/>
      <c r="AV1033" s="664"/>
      <c r="AW1033" s="664"/>
      <c r="AX1033" s="664"/>
      <c r="AY1033" s="664"/>
      <c r="AZ1033" s="664"/>
      <c r="BA1033" s="665"/>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row>
    <row r="1034" spans="2:105" x14ac:dyDescent="0.35">
      <c r="B1034" s="1214"/>
      <c r="C1034" s="1211"/>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64"/>
      <c r="AM1034" s="664"/>
      <c r="AN1034" s="656"/>
      <c r="AO1034" s="664"/>
      <c r="AP1034" s="664"/>
      <c r="AQ1034" s="664"/>
      <c r="AR1034" s="656"/>
      <c r="AS1034" s="664"/>
      <c r="AT1034" s="664"/>
      <c r="AU1034" s="664"/>
      <c r="AV1034" s="664"/>
      <c r="AW1034" s="664"/>
      <c r="AX1034" s="664"/>
      <c r="AY1034" s="664"/>
      <c r="AZ1034" s="664"/>
      <c r="BA1034" s="665"/>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row>
    <row r="1035" spans="2:105" x14ac:dyDescent="0.35">
      <c r="B1035" s="1214"/>
      <c r="C1035" s="1211"/>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64"/>
      <c r="AM1035" s="664"/>
      <c r="AN1035" s="656"/>
      <c r="AO1035" s="664"/>
      <c r="AP1035" s="664"/>
      <c r="AQ1035" s="664"/>
      <c r="AR1035" s="656"/>
      <c r="AS1035" s="664"/>
      <c r="AT1035" s="664"/>
      <c r="AU1035" s="664"/>
      <c r="AV1035" s="664"/>
      <c r="AW1035" s="664"/>
      <c r="AX1035" s="664"/>
      <c r="AY1035" s="664"/>
      <c r="AZ1035" s="664"/>
      <c r="BA1035" s="665"/>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row>
    <row r="1036" spans="2:105" x14ac:dyDescent="0.35">
      <c r="B1036" s="1214"/>
      <c r="C1036" s="1211"/>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64"/>
      <c r="AM1036" s="664"/>
      <c r="AN1036" s="656"/>
      <c r="AO1036" s="664"/>
      <c r="AP1036" s="664"/>
      <c r="AQ1036" s="664"/>
      <c r="AR1036" s="656"/>
      <c r="AS1036" s="664"/>
      <c r="AT1036" s="664"/>
      <c r="AU1036" s="664"/>
      <c r="AV1036" s="664"/>
      <c r="AW1036" s="664"/>
      <c r="AX1036" s="664"/>
      <c r="AY1036" s="664"/>
      <c r="AZ1036" s="664"/>
      <c r="BA1036" s="665"/>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row>
    <row r="1037" spans="2:105" x14ac:dyDescent="0.35">
      <c r="B1037" s="1214"/>
      <c r="C1037" s="1211"/>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64"/>
      <c r="AM1037" s="664"/>
      <c r="AN1037" s="656"/>
      <c r="AO1037" s="664"/>
      <c r="AP1037" s="664"/>
      <c r="AQ1037" s="664"/>
      <c r="AR1037" s="656"/>
      <c r="AS1037" s="664"/>
      <c r="AT1037" s="664"/>
      <c r="AU1037" s="664"/>
      <c r="AV1037" s="664"/>
      <c r="AW1037" s="664"/>
      <c r="AX1037" s="664"/>
      <c r="AY1037" s="664"/>
      <c r="AZ1037" s="664"/>
      <c r="BA1037" s="665"/>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row>
    <row r="1038" spans="2:105" x14ac:dyDescent="0.35">
      <c r="B1038" s="1214"/>
      <c r="C1038" s="1211"/>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64"/>
      <c r="AM1038" s="664"/>
      <c r="AN1038" s="656"/>
      <c r="AO1038" s="664"/>
      <c r="AP1038" s="664"/>
      <c r="AQ1038" s="664"/>
      <c r="AR1038" s="656"/>
      <c r="AS1038" s="664"/>
      <c r="AT1038" s="664"/>
      <c r="AU1038" s="664"/>
      <c r="AV1038" s="664"/>
      <c r="AW1038" s="664"/>
      <c r="AX1038" s="664"/>
      <c r="AY1038" s="664"/>
      <c r="AZ1038" s="664"/>
      <c r="BA1038" s="665"/>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row>
    <row r="1039" spans="2:105" x14ac:dyDescent="0.35">
      <c r="B1039" s="1214"/>
      <c r="C1039" s="1211"/>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64"/>
      <c r="AM1039" s="664"/>
      <c r="AN1039" s="656"/>
      <c r="AO1039" s="664"/>
      <c r="AP1039" s="664"/>
      <c r="AQ1039" s="664"/>
      <c r="AR1039" s="656"/>
      <c r="AS1039" s="664"/>
      <c r="AT1039" s="664"/>
      <c r="AU1039" s="664"/>
      <c r="AV1039" s="664"/>
      <c r="AW1039" s="664"/>
      <c r="AX1039" s="664"/>
      <c r="AY1039" s="664"/>
      <c r="AZ1039" s="664"/>
      <c r="BA1039" s="665"/>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row>
    <row r="1040" spans="2:105" ht="15" thickBot="1" x14ac:dyDescent="0.4">
      <c r="B1040" s="1215"/>
      <c r="C1040" s="1212"/>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6"/>
      <c r="AM1040" s="666"/>
      <c r="AN1040" s="660"/>
      <c r="AO1040" s="666"/>
      <c r="AP1040" s="666"/>
      <c r="AQ1040" s="666"/>
      <c r="AR1040" s="660"/>
      <c r="AS1040" s="666"/>
      <c r="AT1040" s="666"/>
      <c r="AU1040" s="666"/>
      <c r="AV1040" s="666"/>
      <c r="AW1040" s="666"/>
      <c r="AX1040" s="666"/>
      <c r="AY1040" s="666"/>
      <c r="AZ1040" s="666"/>
      <c r="BA1040" s="667"/>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row>
  </sheetData>
  <autoFilter ref="B4:BA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82" t="s">
        <v>1165</v>
      </c>
    </row>
    <row r="2" spans="1:71" x14ac:dyDescent="0.35">
      <c r="C2" s="23" t="s">
        <v>1425</v>
      </c>
    </row>
    <row r="3" spans="1:71" x14ac:dyDescent="0.35">
      <c r="A3" s="23" t="s">
        <v>173</v>
      </c>
    </row>
    <row r="9" spans="1:71" x14ac:dyDescent="0.35">
      <c r="B9" s="617" t="s">
        <v>1146</v>
      </c>
      <c r="D9" s="624" t="s">
        <v>1145</v>
      </c>
      <c r="E9" s="624"/>
      <c r="M9" s="1229">
        <v>1</v>
      </c>
      <c r="O9" s="624" t="s">
        <v>1159</v>
      </c>
      <c r="Q9" s="1229">
        <v>2</v>
      </c>
      <c r="S9" s="624" t="s">
        <v>33</v>
      </c>
      <c r="V9" s="166"/>
      <c r="W9" s="1229">
        <v>3</v>
      </c>
      <c r="Y9" s="624" t="s">
        <v>1173</v>
      </c>
      <c r="Z9" s="166"/>
      <c r="AA9" s="1229">
        <v>4</v>
      </c>
      <c r="AC9" s="624" t="s">
        <v>1174</v>
      </c>
      <c r="AD9" s="166"/>
      <c r="AE9" s="1229">
        <v>5</v>
      </c>
      <c r="AG9" s="624" t="s">
        <v>1252</v>
      </c>
      <c r="AH9" s="166"/>
      <c r="AI9" s="1229">
        <v>6</v>
      </c>
      <c r="AK9" s="624" t="s">
        <v>1189</v>
      </c>
      <c r="AL9" s="166"/>
      <c r="AM9" s="1229">
        <v>7</v>
      </c>
      <c r="AO9" s="624" t="s">
        <v>1190</v>
      </c>
      <c r="AP9" s="166"/>
      <c r="AQ9" s="1229">
        <v>8</v>
      </c>
      <c r="AS9" s="624" t="s">
        <v>1237</v>
      </c>
      <c r="AT9" s="166"/>
      <c r="AU9" s="1229">
        <v>9</v>
      </c>
      <c r="AW9" s="624" t="s">
        <v>1198</v>
      </c>
      <c r="AX9" s="166"/>
      <c r="AY9" s="1229">
        <v>10</v>
      </c>
      <c r="BA9" s="624" t="s">
        <v>1206</v>
      </c>
      <c r="BB9" s="166"/>
      <c r="BC9" s="1229">
        <v>11</v>
      </c>
      <c r="BE9" s="624" t="s">
        <v>1214</v>
      </c>
      <c r="BF9" s="166"/>
      <c r="BG9" s="1229">
        <v>12</v>
      </c>
      <c r="BI9" s="624" t="s">
        <v>1222</v>
      </c>
      <c r="BJ9" s="166"/>
      <c r="BK9" s="1229">
        <v>13</v>
      </c>
      <c r="BM9" s="624" t="s">
        <v>1160</v>
      </c>
      <c r="BN9" s="166"/>
      <c r="BO9" s="1229">
        <v>14</v>
      </c>
      <c r="BQ9" s="624" t="s">
        <v>1161</v>
      </c>
      <c r="BR9" s="166"/>
      <c r="BS9" s="1229">
        <v>15</v>
      </c>
    </row>
    <row r="10" spans="1:71" x14ac:dyDescent="0.35">
      <c r="B10" s="617" t="s">
        <v>1147</v>
      </c>
      <c r="D10" s="622"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22"/>
      <c r="M10" s="1230"/>
      <c r="O10" s="622"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30"/>
      <c r="S10" s="622"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30"/>
      <c r="Y10" s="622"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30"/>
      <c r="AC10" s="622"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30"/>
      <c r="AG10" s="622"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30"/>
      <c r="AK10" s="622"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30"/>
      <c r="AO10" s="622"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30"/>
      <c r="AS10" s="622"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30"/>
      <c r="AW10" s="622"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30"/>
      <c r="BA10" s="622"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30"/>
      <c r="BE10" s="622"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30"/>
      <c r="BI10" s="622"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30"/>
      <c r="BM10" s="622"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30"/>
      <c r="BQ10" s="622"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30"/>
    </row>
    <row r="11" spans="1:71" x14ac:dyDescent="0.35">
      <c r="B11" s="617"/>
      <c r="D11" s="1226" t="str">
        <f>D9&amp;"_DFX_SECURITY_POLICY_MATRIX"</f>
        <v>CSE_DFX_SECURITY_POLICY_MATRIX</v>
      </c>
      <c r="E11" s="1227"/>
      <c r="F11" s="1227"/>
      <c r="G11" s="1227"/>
      <c r="H11" s="1227"/>
      <c r="I11" s="1227"/>
      <c r="J11" s="1227"/>
      <c r="K11" s="1227"/>
      <c r="L11" s="1227"/>
      <c r="M11" s="1228"/>
      <c r="O11" s="1227"/>
      <c r="P11" s="1227"/>
      <c r="Q11" s="1228"/>
      <c r="S11" s="680"/>
      <c r="T11" s="680"/>
      <c r="U11" s="1227"/>
      <c r="V11" s="1227"/>
      <c r="W11" s="1228"/>
      <c r="Y11" s="1227"/>
      <c r="Z11" s="1227"/>
      <c r="AA11" s="1228"/>
      <c r="AC11" s="1227"/>
      <c r="AD11" s="1227"/>
      <c r="AE11" s="1228"/>
      <c r="AG11" s="1227"/>
      <c r="AH11" s="1227"/>
      <c r="AI11" s="1228"/>
      <c r="AK11" s="1227"/>
      <c r="AL11" s="1227"/>
      <c r="AM11" s="1228"/>
      <c r="AO11" s="1227"/>
      <c r="AP11" s="1227"/>
      <c r="AQ11" s="1228"/>
      <c r="AS11" s="1227"/>
      <c r="AT11" s="1227"/>
      <c r="AU11" s="1228"/>
      <c r="AW11" s="1227"/>
      <c r="AX11" s="1227"/>
      <c r="AY11" s="1228"/>
      <c r="BA11" s="1227"/>
      <c r="BB11" s="1227"/>
      <c r="BC11" s="1228"/>
      <c r="BE11" s="1227"/>
      <c r="BF11" s="1227"/>
      <c r="BG11" s="1228"/>
      <c r="BI11" s="1227"/>
      <c r="BJ11" s="1227"/>
      <c r="BK11" s="1228"/>
      <c r="BM11" s="1227"/>
      <c r="BN11" s="1227"/>
      <c r="BO11" s="1228"/>
      <c r="BQ11" s="1227"/>
      <c r="BR11" s="1227"/>
      <c r="BS11" s="1228"/>
    </row>
    <row r="12" spans="1:71" x14ac:dyDescent="0.35">
      <c r="B12" s="617"/>
      <c r="D12" s="770" t="s">
        <v>1336</v>
      </c>
      <c r="E12" s="770"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35">
      <c r="D13" s="1224" t="s">
        <v>1281</v>
      </c>
      <c r="E13" s="1224"/>
      <c r="F13" s="1224"/>
      <c r="G13" s="1224"/>
      <c r="H13" s="1224"/>
      <c r="I13" s="1224"/>
      <c r="J13" s="1224"/>
      <c r="K13" s="1224"/>
      <c r="L13" s="1225" t="s">
        <v>1144</v>
      </c>
      <c r="M13" s="1225"/>
      <c r="O13" s="623"/>
      <c r="P13" s="1225" t="s">
        <v>1144</v>
      </c>
      <c r="Q13" s="1225"/>
      <c r="S13" s="623"/>
      <c r="T13" s="623"/>
      <c r="U13" s="623"/>
      <c r="V13" s="1225" t="s">
        <v>1144</v>
      </c>
      <c r="W13" s="1225"/>
      <c r="Y13" s="623"/>
      <c r="Z13" s="1225" t="s">
        <v>1144</v>
      </c>
      <c r="AA13" s="1225"/>
      <c r="AC13" s="623"/>
      <c r="AD13" s="1225" t="s">
        <v>1144</v>
      </c>
      <c r="AE13" s="1225"/>
      <c r="AG13" s="623"/>
      <c r="AH13" s="1225" t="s">
        <v>1144</v>
      </c>
      <c r="AI13" s="1225"/>
      <c r="AK13" s="623"/>
      <c r="AL13" s="1225" t="s">
        <v>1144</v>
      </c>
      <c r="AM13" s="1225"/>
      <c r="AO13" s="623"/>
      <c r="AP13" s="1225" t="s">
        <v>1144</v>
      </c>
      <c r="AQ13" s="1225"/>
      <c r="AS13" s="623"/>
      <c r="AT13" s="1225" t="s">
        <v>1144</v>
      </c>
      <c r="AU13" s="1225"/>
      <c r="AW13" s="623"/>
      <c r="AX13" s="1225" t="s">
        <v>1144</v>
      </c>
      <c r="AY13" s="1225"/>
      <c r="BA13" s="623"/>
      <c r="BB13" s="1225" t="s">
        <v>1144</v>
      </c>
      <c r="BC13" s="1225"/>
      <c r="BE13" s="623"/>
      <c r="BF13" s="1225" t="s">
        <v>1144</v>
      </c>
      <c r="BG13" s="1225"/>
      <c r="BI13" s="623"/>
      <c r="BJ13" s="1225" t="s">
        <v>1144</v>
      </c>
      <c r="BK13" s="1225"/>
      <c r="BM13" s="623"/>
      <c r="BN13" s="1225" t="s">
        <v>1144</v>
      </c>
      <c r="BO13" s="1225"/>
      <c r="BQ13" s="623"/>
      <c r="BR13" s="1225" t="s">
        <v>1144</v>
      </c>
      <c r="BS13" s="1225"/>
    </row>
    <row r="14" spans="1:71" x14ac:dyDescent="0.35">
      <c r="B14" s="619"/>
      <c r="C14" s="620"/>
      <c r="D14" s="165" t="s">
        <v>1155</v>
      </c>
      <c r="E14" s="770" t="s">
        <v>1136</v>
      </c>
      <c r="F14" s="165" t="s">
        <v>1148</v>
      </c>
      <c r="G14" s="165" t="s">
        <v>1149</v>
      </c>
      <c r="H14" s="165" t="s">
        <v>1150</v>
      </c>
      <c r="I14" s="165" t="s">
        <v>1158</v>
      </c>
      <c r="J14" s="165" t="s">
        <v>1153</v>
      </c>
      <c r="K14" s="165" t="s">
        <v>1154</v>
      </c>
      <c r="L14" s="1225"/>
      <c r="M14" s="1225"/>
      <c r="O14" s="165" t="s">
        <v>1154</v>
      </c>
      <c r="P14" s="1225"/>
      <c r="Q14" s="1225"/>
      <c r="S14" s="618"/>
      <c r="T14" s="618"/>
      <c r="U14" s="165" t="s">
        <v>1154</v>
      </c>
      <c r="V14" s="1225"/>
      <c r="W14" s="1225"/>
      <c r="Y14" s="165" t="s">
        <v>1154</v>
      </c>
      <c r="Z14" s="1225"/>
      <c r="AA14" s="1225"/>
      <c r="AC14" s="165" t="s">
        <v>1154</v>
      </c>
      <c r="AD14" s="1225"/>
      <c r="AE14" s="1225"/>
      <c r="AG14" s="165" t="s">
        <v>1154</v>
      </c>
      <c r="AH14" s="1225"/>
      <c r="AI14" s="1225"/>
      <c r="AK14" s="165" t="s">
        <v>1154</v>
      </c>
      <c r="AL14" s="1225"/>
      <c r="AM14" s="1225"/>
      <c r="AO14" s="165" t="s">
        <v>1154</v>
      </c>
      <c r="AP14" s="1225"/>
      <c r="AQ14" s="1225"/>
      <c r="AS14" s="618" t="s">
        <v>1154</v>
      </c>
      <c r="AT14" s="1225"/>
      <c r="AU14" s="1225"/>
      <c r="AW14" s="618" t="s">
        <v>1154</v>
      </c>
      <c r="AX14" s="1225"/>
      <c r="AY14" s="1225"/>
      <c r="BA14" s="618" t="s">
        <v>1154</v>
      </c>
      <c r="BB14" s="1225"/>
      <c r="BC14" s="1225"/>
      <c r="BE14" s="618" t="s">
        <v>1154</v>
      </c>
      <c r="BF14" s="1225"/>
      <c r="BG14" s="1225"/>
      <c r="BI14" s="618" t="s">
        <v>1154</v>
      </c>
      <c r="BJ14" s="1225"/>
      <c r="BK14" s="1225"/>
      <c r="BM14" s="618" t="s">
        <v>1154</v>
      </c>
      <c r="BN14" s="1225"/>
      <c r="BO14" s="1225"/>
      <c r="BQ14" s="618" t="s">
        <v>1154</v>
      </c>
      <c r="BR14" s="1225"/>
      <c r="BS14" s="1225"/>
    </row>
    <row r="15" spans="1:71" s="679" customFormat="1" ht="60" x14ac:dyDescent="0.35">
      <c r="B15" s="677" t="s">
        <v>1134</v>
      </c>
      <c r="C15" s="677" t="s">
        <v>1135</v>
      </c>
      <c r="D15" s="678" t="s">
        <v>1337</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35">
      <c r="B16" s="165"/>
      <c r="C16" s="621" t="s">
        <v>1122</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70"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21" t="s">
        <v>1123</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70"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41"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21" t="s">
        <v>1124</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70"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21" t="s">
        <v>1125</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70"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21" t="s">
        <v>1126</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70"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41"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21" t="s">
        <v>1127</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70"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21" t="s">
        <v>1128</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70"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21" t="s">
        <v>1238</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70"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21" t="s">
        <v>1129</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70"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21" t="s">
        <v>1130</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70"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21" t="s">
        <v>1131</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70"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21" t="s">
        <v>1132</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70"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21" t="s">
        <v>1132</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70"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21" t="s">
        <v>1132</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70"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21" t="s">
        <v>1132</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70"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21" t="s">
        <v>1132</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70"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21" t="s">
        <v>1133</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70"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962" t="s">
        <v>1438</v>
      </c>
      <c r="E34" s="23"/>
      <c r="F34" s="23"/>
      <c r="O34" s="962" t="s">
        <v>1438</v>
      </c>
      <c r="P34" s="23"/>
      <c r="Q34" s="23"/>
      <c r="S34" s="962" t="s">
        <v>1438</v>
      </c>
      <c r="Y34" s="962" t="s">
        <v>1438</v>
      </c>
      <c r="AC34" s="962" t="s">
        <v>1438</v>
      </c>
      <c r="AG34" s="962" t="s">
        <v>1438</v>
      </c>
      <c r="AK34" s="962" t="s">
        <v>1438</v>
      </c>
      <c r="AO34" s="962" t="s">
        <v>1438</v>
      </c>
      <c r="AS34" s="962" t="s">
        <v>1438</v>
      </c>
      <c r="AW34" s="962" t="s">
        <v>1438</v>
      </c>
      <c r="BA34" s="962" t="s">
        <v>1438</v>
      </c>
      <c r="BE34" s="962" t="s">
        <v>1438</v>
      </c>
      <c r="BI34" s="962" t="s">
        <v>1438</v>
      </c>
      <c r="BM34" s="962" t="s">
        <v>1438</v>
      </c>
      <c r="BQ34" s="962" t="s">
        <v>1438</v>
      </c>
    </row>
    <row r="35" spans="3:69" x14ac:dyDescent="0.35">
      <c r="C35"/>
      <c r="D35" s="23"/>
      <c r="E35" s="23"/>
      <c r="F35" s="23"/>
      <c r="O35" s="23"/>
      <c r="P35" s="23"/>
      <c r="Q35" s="23"/>
    </row>
    <row r="36" spans="3:69" x14ac:dyDescent="0.35">
      <c r="C36"/>
      <c r="D36" s="963" t="str">
        <f>"(hex) MATRIX["&amp;D40-1&amp;":0]="</f>
        <v>(hex) MATRIX[207:0]=</v>
      </c>
      <c r="E36" s="23"/>
      <c r="F36" s="23"/>
      <c r="O36" s="963" t="str">
        <f>"(hex) MATRIX["&amp;O40-1&amp;":0]="</f>
        <v>(hex) MATRIX[47:0]=</v>
      </c>
      <c r="P36" s="23"/>
      <c r="Q36" s="23"/>
      <c r="S36" s="963" t="str">
        <f>"(hex) MATRIX["&amp;S40-1&amp;":0]="</f>
        <v>(hex) MATRIX[47:0]=</v>
      </c>
      <c r="Y36" s="963" t="str">
        <f>"(hex) MATRIX["&amp;Y40-1&amp;":0]="</f>
        <v>(hex) MATRIX[47:0]=</v>
      </c>
      <c r="AC36" s="963" t="str">
        <f>"(hex) MATRIX["&amp;AC40-1&amp;":0]="</f>
        <v>(hex) MATRIX[47:0]=</v>
      </c>
      <c r="AG36" s="963" t="str">
        <f>"(hex) MATRIX["&amp;AG40-1&amp;":0]="</f>
        <v>(hex) MATRIX[47:0]=</v>
      </c>
      <c r="AK36" s="963" t="str">
        <f>"(hex) MATRIX["&amp;AK40-1&amp;":0]="</f>
        <v>(hex) MATRIX[47:0]=</v>
      </c>
      <c r="AO36" s="963" t="str">
        <f>"(hex) MATRIX["&amp;AO40-1&amp;":0]="</f>
        <v>(hex) MATRIX[47:0]=</v>
      </c>
      <c r="AS36" s="963" t="str">
        <f>"(hex) MATRIX["&amp;AS40-1&amp;":0]="</f>
        <v>(hex) MATRIX[47:0]=</v>
      </c>
      <c r="AW36" s="963" t="str">
        <f>"(hex) MATRIX["&amp;AW40-1&amp;":0]="</f>
        <v>(hex) MATRIX[47:0]=</v>
      </c>
      <c r="BA36" s="963" t="str">
        <f>"(hex) MATRIX["&amp;BA40-1&amp;":0]="</f>
        <v>(hex) MATRIX[47:0]=</v>
      </c>
      <c r="BE36" s="963" t="str">
        <f>"(hex) MATRIX["&amp;BE40-1&amp;":0]="</f>
        <v>(hex) MATRIX[47:0]=</v>
      </c>
      <c r="BI36" s="963" t="str">
        <f>"(hex) MATRIX["&amp;BI40-1&amp;":0]="</f>
        <v>(hex) MATRIX[47:0]=</v>
      </c>
      <c r="BM36" s="963" t="str">
        <f>"(hex) MATRIX["&amp;BM40-1&amp;":0]="</f>
        <v>(hex) MATRIX[47:0]=</v>
      </c>
      <c r="BQ36" s="963" t="str">
        <f>"(hex) MATRIX["&amp;BQ40-1&amp;":0]="</f>
        <v>(hex) MATRIX[47:0]=</v>
      </c>
    </row>
    <row r="37" spans="3:69" s="964" customFormat="1" ht="15.5" x14ac:dyDescent="0.35">
      <c r="C37" s="965"/>
      <c r="D37" s="966" t="e">
        <f ca="1">_xlfn.TEXTJOIN(,,F63:F114)</f>
        <v>#VALUE!</v>
      </c>
      <c r="G37" s="967"/>
      <c r="H37" s="967"/>
      <c r="I37" s="967"/>
      <c r="J37" s="967"/>
      <c r="K37" s="967"/>
      <c r="L37" s="967"/>
      <c r="M37" s="967"/>
      <c r="O37" s="966" t="str">
        <f>_xlfn.TEXTJOIN(,,Q63:Q74)</f>
        <v/>
      </c>
      <c r="S37" s="966" t="str">
        <f>_xlfn.TEXTJOIN(,,U63:U74)</f>
        <v/>
      </c>
      <c r="Y37" s="966" t="str">
        <f>_xlfn.TEXTJOIN(,,AA63:AA74)</f>
        <v/>
      </c>
      <c r="AC37" s="966" t="str">
        <f>_xlfn.TEXTJOIN(,,AE63:AE74)</f>
        <v/>
      </c>
      <c r="AG37" s="966" t="str">
        <f>_xlfn.TEXTJOIN(,,AI63:AI74)</f>
        <v/>
      </c>
      <c r="AK37" s="966" t="str">
        <f>_xlfn.TEXTJOIN(,,AM63:AM74)</f>
        <v/>
      </c>
      <c r="AO37" s="966" t="str">
        <f>_xlfn.TEXTJOIN(,,AQ63:AQ74)</f>
        <v/>
      </c>
      <c r="AS37" s="966" t="str">
        <f>_xlfn.TEXTJOIN(,,AU63:AU74)</f>
        <v/>
      </c>
      <c r="AW37" s="966" t="str">
        <f>_xlfn.TEXTJOIN(,,AY63:AY74)</f>
        <v/>
      </c>
      <c r="BA37" s="966" t="e">
        <f ca="1">_xlfn.TEXTJOIN(,,BC63:BC74)</f>
        <v>#VALUE!</v>
      </c>
      <c r="BE37" s="966" t="e">
        <f ca="1">_xlfn.TEXTJOIN(,,BG63:BG74)</f>
        <v>#VALUE!</v>
      </c>
      <c r="BI37" s="966" t="e">
        <f ca="1">_xlfn.TEXTJOIN(,,BK63:BK74)</f>
        <v>#VALUE!</v>
      </c>
      <c r="BM37" s="966" t="e">
        <f ca="1">_xlfn.TEXTJOIN(,,BO63:BO74)</f>
        <v>#VALUE!</v>
      </c>
      <c r="BQ37" s="966" t="e">
        <f ca="1">_xlfn.TEXTJOIN(,,BS63:BS74)</f>
        <v>#VALUE!</v>
      </c>
    </row>
    <row r="38" spans="3:69" x14ac:dyDescent="0.35">
      <c r="C38"/>
      <c r="D38" s="23"/>
      <c r="E38" s="23"/>
      <c r="F38" s="23"/>
      <c r="O38" s="23"/>
      <c r="P38" s="23"/>
      <c r="Q38" s="23"/>
    </row>
    <row r="39" spans="3:69" x14ac:dyDescent="0.35">
      <c r="C39"/>
      <c r="D39" s="23" t="s">
        <v>1439</v>
      </c>
      <c r="E39" s="23"/>
      <c r="F39" s="23"/>
      <c r="O39" s="23" t="s">
        <v>1439</v>
      </c>
      <c r="P39" s="23"/>
      <c r="Q39" s="23"/>
      <c r="S39" s="23" t="s">
        <v>1439</v>
      </c>
      <c r="Y39" s="23" t="s">
        <v>1439</v>
      </c>
      <c r="AC39" s="23" t="s">
        <v>1439</v>
      </c>
      <c r="AG39" s="23" t="s">
        <v>1439</v>
      </c>
      <c r="AK39" s="23" t="s">
        <v>1439</v>
      </c>
      <c r="AO39" s="23" t="s">
        <v>1439</v>
      </c>
      <c r="AS39" s="23" t="s">
        <v>1439</v>
      </c>
      <c r="AW39" s="23" t="s">
        <v>1439</v>
      </c>
      <c r="BA39" s="23" t="s">
        <v>1439</v>
      </c>
      <c r="BE39" s="23" t="s">
        <v>1439</v>
      </c>
      <c r="BI39" s="23" t="s">
        <v>1439</v>
      </c>
      <c r="BM39" s="23" t="s">
        <v>1439</v>
      </c>
      <c r="BQ39" s="23" t="s">
        <v>1439</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968" customFormat="1" x14ac:dyDescent="0.35">
      <c r="C59" s="969"/>
      <c r="D59" s="968" t="str">
        <f>"(bin) MATRIX["&amp;D40-1&amp;":0]="</f>
        <v>(bin) MATRIX[207:0]=</v>
      </c>
      <c r="G59" s="970"/>
      <c r="H59" s="970"/>
      <c r="I59" s="970"/>
      <c r="J59" s="970"/>
      <c r="K59" s="970"/>
      <c r="L59" s="970"/>
      <c r="M59" s="970"/>
      <c r="O59" s="970"/>
      <c r="P59" s="970"/>
      <c r="Q59" s="970"/>
      <c r="BA59" s="968" t="str">
        <f>"(bin) MATRIX["&amp;BA40-1&amp;":0]="</f>
        <v>(bin) MATRIX[47:0]=</v>
      </c>
      <c r="BE59" s="968" t="str">
        <f>"(bin) MATRIX["&amp;BE40-1&amp;":0]="</f>
        <v>(bin) MATRIX[47:0]=</v>
      </c>
      <c r="BI59" s="968" t="str">
        <f>"(bin) MATRIX["&amp;BI40-1&amp;":0]="</f>
        <v>(bin) MATRIX[47:0]=</v>
      </c>
      <c r="BM59" s="968" t="str">
        <f>"(bin) MATRIX["&amp;BM40-1&amp;":0]="</f>
        <v>(bin) MATRIX[47:0]=</v>
      </c>
      <c r="BQ59" s="968" t="str">
        <f>"(bin) MATRIX["&amp;BQ40-1&amp;":0]="</f>
        <v>(bin) MATRIX[47:0]=</v>
      </c>
    </row>
    <row r="60" spans="3:97" s="968" customFormat="1" x14ac:dyDescent="0.35">
      <c r="C60" s="969"/>
      <c r="D60" s="968"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70"/>
      <c r="H60" s="970"/>
      <c r="I60" s="970"/>
      <c r="J60" s="970"/>
      <c r="K60" s="970"/>
      <c r="L60" s="970"/>
      <c r="M60" s="970"/>
      <c r="O60" s="970"/>
      <c r="P60" s="970"/>
      <c r="Q60" s="970"/>
      <c r="BA60" s="968"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68"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68"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68"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68"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68" customFormat="1" x14ac:dyDescent="0.35">
      <c r="C61" s="969"/>
      <c r="G61" s="970"/>
      <c r="H61" s="970"/>
      <c r="I61" s="970"/>
      <c r="J61" s="970"/>
      <c r="K61" s="970"/>
      <c r="L61" s="970"/>
      <c r="M61" s="970"/>
      <c r="O61" s="970"/>
      <c r="P61" s="970"/>
      <c r="Q61" s="970"/>
    </row>
    <row r="62" spans="3:97" s="968" customFormat="1" x14ac:dyDescent="0.35">
      <c r="C62" s="969"/>
      <c r="D62" s="968" t="s">
        <v>1440</v>
      </c>
      <c r="E62" s="968" t="s">
        <v>1441</v>
      </c>
      <c r="F62" s="968" t="s">
        <v>1442</v>
      </c>
      <c r="G62" s="970"/>
      <c r="H62" s="970"/>
      <c r="I62" s="970"/>
      <c r="J62" s="970"/>
      <c r="K62" s="970"/>
      <c r="L62" s="970"/>
      <c r="M62" s="970"/>
      <c r="O62" s="970"/>
      <c r="P62" s="970"/>
      <c r="Q62" s="970"/>
      <c r="BA62" s="968" t="s">
        <v>1440</v>
      </c>
      <c r="BB62" s="968" t="s">
        <v>1441</v>
      </c>
      <c r="BC62" s="968" t="s">
        <v>1442</v>
      </c>
      <c r="BE62" s="968" t="s">
        <v>1440</v>
      </c>
      <c r="BF62" s="968" t="s">
        <v>1441</v>
      </c>
      <c r="BG62" s="968" t="s">
        <v>1442</v>
      </c>
      <c r="BI62" s="968" t="s">
        <v>1440</v>
      </c>
      <c r="BJ62" s="968" t="s">
        <v>1441</v>
      </c>
      <c r="BK62" s="968" t="s">
        <v>1442</v>
      </c>
      <c r="BM62" s="968" t="s">
        <v>1440</v>
      </c>
      <c r="BN62" s="968" t="s">
        <v>1441</v>
      </c>
      <c r="BO62" s="968" t="s">
        <v>1442</v>
      </c>
      <c r="BQ62" s="968" t="s">
        <v>1440</v>
      </c>
      <c r="BR62" s="968" t="s">
        <v>1441</v>
      </c>
      <c r="BS62" s="968" t="s">
        <v>1442</v>
      </c>
      <c r="CH62" s="1223" t="s">
        <v>1443</v>
      </c>
      <c r="CI62" s="1223"/>
      <c r="CJ62" s="1223"/>
      <c r="CK62" s="1223"/>
      <c r="CL62" s="1223"/>
      <c r="CM62" s="1223"/>
      <c r="CN62" s="1223"/>
      <c r="CO62" s="1223"/>
      <c r="CP62" s="1223"/>
      <c r="CQ62" s="1223"/>
      <c r="CR62" s="1223"/>
      <c r="CS62" s="1223"/>
    </row>
    <row r="63" spans="3:97" s="968" customFormat="1" x14ac:dyDescent="0.35">
      <c r="C63" s="969"/>
      <c r="D63" s="968">
        <v>1</v>
      </c>
      <c r="E63" s="968" t="e">
        <f t="shared" ref="E63:E94" ca="1" si="0">MID(D$60,D63,4)</f>
        <v>#VALUE!</v>
      </c>
      <c r="F63" s="968" t="e">
        <f ca="1">BIN2HEX(E63,1)</f>
        <v>#VALUE!</v>
      </c>
      <c r="G63" s="970"/>
      <c r="H63" s="970"/>
      <c r="I63" s="970"/>
      <c r="J63" s="970"/>
      <c r="K63" s="970"/>
      <c r="L63" s="970"/>
      <c r="M63" s="970"/>
      <c r="O63" s="970"/>
      <c r="P63" s="970"/>
      <c r="Q63" s="970"/>
      <c r="BA63" s="968">
        <v>1</v>
      </c>
      <c r="BB63" s="968" t="e">
        <f t="shared" ref="BB63:BB74" ca="1" si="1">MID(BA$60,BA63,4)</f>
        <v>#VALUE!</v>
      </c>
      <c r="BC63" s="968" t="e">
        <f ca="1">BIN2HEX(BB63,1)</f>
        <v>#VALUE!</v>
      </c>
      <c r="BE63" s="968">
        <v>1</v>
      </c>
      <c r="BF63" s="968" t="e">
        <f t="shared" ref="BF63:BF74" ca="1" si="2">MID(BE$60,BE63,4)</f>
        <v>#VALUE!</v>
      </c>
      <c r="BG63" s="968" t="e">
        <f ca="1">BIN2HEX(BF63,1)</f>
        <v>#VALUE!</v>
      </c>
      <c r="BI63" s="968">
        <v>1</v>
      </c>
      <c r="BJ63" s="968" t="e">
        <f t="shared" ref="BJ63:BJ74" ca="1" si="3">MID(BI$60,BI63,4)</f>
        <v>#VALUE!</v>
      </c>
      <c r="BK63" s="968" t="e">
        <f ca="1">BIN2HEX(BJ63,1)</f>
        <v>#VALUE!</v>
      </c>
      <c r="BM63" s="968">
        <v>1</v>
      </c>
      <c r="BN63" s="968" t="e">
        <f t="shared" ref="BN63:BN74" ca="1" si="4">MID(BM$60,BM63,4)</f>
        <v>#VALUE!</v>
      </c>
      <c r="BO63" s="968" t="e">
        <f ca="1">BIN2HEX(BN63,1)</f>
        <v>#VALUE!</v>
      </c>
      <c r="BQ63" s="968">
        <v>1</v>
      </c>
      <c r="BR63" s="968" t="e">
        <f t="shared" ref="BR63:BR74" ca="1" si="5">MID(BQ$60,BQ63,4)</f>
        <v>#VALUE!</v>
      </c>
      <c r="BS63" s="968" t="e">
        <f ca="1">BIN2HEX(BR63,1)</f>
        <v>#VALUE!</v>
      </c>
      <c r="CI63" s="968" t="s">
        <v>1444</v>
      </c>
      <c r="CJ63" s="968" t="s">
        <v>1445</v>
      </c>
      <c r="CK63" s="968" t="s">
        <v>1446</v>
      </c>
      <c r="CL63" s="968" t="s">
        <v>1447</v>
      </c>
      <c r="CM63" s="968" t="s">
        <v>1448</v>
      </c>
      <c r="CN63" s="968" t="s">
        <v>1449</v>
      </c>
      <c r="CO63" s="968" t="s">
        <v>1450</v>
      </c>
      <c r="CP63" s="968" t="s">
        <v>1450</v>
      </c>
      <c r="CQ63" s="968" t="s">
        <v>1451</v>
      </c>
      <c r="CR63" s="968" t="s">
        <v>1452</v>
      </c>
    </row>
    <row r="64" spans="3:97" s="968" customFormat="1" x14ac:dyDescent="0.35">
      <c r="C64" s="969"/>
      <c r="D64" s="968">
        <f t="shared" ref="D64:D74" si="6">D63+4</f>
        <v>5</v>
      </c>
      <c r="E64" s="968" t="e">
        <f t="shared" ca="1" si="0"/>
        <v>#VALUE!</v>
      </c>
      <c r="F64" s="968" t="e">
        <f t="shared" ref="F64:F114" ca="1" si="7">BIN2HEX(E64,1)</f>
        <v>#VALUE!</v>
      </c>
      <c r="G64" s="970"/>
      <c r="H64" s="970"/>
      <c r="I64" s="970"/>
      <c r="J64" s="970"/>
      <c r="K64" s="970"/>
      <c r="L64" s="970"/>
      <c r="M64" s="970"/>
      <c r="O64" s="970"/>
      <c r="P64" s="970"/>
      <c r="Q64" s="970"/>
      <c r="BA64" s="968">
        <f t="shared" ref="BA64:BA74" si="8">BA63+4</f>
        <v>5</v>
      </c>
      <c r="BB64" s="968" t="e">
        <f t="shared" ca="1" si="1"/>
        <v>#VALUE!</v>
      </c>
      <c r="BC64" s="968" t="e">
        <f t="shared" ref="BC64:BC74" ca="1" si="9">BIN2HEX(BB64,1)</f>
        <v>#VALUE!</v>
      </c>
      <c r="BE64" s="968">
        <f t="shared" ref="BE64:BE74" si="10">BE63+4</f>
        <v>5</v>
      </c>
      <c r="BF64" s="968" t="e">
        <f t="shared" ca="1" si="2"/>
        <v>#VALUE!</v>
      </c>
      <c r="BG64" s="968" t="e">
        <f t="shared" ref="BG64:BG74" ca="1" si="11">BIN2HEX(BF64,1)</f>
        <v>#VALUE!</v>
      </c>
      <c r="BI64" s="968">
        <f t="shared" ref="BI64:BI74" si="12">BI63+4</f>
        <v>5</v>
      </c>
      <c r="BJ64" s="968" t="e">
        <f t="shared" ca="1" si="3"/>
        <v>#VALUE!</v>
      </c>
      <c r="BK64" s="968" t="e">
        <f t="shared" ref="BK64:BK74" ca="1" si="13">BIN2HEX(BJ64,1)</f>
        <v>#VALUE!</v>
      </c>
      <c r="BM64" s="968">
        <f t="shared" ref="BM64:BM74" si="14">BM63+4</f>
        <v>5</v>
      </c>
      <c r="BN64" s="968" t="e">
        <f t="shared" ca="1" si="4"/>
        <v>#VALUE!</v>
      </c>
      <c r="BO64" s="968" t="e">
        <f t="shared" ref="BO64:BO74" ca="1" si="15">BIN2HEX(BN64,1)</f>
        <v>#VALUE!</v>
      </c>
      <c r="BQ64" s="968">
        <f t="shared" ref="BQ64:BQ74" si="16">BQ63+4</f>
        <v>5</v>
      </c>
      <c r="BR64" s="968" t="e">
        <f t="shared" ca="1" si="5"/>
        <v>#VALUE!</v>
      </c>
      <c r="BS64" s="968" t="e">
        <f t="shared" ref="BS64:BS74" ca="1" si="17">BIN2HEX(BR64,1)</f>
        <v>#VALUE!</v>
      </c>
      <c r="CH64" s="968">
        <v>32</v>
      </c>
      <c r="CI64" s="968" t="str">
        <f t="shared" ref="CI64:CM73" si="18">"RIGHT("&amp;CI$63&amp;$CH64&amp;",1)"</f>
        <v>RIGHT(D32,1)</v>
      </c>
      <c r="CJ64" s="968" t="str">
        <f t="shared" si="18"/>
        <v>RIGHT(E32,1)</v>
      </c>
      <c r="CK64" s="968" t="str">
        <f t="shared" si="18"/>
        <v>RIGHT(F32,1)</v>
      </c>
      <c r="CL64" s="968" t="str">
        <f t="shared" si="18"/>
        <v>RIGHT(G32,1)</v>
      </c>
      <c r="CM64" s="968" t="str">
        <f t="shared" si="18"/>
        <v>RIGHT(H32,1)</v>
      </c>
      <c r="CN64" s="968" t="str">
        <f t="shared" ref="CN64:CN79" si="19">"hex2bin(RIGHT("&amp;CN$63&amp;$CH64&amp;",1),4)"</f>
        <v>hex2bin(RIGHT(I32,1),4)</v>
      </c>
      <c r="CO64" s="968" t="str">
        <f t="shared" ref="CO64:CR79" si="20">"RIGHT("&amp;CO$63&amp;$CH64&amp;",1)"</f>
        <v>RIGHT(J32,1)</v>
      </c>
      <c r="CP64" s="968" t="str">
        <f t="shared" si="20"/>
        <v>RIGHT(J32,1)</v>
      </c>
      <c r="CQ64" s="968" t="str">
        <f t="shared" si="20"/>
        <v>RIGHT(L32,1)</v>
      </c>
      <c r="CR64" s="968" t="str">
        <f t="shared" si="20"/>
        <v>RIGHT(M32,1)</v>
      </c>
      <c r="CS64" s="968" t="str">
        <f>_xlfn.TEXTJOIN(",",,CI64:CR64)</f>
        <v>RIGHT(D32,1),RIGHT(E32,1),RIGHT(F32,1),RIGHT(G32,1),RIGHT(H32,1),hex2bin(RIGHT(I32,1),4),RIGHT(J32,1),RIGHT(J32,1),RIGHT(L32,1),RIGHT(M32,1)</v>
      </c>
    </row>
    <row r="65" spans="3:97" s="968" customFormat="1" x14ac:dyDescent="0.35">
      <c r="C65" s="969"/>
      <c r="D65" s="968">
        <f t="shared" si="6"/>
        <v>9</v>
      </c>
      <c r="E65" s="968" t="e">
        <f t="shared" ca="1" si="0"/>
        <v>#VALUE!</v>
      </c>
      <c r="F65" s="968" t="e">
        <f t="shared" ca="1" si="7"/>
        <v>#VALUE!</v>
      </c>
      <c r="G65" s="970"/>
      <c r="H65" s="970"/>
      <c r="I65" s="970"/>
      <c r="J65" s="970"/>
      <c r="K65" s="970"/>
      <c r="L65" s="970"/>
      <c r="M65" s="970"/>
      <c r="O65" s="970"/>
      <c r="P65" s="970"/>
      <c r="Q65" s="970"/>
      <c r="BA65" s="968">
        <f t="shared" si="8"/>
        <v>9</v>
      </c>
      <c r="BB65" s="968" t="e">
        <f t="shared" ca="1" si="1"/>
        <v>#VALUE!</v>
      </c>
      <c r="BC65" s="968" t="e">
        <f t="shared" ca="1" si="9"/>
        <v>#VALUE!</v>
      </c>
      <c r="BE65" s="968">
        <f t="shared" si="10"/>
        <v>9</v>
      </c>
      <c r="BF65" s="968" t="e">
        <f t="shared" ca="1" si="2"/>
        <v>#VALUE!</v>
      </c>
      <c r="BG65" s="968" t="e">
        <f t="shared" ca="1" si="11"/>
        <v>#VALUE!</v>
      </c>
      <c r="BI65" s="968">
        <f t="shared" si="12"/>
        <v>9</v>
      </c>
      <c r="BJ65" s="968" t="e">
        <f t="shared" ca="1" si="3"/>
        <v>#VALUE!</v>
      </c>
      <c r="BK65" s="968" t="e">
        <f t="shared" ca="1" si="13"/>
        <v>#VALUE!</v>
      </c>
      <c r="BM65" s="968">
        <f t="shared" si="14"/>
        <v>9</v>
      </c>
      <c r="BN65" s="968" t="e">
        <f t="shared" ca="1" si="4"/>
        <v>#VALUE!</v>
      </c>
      <c r="BO65" s="968" t="e">
        <f t="shared" ca="1" si="15"/>
        <v>#VALUE!</v>
      </c>
      <c r="BQ65" s="968">
        <f t="shared" si="16"/>
        <v>9</v>
      </c>
      <c r="BR65" s="968" t="e">
        <f t="shared" ca="1" si="5"/>
        <v>#VALUE!</v>
      </c>
      <c r="BS65" s="968" t="e">
        <f t="shared" ca="1" si="17"/>
        <v>#VALUE!</v>
      </c>
      <c r="CH65" s="968">
        <v>31</v>
      </c>
      <c r="CI65" s="968" t="str">
        <f t="shared" si="18"/>
        <v>RIGHT(D31,1)</v>
      </c>
      <c r="CJ65" s="968" t="str">
        <f t="shared" si="18"/>
        <v>RIGHT(E31,1)</v>
      </c>
      <c r="CK65" s="968" t="str">
        <f t="shared" si="18"/>
        <v>RIGHT(F31,1)</v>
      </c>
      <c r="CL65" s="968" t="str">
        <f t="shared" si="18"/>
        <v>RIGHT(G31,1)</v>
      </c>
      <c r="CM65" s="968" t="str">
        <f t="shared" si="18"/>
        <v>RIGHT(H31,1)</v>
      </c>
      <c r="CN65" s="968" t="str">
        <f t="shared" si="19"/>
        <v>hex2bin(RIGHT(I31,1),4)</v>
      </c>
      <c r="CO65" s="968" t="str">
        <f t="shared" si="20"/>
        <v>RIGHT(J31,1)</v>
      </c>
      <c r="CP65" s="968" t="str">
        <f t="shared" si="20"/>
        <v>RIGHT(J31,1)</v>
      </c>
      <c r="CQ65" s="968" t="str">
        <f t="shared" si="20"/>
        <v>RIGHT(L31,1)</v>
      </c>
      <c r="CR65" s="968" t="str">
        <f t="shared" si="20"/>
        <v>RIGHT(M31,1)</v>
      </c>
      <c r="CS65" s="968" t="str">
        <f t="shared" ref="CS65:CS79" si="21">_xlfn.TEXTJOIN(",",,CI65:CR65)</f>
        <v>RIGHT(D31,1),RIGHT(E31,1),RIGHT(F31,1),RIGHT(G31,1),RIGHT(H31,1),hex2bin(RIGHT(I31,1),4),RIGHT(J31,1),RIGHT(J31,1),RIGHT(L31,1),RIGHT(M31,1)</v>
      </c>
    </row>
    <row r="66" spans="3:97" s="968" customFormat="1" x14ac:dyDescent="0.35">
      <c r="C66" s="969"/>
      <c r="D66" s="968">
        <f t="shared" si="6"/>
        <v>13</v>
      </c>
      <c r="E66" s="968" t="e">
        <f t="shared" ca="1" si="0"/>
        <v>#VALUE!</v>
      </c>
      <c r="F66" s="968" t="e">
        <f t="shared" ca="1" si="7"/>
        <v>#VALUE!</v>
      </c>
      <c r="G66" s="970"/>
      <c r="H66" s="970"/>
      <c r="I66" s="970"/>
      <c r="J66" s="970"/>
      <c r="K66" s="970"/>
      <c r="L66" s="970"/>
      <c r="M66" s="970"/>
      <c r="O66" s="970"/>
      <c r="P66" s="970"/>
      <c r="Q66" s="970"/>
      <c r="BA66" s="968">
        <f t="shared" si="8"/>
        <v>13</v>
      </c>
      <c r="BB66" s="968" t="e">
        <f t="shared" ca="1" si="1"/>
        <v>#VALUE!</v>
      </c>
      <c r="BC66" s="968" t="e">
        <f t="shared" ca="1" si="9"/>
        <v>#VALUE!</v>
      </c>
      <c r="BE66" s="968">
        <f t="shared" si="10"/>
        <v>13</v>
      </c>
      <c r="BF66" s="968" t="e">
        <f t="shared" ca="1" si="2"/>
        <v>#VALUE!</v>
      </c>
      <c r="BG66" s="968" t="e">
        <f t="shared" ca="1" si="11"/>
        <v>#VALUE!</v>
      </c>
      <c r="BI66" s="968">
        <f t="shared" si="12"/>
        <v>13</v>
      </c>
      <c r="BJ66" s="968" t="e">
        <f t="shared" ca="1" si="3"/>
        <v>#VALUE!</v>
      </c>
      <c r="BK66" s="968" t="e">
        <f t="shared" ca="1" si="13"/>
        <v>#VALUE!</v>
      </c>
      <c r="BM66" s="968">
        <f t="shared" si="14"/>
        <v>13</v>
      </c>
      <c r="BN66" s="968" t="e">
        <f t="shared" ca="1" si="4"/>
        <v>#VALUE!</v>
      </c>
      <c r="BO66" s="968" t="e">
        <f t="shared" ca="1" si="15"/>
        <v>#VALUE!</v>
      </c>
      <c r="BQ66" s="968">
        <f t="shared" si="16"/>
        <v>13</v>
      </c>
      <c r="BR66" s="968" t="e">
        <f t="shared" ca="1" si="5"/>
        <v>#VALUE!</v>
      </c>
      <c r="BS66" s="968" t="e">
        <f t="shared" ca="1" si="17"/>
        <v>#VALUE!</v>
      </c>
      <c r="CH66" s="968">
        <v>30</v>
      </c>
      <c r="CI66" s="968" t="str">
        <f t="shared" si="18"/>
        <v>RIGHT(D30,1)</v>
      </c>
      <c r="CJ66" s="968" t="str">
        <f t="shared" si="18"/>
        <v>RIGHT(E30,1)</v>
      </c>
      <c r="CK66" s="968" t="str">
        <f t="shared" si="18"/>
        <v>RIGHT(F30,1)</v>
      </c>
      <c r="CL66" s="968" t="str">
        <f t="shared" si="18"/>
        <v>RIGHT(G30,1)</v>
      </c>
      <c r="CM66" s="968" t="str">
        <f t="shared" si="18"/>
        <v>RIGHT(H30,1)</v>
      </c>
      <c r="CN66" s="968" t="str">
        <f t="shared" si="19"/>
        <v>hex2bin(RIGHT(I30,1),4)</v>
      </c>
      <c r="CO66" s="968" t="str">
        <f t="shared" si="20"/>
        <v>RIGHT(J30,1)</v>
      </c>
      <c r="CP66" s="968" t="str">
        <f t="shared" si="20"/>
        <v>RIGHT(J30,1)</v>
      </c>
      <c r="CQ66" s="968" t="str">
        <f t="shared" si="20"/>
        <v>RIGHT(L30,1)</v>
      </c>
      <c r="CR66" s="968" t="str">
        <f t="shared" si="20"/>
        <v>RIGHT(M30,1)</v>
      </c>
      <c r="CS66" s="968" t="str">
        <f t="shared" si="21"/>
        <v>RIGHT(D30,1),RIGHT(E30,1),RIGHT(F30,1),RIGHT(G30,1),RIGHT(H30,1),hex2bin(RIGHT(I30,1),4),RIGHT(J30,1),RIGHT(J30,1),RIGHT(L30,1),RIGHT(M30,1)</v>
      </c>
    </row>
    <row r="67" spans="3:97" s="968" customFormat="1" x14ac:dyDescent="0.35">
      <c r="C67" s="969"/>
      <c r="D67" s="968">
        <f t="shared" si="6"/>
        <v>17</v>
      </c>
      <c r="E67" s="968" t="e">
        <f t="shared" ca="1" si="0"/>
        <v>#VALUE!</v>
      </c>
      <c r="F67" s="968" t="e">
        <f t="shared" ca="1" si="7"/>
        <v>#VALUE!</v>
      </c>
      <c r="G67" s="970"/>
      <c r="H67" s="970"/>
      <c r="I67" s="970"/>
      <c r="J67" s="970"/>
      <c r="K67" s="970"/>
      <c r="L67" s="970"/>
      <c r="M67" s="970"/>
      <c r="O67" s="970"/>
      <c r="P67" s="970"/>
      <c r="Q67" s="970"/>
      <c r="BA67" s="968">
        <f t="shared" si="8"/>
        <v>17</v>
      </c>
      <c r="BB67" s="968" t="e">
        <f t="shared" ca="1" si="1"/>
        <v>#VALUE!</v>
      </c>
      <c r="BC67" s="968" t="e">
        <f t="shared" ca="1" si="9"/>
        <v>#VALUE!</v>
      </c>
      <c r="BE67" s="968">
        <f t="shared" si="10"/>
        <v>17</v>
      </c>
      <c r="BF67" s="968" t="e">
        <f t="shared" ca="1" si="2"/>
        <v>#VALUE!</v>
      </c>
      <c r="BG67" s="968" t="e">
        <f t="shared" ca="1" si="11"/>
        <v>#VALUE!</v>
      </c>
      <c r="BI67" s="968">
        <f t="shared" si="12"/>
        <v>17</v>
      </c>
      <c r="BJ67" s="968" t="e">
        <f t="shared" ca="1" si="3"/>
        <v>#VALUE!</v>
      </c>
      <c r="BK67" s="968" t="e">
        <f t="shared" ca="1" si="13"/>
        <v>#VALUE!</v>
      </c>
      <c r="BM67" s="968">
        <f t="shared" si="14"/>
        <v>17</v>
      </c>
      <c r="BN67" s="968" t="e">
        <f t="shared" ca="1" si="4"/>
        <v>#VALUE!</v>
      </c>
      <c r="BO67" s="968" t="e">
        <f t="shared" ca="1" si="15"/>
        <v>#VALUE!</v>
      </c>
      <c r="BQ67" s="968">
        <f t="shared" si="16"/>
        <v>17</v>
      </c>
      <c r="BR67" s="968" t="e">
        <f t="shared" ca="1" si="5"/>
        <v>#VALUE!</v>
      </c>
      <c r="BS67" s="968" t="e">
        <f t="shared" ca="1" si="17"/>
        <v>#VALUE!</v>
      </c>
      <c r="CH67" s="968">
        <v>29</v>
      </c>
      <c r="CI67" s="968" t="str">
        <f t="shared" si="18"/>
        <v>RIGHT(D29,1)</v>
      </c>
      <c r="CJ67" s="968" t="str">
        <f t="shared" si="18"/>
        <v>RIGHT(E29,1)</v>
      </c>
      <c r="CK67" s="968" t="str">
        <f t="shared" si="18"/>
        <v>RIGHT(F29,1)</v>
      </c>
      <c r="CL67" s="968" t="str">
        <f t="shared" si="18"/>
        <v>RIGHT(G29,1)</v>
      </c>
      <c r="CM67" s="968" t="str">
        <f t="shared" si="18"/>
        <v>RIGHT(H29,1)</v>
      </c>
      <c r="CN67" s="968" t="str">
        <f t="shared" si="19"/>
        <v>hex2bin(RIGHT(I29,1),4)</v>
      </c>
      <c r="CO67" s="968" t="str">
        <f t="shared" si="20"/>
        <v>RIGHT(J29,1)</v>
      </c>
      <c r="CP67" s="968" t="str">
        <f t="shared" si="20"/>
        <v>RIGHT(J29,1)</v>
      </c>
      <c r="CQ67" s="968" t="str">
        <f t="shared" si="20"/>
        <v>RIGHT(L29,1)</v>
      </c>
      <c r="CR67" s="968" t="str">
        <f t="shared" si="20"/>
        <v>RIGHT(M29,1)</v>
      </c>
      <c r="CS67" s="968" t="str">
        <f t="shared" si="21"/>
        <v>RIGHT(D29,1),RIGHT(E29,1),RIGHT(F29,1),RIGHT(G29,1),RIGHT(H29,1),hex2bin(RIGHT(I29,1),4),RIGHT(J29,1),RIGHT(J29,1),RIGHT(L29,1),RIGHT(M29,1)</v>
      </c>
    </row>
    <row r="68" spans="3:97" s="968" customFormat="1" x14ac:dyDescent="0.35">
      <c r="C68" s="969"/>
      <c r="D68" s="968">
        <f t="shared" si="6"/>
        <v>21</v>
      </c>
      <c r="E68" s="968" t="e">
        <f t="shared" ca="1" si="0"/>
        <v>#VALUE!</v>
      </c>
      <c r="F68" s="968" t="e">
        <f t="shared" ca="1" si="7"/>
        <v>#VALUE!</v>
      </c>
      <c r="G68" s="970"/>
      <c r="H68" s="970"/>
      <c r="I68" s="970"/>
      <c r="J68" s="970"/>
      <c r="K68" s="970"/>
      <c r="L68" s="970"/>
      <c r="M68" s="970"/>
      <c r="O68" s="970"/>
      <c r="P68" s="970"/>
      <c r="Q68" s="970"/>
      <c r="BA68" s="968">
        <f t="shared" si="8"/>
        <v>21</v>
      </c>
      <c r="BB68" s="968" t="e">
        <f t="shared" ca="1" si="1"/>
        <v>#VALUE!</v>
      </c>
      <c r="BC68" s="968" t="e">
        <f t="shared" ca="1" si="9"/>
        <v>#VALUE!</v>
      </c>
      <c r="BE68" s="968">
        <f t="shared" si="10"/>
        <v>21</v>
      </c>
      <c r="BF68" s="968" t="e">
        <f t="shared" ca="1" si="2"/>
        <v>#VALUE!</v>
      </c>
      <c r="BG68" s="968" t="e">
        <f t="shared" ca="1" si="11"/>
        <v>#VALUE!</v>
      </c>
      <c r="BI68" s="968">
        <f t="shared" si="12"/>
        <v>21</v>
      </c>
      <c r="BJ68" s="968" t="e">
        <f t="shared" ca="1" si="3"/>
        <v>#VALUE!</v>
      </c>
      <c r="BK68" s="968" t="e">
        <f t="shared" ca="1" si="13"/>
        <v>#VALUE!</v>
      </c>
      <c r="BM68" s="968">
        <f t="shared" si="14"/>
        <v>21</v>
      </c>
      <c r="BN68" s="968" t="e">
        <f t="shared" ca="1" si="4"/>
        <v>#VALUE!</v>
      </c>
      <c r="BO68" s="968" t="e">
        <f t="shared" ca="1" si="15"/>
        <v>#VALUE!</v>
      </c>
      <c r="BQ68" s="968">
        <f t="shared" si="16"/>
        <v>21</v>
      </c>
      <c r="BR68" s="968" t="e">
        <f t="shared" ca="1" si="5"/>
        <v>#VALUE!</v>
      </c>
      <c r="BS68" s="968" t="e">
        <f t="shared" ca="1" si="17"/>
        <v>#VALUE!</v>
      </c>
      <c r="CH68" s="968">
        <v>28</v>
      </c>
      <c r="CI68" s="968" t="str">
        <f t="shared" si="18"/>
        <v>RIGHT(D28,1)</v>
      </c>
      <c r="CJ68" s="968" t="str">
        <f t="shared" si="18"/>
        <v>RIGHT(E28,1)</v>
      </c>
      <c r="CK68" s="968" t="str">
        <f t="shared" si="18"/>
        <v>RIGHT(F28,1)</v>
      </c>
      <c r="CL68" s="968" t="str">
        <f t="shared" si="18"/>
        <v>RIGHT(G28,1)</v>
      </c>
      <c r="CM68" s="968" t="str">
        <f t="shared" si="18"/>
        <v>RIGHT(H28,1)</v>
      </c>
      <c r="CN68" s="968" t="str">
        <f t="shared" si="19"/>
        <v>hex2bin(RIGHT(I28,1),4)</v>
      </c>
      <c r="CO68" s="968" t="str">
        <f t="shared" si="20"/>
        <v>RIGHT(J28,1)</v>
      </c>
      <c r="CP68" s="968" t="str">
        <f t="shared" si="20"/>
        <v>RIGHT(J28,1)</v>
      </c>
      <c r="CQ68" s="968" t="str">
        <f t="shared" si="20"/>
        <v>RIGHT(L28,1)</v>
      </c>
      <c r="CR68" s="968" t="str">
        <f t="shared" si="20"/>
        <v>RIGHT(M28,1)</v>
      </c>
      <c r="CS68" s="968" t="str">
        <f t="shared" si="21"/>
        <v>RIGHT(D28,1),RIGHT(E28,1),RIGHT(F28,1),RIGHT(G28,1),RIGHT(H28,1),hex2bin(RIGHT(I28,1),4),RIGHT(J28,1),RIGHT(J28,1),RIGHT(L28,1),RIGHT(M28,1)</v>
      </c>
    </row>
    <row r="69" spans="3:97" s="968" customFormat="1" x14ac:dyDescent="0.35">
      <c r="C69" s="969"/>
      <c r="D69" s="968">
        <f t="shared" si="6"/>
        <v>25</v>
      </c>
      <c r="E69" s="968" t="e">
        <f t="shared" ca="1" si="0"/>
        <v>#VALUE!</v>
      </c>
      <c r="F69" s="968" t="e">
        <f t="shared" ca="1" si="7"/>
        <v>#VALUE!</v>
      </c>
      <c r="G69" s="970"/>
      <c r="H69" s="970"/>
      <c r="I69" s="970"/>
      <c r="J69" s="970"/>
      <c r="K69" s="970"/>
      <c r="L69" s="970"/>
      <c r="M69" s="970"/>
      <c r="O69" s="970"/>
      <c r="P69" s="970"/>
      <c r="Q69" s="970"/>
      <c r="BA69" s="968">
        <f t="shared" si="8"/>
        <v>25</v>
      </c>
      <c r="BB69" s="968" t="e">
        <f t="shared" ca="1" si="1"/>
        <v>#VALUE!</v>
      </c>
      <c r="BC69" s="968" t="e">
        <f t="shared" ca="1" si="9"/>
        <v>#VALUE!</v>
      </c>
      <c r="BE69" s="968">
        <f t="shared" si="10"/>
        <v>25</v>
      </c>
      <c r="BF69" s="968" t="e">
        <f t="shared" ca="1" si="2"/>
        <v>#VALUE!</v>
      </c>
      <c r="BG69" s="968" t="e">
        <f t="shared" ca="1" si="11"/>
        <v>#VALUE!</v>
      </c>
      <c r="BI69" s="968">
        <f t="shared" si="12"/>
        <v>25</v>
      </c>
      <c r="BJ69" s="968" t="e">
        <f t="shared" ca="1" si="3"/>
        <v>#VALUE!</v>
      </c>
      <c r="BK69" s="968" t="e">
        <f t="shared" ca="1" si="13"/>
        <v>#VALUE!</v>
      </c>
      <c r="BM69" s="968">
        <f t="shared" si="14"/>
        <v>25</v>
      </c>
      <c r="BN69" s="968" t="e">
        <f t="shared" ca="1" si="4"/>
        <v>#VALUE!</v>
      </c>
      <c r="BO69" s="968" t="e">
        <f t="shared" ca="1" si="15"/>
        <v>#VALUE!</v>
      </c>
      <c r="BQ69" s="968">
        <f t="shared" si="16"/>
        <v>25</v>
      </c>
      <c r="BR69" s="968" t="e">
        <f t="shared" ca="1" si="5"/>
        <v>#VALUE!</v>
      </c>
      <c r="BS69" s="968" t="e">
        <f t="shared" ca="1" si="17"/>
        <v>#VALUE!</v>
      </c>
      <c r="CH69" s="968">
        <v>27</v>
      </c>
      <c r="CI69" s="968" t="str">
        <f t="shared" si="18"/>
        <v>RIGHT(D27,1)</v>
      </c>
      <c r="CJ69" s="968" t="str">
        <f t="shared" si="18"/>
        <v>RIGHT(E27,1)</v>
      </c>
      <c r="CK69" s="968" t="str">
        <f t="shared" si="18"/>
        <v>RIGHT(F27,1)</v>
      </c>
      <c r="CL69" s="968" t="str">
        <f t="shared" si="18"/>
        <v>RIGHT(G27,1)</v>
      </c>
      <c r="CM69" s="968" t="str">
        <f t="shared" si="18"/>
        <v>RIGHT(H27,1)</v>
      </c>
      <c r="CN69" s="968" t="str">
        <f t="shared" si="19"/>
        <v>hex2bin(RIGHT(I27,1),4)</v>
      </c>
      <c r="CO69" s="968" t="str">
        <f t="shared" si="20"/>
        <v>RIGHT(J27,1)</v>
      </c>
      <c r="CP69" s="968" t="str">
        <f t="shared" si="20"/>
        <v>RIGHT(J27,1)</v>
      </c>
      <c r="CQ69" s="968" t="str">
        <f t="shared" si="20"/>
        <v>RIGHT(L27,1)</v>
      </c>
      <c r="CR69" s="968" t="str">
        <f t="shared" si="20"/>
        <v>RIGHT(M27,1)</v>
      </c>
      <c r="CS69" s="968" t="str">
        <f t="shared" si="21"/>
        <v>RIGHT(D27,1),RIGHT(E27,1),RIGHT(F27,1),RIGHT(G27,1),RIGHT(H27,1),hex2bin(RIGHT(I27,1),4),RIGHT(J27,1),RIGHT(J27,1),RIGHT(L27,1),RIGHT(M27,1)</v>
      </c>
    </row>
    <row r="70" spans="3:97" s="968" customFormat="1" x14ac:dyDescent="0.35">
      <c r="C70" s="969"/>
      <c r="D70" s="968">
        <f t="shared" si="6"/>
        <v>29</v>
      </c>
      <c r="E70" s="968" t="e">
        <f t="shared" ca="1" si="0"/>
        <v>#VALUE!</v>
      </c>
      <c r="F70" s="968" t="e">
        <f t="shared" ca="1" si="7"/>
        <v>#VALUE!</v>
      </c>
      <c r="G70" s="970"/>
      <c r="H70" s="970"/>
      <c r="I70" s="970"/>
      <c r="J70" s="970"/>
      <c r="K70" s="970"/>
      <c r="L70" s="970"/>
      <c r="M70" s="970"/>
      <c r="O70" s="970"/>
      <c r="P70" s="970"/>
      <c r="Q70" s="970"/>
      <c r="BA70" s="968">
        <f t="shared" si="8"/>
        <v>29</v>
      </c>
      <c r="BB70" s="968" t="e">
        <f t="shared" ca="1" si="1"/>
        <v>#VALUE!</v>
      </c>
      <c r="BC70" s="968" t="e">
        <f t="shared" ca="1" si="9"/>
        <v>#VALUE!</v>
      </c>
      <c r="BE70" s="968">
        <f t="shared" si="10"/>
        <v>29</v>
      </c>
      <c r="BF70" s="968" t="e">
        <f t="shared" ca="1" si="2"/>
        <v>#VALUE!</v>
      </c>
      <c r="BG70" s="968" t="e">
        <f t="shared" ca="1" si="11"/>
        <v>#VALUE!</v>
      </c>
      <c r="BI70" s="968">
        <f t="shared" si="12"/>
        <v>29</v>
      </c>
      <c r="BJ70" s="968" t="e">
        <f t="shared" ca="1" si="3"/>
        <v>#VALUE!</v>
      </c>
      <c r="BK70" s="968" t="e">
        <f t="shared" ca="1" si="13"/>
        <v>#VALUE!</v>
      </c>
      <c r="BM70" s="968">
        <f t="shared" si="14"/>
        <v>29</v>
      </c>
      <c r="BN70" s="968" t="e">
        <f t="shared" ca="1" si="4"/>
        <v>#VALUE!</v>
      </c>
      <c r="BO70" s="968" t="e">
        <f t="shared" ca="1" si="15"/>
        <v>#VALUE!</v>
      </c>
      <c r="BQ70" s="968">
        <f t="shared" si="16"/>
        <v>29</v>
      </c>
      <c r="BR70" s="968" t="e">
        <f t="shared" ca="1" si="5"/>
        <v>#VALUE!</v>
      </c>
      <c r="BS70" s="968" t="e">
        <f t="shared" ca="1" si="17"/>
        <v>#VALUE!</v>
      </c>
      <c r="CH70" s="968">
        <v>26</v>
      </c>
      <c r="CI70" s="968" t="str">
        <f t="shared" si="18"/>
        <v>RIGHT(D26,1)</v>
      </c>
      <c r="CJ70" s="968" t="str">
        <f t="shared" si="18"/>
        <v>RIGHT(E26,1)</v>
      </c>
      <c r="CK70" s="968" t="str">
        <f t="shared" si="18"/>
        <v>RIGHT(F26,1)</v>
      </c>
      <c r="CL70" s="968" t="str">
        <f t="shared" si="18"/>
        <v>RIGHT(G26,1)</v>
      </c>
      <c r="CM70" s="968" t="str">
        <f t="shared" si="18"/>
        <v>RIGHT(H26,1)</v>
      </c>
      <c r="CN70" s="968" t="str">
        <f t="shared" si="19"/>
        <v>hex2bin(RIGHT(I26,1),4)</v>
      </c>
      <c r="CO70" s="968" t="str">
        <f t="shared" si="20"/>
        <v>RIGHT(J26,1)</v>
      </c>
      <c r="CP70" s="968" t="str">
        <f t="shared" si="20"/>
        <v>RIGHT(J26,1)</v>
      </c>
      <c r="CQ70" s="968" t="str">
        <f t="shared" si="20"/>
        <v>RIGHT(L26,1)</v>
      </c>
      <c r="CR70" s="968" t="str">
        <f t="shared" si="20"/>
        <v>RIGHT(M26,1)</v>
      </c>
      <c r="CS70" s="968" t="str">
        <f t="shared" si="21"/>
        <v>RIGHT(D26,1),RIGHT(E26,1),RIGHT(F26,1),RIGHT(G26,1),RIGHT(H26,1),hex2bin(RIGHT(I26,1),4),RIGHT(J26,1),RIGHT(J26,1),RIGHT(L26,1),RIGHT(M26,1)</v>
      </c>
    </row>
    <row r="71" spans="3:97" s="968" customFormat="1" x14ac:dyDescent="0.35">
      <c r="C71" s="969"/>
      <c r="D71" s="968">
        <f t="shared" si="6"/>
        <v>33</v>
      </c>
      <c r="E71" s="968" t="e">
        <f t="shared" ca="1" si="0"/>
        <v>#VALUE!</v>
      </c>
      <c r="F71" s="968" t="e">
        <f t="shared" ca="1" si="7"/>
        <v>#VALUE!</v>
      </c>
      <c r="G71" s="970"/>
      <c r="H71" s="970"/>
      <c r="I71" s="970"/>
      <c r="J71" s="970"/>
      <c r="K71" s="970"/>
      <c r="L71" s="970"/>
      <c r="M71" s="970"/>
      <c r="O71" s="970"/>
      <c r="P71" s="970"/>
      <c r="Q71" s="970"/>
      <c r="BA71" s="968">
        <f t="shared" si="8"/>
        <v>33</v>
      </c>
      <c r="BB71" s="968" t="e">
        <f t="shared" ca="1" si="1"/>
        <v>#VALUE!</v>
      </c>
      <c r="BC71" s="968" t="e">
        <f t="shared" ca="1" si="9"/>
        <v>#VALUE!</v>
      </c>
      <c r="BE71" s="968">
        <f t="shared" si="10"/>
        <v>33</v>
      </c>
      <c r="BF71" s="968" t="e">
        <f t="shared" ca="1" si="2"/>
        <v>#VALUE!</v>
      </c>
      <c r="BG71" s="968" t="e">
        <f t="shared" ca="1" si="11"/>
        <v>#VALUE!</v>
      </c>
      <c r="BI71" s="968">
        <f t="shared" si="12"/>
        <v>33</v>
      </c>
      <c r="BJ71" s="968" t="e">
        <f t="shared" ca="1" si="3"/>
        <v>#VALUE!</v>
      </c>
      <c r="BK71" s="968" t="e">
        <f t="shared" ca="1" si="13"/>
        <v>#VALUE!</v>
      </c>
      <c r="BM71" s="968">
        <f t="shared" si="14"/>
        <v>33</v>
      </c>
      <c r="BN71" s="968" t="e">
        <f t="shared" ca="1" si="4"/>
        <v>#VALUE!</v>
      </c>
      <c r="BO71" s="968" t="e">
        <f t="shared" ca="1" si="15"/>
        <v>#VALUE!</v>
      </c>
      <c r="BQ71" s="968">
        <f t="shared" si="16"/>
        <v>33</v>
      </c>
      <c r="BR71" s="968" t="e">
        <f t="shared" ca="1" si="5"/>
        <v>#VALUE!</v>
      </c>
      <c r="BS71" s="968" t="e">
        <f t="shared" ca="1" si="17"/>
        <v>#VALUE!</v>
      </c>
      <c r="CH71" s="968">
        <v>25</v>
      </c>
      <c r="CI71" s="968" t="str">
        <f t="shared" si="18"/>
        <v>RIGHT(D25,1)</v>
      </c>
      <c r="CJ71" s="968" t="str">
        <f t="shared" si="18"/>
        <v>RIGHT(E25,1)</v>
      </c>
      <c r="CK71" s="968" t="str">
        <f t="shared" si="18"/>
        <v>RIGHT(F25,1)</v>
      </c>
      <c r="CL71" s="968" t="str">
        <f t="shared" si="18"/>
        <v>RIGHT(G25,1)</v>
      </c>
      <c r="CM71" s="968" t="str">
        <f t="shared" si="18"/>
        <v>RIGHT(H25,1)</v>
      </c>
      <c r="CN71" s="968" t="str">
        <f t="shared" si="19"/>
        <v>hex2bin(RIGHT(I25,1),4)</v>
      </c>
      <c r="CO71" s="968" t="str">
        <f t="shared" si="20"/>
        <v>RIGHT(J25,1)</v>
      </c>
      <c r="CP71" s="968" t="str">
        <f t="shared" si="20"/>
        <v>RIGHT(J25,1)</v>
      </c>
      <c r="CQ71" s="968" t="str">
        <f t="shared" si="20"/>
        <v>RIGHT(L25,1)</v>
      </c>
      <c r="CR71" s="968" t="str">
        <f t="shared" si="20"/>
        <v>RIGHT(M25,1)</v>
      </c>
      <c r="CS71" s="968" t="str">
        <f t="shared" si="21"/>
        <v>RIGHT(D25,1),RIGHT(E25,1),RIGHT(F25,1),RIGHT(G25,1),RIGHT(H25,1),hex2bin(RIGHT(I25,1),4),RIGHT(J25,1),RIGHT(J25,1),RIGHT(L25,1),RIGHT(M25,1)</v>
      </c>
    </row>
    <row r="72" spans="3:97" s="968" customFormat="1" x14ac:dyDescent="0.35">
      <c r="C72" s="969"/>
      <c r="D72" s="968">
        <f t="shared" si="6"/>
        <v>37</v>
      </c>
      <c r="E72" s="968" t="e">
        <f t="shared" ca="1" si="0"/>
        <v>#VALUE!</v>
      </c>
      <c r="F72" s="968" t="e">
        <f t="shared" ca="1" si="7"/>
        <v>#VALUE!</v>
      </c>
      <c r="G72" s="970"/>
      <c r="H72" s="970"/>
      <c r="I72" s="970"/>
      <c r="J72" s="970"/>
      <c r="K72" s="970"/>
      <c r="L72" s="970"/>
      <c r="M72" s="970"/>
      <c r="O72" s="970"/>
      <c r="P72" s="970"/>
      <c r="Q72" s="970"/>
      <c r="BA72" s="968">
        <f t="shared" si="8"/>
        <v>37</v>
      </c>
      <c r="BB72" s="968" t="e">
        <f t="shared" ca="1" si="1"/>
        <v>#VALUE!</v>
      </c>
      <c r="BC72" s="968" t="e">
        <f t="shared" ca="1" si="9"/>
        <v>#VALUE!</v>
      </c>
      <c r="BE72" s="968">
        <f t="shared" si="10"/>
        <v>37</v>
      </c>
      <c r="BF72" s="968" t="e">
        <f t="shared" ca="1" si="2"/>
        <v>#VALUE!</v>
      </c>
      <c r="BG72" s="968" t="e">
        <f t="shared" ca="1" si="11"/>
        <v>#VALUE!</v>
      </c>
      <c r="BI72" s="968">
        <f t="shared" si="12"/>
        <v>37</v>
      </c>
      <c r="BJ72" s="968" t="e">
        <f t="shared" ca="1" si="3"/>
        <v>#VALUE!</v>
      </c>
      <c r="BK72" s="968" t="e">
        <f t="shared" ca="1" si="13"/>
        <v>#VALUE!</v>
      </c>
      <c r="BM72" s="968">
        <f t="shared" si="14"/>
        <v>37</v>
      </c>
      <c r="BN72" s="968" t="e">
        <f t="shared" ca="1" si="4"/>
        <v>#VALUE!</v>
      </c>
      <c r="BO72" s="968" t="e">
        <f t="shared" ca="1" si="15"/>
        <v>#VALUE!</v>
      </c>
      <c r="BQ72" s="968">
        <f t="shared" si="16"/>
        <v>37</v>
      </c>
      <c r="BR72" s="968" t="e">
        <f t="shared" ca="1" si="5"/>
        <v>#VALUE!</v>
      </c>
      <c r="BS72" s="968" t="e">
        <f t="shared" ca="1" si="17"/>
        <v>#VALUE!</v>
      </c>
      <c r="CH72" s="968">
        <v>24</v>
      </c>
      <c r="CI72" s="968" t="str">
        <f t="shared" si="18"/>
        <v>RIGHT(D24,1)</v>
      </c>
      <c r="CJ72" s="968" t="str">
        <f t="shared" si="18"/>
        <v>RIGHT(E24,1)</v>
      </c>
      <c r="CK72" s="968" t="str">
        <f t="shared" si="18"/>
        <v>RIGHT(F24,1)</v>
      </c>
      <c r="CL72" s="968" t="str">
        <f t="shared" si="18"/>
        <v>RIGHT(G24,1)</v>
      </c>
      <c r="CM72" s="968" t="str">
        <f t="shared" si="18"/>
        <v>RIGHT(H24,1)</v>
      </c>
      <c r="CN72" s="968" t="str">
        <f t="shared" si="19"/>
        <v>hex2bin(RIGHT(I24,1),4)</v>
      </c>
      <c r="CO72" s="968" t="str">
        <f t="shared" si="20"/>
        <v>RIGHT(J24,1)</v>
      </c>
      <c r="CP72" s="968" t="str">
        <f t="shared" si="20"/>
        <v>RIGHT(J24,1)</v>
      </c>
      <c r="CQ72" s="968" t="str">
        <f t="shared" si="20"/>
        <v>RIGHT(L24,1)</v>
      </c>
      <c r="CR72" s="968" t="str">
        <f t="shared" si="20"/>
        <v>RIGHT(M24,1)</v>
      </c>
      <c r="CS72" s="968" t="str">
        <f t="shared" si="21"/>
        <v>RIGHT(D24,1),RIGHT(E24,1),RIGHT(F24,1),RIGHT(G24,1),RIGHT(H24,1),hex2bin(RIGHT(I24,1),4),RIGHT(J24,1),RIGHT(J24,1),RIGHT(L24,1),RIGHT(M24,1)</v>
      </c>
    </row>
    <row r="73" spans="3:97" s="968" customFormat="1" x14ac:dyDescent="0.35">
      <c r="C73" s="969"/>
      <c r="D73" s="968">
        <f t="shared" si="6"/>
        <v>41</v>
      </c>
      <c r="E73" s="968" t="e">
        <f t="shared" ca="1" si="0"/>
        <v>#VALUE!</v>
      </c>
      <c r="F73" s="968" t="e">
        <f t="shared" ca="1" si="7"/>
        <v>#VALUE!</v>
      </c>
      <c r="G73" s="970"/>
      <c r="H73" s="970"/>
      <c r="I73" s="970"/>
      <c r="J73" s="970"/>
      <c r="K73" s="970"/>
      <c r="L73" s="970"/>
      <c r="M73" s="970"/>
      <c r="O73" s="970"/>
      <c r="P73" s="970"/>
      <c r="Q73" s="970"/>
      <c r="BA73" s="968">
        <f t="shared" si="8"/>
        <v>41</v>
      </c>
      <c r="BB73" s="968" t="e">
        <f t="shared" ca="1" si="1"/>
        <v>#VALUE!</v>
      </c>
      <c r="BC73" s="968" t="e">
        <f t="shared" ca="1" si="9"/>
        <v>#VALUE!</v>
      </c>
      <c r="BE73" s="968">
        <f t="shared" si="10"/>
        <v>41</v>
      </c>
      <c r="BF73" s="968" t="e">
        <f t="shared" ca="1" si="2"/>
        <v>#VALUE!</v>
      </c>
      <c r="BG73" s="968" t="e">
        <f t="shared" ca="1" si="11"/>
        <v>#VALUE!</v>
      </c>
      <c r="BI73" s="968">
        <f t="shared" si="12"/>
        <v>41</v>
      </c>
      <c r="BJ73" s="968" t="e">
        <f t="shared" ca="1" si="3"/>
        <v>#VALUE!</v>
      </c>
      <c r="BK73" s="968" t="e">
        <f t="shared" ca="1" si="13"/>
        <v>#VALUE!</v>
      </c>
      <c r="BM73" s="968">
        <f t="shared" si="14"/>
        <v>41</v>
      </c>
      <c r="BN73" s="968" t="e">
        <f t="shared" ca="1" si="4"/>
        <v>#VALUE!</v>
      </c>
      <c r="BO73" s="968" t="e">
        <f t="shared" ca="1" si="15"/>
        <v>#VALUE!</v>
      </c>
      <c r="BQ73" s="968">
        <f t="shared" si="16"/>
        <v>41</v>
      </c>
      <c r="BR73" s="968" t="e">
        <f t="shared" ca="1" si="5"/>
        <v>#VALUE!</v>
      </c>
      <c r="BS73" s="968" t="e">
        <f t="shared" ca="1" si="17"/>
        <v>#VALUE!</v>
      </c>
      <c r="CH73" s="968">
        <v>23</v>
      </c>
      <c r="CI73" s="968" t="str">
        <f t="shared" si="18"/>
        <v>RIGHT(D23,1)</v>
      </c>
      <c r="CJ73" s="968" t="str">
        <f t="shared" si="18"/>
        <v>RIGHT(E23,1)</v>
      </c>
      <c r="CK73" s="968" t="str">
        <f t="shared" si="18"/>
        <v>RIGHT(F23,1)</v>
      </c>
      <c r="CL73" s="968" t="str">
        <f t="shared" si="18"/>
        <v>RIGHT(G23,1)</v>
      </c>
      <c r="CM73" s="968" t="str">
        <f t="shared" si="18"/>
        <v>RIGHT(H23,1)</v>
      </c>
      <c r="CN73" s="968" t="str">
        <f t="shared" si="19"/>
        <v>hex2bin(RIGHT(I23,1),4)</v>
      </c>
      <c r="CO73" s="968" t="str">
        <f t="shared" si="20"/>
        <v>RIGHT(J23,1)</v>
      </c>
      <c r="CP73" s="968" t="str">
        <f t="shared" si="20"/>
        <v>RIGHT(J23,1)</v>
      </c>
      <c r="CQ73" s="968" t="str">
        <f t="shared" si="20"/>
        <v>RIGHT(L23,1)</v>
      </c>
      <c r="CR73" s="968" t="str">
        <f t="shared" si="20"/>
        <v>RIGHT(M23,1)</v>
      </c>
      <c r="CS73" s="968" t="str">
        <f t="shared" si="21"/>
        <v>RIGHT(D23,1),RIGHT(E23,1),RIGHT(F23,1),RIGHT(G23,1),RIGHT(H23,1),hex2bin(RIGHT(I23,1),4),RIGHT(J23,1),RIGHT(J23,1),RIGHT(L23,1),RIGHT(M23,1)</v>
      </c>
    </row>
    <row r="74" spans="3:97" s="968" customFormat="1" x14ac:dyDescent="0.35">
      <c r="C74" s="969"/>
      <c r="D74" s="968">
        <f t="shared" si="6"/>
        <v>45</v>
      </c>
      <c r="E74" s="968" t="e">
        <f t="shared" ca="1" si="0"/>
        <v>#VALUE!</v>
      </c>
      <c r="F74" s="968" t="e">
        <f t="shared" ca="1" si="7"/>
        <v>#VALUE!</v>
      </c>
      <c r="G74" s="970"/>
      <c r="H74" s="970"/>
      <c r="I74" s="970"/>
      <c r="J74" s="970"/>
      <c r="K74" s="970"/>
      <c r="L74" s="970"/>
      <c r="M74" s="970"/>
      <c r="O74" s="970"/>
      <c r="P74" s="970"/>
      <c r="Q74" s="970"/>
      <c r="BA74" s="968">
        <f t="shared" si="8"/>
        <v>45</v>
      </c>
      <c r="BB74" s="968" t="e">
        <f t="shared" ca="1" si="1"/>
        <v>#VALUE!</v>
      </c>
      <c r="BC74" s="968" t="e">
        <f t="shared" ca="1" si="9"/>
        <v>#VALUE!</v>
      </c>
      <c r="BE74" s="968">
        <f t="shared" si="10"/>
        <v>45</v>
      </c>
      <c r="BF74" s="968" t="e">
        <f t="shared" ca="1" si="2"/>
        <v>#VALUE!</v>
      </c>
      <c r="BG74" s="968" t="e">
        <f t="shared" ca="1" si="11"/>
        <v>#VALUE!</v>
      </c>
      <c r="BI74" s="968">
        <f t="shared" si="12"/>
        <v>45</v>
      </c>
      <c r="BJ74" s="968" t="e">
        <f t="shared" ca="1" si="3"/>
        <v>#VALUE!</v>
      </c>
      <c r="BK74" s="968" t="e">
        <f t="shared" ca="1" si="13"/>
        <v>#VALUE!</v>
      </c>
      <c r="BM74" s="968">
        <f t="shared" si="14"/>
        <v>45</v>
      </c>
      <c r="BN74" s="968" t="e">
        <f t="shared" ca="1" si="4"/>
        <v>#VALUE!</v>
      </c>
      <c r="BO74" s="968" t="e">
        <f t="shared" ca="1" si="15"/>
        <v>#VALUE!</v>
      </c>
      <c r="BQ74" s="968">
        <f t="shared" si="16"/>
        <v>45</v>
      </c>
      <c r="BR74" s="968" t="e">
        <f t="shared" ca="1" si="5"/>
        <v>#VALUE!</v>
      </c>
      <c r="BS74" s="968" t="e">
        <f t="shared" ca="1" si="17"/>
        <v>#VALUE!</v>
      </c>
      <c r="CH74" s="968">
        <v>22</v>
      </c>
      <c r="CI74" s="968" t="str">
        <f t="shared" ref="CI74:CM79" si="22">"RIGHT("&amp;CI$63&amp;$CH74&amp;",1)"</f>
        <v>RIGHT(D22,1)</v>
      </c>
      <c r="CJ74" s="968" t="str">
        <f t="shared" si="22"/>
        <v>RIGHT(E22,1)</v>
      </c>
      <c r="CK74" s="968" t="str">
        <f t="shared" si="22"/>
        <v>RIGHT(F22,1)</v>
      </c>
      <c r="CL74" s="968" t="str">
        <f t="shared" si="22"/>
        <v>RIGHT(G22,1)</v>
      </c>
      <c r="CM74" s="968" t="str">
        <f t="shared" si="22"/>
        <v>RIGHT(H22,1)</v>
      </c>
      <c r="CN74" s="968" t="str">
        <f t="shared" si="19"/>
        <v>hex2bin(RIGHT(I22,1),4)</v>
      </c>
      <c r="CO74" s="968" t="str">
        <f t="shared" si="20"/>
        <v>RIGHT(J22,1)</v>
      </c>
      <c r="CP74" s="968" t="str">
        <f t="shared" si="20"/>
        <v>RIGHT(J22,1)</v>
      </c>
      <c r="CQ74" s="968" t="str">
        <f t="shared" si="20"/>
        <v>RIGHT(L22,1)</v>
      </c>
      <c r="CR74" s="968" t="str">
        <f t="shared" si="20"/>
        <v>RIGHT(M22,1)</v>
      </c>
      <c r="CS74" s="968" t="str">
        <f t="shared" si="21"/>
        <v>RIGHT(D22,1),RIGHT(E22,1),RIGHT(F22,1),RIGHT(G22,1),RIGHT(H22,1),hex2bin(RIGHT(I22,1),4),RIGHT(J22,1),RIGHT(J22,1),RIGHT(L22,1),RIGHT(M22,1)</v>
      </c>
    </row>
    <row r="75" spans="3:97" s="968" customFormat="1" x14ac:dyDescent="0.35">
      <c r="C75" s="969"/>
      <c r="D75" s="968">
        <f t="shared" ref="D75:D114" si="23">D74+4</f>
        <v>49</v>
      </c>
      <c r="E75" s="968" t="e">
        <f t="shared" ca="1" si="0"/>
        <v>#VALUE!</v>
      </c>
      <c r="F75" s="968" t="e">
        <f t="shared" ca="1" si="7"/>
        <v>#VALUE!</v>
      </c>
      <c r="G75" s="970"/>
      <c r="H75" s="970"/>
      <c r="I75" s="970"/>
      <c r="J75" s="970"/>
      <c r="K75" s="970"/>
      <c r="L75" s="970"/>
      <c r="M75" s="970"/>
      <c r="O75" s="970"/>
      <c r="P75" s="970"/>
      <c r="Q75" s="970"/>
      <c r="CH75" s="968">
        <v>21</v>
      </c>
      <c r="CI75" s="968" t="str">
        <f t="shared" si="22"/>
        <v>RIGHT(D21,1)</v>
      </c>
      <c r="CJ75" s="968" t="str">
        <f t="shared" si="22"/>
        <v>RIGHT(E21,1)</v>
      </c>
      <c r="CK75" s="968" t="str">
        <f t="shared" si="22"/>
        <v>RIGHT(F21,1)</v>
      </c>
      <c r="CL75" s="968" t="str">
        <f t="shared" si="22"/>
        <v>RIGHT(G21,1)</v>
      </c>
      <c r="CM75" s="968" t="str">
        <f t="shared" si="22"/>
        <v>RIGHT(H21,1)</v>
      </c>
      <c r="CN75" s="968" t="str">
        <f t="shared" si="19"/>
        <v>hex2bin(RIGHT(I21,1),4)</v>
      </c>
      <c r="CO75" s="968" t="str">
        <f t="shared" si="20"/>
        <v>RIGHT(J21,1)</v>
      </c>
      <c r="CP75" s="968" t="str">
        <f t="shared" si="20"/>
        <v>RIGHT(J21,1)</v>
      </c>
      <c r="CQ75" s="968" t="str">
        <f t="shared" si="20"/>
        <v>RIGHT(L21,1)</v>
      </c>
      <c r="CR75" s="968" t="str">
        <f t="shared" si="20"/>
        <v>RIGHT(M21,1)</v>
      </c>
      <c r="CS75" s="968" t="str">
        <f t="shared" si="21"/>
        <v>RIGHT(D21,1),RIGHT(E21,1),RIGHT(F21,1),RIGHT(G21,1),RIGHT(H21,1),hex2bin(RIGHT(I21,1),4),RIGHT(J21,1),RIGHT(J21,1),RIGHT(L21,1),RIGHT(M21,1)</v>
      </c>
    </row>
    <row r="76" spans="3:97" s="968" customFormat="1" x14ac:dyDescent="0.35">
      <c r="C76" s="969"/>
      <c r="D76" s="968">
        <f t="shared" si="23"/>
        <v>53</v>
      </c>
      <c r="E76" s="968" t="e">
        <f t="shared" ca="1" si="0"/>
        <v>#VALUE!</v>
      </c>
      <c r="F76" s="968" t="e">
        <f t="shared" ca="1" si="7"/>
        <v>#VALUE!</v>
      </c>
      <c r="G76" s="970"/>
      <c r="H76" s="970"/>
      <c r="I76" s="970"/>
      <c r="J76" s="970"/>
      <c r="K76" s="970"/>
      <c r="L76" s="970"/>
      <c r="M76" s="970"/>
      <c r="O76" s="970"/>
      <c r="P76" s="970"/>
      <c r="Q76" s="970"/>
      <c r="CH76" s="968">
        <v>20</v>
      </c>
      <c r="CI76" s="968" t="str">
        <f t="shared" si="22"/>
        <v>RIGHT(D20,1)</v>
      </c>
      <c r="CJ76" s="968" t="str">
        <f t="shared" si="22"/>
        <v>RIGHT(E20,1)</v>
      </c>
      <c r="CK76" s="968" t="str">
        <f t="shared" si="22"/>
        <v>RIGHT(F20,1)</v>
      </c>
      <c r="CL76" s="968" t="str">
        <f t="shared" si="22"/>
        <v>RIGHT(G20,1)</v>
      </c>
      <c r="CM76" s="968" t="str">
        <f t="shared" si="22"/>
        <v>RIGHT(H20,1)</v>
      </c>
      <c r="CN76" s="968" t="str">
        <f t="shared" si="19"/>
        <v>hex2bin(RIGHT(I20,1),4)</v>
      </c>
      <c r="CO76" s="968" t="str">
        <f t="shared" si="20"/>
        <v>RIGHT(J20,1)</v>
      </c>
      <c r="CP76" s="968" t="str">
        <f t="shared" si="20"/>
        <v>RIGHT(J20,1)</v>
      </c>
      <c r="CQ76" s="968" t="str">
        <f t="shared" si="20"/>
        <v>RIGHT(L20,1)</v>
      </c>
      <c r="CR76" s="968" t="str">
        <f t="shared" si="20"/>
        <v>RIGHT(M20,1)</v>
      </c>
      <c r="CS76" s="968" t="str">
        <f t="shared" si="21"/>
        <v>RIGHT(D20,1),RIGHT(E20,1),RIGHT(F20,1),RIGHT(G20,1),RIGHT(H20,1),hex2bin(RIGHT(I20,1),4),RIGHT(J20,1),RIGHT(J20,1),RIGHT(L20,1),RIGHT(M20,1)</v>
      </c>
    </row>
    <row r="77" spans="3:97" s="968" customFormat="1" x14ac:dyDescent="0.35">
      <c r="C77" s="969"/>
      <c r="D77" s="968">
        <f t="shared" si="23"/>
        <v>57</v>
      </c>
      <c r="E77" s="968" t="e">
        <f t="shared" ca="1" si="0"/>
        <v>#VALUE!</v>
      </c>
      <c r="F77" s="968" t="e">
        <f t="shared" ca="1" si="7"/>
        <v>#VALUE!</v>
      </c>
      <c r="G77" s="970"/>
      <c r="H77" s="970"/>
      <c r="I77" s="970"/>
      <c r="J77" s="970"/>
      <c r="K77" s="970"/>
      <c r="L77" s="970"/>
      <c r="M77" s="970"/>
      <c r="O77" s="970"/>
      <c r="P77" s="970"/>
      <c r="Q77" s="970"/>
      <c r="CH77" s="968">
        <v>19</v>
      </c>
      <c r="CI77" s="968" t="str">
        <f t="shared" si="22"/>
        <v>RIGHT(D19,1)</v>
      </c>
      <c r="CJ77" s="968" t="str">
        <f t="shared" si="22"/>
        <v>RIGHT(E19,1)</v>
      </c>
      <c r="CK77" s="968" t="str">
        <f t="shared" si="22"/>
        <v>RIGHT(F19,1)</v>
      </c>
      <c r="CL77" s="968" t="str">
        <f t="shared" si="22"/>
        <v>RIGHT(G19,1)</v>
      </c>
      <c r="CM77" s="968" t="str">
        <f t="shared" si="22"/>
        <v>RIGHT(H19,1)</v>
      </c>
      <c r="CN77" s="968" t="str">
        <f t="shared" si="19"/>
        <v>hex2bin(RIGHT(I19,1),4)</v>
      </c>
      <c r="CO77" s="968" t="str">
        <f t="shared" si="20"/>
        <v>RIGHT(J19,1)</v>
      </c>
      <c r="CP77" s="968" t="str">
        <f t="shared" si="20"/>
        <v>RIGHT(J19,1)</v>
      </c>
      <c r="CQ77" s="968" t="str">
        <f t="shared" si="20"/>
        <v>RIGHT(L19,1)</v>
      </c>
      <c r="CR77" s="968" t="str">
        <f t="shared" si="20"/>
        <v>RIGHT(M19,1)</v>
      </c>
      <c r="CS77" s="968" t="str">
        <f t="shared" si="21"/>
        <v>RIGHT(D19,1),RIGHT(E19,1),RIGHT(F19,1),RIGHT(G19,1),RIGHT(H19,1),hex2bin(RIGHT(I19,1),4),RIGHT(J19,1),RIGHT(J19,1),RIGHT(L19,1),RIGHT(M19,1)</v>
      </c>
    </row>
    <row r="78" spans="3:97" s="968" customFormat="1" x14ac:dyDescent="0.35">
      <c r="C78" s="969"/>
      <c r="D78" s="968">
        <f t="shared" si="23"/>
        <v>61</v>
      </c>
      <c r="E78" s="968" t="e">
        <f t="shared" ca="1" si="0"/>
        <v>#VALUE!</v>
      </c>
      <c r="F78" s="968" t="e">
        <f t="shared" ca="1" si="7"/>
        <v>#VALUE!</v>
      </c>
      <c r="G78" s="970"/>
      <c r="H78" s="970"/>
      <c r="I78" s="970"/>
      <c r="J78" s="970"/>
      <c r="K78" s="970"/>
      <c r="L78" s="970"/>
      <c r="M78" s="970"/>
      <c r="O78" s="970"/>
      <c r="P78" s="970"/>
      <c r="Q78" s="970"/>
      <c r="CH78" s="968">
        <v>18</v>
      </c>
      <c r="CI78" s="968" t="str">
        <f t="shared" si="22"/>
        <v>RIGHT(D18,1)</v>
      </c>
      <c r="CJ78" s="968" t="str">
        <f t="shared" si="22"/>
        <v>RIGHT(E18,1)</v>
      </c>
      <c r="CK78" s="968" t="str">
        <f t="shared" si="22"/>
        <v>RIGHT(F18,1)</v>
      </c>
      <c r="CL78" s="968" t="str">
        <f t="shared" si="22"/>
        <v>RIGHT(G18,1)</v>
      </c>
      <c r="CM78" s="968" t="str">
        <f t="shared" si="22"/>
        <v>RIGHT(H18,1)</v>
      </c>
      <c r="CN78" s="968" t="str">
        <f t="shared" si="19"/>
        <v>hex2bin(RIGHT(I18,1),4)</v>
      </c>
      <c r="CO78" s="968" t="str">
        <f t="shared" si="20"/>
        <v>RIGHT(J18,1)</v>
      </c>
      <c r="CP78" s="968" t="str">
        <f t="shared" si="20"/>
        <v>RIGHT(J18,1)</v>
      </c>
      <c r="CQ78" s="968" t="str">
        <f t="shared" si="20"/>
        <v>RIGHT(L18,1)</v>
      </c>
      <c r="CR78" s="968" t="str">
        <f t="shared" si="20"/>
        <v>RIGHT(M18,1)</v>
      </c>
      <c r="CS78" s="968" t="str">
        <f t="shared" si="21"/>
        <v>RIGHT(D18,1),RIGHT(E18,1),RIGHT(F18,1),RIGHT(G18,1),RIGHT(H18,1),hex2bin(RIGHT(I18,1),4),RIGHT(J18,1),RIGHT(J18,1),RIGHT(L18,1),RIGHT(M18,1)</v>
      </c>
    </row>
    <row r="79" spans="3:97" s="968" customFormat="1" x14ac:dyDescent="0.35">
      <c r="C79" s="969"/>
      <c r="D79" s="968">
        <f t="shared" si="23"/>
        <v>65</v>
      </c>
      <c r="E79" s="968" t="e">
        <f t="shared" ca="1" si="0"/>
        <v>#VALUE!</v>
      </c>
      <c r="F79" s="968" t="e">
        <f t="shared" ca="1" si="7"/>
        <v>#VALUE!</v>
      </c>
      <c r="G79" s="970"/>
      <c r="H79" s="970"/>
      <c r="I79" s="970"/>
      <c r="J79" s="970"/>
      <c r="K79" s="970"/>
      <c r="L79" s="970"/>
      <c r="M79" s="970"/>
      <c r="O79" s="970"/>
      <c r="P79" s="970"/>
      <c r="Q79" s="970"/>
      <c r="CH79" s="968">
        <v>17</v>
      </c>
      <c r="CI79" s="968" t="str">
        <f t="shared" si="22"/>
        <v>RIGHT(D17,1)</v>
      </c>
      <c r="CJ79" s="968" t="str">
        <f t="shared" si="22"/>
        <v>RIGHT(E17,1)</v>
      </c>
      <c r="CK79" s="968" t="str">
        <f t="shared" si="22"/>
        <v>RIGHT(F17,1)</v>
      </c>
      <c r="CL79" s="968" t="str">
        <f t="shared" si="22"/>
        <v>RIGHT(G17,1)</v>
      </c>
      <c r="CM79" s="968" t="str">
        <f t="shared" si="22"/>
        <v>RIGHT(H17,1)</v>
      </c>
      <c r="CN79" s="968" t="str">
        <f t="shared" si="19"/>
        <v>hex2bin(RIGHT(I17,1),4)</v>
      </c>
      <c r="CO79" s="968" t="str">
        <f t="shared" si="20"/>
        <v>RIGHT(J17,1)</v>
      </c>
      <c r="CP79" s="968" t="str">
        <f t="shared" si="20"/>
        <v>RIGHT(J17,1)</v>
      </c>
      <c r="CQ79" s="968" t="str">
        <f t="shared" si="20"/>
        <v>RIGHT(L17,1)</v>
      </c>
      <c r="CR79" s="968" t="str">
        <f t="shared" si="20"/>
        <v>RIGHT(M17,1)</v>
      </c>
      <c r="CS79" s="968" t="str">
        <f t="shared" si="21"/>
        <v>RIGHT(D17,1),RIGHT(E17,1),RIGHT(F17,1),RIGHT(G17,1),RIGHT(H17,1),hex2bin(RIGHT(I17,1),4),RIGHT(J17,1),RIGHT(J17,1),RIGHT(L17,1),RIGHT(M17,1)</v>
      </c>
    </row>
    <row r="80" spans="3:97" s="968" customFormat="1" x14ac:dyDescent="0.35">
      <c r="C80" s="969"/>
      <c r="D80" s="968">
        <f t="shared" si="23"/>
        <v>69</v>
      </c>
      <c r="E80" s="968" t="e">
        <f t="shared" ca="1" si="0"/>
        <v>#VALUE!</v>
      </c>
      <c r="F80" s="968" t="e">
        <f t="shared" ca="1" si="7"/>
        <v>#VALUE!</v>
      </c>
      <c r="G80" s="970"/>
      <c r="H80" s="970"/>
      <c r="I80" s="970"/>
      <c r="J80" s="970"/>
      <c r="K80" s="970"/>
      <c r="L80" s="970"/>
      <c r="M80" s="970"/>
      <c r="O80" s="970"/>
      <c r="P80" s="970"/>
      <c r="Q80" s="970"/>
    </row>
    <row r="81" spans="3:97" s="968" customFormat="1" x14ac:dyDescent="0.35">
      <c r="C81" s="969"/>
      <c r="D81" s="968">
        <f t="shared" si="23"/>
        <v>73</v>
      </c>
      <c r="E81" s="968" t="e">
        <f t="shared" ca="1" si="0"/>
        <v>#VALUE!</v>
      </c>
      <c r="F81" s="968" t="e">
        <f t="shared" ca="1" si="7"/>
        <v>#VALUE!</v>
      </c>
      <c r="G81" s="970"/>
      <c r="H81" s="970"/>
      <c r="I81" s="970"/>
      <c r="J81" s="970"/>
      <c r="K81" s="970"/>
      <c r="L81" s="970"/>
      <c r="M81" s="970"/>
      <c r="O81" s="970"/>
      <c r="P81" s="970"/>
      <c r="Q81" s="970"/>
      <c r="CO81" s="968" t="s">
        <v>1453</v>
      </c>
      <c r="CS81" s="968"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68" customFormat="1" x14ac:dyDescent="0.35">
      <c r="D82" s="968">
        <f t="shared" si="23"/>
        <v>77</v>
      </c>
      <c r="E82" s="968" t="e">
        <f t="shared" ca="1" si="0"/>
        <v>#VALUE!</v>
      </c>
      <c r="F82" s="968" t="e">
        <f t="shared" ca="1" si="7"/>
        <v>#VALUE!</v>
      </c>
      <c r="G82" s="970"/>
      <c r="H82" s="970"/>
      <c r="I82" s="970"/>
      <c r="J82" s="970"/>
      <c r="K82" s="970"/>
      <c r="L82" s="970"/>
      <c r="M82" s="970"/>
      <c r="O82" s="970"/>
      <c r="P82" s="970"/>
      <c r="Q82" s="970"/>
    </row>
    <row r="83" spans="3:97" s="968" customFormat="1" x14ac:dyDescent="0.35">
      <c r="D83" s="968">
        <f t="shared" si="23"/>
        <v>81</v>
      </c>
      <c r="E83" s="968" t="e">
        <f t="shared" ca="1" si="0"/>
        <v>#VALUE!</v>
      </c>
      <c r="F83" s="968" t="e">
        <f t="shared" ca="1" si="7"/>
        <v>#VALUE!</v>
      </c>
      <c r="G83" s="970"/>
      <c r="H83" s="970"/>
      <c r="I83" s="970"/>
      <c r="J83" s="970"/>
      <c r="K83" s="970"/>
      <c r="L83" s="970"/>
      <c r="M83" s="970"/>
      <c r="O83" s="970"/>
      <c r="P83" s="970"/>
      <c r="Q83" s="970"/>
      <c r="CO83" s="968" t="s">
        <v>1454</v>
      </c>
      <c r="CS83" s="968" t="s">
        <v>1455</v>
      </c>
    </row>
    <row r="84" spans="3:97" s="968" customFormat="1" x14ac:dyDescent="0.35">
      <c r="D84" s="968">
        <f t="shared" si="23"/>
        <v>85</v>
      </c>
      <c r="E84" s="968" t="e">
        <f t="shared" ca="1" si="0"/>
        <v>#VALUE!</v>
      </c>
      <c r="F84" s="968" t="e">
        <f t="shared" ca="1" si="7"/>
        <v>#VALUE!</v>
      </c>
      <c r="G84" s="970"/>
      <c r="H84" s="970"/>
      <c r="I84" s="970"/>
      <c r="J84" s="970"/>
      <c r="K84" s="970"/>
      <c r="L84" s="970"/>
      <c r="M84" s="970"/>
      <c r="O84" s="970"/>
      <c r="P84" s="970"/>
      <c r="Q84" s="970"/>
      <c r="CO84" s="968" t="s">
        <v>1456</v>
      </c>
    </row>
    <row r="85" spans="3:97" s="968" customFormat="1" x14ac:dyDescent="0.35">
      <c r="D85" s="968">
        <f t="shared" si="23"/>
        <v>89</v>
      </c>
      <c r="E85" s="968" t="e">
        <f t="shared" ca="1" si="0"/>
        <v>#VALUE!</v>
      </c>
      <c r="F85" s="968" t="e">
        <f t="shared" ca="1" si="7"/>
        <v>#VALUE!</v>
      </c>
      <c r="G85" s="970"/>
      <c r="H85" s="970"/>
      <c r="I85" s="970"/>
      <c r="J85" s="970"/>
      <c r="K85" s="970"/>
      <c r="L85" s="970"/>
      <c r="M85" s="970"/>
      <c r="O85" s="970"/>
      <c r="P85" s="970"/>
      <c r="Q85" s="970"/>
      <c r="CO85" s="968" t="s">
        <v>1457</v>
      </c>
    </row>
    <row r="86" spans="3:97" s="968" customFormat="1" x14ac:dyDescent="0.35">
      <c r="D86" s="968">
        <f t="shared" si="23"/>
        <v>93</v>
      </c>
      <c r="E86" s="968" t="e">
        <f t="shared" ca="1" si="0"/>
        <v>#VALUE!</v>
      </c>
      <c r="F86" s="968" t="e">
        <f t="shared" ca="1" si="7"/>
        <v>#VALUE!</v>
      </c>
      <c r="G86" s="970"/>
      <c r="H86" s="970"/>
      <c r="I86" s="970"/>
      <c r="J86" s="970"/>
      <c r="K86" s="970"/>
      <c r="L86" s="970"/>
      <c r="M86" s="970"/>
      <c r="O86" s="970"/>
      <c r="P86" s="970"/>
      <c r="Q86" s="970"/>
    </row>
    <row r="87" spans="3:97" s="968" customFormat="1" x14ac:dyDescent="0.35">
      <c r="D87" s="968">
        <f t="shared" si="23"/>
        <v>97</v>
      </c>
      <c r="E87" s="968" t="e">
        <f t="shared" ca="1" si="0"/>
        <v>#VALUE!</v>
      </c>
      <c r="F87" s="968" t="e">
        <f t="shared" ca="1" si="7"/>
        <v>#VALUE!</v>
      </c>
      <c r="G87" s="970"/>
      <c r="H87" s="970"/>
      <c r="I87" s="970"/>
      <c r="J87" s="970"/>
      <c r="K87" s="970"/>
      <c r="L87" s="970"/>
      <c r="M87" s="970"/>
      <c r="O87" s="970"/>
      <c r="P87" s="970"/>
      <c r="Q87" s="970"/>
    </row>
    <row r="88" spans="3:97" s="968" customFormat="1" x14ac:dyDescent="0.35">
      <c r="D88" s="968">
        <f t="shared" si="23"/>
        <v>101</v>
      </c>
      <c r="E88" s="968" t="e">
        <f t="shared" ca="1" si="0"/>
        <v>#VALUE!</v>
      </c>
      <c r="F88" s="968" t="e">
        <f t="shared" ca="1" si="7"/>
        <v>#VALUE!</v>
      </c>
      <c r="G88" s="970"/>
      <c r="H88" s="970"/>
      <c r="I88" s="970"/>
      <c r="J88" s="970"/>
      <c r="K88" s="970"/>
      <c r="L88" s="970"/>
      <c r="M88" s="970"/>
      <c r="O88" s="970"/>
      <c r="P88" s="970"/>
      <c r="Q88" s="970"/>
    </row>
    <row r="89" spans="3:97" s="968" customFormat="1" x14ac:dyDescent="0.35">
      <c r="D89" s="968">
        <f t="shared" si="23"/>
        <v>105</v>
      </c>
      <c r="E89" s="968" t="e">
        <f t="shared" ca="1" si="0"/>
        <v>#VALUE!</v>
      </c>
      <c r="F89" s="968" t="e">
        <f t="shared" ca="1" si="7"/>
        <v>#VALUE!</v>
      </c>
      <c r="G89" s="970"/>
      <c r="H89" s="970"/>
      <c r="I89" s="970"/>
      <c r="J89" s="970"/>
      <c r="K89" s="970"/>
      <c r="L89" s="970"/>
      <c r="M89" s="970"/>
      <c r="O89" s="970"/>
      <c r="P89" s="970"/>
      <c r="Q89" s="970"/>
    </row>
    <row r="90" spans="3:97" s="968" customFormat="1" x14ac:dyDescent="0.35">
      <c r="D90" s="968">
        <f t="shared" si="23"/>
        <v>109</v>
      </c>
      <c r="E90" s="968" t="e">
        <f t="shared" ca="1" si="0"/>
        <v>#VALUE!</v>
      </c>
      <c r="F90" s="968" t="e">
        <f t="shared" ca="1" si="7"/>
        <v>#VALUE!</v>
      </c>
      <c r="G90" s="970"/>
      <c r="H90" s="970"/>
      <c r="I90" s="970"/>
      <c r="J90" s="970"/>
      <c r="K90" s="970"/>
      <c r="L90" s="970"/>
      <c r="M90" s="970"/>
      <c r="O90" s="970"/>
      <c r="P90" s="970"/>
      <c r="Q90" s="970"/>
    </row>
    <row r="91" spans="3:97" s="968" customFormat="1" x14ac:dyDescent="0.35">
      <c r="D91" s="968">
        <f t="shared" si="23"/>
        <v>113</v>
      </c>
      <c r="E91" s="968" t="e">
        <f t="shared" ca="1" si="0"/>
        <v>#VALUE!</v>
      </c>
      <c r="F91" s="968" t="e">
        <f t="shared" ca="1" si="7"/>
        <v>#VALUE!</v>
      </c>
      <c r="G91" s="970"/>
      <c r="H91" s="970"/>
      <c r="I91" s="970"/>
      <c r="J91" s="970"/>
      <c r="K91" s="970"/>
      <c r="L91" s="970"/>
      <c r="M91" s="970"/>
      <c r="O91" s="970"/>
      <c r="P91" s="970"/>
      <c r="Q91" s="970"/>
    </row>
    <row r="92" spans="3:97" s="968" customFormat="1" x14ac:dyDescent="0.35">
      <c r="D92" s="968">
        <f t="shared" si="23"/>
        <v>117</v>
      </c>
      <c r="E92" s="968" t="e">
        <f t="shared" ca="1" si="0"/>
        <v>#VALUE!</v>
      </c>
      <c r="F92" s="968" t="e">
        <f t="shared" ca="1" si="7"/>
        <v>#VALUE!</v>
      </c>
      <c r="G92" s="970"/>
      <c r="H92" s="970"/>
      <c r="I92" s="970"/>
      <c r="J92" s="970"/>
      <c r="K92" s="970"/>
      <c r="L92" s="970"/>
      <c r="M92" s="970"/>
      <c r="O92" s="970"/>
      <c r="P92" s="970"/>
      <c r="Q92" s="970"/>
    </row>
    <row r="93" spans="3:97" s="968" customFormat="1" x14ac:dyDescent="0.35">
      <c r="D93" s="968">
        <f t="shared" si="23"/>
        <v>121</v>
      </c>
      <c r="E93" s="968" t="e">
        <f t="shared" ca="1" si="0"/>
        <v>#VALUE!</v>
      </c>
      <c r="F93" s="968" t="e">
        <f t="shared" ca="1" si="7"/>
        <v>#VALUE!</v>
      </c>
      <c r="G93" s="970"/>
      <c r="H93" s="970"/>
      <c r="I93" s="970"/>
      <c r="J93" s="970"/>
      <c r="K93" s="970"/>
      <c r="L93" s="970"/>
      <c r="M93" s="970"/>
      <c r="O93" s="970"/>
      <c r="P93" s="970"/>
      <c r="Q93" s="970"/>
    </row>
    <row r="94" spans="3:97" s="968" customFormat="1" x14ac:dyDescent="0.35">
      <c r="D94" s="968">
        <f t="shared" si="23"/>
        <v>125</v>
      </c>
      <c r="E94" s="968" t="e">
        <f t="shared" ca="1" si="0"/>
        <v>#VALUE!</v>
      </c>
      <c r="F94" s="968" t="e">
        <f t="shared" ca="1" si="7"/>
        <v>#VALUE!</v>
      </c>
      <c r="G94" s="970"/>
      <c r="H94" s="970"/>
      <c r="I94" s="970"/>
      <c r="J94" s="970"/>
      <c r="K94" s="970"/>
      <c r="L94" s="970"/>
      <c r="M94" s="970"/>
      <c r="O94" s="970"/>
      <c r="P94" s="970"/>
      <c r="Q94" s="970"/>
    </row>
    <row r="95" spans="3:97" s="968" customFormat="1" x14ac:dyDescent="0.35">
      <c r="D95" s="968">
        <f t="shared" si="23"/>
        <v>129</v>
      </c>
      <c r="E95" s="968" t="e">
        <f t="shared" ref="E95:E114" ca="1" si="24">MID(D$60,D95,4)</f>
        <v>#VALUE!</v>
      </c>
      <c r="F95" s="968" t="e">
        <f t="shared" ca="1" si="7"/>
        <v>#VALUE!</v>
      </c>
      <c r="G95" s="970"/>
      <c r="H95" s="970"/>
      <c r="I95" s="970"/>
      <c r="J95" s="970"/>
      <c r="K95" s="970"/>
      <c r="L95" s="970"/>
      <c r="M95" s="970"/>
      <c r="O95" s="970"/>
      <c r="P95" s="970"/>
      <c r="Q95" s="970"/>
    </row>
    <row r="96" spans="3:97" s="968" customFormat="1" x14ac:dyDescent="0.35">
      <c r="D96" s="968">
        <f t="shared" si="23"/>
        <v>133</v>
      </c>
      <c r="E96" s="968" t="e">
        <f t="shared" ca="1" si="24"/>
        <v>#VALUE!</v>
      </c>
      <c r="F96" s="968" t="e">
        <f t="shared" ca="1" si="7"/>
        <v>#VALUE!</v>
      </c>
      <c r="G96" s="970"/>
      <c r="H96" s="970"/>
      <c r="I96" s="970"/>
      <c r="J96" s="970"/>
      <c r="K96" s="970"/>
      <c r="L96" s="970"/>
      <c r="M96" s="970"/>
      <c r="O96" s="970"/>
      <c r="P96" s="970"/>
      <c r="Q96" s="970"/>
    </row>
    <row r="97" spans="4:17" s="968" customFormat="1" x14ac:dyDescent="0.35">
      <c r="D97" s="968">
        <f t="shared" si="23"/>
        <v>137</v>
      </c>
      <c r="E97" s="968" t="e">
        <f t="shared" ca="1" si="24"/>
        <v>#VALUE!</v>
      </c>
      <c r="F97" s="968" t="e">
        <f t="shared" ca="1" si="7"/>
        <v>#VALUE!</v>
      </c>
      <c r="G97" s="970"/>
      <c r="H97" s="970"/>
      <c r="I97" s="970"/>
      <c r="J97" s="970"/>
      <c r="K97" s="970"/>
      <c r="L97" s="970"/>
      <c r="M97" s="970"/>
      <c r="O97" s="970"/>
      <c r="P97" s="970"/>
      <c r="Q97" s="970"/>
    </row>
    <row r="98" spans="4:17" s="968" customFormat="1" x14ac:dyDescent="0.35">
      <c r="D98" s="968">
        <f t="shared" si="23"/>
        <v>141</v>
      </c>
      <c r="E98" s="968" t="e">
        <f t="shared" ca="1" si="24"/>
        <v>#VALUE!</v>
      </c>
      <c r="F98" s="968" t="e">
        <f t="shared" ca="1" si="7"/>
        <v>#VALUE!</v>
      </c>
      <c r="G98" s="970"/>
      <c r="H98" s="970"/>
      <c r="I98" s="970"/>
      <c r="J98" s="970"/>
      <c r="K98" s="970"/>
      <c r="L98" s="970"/>
      <c r="M98" s="970"/>
      <c r="O98" s="970"/>
      <c r="P98" s="970"/>
      <c r="Q98" s="970"/>
    </row>
    <row r="99" spans="4:17" s="968" customFormat="1" x14ac:dyDescent="0.35">
      <c r="D99" s="968">
        <f t="shared" si="23"/>
        <v>145</v>
      </c>
      <c r="E99" s="968" t="e">
        <f t="shared" ca="1" si="24"/>
        <v>#VALUE!</v>
      </c>
      <c r="F99" s="968" t="e">
        <f t="shared" ca="1" si="7"/>
        <v>#VALUE!</v>
      </c>
      <c r="G99" s="970"/>
      <c r="H99" s="970"/>
      <c r="I99" s="970"/>
      <c r="J99" s="970"/>
      <c r="K99" s="970"/>
      <c r="L99" s="970"/>
      <c r="M99" s="970"/>
      <c r="O99" s="970"/>
      <c r="P99" s="970"/>
      <c r="Q99" s="970"/>
    </row>
    <row r="100" spans="4:17" s="968" customFormat="1" x14ac:dyDescent="0.35">
      <c r="D100" s="968">
        <f t="shared" si="23"/>
        <v>149</v>
      </c>
      <c r="E100" s="968" t="e">
        <f t="shared" ca="1" si="24"/>
        <v>#VALUE!</v>
      </c>
      <c r="F100" s="968" t="e">
        <f t="shared" ca="1" si="7"/>
        <v>#VALUE!</v>
      </c>
      <c r="G100" s="970"/>
      <c r="H100" s="970"/>
      <c r="I100" s="970"/>
      <c r="J100" s="970"/>
      <c r="K100" s="970"/>
      <c r="L100" s="970"/>
      <c r="M100" s="970"/>
      <c r="O100" s="970"/>
      <c r="P100" s="970"/>
      <c r="Q100" s="970"/>
    </row>
    <row r="101" spans="4:17" s="968" customFormat="1" x14ac:dyDescent="0.35">
      <c r="D101" s="968">
        <f t="shared" si="23"/>
        <v>153</v>
      </c>
      <c r="E101" s="968" t="e">
        <f t="shared" ca="1" si="24"/>
        <v>#VALUE!</v>
      </c>
      <c r="F101" s="968" t="e">
        <f t="shared" ca="1" si="7"/>
        <v>#VALUE!</v>
      </c>
      <c r="G101" s="970"/>
      <c r="H101" s="970"/>
      <c r="I101" s="970"/>
      <c r="J101" s="970"/>
      <c r="K101" s="970"/>
      <c r="L101" s="970"/>
      <c r="M101" s="970"/>
      <c r="O101" s="970"/>
      <c r="P101" s="970"/>
      <c r="Q101" s="970"/>
    </row>
    <row r="102" spans="4:17" s="968" customFormat="1" x14ac:dyDescent="0.35">
      <c r="D102" s="968">
        <f t="shared" si="23"/>
        <v>157</v>
      </c>
      <c r="E102" s="968" t="e">
        <f t="shared" ca="1" si="24"/>
        <v>#VALUE!</v>
      </c>
      <c r="F102" s="968" t="e">
        <f t="shared" ca="1" si="7"/>
        <v>#VALUE!</v>
      </c>
      <c r="G102" s="970"/>
      <c r="H102" s="970"/>
      <c r="I102" s="970"/>
      <c r="J102" s="970"/>
      <c r="K102" s="970"/>
      <c r="L102" s="970"/>
      <c r="M102" s="970"/>
      <c r="O102" s="970"/>
      <c r="P102" s="970"/>
      <c r="Q102" s="970"/>
    </row>
    <row r="103" spans="4:17" s="968" customFormat="1" x14ac:dyDescent="0.35">
      <c r="D103" s="968">
        <f t="shared" si="23"/>
        <v>161</v>
      </c>
      <c r="E103" s="968" t="e">
        <f t="shared" ca="1" si="24"/>
        <v>#VALUE!</v>
      </c>
      <c r="F103" s="968" t="e">
        <f t="shared" ca="1" si="7"/>
        <v>#VALUE!</v>
      </c>
      <c r="G103" s="970"/>
      <c r="H103" s="970"/>
      <c r="I103" s="970"/>
      <c r="J103" s="970"/>
      <c r="K103" s="970"/>
      <c r="L103" s="970"/>
      <c r="M103" s="970"/>
      <c r="O103" s="970"/>
      <c r="P103" s="970"/>
      <c r="Q103" s="970"/>
    </row>
    <row r="104" spans="4:17" s="968" customFormat="1" x14ac:dyDescent="0.35">
      <c r="D104" s="968">
        <f t="shared" si="23"/>
        <v>165</v>
      </c>
      <c r="E104" s="968" t="e">
        <f t="shared" ca="1" si="24"/>
        <v>#VALUE!</v>
      </c>
      <c r="F104" s="968" t="e">
        <f t="shared" ca="1" si="7"/>
        <v>#VALUE!</v>
      </c>
      <c r="G104" s="970"/>
      <c r="H104" s="970"/>
      <c r="I104" s="970"/>
      <c r="J104" s="970"/>
      <c r="K104" s="970"/>
      <c r="L104" s="970"/>
      <c r="M104" s="970"/>
      <c r="O104" s="970"/>
      <c r="P104" s="970"/>
      <c r="Q104" s="970"/>
    </row>
    <row r="105" spans="4:17" s="968" customFormat="1" x14ac:dyDescent="0.35">
      <c r="D105" s="968">
        <f t="shared" si="23"/>
        <v>169</v>
      </c>
      <c r="E105" s="968" t="e">
        <f t="shared" ca="1" si="24"/>
        <v>#VALUE!</v>
      </c>
      <c r="F105" s="968" t="e">
        <f t="shared" ca="1" si="7"/>
        <v>#VALUE!</v>
      </c>
      <c r="G105" s="970"/>
      <c r="H105" s="970"/>
      <c r="I105" s="970"/>
      <c r="J105" s="970"/>
      <c r="K105" s="970"/>
      <c r="L105" s="970"/>
      <c r="M105" s="970"/>
      <c r="O105" s="970"/>
      <c r="P105" s="970"/>
      <c r="Q105" s="970"/>
    </row>
    <row r="106" spans="4:17" s="968" customFormat="1" x14ac:dyDescent="0.35">
      <c r="D106" s="968">
        <f t="shared" si="23"/>
        <v>173</v>
      </c>
      <c r="E106" s="968" t="e">
        <f t="shared" ca="1" si="24"/>
        <v>#VALUE!</v>
      </c>
      <c r="F106" s="968" t="e">
        <f t="shared" ca="1" si="7"/>
        <v>#VALUE!</v>
      </c>
      <c r="G106" s="970"/>
      <c r="H106" s="970"/>
      <c r="I106" s="970"/>
      <c r="J106" s="970"/>
      <c r="K106" s="970"/>
      <c r="L106" s="970"/>
      <c r="M106" s="970"/>
      <c r="O106" s="970"/>
      <c r="P106" s="970"/>
      <c r="Q106" s="970"/>
    </row>
    <row r="107" spans="4:17" s="968" customFormat="1" x14ac:dyDescent="0.35">
      <c r="D107" s="968">
        <f t="shared" si="23"/>
        <v>177</v>
      </c>
      <c r="E107" s="968" t="e">
        <f t="shared" ca="1" si="24"/>
        <v>#VALUE!</v>
      </c>
      <c r="F107" s="968" t="e">
        <f t="shared" ca="1" si="7"/>
        <v>#VALUE!</v>
      </c>
      <c r="G107" s="970"/>
      <c r="H107" s="970"/>
      <c r="I107" s="970"/>
      <c r="J107" s="970"/>
      <c r="K107" s="970"/>
      <c r="L107" s="970"/>
      <c r="M107" s="970"/>
      <c r="O107" s="970"/>
      <c r="P107" s="970"/>
      <c r="Q107" s="970"/>
    </row>
    <row r="108" spans="4:17" s="968" customFormat="1" x14ac:dyDescent="0.35">
      <c r="D108" s="968">
        <f t="shared" si="23"/>
        <v>181</v>
      </c>
      <c r="E108" s="968" t="e">
        <f t="shared" ca="1" si="24"/>
        <v>#VALUE!</v>
      </c>
      <c r="F108" s="968" t="e">
        <f t="shared" ca="1" si="7"/>
        <v>#VALUE!</v>
      </c>
      <c r="G108" s="970"/>
      <c r="H108" s="970"/>
      <c r="I108" s="970"/>
      <c r="J108" s="970"/>
      <c r="K108" s="970"/>
      <c r="L108" s="970"/>
      <c r="M108" s="970"/>
      <c r="O108" s="970"/>
      <c r="P108" s="970"/>
      <c r="Q108" s="970"/>
    </row>
    <row r="109" spans="4:17" s="968" customFormat="1" x14ac:dyDescent="0.35">
      <c r="D109" s="968">
        <f t="shared" si="23"/>
        <v>185</v>
      </c>
      <c r="E109" s="968" t="e">
        <f t="shared" ca="1" si="24"/>
        <v>#VALUE!</v>
      </c>
      <c r="F109" s="968" t="e">
        <f t="shared" ca="1" si="7"/>
        <v>#VALUE!</v>
      </c>
      <c r="G109" s="970"/>
      <c r="H109" s="970"/>
      <c r="I109" s="970"/>
      <c r="J109" s="970"/>
      <c r="K109" s="970"/>
      <c r="L109" s="970"/>
      <c r="M109" s="970"/>
      <c r="O109" s="970"/>
      <c r="P109" s="970"/>
      <c r="Q109" s="970"/>
    </row>
    <row r="110" spans="4:17" s="968" customFormat="1" x14ac:dyDescent="0.35">
      <c r="D110" s="968">
        <f t="shared" si="23"/>
        <v>189</v>
      </c>
      <c r="E110" s="968" t="e">
        <f t="shared" ca="1" si="24"/>
        <v>#VALUE!</v>
      </c>
      <c r="F110" s="968" t="e">
        <f t="shared" ca="1" si="7"/>
        <v>#VALUE!</v>
      </c>
      <c r="G110" s="970"/>
      <c r="H110" s="970"/>
      <c r="I110" s="970"/>
      <c r="J110" s="970"/>
      <c r="K110" s="970"/>
      <c r="L110" s="970"/>
      <c r="M110" s="970"/>
      <c r="O110" s="970"/>
      <c r="P110" s="970"/>
      <c r="Q110" s="970"/>
    </row>
    <row r="111" spans="4:17" s="968" customFormat="1" x14ac:dyDescent="0.35">
      <c r="D111" s="968">
        <f t="shared" si="23"/>
        <v>193</v>
      </c>
      <c r="E111" s="968" t="e">
        <f t="shared" ca="1" si="24"/>
        <v>#VALUE!</v>
      </c>
      <c r="F111" s="968" t="e">
        <f t="shared" ca="1" si="7"/>
        <v>#VALUE!</v>
      </c>
      <c r="G111" s="970"/>
      <c r="H111" s="970"/>
      <c r="I111" s="970"/>
      <c r="J111" s="970"/>
      <c r="K111" s="970"/>
      <c r="L111" s="970"/>
      <c r="M111" s="970"/>
      <c r="O111" s="970"/>
      <c r="P111" s="970"/>
      <c r="Q111" s="970"/>
    </row>
    <row r="112" spans="4:17" s="968" customFormat="1" x14ac:dyDescent="0.35">
      <c r="D112" s="968">
        <f t="shared" si="23"/>
        <v>197</v>
      </c>
      <c r="E112" s="968" t="e">
        <f t="shared" ca="1" si="24"/>
        <v>#VALUE!</v>
      </c>
      <c r="F112" s="968" t="e">
        <f t="shared" ca="1" si="7"/>
        <v>#VALUE!</v>
      </c>
      <c r="G112" s="970"/>
      <c r="H112" s="970"/>
      <c r="I112" s="970"/>
      <c r="J112" s="970"/>
      <c r="K112" s="970"/>
      <c r="L112" s="970"/>
      <c r="M112" s="970"/>
      <c r="O112" s="970"/>
      <c r="P112" s="970"/>
      <c r="Q112" s="970"/>
    </row>
    <row r="113" spans="4:17" s="968" customFormat="1" x14ac:dyDescent="0.35">
      <c r="D113" s="968">
        <f t="shared" si="23"/>
        <v>201</v>
      </c>
      <c r="E113" s="968" t="e">
        <f t="shared" ca="1" si="24"/>
        <v>#VALUE!</v>
      </c>
      <c r="F113" s="968" t="e">
        <f t="shared" ca="1" si="7"/>
        <v>#VALUE!</v>
      </c>
      <c r="G113" s="970"/>
      <c r="H113" s="970"/>
      <c r="I113" s="970"/>
      <c r="J113" s="970"/>
      <c r="K113" s="970"/>
      <c r="L113" s="970"/>
      <c r="M113" s="970"/>
      <c r="O113" s="970"/>
      <c r="P113" s="970"/>
      <c r="Q113" s="970"/>
    </row>
    <row r="114" spans="4:17" s="968" customFormat="1" x14ac:dyDescent="0.35">
      <c r="D114" s="968">
        <f t="shared" si="23"/>
        <v>205</v>
      </c>
      <c r="E114" s="968" t="e">
        <f t="shared" ca="1" si="24"/>
        <v>#VALUE!</v>
      </c>
      <c r="F114" s="968" t="e">
        <f t="shared" ca="1" si="7"/>
        <v>#VALUE!</v>
      </c>
      <c r="G114" s="970"/>
      <c r="H114" s="970"/>
      <c r="I114" s="970"/>
      <c r="J114" s="970"/>
      <c r="K114" s="970"/>
      <c r="L114" s="970"/>
      <c r="M114" s="970"/>
      <c r="O114" s="970"/>
      <c r="P114" s="970"/>
      <c r="Q114" s="970"/>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83" t="s">
        <v>1055</v>
      </c>
      <c r="D1" s="583" t="s">
        <v>1298</v>
      </c>
      <c r="F1" s="583" t="s">
        <v>1298</v>
      </c>
    </row>
    <row r="2" spans="2:6" ht="35.5" customHeight="1" x14ac:dyDescent="0.35">
      <c r="D2" s="556" t="s">
        <v>1056</v>
      </c>
      <c r="F2" s="556" t="s">
        <v>1056</v>
      </c>
    </row>
    <row r="3" spans="2:6" ht="18.5" x14ac:dyDescent="0.35">
      <c r="B3" s="584" t="s">
        <v>1057</v>
      </c>
      <c r="C3" s="585" t="s">
        <v>1058</v>
      </c>
      <c r="D3" s="585" t="s">
        <v>1059</v>
      </c>
      <c r="E3" s="584" t="s">
        <v>121</v>
      </c>
      <c r="F3" s="585" t="s">
        <v>1060</v>
      </c>
    </row>
    <row r="4" spans="2:6" ht="26" x14ac:dyDescent="0.35">
      <c r="B4" s="586" t="s">
        <v>888</v>
      </c>
      <c r="C4" s="586" t="s">
        <v>1061</v>
      </c>
      <c r="D4" s="586" t="s">
        <v>743</v>
      </c>
      <c r="E4" s="586" t="s">
        <v>1062</v>
      </c>
      <c r="F4" s="586" t="s">
        <v>743</v>
      </c>
    </row>
    <row r="5" spans="2:6" ht="26" x14ac:dyDescent="0.35">
      <c r="B5" s="586" t="s">
        <v>880</v>
      </c>
      <c r="C5" s="586" t="s">
        <v>1061</v>
      </c>
      <c r="D5" s="586" t="s">
        <v>743</v>
      </c>
      <c r="E5" s="586" t="s">
        <v>1063</v>
      </c>
      <c r="F5" s="586" t="s">
        <v>743</v>
      </c>
    </row>
    <row r="6" spans="2:6" ht="26" x14ac:dyDescent="0.35">
      <c r="B6" s="586" t="s">
        <v>1064</v>
      </c>
      <c r="C6" s="586" t="s">
        <v>1061</v>
      </c>
      <c r="D6" s="586" t="s">
        <v>743</v>
      </c>
      <c r="E6" s="586" t="s">
        <v>1065</v>
      </c>
      <c r="F6" s="586" t="s">
        <v>743</v>
      </c>
    </row>
    <row r="7" spans="2:6" x14ac:dyDescent="0.35">
      <c r="B7" s="586" t="s">
        <v>1066</v>
      </c>
      <c r="C7" s="586" t="s">
        <v>1067</v>
      </c>
      <c r="D7" s="586" t="s">
        <v>1068</v>
      </c>
      <c r="E7" s="586" t="s">
        <v>1069</v>
      </c>
      <c r="F7" s="586" t="s">
        <v>1068</v>
      </c>
    </row>
    <row r="8" spans="2:6" x14ac:dyDescent="0.35">
      <c r="B8" s="586" t="s">
        <v>1070</v>
      </c>
      <c r="C8" s="586" t="s">
        <v>1067</v>
      </c>
      <c r="D8" s="586" t="s">
        <v>1071</v>
      </c>
      <c r="E8" s="586" t="s">
        <v>1069</v>
      </c>
      <c r="F8" s="586" t="s">
        <v>1071</v>
      </c>
    </row>
    <row r="9" spans="2:6" x14ac:dyDescent="0.35">
      <c r="B9" s="586" t="s">
        <v>1072</v>
      </c>
      <c r="C9" s="586" t="s">
        <v>1067</v>
      </c>
      <c r="D9" s="586" t="s">
        <v>1073</v>
      </c>
      <c r="E9" s="586" t="s">
        <v>1069</v>
      </c>
      <c r="F9" s="586" t="s">
        <v>1073</v>
      </c>
    </row>
    <row r="10" spans="2:6" x14ac:dyDescent="0.35">
      <c r="B10" s="586" t="s">
        <v>1074</v>
      </c>
      <c r="C10" s="586" t="s">
        <v>1067</v>
      </c>
      <c r="D10" s="586" t="s">
        <v>1075</v>
      </c>
      <c r="E10" s="586" t="s">
        <v>1069</v>
      </c>
      <c r="F10" s="586" t="s">
        <v>1075</v>
      </c>
    </row>
    <row r="11" spans="2:6" ht="26" x14ac:dyDescent="0.35">
      <c r="B11" s="586" t="s">
        <v>734</v>
      </c>
      <c r="C11" s="586" t="s">
        <v>1067</v>
      </c>
      <c r="D11" s="611">
        <v>11</v>
      </c>
      <c r="E11" s="608" t="s">
        <v>1076</v>
      </c>
      <c r="F11" s="614">
        <v>11</v>
      </c>
    </row>
    <row r="12" spans="2:6" ht="224" x14ac:dyDescent="0.35">
      <c r="B12" s="586" t="s">
        <v>1077</v>
      </c>
      <c r="C12" s="586" t="s">
        <v>1061</v>
      </c>
      <c r="D12" s="587" t="s">
        <v>1431</v>
      </c>
      <c r="E12" s="608" t="s">
        <v>1078</v>
      </c>
      <c r="F12" s="615" t="s">
        <v>1431</v>
      </c>
    </row>
    <row r="13" spans="2:6" ht="26" x14ac:dyDescent="0.35">
      <c r="B13" s="586" t="s">
        <v>1079</v>
      </c>
      <c r="C13" s="586" t="s">
        <v>1061</v>
      </c>
      <c r="D13" s="587" t="s">
        <v>1432</v>
      </c>
      <c r="E13" s="608" t="s">
        <v>1080</v>
      </c>
      <c r="F13" s="615" t="s">
        <v>1432</v>
      </c>
    </row>
    <row r="14" spans="2:6" ht="26" x14ac:dyDescent="0.35">
      <c r="B14" s="552" t="s">
        <v>1005</v>
      </c>
      <c r="C14" s="586" t="s">
        <v>1067</v>
      </c>
      <c r="D14" s="588"/>
      <c r="E14" s="608" t="s">
        <v>1076</v>
      </c>
      <c r="F14" s="616"/>
    </row>
    <row r="15" spans="2:6" ht="26" x14ac:dyDescent="0.35">
      <c r="B15" s="552" t="s">
        <v>1081</v>
      </c>
      <c r="C15" s="586" t="s">
        <v>1061</v>
      </c>
      <c r="D15" s="588"/>
      <c r="E15" s="608" t="s">
        <v>1078</v>
      </c>
      <c r="F15" s="615"/>
    </row>
    <row r="16" spans="2:6" ht="26" x14ac:dyDescent="0.35">
      <c r="B16" s="552" t="s">
        <v>1082</v>
      </c>
      <c r="C16" s="586" t="s">
        <v>1061</v>
      </c>
      <c r="D16" s="588"/>
      <c r="E16" s="608" t="s">
        <v>1080</v>
      </c>
      <c r="F16" s="615"/>
    </row>
    <row r="17" spans="2:6" ht="26" x14ac:dyDescent="0.35">
      <c r="B17" s="552" t="s">
        <v>1034</v>
      </c>
      <c r="C17" s="586" t="s">
        <v>1067</v>
      </c>
      <c r="D17" s="587">
        <v>1</v>
      </c>
      <c r="E17" s="608" t="s">
        <v>1076</v>
      </c>
      <c r="F17" s="616">
        <v>1</v>
      </c>
    </row>
    <row r="18" spans="2:6" ht="26" x14ac:dyDescent="0.35">
      <c r="B18" s="552" t="s">
        <v>1083</v>
      </c>
      <c r="C18" s="586" t="s">
        <v>1061</v>
      </c>
      <c r="D18" s="587" t="s">
        <v>1084</v>
      </c>
      <c r="E18" s="608" t="s">
        <v>1078</v>
      </c>
      <c r="F18" s="615" t="s">
        <v>1084</v>
      </c>
    </row>
    <row r="19" spans="2:6" ht="144" x14ac:dyDescent="0.35">
      <c r="B19" s="552" t="s">
        <v>1085</v>
      </c>
      <c r="C19" s="586" t="s">
        <v>1061</v>
      </c>
      <c r="D19" s="587" t="s">
        <v>1117</v>
      </c>
      <c r="E19" s="608" t="s">
        <v>1080</v>
      </c>
      <c r="F19" s="615" t="s">
        <v>1117</v>
      </c>
    </row>
    <row r="20" spans="2:6" ht="26" x14ac:dyDescent="0.35">
      <c r="B20" s="552" t="s">
        <v>1041</v>
      </c>
      <c r="C20" s="586" t="s">
        <v>1067</v>
      </c>
      <c r="D20" s="587">
        <v>1</v>
      </c>
      <c r="E20" s="608" t="s">
        <v>1076</v>
      </c>
      <c r="F20" s="616">
        <v>1</v>
      </c>
    </row>
    <row r="21" spans="2:6" ht="26" x14ac:dyDescent="0.35">
      <c r="B21" s="552" t="s">
        <v>1086</v>
      </c>
      <c r="C21" s="586" t="s">
        <v>1061</v>
      </c>
      <c r="D21" s="587" t="s">
        <v>1084</v>
      </c>
      <c r="E21" s="608" t="s">
        <v>1078</v>
      </c>
      <c r="F21" s="615" t="s">
        <v>1084</v>
      </c>
    </row>
    <row r="22" spans="2:6" ht="144" x14ac:dyDescent="0.35">
      <c r="B22" s="552" t="s">
        <v>1087</v>
      </c>
      <c r="C22" s="586" t="s">
        <v>1061</v>
      </c>
      <c r="D22" s="587" t="s">
        <v>1117</v>
      </c>
      <c r="E22" s="608" t="s">
        <v>1080</v>
      </c>
      <c r="F22" s="615" t="s">
        <v>1117</v>
      </c>
    </row>
    <row r="23" spans="2:6" x14ac:dyDescent="0.35">
      <c r="B23" s="552" t="s">
        <v>1167</v>
      </c>
      <c r="C23" s="586" t="s">
        <v>1067</v>
      </c>
      <c r="D23" s="588"/>
      <c r="E23" s="608"/>
      <c r="F23" s="616"/>
    </row>
    <row r="24" spans="2:6" x14ac:dyDescent="0.35">
      <c r="B24" s="552" t="s">
        <v>1265</v>
      </c>
      <c r="C24" s="586" t="s">
        <v>1061</v>
      </c>
      <c r="D24" s="588"/>
      <c r="E24" s="608"/>
      <c r="F24" s="615"/>
    </row>
    <row r="25" spans="2:6" x14ac:dyDescent="0.35">
      <c r="B25" s="552" t="s">
        <v>1266</v>
      </c>
      <c r="C25" s="586" t="s">
        <v>1061</v>
      </c>
      <c r="D25" s="588"/>
      <c r="E25" s="608"/>
      <c r="F25" s="615"/>
    </row>
    <row r="26" spans="2:6" x14ac:dyDescent="0.35">
      <c r="B26" s="552" t="s">
        <v>1175</v>
      </c>
      <c r="C26" s="586" t="s">
        <v>1067</v>
      </c>
      <c r="D26" s="588"/>
      <c r="E26" s="608"/>
      <c r="F26" s="616"/>
    </row>
    <row r="27" spans="2:6" x14ac:dyDescent="0.35">
      <c r="B27" s="552" t="s">
        <v>1241</v>
      </c>
      <c r="C27" s="586" t="s">
        <v>1061</v>
      </c>
      <c r="D27" s="588"/>
      <c r="E27" s="608"/>
      <c r="F27" s="615"/>
    </row>
    <row r="28" spans="2:6" x14ac:dyDescent="0.35">
      <c r="B28" s="552" t="s">
        <v>1242</v>
      </c>
      <c r="C28" s="586" t="s">
        <v>1061</v>
      </c>
      <c r="D28" s="588"/>
      <c r="E28" s="608"/>
      <c r="F28" s="615"/>
    </row>
    <row r="29" spans="2:6" x14ac:dyDescent="0.35">
      <c r="B29" s="552" t="s">
        <v>1243</v>
      </c>
      <c r="C29" s="586" t="s">
        <v>1067</v>
      </c>
      <c r="D29" s="588"/>
      <c r="E29" s="608"/>
      <c r="F29" s="616"/>
    </row>
    <row r="30" spans="2:6" x14ac:dyDescent="0.35">
      <c r="B30" s="552" t="s">
        <v>1244</v>
      </c>
      <c r="C30" s="586" t="s">
        <v>1061</v>
      </c>
      <c r="D30" s="588"/>
      <c r="E30" s="608"/>
      <c r="F30" s="615"/>
    </row>
    <row r="31" spans="2:6" x14ac:dyDescent="0.35">
      <c r="B31" s="552" t="s">
        <v>1245</v>
      </c>
      <c r="C31" s="586" t="s">
        <v>1061</v>
      </c>
      <c r="D31" s="588"/>
      <c r="E31" s="608"/>
      <c r="F31" s="615"/>
    </row>
    <row r="32" spans="2:6" x14ac:dyDescent="0.35">
      <c r="B32" s="552" t="s">
        <v>1182</v>
      </c>
      <c r="C32" s="586" t="s">
        <v>1067</v>
      </c>
      <c r="D32" s="588"/>
      <c r="E32" s="608"/>
      <c r="F32" s="616"/>
    </row>
    <row r="33" spans="2:6" x14ac:dyDescent="0.35">
      <c r="B33" s="552" t="s">
        <v>1253</v>
      </c>
      <c r="C33" s="586" t="s">
        <v>1061</v>
      </c>
      <c r="D33" s="588"/>
      <c r="E33" s="608"/>
      <c r="F33" s="615"/>
    </row>
    <row r="34" spans="2:6" x14ac:dyDescent="0.35">
      <c r="B34" s="552" t="s">
        <v>1254</v>
      </c>
      <c r="C34" s="586" t="s">
        <v>1061</v>
      </c>
      <c r="D34" s="588"/>
      <c r="E34" s="608"/>
      <c r="F34" s="615"/>
    </row>
    <row r="35" spans="2:6" x14ac:dyDescent="0.35">
      <c r="B35" s="552" t="s">
        <v>1191</v>
      </c>
      <c r="C35" s="586" t="s">
        <v>1067</v>
      </c>
      <c r="D35" s="588"/>
      <c r="E35" s="608"/>
      <c r="F35" s="616"/>
    </row>
    <row r="36" spans="2:6" x14ac:dyDescent="0.35">
      <c r="B36" s="552" t="s">
        <v>1255</v>
      </c>
      <c r="C36" s="586" t="s">
        <v>1061</v>
      </c>
      <c r="D36" s="588"/>
      <c r="E36" s="608"/>
      <c r="F36" s="615"/>
    </row>
    <row r="37" spans="2:6" x14ac:dyDescent="0.35">
      <c r="B37" s="552" t="s">
        <v>1256</v>
      </c>
      <c r="C37" s="586" t="s">
        <v>1061</v>
      </c>
      <c r="D37" s="588"/>
      <c r="E37" s="608"/>
      <c r="F37" s="615"/>
    </row>
    <row r="38" spans="2:6" x14ac:dyDescent="0.35">
      <c r="B38" s="552" t="s">
        <v>1230</v>
      </c>
      <c r="C38" s="586" t="s">
        <v>1067</v>
      </c>
      <c r="D38" s="588"/>
      <c r="E38" s="608"/>
      <c r="F38" s="616"/>
    </row>
    <row r="39" spans="2:6" x14ac:dyDescent="0.35">
      <c r="B39" s="552" t="s">
        <v>1239</v>
      </c>
      <c r="C39" s="586" t="s">
        <v>1061</v>
      </c>
      <c r="D39" s="588"/>
      <c r="E39" s="608"/>
      <c r="F39" s="615"/>
    </row>
    <row r="40" spans="2:6" x14ac:dyDescent="0.35">
      <c r="B40" s="552" t="s">
        <v>1240</v>
      </c>
      <c r="C40" s="586" t="s">
        <v>1061</v>
      </c>
      <c r="D40" s="588"/>
      <c r="E40" s="608"/>
      <c r="F40" s="615"/>
    </row>
    <row r="41" spans="2:6" x14ac:dyDescent="0.35">
      <c r="B41" s="552" t="s">
        <v>1199</v>
      </c>
      <c r="C41" s="586" t="s">
        <v>1067</v>
      </c>
      <c r="D41" s="588"/>
      <c r="E41" s="608"/>
      <c r="F41" s="616"/>
    </row>
    <row r="42" spans="2:6" x14ac:dyDescent="0.35">
      <c r="B42" s="552" t="s">
        <v>1257</v>
      </c>
      <c r="C42" s="586" t="s">
        <v>1061</v>
      </c>
      <c r="D42" s="588"/>
      <c r="E42" s="608"/>
      <c r="F42" s="615"/>
    </row>
    <row r="43" spans="2:6" x14ac:dyDescent="0.35">
      <c r="B43" s="552" t="s">
        <v>1258</v>
      </c>
      <c r="C43" s="586" t="s">
        <v>1061</v>
      </c>
      <c r="D43" s="588"/>
      <c r="E43" s="608"/>
      <c r="F43" s="615"/>
    </row>
    <row r="44" spans="2:6" x14ac:dyDescent="0.35">
      <c r="B44" s="552" t="s">
        <v>1207</v>
      </c>
      <c r="C44" s="586" t="s">
        <v>1067</v>
      </c>
      <c r="D44" s="587">
        <v>1</v>
      </c>
      <c r="E44" s="608"/>
      <c r="F44" s="616">
        <v>1</v>
      </c>
    </row>
    <row r="45" spans="2:6" ht="16" x14ac:dyDescent="0.35">
      <c r="B45" s="552" t="s">
        <v>1263</v>
      </c>
      <c r="C45" s="586" t="s">
        <v>1061</v>
      </c>
      <c r="D45" s="587" t="s">
        <v>1084</v>
      </c>
      <c r="E45" s="608"/>
      <c r="F45" s="615" t="s">
        <v>1084</v>
      </c>
    </row>
    <row r="46" spans="2:6" ht="144" x14ac:dyDescent="0.35">
      <c r="B46" s="552" t="s">
        <v>1264</v>
      </c>
      <c r="C46" s="586" t="s">
        <v>1061</v>
      </c>
      <c r="D46" s="587" t="s">
        <v>1117</v>
      </c>
      <c r="E46" s="608"/>
      <c r="F46" s="615" t="s">
        <v>1117</v>
      </c>
    </row>
    <row r="47" spans="2:6" x14ac:dyDescent="0.35">
      <c r="B47" s="552" t="s">
        <v>1215</v>
      </c>
      <c r="C47" s="586" t="s">
        <v>1067</v>
      </c>
      <c r="D47" s="587">
        <v>1</v>
      </c>
      <c r="E47" s="608"/>
      <c r="F47" s="616">
        <v>1</v>
      </c>
    </row>
    <row r="48" spans="2:6" ht="16" x14ac:dyDescent="0.35">
      <c r="B48" s="552" t="s">
        <v>1259</v>
      </c>
      <c r="C48" s="586" t="s">
        <v>1061</v>
      </c>
      <c r="D48" s="587" t="s">
        <v>1084</v>
      </c>
      <c r="E48" s="608"/>
      <c r="F48" s="615" t="s">
        <v>1084</v>
      </c>
    </row>
    <row r="49" spans="2:6" ht="144" x14ac:dyDescent="0.35">
      <c r="B49" s="552" t="s">
        <v>1260</v>
      </c>
      <c r="C49" s="586" t="s">
        <v>1061</v>
      </c>
      <c r="D49" s="587" t="s">
        <v>1117</v>
      </c>
      <c r="E49" s="608"/>
      <c r="F49" s="615" t="s">
        <v>1117</v>
      </c>
    </row>
    <row r="50" spans="2:6" x14ac:dyDescent="0.35">
      <c r="B50" s="552" t="s">
        <v>1223</v>
      </c>
      <c r="C50" s="586" t="s">
        <v>1067</v>
      </c>
      <c r="D50" s="588"/>
      <c r="E50" s="608"/>
      <c r="F50" s="616"/>
    </row>
    <row r="51" spans="2:6" x14ac:dyDescent="0.35">
      <c r="B51" s="552" t="s">
        <v>1261</v>
      </c>
      <c r="C51" s="586" t="s">
        <v>1061</v>
      </c>
      <c r="D51" s="588"/>
      <c r="E51" s="608"/>
      <c r="F51" s="615"/>
    </row>
    <row r="52" spans="2:6" x14ac:dyDescent="0.35">
      <c r="B52" s="552" t="s">
        <v>1262</v>
      </c>
      <c r="C52" s="586" t="s">
        <v>1061</v>
      </c>
      <c r="D52" s="588"/>
      <c r="E52" s="608"/>
      <c r="F52" s="615"/>
    </row>
    <row r="53" spans="2:6" x14ac:dyDescent="0.35">
      <c r="B53" s="552" t="s">
        <v>1034</v>
      </c>
      <c r="C53" s="586" t="s">
        <v>1067</v>
      </c>
      <c r="D53" s="587">
        <v>1</v>
      </c>
      <c r="E53" s="608"/>
      <c r="F53" s="616">
        <v>1</v>
      </c>
    </row>
    <row r="54" spans="2:6" ht="16" x14ac:dyDescent="0.35">
      <c r="B54" s="552" t="s">
        <v>1083</v>
      </c>
      <c r="C54" s="586" t="s">
        <v>1061</v>
      </c>
      <c r="D54" s="587" t="s">
        <v>1084</v>
      </c>
      <c r="E54" s="608"/>
      <c r="F54" s="615" t="s">
        <v>1084</v>
      </c>
    </row>
    <row r="55" spans="2:6" ht="144" x14ac:dyDescent="0.35">
      <c r="B55" s="552" t="s">
        <v>1085</v>
      </c>
      <c r="C55" s="586" t="s">
        <v>1061</v>
      </c>
      <c r="D55" s="587" t="s">
        <v>1117</v>
      </c>
      <c r="E55" s="608"/>
      <c r="F55" s="615" t="s">
        <v>1117</v>
      </c>
    </row>
    <row r="56" spans="2:6" x14ac:dyDescent="0.35">
      <c r="B56" s="552" t="s">
        <v>1041</v>
      </c>
      <c r="C56" s="586" t="s">
        <v>1067</v>
      </c>
      <c r="D56" s="587">
        <v>1</v>
      </c>
      <c r="E56" s="608"/>
      <c r="F56" s="616">
        <v>1</v>
      </c>
    </row>
    <row r="57" spans="2:6" ht="16" x14ac:dyDescent="0.35">
      <c r="B57" s="552" t="s">
        <v>1086</v>
      </c>
      <c r="C57" s="586" t="s">
        <v>1061</v>
      </c>
      <c r="D57" s="587" t="s">
        <v>1084</v>
      </c>
      <c r="E57" s="608"/>
      <c r="F57" s="615" t="s">
        <v>1084</v>
      </c>
    </row>
    <row r="58" spans="2:6" ht="144" x14ac:dyDescent="0.35">
      <c r="B58" s="552" t="s">
        <v>1087</v>
      </c>
      <c r="C58" s="586" t="s">
        <v>1061</v>
      </c>
      <c r="D58" s="587" t="s">
        <v>1117</v>
      </c>
      <c r="E58" s="608"/>
      <c r="F58" s="615" t="s">
        <v>1117</v>
      </c>
    </row>
    <row r="59" spans="2:6" x14ac:dyDescent="0.35">
      <c r="B59" s="552"/>
      <c r="C59" s="586"/>
      <c r="D59" s="609"/>
      <c r="E59" s="608"/>
      <c r="F59" s="610"/>
    </row>
    <row r="60" spans="2:6" x14ac:dyDescent="0.35">
      <c r="B60" s="552"/>
      <c r="C60" s="586"/>
      <c r="D60" s="589"/>
      <c r="E60" s="586"/>
      <c r="F60" s="590"/>
    </row>
    <row r="61" spans="2:6" x14ac:dyDescent="0.35">
      <c r="B61" s="552"/>
      <c r="C61" s="586"/>
      <c r="D61" s="589"/>
      <c r="E61" s="586"/>
      <c r="F61" s="590"/>
    </row>
    <row r="62" spans="2:6" x14ac:dyDescent="0.35">
      <c r="B62" s="552"/>
      <c r="C62" s="586"/>
      <c r="D62" s="589"/>
      <c r="E62" s="586"/>
      <c r="F62" s="590"/>
    </row>
    <row r="63" spans="2:6" x14ac:dyDescent="0.35">
      <c r="B63" s="591"/>
      <c r="C63" s="592"/>
      <c r="D63" s="592"/>
      <c r="E63" s="591"/>
    </row>
    <row r="64" spans="2:6" x14ac:dyDescent="0.35">
      <c r="B64" s="681" t="s">
        <v>1425</v>
      </c>
      <c r="D64" s="606"/>
      <c r="E64" s="607"/>
    </row>
    <row r="65" spans="2:5" x14ac:dyDescent="0.35">
      <c r="B65" s="681" t="s">
        <v>1424</v>
      </c>
      <c r="D65" s="606"/>
      <c r="E65" s="607"/>
    </row>
    <row r="66" spans="2:5" x14ac:dyDescent="0.35">
      <c r="B66" s="681" t="s">
        <v>1423</v>
      </c>
      <c r="D66" s="606"/>
      <c r="E66" s="607"/>
    </row>
    <row r="67" spans="2:5" x14ac:dyDescent="0.35">
      <c r="B67" s="681" t="s">
        <v>1422</v>
      </c>
      <c r="D67" s="606"/>
      <c r="E67" s="607"/>
    </row>
    <row r="68" spans="2:5" x14ac:dyDescent="0.35">
      <c r="B68" s="681" t="s">
        <v>1418</v>
      </c>
      <c r="D68" s="606"/>
      <c r="E68" s="607"/>
    </row>
    <row r="69" spans="2:5" x14ac:dyDescent="0.35">
      <c r="B69" s="681" t="s">
        <v>1417</v>
      </c>
      <c r="D69" s="606"/>
      <c r="E69" s="607"/>
    </row>
    <row r="70" spans="2:5" x14ac:dyDescent="0.35">
      <c r="B70" s="681" t="s">
        <v>1416</v>
      </c>
      <c r="D70" s="606"/>
      <c r="E70" s="607"/>
    </row>
    <row r="71" spans="2:5" x14ac:dyDescent="0.35">
      <c r="B71" s="681" t="s">
        <v>1415</v>
      </c>
      <c r="D71" s="606"/>
      <c r="E71" s="607"/>
    </row>
    <row r="72" spans="2:5" x14ac:dyDescent="0.35">
      <c r="B72" s="681" t="s">
        <v>1298</v>
      </c>
      <c r="D72" s="607"/>
      <c r="E72" s="607"/>
    </row>
    <row r="73" spans="2:5" x14ac:dyDescent="0.35">
      <c r="B73" s="681" t="s">
        <v>1297</v>
      </c>
      <c r="D73" s="607"/>
      <c r="E73" s="607"/>
    </row>
    <row r="74" spans="2:5" x14ac:dyDescent="0.35">
      <c r="B74" s="681" t="s">
        <v>1296</v>
      </c>
      <c r="D74" s="607"/>
      <c r="E74" s="607"/>
    </row>
    <row r="75" spans="2:5" x14ac:dyDescent="0.35">
      <c r="B75" s="681" t="s">
        <v>1112</v>
      </c>
      <c r="D75" s="607"/>
      <c r="E75" s="607"/>
    </row>
    <row r="76" spans="2:5" x14ac:dyDescent="0.35">
      <c r="B76" s="681" t="s">
        <v>1111</v>
      </c>
      <c r="D76" s="607"/>
      <c r="E76" s="607"/>
    </row>
    <row r="77" spans="2:5" x14ac:dyDescent="0.35">
      <c r="B77" s="681" t="s">
        <v>1110</v>
      </c>
      <c r="D77" s="607"/>
      <c r="E77" s="607"/>
    </row>
    <row r="78" spans="2:5" x14ac:dyDescent="0.35">
      <c r="B78" s="681" t="s">
        <v>1098</v>
      </c>
      <c r="D78" s="607"/>
      <c r="E78" s="607"/>
    </row>
    <row r="79" spans="2:5" x14ac:dyDescent="0.35">
      <c r="B79" s="681" t="s">
        <v>1118</v>
      </c>
      <c r="D79" s="607"/>
      <c r="E79" s="607"/>
    </row>
    <row r="80" spans="2:5" x14ac:dyDescent="0.35">
      <c r="B80" s="681" t="s">
        <v>1097</v>
      </c>
      <c r="D80" s="607"/>
      <c r="E80" s="607"/>
    </row>
    <row r="81" spans="2:5" x14ac:dyDescent="0.35">
      <c r="B81" s="681" t="s">
        <v>1094</v>
      </c>
      <c r="D81" s="607"/>
      <c r="E81" s="607"/>
    </row>
    <row r="82" spans="2:5" x14ac:dyDescent="0.35">
      <c r="B82" s="681" t="s">
        <v>1095</v>
      </c>
      <c r="D82" s="607"/>
      <c r="E82" s="607"/>
    </row>
    <row r="83" spans="2:5" x14ac:dyDescent="0.35">
      <c r="B83" s="681" t="s">
        <v>479</v>
      </c>
      <c r="D83" s="607"/>
      <c r="E83" s="607"/>
    </row>
    <row r="84" spans="2:5" x14ac:dyDescent="0.35">
      <c r="B84" s="681" t="s">
        <v>448</v>
      </c>
      <c r="D84" s="607"/>
      <c r="E84" s="607"/>
    </row>
    <row r="85" spans="2:5" x14ac:dyDescent="0.35">
      <c r="B85" s="681" t="s">
        <v>472</v>
      </c>
      <c r="D85" s="607"/>
      <c r="E85" s="607"/>
    </row>
    <row r="86" spans="2:5" x14ac:dyDescent="0.35">
      <c r="B86" s="681" t="s">
        <v>385</v>
      </c>
      <c r="D86" s="607"/>
      <c r="E86" s="606"/>
    </row>
    <row r="87" spans="2:5" x14ac:dyDescent="0.35">
      <c r="B87" s="681" t="s">
        <v>384</v>
      </c>
      <c r="D87" s="607"/>
      <c r="E87" s="606"/>
    </row>
    <row r="88" spans="2:5" x14ac:dyDescent="0.35">
      <c r="B88" s="681" t="s">
        <v>733</v>
      </c>
      <c r="D88" s="607"/>
      <c r="E88" s="606"/>
    </row>
    <row r="89" spans="2:5" x14ac:dyDescent="0.35">
      <c r="B89" s="681" t="s">
        <v>732</v>
      </c>
      <c r="D89" s="607"/>
      <c r="E89" s="606"/>
    </row>
    <row r="90" spans="2:5" x14ac:dyDescent="0.35">
      <c r="B90" s="681" t="s">
        <v>731</v>
      </c>
      <c r="D90" s="607"/>
      <c r="E90" s="606"/>
    </row>
    <row r="91" spans="2:5" x14ac:dyDescent="0.35">
      <c r="B91" s="681" t="s">
        <v>730</v>
      </c>
      <c r="D91" s="607"/>
      <c r="E91" s="606"/>
    </row>
    <row r="92" spans="2:5" x14ac:dyDescent="0.35">
      <c r="B92" s="681" t="s">
        <v>729</v>
      </c>
      <c r="D92" s="607"/>
      <c r="E92" s="606"/>
    </row>
    <row r="93" spans="2:5" x14ac:dyDescent="0.35">
      <c r="B93" s="681" t="s">
        <v>284</v>
      </c>
      <c r="D93" s="607"/>
      <c r="E93" s="606"/>
    </row>
    <row r="94" spans="2:5" x14ac:dyDescent="0.35">
      <c r="B94" s="681" t="s">
        <v>98</v>
      </c>
    </row>
    <row r="95" spans="2:5" x14ac:dyDescent="0.35">
      <c r="B95" s="681" t="s">
        <v>524</v>
      </c>
    </row>
    <row r="96" spans="2:5" x14ac:dyDescent="0.35">
      <c r="B96" s="681" t="s">
        <v>439</v>
      </c>
    </row>
    <row r="97" spans="2:2" x14ac:dyDescent="0.35">
      <c r="B97" s="681" t="s">
        <v>728</v>
      </c>
    </row>
    <row r="98" spans="2:2" x14ac:dyDescent="0.35">
      <c r="B98" s="681" t="s">
        <v>727</v>
      </c>
    </row>
    <row r="99" spans="2:2" x14ac:dyDescent="0.35">
      <c r="B99" s="681" t="s">
        <v>726</v>
      </c>
    </row>
    <row r="100" spans="2:2" x14ac:dyDescent="0.35">
      <c r="B100" s="681" t="s">
        <v>156</v>
      </c>
    </row>
    <row r="101" spans="2:2" x14ac:dyDescent="0.35">
      <c r="B101" s="681" t="s">
        <v>2</v>
      </c>
    </row>
    <row r="102" spans="2:2" x14ac:dyDescent="0.35">
      <c r="B102" s="681" t="s">
        <v>396</v>
      </c>
    </row>
    <row r="103" spans="2:2" x14ac:dyDescent="0.35">
      <c r="B103" s="681"/>
    </row>
    <row r="104" spans="2:2" x14ac:dyDescent="0.35">
      <c r="B104" s="681"/>
    </row>
    <row r="105" spans="2:2" x14ac:dyDescent="0.35">
      <c r="B105" s="681"/>
    </row>
    <row r="106" spans="2:2" x14ac:dyDescent="0.35">
      <c r="B106" s="681"/>
    </row>
    <row r="107" spans="2:2" x14ac:dyDescent="0.35">
      <c r="B107" s="681"/>
    </row>
    <row r="108" spans="2:2" x14ac:dyDescent="0.35">
      <c r="B108" s="681"/>
    </row>
    <row r="109" spans="2:2" x14ac:dyDescent="0.35">
      <c r="B109" s="681"/>
    </row>
    <row r="110" spans="2:2" x14ac:dyDescent="0.35">
      <c r="B110" s="681"/>
    </row>
    <row r="111" spans="2:2" x14ac:dyDescent="0.35">
      <c r="B111" s="681"/>
    </row>
    <row r="112" spans="2:2" x14ac:dyDescent="0.35">
      <c r="B112" s="681"/>
    </row>
    <row r="113" spans="2:2" x14ac:dyDescent="0.35">
      <c r="B113" s="681"/>
    </row>
    <row r="114" spans="2:2" x14ac:dyDescent="0.35">
      <c r="B114" s="681"/>
    </row>
    <row r="115" spans="2:2" x14ac:dyDescent="0.35">
      <c r="B115" s="681"/>
    </row>
    <row r="116" spans="2:2" x14ac:dyDescent="0.35">
      <c r="B116" s="681"/>
    </row>
    <row r="117" spans="2:2" x14ac:dyDescent="0.35">
      <c r="B117" s="681"/>
    </row>
    <row r="118" spans="2:2" x14ac:dyDescent="0.35">
      <c r="B118" s="681"/>
    </row>
    <row r="119" spans="2:2" x14ac:dyDescent="0.35">
      <c r="B119" s="681"/>
    </row>
    <row r="120" spans="2:2" x14ac:dyDescent="0.35">
      <c r="B120" s="681"/>
    </row>
    <row r="121" spans="2:2" x14ac:dyDescent="0.35">
      <c r="B121" s="681"/>
    </row>
    <row r="122" spans="2:2" x14ac:dyDescent="0.35">
      <c r="B122" s="681"/>
    </row>
    <row r="123" spans="2:2" x14ac:dyDescent="0.35">
      <c r="B123" s="681"/>
    </row>
    <row r="124" spans="2:2" x14ac:dyDescent="0.35">
      <c r="B124" s="681"/>
    </row>
    <row r="125" spans="2:2" x14ac:dyDescent="0.35">
      <c r="B125" s="681"/>
    </row>
    <row r="126" spans="2:2" x14ac:dyDescent="0.35">
      <c r="B126" s="681"/>
    </row>
    <row r="127" spans="2:2" x14ac:dyDescent="0.35">
      <c r="B127" s="681"/>
    </row>
    <row r="128" spans="2:2" x14ac:dyDescent="0.35">
      <c r="B128" s="681"/>
    </row>
    <row r="129" spans="2:2" x14ac:dyDescent="0.35">
      <c r="B129" s="681"/>
    </row>
    <row r="130" spans="2:2" x14ac:dyDescent="0.35">
      <c r="B130" s="681"/>
    </row>
    <row r="131" spans="2:2" x14ac:dyDescent="0.35">
      <c r="B131" s="681"/>
    </row>
    <row r="132" spans="2:2" x14ac:dyDescent="0.35">
      <c r="B132" s="681"/>
    </row>
    <row r="133" spans="2:2" x14ac:dyDescent="0.35">
      <c r="B133" s="681"/>
    </row>
    <row r="134" spans="2:2" x14ac:dyDescent="0.35">
      <c r="B134" s="681"/>
    </row>
    <row r="135" spans="2:2" x14ac:dyDescent="0.35">
      <c r="B135" s="681"/>
    </row>
    <row r="136" spans="2:2" x14ac:dyDescent="0.35">
      <c r="B136" s="681"/>
    </row>
    <row r="137" spans="2:2" x14ac:dyDescent="0.35">
      <c r="B137" s="681"/>
    </row>
    <row r="138" spans="2:2" x14ac:dyDescent="0.35">
      <c r="B138" s="681"/>
    </row>
    <row r="139" spans="2:2" x14ac:dyDescent="0.35">
      <c r="B139" s="681"/>
    </row>
    <row r="140" spans="2:2" x14ac:dyDescent="0.35">
      <c r="B140" s="681"/>
    </row>
    <row r="141" spans="2:2" x14ac:dyDescent="0.35">
      <c r="B141" s="681"/>
    </row>
    <row r="142" spans="2:2" x14ac:dyDescent="0.35">
      <c r="B142" s="681"/>
    </row>
    <row r="143" spans="2:2" x14ac:dyDescent="0.35">
      <c r="B143" s="681"/>
    </row>
    <row r="144" spans="2:2" x14ac:dyDescent="0.35">
      <c r="B144" s="681"/>
    </row>
    <row r="145" spans="2:2" x14ac:dyDescent="0.35">
      <c r="B145" s="681"/>
    </row>
    <row r="146" spans="2:2" x14ac:dyDescent="0.35">
      <c r="B146" s="681"/>
    </row>
    <row r="147" spans="2:2" x14ac:dyDescent="0.35">
      <c r="B147" s="681"/>
    </row>
    <row r="148" spans="2:2" x14ac:dyDescent="0.35">
      <c r="B148" s="681"/>
    </row>
    <row r="149" spans="2:2" x14ac:dyDescent="0.35">
      <c r="B149" s="681"/>
    </row>
    <row r="150" spans="2:2" x14ac:dyDescent="0.3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48" t="s">
        <v>708</v>
      </c>
      <c r="B1" s="548" t="s">
        <v>709</v>
      </c>
      <c r="C1" s="548" t="s">
        <v>710</v>
      </c>
      <c r="D1" s="548" t="s">
        <v>121</v>
      </c>
    </row>
    <row r="2" spans="1:4" x14ac:dyDescent="0.35">
      <c r="A2" s="549">
        <v>1</v>
      </c>
      <c r="B2" s="550">
        <v>43451</v>
      </c>
      <c r="C2" s="550" t="s">
        <v>711</v>
      </c>
      <c r="D2" s="551" t="s">
        <v>712</v>
      </c>
    </row>
    <row r="3" spans="1:4" x14ac:dyDescent="0.35">
      <c r="A3" s="549">
        <v>2</v>
      </c>
      <c r="B3" s="550">
        <v>43507</v>
      </c>
      <c r="C3" s="550" t="s">
        <v>711</v>
      </c>
      <c r="D3" s="551" t="s">
        <v>713</v>
      </c>
    </row>
    <row r="4" spans="1:4" x14ac:dyDescent="0.35">
      <c r="A4" s="549">
        <v>3</v>
      </c>
      <c r="B4" s="550">
        <v>43598</v>
      </c>
      <c r="C4" s="550" t="s">
        <v>711</v>
      </c>
      <c r="D4" s="551" t="s">
        <v>714</v>
      </c>
    </row>
    <row r="5" spans="1:4" x14ac:dyDescent="0.35">
      <c r="A5" s="549">
        <v>4</v>
      </c>
      <c r="B5" s="550">
        <v>43620</v>
      </c>
      <c r="C5" s="550" t="s">
        <v>711</v>
      </c>
      <c r="D5" s="551" t="s">
        <v>715</v>
      </c>
    </row>
    <row r="6" spans="1:4" ht="52" x14ac:dyDescent="0.35">
      <c r="A6" s="549">
        <v>5</v>
      </c>
      <c r="B6" s="550">
        <v>43621</v>
      </c>
      <c r="C6" s="550" t="s">
        <v>711</v>
      </c>
      <c r="D6" s="551" t="s">
        <v>716</v>
      </c>
    </row>
    <row r="7" spans="1:4" x14ac:dyDescent="0.35">
      <c r="A7" s="549">
        <v>6</v>
      </c>
      <c r="B7" s="550">
        <v>43875</v>
      </c>
      <c r="C7" s="550" t="s">
        <v>717</v>
      </c>
      <c r="D7" s="552" t="s">
        <v>718</v>
      </c>
    </row>
    <row r="8" spans="1:4" ht="31.5" x14ac:dyDescent="0.35">
      <c r="A8" s="549">
        <v>7</v>
      </c>
      <c r="B8" s="550">
        <v>43883</v>
      </c>
      <c r="C8" s="550" t="s">
        <v>711</v>
      </c>
      <c r="D8" s="553" t="s">
        <v>719</v>
      </c>
    </row>
    <row r="9" spans="1:4" x14ac:dyDescent="0.35">
      <c r="A9" s="549">
        <v>8</v>
      </c>
      <c r="B9" s="550">
        <v>43885</v>
      </c>
      <c r="C9" s="550" t="s">
        <v>711</v>
      </c>
      <c r="D9" s="554" t="s">
        <v>720</v>
      </c>
    </row>
    <row r="10" spans="1:4" x14ac:dyDescent="0.35">
      <c r="A10" s="549">
        <v>9</v>
      </c>
      <c r="B10" s="550">
        <v>44014</v>
      </c>
      <c r="C10" s="550" t="s">
        <v>711</v>
      </c>
      <c r="D10" s="554" t="s">
        <v>721</v>
      </c>
    </row>
    <row r="11" spans="1:4" x14ac:dyDescent="0.35">
      <c r="A11" s="549">
        <v>10</v>
      </c>
      <c r="B11" s="550">
        <v>43895</v>
      </c>
      <c r="C11" s="554" t="s">
        <v>1093</v>
      </c>
      <c r="D11" s="554"/>
    </row>
    <row r="12" spans="1:4" x14ac:dyDescent="0.35">
      <c r="A12" s="549">
        <v>11</v>
      </c>
      <c r="B12" s="550"/>
      <c r="C12" s="550"/>
      <c r="D12" s="554"/>
    </row>
    <row r="13" spans="1:4" x14ac:dyDescent="0.35">
      <c r="A13" s="549">
        <v>12</v>
      </c>
      <c r="B13" s="550"/>
      <c r="C13" s="550"/>
      <c r="D13" s="554"/>
    </row>
    <row r="14" spans="1:4" x14ac:dyDescent="0.3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31" t="s">
        <v>306</v>
      </c>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232"/>
    </row>
    <row r="2" spans="4:31" x14ac:dyDescent="0.35">
      <c r="D2" s="1233"/>
      <c r="E2" s="1135"/>
      <c r="F2" s="1135"/>
      <c r="G2" s="1135"/>
      <c r="H2" s="1135"/>
      <c r="I2" s="1135"/>
      <c r="J2" s="1135"/>
      <c r="K2" s="1135"/>
      <c r="L2" s="1135"/>
      <c r="M2" s="1135"/>
      <c r="N2" s="1135"/>
      <c r="O2" s="1135"/>
      <c r="P2" s="1135"/>
      <c r="Q2" s="1135"/>
      <c r="R2" s="1135"/>
      <c r="S2" s="1135"/>
      <c r="T2" s="1135"/>
      <c r="U2" s="1135"/>
      <c r="V2" s="1135"/>
      <c r="W2" s="1135"/>
      <c r="X2" s="1135"/>
      <c r="Y2" s="1135"/>
      <c r="Z2" s="1135"/>
      <c r="AA2" s="1135"/>
      <c r="AB2" s="1135"/>
      <c r="AC2" s="1135"/>
      <c r="AD2" s="1135"/>
      <c r="AE2" s="1234"/>
    </row>
    <row r="3" spans="4:31" x14ac:dyDescent="0.35">
      <c r="D3" s="1233"/>
      <c r="E3" s="1135"/>
      <c r="F3" s="1135"/>
      <c r="G3" s="1135"/>
      <c r="H3" s="1135"/>
      <c r="I3" s="1135"/>
      <c r="J3" s="1135"/>
      <c r="K3" s="1135"/>
      <c r="L3" s="1135"/>
      <c r="M3" s="1135"/>
      <c r="N3" s="1135"/>
      <c r="O3" s="1135"/>
      <c r="P3" s="1135"/>
      <c r="Q3" s="1135"/>
      <c r="R3" s="1135"/>
      <c r="S3" s="1135"/>
      <c r="T3" s="1135"/>
      <c r="U3" s="1135"/>
      <c r="V3" s="1135"/>
      <c r="W3" s="1135"/>
      <c r="X3" s="1135"/>
      <c r="Y3" s="1135"/>
      <c r="Z3" s="1135"/>
      <c r="AA3" s="1135"/>
      <c r="AB3" s="1135"/>
      <c r="AC3" s="1135"/>
      <c r="AD3" s="1135"/>
      <c r="AE3" s="1234"/>
    </row>
    <row r="4" spans="4:31" x14ac:dyDescent="0.35">
      <c r="D4" s="1233"/>
      <c r="E4" s="1135"/>
      <c r="F4" s="1135"/>
      <c r="G4" s="1135"/>
      <c r="H4" s="1135"/>
      <c r="I4" s="1135"/>
      <c r="J4" s="1135"/>
      <c r="K4" s="1135"/>
      <c r="L4" s="1135"/>
      <c r="M4" s="1135"/>
      <c r="N4" s="1135"/>
      <c r="O4" s="1135"/>
      <c r="P4" s="1135"/>
      <c r="Q4" s="1135"/>
      <c r="R4" s="1135"/>
      <c r="S4" s="1135"/>
      <c r="T4" s="1135"/>
      <c r="U4" s="1135"/>
      <c r="V4" s="1135"/>
      <c r="W4" s="1135"/>
      <c r="X4" s="1135"/>
      <c r="Y4" s="1135"/>
      <c r="Z4" s="1135"/>
      <c r="AA4" s="1135"/>
      <c r="AB4" s="1135"/>
      <c r="AC4" s="1135"/>
      <c r="AD4" s="1135"/>
      <c r="AE4" s="1234"/>
    </row>
    <row r="5" spans="4:31" x14ac:dyDescent="0.35">
      <c r="D5" s="1233"/>
      <c r="E5" s="1135"/>
      <c r="F5" s="1135"/>
      <c r="G5" s="1135"/>
      <c r="H5" s="1135"/>
      <c r="I5" s="1135"/>
      <c r="J5" s="1135"/>
      <c r="K5" s="1135"/>
      <c r="L5" s="1135"/>
      <c r="M5" s="1135"/>
      <c r="N5" s="1135"/>
      <c r="O5" s="1135"/>
      <c r="P5" s="1135"/>
      <c r="Q5" s="1135"/>
      <c r="R5" s="1135"/>
      <c r="S5" s="1135"/>
      <c r="T5" s="1135"/>
      <c r="U5" s="1135"/>
      <c r="V5" s="1135"/>
      <c r="W5" s="1135"/>
      <c r="X5" s="1135"/>
      <c r="Y5" s="1135"/>
      <c r="Z5" s="1135"/>
      <c r="AA5" s="1135"/>
      <c r="AB5" s="1135"/>
      <c r="AC5" s="1135"/>
      <c r="AD5" s="1135"/>
      <c r="AE5" s="1234"/>
    </row>
    <row r="6" spans="4:31" x14ac:dyDescent="0.35">
      <c r="D6" s="1233"/>
      <c r="E6" s="1135"/>
      <c r="F6" s="1135"/>
      <c r="G6" s="1135"/>
      <c r="H6" s="1135"/>
      <c r="I6" s="1135"/>
      <c r="J6" s="1135"/>
      <c r="K6" s="1135"/>
      <c r="L6" s="1135"/>
      <c r="M6" s="1135"/>
      <c r="N6" s="1135"/>
      <c r="O6" s="1135"/>
      <c r="P6" s="1135"/>
      <c r="Q6" s="1135"/>
      <c r="R6" s="1135"/>
      <c r="S6" s="1135"/>
      <c r="T6" s="1135"/>
      <c r="U6" s="1135"/>
      <c r="V6" s="1135"/>
      <c r="W6" s="1135"/>
      <c r="X6" s="1135"/>
      <c r="Y6" s="1135"/>
      <c r="Z6" s="1135"/>
      <c r="AA6" s="1135"/>
      <c r="AB6" s="1135"/>
      <c r="AC6" s="1135"/>
      <c r="AD6" s="1135"/>
      <c r="AE6" s="1234"/>
    </row>
    <row r="7" spans="4:31" x14ac:dyDescent="0.35">
      <c r="D7" s="1233"/>
      <c r="E7" s="1135"/>
      <c r="F7" s="1135"/>
      <c r="G7" s="1135"/>
      <c r="H7" s="1135"/>
      <c r="I7" s="1135"/>
      <c r="J7" s="1135"/>
      <c r="K7" s="1135"/>
      <c r="L7" s="1135"/>
      <c r="M7" s="1135"/>
      <c r="N7" s="1135"/>
      <c r="O7" s="1135"/>
      <c r="P7" s="1135"/>
      <c r="Q7" s="1135"/>
      <c r="R7" s="1135"/>
      <c r="S7" s="1135"/>
      <c r="T7" s="1135"/>
      <c r="U7" s="1135"/>
      <c r="V7" s="1135"/>
      <c r="W7" s="1135"/>
      <c r="X7" s="1135"/>
      <c r="Y7" s="1135"/>
      <c r="Z7" s="1135"/>
      <c r="AA7" s="1135"/>
      <c r="AB7" s="1135"/>
      <c r="AC7" s="1135"/>
      <c r="AD7" s="1135"/>
      <c r="AE7" s="1234"/>
    </row>
    <row r="8" spans="4:31" x14ac:dyDescent="0.35">
      <c r="D8" s="1233"/>
      <c r="E8" s="1135"/>
      <c r="F8" s="1135"/>
      <c r="G8" s="1135"/>
      <c r="H8" s="1135"/>
      <c r="I8" s="1135"/>
      <c r="J8" s="1135"/>
      <c r="K8" s="1135"/>
      <c r="L8" s="1135"/>
      <c r="M8" s="1135"/>
      <c r="N8" s="1135"/>
      <c r="O8" s="1135"/>
      <c r="P8" s="1135"/>
      <c r="Q8" s="1135"/>
      <c r="R8" s="1135"/>
      <c r="S8" s="1135"/>
      <c r="T8" s="1135"/>
      <c r="U8" s="1135"/>
      <c r="V8" s="1135"/>
      <c r="W8" s="1135"/>
      <c r="X8" s="1135"/>
      <c r="Y8" s="1135"/>
      <c r="Z8" s="1135"/>
      <c r="AA8" s="1135"/>
      <c r="AB8" s="1135"/>
      <c r="AC8" s="1135"/>
      <c r="AD8" s="1135"/>
      <c r="AE8" s="1234"/>
    </row>
    <row r="9" spans="4:31" x14ac:dyDescent="0.35">
      <c r="D9" s="1233"/>
      <c r="E9" s="1135"/>
      <c r="F9" s="1135"/>
      <c r="G9" s="1135"/>
      <c r="H9" s="1135"/>
      <c r="I9" s="1135"/>
      <c r="J9" s="1135"/>
      <c r="K9" s="1135"/>
      <c r="L9" s="1135"/>
      <c r="M9" s="1135"/>
      <c r="N9" s="1135"/>
      <c r="O9" s="1135"/>
      <c r="P9" s="1135"/>
      <c r="Q9" s="1135"/>
      <c r="R9" s="1135"/>
      <c r="S9" s="1135"/>
      <c r="T9" s="1135"/>
      <c r="U9" s="1135"/>
      <c r="V9" s="1135"/>
      <c r="W9" s="1135"/>
      <c r="X9" s="1135"/>
      <c r="Y9" s="1135"/>
      <c r="Z9" s="1135"/>
      <c r="AA9" s="1135"/>
      <c r="AB9" s="1135"/>
      <c r="AC9" s="1135"/>
      <c r="AD9" s="1135"/>
      <c r="AE9" s="1234"/>
    </row>
    <row r="10" spans="4:31" x14ac:dyDescent="0.35">
      <c r="D10" s="1233"/>
      <c r="E10" s="1135"/>
      <c r="F10" s="1135"/>
      <c r="G10" s="1135"/>
      <c r="H10" s="1135"/>
      <c r="I10" s="1135"/>
      <c r="J10" s="1135"/>
      <c r="K10" s="1135"/>
      <c r="L10" s="1135"/>
      <c r="M10" s="1135"/>
      <c r="N10" s="1135"/>
      <c r="O10" s="1135"/>
      <c r="P10" s="1135"/>
      <c r="Q10" s="1135"/>
      <c r="R10" s="1135"/>
      <c r="S10" s="1135"/>
      <c r="T10" s="1135"/>
      <c r="U10" s="1135"/>
      <c r="V10" s="1135"/>
      <c r="W10" s="1135"/>
      <c r="X10" s="1135"/>
      <c r="Y10" s="1135"/>
      <c r="Z10" s="1135"/>
      <c r="AA10" s="1135"/>
      <c r="AB10" s="1135"/>
      <c r="AC10" s="1135"/>
      <c r="AD10" s="1135"/>
      <c r="AE10" s="1234"/>
    </row>
    <row r="11" spans="4:31" x14ac:dyDescent="0.35">
      <c r="D11" s="1233"/>
      <c r="E11" s="1135"/>
      <c r="F11" s="1135"/>
      <c r="G11" s="1135"/>
      <c r="H11" s="1135"/>
      <c r="I11" s="1135"/>
      <c r="J11" s="1135"/>
      <c r="K11" s="1135"/>
      <c r="L11" s="1135"/>
      <c r="M11" s="1135"/>
      <c r="N11" s="1135"/>
      <c r="O11" s="1135"/>
      <c r="P11" s="1135"/>
      <c r="Q11" s="1135"/>
      <c r="R11" s="1135"/>
      <c r="S11" s="1135"/>
      <c r="T11" s="1135"/>
      <c r="U11" s="1135"/>
      <c r="V11" s="1135"/>
      <c r="W11" s="1135"/>
      <c r="X11" s="1135"/>
      <c r="Y11" s="1135"/>
      <c r="Z11" s="1135"/>
      <c r="AA11" s="1135"/>
      <c r="AB11" s="1135"/>
      <c r="AC11" s="1135"/>
      <c r="AD11" s="1135"/>
      <c r="AE11" s="1234"/>
    </row>
    <row r="12" spans="4:31" x14ac:dyDescent="0.35">
      <c r="D12" s="1233"/>
      <c r="E12" s="1135"/>
      <c r="F12" s="1135"/>
      <c r="G12" s="1135"/>
      <c r="H12" s="1135"/>
      <c r="I12" s="1135"/>
      <c r="J12" s="1135"/>
      <c r="K12" s="1135"/>
      <c r="L12" s="1135"/>
      <c r="M12" s="1135"/>
      <c r="N12" s="1135"/>
      <c r="O12" s="1135"/>
      <c r="P12" s="1135"/>
      <c r="Q12" s="1135"/>
      <c r="R12" s="1135"/>
      <c r="S12" s="1135"/>
      <c r="T12" s="1135"/>
      <c r="U12" s="1135"/>
      <c r="V12" s="1135"/>
      <c r="W12" s="1135"/>
      <c r="X12" s="1135"/>
      <c r="Y12" s="1135"/>
      <c r="Z12" s="1135"/>
      <c r="AA12" s="1135"/>
      <c r="AB12" s="1135"/>
      <c r="AC12" s="1135"/>
      <c r="AD12" s="1135"/>
      <c r="AE12" s="1234"/>
    </row>
    <row r="13" spans="4:31" x14ac:dyDescent="0.35">
      <c r="D13" s="1233"/>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234"/>
    </row>
    <row r="14" spans="4:31" x14ac:dyDescent="0.35">
      <c r="D14" s="1233"/>
      <c r="E14" s="1135"/>
      <c r="F14" s="1135"/>
      <c r="G14" s="1135"/>
      <c r="H14" s="1135"/>
      <c r="I14" s="1135"/>
      <c r="J14" s="1135"/>
      <c r="K14" s="1135"/>
      <c r="L14" s="1135"/>
      <c r="M14" s="1135"/>
      <c r="N14" s="1135"/>
      <c r="O14" s="1135"/>
      <c r="P14" s="1135"/>
      <c r="Q14" s="1135"/>
      <c r="R14" s="1135"/>
      <c r="S14" s="1135"/>
      <c r="T14" s="1135"/>
      <c r="U14" s="1135"/>
      <c r="V14" s="1135"/>
      <c r="W14" s="1135"/>
      <c r="X14" s="1135"/>
      <c r="Y14" s="1135"/>
      <c r="Z14" s="1135"/>
      <c r="AA14" s="1135"/>
      <c r="AB14" s="1135"/>
      <c r="AC14" s="1135"/>
      <c r="AD14" s="1135"/>
      <c r="AE14" s="1234"/>
    </row>
    <row r="15" spans="4:31" x14ac:dyDescent="0.35">
      <c r="D15" s="1233"/>
      <c r="E15" s="1135"/>
      <c r="F15" s="1135"/>
      <c r="G15" s="1135"/>
      <c r="H15" s="1135"/>
      <c r="I15" s="1135"/>
      <c r="J15" s="1135"/>
      <c r="K15" s="1135"/>
      <c r="L15" s="1135"/>
      <c r="M15" s="1135"/>
      <c r="N15" s="1135"/>
      <c r="O15" s="1135"/>
      <c r="P15" s="1135"/>
      <c r="Q15" s="1135"/>
      <c r="R15" s="1135"/>
      <c r="S15" s="1135"/>
      <c r="T15" s="1135"/>
      <c r="U15" s="1135"/>
      <c r="V15" s="1135"/>
      <c r="W15" s="1135"/>
      <c r="X15" s="1135"/>
      <c r="Y15" s="1135"/>
      <c r="Z15" s="1135"/>
      <c r="AA15" s="1135"/>
      <c r="AB15" s="1135"/>
      <c r="AC15" s="1135"/>
      <c r="AD15" s="1135"/>
      <c r="AE15" s="1234"/>
    </row>
    <row r="16" spans="4:31" x14ac:dyDescent="0.35">
      <c r="D16" s="1233"/>
      <c r="E16" s="1135"/>
      <c r="F16" s="1135"/>
      <c r="G16" s="1135"/>
      <c r="H16" s="1135"/>
      <c r="I16" s="1135"/>
      <c r="J16" s="1135"/>
      <c r="K16" s="1135"/>
      <c r="L16" s="1135"/>
      <c r="M16" s="1135"/>
      <c r="N16" s="1135"/>
      <c r="O16" s="1135"/>
      <c r="P16" s="1135"/>
      <c r="Q16" s="1135"/>
      <c r="R16" s="1135"/>
      <c r="S16" s="1135"/>
      <c r="T16" s="1135"/>
      <c r="U16" s="1135"/>
      <c r="V16" s="1135"/>
      <c r="W16" s="1135"/>
      <c r="X16" s="1135"/>
      <c r="Y16" s="1135"/>
      <c r="Z16" s="1135"/>
      <c r="AA16" s="1135"/>
      <c r="AB16" s="1135"/>
      <c r="AC16" s="1135"/>
      <c r="AD16" s="1135"/>
      <c r="AE16" s="1234"/>
    </row>
    <row r="17" spans="4:31" x14ac:dyDescent="0.35">
      <c r="D17" s="1233"/>
      <c r="E17" s="1135"/>
      <c r="F17" s="1135"/>
      <c r="G17" s="1135"/>
      <c r="H17" s="1135"/>
      <c r="I17" s="1135"/>
      <c r="J17" s="1135"/>
      <c r="K17" s="1135"/>
      <c r="L17" s="1135"/>
      <c r="M17" s="1135"/>
      <c r="N17" s="1135"/>
      <c r="O17" s="1135"/>
      <c r="P17" s="1135"/>
      <c r="Q17" s="1135"/>
      <c r="R17" s="1135"/>
      <c r="S17" s="1135"/>
      <c r="T17" s="1135"/>
      <c r="U17" s="1135"/>
      <c r="V17" s="1135"/>
      <c r="W17" s="1135"/>
      <c r="X17" s="1135"/>
      <c r="Y17" s="1135"/>
      <c r="Z17" s="1135"/>
      <c r="AA17" s="1135"/>
      <c r="AB17" s="1135"/>
      <c r="AC17" s="1135"/>
      <c r="AD17" s="1135"/>
      <c r="AE17" s="1234"/>
    </row>
    <row r="18" spans="4:31" x14ac:dyDescent="0.35">
      <c r="D18" s="1233"/>
      <c r="E18" s="1135"/>
      <c r="F18" s="1135"/>
      <c r="G18" s="1135"/>
      <c r="H18" s="1135"/>
      <c r="I18" s="1135"/>
      <c r="J18" s="1135"/>
      <c r="K18" s="1135"/>
      <c r="L18" s="1135"/>
      <c r="M18" s="1135"/>
      <c r="N18" s="1135"/>
      <c r="O18" s="1135"/>
      <c r="P18" s="1135"/>
      <c r="Q18" s="1135"/>
      <c r="R18" s="1135"/>
      <c r="S18" s="1135"/>
      <c r="T18" s="1135"/>
      <c r="U18" s="1135"/>
      <c r="V18" s="1135"/>
      <c r="W18" s="1135"/>
      <c r="X18" s="1135"/>
      <c r="Y18" s="1135"/>
      <c r="Z18" s="1135"/>
      <c r="AA18" s="1135"/>
      <c r="AB18" s="1135"/>
      <c r="AC18" s="1135"/>
      <c r="AD18" s="1135"/>
      <c r="AE18" s="1234"/>
    </row>
    <row r="19" spans="4:31" x14ac:dyDescent="0.35">
      <c r="D19" s="1233"/>
      <c r="E19" s="1135"/>
      <c r="F19" s="1135"/>
      <c r="G19" s="1135"/>
      <c r="H19" s="1135"/>
      <c r="I19" s="1135"/>
      <c r="J19" s="1135"/>
      <c r="K19" s="1135"/>
      <c r="L19" s="1135"/>
      <c r="M19" s="1135"/>
      <c r="N19" s="1135"/>
      <c r="O19" s="1135"/>
      <c r="P19" s="1135"/>
      <c r="Q19" s="1135"/>
      <c r="R19" s="1135"/>
      <c r="S19" s="1135"/>
      <c r="T19" s="1135"/>
      <c r="U19" s="1135"/>
      <c r="V19" s="1135"/>
      <c r="W19" s="1135"/>
      <c r="X19" s="1135"/>
      <c r="Y19" s="1135"/>
      <c r="Z19" s="1135"/>
      <c r="AA19" s="1135"/>
      <c r="AB19" s="1135"/>
      <c r="AC19" s="1135"/>
      <c r="AD19" s="1135"/>
      <c r="AE19" s="1234"/>
    </row>
    <row r="20" spans="4:31" x14ac:dyDescent="0.35">
      <c r="D20" s="1233"/>
      <c r="E20" s="1135"/>
      <c r="F20" s="1135"/>
      <c r="G20" s="1135"/>
      <c r="H20" s="1135"/>
      <c r="I20" s="1135"/>
      <c r="J20" s="1135"/>
      <c r="K20" s="1135"/>
      <c r="L20" s="1135"/>
      <c r="M20" s="1135"/>
      <c r="N20" s="1135"/>
      <c r="O20" s="1135"/>
      <c r="P20" s="1135"/>
      <c r="Q20" s="1135"/>
      <c r="R20" s="1135"/>
      <c r="S20" s="1135"/>
      <c r="T20" s="1135"/>
      <c r="U20" s="1135"/>
      <c r="V20" s="1135"/>
      <c r="W20" s="1135"/>
      <c r="X20" s="1135"/>
      <c r="Y20" s="1135"/>
      <c r="Z20" s="1135"/>
      <c r="AA20" s="1135"/>
      <c r="AB20" s="1135"/>
      <c r="AC20" s="1135"/>
      <c r="AD20" s="1135"/>
      <c r="AE20" s="1234"/>
    </row>
    <row r="21" spans="4:31" x14ac:dyDescent="0.35">
      <c r="D21" s="1233"/>
      <c r="E21" s="1135"/>
      <c r="F21" s="1135"/>
      <c r="G21" s="1135"/>
      <c r="H21" s="1135"/>
      <c r="I21" s="1135"/>
      <c r="J21" s="1135"/>
      <c r="K21" s="1135"/>
      <c r="L21" s="1135"/>
      <c r="M21" s="1135"/>
      <c r="N21" s="1135"/>
      <c r="O21" s="1135"/>
      <c r="P21" s="1135"/>
      <c r="Q21" s="1135"/>
      <c r="R21" s="1135"/>
      <c r="S21" s="1135"/>
      <c r="T21" s="1135"/>
      <c r="U21" s="1135"/>
      <c r="V21" s="1135"/>
      <c r="W21" s="1135"/>
      <c r="X21" s="1135"/>
      <c r="Y21" s="1135"/>
      <c r="Z21" s="1135"/>
      <c r="AA21" s="1135"/>
      <c r="AB21" s="1135"/>
      <c r="AC21" s="1135"/>
      <c r="AD21" s="1135"/>
      <c r="AE21" s="1234"/>
    </row>
    <row r="22" spans="4:31" ht="15" thickBot="1" x14ac:dyDescent="0.4">
      <c r="D22" s="1235"/>
      <c r="E22" s="1172"/>
      <c r="F22" s="1172"/>
      <c r="G22" s="1172"/>
      <c r="H22" s="1172"/>
      <c r="I22" s="1172"/>
      <c r="J22" s="1172"/>
      <c r="K22" s="1172"/>
      <c r="L22" s="1172"/>
      <c r="M22" s="1172"/>
      <c r="N22" s="1172"/>
      <c r="O22" s="1172"/>
      <c r="P22" s="1172"/>
      <c r="Q22" s="1172"/>
      <c r="R22" s="1172"/>
      <c r="S22" s="1172"/>
      <c r="T22" s="1172"/>
      <c r="U22" s="1172"/>
      <c r="V22" s="1172"/>
      <c r="W22" s="1172"/>
      <c r="X22" s="1172"/>
      <c r="Y22" s="1172"/>
      <c r="Z22" s="1172"/>
      <c r="AA22" s="1172"/>
      <c r="AB22" s="1172"/>
      <c r="AC22" s="1172"/>
      <c r="AD22" s="1172"/>
      <c r="AE22" s="1236"/>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2022-05-07T04:01:59Z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