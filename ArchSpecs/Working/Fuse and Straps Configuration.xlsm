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tables/table1.xml" ContentType="application/vnd.openxmlformats-officedocument.spreadsheetml.table+xml"/>
  <Override PartName="/xl/comments3.xml" ContentType="application/vnd.openxmlformats-officedocument.spreadsheetml.comments+xml"/>
  <Override PartName="/xl/comments4.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threadedComments/threadedComment1.xml" ContentType="application/vnd.ms-excel.threadedcomments+xml"/>
  <Override PartName="/xl/comments8.xml" ContentType="application/vnd.openxmlformats-officedocument.spreadsheetml.comments+xml"/>
  <Override PartName="/xl/threadedComments/threadedComment2.xml" ContentType="application/vnd.ms-excel.threaded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codeName="ThisWorkbook" defaultThemeVersion="166925"/>
  <mc:AlternateContent xmlns:mc="http://schemas.openxmlformats.org/markup-compatibility/2006">
    <mc:Choice Requires="x15">
      <x15ac:absPath xmlns:x15ac="http://schemas.microsoft.com/office/spreadsheetml/2010/11/ac" url="C:\Users\yaxinshu\SecArch_Perforce\projects\coe\CSME\ArchSpecs\Working\"/>
    </mc:Choice>
  </mc:AlternateContent>
  <xr:revisionPtr revIDLastSave="0" documentId="8_{6B9DF062-421F-4E0B-9B2A-0603EF2C43D9}" xr6:coauthVersionLast="45" xr6:coauthVersionMax="45" xr10:uidLastSave="{00000000-0000-0000-0000-000000000000}"/>
  <bookViews>
    <workbookView xWindow="34140" yWindow="2055" windowWidth="23640" windowHeight="14280" tabRatio="815" xr2:uid="{9230698E-BC2D-4B56-9659-6B00A32A5149}"/>
  </bookViews>
  <sheets>
    <sheet name="Revision" sheetId="16" r:id="rId1"/>
    <sheet name="Config" sheetId="12" r:id="rId2"/>
    <sheet name="MTL-S" sheetId="31" r:id="rId3"/>
    <sheet name="LookUp" sheetId="24" r:id="rId4"/>
    <sheet name="GetGroup1" sheetId="26" r:id="rId5"/>
    <sheet name="MTL-SOC-M CSME" sheetId="27" r:id="rId6"/>
    <sheet name="MTL-SOC-M ESE" sheetId="28" r:id="rId7"/>
    <sheet name="MTL-SOC-M GSC" sheetId="29" r:id="rId8"/>
    <sheet name="Group0" sheetId="21" r:id="rId9"/>
    <sheet name="Group1 (GSC)" sheetId="30" r:id="rId10"/>
    <sheet name="Group1" sheetId="7" r:id="rId11"/>
    <sheet name="Group2,3" sheetId="15" r:id="rId12"/>
    <sheet name="Softstrap" sheetId="8" r:id="rId13"/>
    <sheet name="MISC" sheetId="17" r:id="rId14"/>
  </sheets>
  <functionGroups builtInGroupCount="19"/>
  <definedNames>
    <definedName name="_xlnm._FilterDatabase" localSheetId="10" hidden="1">Group1!$A$1:$Q$107</definedName>
    <definedName name="_xlnm._FilterDatabase" localSheetId="9" hidden="1">'Group1 (GSC)'!$A$1:$R$107</definedName>
    <definedName name="_xlnm._FilterDatabase" localSheetId="12" hidden="1">Softstrap!$A$1:$N$1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50" i="31" l="1"/>
  <c r="I42" i="31"/>
  <c r="I34" i="31"/>
  <c r="E28" i="27" l="1"/>
  <c r="I158" i="31" l="1"/>
  <c r="I159" i="31"/>
  <c r="I160" i="31"/>
  <c r="K82" i="12" l="1"/>
  <c r="J82" i="12"/>
  <c r="I82" i="12"/>
  <c r="H82" i="12"/>
  <c r="D125" i="30" l="1"/>
  <c r="D124" i="30"/>
  <c r="D123" i="30"/>
  <c r="R107" i="30"/>
  <c r="Q107" i="30"/>
  <c r="P107" i="30"/>
  <c r="R106" i="30"/>
  <c r="Q106" i="30"/>
  <c r="P106" i="30"/>
  <c r="R105" i="30"/>
  <c r="Q105" i="30"/>
  <c r="P105" i="30"/>
  <c r="R104" i="30"/>
  <c r="Q104" i="30"/>
  <c r="P104" i="30"/>
  <c r="R89" i="30"/>
  <c r="Q89" i="30"/>
  <c r="P89" i="30"/>
  <c r="R87" i="30"/>
  <c r="Q87" i="30"/>
  <c r="P87" i="30"/>
  <c r="R86" i="30"/>
  <c r="Q86" i="30"/>
  <c r="P86" i="30"/>
  <c r="R85" i="30"/>
  <c r="Q85" i="30"/>
  <c r="P85" i="30"/>
  <c r="R84" i="30"/>
  <c r="Q84" i="30"/>
  <c r="P84" i="30"/>
  <c r="R79" i="30"/>
  <c r="Q79" i="30"/>
  <c r="P79" i="30"/>
  <c r="R76" i="30"/>
  <c r="Q76" i="30"/>
  <c r="P76" i="30"/>
  <c r="R73" i="30"/>
  <c r="Q73" i="30"/>
  <c r="P73" i="30"/>
  <c r="R72" i="30"/>
  <c r="Q72" i="30"/>
  <c r="P72" i="30"/>
  <c r="Q71" i="30"/>
  <c r="P71" i="30"/>
  <c r="Q70" i="30"/>
  <c r="P70" i="30"/>
  <c r="Q69" i="30"/>
  <c r="P69" i="30"/>
  <c r="Q68" i="30"/>
  <c r="P68" i="30"/>
  <c r="R67" i="30"/>
  <c r="Q67" i="30"/>
  <c r="P67" i="30"/>
  <c r="R66" i="30"/>
  <c r="Q66" i="30"/>
  <c r="P66" i="30"/>
  <c r="R65" i="30"/>
  <c r="Q65" i="30"/>
  <c r="P65" i="30"/>
  <c r="R64" i="30"/>
  <c r="Q64" i="30"/>
  <c r="P64" i="30"/>
  <c r="R63" i="30"/>
  <c r="Q63" i="30"/>
  <c r="P63" i="30"/>
  <c r="R62" i="30"/>
  <c r="Q62" i="30"/>
  <c r="P62" i="30"/>
  <c r="R57" i="30"/>
  <c r="Q57" i="30"/>
  <c r="P57" i="30"/>
  <c r="R45" i="30"/>
  <c r="Q45" i="30"/>
  <c r="P45" i="30"/>
  <c r="R42" i="30"/>
  <c r="Q42" i="30"/>
  <c r="P42" i="30"/>
  <c r="R39" i="30"/>
  <c r="Q39" i="30"/>
  <c r="P39" i="30"/>
  <c r="R35" i="30"/>
  <c r="Q35" i="30"/>
  <c r="P35" i="30"/>
  <c r="R31" i="30"/>
  <c r="Q31" i="30"/>
  <c r="P31" i="30"/>
  <c r="R19" i="30"/>
  <c r="Q19" i="30"/>
  <c r="P19" i="30"/>
  <c r="R18" i="30"/>
  <c r="Q18" i="30"/>
  <c r="P18" i="30"/>
  <c r="R16" i="30"/>
  <c r="Q16" i="30"/>
  <c r="P16" i="30"/>
  <c r="R10" i="30"/>
  <c r="Q10" i="30"/>
  <c r="P10" i="30"/>
  <c r="R9" i="30"/>
  <c r="Q9" i="30"/>
  <c r="P9" i="30"/>
  <c r="R8" i="30"/>
  <c r="Q8" i="30"/>
  <c r="P8" i="30"/>
  <c r="R5" i="30"/>
  <c r="Q5" i="30"/>
  <c r="P5" i="30"/>
  <c r="R3" i="30"/>
  <c r="Q3" i="30"/>
  <c r="P3" i="30"/>
  <c r="R2" i="30"/>
  <c r="Q2" i="30"/>
  <c r="P2" i="30"/>
  <c r="Q70" i="7" l="1"/>
  <c r="P70" i="7"/>
  <c r="O70" i="7"/>
  <c r="Q69" i="7"/>
  <c r="P69" i="7"/>
  <c r="O69" i="7"/>
  <c r="Q68" i="7"/>
  <c r="P68" i="7"/>
  <c r="O68" i="7"/>
  <c r="Q63" i="7" l="1"/>
  <c r="P63" i="7"/>
  <c r="O63" i="7"/>
  <c r="Q65" i="7"/>
  <c r="P65" i="7"/>
  <c r="O65" i="7"/>
  <c r="Q64" i="7"/>
  <c r="P64" i="7"/>
  <c r="O64" i="7"/>
  <c r="L25" i="8"/>
  <c r="M25" i="8"/>
  <c r="N25" i="8"/>
  <c r="L26" i="8"/>
  <c r="M26" i="8"/>
  <c r="N26" i="8"/>
  <c r="L27" i="8"/>
  <c r="M27" i="8"/>
  <c r="N27" i="8"/>
  <c r="L28" i="8"/>
  <c r="M28" i="8"/>
  <c r="N28" i="8"/>
  <c r="L29" i="8"/>
  <c r="M29" i="8"/>
  <c r="N29" i="8"/>
  <c r="L30" i="8"/>
  <c r="M30" i="8"/>
  <c r="N30" i="8"/>
  <c r="N21" i="8"/>
  <c r="M21" i="8"/>
  <c r="L21" i="8"/>
  <c r="N17" i="8"/>
  <c r="M17" i="8"/>
  <c r="L17" i="8"/>
  <c r="N16" i="8"/>
  <c r="M16" i="8"/>
  <c r="L16" i="8"/>
  <c r="N15" i="8"/>
  <c r="M15" i="8"/>
  <c r="L15" i="8"/>
  <c r="L20" i="8"/>
  <c r="M20" i="8"/>
  <c r="N20" i="8"/>
  <c r="Q84" i="7" l="1"/>
  <c r="P84" i="7"/>
  <c r="O84" i="7"/>
  <c r="E42" i="24" l="1"/>
  <c r="E41" i="24"/>
  <c r="E40" i="24"/>
  <c r="E39" i="24"/>
  <c r="E38" i="24"/>
  <c r="E37" i="24"/>
  <c r="E36" i="24"/>
  <c r="E35" i="24"/>
  <c r="E34" i="24"/>
  <c r="E33" i="24"/>
  <c r="E32" i="24"/>
  <c r="E31" i="24"/>
  <c r="E30" i="24"/>
  <c r="E29" i="24"/>
  <c r="E28" i="24"/>
  <c r="E42" i="27"/>
  <c r="E41" i="27"/>
  <c r="E40" i="27"/>
  <c r="E39" i="27"/>
  <c r="E38" i="27"/>
  <c r="E37" i="27"/>
  <c r="E36" i="27"/>
  <c r="E35" i="27"/>
  <c r="E34" i="27"/>
  <c r="E33" i="27"/>
  <c r="E32" i="27"/>
  <c r="E31" i="27"/>
  <c r="E30" i="27"/>
  <c r="E29" i="27"/>
  <c r="E42" i="28"/>
  <c r="E41" i="28"/>
  <c r="E40" i="28"/>
  <c r="E39" i="28"/>
  <c r="E38" i="28"/>
  <c r="E37" i="28"/>
  <c r="E36" i="28"/>
  <c r="E35" i="28"/>
  <c r="E34" i="28"/>
  <c r="E33" i="28"/>
  <c r="E32" i="28"/>
  <c r="E31" i="28"/>
  <c r="E30" i="28"/>
  <c r="E29" i="28"/>
  <c r="E28" i="28"/>
  <c r="E42" i="29"/>
  <c r="E41" i="29"/>
  <c r="E40" i="29"/>
  <c r="E39" i="29"/>
  <c r="E38" i="29"/>
  <c r="E37" i="29"/>
  <c r="E36" i="29"/>
  <c r="E35" i="29"/>
  <c r="E34" i="29"/>
  <c r="E33" i="29"/>
  <c r="E32" i="29"/>
  <c r="E31" i="29"/>
  <c r="E30" i="29"/>
  <c r="E29" i="29"/>
  <c r="E28" i="29"/>
  <c r="E10" i="24"/>
  <c r="E9" i="24"/>
  <c r="E8" i="24"/>
  <c r="E7" i="24"/>
  <c r="E6" i="24"/>
  <c r="E5" i="24"/>
  <c r="E4" i="24"/>
  <c r="E3" i="24"/>
  <c r="E10" i="27"/>
  <c r="E9" i="27"/>
  <c r="E8" i="27"/>
  <c r="E7" i="27"/>
  <c r="E6" i="27"/>
  <c r="E5" i="27"/>
  <c r="E4" i="27"/>
  <c r="E3" i="27"/>
  <c r="E10" i="28"/>
  <c r="E9" i="28"/>
  <c r="E8" i="28"/>
  <c r="E7" i="28"/>
  <c r="E6" i="28"/>
  <c r="E5" i="28"/>
  <c r="E4" i="28"/>
  <c r="E3" i="28"/>
  <c r="E10" i="29"/>
  <c r="E9" i="29"/>
  <c r="E8" i="29"/>
  <c r="E7" i="29"/>
  <c r="E6" i="29"/>
  <c r="E5" i="29"/>
  <c r="E4" i="29"/>
  <c r="E3" i="29"/>
  <c r="G82" i="12" l="1"/>
  <c r="F82" i="12"/>
  <c r="D82" i="12"/>
  <c r="C82" i="12"/>
  <c r="B82" i="12"/>
  <c r="O89" i="7"/>
  <c r="I42" i="29"/>
  <c r="I41" i="29"/>
  <c r="I40" i="29"/>
  <c r="I39" i="29"/>
  <c r="I38" i="29"/>
  <c r="I37" i="29"/>
  <c r="I36" i="29"/>
  <c r="I35" i="29"/>
  <c r="I34" i="29"/>
  <c r="I33" i="29"/>
  <c r="I32" i="29"/>
  <c r="I31" i="29"/>
  <c r="I30" i="29"/>
  <c r="I29" i="29"/>
  <c r="G24" i="29"/>
  <c r="G17" i="29"/>
  <c r="G16" i="29"/>
  <c r="G15" i="29"/>
  <c r="G14" i="29"/>
  <c r="I15" i="29" s="1"/>
  <c r="I42" i="28"/>
  <c r="I41" i="28"/>
  <c r="I40" i="28"/>
  <c r="I39" i="28"/>
  <c r="I38" i="28"/>
  <c r="I37" i="28"/>
  <c r="I36" i="28"/>
  <c r="I35" i="28"/>
  <c r="I34" i="28"/>
  <c r="I33" i="28"/>
  <c r="I32" i="28"/>
  <c r="I31" i="28"/>
  <c r="I30" i="28"/>
  <c r="I29" i="28"/>
  <c r="G24" i="28"/>
  <c r="G17" i="28"/>
  <c r="G16" i="28"/>
  <c r="G15" i="28"/>
  <c r="G14" i="28"/>
  <c r="H15" i="28" s="1"/>
  <c r="I42" i="27"/>
  <c r="I41" i="27"/>
  <c r="I40" i="27"/>
  <c r="I39" i="27"/>
  <c r="I38" i="27"/>
  <c r="I37" i="27"/>
  <c r="I36" i="27"/>
  <c r="I35" i="27"/>
  <c r="I34" i="27"/>
  <c r="I33" i="27"/>
  <c r="I32" i="27"/>
  <c r="I31" i="27"/>
  <c r="I30" i="27"/>
  <c r="I29" i="27"/>
  <c r="G24" i="27"/>
  <c r="G17" i="27"/>
  <c r="G16" i="27"/>
  <c r="G15" i="27"/>
  <c r="G14" i="27"/>
  <c r="I15" i="27" s="1"/>
  <c r="I16" i="29" l="1"/>
  <c r="H16" i="28"/>
  <c r="H17" i="28" s="1"/>
  <c r="H15" i="27"/>
  <c r="H16" i="27" s="1"/>
  <c r="H17" i="27" s="1"/>
  <c r="H15" i="29"/>
  <c r="H16" i="29" s="1"/>
  <c r="H17" i="29" s="1"/>
  <c r="I15" i="28"/>
  <c r="I16" i="28" s="1"/>
  <c r="I16" i="27"/>
  <c r="Q107" i="7" l="1"/>
  <c r="P107" i="7"/>
  <c r="O107" i="7"/>
  <c r="Q106" i="7"/>
  <c r="P106" i="7"/>
  <c r="O106" i="7"/>
  <c r="Q105" i="7"/>
  <c r="P105" i="7"/>
  <c r="O105" i="7"/>
  <c r="Q104" i="7"/>
  <c r="P104" i="7"/>
  <c r="O104" i="7"/>
  <c r="Q89" i="7"/>
  <c r="P89" i="7"/>
  <c r="Q87" i="7"/>
  <c r="P87" i="7"/>
  <c r="O87" i="7"/>
  <c r="Q86" i="7"/>
  <c r="P86" i="7"/>
  <c r="O86" i="7"/>
  <c r="Q79" i="7"/>
  <c r="P79" i="7"/>
  <c r="O79" i="7"/>
  <c r="Q76" i="7"/>
  <c r="P76" i="7"/>
  <c r="O76" i="7"/>
  <c r="Q72" i="7"/>
  <c r="P72" i="7"/>
  <c r="O72" i="7"/>
  <c r="Q71" i="7"/>
  <c r="P71" i="7"/>
  <c r="O71" i="7"/>
  <c r="Q67" i="7"/>
  <c r="P67" i="7"/>
  <c r="O67" i="7"/>
  <c r="Q66" i="7"/>
  <c r="P66" i="7"/>
  <c r="O66" i="7"/>
  <c r="Q62" i="7"/>
  <c r="P62" i="7"/>
  <c r="O62" i="7"/>
  <c r="Q57" i="7"/>
  <c r="P57" i="7"/>
  <c r="O57" i="7"/>
  <c r="Q45" i="7"/>
  <c r="P45" i="7"/>
  <c r="O45" i="7"/>
  <c r="Q42" i="7"/>
  <c r="P42" i="7"/>
  <c r="O42" i="7"/>
  <c r="Q39" i="7"/>
  <c r="P39" i="7"/>
  <c r="O39" i="7"/>
  <c r="Q35" i="7"/>
  <c r="P35" i="7"/>
  <c r="O35" i="7"/>
  <c r="Q19" i="7"/>
  <c r="P19" i="7"/>
  <c r="O19" i="7"/>
  <c r="Q18" i="7"/>
  <c r="P18" i="7"/>
  <c r="O18" i="7"/>
  <c r="Q16" i="7"/>
  <c r="P16" i="7"/>
  <c r="O16" i="7"/>
  <c r="Q10" i="7"/>
  <c r="P10" i="7"/>
  <c r="O10" i="7"/>
  <c r="Q9" i="7"/>
  <c r="P9" i="7"/>
  <c r="O9" i="7"/>
  <c r="Q8" i="7"/>
  <c r="P8" i="7"/>
  <c r="O8" i="7"/>
  <c r="Q5" i="7"/>
  <c r="P5" i="7"/>
  <c r="O5" i="7"/>
  <c r="Q3" i="7"/>
  <c r="P3" i="7"/>
  <c r="O3" i="7"/>
  <c r="Q2" i="7"/>
  <c r="P2" i="7"/>
  <c r="O2" i="7"/>
  <c r="N56" i="8"/>
  <c r="M56" i="8"/>
  <c r="L56" i="8"/>
  <c r="N55" i="8"/>
  <c r="M55" i="8"/>
  <c r="L55" i="8"/>
  <c r="N54" i="8"/>
  <c r="M54" i="8"/>
  <c r="L54" i="8"/>
  <c r="N52" i="8"/>
  <c r="M52" i="8"/>
  <c r="L52" i="8"/>
  <c r="N51" i="8"/>
  <c r="M51" i="8"/>
  <c r="L51" i="8"/>
  <c r="N49" i="8"/>
  <c r="M49" i="8"/>
  <c r="L49" i="8"/>
  <c r="N48" i="8"/>
  <c r="M48" i="8"/>
  <c r="L48" i="8"/>
  <c r="N47" i="8"/>
  <c r="M47" i="8"/>
  <c r="L47" i="8"/>
  <c r="N46" i="8"/>
  <c r="M46" i="8"/>
  <c r="L46" i="8"/>
  <c r="N45" i="8"/>
  <c r="M45" i="8"/>
  <c r="L45" i="8"/>
  <c r="N44" i="8"/>
  <c r="M44" i="8"/>
  <c r="L44" i="8"/>
  <c r="N5" i="8"/>
  <c r="M5" i="8"/>
  <c r="L5" i="8"/>
  <c r="N24" i="8"/>
  <c r="M24" i="8"/>
  <c r="L24" i="8"/>
  <c r="N14" i="8"/>
  <c r="M14" i="8"/>
  <c r="L14" i="8"/>
  <c r="I42" i="24" l="1"/>
  <c r="I41" i="24"/>
  <c r="I40" i="24"/>
  <c r="I39" i="24"/>
  <c r="I38" i="24"/>
  <c r="I37" i="24"/>
  <c r="I36" i="24"/>
  <c r="I35" i="24"/>
  <c r="I34" i="24"/>
  <c r="I33" i="24"/>
  <c r="I32" i="24"/>
  <c r="I31" i="24"/>
  <c r="I30" i="24"/>
  <c r="I29" i="24"/>
  <c r="G24" i="24"/>
  <c r="G17" i="24"/>
  <c r="G16" i="24"/>
  <c r="G15" i="24"/>
  <c r="G14" i="24"/>
  <c r="I15" i="24" s="1"/>
  <c r="Q85" i="7"/>
  <c r="P85" i="7"/>
  <c r="O85" i="7"/>
  <c r="I16" i="24" l="1"/>
  <c r="H15" i="24"/>
  <c r="H16" i="24" s="1"/>
  <c r="H17" i="24" s="1"/>
  <c r="H17" i="21" l="1"/>
  <c r="H16" i="21"/>
  <c r="H15" i="21"/>
  <c r="H14" i="21"/>
  <c r="H13" i="21"/>
  <c r="H12" i="21"/>
  <c r="H11" i="21"/>
  <c r="H10" i="21"/>
  <c r="H9" i="21"/>
  <c r="H8" i="21"/>
  <c r="H7" i="21"/>
  <c r="H6" i="21"/>
  <c r="H5" i="21"/>
  <c r="H4" i="21"/>
  <c r="L10" i="8" l="1"/>
  <c r="M10" i="8"/>
  <c r="N10" i="8"/>
  <c r="Q73" i="7"/>
  <c r="P73" i="7"/>
  <c r="O73" i="7"/>
  <c r="O31" i="7"/>
  <c r="P31" i="7"/>
  <c r="Q31" i="7"/>
  <c r="B81" i="12" l="1"/>
  <c r="B80" i="12"/>
  <c r="F79" i="12"/>
  <c r="E79" i="12"/>
  <c r="B79" i="12"/>
  <c r="E1" i="12"/>
  <c r="B1" i="12"/>
  <c r="D125" i="7" l="1"/>
  <c r="D124" i="7"/>
  <c r="D123" i="7"/>
  <c r="M31" i="8"/>
  <c r="P11" i="30"/>
  <c r="O58" i="7"/>
  <c r="L21" i="28"/>
  <c r="P120" i="30"/>
  <c r="R12" i="30"/>
  <c r="P78" i="30"/>
  <c r="G3" i="15"/>
  <c r="G34" i="24"/>
  <c r="Q46" i="30"/>
  <c r="O47" i="7"/>
  <c r="L11" i="24"/>
  <c r="Q32" i="7"/>
  <c r="L20" i="24"/>
  <c r="G40" i="28"/>
  <c r="G29" i="27"/>
  <c r="Q55" i="7"/>
  <c r="N35" i="8"/>
  <c r="L13" i="8"/>
  <c r="N64" i="8"/>
  <c r="M13" i="8"/>
  <c r="L62" i="8"/>
  <c r="L16" i="24"/>
  <c r="G8" i="24"/>
  <c r="P96" i="30"/>
  <c r="L30" i="24"/>
  <c r="L36" i="24"/>
  <c r="R20" i="30"/>
  <c r="O25" i="7"/>
  <c r="O77" i="7"/>
  <c r="G38" i="28"/>
  <c r="P51" i="7"/>
  <c r="O124" i="7"/>
  <c r="Q124" i="30"/>
  <c r="L12" i="27"/>
  <c r="G4" i="24"/>
  <c r="P101" i="7"/>
  <c r="P77" i="7"/>
  <c r="F10" i="21"/>
  <c r="G3" i="27"/>
  <c r="N34" i="8"/>
  <c r="P90" i="7"/>
  <c r="P90" i="30"/>
  <c r="O125" i="7"/>
  <c r="O98" i="7"/>
  <c r="Q29" i="30"/>
  <c r="L35" i="28"/>
  <c r="P36" i="30"/>
  <c r="L22" i="27"/>
  <c r="Q25" i="7"/>
  <c r="G31" i="24"/>
  <c r="G11" i="29"/>
  <c r="M63" i="8"/>
  <c r="Q17" i="7"/>
  <c r="R91" i="30"/>
  <c r="L31" i="24"/>
  <c r="R111" i="30"/>
  <c r="O13" i="7"/>
  <c r="Q118" i="7"/>
  <c r="L9" i="8"/>
  <c r="L32" i="27"/>
  <c r="Q109" i="30"/>
  <c r="Q4" i="30"/>
  <c r="P82" i="7"/>
  <c r="P22" i="30"/>
  <c r="M22" i="8"/>
  <c r="G31" i="29"/>
  <c r="P110" i="30"/>
  <c r="G37" i="29"/>
  <c r="G6" i="27"/>
  <c r="Q80" i="30"/>
  <c r="P124" i="7"/>
  <c r="M4" i="8"/>
  <c r="Q26" i="7"/>
  <c r="O123" i="7"/>
  <c r="N11" i="8"/>
  <c r="G33" i="28"/>
  <c r="M59" i="8"/>
  <c r="G34" i="29"/>
  <c r="L15" i="28"/>
  <c r="M37" i="8"/>
  <c r="Q110" i="7"/>
  <c r="Q112" i="30"/>
  <c r="Q61" i="7"/>
  <c r="P74" i="7"/>
  <c r="P14" i="30"/>
  <c r="G7" i="24"/>
  <c r="Q11" i="7"/>
  <c r="L6" i="27"/>
  <c r="Q4" i="7"/>
  <c r="Q82" i="30"/>
  <c r="R103" i="30"/>
  <c r="Q58" i="7"/>
  <c r="P80" i="7"/>
  <c r="O117" i="7"/>
  <c r="R77" i="30"/>
  <c r="P33" i="30"/>
  <c r="M12" i="8"/>
  <c r="O116" i="7"/>
  <c r="P78" i="7"/>
  <c r="P99" i="7"/>
  <c r="M39" i="8"/>
  <c r="N2" i="8"/>
  <c r="Q41" i="7"/>
  <c r="P81" i="7"/>
  <c r="L29" i="27"/>
  <c r="O17" i="7"/>
  <c r="P32" i="30"/>
  <c r="P93" i="30"/>
  <c r="L32" i="28"/>
  <c r="P103" i="7"/>
  <c r="G42" i="27"/>
  <c r="Q113" i="30"/>
  <c r="Q23" i="7"/>
  <c r="O74" i="7"/>
  <c r="L37" i="24"/>
  <c r="G32" i="29"/>
  <c r="R21" i="30"/>
  <c r="P24" i="30"/>
  <c r="G19" i="28"/>
  <c r="L11" i="27"/>
  <c r="N50" i="8"/>
  <c r="F13" i="21"/>
  <c r="F5" i="21"/>
  <c r="L40" i="24"/>
  <c r="L42" i="24"/>
  <c r="L6" i="28"/>
  <c r="P60" i="7"/>
  <c r="O93" i="7"/>
  <c r="Q20" i="7"/>
  <c r="P112" i="7"/>
  <c r="L30" i="28"/>
  <c r="R95" i="30"/>
  <c r="G8" i="29"/>
  <c r="P44" i="30"/>
  <c r="Q23" i="30"/>
  <c r="P6" i="7"/>
  <c r="L50" i="8"/>
  <c r="P114" i="30"/>
  <c r="O109" i="7"/>
  <c r="L34" i="27"/>
  <c r="F12" i="21"/>
  <c r="Q22" i="30"/>
  <c r="O7" i="7"/>
  <c r="P74" i="30"/>
  <c r="P75" i="7"/>
  <c r="O53" i="7"/>
  <c r="P60" i="30"/>
  <c r="G12" i="27"/>
  <c r="Q97" i="30"/>
  <c r="Q93" i="30"/>
  <c r="P14" i="7"/>
  <c r="P118" i="30"/>
  <c r="O11" i="7"/>
  <c r="Q83" i="30"/>
  <c r="O28" i="7"/>
  <c r="G12" i="28"/>
  <c r="G37" i="24"/>
  <c r="R29" i="30"/>
  <c r="P81" i="30"/>
  <c r="G32" i="24"/>
  <c r="G22" i="27"/>
  <c r="O90" i="7"/>
  <c r="G3" i="29"/>
  <c r="P91" i="7"/>
  <c r="O92" i="7"/>
  <c r="G39" i="28"/>
  <c r="P123" i="7"/>
  <c r="Q61" i="30"/>
  <c r="Q33" i="30"/>
  <c r="L4" i="28"/>
  <c r="Q44" i="30"/>
  <c r="Q102" i="7"/>
  <c r="L63" i="8"/>
  <c r="R44" i="30"/>
  <c r="Q11" i="30"/>
  <c r="O59" i="7"/>
  <c r="Q119" i="7"/>
  <c r="Q52" i="7"/>
  <c r="K15" i="21"/>
  <c r="G9" i="27"/>
  <c r="R83" i="30"/>
  <c r="O36" i="7"/>
  <c r="L65" i="8"/>
  <c r="L17" i="28"/>
  <c r="O81" i="7"/>
  <c r="F8" i="21"/>
  <c r="G35" i="28"/>
  <c r="G20" i="29"/>
  <c r="P23" i="7"/>
  <c r="Q123" i="7"/>
  <c r="G11" i="27"/>
  <c r="P40" i="30"/>
  <c r="G31" i="28"/>
  <c r="N43" i="8"/>
  <c r="Q6" i="30"/>
  <c r="P121" i="30"/>
  <c r="Q12" i="7"/>
  <c r="L40" i="28"/>
  <c r="P12" i="30"/>
  <c r="G5" i="28"/>
  <c r="P30" i="7"/>
  <c r="G3" i="28"/>
  <c r="M33" i="8"/>
  <c r="M6" i="8"/>
  <c r="O112" i="7"/>
  <c r="G12" i="15"/>
  <c r="L20" i="29"/>
  <c r="G11" i="28"/>
  <c r="Q115" i="7"/>
  <c r="L7" i="24"/>
  <c r="N32" i="8"/>
  <c r="O37" i="7"/>
  <c r="L32" i="24"/>
  <c r="P115" i="7"/>
  <c r="N9" i="8"/>
  <c r="L16" i="28"/>
  <c r="Q48" i="7"/>
  <c r="G42" i="24"/>
  <c r="Q91" i="30"/>
  <c r="R30" i="30"/>
  <c r="P44" i="7"/>
  <c r="L13" i="27"/>
  <c r="G28" i="27"/>
  <c r="Q112" i="7"/>
  <c r="Q78" i="7"/>
  <c r="G13" i="28"/>
  <c r="F4" i="21"/>
  <c r="R11" i="30"/>
  <c r="N33" i="8"/>
  <c r="O29" i="7"/>
  <c r="L6" i="8"/>
  <c r="R17" i="30"/>
  <c r="R49" i="30"/>
  <c r="N42" i="8"/>
  <c r="Q103" i="30"/>
  <c r="Q51" i="30"/>
  <c r="P116" i="7"/>
  <c r="P22" i="7"/>
  <c r="G13" i="27"/>
  <c r="O33" i="7"/>
  <c r="R75" i="30"/>
  <c r="M18" i="8"/>
  <c r="K12" i="21"/>
  <c r="M40" i="8"/>
  <c r="L7" i="27"/>
  <c r="P75" i="30"/>
  <c r="O26" i="7"/>
  <c r="L5" i="24"/>
  <c r="G29" i="24"/>
  <c r="P17" i="30"/>
  <c r="N58" i="8"/>
  <c r="P122" i="7"/>
  <c r="N13" i="8"/>
  <c r="O44" i="7"/>
  <c r="G33" i="24"/>
  <c r="Q17" i="30"/>
  <c r="O121" i="7"/>
  <c r="P53" i="7"/>
  <c r="F15" i="21"/>
  <c r="P59" i="7"/>
  <c r="Q41" i="30"/>
  <c r="L39" i="8"/>
  <c r="O24" i="7"/>
  <c r="L39" i="24"/>
  <c r="Q77" i="7"/>
  <c r="Q55" i="30"/>
  <c r="Q90" i="30"/>
  <c r="G23" i="28"/>
  <c r="P99" i="30"/>
  <c r="G10" i="15"/>
  <c r="G19" i="29"/>
  <c r="P94" i="7"/>
  <c r="L35" i="24"/>
  <c r="G42" i="28"/>
  <c r="P41" i="7"/>
  <c r="R119" i="30"/>
  <c r="G30" i="29"/>
  <c r="Q14" i="30"/>
  <c r="G19" i="27"/>
  <c r="R4" i="30"/>
  <c r="M58" i="8"/>
  <c r="O110" i="7"/>
  <c r="Q13" i="7"/>
  <c r="Q94" i="30"/>
  <c r="L18" i="24"/>
  <c r="L36" i="27"/>
  <c r="P26" i="30"/>
  <c r="Q36" i="30"/>
  <c r="O100" i="7"/>
  <c r="O22" i="7"/>
  <c r="Q117" i="7"/>
  <c r="P80" i="30"/>
  <c r="Q14" i="7"/>
  <c r="N36" i="8"/>
  <c r="G9" i="28"/>
  <c r="R6" i="30"/>
  <c r="G32" i="27"/>
  <c r="Q120" i="30"/>
  <c r="Q110" i="30"/>
  <c r="K11" i="21"/>
  <c r="L19" i="29"/>
  <c r="G8" i="15"/>
  <c r="L14" i="29"/>
  <c r="Q117" i="30"/>
  <c r="G18" i="27"/>
  <c r="L17" i="24"/>
  <c r="N59" i="8"/>
  <c r="L40" i="8"/>
  <c r="Q51" i="7"/>
  <c r="O4" i="7"/>
  <c r="Q125" i="30"/>
  <c r="R25" i="30"/>
  <c r="O46" i="7"/>
  <c r="P118" i="7"/>
  <c r="L41" i="28"/>
  <c r="R37" i="30"/>
  <c r="Q20" i="30"/>
  <c r="L41" i="8"/>
  <c r="Q118" i="30"/>
  <c r="Q54" i="30"/>
  <c r="O108" i="7"/>
  <c r="G25" i="24"/>
  <c r="Q33" i="7"/>
  <c r="O56" i="7"/>
  <c r="G41" i="28"/>
  <c r="L42" i="27"/>
  <c r="G9" i="15"/>
  <c r="G18" i="24"/>
  <c r="L10" i="28"/>
  <c r="P108" i="30"/>
  <c r="G39" i="29"/>
  <c r="P98" i="30"/>
  <c r="Q96" i="7"/>
  <c r="P37" i="7"/>
  <c r="Q7" i="30"/>
  <c r="L60" i="8"/>
  <c r="P110" i="7"/>
  <c r="G28" i="28"/>
  <c r="Q50" i="30"/>
  <c r="P59" i="30"/>
  <c r="N40" i="8"/>
  <c r="K4" i="21"/>
  <c r="G36" i="27"/>
  <c r="K5" i="21"/>
  <c r="G9" i="24"/>
  <c r="M35" i="8"/>
  <c r="Q92" i="30"/>
  <c r="P55" i="30"/>
  <c r="Q60" i="30"/>
  <c r="G10" i="28"/>
  <c r="R26" i="30"/>
  <c r="P108" i="7"/>
  <c r="G4" i="27"/>
  <c r="P26" i="7"/>
  <c r="P46" i="7"/>
  <c r="L19" i="28"/>
  <c r="L32" i="29"/>
  <c r="O14" i="7"/>
  <c r="R15" i="30"/>
  <c r="P28" i="7"/>
  <c r="R34" i="30"/>
  <c r="Q25" i="30"/>
  <c r="Q46" i="7"/>
  <c r="N3" i="8"/>
  <c r="M43" i="8"/>
  <c r="G12" i="24"/>
  <c r="O61" i="7"/>
  <c r="G25" i="28"/>
  <c r="L11" i="28"/>
  <c r="L23" i="8"/>
  <c r="P100" i="7"/>
  <c r="R53" i="30"/>
  <c r="R48" i="30"/>
  <c r="L21" i="24"/>
  <c r="P36" i="7"/>
  <c r="L42" i="8"/>
  <c r="P102" i="7"/>
  <c r="O119" i="7"/>
  <c r="L38" i="8"/>
  <c r="G12" i="29"/>
  <c r="F9" i="21"/>
  <c r="O21" i="7"/>
  <c r="P82" i="30"/>
  <c r="O60" i="7"/>
  <c r="L24" i="29"/>
  <c r="G38" i="29"/>
  <c r="R54" i="30"/>
  <c r="R97" i="30"/>
  <c r="G34" i="28"/>
  <c r="R114" i="30"/>
  <c r="M53" i="8"/>
  <c r="P29" i="7"/>
  <c r="P15" i="7"/>
  <c r="P83" i="30"/>
  <c r="G7" i="15"/>
  <c r="L9" i="27"/>
  <c r="L43" i="8"/>
  <c r="P115" i="30"/>
  <c r="M57" i="8"/>
  <c r="G40" i="27"/>
  <c r="L3" i="24"/>
  <c r="P95" i="7"/>
  <c r="Q124" i="7"/>
  <c r="P6" i="30"/>
  <c r="R51" i="30"/>
  <c r="P21" i="7"/>
  <c r="P17" i="7"/>
  <c r="M9" i="8"/>
  <c r="L30" i="27"/>
  <c r="G23" i="29"/>
  <c r="O82" i="7"/>
  <c r="Q99" i="30"/>
  <c r="R122" i="30"/>
  <c r="O43" i="7"/>
  <c r="Q95" i="7"/>
  <c r="L2" i="8"/>
  <c r="R93" i="30"/>
  <c r="G36" i="24"/>
  <c r="Q102" i="30"/>
  <c r="Q58" i="30"/>
  <c r="Q15" i="30"/>
  <c r="Q60" i="7"/>
  <c r="O78" i="7"/>
  <c r="Q49" i="7"/>
  <c r="Q29" i="7"/>
  <c r="P92" i="30"/>
  <c r="L57" i="8"/>
  <c r="P33" i="7"/>
  <c r="R113" i="30"/>
  <c r="L3" i="28"/>
  <c r="L8" i="29"/>
  <c r="R90" i="30"/>
  <c r="G33" i="27"/>
  <c r="P119" i="7"/>
  <c r="P30" i="30"/>
  <c r="G36" i="28"/>
  <c r="N38" i="8"/>
  <c r="Q81" i="30"/>
  <c r="R108" i="30"/>
  <c r="L33" i="8"/>
  <c r="P55" i="7"/>
  <c r="Q115" i="30"/>
  <c r="P25" i="7"/>
  <c r="L8" i="24"/>
  <c r="L29" i="28"/>
  <c r="L10" i="27"/>
  <c r="G13" i="29"/>
  <c r="G42" i="29"/>
  <c r="L42" i="29" s="1"/>
  <c r="Q121" i="30"/>
  <c r="L20" i="28"/>
  <c r="G18" i="28"/>
  <c r="O96" i="7"/>
  <c r="R88" i="30"/>
  <c r="L3" i="27"/>
  <c r="G41" i="27"/>
  <c r="Q43" i="7"/>
  <c r="G20" i="27"/>
  <c r="G40" i="24"/>
  <c r="Q47" i="7"/>
  <c r="P88" i="7"/>
  <c r="L42" i="28"/>
  <c r="Q78" i="30"/>
  <c r="G25" i="29"/>
  <c r="P125" i="30"/>
  <c r="N22" i="8"/>
  <c r="Q114" i="30"/>
  <c r="G40" i="29"/>
  <c r="G30" i="24"/>
  <c r="G22" i="29"/>
  <c r="L16" i="27"/>
  <c r="L7" i="28"/>
  <c r="P13" i="30"/>
  <c r="P58" i="30"/>
  <c r="O27" i="7"/>
  <c r="Q111" i="7"/>
  <c r="P53" i="30"/>
  <c r="L16" i="29"/>
  <c r="M23" i="8"/>
  <c r="Q26" i="30"/>
  <c r="P111" i="7"/>
  <c r="G33" i="29"/>
  <c r="Q100" i="7"/>
  <c r="L5" i="28"/>
  <c r="Q48" i="30"/>
  <c r="L35" i="27"/>
  <c r="Q7" i="7"/>
  <c r="L18" i="28"/>
  <c r="M42" i="8"/>
  <c r="G41" i="29"/>
  <c r="O102" i="7"/>
  <c r="Q93" i="7"/>
  <c r="G4" i="15"/>
  <c r="P121" i="7"/>
  <c r="O41" i="7"/>
  <c r="Q30" i="30"/>
  <c r="P93" i="7"/>
  <c r="L14" i="28"/>
  <c r="G10" i="29"/>
  <c r="Q54" i="7"/>
  <c r="Q22" i="7"/>
  <c r="L32" i="8"/>
  <c r="L39" i="27"/>
  <c r="O48" i="7"/>
  <c r="R43" i="30"/>
  <c r="P98" i="7"/>
  <c r="R98" i="30"/>
  <c r="Q27" i="7"/>
  <c r="Q59" i="30"/>
  <c r="L8" i="27"/>
  <c r="Q53" i="30"/>
  <c r="R96" i="30"/>
  <c r="Q34" i="7"/>
  <c r="N65" i="8"/>
  <c r="N39" i="8"/>
  <c r="P61" i="30"/>
  <c r="L64" i="8"/>
  <c r="G30" i="28"/>
  <c r="Q77" i="30"/>
  <c r="G10" i="24"/>
  <c r="Q120" i="7"/>
  <c r="L17" i="27"/>
  <c r="P41" i="30"/>
  <c r="G3" i="24"/>
  <c r="G21" i="27"/>
  <c r="G7" i="28"/>
  <c r="Q24" i="7"/>
  <c r="O111" i="7"/>
  <c r="L3" i="29"/>
  <c r="N7" i="8"/>
  <c r="Q75" i="7"/>
  <c r="P122" i="30"/>
  <c r="O97" i="7"/>
  <c r="L4" i="8"/>
  <c r="Q114" i="7"/>
  <c r="R117" i="30"/>
  <c r="L34" i="28"/>
  <c r="P96" i="7"/>
  <c r="R115" i="30"/>
  <c r="Q53" i="7"/>
  <c r="Q121" i="7"/>
  <c r="N37" i="8"/>
  <c r="G28" i="24"/>
  <c r="R99" i="30"/>
  <c r="Q113" i="7"/>
  <c r="P25" i="30"/>
  <c r="P15" i="30"/>
  <c r="L15" i="24"/>
  <c r="L39" i="28"/>
  <c r="P125" i="7"/>
  <c r="R101" i="30"/>
  <c r="Q24" i="30"/>
  <c r="O51" i="7"/>
  <c r="G5" i="15"/>
  <c r="P94" i="30"/>
  <c r="P28" i="30"/>
  <c r="O115" i="7"/>
  <c r="R92" i="30"/>
  <c r="P58" i="7"/>
  <c r="L31" i="28"/>
  <c r="P20" i="7"/>
  <c r="L23" i="24"/>
  <c r="Q108" i="30"/>
  <c r="P7" i="30"/>
  <c r="Q116" i="7"/>
  <c r="Q95" i="30"/>
  <c r="P95" i="30"/>
  <c r="L13" i="28"/>
  <c r="R38" i="30"/>
  <c r="L12" i="8"/>
  <c r="F16" i="21"/>
  <c r="G28" i="29"/>
  <c r="L41" i="27"/>
  <c r="L24" i="24"/>
  <c r="R36" i="30"/>
  <c r="P12" i="7"/>
  <c r="K17" i="21"/>
  <c r="L20" i="27"/>
  <c r="P47" i="30"/>
  <c r="O114" i="7"/>
  <c r="M41" i="8"/>
  <c r="G29" i="28"/>
  <c r="M19" i="8"/>
  <c r="L23" i="27"/>
  <c r="G35" i="27"/>
  <c r="O40" i="7"/>
  <c r="O6" i="7"/>
  <c r="O99" i="7"/>
  <c r="G22" i="28"/>
  <c r="L23" i="28"/>
  <c r="R7" i="30"/>
  <c r="L12" i="28"/>
  <c r="P48" i="30"/>
  <c r="G4" i="29"/>
  <c r="R46" i="30"/>
  <c r="G38" i="27"/>
  <c r="L18" i="27"/>
  <c r="L34" i="24"/>
  <c r="O54" i="7"/>
  <c r="P124" i="30"/>
  <c r="P51" i="30"/>
  <c r="M34" i="8"/>
  <c r="L22" i="24"/>
  <c r="L34" i="8"/>
  <c r="Q40" i="7"/>
  <c r="L15" i="27"/>
  <c r="N4" i="8"/>
  <c r="P13" i="7"/>
  <c r="P117" i="30"/>
  <c r="P11" i="7"/>
  <c r="P38" i="30"/>
  <c r="Q38" i="30"/>
  <c r="P113" i="7"/>
  <c r="G11" i="24"/>
  <c r="R116" i="30"/>
  <c r="F3" i="21"/>
  <c r="L12" i="24"/>
  <c r="G29" i="29"/>
  <c r="L29" i="29" s="1"/>
  <c r="G39" i="27"/>
  <c r="P109" i="7"/>
  <c r="P92" i="7"/>
  <c r="L24" i="27"/>
  <c r="R123" i="30"/>
  <c r="L17" i="29"/>
  <c r="L22" i="8"/>
  <c r="O88" i="7"/>
  <c r="R118" i="30"/>
  <c r="Q74" i="30"/>
  <c r="P37" i="30"/>
  <c r="R32" i="30"/>
  <c r="P27" i="30"/>
  <c r="G26" i="27"/>
  <c r="R94" i="30"/>
  <c r="P21" i="30"/>
  <c r="O91" i="7"/>
  <c r="O55" i="7"/>
  <c r="N23" i="8"/>
  <c r="Q43" i="30"/>
  <c r="P49" i="7"/>
  <c r="N8" i="8"/>
  <c r="P54" i="7"/>
  <c r="O95" i="7"/>
  <c r="L8" i="8"/>
  <c r="P7" i="7"/>
  <c r="N18" i="8"/>
  <c r="M32" i="8"/>
  <c r="P120" i="7"/>
  <c r="L22" i="28"/>
  <c r="K7" i="21"/>
  <c r="G8" i="27"/>
  <c r="Q37" i="30"/>
  <c r="G7" i="27"/>
  <c r="R81" i="30"/>
  <c r="Q111" i="30"/>
  <c r="L14" i="24"/>
  <c r="G10" i="27"/>
  <c r="F11" i="21"/>
  <c r="L9" i="24"/>
  <c r="M60" i="8"/>
  <c r="R33" i="30"/>
  <c r="L39" i="29"/>
  <c r="P97" i="7"/>
  <c r="P111" i="30"/>
  <c r="P116" i="30"/>
  <c r="R110" i="30"/>
  <c r="G18" i="29"/>
  <c r="P83" i="7"/>
  <c r="G21" i="24"/>
  <c r="N31" i="8"/>
  <c r="L36" i="8"/>
  <c r="K10" i="21"/>
  <c r="L18" i="8"/>
  <c r="L19" i="8"/>
  <c r="O101" i="7"/>
  <c r="N12" i="8"/>
  <c r="N63" i="8"/>
  <c r="Q100" i="30"/>
  <c r="Q38" i="7"/>
  <c r="G31" i="27"/>
  <c r="Q21" i="30"/>
  <c r="R121" i="30"/>
  <c r="G26" i="24"/>
  <c r="Q80" i="7"/>
  <c r="G9" i="29"/>
  <c r="G5" i="24"/>
  <c r="Q30" i="7"/>
  <c r="R56" i="30"/>
  <c r="G30" i="27"/>
  <c r="P102" i="30"/>
  <c r="G4" i="28"/>
  <c r="N6" i="8"/>
  <c r="F14" i="21"/>
  <c r="R28" i="30"/>
  <c r="L30" i="29"/>
  <c r="L9" i="29"/>
  <c r="L8" i="28"/>
  <c r="Q97" i="7"/>
  <c r="G23" i="24"/>
  <c r="K16" i="21"/>
  <c r="R23" i="30"/>
  <c r="P117" i="7"/>
  <c r="P34" i="30"/>
  <c r="L13" i="24"/>
  <c r="Q82" i="7"/>
  <c r="M2" i="8"/>
  <c r="L18" i="29"/>
  <c r="L19" i="27"/>
  <c r="M36" i="8"/>
  <c r="P27" i="7"/>
  <c r="P34" i="7"/>
  <c r="Q83" i="7"/>
  <c r="N41" i="8"/>
  <c r="P56" i="7"/>
  <c r="Q99" i="7"/>
  <c r="L40" i="27"/>
  <c r="Q27" i="30"/>
  <c r="G39" i="24"/>
  <c r="L24" i="28"/>
  <c r="L59" i="8"/>
  <c r="R52" i="30"/>
  <c r="R59" i="30"/>
  <c r="P20" i="30"/>
  <c r="Q32" i="30"/>
  <c r="P43" i="30"/>
  <c r="Q81" i="7"/>
  <c r="O38" i="7"/>
  <c r="Q13" i="30"/>
  <c r="L21" i="27"/>
  <c r="N53" i="8"/>
  <c r="O103" i="7"/>
  <c r="Q90" i="7"/>
  <c r="L11" i="29"/>
  <c r="F7" i="21"/>
  <c r="Q122" i="30"/>
  <c r="R125" i="30"/>
  <c r="G26" i="28"/>
  <c r="M61" i="8"/>
  <c r="O15" i="7"/>
  <c r="N19" i="8"/>
  <c r="L7" i="8"/>
  <c r="R109" i="30"/>
  <c r="R24" i="30"/>
  <c r="Q50" i="7"/>
  <c r="Q28" i="7"/>
  <c r="L31" i="27"/>
  <c r="P103" i="30"/>
  <c r="Q101" i="30"/>
  <c r="Q44" i="7"/>
  <c r="R47" i="30"/>
  <c r="P123" i="30"/>
  <c r="K9" i="21"/>
  <c r="N57" i="8"/>
  <c r="P23" i="30"/>
  <c r="Q96" i="30"/>
  <c r="Q36" i="7"/>
  <c r="Q119" i="30"/>
  <c r="O94" i="7"/>
  <c r="R55" i="30"/>
  <c r="G32" i="28"/>
  <c r="M7" i="8"/>
  <c r="G23" i="27"/>
  <c r="N61" i="8"/>
  <c r="F6" i="21"/>
  <c r="Q12" i="30"/>
  <c r="Q47" i="30"/>
  <c r="O23" i="7"/>
  <c r="L53" i="8"/>
  <c r="Q28" i="30"/>
  <c r="L37" i="8"/>
  <c r="Q52" i="30"/>
  <c r="R22" i="30"/>
  <c r="Q98" i="7"/>
  <c r="O118" i="7"/>
  <c r="Q75" i="30"/>
  <c r="R80" i="30"/>
  <c r="G6" i="28"/>
  <c r="Q88" i="30"/>
  <c r="G11" i="15"/>
  <c r="M65" i="8"/>
  <c r="Q15" i="7"/>
  <c r="P52" i="30"/>
  <c r="Q103" i="7"/>
  <c r="G36" i="29"/>
  <c r="G5" i="29"/>
  <c r="P109" i="30"/>
  <c r="P48" i="7"/>
  <c r="R27" i="30"/>
  <c r="P88" i="30"/>
  <c r="Q123" i="30"/>
  <c r="G37" i="27"/>
  <c r="G6" i="15"/>
  <c r="G13" i="15"/>
  <c r="G21" i="28"/>
  <c r="N60" i="8"/>
  <c r="O52" i="7"/>
  <c r="L6" i="24"/>
  <c r="Q88" i="7"/>
  <c r="G38" i="24"/>
  <c r="R58" i="30"/>
  <c r="L37" i="29"/>
  <c r="P24" i="7"/>
  <c r="L29" i="24"/>
  <c r="L10" i="24"/>
  <c r="Q92" i="7"/>
  <c r="P56" i="30"/>
  <c r="P54" i="30"/>
  <c r="G37" i="28"/>
  <c r="Q109" i="7"/>
  <c r="P61" i="7"/>
  <c r="Q6" i="7"/>
  <c r="O80" i="7"/>
  <c r="Q74" i="7"/>
  <c r="Q116" i="30"/>
  <c r="P43" i="7"/>
  <c r="L4" i="29"/>
  <c r="L13" i="29"/>
  <c r="L5" i="29"/>
  <c r="Q56" i="30"/>
  <c r="Q49" i="30"/>
  <c r="R14" i="30"/>
  <c r="O120" i="7"/>
  <c r="L58" i="8"/>
  <c r="L41" i="24"/>
  <c r="R102" i="30"/>
  <c r="L4" i="27"/>
  <c r="G5" i="27"/>
  <c r="G8" i="28"/>
  <c r="P32" i="7"/>
  <c r="N62" i="8"/>
  <c r="L10" i="29"/>
  <c r="G20" i="24"/>
  <c r="P101" i="30"/>
  <c r="G35" i="24"/>
  <c r="F17" i="21"/>
  <c r="O75" i="7"/>
  <c r="P77" i="30"/>
  <c r="M3" i="8"/>
  <c r="Q40" i="30"/>
  <c r="O20" i="7"/>
  <c r="M62" i="8"/>
  <c r="K14" i="21"/>
  <c r="M11" i="8"/>
  <c r="L37" i="28"/>
  <c r="P97" i="30"/>
  <c r="O32" i="7"/>
  <c r="P119" i="30"/>
  <c r="L40" i="29"/>
  <c r="L11" i="8"/>
  <c r="G26" i="29"/>
  <c r="R112" i="30"/>
  <c r="P91" i="30"/>
  <c r="L36" i="29"/>
  <c r="Q122" i="7"/>
  <c r="G35" i="29"/>
  <c r="L9" i="28"/>
  <c r="L5" i="27"/>
  <c r="L14" i="27"/>
  <c r="L23" i="29"/>
  <c r="P114" i="7"/>
  <c r="L61" i="8"/>
  <c r="R82" i="30"/>
  <c r="P47" i="7"/>
  <c r="O30" i="7"/>
  <c r="R100" i="30"/>
  <c r="R124" i="30"/>
  <c r="O49" i="7"/>
  <c r="O50" i="7"/>
  <c r="P40" i="7"/>
  <c r="P113" i="30"/>
  <c r="Q101" i="7"/>
  <c r="G20" i="28"/>
  <c r="M50" i="8"/>
  <c r="M38" i="8"/>
  <c r="P52" i="7"/>
  <c r="P4" i="30"/>
  <c r="Q108" i="7"/>
  <c r="P112" i="30"/>
  <c r="L3" i="8"/>
  <c r="L35" i="8"/>
  <c r="R41" i="30"/>
  <c r="Q125" i="7"/>
  <c r="R78" i="30"/>
  <c r="Q21" i="7"/>
  <c r="O83" i="7"/>
  <c r="Q56" i="7"/>
  <c r="Q59" i="7"/>
  <c r="Q91" i="7"/>
  <c r="O34" i="7"/>
  <c r="O122" i="7"/>
  <c r="R60" i="30"/>
  <c r="P29" i="30"/>
  <c r="R40" i="30"/>
  <c r="G41" i="24"/>
  <c r="L37" i="27"/>
  <c r="Q98" i="30"/>
  <c r="P49" i="30"/>
  <c r="L15" i="29"/>
  <c r="G6" i="29"/>
  <c r="L4" i="24"/>
  <c r="G13" i="24"/>
  <c r="P4" i="7"/>
  <c r="L31" i="8"/>
  <c r="G7" i="29"/>
  <c r="P50" i="7"/>
  <c r="R13" i="30"/>
  <c r="R74" i="30"/>
  <c r="P38" i="7"/>
  <c r="P100" i="30"/>
  <c r="G21" i="29"/>
  <c r="P46" i="30"/>
  <c r="L22" i="29"/>
  <c r="G25" i="27"/>
  <c r="Q34" i="30"/>
  <c r="L35" i="29"/>
  <c r="L19" i="24"/>
  <c r="L36" i="28"/>
  <c r="G34" i="27"/>
  <c r="R61" i="30"/>
  <c r="M8" i="8"/>
  <c r="P50" i="30"/>
  <c r="G6" i="24"/>
  <c r="K6" i="21"/>
  <c r="O113" i="7"/>
  <c r="M64" i="8"/>
  <c r="L12" i="29"/>
  <c r="Q37" i="7"/>
  <c r="R120" i="30"/>
  <c r="Q94" i="7"/>
  <c r="G22" i="24"/>
  <c r="G19" i="24"/>
  <c r="R50" i="30"/>
  <c r="O12" i="7"/>
  <c r="L31" i="29"/>
  <c r="L34" i="29"/>
  <c r="L6" i="29"/>
  <c r="L7" i="29"/>
  <c r="L21" i="29"/>
  <c r="H19" i="24" l="1"/>
  <c r="H22" i="24"/>
  <c r="H6" i="24"/>
  <c r="I6" i="24"/>
  <c r="O25" i="27"/>
  <c r="H25" i="27"/>
  <c r="H21" i="29"/>
  <c r="I7" i="29"/>
  <c r="H7" i="29"/>
  <c r="I13" i="24"/>
  <c r="H13" i="24"/>
  <c r="H6" i="29"/>
  <c r="I6" i="29"/>
  <c r="H20" i="28"/>
  <c r="H26" i="29"/>
  <c r="H20" i="24"/>
  <c r="O8" i="28"/>
  <c r="I5" i="27"/>
  <c r="H5" i="27"/>
  <c r="H21" i="28"/>
  <c r="I13" i="15"/>
  <c r="H13" i="15"/>
  <c r="I6" i="15"/>
  <c r="H6" i="15"/>
  <c r="H5" i="29"/>
  <c r="I5" i="29"/>
  <c r="H11" i="15"/>
  <c r="I11" i="15"/>
  <c r="H6" i="28"/>
  <c r="I6" i="28"/>
  <c r="H23" i="27"/>
  <c r="H26" i="28"/>
  <c r="H23" i="24"/>
  <c r="I4" i="28"/>
  <c r="H4" i="28"/>
  <c r="I5" i="24"/>
  <c r="H5" i="24"/>
  <c r="H9" i="29"/>
  <c r="I9" i="29"/>
  <c r="H26" i="24"/>
  <c r="H21" i="24"/>
  <c r="K18" i="29"/>
  <c r="H18" i="29"/>
  <c r="O14" i="29"/>
  <c r="I10" i="27"/>
  <c r="H10" i="27"/>
  <c r="I7" i="27"/>
  <c r="H7" i="27"/>
  <c r="O8" i="27"/>
  <c r="H26" i="27"/>
  <c r="O3" i="21"/>
  <c r="I11" i="24"/>
  <c r="H11" i="24"/>
  <c r="I4" i="29"/>
  <c r="H4" i="29"/>
  <c r="H22" i="28"/>
  <c r="O28" i="29"/>
  <c r="H5" i="15"/>
  <c r="I5" i="15"/>
  <c r="O28" i="24"/>
  <c r="H7" i="28"/>
  <c r="I7" i="28"/>
  <c r="H21" i="27"/>
  <c r="O3" i="24"/>
  <c r="H10" i="24"/>
  <c r="I10" i="24"/>
  <c r="I10" i="29"/>
  <c r="H10" i="29"/>
  <c r="H4" i="15"/>
  <c r="I4" i="15"/>
  <c r="H22" i="29"/>
  <c r="H25" i="29"/>
  <c r="O25" i="29"/>
  <c r="H20" i="27"/>
  <c r="K18" i="28"/>
  <c r="O14" i="28"/>
  <c r="H18" i="28"/>
  <c r="H13" i="29"/>
  <c r="I13" i="29"/>
  <c r="H23" i="29"/>
  <c r="H7" i="15"/>
  <c r="I7" i="15"/>
  <c r="H12" i="29"/>
  <c r="I12" i="29"/>
  <c r="H25" i="28"/>
  <c r="O25" i="28"/>
  <c r="I12" i="24"/>
  <c r="H12" i="24"/>
  <c r="I4" i="27"/>
  <c r="H4" i="27"/>
  <c r="I10" i="28"/>
  <c r="H10" i="28"/>
  <c r="I9" i="24"/>
  <c r="H9" i="24"/>
  <c r="O28" i="28"/>
  <c r="K18" i="24"/>
  <c r="H18" i="24"/>
  <c r="O14" i="24"/>
  <c r="I9" i="15"/>
  <c r="H9" i="15"/>
  <c r="H25" i="24"/>
  <c r="O25" i="24"/>
  <c r="K18" i="27"/>
  <c r="H18" i="27"/>
  <c r="O14" i="27"/>
  <c r="I9" i="28"/>
  <c r="H9" i="28"/>
  <c r="H19" i="27"/>
  <c r="H19" i="29"/>
  <c r="I10" i="15"/>
  <c r="H10" i="15"/>
  <c r="H23" i="28"/>
  <c r="I13" i="27"/>
  <c r="H13" i="27"/>
  <c r="I13" i="28"/>
  <c r="H13" i="28"/>
  <c r="O28" i="27"/>
  <c r="I11" i="28"/>
  <c r="H11" i="28"/>
  <c r="I12" i="15"/>
  <c r="H12" i="15"/>
  <c r="O3" i="28"/>
  <c r="I5" i="28"/>
  <c r="H5" i="28"/>
  <c r="I11" i="27"/>
  <c r="H11" i="27"/>
  <c r="H20" i="29"/>
  <c r="H9" i="27"/>
  <c r="I9" i="27"/>
  <c r="O3" i="29"/>
  <c r="H22" i="27"/>
  <c r="H12" i="28"/>
  <c r="I12" i="28"/>
  <c r="H12" i="27"/>
  <c r="I12" i="27"/>
  <c r="O8" i="29"/>
  <c r="H19" i="28"/>
  <c r="H7" i="24"/>
  <c r="I7" i="24"/>
  <c r="H6" i="27"/>
  <c r="I6" i="27"/>
  <c r="I11" i="29"/>
  <c r="H11" i="29"/>
  <c r="O3" i="27"/>
  <c r="I4" i="24"/>
  <c r="H4" i="24"/>
  <c r="O8" i="24"/>
  <c r="L41" i="2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2" authorId="0" shapeId="0" xr:uid="{B98C3E1C-49B7-4524-BE31-F4123D0B7DE6}">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L3" authorId="0" shapeId="0" xr:uid="{3FDFB054-55EA-4354-9929-9F724C65FD2C}">
      <text>
        <r>
          <rPr>
            <b/>
            <sz val="9"/>
            <color indexed="81"/>
            <rFont val="Tahoma"/>
            <family val="2"/>
          </rPr>
          <t>Shui, Yaxin:</t>
        </r>
        <r>
          <rPr>
            <sz val="9"/>
            <color indexed="81"/>
            <rFont val="Tahoma"/>
            <family val="2"/>
          </rPr>
          <t xml:space="preserve">
Place holder. It is same as MTL-SOC-M GSC</t>
        </r>
      </text>
    </comment>
    <comment ref="A9" authorId="0" shapeId="0" xr:uid="{546B8B4A-465B-4648-B9E0-2ADD6D43B831}">
      <text>
        <r>
          <rPr>
            <b/>
            <sz val="9"/>
            <color indexed="81"/>
            <rFont val="Tahoma"/>
            <family val="2"/>
          </rPr>
          <t>Shui, Yaxin:</t>
        </r>
        <r>
          <rPr>
            <sz val="9"/>
            <color indexed="81"/>
            <rFont val="Tahoma"/>
            <family val="2"/>
          </rPr>
          <t xml:space="preserve">
how we specify the Gkey0/2 fuse is configured to be removed? In this case, arch feature config is configured as "no", its associated logic including fuse bit shall be removed - need further discuss.</t>
        </r>
      </text>
    </comment>
    <comment ref="H9" authorId="0" shapeId="0" xr:uid="{497812FF-4F1A-4A79-B394-2E2B82F5944C}">
      <text>
        <r>
          <rPr>
            <b/>
            <sz val="9"/>
            <color indexed="81"/>
            <rFont val="Tahoma"/>
            <family val="2"/>
          </rPr>
          <t>Shui, Yaxin:</t>
        </r>
        <r>
          <rPr>
            <sz val="9"/>
            <color indexed="81"/>
            <rFont val="Tahoma"/>
            <family val="2"/>
          </rPr>
          <t xml:space="preserve">
GKEY0 and GKEY2 are needed for GSC backup. No need for PCH CSME
CH: use for PUF</t>
        </r>
      </text>
    </comment>
    <comment ref="J9" authorId="0" shapeId="0" xr:uid="{2ADE18D2-D3CC-4346-BD5C-26B98FD84BCF}">
      <text>
        <r>
          <rPr>
            <b/>
            <sz val="9"/>
            <color indexed="81"/>
            <rFont val="Tahoma"/>
            <family val="2"/>
          </rPr>
          <t>Shui, Yaxin:</t>
        </r>
        <r>
          <rPr>
            <sz val="9"/>
            <color indexed="81"/>
            <rFont val="Tahoma"/>
            <family val="2"/>
          </rPr>
          <t xml:space="preserve">
GKEY0 and GKEY2 are needed for SoC GSC backup in SoC CSE. No need for CSME</t>
        </r>
      </text>
    </comment>
    <comment ref="H10" authorId="0" shapeId="0" xr:uid="{DDAF3963-54E7-4AAF-B22C-4761D96AB197}">
      <text>
        <r>
          <rPr>
            <b/>
            <sz val="9"/>
            <color indexed="81"/>
            <rFont val="Tahoma"/>
            <family val="2"/>
          </rPr>
          <t>Shui, Yaxin:</t>
        </r>
        <r>
          <rPr>
            <sz val="9"/>
            <color indexed="81"/>
            <rFont val="Tahoma"/>
            <family val="2"/>
          </rPr>
          <t xml:space="preserve">
GKEY0 and GKEY2 are needed for GSC backup. No need for PCH CSME
CH: use for PUF</t>
        </r>
      </text>
    </comment>
    <comment ref="J10" authorId="0" shapeId="0" xr:uid="{65A77FC3-5A4A-4F95-ADF3-A2B3F5DD68B6}">
      <text>
        <r>
          <rPr>
            <b/>
            <sz val="9"/>
            <color indexed="81"/>
            <rFont val="Tahoma"/>
            <family val="2"/>
          </rPr>
          <t>Shui, Yaxin:</t>
        </r>
        <r>
          <rPr>
            <sz val="9"/>
            <color indexed="81"/>
            <rFont val="Tahoma"/>
            <family val="2"/>
          </rPr>
          <t xml:space="preserve">
GKEY0 and GKEY2 are needed for SoC GSC backup in SoC CSE. No need for CSME</t>
        </r>
      </text>
    </comment>
    <comment ref="H11" authorId="0" shapeId="0" xr:uid="{03649469-935B-4584-A9A1-FF9CBD7EFFDA}">
      <text>
        <r>
          <rPr>
            <b/>
            <sz val="9"/>
            <color indexed="81"/>
            <rFont val="Tahoma"/>
            <family val="2"/>
          </rPr>
          <t>Shui, Yaxin:</t>
        </r>
        <r>
          <rPr>
            <sz val="9"/>
            <color indexed="81"/>
            <rFont val="Tahoma"/>
            <family val="2"/>
          </rPr>
          <t xml:space="preserve">
Key locker support for CSME PCH-S only, not SoC CSE and ESEs</t>
        </r>
      </text>
    </comment>
    <comment ref="H14" authorId="0" shapeId="0" xr:uid="{90E54DD1-ADD7-4C64-B9EC-2B0C190F9D4D}">
      <text>
        <r>
          <rPr>
            <b/>
            <sz val="9"/>
            <color indexed="81"/>
            <rFont val="Tahoma"/>
            <family val="2"/>
          </rPr>
          <t>Shui, Yaxin:</t>
        </r>
        <r>
          <rPr>
            <sz val="9"/>
            <color indexed="81"/>
            <rFont val="Tahoma"/>
            <family val="2"/>
          </rPr>
          <t xml:space="preserve">
It seems the feature is disabled since MTL?</t>
        </r>
      </text>
    </comment>
    <comment ref="H15" authorId="0" shapeId="0" xr:uid="{D0F8D3BD-C425-4CEF-82EC-2C28442FD475}">
      <text>
        <r>
          <rPr>
            <b/>
            <sz val="9"/>
            <color indexed="81"/>
            <rFont val="Tahoma"/>
            <family val="2"/>
          </rPr>
          <t>Shui, Yaxin:</t>
        </r>
        <r>
          <rPr>
            <sz val="9"/>
            <color indexed="81"/>
            <rFont val="Tahoma"/>
            <family val="2"/>
          </rPr>
          <t xml:space="preserve">
Clink parameter. CSME support Clink function</t>
        </r>
      </text>
    </comment>
    <comment ref="I15" authorId="0" shapeId="0" xr:uid="{CCF2B8E2-F3BF-440C-9F2C-B9BD835AD6E6}">
      <text>
        <r>
          <rPr>
            <b/>
            <sz val="9"/>
            <color indexed="81"/>
            <rFont val="Tahoma"/>
            <family val="2"/>
          </rPr>
          <t>Shui, Yaxin:</t>
        </r>
        <r>
          <rPr>
            <sz val="9"/>
            <color indexed="81"/>
            <rFont val="Tahoma"/>
            <family val="2"/>
          </rPr>
          <t xml:space="preserve">
No Clink </t>
        </r>
      </text>
    </comment>
    <comment ref="J15" authorId="0" shapeId="0" xr:uid="{BB43584B-32FB-4BE3-BD56-AB49BBDA82FD}">
      <text>
        <r>
          <rPr>
            <b/>
            <sz val="9"/>
            <color indexed="81"/>
            <rFont val="Tahoma"/>
            <family val="2"/>
          </rPr>
          <t>Shui, Yaxin:</t>
        </r>
        <r>
          <rPr>
            <sz val="9"/>
            <color indexed="81"/>
            <rFont val="Tahoma"/>
            <family val="2"/>
          </rPr>
          <t xml:space="preserve">
No Clink </t>
        </r>
      </text>
    </comment>
    <comment ref="K15" authorId="0" shapeId="0" xr:uid="{AF2B3477-F004-4BC0-8A43-DCFDAD97975B}">
      <text>
        <r>
          <rPr>
            <b/>
            <sz val="9"/>
            <color indexed="81"/>
            <rFont val="Tahoma"/>
            <family val="2"/>
          </rPr>
          <t>Shui, Yaxin:</t>
        </r>
        <r>
          <rPr>
            <sz val="9"/>
            <color indexed="81"/>
            <rFont val="Tahoma"/>
            <family val="2"/>
          </rPr>
          <t xml:space="preserve">
No Clink </t>
        </r>
      </text>
    </comment>
    <comment ref="H16" authorId="0" shapeId="0" xr:uid="{FF875735-36A1-43CE-B38E-832D1C8FC9AB}">
      <text>
        <r>
          <rPr>
            <b/>
            <sz val="9"/>
            <color indexed="81"/>
            <rFont val="Tahoma"/>
            <family val="2"/>
          </rPr>
          <t>Shui, Yaxin:</t>
        </r>
        <r>
          <rPr>
            <sz val="9"/>
            <color indexed="81"/>
            <rFont val="Tahoma"/>
            <family val="2"/>
          </rPr>
          <t xml:space="preserve">
param added for gsc, take default for CSME/CSE/ESE</t>
        </r>
      </text>
    </comment>
    <comment ref="A21" authorId="0" shapeId="0" xr:uid="{D1E9C78E-D511-4F66-8697-17D35105919A}">
      <text>
        <r>
          <rPr>
            <b/>
            <sz val="9"/>
            <color indexed="81"/>
            <rFont val="Tahoma"/>
            <family val="2"/>
          </rPr>
          <t>Shui, Yaxin:</t>
        </r>
        <r>
          <rPr>
            <sz val="9"/>
            <color indexed="81"/>
            <rFont val="Tahoma"/>
            <family val="2"/>
          </rPr>
          <t xml:space="preserve">
parmeter _DIS parity issue. 1:remove or fuse vale to be "1" to disable the feature</t>
        </r>
      </text>
    </comment>
    <comment ref="A22" authorId="0" shapeId="0" xr:uid="{3BA0C372-7221-4E68-8D2D-E8367C3FEA2C}">
      <text>
        <r>
          <rPr>
            <b/>
            <sz val="9"/>
            <color indexed="81"/>
            <rFont val="Tahoma"/>
            <family val="2"/>
          </rPr>
          <t>Shui, Yaxin:</t>
        </r>
        <r>
          <rPr>
            <sz val="9"/>
            <color indexed="81"/>
            <rFont val="Tahoma"/>
            <family val="2"/>
          </rPr>
          <t xml:space="preserve">
could not find the usage in the IFP fuse bit config. </t>
        </r>
      </text>
    </comment>
    <comment ref="H23" authorId="0" shapeId="0" xr:uid="{FF9D7C40-C53D-4F8B-B206-12D23882021C}">
      <text>
        <r>
          <rPr>
            <b/>
            <sz val="9"/>
            <color indexed="81"/>
            <rFont val="Tahoma"/>
            <family val="2"/>
          </rPr>
          <t>Shui, Yaxin:</t>
        </r>
        <r>
          <rPr>
            <sz val="9"/>
            <color indexed="81"/>
            <rFont val="Tahoma"/>
            <family val="2"/>
          </rPr>
          <t xml:space="preserve">
No HSIO support from MTL</t>
        </r>
      </text>
    </comment>
    <comment ref="A30" authorId="0" shapeId="0" xr:uid="{51AA7B27-5BA1-4045-B122-ED3FCB9C6C95}">
      <text>
        <r>
          <rPr>
            <b/>
            <sz val="9"/>
            <color indexed="81"/>
            <rFont val="Tahoma"/>
            <charset val="1"/>
          </rPr>
          <t>Shui, Yaxin:</t>
        </r>
        <r>
          <rPr>
            <sz val="9"/>
            <color indexed="81"/>
            <rFont val="Tahoma"/>
            <charset val="1"/>
          </rPr>
          <t xml:space="preserve">
not sure. It seems paremeter  config and fuse bit config is match 1010 vs {yes, remove, yes, remove} </t>
        </r>
      </text>
    </comment>
    <comment ref="A31" authorId="0" shapeId="0" xr:uid="{E4EE1BDC-0797-448A-8F16-FC96B5E51986}">
      <text>
        <r>
          <rPr>
            <b/>
            <sz val="9"/>
            <color indexed="81"/>
            <rFont val="Tahoma"/>
            <charset val="1"/>
          </rPr>
          <t>Shui, Yaxin:</t>
        </r>
        <r>
          <rPr>
            <sz val="9"/>
            <color indexed="81"/>
            <rFont val="Tahoma"/>
            <charset val="1"/>
          </rPr>
          <t xml:space="preserve">
Parity question?
1: the associated fuse bits are not in use,  
0: in used, 
invert parity from   other parameters ???
Add new parameter as same name as fuse bit IP_SRAM_Zeroing_Bypass_Disable. Paremeter 0/1 paraity issue - remove vs default value to be 1/0</t>
        </r>
      </text>
    </comment>
    <comment ref="H32" authorId="0" shapeId="0" xr:uid="{C32EDEEC-03BA-479F-AA1C-0CD376818BF2}">
      <text>
        <r>
          <rPr>
            <b/>
            <sz val="9"/>
            <color indexed="81"/>
            <rFont val="Tahoma"/>
            <family val="2"/>
          </rPr>
          <t>Shui, Yaxin:</t>
        </r>
        <r>
          <rPr>
            <sz val="9"/>
            <color indexed="81"/>
            <rFont val="Tahoma"/>
            <family val="2"/>
          </rPr>
          <t xml:space="preserve">
ISH is in PCH, not in SOC</t>
        </r>
      </text>
    </comment>
    <comment ref="H34" authorId="0" shapeId="0" xr:uid="{282D9F47-AA1D-46DF-B79B-348ACB24303D}">
      <text>
        <r>
          <rPr>
            <b/>
            <sz val="9"/>
            <color indexed="81"/>
            <rFont val="Tahoma"/>
            <family val="2"/>
          </rPr>
          <t>Shui, Yaxin:</t>
        </r>
        <r>
          <rPr>
            <sz val="9"/>
            <color indexed="81"/>
            <rFont val="Tahoma"/>
            <family val="2"/>
          </rPr>
          <t xml:space="preserve">
??? ADP-S is set to 1. Is it new to set to 0  disenabled starting from  MTL</t>
        </r>
      </text>
    </comment>
    <comment ref="H37" authorId="0" shapeId="0" xr:uid="{10F6A223-06B4-4316-A52F-54C277E9B802}">
      <text>
        <r>
          <rPr>
            <b/>
            <sz val="9"/>
            <color indexed="81"/>
            <rFont val="Tahoma"/>
            <family val="2"/>
          </rPr>
          <t>Shui, Yaxin:</t>
        </r>
        <r>
          <rPr>
            <sz val="9"/>
            <color indexed="81"/>
            <rFont val="Tahoma"/>
            <family val="2"/>
          </rPr>
          <t xml:space="preserve">
Chaitu: use for Server only and TRC</t>
        </r>
      </text>
    </comment>
    <comment ref="H39" authorId="0" shapeId="0" xr:uid="{089C2447-4169-4B78-BD37-5C0CE362A258}">
      <text>
        <r>
          <rPr>
            <b/>
            <sz val="9"/>
            <color indexed="81"/>
            <rFont val="Tahoma"/>
            <family val="2"/>
          </rPr>
          <t>Shui, Yaxin:</t>
        </r>
        <r>
          <rPr>
            <sz val="9"/>
            <color indexed="81"/>
            <rFont val="Tahoma"/>
            <family val="2"/>
          </rPr>
          <t xml:space="preserve">
Chaitu: not needed any more since MTL</t>
        </r>
      </text>
    </comment>
    <comment ref="A45" authorId="1" shapeId="0" xr:uid="{574F4B2A-05A4-436A-B0EE-0991A7629A2F}">
      <text>
        <r>
          <rPr>
            <b/>
            <sz val="9"/>
            <color indexed="81"/>
            <rFont val="Tahoma"/>
            <family val="2"/>
          </rPr>
          <t>Kakeda, Masahide:</t>
        </r>
        <r>
          <rPr>
            <sz val="9"/>
            <color indexed="81"/>
            <rFont val="Tahoma"/>
            <family val="2"/>
          </rPr>
          <t xml:space="preserve">
This parameter can be one only when PARAM_REPAIR_FUSE_SUPPORT_EN is set to 1</t>
        </r>
      </text>
    </comment>
    <comment ref="A48" authorId="1" shapeId="0" xr:uid="{8AC0D48A-97DB-4CF2-8332-535365F43AAA}">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 ref="H49" authorId="0" shapeId="0" xr:uid="{3D44D767-01D7-45C2-A2C4-5E50F701BA70}">
      <text>
        <r>
          <rPr>
            <b/>
            <sz val="9"/>
            <color indexed="81"/>
            <rFont val="Tahoma"/>
            <family val="2"/>
          </rPr>
          <t>Shui, Yaxin:</t>
        </r>
        <r>
          <rPr>
            <sz val="9"/>
            <color indexed="81"/>
            <rFont val="Tahoma"/>
            <family val="2"/>
          </rPr>
          <t xml:space="preserve">
Chaitu: need confirm with ROM team -</t>
        </r>
      </text>
    </comment>
    <comment ref="H50" authorId="0" shapeId="0" xr:uid="{48AC5024-F561-4031-8C5B-D266DE786E41}">
      <text>
        <r>
          <rPr>
            <b/>
            <sz val="9"/>
            <color indexed="81"/>
            <rFont val="Tahoma"/>
            <family val="2"/>
          </rPr>
          <t>Shui, Yaxin:</t>
        </r>
        <r>
          <rPr>
            <sz val="9"/>
            <color indexed="81"/>
            <rFont val="Tahoma"/>
            <family val="2"/>
          </rPr>
          <t xml:space="preserve">
Chaitu: need to confirm from ROM team</t>
        </r>
      </text>
    </comment>
    <comment ref="H52" authorId="0" shapeId="0" xr:uid="{6CE3E1A3-A067-4571-92D0-41164F0B00B2}">
      <text>
        <r>
          <rPr>
            <b/>
            <sz val="9"/>
            <color indexed="81"/>
            <rFont val="Tahoma"/>
            <family val="2"/>
          </rPr>
          <t>Shui, Yaxin:</t>
        </r>
        <r>
          <rPr>
            <sz val="9"/>
            <color indexed="81"/>
            <rFont val="Tahoma"/>
            <family val="2"/>
          </rPr>
          <t xml:space="preserve">
same as ADP-S, BUF</t>
        </r>
      </text>
    </comment>
    <comment ref="A56" authorId="0" shapeId="0" xr:uid="{37110917-A455-42E5-B165-94194A51ABA3}">
      <text>
        <r>
          <rPr>
            <b/>
            <sz val="9"/>
            <color indexed="81"/>
            <rFont val="Tahoma"/>
            <family val="2"/>
          </rPr>
          <t>Shui, Yaxin:</t>
        </r>
        <r>
          <rPr>
            <sz val="9"/>
            <color indexed="81"/>
            <rFont val="Tahoma"/>
            <family val="2"/>
          </rPr>
          <t xml:space="preserve">
DCN for MTL-S to Remove TRC enable configuration.(MTL-M still keep the fuse). How we specify the difference? - Need further discussion
Add a new parameter TRC_GLITCH_DETECTION_ENABLE</t>
        </r>
      </text>
    </comment>
    <comment ref="H57" authorId="0" shapeId="0" xr:uid="{65150318-4DFA-4B96-9B1A-7B5ED4286DFA}">
      <text>
        <r>
          <rPr>
            <b/>
            <sz val="9"/>
            <color indexed="81"/>
            <rFont val="Tahoma"/>
            <family val="2"/>
          </rPr>
          <t>Shui, Yaxin:</t>
        </r>
        <r>
          <rPr>
            <sz val="9"/>
            <color indexed="81"/>
            <rFont val="Tahoma"/>
            <family val="2"/>
          </rPr>
          <t xml:space="preserve">
PCR 14011738652 remove TRC enable (Kept in MTL-S, rejected in MTL-M)</t>
        </r>
      </text>
    </comment>
    <comment ref="A59" authorId="0" shapeId="0" xr:uid="{5F0534FC-3007-447A-A71C-0B9CF8B790C3}">
      <text>
        <r>
          <rPr>
            <b/>
            <sz val="9"/>
            <color indexed="81"/>
            <rFont val="Tahoma"/>
            <charset val="1"/>
          </rPr>
          <t>Shui, Yaxin:</t>
        </r>
        <r>
          <rPr>
            <sz val="9"/>
            <color indexed="81"/>
            <rFont val="Tahoma"/>
            <charset val="1"/>
          </rPr>
          <t xml:space="preserve">
not sure. It seems paremeter  config and fuse bit config is match 1000 vs {yes, no,no,no } </t>
        </r>
      </text>
    </comment>
    <comment ref="H69" authorId="0" shapeId="0" xr:uid="{D02DE5E0-F7AB-4A64-8186-3AEF32B7221A}">
      <text>
        <r>
          <rPr>
            <b/>
            <sz val="9"/>
            <color indexed="81"/>
            <rFont val="Tahoma"/>
            <family val="2"/>
          </rPr>
          <t>Shui, Yaxin:</t>
        </r>
        <r>
          <rPr>
            <sz val="9"/>
            <color indexed="81"/>
            <rFont val="Tahoma"/>
            <family val="2"/>
          </rPr>
          <t xml:space="preserve">
Chaitu : need from FW team</t>
        </r>
      </text>
    </comment>
    <comment ref="H73" authorId="0" shapeId="0" xr:uid="{244641BA-07FC-48BF-8912-D2A9D676F8A1}">
      <text>
        <r>
          <rPr>
            <b/>
            <sz val="9"/>
            <color indexed="81"/>
            <rFont val="Tahoma"/>
            <family val="2"/>
          </rPr>
          <t>Shui, Yaxin:</t>
        </r>
        <r>
          <rPr>
            <sz val="9"/>
            <color indexed="81"/>
            <rFont val="Tahoma"/>
            <family val="2"/>
          </rPr>
          <t xml:space="preserve">
Chaitu: confirm with Kah Meng</t>
        </r>
      </text>
    </comment>
    <comment ref="H77" authorId="0" shapeId="0" xr:uid="{A178FC55-1D38-4AFC-81C9-D584EE0022C2}">
      <text>
        <r>
          <rPr>
            <b/>
            <sz val="9"/>
            <color indexed="81"/>
            <rFont val="Tahoma"/>
            <family val="2"/>
          </rPr>
          <t>Shui, Yaxin:</t>
        </r>
        <r>
          <rPr>
            <sz val="9"/>
            <color indexed="81"/>
            <rFont val="Tahoma"/>
            <family val="2"/>
          </rPr>
          <t xml:space="preserve">
Chaitu: correct but need to review with FW team</t>
        </r>
      </text>
    </comment>
    <comment ref="H80" authorId="0" shapeId="0" xr:uid="{BAD5CE28-926F-438F-9C5B-0F45DB904EB2}">
      <text>
        <r>
          <rPr>
            <b/>
            <sz val="9"/>
            <color indexed="81"/>
            <rFont val="Tahoma"/>
            <family val="2"/>
          </rPr>
          <t>Shui, Yaxin:</t>
        </r>
        <r>
          <rPr>
            <sz val="9"/>
            <color indexed="81"/>
            <rFont val="Tahoma"/>
            <family val="2"/>
          </rPr>
          <t xml:space="preserve">
if Triple redandency is disabled, this need be 0</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C4" authorId="0" shapeId="0" xr:uid="{334B40D9-C6E8-4512-B3FC-958A73835644}">
      <text>
        <r>
          <rPr>
            <b/>
            <sz val="9"/>
            <color indexed="81"/>
            <rFont val="Tahoma"/>
            <family val="2"/>
          </rPr>
          <t>Shui, Yaxin:</t>
        </r>
        <r>
          <rPr>
            <sz val="9"/>
            <color indexed="81"/>
            <rFont val="Tahoma"/>
            <family val="2"/>
          </rPr>
          <t xml:space="preserve">
Virtual fuse must be IntelHVM</t>
        </r>
      </text>
    </comment>
    <comment ref="O29" authorId="0" shapeId="0" xr:uid="{558A507B-4392-4C13-A0EA-631A1E759E33}">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M31" authorId="0" shapeId="0" xr:uid="{97E92D2A-8609-4E15-AC99-212B40594DAB}">
      <text>
        <r>
          <rPr>
            <b/>
            <sz val="9"/>
            <color indexed="81"/>
            <rFont val="Tahoma"/>
            <charset val="1"/>
          </rPr>
          <t>Shui, Yaxin:</t>
        </r>
        <r>
          <rPr>
            <sz val="9"/>
            <color indexed="81"/>
            <rFont val="Tahoma"/>
            <charset val="1"/>
          </rPr>
          <t xml:space="preserve">
name not same as Group1 Page</t>
        </r>
      </text>
    </comment>
    <comment ref="O32" authorId="0" shapeId="0" xr:uid="{1EF9F66C-C6E0-48FC-8BD2-B471D7DD744A}">
      <text>
        <r>
          <rPr>
            <b/>
            <sz val="9"/>
            <color indexed="81"/>
            <rFont val="Tahoma"/>
            <family val="2"/>
          </rPr>
          <t>Shui, Yaxin:</t>
        </r>
        <r>
          <rPr>
            <sz val="9"/>
            <color indexed="81"/>
            <rFont val="Tahoma"/>
            <family val="2"/>
          </rPr>
          <t xml:space="preserve">
yes or replace by GSK_TRC_DIS ?</t>
        </r>
      </text>
    </comment>
    <comment ref="Q54" authorId="0" shapeId="0" xr:uid="{F7940884-9429-4238-A7BA-663A109C3E5F}">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E58" authorId="0" shapeId="0" xr:uid="{AC414B92-F3D6-46A6-9E13-229AA2FD2F17}">
      <text>
        <r>
          <rPr>
            <b/>
            <sz val="9"/>
            <color indexed="81"/>
            <rFont val="Tahoma"/>
            <family val="2"/>
          </rPr>
          <t>Shui, Yaxin:</t>
        </r>
        <r>
          <rPr>
            <sz val="9"/>
            <color indexed="81"/>
            <rFont val="Tahoma"/>
            <family val="2"/>
          </rPr>
          <t xml:space="preserve">
CONFIG_OCS_DISABLE_GKEY2 ??</t>
        </r>
      </text>
    </comment>
    <comment ref="Q58" authorId="0" shapeId="0" xr:uid="{56B8C914-EB34-4EEC-8469-8445753EEAFD}">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E71" authorId="1" shapeId="0" xr:uid="{67E9D13B-0140-497F-9DBD-CE30E5A9EE22}">
      <text>
        <r>
          <rPr>
            <b/>
            <sz val="9"/>
            <color indexed="81"/>
            <rFont val="Tahoma"/>
            <family val="2"/>
          </rPr>
          <t>Kakeda, Masahide:</t>
        </r>
        <r>
          <rPr>
            <sz val="9"/>
            <color indexed="81"/>
            <rFont val="Tahoma"/>
            <family val="2"/>
          </rPr>
          <t xml:space="preserve">
SAMSUNG_PUF_CONFIG_EN and IFWI_LAYOUT_1_5_EN are
mutualy exclusive </t>
        </r>
      </text>
    </comment>
    <comment ref="E72" authorId="1" shapeId="0" xr:uid="{0FE36B6F-528A-42DE-9609-54DC65490721}">
      <text>
        <r>
          <rPr>
            <b/>
            <sz val="9"/>
            <color indexed="81"/>
            <rFont val="Tahoma"/>
            <family val="2"/>
          </rPr>
          <t>Kakeda, Masahide:</t>
        </r>
        <r>
          <rPr>
            <sz val="9"/>
            <color indexed="81"/>
            <rFont val="Tahoma"/>
            <family val="2"/>
          </rPr>
          <t xml:space="preserve">
SAMSUNG_PUF_CONFIG_EN and IFWI_LAYOUT_1_5_EN are
mutualy exclusive </t>
        </r>
      </text>
    </comment>
    <comment ref="E73" authorId="1" shapeId="0" xr:uid="{AEE294DE-347E-424A-B282-3BF04AD190B4}">
      <text>
        <r>
          <rPr>
            <b/>
            <sz val="9"/>
            <color indexed="81"/>
            <rFont val="Tahoma"/>
            <family val="2"/>
          </rPr>
          <t>Kakeda, Masahide:</t>
        </r>
        <r>
          <rPr>
            <sz val="9"/>
            <color indexed="81"/>
            <rFont val="Tahoma"/>
            <family val="2"/>
          </rPr>
          <t xml:space="preserve">
SAMSUNG_PUF_CONFIG_EN and IFWI_LAYOUT_1_5_EN are
mutualy exclusive </t>
        </r>
      </text>
    </comment>
    <comment ref="E74" authorId="1" shapeId="0" xr:uid="{6B6009F5-A7FC-40A8-B8D8-97827C2D91E9}">
      <text>
        <r>
          <rPr>
            <b/>
            <sz val="9"/>
            <color indexed="81"/>
            <rFont val="Tahoma"/>
            <family val="2"/>
          </rPr>
          <t>Kakeda, Masahide:</t>
        </r>
        <r>
          <rPr>
            <sz val="9"/>
            <color indexed="81"/>
            <rFont val="Tahoma"/>
            <family val="2"/>
          </rPr>
          <t xml:space="preserve">
SAMSUNG_PUF_CONFIG_EN and IFWI_LAYOUT_1_5_EN are
mutualy exclusive </t>
        </r>
      </text>
    </comment>
    <comment ref="E75" authorId="1" shapeId="0" xr:uid="{2A685E74-1E92-49C6-BD55-2B90045D3DF5}">
      <text>
        <r>
          <rPr>
            <b/>
            <sz val="9"/>
            <color indexed="81"/>
            <rFont val="Tahoma"/>
            <family val="2"/>
          </rPr>
          <t>Kakeda, Masahide:</t>
        </r>
        <r>
          <rPr>
            <sz val="9"/>
            <color indexed="81"/>
            <rFont val="Tahoma"/>
            <family val="2"/>
          </rPr>
          <t xml:space="preserve">
SAMSUNG_PUF_CONFIG_EN and IFWI_LAYOUT_1_5_EN are
mutualy exclusive </t>
        </r>
      </text>
    </comment>
    <comment ref="E80" authorId="1" shapeId="0" xr:uid="{F306FBE2-4B5B-4EED-8422-C2A97961AF5A}">
      <text>
        <r>
          <rPr>
            <b/>
            <sz val="9"/>
            <color indexed="81"/>
            <rFont val="Tahoma"/>
            <family val="2"/>
          </rPr>
          <t>Kakeda, Masahide:</t>
        </r>
        <r>
          <rPr>
            <sz val="9"/>
            <color indexed="81"/>
            <rFont val="Tahoma"/>
            <family val="2"/>
          </rPr>
          <t xml:space="preserve">
SAMSUNG_PUF_CONFIG_EN and IFWI_LAYOUT_1_5_EN are
mutualy exclusive </t>
        </r>
      </text>
    </comment>
    <comment ref="E82" authorId="1" shapeId="0" xr:uid="{97B0024B-256F-49C1-9582-66C258AD2647}">
      <text>
        <r>
          <rPr>
            <b/>
            <sz val="9"/>
            <color indexed="81"/>
            <rFont val="Tahoma"/>
            <family val="2"/>
          </rPr>
          <t>Kakeda, Masahide:</t>
        </r>
        <r>
          <rPr>
            <sz val="9"/>
            <color indexed="81"/>
            <rFont val="Tahoma"/>
            <family val="2"/>
          </rPr>
          <t xml:space="preserve">
used in EBG</t>
        </r>
      </text>
    </comment>
    <comment ref="E108" authorId="1" shapeId="0" xr:uid="{4642A1C5-C8C0-4C0A-AF35-7B1678D0947E}">
      <text>
        <r>
          <rPr>
            <b/>
            <sz val="9"/>
            <color indexed="81"/>
            <rFont val="Tahoma"/>
            <family val="2"/>
          </rPr>
          <t>Kakeda, Masahide:</t>
        </r>
        <r>
          <rPr>
            <sz val="9"/>
            <color indexed="81"/>
            <rFont val="Tahoma"/>
            <family val="2"/>
          </rPr>
          <t xml:space="preserve">
(1 &lt;&lt; x ) - 1
</t>
        </r>
      </text>
    </comment>
    <comment ref="D118" authorId="0" shapeId="0" xr:uid="{CED80F74-BA29-44A4-A934-962F34855DAC}">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119" authorId="0" shapeId="0" xr:uid="{3A4FD8AC-AA5C-4BB7-BDD1-8303C896FAC0}">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120" authorId="0" shapeId="0" xr:uid="{42ED2D47-AEEE-40D5-BBCC-EAD97BEBD197}">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E127" authorId="1" shapeId="0" xr:uid="{B1066487-AB2F-48F5-9762-44884C5D1D9E}">
      <text>
        <r>
          <rPr>
            <b/>
            <sz val="9"/>
            <color indexed="81"/>
            <rFont val="Tahoma"/>
            <family val="2"/>
          </rPr>
          <t>Kakeda, Masahide:</t>
        </r>
        <r>
          <rPr>
            <sz val="9"/>
            <color indexed="81"/>
            <rFont val="Tahoma"/>
            <family val="2"/>
          </rPr>
          <t xml:space="preserve">
For SPS FW</t>
        </r>
      </text>
    </comment>
    <comment ref="D134" authorId="1" shapeId="0" xr:uid="{58D8E9D7-FCCB-4496-8478-74CF14954DE3}">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
YS: this bit presents in ADP-S and MTL-M CSEM and ESE Kaigen sheet but was strikethrough in Kakeda's Group1 Page, it shall be keep it. need sync-up with Kakeda </t>
        </r>
      </text>
    </comment>
    <comment ref="D136" authorId="1" shapeId="0" xr:uid="{60CD2655-CBA5-48C1-990D-F2F49CADF4E0}">
      <text>
        <r>
          <rPr>
            <b/>
            <sz val="9"/>
            <color indexed="81"/>
            <rFont val="Tahoma"/>
            <family val="2"/>
          </rPr>
          <t>Kakeda, Masahide:</t>
        </r>
        <r>
          <rPr>
            <sz val="9"/>
            <color indexed="81"/>
            <rFont val="Tahoma"/>
            <family val="2"/>
          </rPr>
          <t xml:space="preserve">
Need DCN to add a parameter to configure
YS: this bit presents in ADP-S and MTL-M CSEM and ESE Kaigen sheet but was strikethrough in Kakeda's Group1 Page, it shall be keep it. need sync-up with Kakeda 
</t>
        </r>
      </text>
    </comment>
    <comment ref="D137" authorId="0" shapeId="0" xr:uid="{18EC0162-B4DF-4CA7-8B68-F76E284ADA59}">
      <text>
        <r>
          <rPr>
            <b/>
            <sz val="9"/>
            <color indexed="81"/>
            <rFont val="Tahoma"/>
            <family val="2"/>
          </rPr>
          <t>Shui, Yaxin:</t>
        </r>
        <r>
          <rPr>
            <sz val="9"/>
            <color indexed="81"/>
            <rFont val="Tahoma"/>
            <family val="2"/>
          </rPr>
          <t xml:space="preserve">
this bit RSA_SKIP_DISABLED presents in ADP-S and MTL-M CSME and ESE not used in Kaigen sheet but was strikethrough in Kakeda's Group1 Page, it shall be keep it. need sync-up with Kakeda 
IP_external_ROM_Bypass intented to replace RSA_SKIP_DISABLED in Group1Page, but this bit is not used in Kaigen sheet. need sync-up</t>
        </r>
      </text>
    </comment>
    <comment ref="D139" authorId="1" shapeId="0" xr:uid="{480A8C23-E9BA-467A-9E8F-7001547A4D5C}">
      <text>
        <r>
          <rPr>
            <b/>
            <sz val="9"/>
            <color indexed="81"/>
            <rFont val="Tahoma"/>
            <family val="2"/>
          </rPr>
          <t>Kakeda, Masahide:</t>
        </r>
        <r>
          <rPr>
            <sz val="9"/>
            <color indexed="81"/>
            <rFont val="Tahoma"/>
            <family val="2"/>
          </rPr>
          <t xml:space="preserve">
Need DCN to add a parameter to configure
YS: this bit presents in ADP-S and MTL-M CSEM and ESE Kaigen sheet but was strikethrough in Kakeda's Group1 Page, it shall be keep it. need sync-up with Kakeda </t>
        </r>
      </text>
    </comment>
    <comment ref="J162" authorId="0" shapeId="0" xr:uid="{5B8738A3-3B81-4179-BF1B-ECE7C23E6569}">
      <text>
        <r>
          <rPr>
            <b/>
            <sz val="9"/>
            <color indexed="81"/>
            <rFont val="Tahoma"/>
            <family val="2"/>
          </rPr>
          <t>Shui, Yaxin:</t>
        </r>
        <r>
          <rPr>
            <sz val="9"/>
            <color indexed="81"/>
            <rFont val="Tahoma"/>
            <family val="2"/>
          </rPr>
          <t xml:space="preserve">
same fuse bit, different fuse address starting from MTL-M 
ADP-S 16'h6068
MTL-M 16'h6040</t>
        </r>
      </text>
    </comment>
    <comment ref="J163" authorId="0" shapeId="0" xr:uid="{6C0608E9-03CE-456C-9A12-A273BD021102}">
      <text>
        <r>
          <rPr>
            <b/>
            <sz val="9"/>
            <color indexed="81"/>
            <rFont val="Tahoma"/>
            <family val="2"/>
          </rPr>
          <t>Shui, Yaxin:</t>
        </r>
        <r>
          <rPr>
            <sz val="9"/>
            <color indexed="81"/>
            <rFont val="Tahoma"/>
            <family val="2"/>
          </rPr>
          <t xml:space="preserve">
same fuse bit, different fuse address starting from MTL-M 
ADP-S 16'h6070
MTL-M 16'h6044</t>
        </r>
      </text>
    </comment>
    <comment ref="Q164" authorId="0" shapeId="0" xr:uid="{61FCC22D-1D0B-47C1-9D0B-17DC1188B068}">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D195" authorId="0" shapeId="0" xr:uid="{75CE8E8D-EB4C-4119-A95E-E71A08F5DC1F}">
      <text>
        <r>
          <rPr>
            <b/>
            <sz val="9"/>
            <color indexed="81"/>
            <rFont val="Tahoma"/>
            <family val="2"/>
          </rPr>
          <t>Shui, Yaxin:</t>
        </r>
        <r>
          <rPr>
            <sz val="9"/>
            <color indexed="81"/>
            <rFont val="Tahoma"/>
            <family val="2"/>
          </rPr>
          <t xml:space="preserve">
PCR #: 14011013671
[CSME] RS2 DMA support from CSME to ESE</t>
        </r>
      </text>
    </comment>
    <comment ref="O202" authorId="0" shapeId="0" xr:uid="{09DEF4F1-F168-4631-869A-39914C47C2A6}">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E13A82D-27F5-413D-9B3E-B1E4B57D6D8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E62A2246-1229-483B-8B30-F7FDEB7759B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FC530683-BAFA-4B70-AD3F-040F33C829C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EE66F98-9765-4D67-A06A-F0FCBC222AC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8430E4A3-F10A-46D8-8EC6-EBD83B8C220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57C97ED5-B535-46AE-B902-CC4D4E575D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4F8D5BB8-28C7-437D-ACD4-46A4D134DE7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7B6E0468-29D3-45B8-97D4-2AF092F2314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40A6EA59-2C55-4E3E-96A7-FCD42C60E53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90D9D896-F2E0-451B-8B48-BE519C97983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D20A2725-A3CE-454C-A9BA-5609EB9A506A}">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720929C5-3363-4C3A-9608-6653AAF8C28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C2DD9D0-B215-4A4B-9650-F6D9C158A54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16D2FDB-A2C5-431C-8E72-8E8485F677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70923C95-19D7-497F-9BCF-187CA89B984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5FEF1717-4C72-40E9-865B-57AC9C4CB60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3FB93FA0-D800-4BCA-A094-D731C622B89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3AFBAE50-D738-4E1A-9CA9-ACA5EFE38CD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tc={90309A38-4FF8-4722-80AD-D54B6D8DF2E2}</author>
    <author>Kakeda, Masahide</author>
  </authors>
  <commentList>
    <comment ref="D9" authorId="0" shapeId="0" xr:uid="{90309A38-4FF8-4722-80AD-D54B6D8DF2E2}">
      <text>
        <t>[Threaded comment]
Your version of Excel allows you to read this threaded comment; however, any edits to it will get removed if the file is opened in a newer version of Excel. Learn more: https://go.microsoft.com/fwlink/?linkid=870924
Comment:
    FW_CONFIG_FUSES need to be overwriteen by CSME</t>
      </text>
    </comment>
    <comment ref="H11" authorId="1" shapeId="0" xr:uid="{6C3C97E1-222E-4898-B000-C0C0A67F33B6}">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1" shapeId="0" xr:uid="{E63AE55D-5234-4D0F-875C-BE95DE7B2E2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1" shapeId="0" xr:uid="{FA8C6824-9CC2-4E62-B548-90B8E3E5915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1" shapeId="0" xr:uid="{2AF453F6-06D2-410B-9D74-E6A411BBA27B}">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1" shapeId="0" xr:uid="{134664F0-81FE-41EF-9BA9-C5B5CFB8D12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1" shapeId="0" xr:uid="{A21F80A4-BA84-4B64-A681-3C6A8316CC3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Kakeda, Masahide</author>
    <author>tc={EF198BE6-6E2F-4CC1-B863-D0C9CAD83CAF}</author>
    <author>tc={E735E7BC-1127-4DA9-B026-EED68A469392}</author>
    <author>tc={CB3F87C7-AF47-4CCF-BA96-005C9A70AB0A}</author>
    <author>tc={983B7FEB-9DA6-4A4E-BE49-4A0EFE22131A}</author>
  </authors>
  <commentList>
    <comment ref="H1" authorId="0" shapeId="0" xr:uid="{BCBF05D0-8C3F-4710-85D9-8B13B383A51E}">
      <text>
        <r>
          <rPr>
            <b/>
            <sz val="9"/>
            <color indexed="81"/>
            <rFont val="Tahoma"/>
            <family val="2"/>
          </rPr>
          <t>Kakeda, Masahide:</t>
        </r>
        <r>
          <rPr>
            <sz val="9"/>
            <color indexed="81"/>
            <rFont val="Tahoma"/>
            <family val="2"/>
          </rPr>
          <t xml:space="preserve">
CSE_HW_FW_CFG_FUSE_DEFAULT</t>
        </r>
      </text>
    </comment>
    <comment ref="J1" authorId="0" shapeId="0" xr:uid="{C3653BFF-53CA-4FAD-8491-405296F0E557}">
      <text>
        <r>
          <rPr>
            <b/>
            <sz val="9"/>
            <color indexed="81"/>
            <rFont val="Tahoma"/>
            <family val="2"/>
          </rPr>
          <t>Kakeda, Masahide:</t>
        </r>
        <r>
          <rPr>
            <sz val="9"/>
            <color indexed="81"/>
            <rFont val="Tahoma"/>
            <family val="2"/>
          </rPr>
          <t xml:space="preserve">
GROUP1_FUSE_DEFAULT_PARAM</t>
        </r>
      </text>
    </comment>
    <comment ref="B21" authorId="0" shapeId="0" xr:uid="{9EA4E712-B645-4B6B-B07B-F543BAF9E1DD}">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282E450D-C455-445A-85F9-A6B812589646}">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660664CA-31B6-4D65-9B3D-29E4FAD5F1C8}">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2B20921D-879B-4604-B7F5-E5FCB200E050}">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9A496970-9641-4CD7-BF93-73BE74EAEB30}">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7D4BD8A-5DB1-4762-9464-FA146A8F47F9}">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4BFD18D3-1E6B-4853-A48D-47E40F49A6E4}">
      <text>
        <r>
          <rPr>
            <b/>
            <sz val="9"/>
            <color indexed="81"/>
            <rFont val="Tahoma"/>
            <family val="2"/>
          </rPr>
          <t>Kakeda, Masahide:</t>
        </r>
        <r>
          <rPr>
            <sz val="9"/>
            <color indexed="81"/>
            <rFont val="Tahoma"/>
            <family val="2"/>
          </rPr>
          <t xml:space="preserve">
used in EBG</t>
        </r>
      </text>
    </comment>
    <comment ref="B58" authorId="0" shapeId="0" xr:uid="{0F549B5A-C20C-4711-A25F-202FAD9C6542}">
      <text>
        <r>
          <rPr>
            <b/>
            <sz val="9"/>
            <color indexed="81"/>
            <rFont val="Tahoma"/>
            <family val="2"/>
          </rPr>
          <t>Kakeda, Masahide:</t>
        </r>
        <r>
          <rPr>
            <sz val="9"/>
            <color indexed="81"/>
            <rFont val="Tahoma"/>
            <family val="2"/>
          </rPr>
          <t xml:space="preserve">
(1 &lt;&lt; x ) - 1
</t>
        </r>
      </text>
    </comment>
    <comment ref="L58" authorId="1" shapeId="0" xr:uid="{EF198BE6-6E2F-4CC1-B863-D0C9CAD83CAF}">
      <text>
        <t>[Threaded comment]
Your version of Excel allows you to read this threaded comment; however, any edits to it will get removed if the file is opened in a newer version of Excel. Learn more: https://go.microsoft.com/fwlink/?linkid=870924
Comment:
    SRAM bank PG is not controlled by FW</t>
      </text>
    </comment>
    <comment ref="E61" authorId="0" shapeId="0" xr:uid="{900E7657-6983-4132-B478-79AA499F47E2}">
      <text>
        <r>
          <rPr>
            <b/>
            <sz val="9"/>
            <color indexed="81"/>
            <rFont val="Tahoma"/>
            <family val="2"/>
          </rPr>
          <t>Kakeda, Masahide:</t>
        </r>
        <r>
          <rPr>
            <sz val="9"/>
            <color indexed="81"/>
            <rFont val="Tahoma"/>
            <family val="2"/>
          </rPr>
          <t xml:space="preserve">
Added on Mar. 9, 2020
Due to the DCN of GSC</t>
        </r>
      </text>
    </comment>
    <comment ref="E68" authorId="2" shapeId="0" xr:uid="{E735E7BC-1127-4DA9-B026-EED68A469392}">
      <text>
        <t>[Threaded comment]
Your version of Excel allows you to read this threaded comment; however, any edits to it will get removed if the file is opened in a newer version of Excel. Learn more: https://go.microsoft.com/fwlink/?linkid=870924
Comment:
    Keep the fuses are disabled for GSC even though there is no parameter</t>
      </text>
    </comment>
    <comment ref="L76" authorId="3" shapeId="0" xr:uid="{CB3F87C7-AF47-4CCF-BA96-005C9A70AB0A}">
      <text>
        <t>[Threaded comment]
Your version of Excel allows you to read this threaded comment; however, any edits to it will get removed if the file is opened in a newer version of Excel. Learn more: https://go.microsoft.com/fwlink/?linkid=870924
Comment:
    GSC does not need FIPS compliance</t>
      </text>
    </comment>
    <comment ref="B77" authorId="0" shapeId="0" xr:uid="{A97D02FD-BA9C-4463-A190-C517045DED27}">
      <text>
        <r>
          <rPr>
            <b/>
            <sz val="9"/>
            <color indexed="81"/>
            <rFont val="Tahoma"/>
            <family val="2"/>
          </rPr>
          <t>Kakeda, Masahide:</t>
        </r>
        <r>
          <rPr>
            <sz val="9"/>
            <color indexed="81"/>
            <rFont val="Tahoma"/>
            <family val="2"/>
          </rPr>
          <t xml:space="preserve">
For SPS FW</t>
        </r>
      </text>
    </comment>
    <comment ref="F84" authorId="0" shapeId="0" xr:uid="{35BC6972-CA90-4B0F-B480-40671FF02536}">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F86" authorId="0" shapeId="0" xr:uid="{257ACF6D-B120-4463-BBE1-963738F70042}">
      <text>
        <r>
          <rPr>
            <b/>
            <sz val="9"/>
            <color indexed="81"/>
            <rFont val="Tahoma"/>
            <family val="2"/>
          </rPr>
          <t>Kakeda, Masahide:</t>
        </r>
        <r>
          <rPr>
            <sz val="9"/>
            <color indexed="81"/>
            <rFont val="Tahoma"/>
            <family val="2"/>
          </rPr>
          <t xml:space="preserve">
Need DCN to add a parameter to configure
</t>
        </r>
      </text>
    </comment>
    <comment ref="E87" authorId="4" shapeId="0" xr:uid="{983B7FEB-9DA6-4A4E-BE49-4A0EFE22131A}">
      <text>
        <t>[Threaded comment]
Your version of Excel allows you to read this threaded comment; however, any edits to it will get removed if the file is opened in a newer version of Excel. Learn more: https://go.microsoft.com/fwlink/?linkid=870924
Comment:
    keep the same name as 0.5 drop</t>
      </text>
    </comment>
    <comment ref="F89" authorId="0" shapeId="0" xr:uid="{A6F95DAF-6C3B-4610-8C7E-60250EBD3D3C}">
      <text>
        <r>
          <rPr>
            <b/>
            <sz val="9"/>
            <color indexed="81"/>
            <rFont val="Tahoma"/>
            <family val="2"/>
          </rPr>
          <t>Kakeda, Masahide:</t>
        </r>
        <r>
          <rPr>
            <sz val="9"/>
            <color indexed="81"/>
            <rFont val="Tahoma"/>
            <family val="2"/>
          </rPr>
          <t xml:space="preserve">
Need DCN to add a parameter to configure</t>
        </r>
      </text>
    </comment>
    <comment ref="L128" authorId="0" shapeId="0" xr:uid="{DC9A9DAB-7E66-4851-B291-47E395FB3E20}">
      <text>
        <r>
          <rPr>
            <b/>
            <sz val="9"/>
            <color indexed="81"/>
            <rFont val="Tahoma"/>
            <family val="2"/>
          </rPr>
          <t>Kakeda, Masahide:</t>
        </r>
        <r>
          <rPr>
            <sz val="9"/>
            <color indexed="81"/>
            <rFont val="Tahoma"/>
            <family val="2"/>
          </rPr>
          <t xml:space="preserve">
This is common attribute
to any generation.</t>
        </r>
      </text>
    </comment>
    <comment ref="L129" authorId="0" shapeId="0" xr:uid="{7FB1C8C6-86CF-414D-B472-218A32622298}">
      <text>
        <r>
          <rPr>
            <b/>
            <sz val="9"/>
            <color indexed="81"/>
            <rFont val="Tahoma"/>
            <family val="2"/>
          </rPr>
          <t>Kakeda, Masahide:</t>
        </r>
        <r>
          <rPr>
            <sz val="9"/>
            <color indexed="81"/>
            <rFont val="Tahoma"/>
            <family val="2"/>
          </rPr>
          <t xml:space="preserve">
This color font is applicable only in ESE.</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EB2C9978-4CC2-4256-8B98-C6BA8BBFBD09}">
      <text>
        <r>
          <rPr>
            <b/>
            <sz val="9"/>
            <color indexed="81"/>
            <rFont val="Tahoma"/>
            <family val="2"/>
          </rPr>
          <t>Kakeda, Masahide:</t>
        </r>
        <r>
          <rPr>
            <sz val="9"/>
            <color indexed="81"/>
            <rFont val="Tahoma"/>
            <family val="2"/>
          </rPr>
          <t xml:space="preserve">
CSE_HW_FW_CFG_FUSE_DEFAULT</t>
        </r>
      </text>
    </comment>
    <comment ref="I1" authorId="0" shapeId="0" xr:uid="{580EE9CF-677A-49E6-8C05-2300CAB3C6D8}">
      <text>
        <r>
          <rPr>
            <b/>
            <sz val="9"/>
            <color indexed="81"/>
            <rFont val="Tahoma"/>
            <family val="2"/>
          </rPr>
          <t>Kakeda, Masahide:</t>
        </r>
        <r>
          <rPr>
            <sz val="9"/>
            <color indexed="81"/>
            <rFont val="Tahoma"/>
            <family val="2"/>
          </rPr>
          <t xml:space="preserve">
GROUP1_FUSE_DEFAULT_PARAM</t>
        </r>
      </text>
    </comment>
    <comment ref="B21" authorId="0" shapeId="0" xr:uid="{09F1297B-1D6E-47DB-91FA-99E50434FD68}">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4DE446ED-8EDA-439A-B561-9F40A724718A}">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4FB18237-10E5-4939-A33D-73FE4F472764}">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B65B466B-D7B5-4E8A-A989-4D99BF644B9C}">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492653B8-1ABD-418B-A7DF-3FD45F2BB4CE}">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FB738D8-5FB5-4BA9-9F76-B51190CE80AC}">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CF01A31B-5D5C-4F30-8DAB-56701185D635}">
      <text>
        <r>
          <rPr>
            <b/>
            <sz val="9"/>
            <color indexed="81"/>
            <rFont val="Tahoma"/>
            <family val="2"/>
          </rPr>
          <t>Kakeda, Masahide:</t>
        </r>
        <r>
          <rPr>
            <sz val="9"/>
            <color indexed="81"/>
            <rFont val="Tahoma"/>
            <family val="2"/>
          </rPr>
          <t xml:space="preserve">
used in EBG</t>
        </r>
      </text>
    </comment>
    <comment ref="B58" authorId="0" shapeId="0" xr:uid="{DEDAA4DA-041A-46F5-906F-F5C22201685B}">
      <text>
        <r>
          <rPr>
            <b/>
            <sz val="9"/>
            <color indexed="81"/>
            <rFont val="Tahoma"/>
            <family val="2"/>
          </rPr>
          <t>Kakeda, Masahide:</t>
        </r>
        <r>
          <rPr>
            <sz val="9"/>
            <color indexed="81"/>
            <rFont val="Tahoma"/>
            <family val="2"/>
          </rPr>
          <t xml:space="preserve">
(1 &lt;&lt; x ) - 1
</t>
        </r>
      </text>
    </comment>
    <comment ref="B77" authorId="0" shapeId="0" xr:uid="{5C8F5CC8-D378-4F3B-B107-68E8A49571AE}">
      <text>
        <r>
          <rPr>
            <b/>
            <sz val="9"/>
            <color indexed="81"/>
            <rFont val="Tahoma"/>
            <family val="2"/>
          </rPr>
          <t>Kakeda, Masahide:</t>
        </r>
        <r>
          <rPr>
            <sz val="9"/>
            <color indexed="81"/>
            <rFont val="Tahoma"/>
            <family val="2"/>
          </rPr>
          <t xml:space="preserve">
For SPS FW</t>
        </r>
      </text>
    </comment>
    <comment ref="E84" authorId="0" shapeId="0" xr:uid="{198DBD84-CAA6-49CA-A097-0F60B5D4DAB0}">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E86" authorId="0" shapeId="0" xr:uid="{3084D3D5-3CD5-489C-AE76-04238EC8138E}">
      <text>
        <r>
          <rPr>
            <b/>
            <sz val="9"/>
            <color indexed="81"/>
            <rFont val="Tahoma"/>
            <family val="2"/>
          </rPr>
          <t>Kakeda, Masahide:</t>
        </r>
        <r>
          <rPr>
            <sz val="9"/>
            <color indexed="81"/>
            <rFont val="Tahoma"/>
            <family val="2"/>
          </rPr>
          <t xml:space="preserve">
Need DCN to add a parameter to configure
</t>
        </r>
      </text>
    </comment>
    <comment ref="E89" authorId="0" shapeId="0" xr:uid="{E44ECA6E-1F45-49A6-B8B7-D646510A3C29}">
      <text>
        <r>
          <rPr>
            <b/>
            <sz val="9"/>
            <color indexed="81"/>
            <rFont val="Tahoma"/>
            <family val="2"/>
          </rPr>
          <t>Kakeda, Masahide:</t>
        </r>
        <r>
          <rPr>
            <sz val="9"/>
            <color indexed="81"/>
            <rFont val="Tahoma"/>
            <family val="2"/>
          </rPr>
          <t xml:space="preserve">
Need DCN to add a parameter to configure</t>
        </r>
      </text>
    </comment>
    <comment ref="K128" authorId="0" shapeId="0" xr:uid="{0329E86D-903E-49A6-9377-9056A4C5A9E0}">
      <text>
        <r>
          <rPr>
            <b/>
            <sz val="9"/>
            <color indexed="81"/>
            <rFont val="Tahoma"/>
            <family val="2"/>
          </rPr>
          <t>Kakeda, Masahide:</t>
        </r>
        <r>
          <rPr>
            <sz val="9"/>
            <color indexed="81"/>
            <rFont val="Tahoma"/>
            <family val="2"/>
          </rPr>
          <t xml:space="preserve">
This is common attribute
to any generation.</t>
        </r>
      </text>
    </comment>
    <comment ref="K129" authorId="0" shapeId="0" xr:uid="{6EE1C261-5CBF-44FD-AC97-C12462B5C80E}">
      <text>
        <r>
          <rPr>
            <b/>
            <sz val="9"/>
            <color indexed="81"/>
            <rFont val="Tahoma"/>
            <family val="2"/>
          </rPr>
          <t>Kakeda, Masahide:</t>
        </r>
        <r>
          <rPr>
            <sz val="9"/>
            <color indexed="81"/>
            <rFont val="Tahoma"/>
            <family val="2"/>
          </rPr>
          <t xml:space="preserve">
This color font is applicable only in ESE.</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C142ED9C-A746-43D9-9C5B-9B437E3B04F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5249373-EB25-4C75-817F-34C53FB6C7D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1671581C-82BB-4F27-B6D4-B78465B5CE2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924E454-9881-4A18-A5F0-CB82AD1DE1E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C8C31F17-FABD-43AE-A01C-E1BE7B635CF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2688115D-97A0-451B-977C-3AA952E833D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02A9A3B4-6620-4F40-9B67-2101F4E0B453}">
      <text>
        <r>
          <rPr>
            <b/>
            <sz val="9"/>
            <color indexed="81"/>
            <rFont val="Tahoma"/>
            <family val="2"/>
          </rPr>
          <t>Kakeda, Masahide:</t>
        </r>
        <r>
          <rPr>
            <sz val="9"/>
            <color indexed="81"/>
            <rFont val="Tahoma"/>
            <family val="2"/>
          </rPr>
          <t xml:space="preserve">
Same as Default (column)
STRAPS_DEFAULT_PARAM[63:0]</t>
        </r>
      </text>
    </comment>
    <comment ref="H1" authorId="0" shapeId="0" xr:uid="{A7425457-F5D2-44DF-A20F-D82646B2A232}">
      <text>
        <r>
          <rPr>
            <b/>
            <sz val="9"/>
            <color indexed="81"/>
            <rFont val="Tahoma"/>
            <family val="2"/>
          </rPr>
          <t>Kakeda, Masahide:</t>
        </r>
        <r>
          <rPr>
            <sz val="9"/>
            <color indexed="81"/>
            <rFont val="Tahoma"/>
            <family val="2"/>
          </rPr>
          <t xml:space="preserve">
STRAPS_DEFAULT_PARAM</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B36" authorId="0" shapeId="0" xr:uid="{F864AB8C-B999-4666-883B-D24A161E59D5}">
      <text>
        <r>
          <rPr>
            <b/>
            <sz val="9"/>
            <color indexed="81"/>
            <rFont val="Tahoma"/>
            <family val="2"/>
          </rPr>
          <t>Kakeda, Masahide:</t>
        </r>
        <r>
          <rPr>
            <sz val="9"/>
            <color indexed="81"/>
            <rFont val="Tahoma"/>
            <family val="2"/>
          </rPr>
          <t xml:space="preserve">
//               FIFO Data Format:
//               Bits     Field
//               [   30]  No Data Entry
//               [   29]  Error
//               [   28]  Done/End of Message
//               [27:25]  Tag/Request Type
//               [   24]  Byte Enable
//               [23: 8]  Address
//               [ 7: 0]  Data/Error Code</t>
        </r>
      </text>
    </comment>
  </commentList>
</comments>
</file>

<file path=xl/sharedStrings.xml><?xml version="1.0" encoding="utf-8"?>
<sst xmlns="http://schemas.openxmlformats.org/spreadsheetml/2006/main" count="7322" uniqueCount="1538">
  <si>
    <t>Fuse Category</t>
  </si>
  <si>
    <t>Fuse name</t>
  </si>
  <si>
    <t>Attributes (BOD=True, others=False)</t>
  </si>
  <si>
    <t>Groups</t>
  </si>
  <si>
    <t>data size</t>
  </si>
  <si>
    <t>Receiver Addr</t>
  </si>
  <si>
    <t>GSK Addr</t>
  </si>
  <si>
    <t>Trigger to pull</t>
  </si>
  <si>
    <t>Address</t>
  </si>
  <si>
    <t>ESE Security Key Fuses</t>
  </si>
  <si>
    <r>
      <rPr>
        <sz val="11"/>
        <color rgb="FFFF0000"/>
        <rFont val="Calibri"/>
        <family val="2"/>
        <scheme val="minor"/>
      </rPr>
      <t>BOD</t>
    </r>
    <r>
      <rPr>
        <sz val="11"/>
        <color theme="1"/>
        <rFont val="Calibri"/>
        <family val="2"/>
        <scheme val="minor"/>
      </rPr>
      <t>, JtagRd, JtagWr, SBRd, SBWr</t>
    </r>
  </si>
  <si>
    <t>Group 3</t>
  </si>
  <si>
    <t>0x6000</t>
  </si>
  <si>
    <t>0xF00B0000</t>
  </si>
  <si>
    <t>0xF00B0100</t>
  </si>
  <si>
    <t>JtagRd, JtagWr, SBRd, SBWr</t>
  </si>
  <si>
    <t>ECC_P384_ONDIE_ROM_CERT</t>
  </si>
  <si>
    <t>JtagWr, SBWr</t>
  </si>
  <si>
    <t>Group 2</t>
  </si>
  <si>
    <t>0xF00B0400</t>
  </si>
  <si>
    <t>0xF00B010C</t>
  </si>
  <si>
    <t>HW_OCS_PUF_ECC</t>
  </si>
  <si>
    <t>GENERAL_FW_FUSES_CHECK</t>
  </si>
  <si>
    <t>Configuration Fuses</t>
  </si>
  <si>
    <t>GSK_FUSE_LO</t>
  </si>
  <si>
    <t>See Group1 sheet</t>
  </si>
  <si>
    <t>Group 1</t>
  </si>
  <si>
    <t>0x2000</t>
  </si>
  <si>
    <t>0xF00B0200</t>
  </si>
  <si>
    <t>0xF00B0104</t>
  </si>
  <si>
    <t>GSK_FUSE_MID</t>
  </si>
  <si>
    <t>GSK_FUSE_HI</t>
  </si>
  <si>
    <t>GSK_FUSES_HW_CFG</t>
  </si>
  <si>
    <t>0xF00B0224</t>
  </si>
  <si>
    <t>GSK_FUSES_TRC_CONFIG</t>
  </si>
  <si>
    <t>0xF00B0230</t>
  </si>
  <si>
    <t>GSK_SPARE_FUSES_HW_CFG</t>
  </si>
  <si>
    <t>0xF00B0228</t>
  </si>
  <si>
    <t>GSK_FUSES_INTCHK</t>
  </si>
  <si>
    <t>0x27FC</t>
  </si>
  <si>
    <t>0xF00B02FC</t>
  </si>
  <si>
    <t>Configuiration SoftStrap</t>
  </si>
  <si>
    <t>GSK_STRAPS</t>
  </si>
  <si>
    <t>See Softstrap Sheet</t>
  </si>
  <si>
    <t>Softstrap</t>
  </si>
  <si>
    <t>0xF00B020C</t>
  </si>
  <si>
    <t>GSK_HW_STRAP</t>
  </si>
  <si>
    <t>0xF00B0170</t>
  </si>
  <si>
    <t>N/A</t>
  </si>
  <si>
    <t>IFP Configuration Fuse</t>
  </si>
  <si>
    <t>IFP1</t>
  </si>
  <si>
    <t>0x0000</t>
  </si>
  <si>
    <t>GSK_OEM_IFP_CONFIG</t>
  </si>
  <si>
    <t>0x0040</t>
  </si>
  <si>
    <t>GSK_TRC_DIS</t>
  </si>
  <si>
    <t>0x0044</t>
  </si>
  <si>
    <t>0x0100</t>
  </si>
  <si>
    <t>Registers</t>
  </si>
  <si>
    <t>Parameter Name</t>
  </si>
  <si>
    <t>Enabled (1)</t>
  </si>
  <si>
    <t>Disabled (0)</t>
  </si>
  <si>
    <t>Attributes</t>
  </si>
  <si>
    <t>Usage</t>
  </si>
  <si>
    <t>GSK_FUSES_LO</t>
  </si>
  <si>
    <t>Security_Debug_Disable</t>
  </si>
  <si>
    <t>IP_Cfg_Fuse_0</t>
  </si>
  <si>
    <t>HW</t>
  </si>
  <si>
    <t>ROM_Bypass_Disable</t>
  </si>
  <si>
    <t>IP_Cfg_Fuse_1</t>
  </si>
  <si>
    <t>HW, ROM</t>
  </si>
  <si>
    <t>CONFIG_OCS_DISABLE_GKEY0</t>
  </si>
  <si>
    <t>Testmode_G0_Key_Disable</t>
  </si>
  <si>
    <t>IP_Cfg_Fuse_2</t>
  </si>
  <si>
    <t>Testmode_G1_Key_Disable</t>
  </si>
  <si>
    <t>IP_Cfg_Fuse_3</t>
  </si>
  <si>
    <t>Platform_Halt_En</t>
  </si>
  <si>
    <t>Platform_Halt_Enable</t>
  </si>
  <si>
    <t>IP_Cfg_Fuse_4</t>
  </si>
  <si>
    <t>ROM?</t>
  </si>
  <si>
    <t>Platform_Halt_Policy_In_IFP</t>
  </si>
  <si>
    <t>IP_Cfg_Fuse_5</t>
  </si>
  <si>
    <t>Testmode_G2_Key_Disable</t>
  </si>
  <si>
    <t>IP_Cfg_Fuse_6</t>
  </si>
  <si>
    <t>IP_SRAM_Zeroing_Bypass_Disable</t>
  </si>
  <si>
    <t>IP_Cfg_Fuse_7</t>
  </si>
  <si>
    <t>ROM_Tracing_Hard_Disable</t>
  </si>
  <si>
    <t>IP_Cfg_Fuse_8</t>
  </si>
  <si>
    <t>ROM</t>
  </si>
  <si>
    <t>IP_Cfg_Fuse_9</t>
  </si>
  <si>
    <t>IP_DNX_Disable</t>
  </si>
  <si>
    <t>IP_Cfg_Fuse_10</t>
  </si>
  <si>
    <t>ROMB_OEM_Unlock</t>
  </si>
  <si>
    <t>ROM_Bypass_OEM_Unlock</t>
  </si>
  <si>
    <t>IP_Cfg_Fuse_11</t>
  </si>
  <si>
    <t>SOC_DEV_REUSE_PROHIBITED</t>
  </si>
  <si>
    <t>IP_Cfg_Fuse_12</t>
  </si>
  <si>
    <t>Hard_Strap_Boot_Source_Sel_EN</t>
  </si>
  <si>
    <t>IP_Cfg_Fuse_13</t>
  </si>
  <si>
    <t>PUF_Global_Disable</t>
  </si>
  <si>
    <t>IP_Cfg_Fuse_14</t>
  </si>
  <si>
    <t>SAMSUNG_PUF_CONFIG_EN</t>
  </si>
  <si>
    <t>HW_PUF_CM_EN</t>
  </si>
  <si>
    <t>IP_Cfg_Fuse_15</t>
  </si>
  <si>
    <t>IP_HVM_Mode_Disable</t>
  </si>
  <si>
    <t>IP_Cfg_Fuse_16</t>
  </si>
  <si>
    <t>IP_MIA_HALT_Disable</t>
  </si>
  <si>
    <t>IP_Cfg_Fuse_17</t>
  </si>
  <si>
    <t>HW_PUF_MV_Sel</t>
  </si>
  <si>
    <t>IFWI_LAYOUT_1_5_EN &amp; !SAMSUNG_PUF_CONFIG_EN</t>
  </si>
  <si>
    <t>SOC_PCH_DSW_SUPPORT</t>
  </si>
  <si>
    <t>IP_Cfg_Fuse_18</t>
  </si>
  <si>
    <t>DS3_CTXT_ACTIVE</t>
  </si>
  <si>
    <t>IP_Cfg_Fuse_19</t>
  </si>
  <si>
    <t>DS4_CTXT_ACTIVE</t>
  </si>
  <si>
    <t>IP_Cfg_Fuse_20</t>
  </si>
  <si>
    <t>DS5_CTXT_ACTIVE</t>
  </si>
  <si>
    <t>IP_Cfg_Fuse_21</t>
  </si>
  <si>
    <t>DS5_UNGRACEFULL_POSSIBLE</t>
  </si>
  <si>
    <t>IP_Cfg_Fuse_22</t>
  </si>
  <si>
    <t>SOC_PM_GRST_CTRL</t>
  </si>
  <si>
    <t>SOC_PCH_CTXT_SURV_TYPE7_GRST</t>
  </si>
  <si>
    <t>IP_Cfg_Fuse_23</t>
  </si>
  <si>
    <t>SOC_PM_M3_EN</t>
  </si>
  <si>
    <t>SOC_PM_M3_SUPPORT</t>
  </si>
  <si>
    <t>IP_Cfg_Fuse_24</t>
  </si>
  <si>
    <t>BADIMAGE_FLOW_EN</t>
  </si>
  <si>
    <t>BOOT_SOURCE_SWITCH_THROUGH_GRST</t>
  </si>
  <si>
    <t>IP_Cfg_Fuse_25</t>
  </si>
  <si>
    <t>FW</t>
  </si>
  <si>
    <t>HW_PUF_BCH_ITR</t>
  </si>
  <si>
    <t>IP_Cfg_Fuse_28_26</t>
  </si>
  <si>
    <t>ENFORCE_ACTIVE_CTXT_IMG_SRC_INFO</t>
  </si>
  <si>
    <t>IP_Cfg_Fuse_26</t>
  </si>
  <si>
    <t>PMC_IPC_BOOT_SRVS_MSG</t>
  </si>
  <si>
    <t>PMC_SUPPORTS_BOOT_SRVS_STSFIIED_MSG</t>
  </si>
  <si>
    <t>IP_Cfg_Fuse_29</t>
  </si>
  <si>
    <t>ENFORCE_CSME_REGION_SIZE_CHECK</t>
  </si>
  <si>
    <t>IP_Cfg_Fuse_30</t>
  </si>
  <si>
    <t>Revenue_Part_Indicator_Disable</t>
  </si>
  <si>
    <t>IP_Cfg_Fuse_31</t>
  </si>
  <si>
    <t>RBE</t>
  </si>
  <si>
    <t>GSK_FUSES_MID</t>
  </si>
  <si>
    <t>ISH_Disable</t>
  </si>
  <si>
    <t>IP_Cfg_Fuse_32</t>
  </si>
  <si>
    <t>XEON_CPU_SKU_CTRL_EN</t>
  </si>
  <si>
    <t>C_SKU</t>
  </si>
  <si>
    <t>IP_Cfg_Fuse_33</t>
  </si>
  <si>
    <t>FUSA_DIAG_FEATURE_EN</t>
  </si>
  <si>
    <t>FUSA_DIAGTEST_FEATURE_EN</t>
  </si>
  <si>
    <t>IP_Cfg_Fuse_34</t>
  </si>
  <si>
    <t>OCS_DRNG_Enable</t>
  </si>
  <si>
    <t>IP_Cfg_Fuse_35</t>
  </si>
  <si>
    <t>ROM,RBE,FW</t>
  </si>
  <si>
    <t>Disable_NM2_0</t>
  </si>
  <si>
    <t>IP_Cfg_Fuse_36</t>
  </si>
  <si>
    <t>DCMI_Disable</t>
  </si>
  <si>
    <t>IP_Cfg_Fuse_37</t>
  </si>
  <si>
    <t>SVR_CHIPSET</t>
  </si>
  <si>
    <t>IP_Cfg_Fuse_38</t>
  </si>
  <si>
    <t>PAVP_2_0_Disable</t>
  </si>
  <si>
    <t>IP_Cfg_Fuse_39</t>
  </si>
  <si>
    <t>MANEAGEABILITY_APP_Disable</t>
  </si>
  <si>
    <t>IP_Cfg_Fuse_40</t>
  </si>
  <si>
    <t>IP_SKU_Fuse_6_NET_INFRA_MODE</t>
  </si>
  <si>
    <t>IP_Cfg_Fuse_43_41</t>
  </si>
  <si>
    <t>NFC_Disable</t>
  </si>
  <si>
    <t>IP_Cfg_Fuse_44</t>
  </si>
  <si>
    <t>WiDi_Disable</t>
  </si>
  <si>
    <t>IP_Cfg_Fuse_45</t>
  </si>
  <si>
    <t>OEM_IFP_Disable</t>
  </si>
  <si>
    <t>IP_Cfg_Fuse_46</t>
  </si>
  <si>
    <t>IP_Cfg_Fuse_47</t>
  </si>
  <si>
    <t>BOOT_DEV_CTRL_EN</t>
  </si>
  <si>
    <t>IP_SPI_Boot_EN</t>
  </si>
  <si>
    <t>IP_Cfg_Fuse_48</t>
  </si>
  <si>
    <t>ROM,RBE</t>
  </si>
  <si>
    <t>IP_eMMC_Boot_EN</t>
  </si>
  <si>
    <t>IP_Cfg_Fuse_49</t>
  </si>
  <si>
    <t>IP_UFS_Boot_EN</t>
  </si>
  <si>
    <t>IP_Cfg_Fuse_50</t>
  </si>
  <si>
    <t>FPF_Disable</t>
  </si>
  <si>
    <t>IP_Cfg_Fuse_51</t>
  </si>
  <si>
    <t>Secure_Boot_AnC_Disable</t>
  </si>
  <si>
    <t>IP_Cfg_Fuse_52</t>
  </si>
  <si>
    <t>fTPM_Disable</t>
  </si>
  <si>
    <t>IP_Cfg_Fuse_53</t>
  </si>
  <si>
    <t>ICC_SKU_EN</t>
  </si>
  <si>
    <t>ICC_SKU</t>
  </si>
  <si>
    <t>IP_Cfg_Fuse_55_54</t>
  </si>
  <si>
    <t>FW_Signing_Key_Disables</t>
  </si>
  <si>
    <t>IP_Cfg_Fuse_63_56</t>
  </si>
  <si>
    <t>GSK_FUSES_HI</t>
  </si>
  <si>
    <t>IP_SRAM_Bank_Enable</t>
  </si>
  <si>
    <t>IP_Cfg_Fuse_78_64</t>
  </si>
  <si>
    <t>IP_Remote_Wake_Disable</t>
  </si>
  <si>
    <t>IP_Cfg_Fuse_79</t>
  </si>
  <si>
    <t>UFS_high_speed_dis</t>
  </si>
  <si>
    <t>IP_Cfg_Fuse_80</t>
  </si>
  <si>
    <t>IP_Cfg_Fuse_81</t>
  </si>
  <si>
    <t>FB_PLATFORM_ID</t>
  </si>
  <si>
    <t>IP_Cfg_Fuse_84_82</t>
  </si>
  <si>
    <t>FB_STEPPING_ID</t>
  </si>
  <si>
    <t>IP_Cfg_Fuse_91_88</t>
  </si>
  <si>
    <t>FB_MODEL_ID</t>
  </si>
  <si>
    <t>IP_Cfg_Fuse_95_92</t>
  </si>
  <si>
    <t>ROM_INT_FUSE_PULL</t>
  </si>
  <si>
    <t>IP_Cfg_Fuse_96</t>
  </si>
  <si>
    <t>IP_Cfg_Fuse_97</t>
  </si>
  <si>
    <t>IP_Cfg_Fuse_98</t>
  </si>
  <si>
    <t>Host_PoG_Disable_Fuse</t>
  </si>
  <si>
    <t>IP_Cfg_Fuse_99</t>
  </si>
  <si>
    <t>Fuse_DeviceDis_Support</t>
  </si>
  <si>
    <t>IP_Cfg_Fuse_100</t>
  </si>
  <si>
    <t>IP_Cfg_Fuse_101</t>
  </si>
  <si>
    <t>INCLUDE_MROM</t>
  </si>
  <si>
    <t xml:space="preserve">DISABLE_MROM </t>
  </si>
  <si>
    <t>IP_Cfg_Fuse_102</t>
  </si>
  <si>
    <t>MROM_BAR_DISABLE</t>
  </si>
  <si>
    <t>IP_Cfg_Fuse_103</t>
  </si>
  <si>
    <t>OCS_SELF_TEST_ENABLE_FUSE</t>
  </si>
  <si>
    <t>IP_Cfg_Fuse_104</t>
  </si>
  <si>
    <t>HSIO_SKU_EN</t>
  </si>
  <si>
    <t>IP_HSIO_SKU_Limit</t>
  </si>
  <si>
    <t>IP_Cfg_Fuse_111_105</t>
  </si>
  <si>
    <t>CONFIG_OCS_KEY_LOCKER_ENABLE</t>
  </si>
  <si>
    <t>Testmode_G3_Key_Disable</t>
  </si>
  <si>
    <t>IP_Cfg_Fuse_112</t>
  </si>
  <si>
    <t>IP_Cfg_Fuse_113</t>
  </si>
  <si>
    <t>HW_OCS_PUF_Test_Key_Disable</t>
  </si>
  <si>
    <t>IP_Cfg_Fuse_114</t>
  </si>
  <si>
    <t>HW_PUF_HVM_MODE_Disable</t>
  </si>
  <si>
    <t>IP_Cfg_Fuse_115</t>
  </si>
  <si>
    <t>HW_PUF_Auto_Key_Gen</t>
  </si>
  <si>
    <t>IP_Cfg_Fuse_116</t>
  </si>
  <si>
    <t>CLEAN_DATA_ON_ERROR</t>
  </si>
  <si>
    <t>Rom_clear_data_on_exit_points_en</t>
  </si>
  <si>
    <t>IP_Cfg_Fuse_117</t>
  </si>
  <si>
    <t>CSE_CFG_FUSES_VALID</t>
  </si>
  <si>
    <t>DRNG_ERR_HNDL_BYPASS_DISABLE</t>
  </si>
  <si>
    <t>IP_Cfg_Fuse_120</t>
  </si>
  <si>
    <t>IP_Cfg_Fuse_121</t>
  </si>
  <si>
    <t>DSWRAM_EN</t>
  </si>
  <si>
    <t>DSWRAM_DSX_CLEAR_SIZE_64B</t>
  </si>
  <si>
    <t>IP_Cfg_Fuse_126_122</t>
  </si>
  <si>
    <t>MEASUREMENT_EXTENSION_SUPP</t>
  </si>
  <si>
    <t>IP_Cfg_Fuse_127</t>
  </si>
  <si>
    <t>GSK_FUSES_ROM_CFG</t>
  </si>
  <si>
    <t>RF_TRIM_FUSES</t>
  </si>
  <si>
    <t>TRIM_FUSE_RSVD</t>
  </si>
  <si>
    <t>ROM_TRIM_FUSES</t>
  </si>
  <si>
    <t>CFMIA_RF_REPAIR_FUSES</t>
  </si>
  <si>
    <t>PG_RF_REPAIR_FUSES</t>
  </si>
  <si>
    <t>AON_RF_REPAIR_FUSES</t>
  </si>
  <si>
    <t>TRC_PRESENT</t>
  </si>
  <si>
    <t>TRC_GLITCH_DETECTION_DELAY</t>
  </si>
  <si>
    <t>TRC_HIP_CONFIG</t>
  </si>
  <si>
    <t>TRC_GLITCH_SPARE_CONFIG</t>
  </si>
  <si>
    <t>TRC_GLITCH_DETECTION_ENABLE</t>
  </si>
  <si>
    <t>FUSE_RECIPE_NUMBER</t>
  </si>
  <si>
    <t>FUSES_4_FW_USAGE</t>
  </si>
  <si>
    <t>FUSES_4_BIOS_CONFIG</t>
  </si>
  <si>
    <t>FUSES_4_DETECTION_ENABLE</t>
  </si>
  <si>
    <t>IP_INTCHK_HW_CFG_CRC_VAL</t>
  </si>
  <si>
    <t>IP_INTCHK_RSVD_23_16</t>
  </si>
  <si>
    <t>IP_INTCHK_FUSECRCCHK</t>
  </si>
  <si>
    <t>IP_INTCHK_RSVD_31_28</t>
  </si>
  <si>
    <t>Reserved_Sofstrap_0</t>
  </si>
  <si>
    <t>SSS_EMUL_EN</t>
  </si>
  <si>
    <t>Reserved_Sofstrap_1</t>
  </si>
  <si>
    <t>SSS_EMUL_HVM_OVR_SOC_DEV_REUSE_PROHIBITED</t>
  </si>
  <si>
    <t>Reserved_Sofstrap_2</t>
  </si>
  <si>
    <t>Reserved_Sofstrap_3</t>
  </si>
  <si>
    <t>SSS_EMUL_IFP_EMMC_BOOT_SOURCE_DISABLED</t>
  </si>
  <si>
    <t>Reserved_Sofstrap_4</t>
  </si>
  <si>
    <t>SSS_EMUL_IFP_UFS_BOOT_SOURCE_DISABLED</t>
  </si>
  <si>
    <t>Reserved_Sofstrap_5</t>
  </si>
  <si>
    <t>SSS_EMUL_IFP_SPI_BOOT_SOURCE_DISABLED</t>
  </si>
  <si>
    <t>Reserved_Sofstrap_6</t>
  </si>
  <si>
    <t>SSS_EMUL_IFP_DNX_BOOT_SOURCE_DISABLED</t>
  </si>
  <si>
    <t>Reserved_Sofstrap_7</t>
  </si>
  <si>
    <t>Reserved_Sofstrap_8</t>
  </si>
  <si>
    <t>AVOID_HALT_ON_M0U_PG_EXIT</t>
  </si>
  <si>
    <t>Reserved_Sofstrap_9</t>
  </si>
  <si>
    <t>SSS_AVOID_RESETS_ON_BAD_PATHS</t>
  </si>
  <si>
    <t>Reserved_Sofstrap_10</t>
  </si>
  <si>
    <t>AFS_Reclaim_Dis</t>
  </si>
  <si>
    <t>Reserved_Sofstrap_11</t>
  </si>
  <si>
    <t>HAP_Mode</t>
  </si>
  <si>
    <t>Reserved_Sofstrap_16</t>
  </si>
  <si>
    <t>DCI_EN</t>
  </si>
  <si>
    <t>Reserved_Sofstrap_15</t>
  </si>
  <si>
    <t>CSME_Deep_SX_EN</t>
  </si>
  <si>
    <t>Reserved_Sofstrap_20</t>
  </si>
  <si>
    <t>TRACEHUB_EMERGENCY_EN</t>
  </si>
  <si>
    <t>Reserved_Sofstrap_21</t>
  </si>
  <si>
    <t>Disable_Freeze_MIACTCCtr_on_Probemode_Softstrap</t>
  </si>
  <si>
    <t>Reserved_Sofstrap_29</t>
  </si>
  <si>
    <t>TRC_ENABLE_Softstrap</t>
  </si>
  <si>
    <t>Reserved_Sofstrap_30</t>
  </si>
  <si>
    <t>Disable_MROM_Softstrap</t>
  </si>
  <si>
    <t>Reserved_Sofstrap_31</t>
  </si>
  <si>
    <t>Disable_PMT_Softstrap</t>
  </si>
  <si>
    <t>Reserved_Sofstrap_32</t>
  </si>
  <si>
    <t>Disable_CLINK_Softstrap</t>
  </si>
  <si>
    <t>Reserved_Sofstrap_33</t>
  </si>
  <si>
    <t>Disable_USBR_Softstrap</t>
  </si>
  <si>
    <t>Reserved_Sofstrap_34</t>
  </si>
  <si>
    <t>Disable_KVMcc_Softstrap</t>
  </si>
  <si>
    <t>Reserved_Sofstrap_35</t>
  </si>
  <si>
    <t>Disable_Hotham_Softstrap</t>
  </si>
  <si>
    <t>Reserved_Sofstrap_36</t>
  </si>
  <si>
    <t>Disable_PRTC_Softstrap</t>
  </si>
  <si>
    <t>Reserved_Sofstrap_37</t>
  </si>
  <si>
    <t>Disable_FSC_Softstrap</t>
  </si>
  <si>
    <t>Reserved_Sofstrap_38</t>
  </si>
  <si>
    <t>Disable_PECI_Softstrap</t>
  </si>
  <si>
    <t>Reserved_Sofstrap_39</t>
  </si>
  <si>
    <t>Disable_UART_Softstrap</t>
  </si>
  <si>
    <t>Reserved_Sofstrap_40</t>
  </si>
  <si>
    <t>Disable_PTIO_Softstrap</t>
  </si>
  <si>
    <t>Reserved_Sofstrap_41</t>
  </si>
  <si>
    <t>Reserved_Sofstrap_42</t>
  </si>
  <si>
    <t>Reserved_Sofstrap_43</t>
  </si>
  <si>
    <t>Reserved_Sofstrap_44</t>
  </si>
  <si>
    <t>Reserved_Sofstrap_45</t>
  </si>
  <si>
    <t>Reserved_Sofstrap_46</t>
  </si>
  <si>
    <t>Reserved_Sofstrap_47</t>
  </si>
  <si>
    <t>Disable_SMTA_Softstrap</t>
  </si>
  <si>
    <t>Reserved_Sofstrap_48</t>
  </si>
  <si>
    <t>Reserved_Sofstrap_49</t>
  </si>
  <si>
    <t>Reserved_Sofstrap_50</t>
  </si>
  <si>
    <t>Disable_SMTB_Softstrap</t>
  </si>
  <si>
    <t>Reserved_Sofstrap_51</t>
  </si>
  <si>
    <t>Reserved_Sofstrap_52</t>
  </si>
  <si>
    <t>Reserved_Sofstrap_53</t>
  </si>
  <si>
    <t>Reserved_Sofstrap_54</t>
  </si>
  <si>
    <t>Reserved_Sofstrap_55</t>
  </si>
  <si>
    <t>Disable_FTPMDMA_Softstrap</t>
  </si>
  <si>
    <t>Reserved_Sofstrap_56</t>
  </si>
  <si>
    <t>Disable_HECI4DMA_Softstrap</t>
  </si>
  <si>
    <t>Reserved_Sofstrap_57</t>
  </si>
  <si>
    <t>Disable_HECI3DMA_Softstrap</t>
  </si>
  <si>
    <t>Reserved_Sofstrap_58</t>
  </si>
  <si>
    <t>Disable_HECI2DMA_Softstrap</t>
  </si>
  <si>
    <t>Reserved_Sofstrap_59</t>
  </si>
  <si>
    <t>Disable_HECI1DMA_Softstrap</t>
  </si>
  <si>
    <t>Reserved_Sofstrap_60</t>
  </si>
  <si>
    <t>Disable_IMRDMA_Softstrap</t>
  </si>
  <si>
    <t>Reserved_Sofstrap_61</t>
  </si>
  <si>
    <t>Disable_WLANDMA_Softstrap</t>
  </si>
  <si>
    <t>Reserved_Sofstrap_62</t>
  </si>
  <si>
    <t>Disable_IDERDMA_Softstrap</t>
  </si>
  <si>
    <t>Reserved_Sofstrap_63</t>
  </si>
  <si>
    <t>GSC_TRC_DIS</t>
  </si>
  <si>
    <t>GSK_OEM_IFP_CONFIG_COPY1</t>
  </si>
  <si>
    <t>!PARAM_INT_IFP_TRIPLE_RDD_DIS &amp; TRC_PRESENT</t>
  </si>
  <si>
    <t>GSC_TRC_DIS_COPY1</t>
  </si>
  <si>
    <t>GSK_OEM_IFP_CONFIG_COPY2</t>
  </si>
  <si>
    <t>GSC_TRC_DIS_COPY2</t>
  </si>
  <si>
    <t>GSK_OEM_SECRET_KEYS_DWn</t>
  </si>
  <si>
    <t>OEM_SECRET_KEY_FUSES_LIMIT</t>
  </si>
  <si>
    <t>OEM_SECRET_KEY_0</t>
  </si>
  <si>
    <t>GSK_OEM_SECRET_KEYS_DWn_COPY1</t>
  </si>
  <si>
    <t>!PARAM_INT_IFP_TRIPLE_RDD_DIS &amp; OEM_SECRET_KEY_FUSES_LIMIT</t>
  </si>
  <si>
    <t>OEM_SECRET_KEY_1</t>
  </si>
  <si>
    <t>GSK_OEM_SECRET_KEYS_DWn_COPY2</t>
  </si>
  <si>
    <t>OEM_SECRET_KEY_2</t>
  </si>
  <si>
    <t>FW trigger
GSK_FPULL_CONTROL</t>
  </si>
  <si>
    <t>HW trigger:
GSK_GENERAL_FW_FPULL_STATUS</t>
  </si>
  <si>
    <t>HW trigger:
GSK_FPULL_SB_RST_PULL_STATUS</t>
  </si>
  <si>
    <t>HW trigger + FW repull:
GSK_FPULL_SB_RST_PULL_STATUS</t>
  </si>
  <si>
    <t>Parameter</t>
  </si>
  <si>
    <t>Default value</t>
  </si>
  <si>
    <t>A0 value</t>
  </si>
  <si>
    <t>IP_Cfg_Fuse_27</t>
  </si>
  <si>
    <t>IP_Cfg_Fuse_28</t>
  </si>
  <si>
    <t>SKIP_FUSE_BASED_PATCH</t>
  </si>
  <si>
    <t>FUSE_BASED_PATCH_DIS</t>
  </si>
  <si>
    <t>0xF00B022C</t>
  </si>
  <si>
    <t>0xF00B0240</t>
  </si>
  <si>
    <t>0xF00B0244</t>
  </si>
  <si>
    <t>0xF00B0248</t>
  </si>
  <si>
    <t>BIT num</t>
  </si>
  <si>
    <t>BIT width</t>
  </si>
  <si>
    <t>Removed</t>
  </si>
  <si>
    <t>A0 default</t>
  </si>
  <si>
    <t>Default</t>
  </si>
  <si>
    <t>0x00000000</t>
  </si>
  <si>
    <t>IFWI_LAYOUT_1_5_EN</t>
  </si>
  <si>
    <t>PARAM_INT_IFP_TRIPLE_RDD_DIS</t>
  </si>
  <si>
    <t>RF_FUSE_INT_PULL</t>
  </si>
  <si>
    <t>Fuse and Strap Parameters</t>
  </si>
  <si>
    <t>MTL-SOC</t>
  </si>
  <si>
    <t>- look up number</t>
  </si>
  <si>
    <t>cse_sram_num_banks</t>
  </si>
  <si>
    <t>Security_Keys</t>
  </si>
  <si>
    <t>Security_Keys_fuse_Check_Hash</t>
  </si>
  <si>
    <t>Debug_Enabled_Security_Key</t>
  </si>
  <si>
    <t>Debug_Enabled_Encryption_Key</t>
  </si>
  <si>
    <t>FW_CONFIG_FUSES</t>
  </si>
  <si>
    <t>Platform</t>
  </si>
  <si>
    <t>GSK_TRC_DIS_COPY1</t>
  </si>
  <si>
    <t>GSK_TRC_DIS_COPY2</t>
  </si>
  <si>
    <t>IFP2</t>
  </si>
  <si>
    <t>IFP3</t>
  </si>
  <si>
    <t>0x0080</t>
  </si>
  <si>
    <t>0x0280</t>
  </si>
  <si>
    <t>0x0480</t>
  </si>
  <si>
    <t>0x0240</t>
  </si>
  <si>
    <t>0x0444</t>
  </si>
  <si>
    <t>0x0440</t>
  </si>
  <si>
    <t>0x0244</t>
  </si>
  <si>
    <t>0x0300</t>
  </si>
  <si>
    <t>0x0200</t>
  </si>
  <si>
    <t>0x0400</t>
  </si>
  <si>
    <t>0x0500</t>
  </si>
  <si>
    <t>// GROUP 3</t>
  </si>
  <si>
    <t>// GROUP 2</t>
  </si>
  <si>
    <t>Legacy</t>
  </si>
  <si>
    <t>GROUP1_FUSE_NUM_DW</t>
  </si>
  <si>
    <t>STRAPS_NUM_DW</t>
  </si>
  <si>
    <t>Security_Fuses_Valid</t>
  </si>
  <si>
    <t>FW_Fuses_Valid</t>
  </si>
  <si>
    <t>Description</t>
  </si>
  <si>
    <t>CSE Secure Debug Disable fuse.  Enables security sensitive debug capabilities within CSE HW.  
Production parts must disable CSE Secure Debug.  (set this fuse to 1) 
Impacts HW, signal name:  fuse_secure_debug_dis</t>
  </si>
  <si>
    <t>CSE ROM Bypass Disable Fuse  Note, both the fuse and softstrap must be set to enable (disable fuse set to zero) in order for the ROM to be Bypassed.
Production parts must disable ROM bypass.  (set this fuse to 1)
Impacts HW, signal name:  fuse_rom_bypass_dis</t>
  </si>
  <si>
    <t>Testmode Global Key G0 Disable is set on production parts to enable use of the G0 production key.
Impacts HW, signal name:  fuse_g0test_dis</t>
  </si>
  <si>
    <t>Testmode Global Key G1 and PUF Disable is set on production parts to enable use of the G1 nad PUF production key.
Impacts HW, signal name:  fuse_g1test_dis</t>
  </si>
  <si>
    <t>Platform Halt Enable policy fuse.  (aka TDT ROM Hardening)</t>
  </si>
  <si>
    <t>Platform Halt Policy in IFP fuse indicates whether CSME ROM should use the HVM fuse or the IFP fuse for determining the Platform Halt Policy</t>
  </si>
  <si>
    <t>Testmode Global Key G2 Disable is set on production parts to enable use of the G2 production key.
Impacts HW, signal name:  fuse_g2test_dis</t>
  </si>
  <si>
    <t xml:space="preserve">CSE zeroing Bypass Disable Fuse .
Production parts must disable zeroing bypass.  (set this fuse to 1)
Impacts HW, signal name:  fuse_zeroing_bypass_dis
</t>
  </si>
  <si>
    <t>This fuse enables (if ROM_Tracing_Soft_Enable softstrap is also enabled) NorthPeak based tracing in CSME ROM. 0 (default): Tracing is Enabled. 1: Tracing is Disabled</t>
  </si>
  <si>
    <t>DNX Disable
This fuse will cause ROM not to execute DNX flows 
1 - DNX Disabled
0 - DNX Enabled</t>
  </si>
  <si>
    <t xml:space="preserve">CSE OEM Unlock on ROM Bypass
CSE ROM will use this fuse to determine if it must perform OEM Unlock prior to performing ROM Bypass flow.  SoC with ROM Bypass enabled and this fuse set to zero should not be distributed to customers.
1 = ROM will perform OEM Unlock before ROM Bypass
0 = ROM will not perform OEM Unlock before ROM Bypass
</t>
  </si>
  <si>
    <t>SoC Device Reuse Prohibited 
CSE ROM will use this fuse to determine if the SoC may be reused (for example, field programmable fuses won't be blown and CSE will use a RPMB global key).   Parts going to OEM for production systems must set this fuse.  However production fused parts that are shipped to OEM for testing or non-production systems may have this set at either value.  
1 - Prohibit Reuse, use part specific key to provision
0 - Allow Reuse, use fixed global key to provision</t>
  </si>
  <si>
    <t>Hard Strap Boot Source Select Enable
1= CSE ROM looks at HVM fuses, hard straps, and IFP fuses to allow disabling boot sources.
0= CSE ROM only looks at HVM fuses and IFP fuses.
Expect this is set to 1 based on current product defintion</t>
  </si>
  <si>
    <t>Chicken bit for survivability: This fuse is for product survivability and read only by ROM FW. It has no HW implications. This fuse bit will be burned to 1 only if there is the product global decision to not to productize the PUF feature.</t>
  </si>
  <si>
    <t xml:space="preserve">0: Disable countermeasure
1: Enable countermeasure
</t>
  </si>
  <si>
    <t>CSE HVM Mode Disable to indicate that the silicon part is on a tester (HVM Mode Enabled) and should jump to ROM bypass mode address  or not (HVM mode disabled).</t>
  </si>
  <si>
    <t>CSE MIA Halt Disable to indicate that HVM team is requesting CSE ROM to halt MIA (MIA Halt Enabled) or not (MIA Halt Disabled)</t>
  </si>
  <si>
    <t>Majority Voting Bits</t>
  </si>
  <si>
    <t xml:space="preserve">FW usage details
Name- C-class PCH SKU 
User- Kernal
Desc- Identifies Cxxx PCH SKU (C236, C232, etc) versus other PCH SKU (mobile/desktop) to support pairing with Xeon or Xeon vPro branded CPU
1= Cxxx PCH SKU
0= non-Cxxx PCH SKU
</t>
  </si>
  <si>
    <t>To enable FUSA Key ON, Key OFF Diagnostics features in CSME</t>
  </si>
  <si>
    <t>FW usage details
User- ROM
Desc- Enables SPI Flash as a boot source when set</t>
  </si>
  <si>
    <t>FW usage details
User- ROM
Desc- Enables eMMC Flash as a boot source when set</t>
  </si>
  <si>
    <t>FW usage details
User- ROM
Desc- Enables UFS Flash as a boot source when set</t>
  </si>
  <si>
    <t>FW usage details
Name- CSE TPM Disable
User- Kernel
Desc - If set, CSE TPM is disabled
1= CSE TPM Disabled
0= CSE TPM Enabled</t>
  </si>
  <si>
    <t>FW usage details
Name- ICC SKU
User- BUP-ICC
Desc-Integrated Clock Controller SKU (bits1,0)
00 = Extreme
01 = Medium - Reserved (if selected, FW would assume it is Enhanced)
10 = Basic
11 = Enhanced</t>
  </si>
  <si>
    <t>Each bit individually disables FW a signing key located in ROM.  Production parts must disable the debug signing key
Bit 0:  Debug Signing Key Disable, 
Bit 1-7:  Production Signing Key #1-#7 Disable</t>
  </si>
  <si>
    <t xml:space="preserve">CSME SRAM Bank Enable is a vector indicating which SRAM banks may be used by CSME FW, banks with SRAM faults should be disabled.  Bit 0 maps to SRAM Bank 0 and bit N maps to SRAM Bank N.  Up to N=14.  Number of banks implemented is function of project decisions.  Fuses above the number of banks implemented for any given project are reserved.
1 = SRAM Bank Enabled
0 = SRAM Bank Disabled
</t>
  </si>
  <si>
    <t>CSME_Remote_Wake_Disable.
1 = Remote Wake Disabled
0 = Remote Wake Enabled</t>
  </si>
  <si>
    <t>Used by CSE ROM to disable UFS high speed in case it is not working</t>
  </si>
  <si>
    <t>Placeholder for BtG2.0</t>
  </si>
  <si>
    <t>ROM LBL Keeper Stack Enable Bit (active low). Requested from Circuits team for ROM Impacts HW, signal name: fuse_ifusekprb. IE ROM does not use this fuse.
Impacts HW, signal name:  fuse_rfwae_lllp</t>
  </si>
  <si>
    <t>RF Write Assist Enable Bit.  Requested from Circuits team for XLLP register file storage (RF)
Impacts HW, signal name:  fuse_rfwae_ll</t>
  </si>
  <si>
    <t>RF Write Assist Enable Bit.  Requested from Circuits team for LL register file storage (RF)
Impacts HW, signal name:  fuse_rfwae_ll</t>
  </si>
  <si>
    <t>TRC_GLITCH_DETECTION_CONFIG_DELAY values as driven by trc_delay [23:0] input</t>
  </si>
  <si>
    <t xml:space="preserve">These config values indicate which of TRC_Delay bit fileds in the register used by SIP and HIP.
If TRC_CONFIG number shows 5’h0c, it means 12 bits from BIT0 in TRC_DELAY can be used for TRC delay in CSE HW. </t>
  </si>
  <si>
    <t>Reserved</t>
  </si>
  <si>
    <t>TRC Glitch Detection Enable</t>
  </si>
  <si>
    <t>TRC HIP Spare Configuration Bits</t>
  </si>
  <si>
    <t>This field is to be used on a per SKU basis, meaning the values of each SKU could be different. In other words, if two different SKUs have the same FRN, that doesnt mean that there is any direct relationsihp between their fuse recipes.</t>
  </si>
  <si>
    <t>Spare Fuses for FW Usages</t>
  </si>
  <si>
    <t>Spare Fuses for BIOS and FW Usages</t>
  </si>
  <si>
    <t>Spare Fuses for BIOS Usages</t>
  </si>
  <si>
    <t>RF Trim Fuses. These electrical fuses are applicable for DG*/ATS only.</t>
  </si>
  <si>
    <t>ROM Trim Fuses. These electrical fuses are applicable for DG*/ATS only.</t>
  </si>
  <si>
    <t>CFMIA RF Repair Fuses. Applicable for DG*/ATS only.</t>
  </si>
  <si>
    <t>PG RF Repair Fuses. Applicable for DG*/ATS only.</t>
  </si>
  <si>
    <t>AON RF Repair Fuses. Applicable for DG*/ATS only.</t>
  </si>
  <si>
    <t>This is the expected 16b CRC value that associated to HW Configuration, Group1  Fuses. Please check HAS for more details.</t>
  </si>
  <si>
    <t xml:space="preserve">This is the spare fuses for Integrity Protection.  There is no defined usage at this generation.
</t>
  </si>
  <si>
    <t xml:space="preserve">This is the 4b fuse encoding value to determine if the HW shall perform CRC check on the HW configuration fuses.
1010b (default): Disable the fuse CRC check.
0101b: Enable the fuse CRC check. 
Other value: Invalid, and the HW shall handle it as an fuse integrity error condition.
</t>
  </si>
  <si>
    <t>CSE ROM Byapss Enable Softstrap.  Note, both the fuse and softstrap must be set to enable in order for the ROM to be Bypassed.
Impacts HW, signal name:  softstrap_rom_bypass_en</t>
  </si>
  <si>
    <t>FPF emulation soft straps [7:4] enabled (if FPF emulation enabled in general)</t>
  </si>
  <si>
    <t xml:space="preserve">CSE ROM will use this strap to determine if the SoC may be reused with a new NVM (for example, field programmable fuses won't be blown and CSE will use a RPMB global key) if hvm fuse allows. If HVM fuse does not allow this strap is ignored </t>
  </si>
  <si>
    <t>Disable eMMC by FPF emulation or not (might be disabled by other means like hvm fuse)</t>
  </si>
  <si>
    <t>Disable UFS by FPF emulation or not (might be disabled by other means like hvm fuse)</t>
  </si>
  <si>
    <t>Disable SPI boot by FPF emulation or not (might be disabled by other means like hvm fuse)</t>
  </si>
  <si>
    <t>Disable DnX by FPF emulation or not (might be disabled by other means like hvm fuse)</t>
  </si>
  <si>
    <t>Halt on M0Uma-PG exit error or do grst</t>
  </si>
  <si>
    <t>In case of CSE image load error, switch to other image or invoke DnX, even if this involves reset. Or avoid resets and just halt</t>
  </si>
  <si>
    <t>Chicken bit to disable AFS reclaim when CSE is idle</t>
  </si>
  <si>
    <t>Enable HAP mode</t>
  </si>
  <si>
    <t>Enable DCI by CSE FW (set MEEN)</t>
  </si>
  <si>
    <t xml:space="preserve"> 
Enable/disable Deep Sx</t>
  </si>
  <si>
    <t>Enable NPK even if not configured by SW</t>
  </si>
  <si>
    <t>0: MinuteIA will freeze CTC counter on Probe Mode Entry, resulting in the pause of LAPIC Timer, 1: MinuteIA will not freeze CTC counter on Probe Mode entry</t>
  </si>
  <si>
    <t xml:space="preserve">Purpose: If set, the TRC HIP and TRC Countermeasures are enabled.  The reason for this soft-strap is to allow OEMs to enable the TRC for the purposes of testing their systems with the TRC enabled without having to commit an IFP.
This soft-strap is only valid if the TRC_ENABLE_IFP is not locked.  If the TRC_ENABLE_IFP is locked this soft-strap is ignored by the MISA. 
</t>
  </si>
  <si>
    <t xml:space="preserve">Disable MROM Softstrap (Disable_MROM_Softstrap)
0: MROM is enabled. 
1: MROM is disabled. 
If set to 1, MROM will be hidden from the Host OS/BIOS. This bit is reflected in MROM's Host PCI Configuration register MROM_SSPUB.DISMROMSS
Impacts HW, signal name: FP_mrom_dismromss
</t>
  </si>
  <si>
    <t>When set, the PMT HW would be hidden from FW and/or Host SW.
This softstrap is only valid when Fuse_DeviceDis_Support is set.</t>
  </si>
  <si>
    <t>When set, the CLINK HW would be hidden from FW and/or Host SW.
This softstrap is only valid when Fuse_DeviceDis_Support is set.</t>
  </si>
  <si>
    <t xml:space="preserve">When set, the USBr HW would be hidden from FW and/or Host SW.
This softstrap is only valid when Fuse_DeviceDis_Support is set.
</t>
  </si>
  <si>
    <t xml:space="preserve">When set, the KVMcc HW would be hidden from FW and/or Host SW.
This softstrap is only valid when Fuse_DeviceDis_Support is set.
</t>
  </si>
  <si>
    <t xml:space="preserve">When set, the Hotham HW would be hidden from FW and/or Host SW.
This softstrap is only valid when Fuse_DeviceDis_Support is set.
</t>
  </si>
  <si>
    <t>When set, the PRTC HW would be hidden from FW and/or Host SW.
This softstrap is only valid when Fuse_DeviceDis_Support is set.</t>
  </si>
  <si>
    <t>When set, the FSC HW would be hidden from FW and/or Host SW.
This softstrap is only valid when Fuse_DeviceDis_Support is set.</t>
  </si>
  <si>
    <t>When set, the PECI HW would be hidden from FW and/or Host SW.
This softstrap is only valid when Fuse_DeviceDis_Support is set.</t>
  </si>
  <si>
    <t>When set, the UART HW would be hidden from FW and/or Host SW.
This softstrap is only valid when Fuse_DeviceDis_Support is set.</t>
  </si>
  <si>
    <t>When set, the PTIO HW would be hidden from FW and/or Host SW.
This softstrap is only valid when Fuse_DeviceDis_Support is set.</t>
  </si>
  <si>
    <t>When set, the SMT1-3 HW would be hidden from FW and/or Host SW.
This softstrap is only valid when Fuse_DeviceDis_Support is set.</t>
  </si>
  <si>
    <t>When set, the SMT4-6 HW would be hidden from FW and/or Host SW.
This softstrap is only valid when Fuse_DeviceDis_Support is set.</t>
  </si>
  <si>
    <t xml:space="preserve">When set, the FTPMDMA would be disabled.  FW can not trigger any FTPM transaction that targeting Host Memory.
This softstrap is only valid when Fuse_DeviceDis_Support is set.
</t>
  </si>
  <si>
    <t xml:space="preserve">When set, the HECI4DMA would be disabled.  FW can not trigger any HECI4 transaction that targeting Host Memory.
This softstrap is only valid when Fuse_DeviceDis_Support is set.
</t>
  </si>
  <si>
    <t xml:space="preserve">When set, the HECI3DMA would be disabled.  FW can not trigger any HECI3 transaction that targeting Host Memory.
This softstrap is only valid when Fuse_DeviceDis_Support is set.
</t>
  </si>
  <si>
    <t xml:space="preserve">When set, the HECI2DMA would be disabled.  FW can not trigger any HECI2 transaction that targeting Host Memory.
This softstrap is only valid when Fuse_DeviceDis_Support is set.
</t>
  </si>
  <si>
    <t xml:space="preserve">When set, the HECI1DMA would be disabled.  FW can not trigger any HECI1 transaction that targeting Host Memory.
This softstrap is only valid when Fuse_DeviceDis_Support is set.
</t>
  </si>
  <si>
    <t xml:space="preserve">When set, the IMRDMA would be disabled.  FW can not trigger any transaction that targeting IMR.
This softstrap is only valid when Fuse_DeviceDis_Support is set.
</t>
  </si>
  <si>
    <t xml:space="preserve">When set, the WLANDMA would be disabled.  FW can not trigger any WLAN transaction that targeting Host Memory.
This softstrap is only valid when Fuse_DeviceDis_Support is set.
</t>
  </si>
  <si>
    <t xml:space="preserve">When set, the IDERDMA would be disabled.  FW can not trigger any IDER transaction that targeting Host Memory.
This softstrap is only valid when Fuse_DeviceDis_Support is set.
</t>
  </si>
  <si>
    <t>CSME Security Keys.   These security keys (and derived keys) can be used to protect assets which require confentiality in production platforms even when in debug mode.  See CSME FW FAS for details</t>
  </si>
  <si>
    <t>CSME Security Keys Fuse Check Hash:  This is an integrity check of security fuses done by the CSE ROM.  This needs to be the lower 31 bits of the SHA256 of the following security fuses.
* CSME_Security_Keys (256 bits)
* PAVP2_DAA_Private_Key (256 bits)
* PAVP2_DAA_Private_Key_GroupID (32 bits)
* fTPM_EK_Fuses (32 bits)
* CSME_Debug_Enabled_Security_Key (128 bits)
* EPID 2.0 Private Key (256 bits)
* EPID 2.0 Group ID (32 bits)</t>
  </si>
  <si>
    <t>CSME Debug Enabled Security Key.  These security keys (and derived keys) can be used to protect assets which require confentiality in production platforms however are available when platform is unlocked in debug mode.  See CSME FW FAS for details</t>
  </si>
  <si>
    <t>CSME General FW Fuse Check Parity. This is a placeholder for integrity protection on General Fuses.</t>
  </si>
  <si>
    <t>PUF ECC fuses.</t>
  </si>
  <si>
    <t>CSME Debug Enabled Security Key wrapped with Gkey2.  These security keys (and derived keys) can be used to protect assets which require confentiality in production platforms however are available when platform is unlocked in debug mode.  See CSME FW FAS for details</t>
  </si>
  <si>
    <t>This is an idication bit for external Fuse Pull, and refered to GSK_FPULL_CONTROL reigster</t>
  </si>
  <si>
    <t>This is an idication bit for external Fuse Pull, and refered to GSK_GENERAL_FW_FPULL_STATUS reigster</t>
  </si>
  <si>
    <t>FW general Group2 fuses pulled by HW for ROM and FW</t>
  </si>
  <si>
    <t>CSME Configuration Fuses managed by FW.  Must be available prior to CSME ROM execution</t>
  </si>
  <si>
    <t>CSME Configuration Fuses managed by FW.  Must be available prior to CSME ROM execution
FW usage details
Name- ISH Disable
User- Kernal
Desc- Set if ISH is disabled
1= ISH Disabled
0= ISH Enabled</t>
  </si>
  <si>
    <t>CSME Configuration Fuses managed by FW.  Must be available prior to CSME ROM execution
FW usage details
Name- IFP Support Disabled
User - Kernel
Desc- If set, IFP support is disabled</t>
  </si>
  <si>
    <t>CSME Configuration Fuses managed by FW.  Must be available prior to CSME ROM execution
FW usage details
Name- Secure Boot Disable (Boot Guard, Anchor Cove)
User- Kernel
Desc- If set, secure boot is disabled
1= Secure Boot Disable (Boot Guard, Anchor Cove)
0= Secure Boot Enabled (Boot Guard, Anchor Cove)</t>
  </si>
  <si>
    <t>FW Patch disable fuse used in Server SKU FW</t>
  </si>
  <si>
    <t>This is to configure the IPC message with PMC for FW/ROM usage</t>
  </si>
  <si>
    <t>When this fuse is set then it disables all SAI checks based on Host_PoG inside CSME</t>
  </si>
  <si>
    <t>When clear, the HW would not disable any of the CSME devices.
When set, the HW would disable the CSME devices based on soft straps.
Retention flops are used so that values are maintained through IP-Accessible PG where no re-pull is done.</t>
  </si>
  <si>
    <t xml:space="preserve">Disable MROM (Disable_MROM)
0: MROM is enabled. 
1: MROM is disabled. 
If set to 1, MROM will be hidden from the Host OS/BIOS
Impacts HW, signal name: FP_mrom_dismromfuse
</t>
  </si>
  <si>
    <t>MROM BAR Disable (MROM_BAR_Disable)
0: MROM EROMBAR range should be enabled. 
1: MROM EROMBAR range should be disabled. 
This fuse bit does not control the logic behavior directly, but directs the behavior of BIOS and FW. 
Impacts HW, signal name: FP_mrom_mrombardisfuse</t>
  </si>
  <si>
    <t xml:space="preserve">0: OCS Self Test is Disabled
1: OCS Self Test is Enabled
</t>
  </si>
  <si>
    <t>HSIO SKU Limit Fuses</t>
  </si>
  <si>
    <t>Testmode Global Key G3 Disable is set on production parts to enable use of the G3 production key.
Impacts HW, signal name:  fuse_g3test_dis</t>
  </si>
  <si>
    <t xml:space="preserve">This is a 3b IFP encoding value to indicate IFP status in Group 1 whether or not the IFPs in group 1 is supposed to be burnt.
This fuse value should be set at End of Manufacturing.
</t>
  </si>
  <si>
    <t xml:space="preserve">This is one of a 3b IFP encoding value to enable MISA to stall the mFSB when a glitch occurs.  </t>
  </si>
  <si>
    <t>EXT_FUSE_PULL_SUPP</t>
  </si>
  <si>
    <t xml:space="preserve">Samsung PUG </t>
  </si>
  <si>
    <t xml:space="preserve">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
</t>
  </si>
  <si>
    <t xml:space="preserve">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</si>
  <si>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</si>
  <si>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DRNG_ERR_HNDL_BYPASS_DISABLE (todo: add link) 
DRNG_ERR_HNDL_BYPASS_DISABLE = 0:  Error handling in case of faulty DRNG will not be executed (bypass is enabled)
DRNG_ERR_HNDL_BYPASS_DISABLE = 1:  Error handling in case of faulty DRNG will be executed (bypass is disabled)</t>
  </si>
  <si>
    <t>RSA_SKIP_DISABLED
Skipping RSA hash is means of saving on boot time if manifest already authenticated</t>
  </si>
  <si>
    <t>Size, in 64 byte chunks, of portion of DSWRAM which should be cleared on DSx (or deeper) exit.</t>
  </si>
  <si>
    <t>This is to indicate External Fuse Pull Support.</t>
  </si>
  <si>
    <t>0: Measurement Extension Register Not Supported
1: Measurement Extension Register Supported</t>
  </si>
  <si>
    <t xml:space="preserve">This is one of a 3b IFP encoding value to disable MISA to stall the mFSB when a glitch occurs.    </t>
  </si>
  <si>
    <t>OEM_IFP_CONFIG_DONE_0</t>
  </si>
  <si>
    <t>TRC_GLITCH_DETECTION_ENABLE_IFP_0</t>
  </si>
  <si>
    <t>TRC_GLITCH_DETECTION_DISABLE_IFP_0</t>
  </si>
  <si>
    <t xml:space="preserve">OEM Secret Keys    </t>
  </si>
  <si>
    <t>BOD, JtagRd, JtagWr, SBRd, SBWr</t>
  </si>
  <si>
    <t>Revision #</t>
  </si>
  <si>
    <t>Date</t>
  </si>
  <si>
    <t>Author</t>
  </si>
  <si>
    <t>Masahide Kakeda</t>
  </si>
  <si>
    <t>Initial Revision</t>
  </si>
  <si>
    <t>Added GSC Config</t>
  </si>
  <si>
    <t>Added Description for each bit fields.</t>
  </si>
  <si>
    <t>0x6800</t>
  </si>
  <si>
    <t>GEN_FW_FUSE_CHASSIS_ADDR_START</t>
  </si>
  <si>
    <t>GEN_FW_FUSE_CHASSIS_RSVD_START</t>
  </si>
  <si>
    <t>GEN_FW_FUSE_CHASSIS_ADDR_START + (4*GENERAL_FW_FUSES_LIMIT)</t>
  </si>
  <si>
    <t>16'h6800</t>
  </si>
  <si>
    <t>GEN_FW_FUSE_CHASSIS_IMPL_ADDR_LIMIT</t>
  </si>
  <si>
    <t>GEN_FW_FUSE_CHASSIS_RSVD_START - 1</t>
  </si>
  <si>
    <t>GENERAL_FW_FUSES_LIMIT</t>
  </si>
  <si>
    <t>GEN_FW_FUSE_OFST_START</t>
  </si>
  <si>
    <t>12'h400</t>
  </si>
  <si>
    <t>GEN_FW_FUSE_RSVD_START</t>
  </si>
  <si>
    <t>GEN_FW_FUSE_OFST_START + (4 * GENERAL_FW_FUSES_LIMIT)</t>
  </si>
  <si>
    <t>GEN_FW_FUSE_IMPL_ADDR_LIMIT</t>
  </si>
  <si>
    <t>GEN_FW_FUSE_RSVD_START - 1</t>
  </si>
  <si>
    <t>GEN_FW_FUSE_OFST_END</t>
  </si>
  <si>
    <t>12'h7FF</t>
  </si>
  <si>
    <t>PUF_HELPER_DATA_FUSES_START_ADDR</t>
  </si>
  <si>
    <t>16'h6A00</t>
  </si>
  <si>
    <t>FW_IFP_FUSES_LIMIT[6:0]</t>
  </si>
  <si>
    <t>OEM_SECRET_KEYS_FUSES_LIMIT[5:0]</t>
  </si>
  <si>
    <t>NUM_FUSE_XFER[7:0]</t>
  </si>
  <si>
    <t>8'h0A</t>
  </si>
  <si>
    <t>CSE_HW_FW_CFG_FUSE_DEFAULT[GROUP1_FUSE_NUM_DW*32-1: 0]</t>
  </si>
  <si>
    <t>GROUP1_FUSE_DEFAULT_PARAM[GROUP1_FUSE_NUM_DW*32-1:)}</t>
  </si>
  <si>
    <t>STRAPS_DEFAULT_PARAM[STRAPS_NUM_DW*32-1:0]</t>
  </si>
  <si>
    <t>IFP_FUSE_OFST_START[11:0]</t>
  </si>
  <si>
    <t>12'h900</t>
  </si>
  <si>
    <t>IFP_FUSE_RSVD_START[11:0]</t>
  </si>
  <si>
    <t>IFP_FUSE_OFST_START + (4 * FW_IFP_FUSES_LIMIT)</t>
  </si>
  <si>
    <t>IFP_FUSE_IMPL_ADDR_LIMIT</t>
  </si>
  <si>
    <t>IFP_FUSE_RSVD_START - 1</t>
  </si>
  <si>
    <t>IFP_FUSE_OFST_END[11:0]</t>
  </si>
  <si>
    <t>12'h9FC</t>
  </si>
  <si>
    <t>NUM_GSK_HW_CFG_FUSES</t>
  </si>
  <si>
    <t>NUM_BITS_CFG_FUSES</t>
  </si>
  <si>
    <t>(NUM_GSK_HW_CFG_FUSES)*32</t>
  </si>
  <si>
    <t>{gsk_fuses_rf_repair2_pre, gsk_fuses_rf_repair1_pre, gsk_fuses_rf_repair0_pre, gsk_fuses_rom_rf_trim_pre, gsk_spare_fuses_hw_cfg_pre, gsk_fuses_trc_config_pre, gsk_fuses_hw_cfg_pre, hw_cfg_fuses_high_pre, hw_cfg_fuses_mid_pre, hw_cfg_fuses_low_pre}</t>
  </si>
  <si>
    <t>{gsk_hw_dis_straps_s, hw_cfg_straps_s}</t>
  </si>
  <si>
    <t>DWs</t>
  </si>
  <si>
    <t>CSE_SRAM_INT_RDD_FUSE_PULL</t>
  </si>
  <si>
    <t>A0_Strap</t>
  </si>
  <si>
    <t>Removed unnecessary parameters and correct Fuse Receiver Address for Group 2</t>
  </si>
  <si>
    <t>Fuse Puller FIFO Data Format</t>
  </si>
  <si>
    <t>Group</t>
  </si>
  <si>
    <t>Parameters</t>
  </si>
  <si>
    <t>Unit</t>
  </si>
  <si>
    <t>data (e.g.)</t>
  </si>
  <si>
    <t>Shalini Sharma</t>
  </si>
  <si>
    <t>Removed RF and ROM misc and repair fuses. Removed Debug Encryption key fuses
Removed softstraps and Removed IFP fuses</t>
  </si>
  <si>
    <t>Removed unnecessary parameters (Group1/SoftStrap) and added some parameters for GSC/FW IFP</t>
  </si>
  <si>
    <t>MTL-SOC-M CSME</t>
  </si>
  <si>
    <t>MTL-SOC-M ESE</t>
  </si>
  <si>
    <t>MTL-SOC-M GSC</t>
  </si>
  <si>
    <t>Config</t>
  </si>
  <si>
    <t>No Param</t>
  </si>
  <si>
    <t>SOFTSTRAP0_EN</t>
  </si>
  <si>
    <t>SOFTSTRAP1_EN</t>
  </si>
  <si>
    <t>// SW/HW Straps</t>
  </si>
  <si>
    <t>FW_IFP1_GENERAL</t>
  </si>
  <si>
    <t>FW_IFP1_Reserved</t>
  </si>
  <si>
    <t>FW_IFP2_Reserved</t>
  </si>
  <si>
    <t>FW_IFP2_GENERAL</t>
  </si>
  <si>
    <t>FW_IFP3_Reserved</t>
  </si>
  <si>
    <t>FW_IFP3_GENERAL</t>
  </si>
  <si>
    <t>// GROUP 0</t>
  </si>
  <si>
    <t>0xF00B0800</t>
  </si>
  <si>
    <t>Fuse Wires (EXT_FUSE_PULL_SUPP=1)</t>
  </si>
  <si>
    <t>IFP_FW_Fuses_Valid</t>
  </si>
  <si>
    <t>BITS</t>
  </si>
  <si>
    <t>SOFTSTRAP0_EN &amp; TRC_PRESENT</t>
  </si>
  <si>
    <t>SOFTSTRAP0_EN &amp; INCLUDE_MROM</t>
  </si>
  <si>
    <t>SOFTSTRAP0_EN &amp; BOOT_DEV_CTRL_EN</t>
  </si>
  <si>
    <t>SOFTSTRAP1_EN &amp; INCLUDE_CM</t>
  </si>
  <si>
    <t>ADP-S CSME</t>
  </si>
  <si>
    <t>ADP-P CSME</t>
  </si>
  <si>
    <t>PCH</t>
  </si>
  <si>
    <t>BTG_CTRL_EN</t>
  </si>
  <si>
    <t>DCMI_CTRL_EN</t>
  </si>
  <si>
    <t>ICLS_CTRL_EN</t>
  </si>
  <si>
    <t>IFP_DIS_CTRL</t>
  </si>
  <si>
    <t>OEM_IFP_DIS_CTRL</t>
  </si>
  <si>
    <t>ISH_DIS_CTRL</t>
  </si>
  <si>
    <t>MNG_APP_DIS_CTRL</t>
  </si>
  <si>
    <t>NFC_DIS_CTRL</t>
  </si>
  <si>
    <t>NM2_0_DIS_CTRL</t>
  </si>
  <si>
    <t>PTT_DIS_CTRL</t>
  </si>
  <si>
    <t>PAVP_2_0_DIS_CTRL</t>
  </si>
  <si>
    <t>RMT_WAKE_DIS_CTRL</t>
  </si>
  <si>
    <t>ROM_DNX_CAP_DIS_CTRL</t>
  </si>
  <si>
    <t>SOFTSTRAP0_EN &amp; ROM_DNX_CAP_DIS_CTRL</t>
  </si>
  <si>
    <t>RPMB_REUSE_DIS_CTRL</t>
  </si>
  <si>
    <t>UFS_HIGH_SPEED_DIS_CTRL</t>
  </si>
  <si>
    <t>WIDI_DIS_CTRL</t>
  </si>
  <si>
    <t>Added ADP-S/ADP-P configuration to make sure it covers legacy definitions</t>
  </si>
  <si>
    <t>Added Description for IFP fuses.</t>
  </si>
  <si>
    <t>This field is reserved for FW usage</t>
  </si>
  <si>
    <t>This is IFP fuses pulled by HW, and programmed for OEM Secret keys.</t>
  </si>
  <si>
    <t>This is FW IFPs, used by its FW.</t>
  </si>
  <si>
    <r>
      <rPr>
        <b/>
        <sz val="11"/>
        <color theme="1"/>
        <rFont val="Calibri"/>
        <family val="2"/>
        <scheme val="minor"/>
      </rPr>
      <t>Allocated for CSME/ESE on MTL-SOC</t>
    </r>
    <r>
      <rPr>
        <sz val="11"/>
        <color theme="1"/>
        <rFont val="Calibri"/>
        <family val="2"/>
        <scheme val="minor"/>
      </rPr>
      <t>. This is FW IFPs, used by its FW.</t>
    </r>
  </si>
  <si>
    <r>
      <rPr>
        <b/>
        <sz val="11"/>
        <color theme="1"/>
        <rFont val="Calibri"/>
        <family val="2"/>
        <scheme val="minor"/>
      </rPr>
      <t xml:space="preserve">Allocated for </t>
    </r>
    <r>
      <rPr>
        <b/>
        <sz val="11"/>
        <color rgb="FFFF0000"/>
        <rFont val="Calibri"/>
        <family val="2"/>
        <scheme val="minor"/>
      </rPr>
      <t>GSC</t>
    </r>
    <r>
      <rPr>
        <b/>
        <sz val="11"/>
        <color theme="1"/>
        <rFont val="Calibri"/>
        <family val="2"/>
        <scheme val="minor"/>
      </rPr>
      <t xml:space="preserve"> on MTL-SOC-M CSME.</t>
    </r>
    <r>
      <rPr>
        <sz val="11"/>
        <color theme="1"/>
        <rFont val="Calibri"/>
        <family val="2"/>
        <scheme val="minor"/>
      </rPr>
      <t xml:space="preserve"> This is FW IFPs, used by its FW.</t>
    </r>
  </si>
  <si>
    <t>Register Name</t>
  </si>
  <si>
    <t>Bit Num</t>
  </si>
  <si>
    <t>Bit Width</t>
  </si>
  <si>
    <t>Fuse Name</t>
  </si>
  <si>
    <t>Attribute</t>
  </si>
  <si>
    <t>TRC_GLITCH_DETECTION_DISABLE_RSVD_31_2</t>
  </si>
  <si>
    <t>TRC_GLITCH_DETECTION_ENABLE_RSVD_31_2</t>
  </si>
  <si>
    <t>Included DCN - Support Push model for fuses for integrated GSC [https://hsdes.intel.com/appstore/article/#/14010939545]</t>
  </si>
  <si>
    <t>Removed PUF fuse in ESE</t>
  </si>
  <si>
    <t>SBWr</t>
  </si>
  <si>
    <t>FW_IFP_GENERAL</t>
  </si>
  <si>
    <t>PARAM_REPAIR_FUSE_SUPPORT_EN</t>
  </si>
  <si>
    <t>Remove Hardstrap since it's not fuse/softstrap, added PARAM_REPAIR_FUSE_SUPPORT_EN, FW_IFP_GENERAL</t>
  </si>
  <si>
    <t>invert the logic key locker configuration.</t>
  </si>
  <si>
    <t>iCLS_Disable</t>
  </si>
  <si>
    <t>ONDIE_CA_ENABLED</t>
  </si>
  <si>
    <t>CSME ROM reads it and runs on-die CA flow (if the value is 1) or skips on-die CA flow (if the value is 0).</t>
  </si>
  <si>
    <t>Encoding Values</t>
  </si>
  <si>
    <t>CSE Secure Debug enabled,1'b0; 
CSE Secure Debug disabled,1'b1</t>
  </si>
  <si>
    <t>CSE ROM Bypass enabled,1'b0; 
CSE ROM Bypass disabled,1'b1</t>
  </si>
  <si>
    <t>Testmode G0 key enabled,1'b0;
 Production G0 key enabled,1'b1</t>
  </si>
  <si>
    <t>Testmode G1 and PUF key enabled,1'b0;
 Production G1 and PUF key enabled,1'b1</t>
  </si>
  <si>
    <t>Platform Halt Disable,1'b0; 
Platform Halt Enable,1'b1</t>
  </si>
  <si>
    <t>Use Platform Halt Disable IFP Fuse,1'b1; Use Platform Halt Disable HVM, 1'h0</t>
  </si>
  <si>
    <t>Testmode G2 key enabled,1'b0; 
Production G2 key enabled,1'b1</t>
  </si>
  <si>
    <t>zeroing bypass enabled,1'b0; 
zeroing bypass disabled,1'b1</t>
  </si>
  <si>
    <t>ROM Tracing Hard Enable,1'b0; 
ROM Tracing Hard Disable,1'b1</t>
  </si>
  <si>
    <t>DNX Disabled,1'b1; 
DNX Enabled,1'b0</t>
  </si>
  <si>
    <t>Perform OEM unlock on ROM Bypass,1'b1; 
Do not perform OEM unlock on ROM Bypass,1'b0</t>
  </si>
  <si>
    <t>SoC Device Reuse Prohibited,1'b1; 
SoC Device Reuse Allowed,1'b0</t>
  </si>
  <si>
    <t>Use hard strap in boot sourc select,1'b1; 
Do not use hard strap in boot source select,1'b0</t>
  </si>
  <si>
    <t>PUF Enable, 1'b0;PUF Disable,1'b1</t>
  </si>
  <si>
    <t>Disable countermeasure,1'b0;
 Enable countermeasure,1'b1</t>
  </si>
  <si>
    <t>CSE HVM Mode Enabled,1'b0; 
CSE HVM Mode Disabled,1'b1</t>
  </si>
  <si>
    <t>CSE MIA Halt Enabled,1'b0; 
CSE MIA Halt Disabled,1'b1</t>
  </si>
  <si>
    <t>Default Value,5'b00000;
 MV bits,5'b00101</t>
  </si>
  <si>
    <t>Boot source switch occur via Global Reset,1'b1; 
No boot source switch,1'b0</t>
  </si>
  <si>
    <t>Default Value,3'b000;
 BCH,3'b010</t>
  </si>
  <si>
    <t>Revenue Part,1'b0; 
Non-Revenue Part,1'b1</t>
  </si>
  <si>
    <t xml:space="preserve"> ISH Disabled,1'b1; 
ISH enabled,1'b0</t>
  </si>
  <si>
    <t xml:space="preserve"> Cxxx PCH SKU ,1'b1;
Non-Cxxx PCH SKU,1'b0</t>
  </si>
  <si>
    <t>FUSA DiagTest Enable,1'b1;
FUSA DiagTest Disable,1'b0</t>
  </si>
  <si>
    <t>Disable NM2.0 Function,1'b1;
Enable NM2.0 Function,1'b0</t>
  </si>
  <si>
    <t>Server Chipset,1'b1; 
Non-server Chipset,1'b0</t>
  </si>
  <si>
    <t>PAVP Disabled,1'b1; 
PAVP Enabled,1'b0</t>
  </si>
  <si>
    <t>CSE Cfg Fuse 40 zero,1'b0</t>
  </si>
  <si>
    <t xml:space="preserve"> SuperSKU, 3'b000;
FULL, 3'b100;
STD, 3'b101;
No_MNG, 3'b111</t>
  </si>
  <si>
    <t>CSE Cfg Fuse 44 zero,1'b0</t>
  </si>
  <si>
    <t>Wireless display is disabled,1'b1;
Wireless display is enabled,1'b0</t>
  </si>
  <si>
    <t>CSE Cfg Fuse 46 zero,1'b0</t>
  </si>
  <si>
    <t>ICLS disabled,1'b1; 
ICLS enabled,1'b0</t>
  </si>
  <si>
    <t>SPI Flash Boot enable,1'b1;
SPI Flash Boot disable,1'b0</t>
  </si>
  <si>
    <t>eMMC Flash Boot enable,1'b1;
eMMC Flash Boot disable,1'b0</t>
  </si>
  <si>
    <t>UFS Flash Boot enable,1'b1;
UFS Flash Boot disable,1'b0</t>
  </si>
  <si>
    <t>IFP Support Disabled,1'b1; 
IFP Support Enabled,1'b0</t>
  </si>
  <si>
    <t>Secure Boot Disable,1'b1; 
Secure Boot Enable,1'b0</t>
  </si>
  <si>
    <t>fTPM Disable,1'b1;
fTPM Enable,1'b0</t>
  </si>
  <si>
    <t>Extreme, 2'b00;
Medium, 2'b01;
Basic, 2'b10;
Enhanced, 2'b11</t>
  </si>
  <si>
    <t>DefaultValue, 8'h0; FW Signing Key Disable,8'hx</t>
  </si>
  <si>
    <t>DefaultValue, 15'h7fff;
CSME SRAM Bank Enable Vector,15'hx</t>
  </si>
  <si>
    <t>CSME_Remote_Wake_Enable,1'b0;
CSME_Remote_Wake_Disable,1'b1</t>
  </si>
  <si>
    <t>high_speed_enabled, 1'b0; high_speed_disabled, 1'b1</t>
  </si>
  <si>
    <t>CSE Cfg Fuse 81 zero,1'b0</t>
  </si>
  <si>
    <t>DefaultValue, 3'h0;FB_PLATFORM_ID,3'hx</t>
  </si>
  <si>
    <t>DRNG_ERR_HNDL_BYPASS_ENABLE,1'b0;DRNG_ERR_HNDL_BYPASS_DISABLE, 1'b1</t>
  </si>
  <si>
    <t>RSA Skip, 1'h0;
RSA Do Not Skip,1'b1</t>
  </si>
  <si>
    <t>DefaultValue, 5'h0;DSWRAM DSX CLEAR SIZE,5'h2</t>
  </si>
  <si>
    <t>DefaultValue, 4'h0;FB STEPPING ID,4'hx</t>
  </si>
  <si>
    <t>DefaultValue, 4'h0;FB MODEL ID,4'hx</t>
  </si>
  <si>
    <t>ROM LBL Keeper Stack Enable,1'b0;
ROM LBL Keeper Stack Disable,1'b1</t>
  </si>
  <si>
    <t>RF XLLP Write Assist Disabled,1'b0; 
RF XLLP Write Assist Enable,1'b1</t>
  </si>
  <si>
    <t>RF LL Write Assist Disabled,1'b0; 
RF LL Write Assist Enable,1'b1</t>
  </si>
  <si>
    <t>Host_PoG_SAI_checks_disable,1'b1;Host_PoG_SAI_checks_enable,1'b0</t>
  </si>
  <si>
    <t>Device Disable Support Enabled,1'b1;Device Disable Support Not enabled, 1'b0;</t>
  </si>
  <si>
    <t>MROM enabled,1'b0; 
MROM disabled,1'b1;Dont Care, 1'hx</t>
  </si>
  <si>
    <t>MROM BAR enabled,1'b0; 
MROM BAR disabled,1'b1;Dont Care, 1'hx</t>
  </si>
  <si>
    <t>OCS SELF TEST Enable,1'b1;
OCS SELF TEST Disable,1'b0</t>
  </si>
  <si>
    <t>Default Value, 7'h0;CSME HSIO SKU Limit,7'hx</t>
  </si>
  <si>
    <t>Testmode G3 key enabled,1'b0; 
Production G3 key enabled,1'b1</t>
  </si>
  <si>
    <t>PUF Test key enabled,1'b0;
 PUF Test key disabled,1'b1</t>
  </si>
  <si>
    <t>PUF HVM Mode enabled,1'b0;PUF HVM Mode disabled,1'b1</t>
  </si>
  <si>
    <t>PUF Auto key gen enabled,1'b1;
PUF Auto key gen disabled,1'b0</t>
  </si>
  <si>
    <t>Clear of all data region in case of unrecoverable error,1'b1;Do not clear of all data region in case of unrecoverable error,1'b0</t>
  </si>
  <si>
    <t>CSME Configuration Fuses managed by FW.  Must be available prior to CSME ROM execution
FW usage details
Name- BOOT_SOURCE_SWITCH_THROUGH_GRST
User- ROM
Desc- Indicates whether on identification of bad image, should the boot source switch occur via Global Reset.  Note: If AON SRAM is not preserved through GRST, this fuse must be set to zero.</t>
  </si>
  <si>
    <t># of BCH Iterations for error correction</t>
  </si>
  <si>
    <t xml:space="preserve">CSME Configuration Fuses managed by FW.  Must be available prior to CSME ROM execution
FW usage details
Name- Revenue Part Indicator
User- RBE and BUPSKUMGR
Desc- This fuse allows debug functionality on Qual sample Production parts. Should be disabled on Prod parts that are not qual samples. 
0 - Revenue Part
1 - Non Revenue Part
</t>
  </si>
  <si>
    <t>CSME Configuration Fuses managed by FW.  Must be available prior to CSME ROM execution
FW usage details
Name- Disable Node Manager (NM2.0)
User - Kernel
Desc - Server FW reads this fuse for enabling Node Manager functionality. No HW impact.
1 = Disables NM2.0 Function (Node Manager)
0 = Enables NM2.0 Function</t>
  </si>
  <si>
    <t xml:space="preserve">CSME Configuration Fuses managed by FW.  Must be available prior to CSME ROM execution
FW usage details
Name- SVR_CHIPSET (Berg family)
User- Kernel
Desc- If set, indicates this is a server chipset (berg family)
1= Server Chipset
0= non-server chipset
</t>
  </si>
  <si>
    <t>CSME Configuration Fuses managed by FW.  Must be available prior to CSME ROM execution
FW usage details
Name- PAVP 2.0 DISABLE
User- Kernel
Desc- If set then PAVP 2.0 is disabled
1= PAVP Disabled
0= PAVP Enabled</t>
  </si>
  <si>
    <t>CSME Configuration Fuses managed by FW.  Must be available prior to CSME ROM execution
FW usage details
Name- NET_INFRA_MODE
User- Kernel
Desc- The three bit encoded field determines manageability feature set
NET_INFRA_MODE (bit 2,1,0)
000= SuperSKU
100= FULL
101= STD (Standard)
111= No Manageability</t>
  </si>
  <si>
    <t>OEM IFP Config_0 Done,1'b1;OEM IFP Config_0 Not  Done,1'b0;</t>
  </si>
  <si>
    <t>TRC Glitch Dectection Enable IFP_0 set ,1'b1;TRC Glitch Detection Enable IFP_0 NOT set, 1'b0;</t>
  </si>
  <si>
    <t>Reserved,30'h0</t>
  </si>
  <si>
    <t>TRC Glitch Dectection Disable IFP_0 set ,1'b1;TRC Glitch Detection Disable IFP_0 NOT set, 1'b0;</t>
  </si>
  <si>
    <t>Reserved,31'h0</t>
  </si>
  <si>
    <t>OEM IFP Config_1 Done,1'b1;OEM IFP Config_1 Not  Done,1'b0;</t>
  </si>
  <si>
    <t>TRC Glitch Dectection Enable IFP_1 set ,1'b1;TRC Glitch Detection Enable IFP_1 NOT set, 1'b0;</t>
  </si>
  <si>
    <t>TRC Glitch Dectection Disable IFP_1 set ,1'b1;TRC Glitch Detection Disable IFP_1 NOT set, 1'b0;</t>
  </si>
  <si>
    <t>OEM IFP Config_2 Done,1'b1;OEM IFP Config_2 Not  Done,1'b0;</t>
  </si>
  <si>
    <t>TRC Glitch Dectection Enable IFP_2 set ,1'b1;TRC Glitch Detection Enable IFP_2 NOT set, 1'b0;</t>
  </si>
  <si>
    <t>TRC Glitch Dectection Disable IFP_2 set ,1'b1;TRC Glitch Detection Disable IFP_2 NOT set, 1'b0;</t>
  </si>
  <si>
    <t>HW CRC Value,16'h0</t>
  </si>
  <si>
    <t>Reserved,8'h0</t>
  </si>
  <si>
    <t>Enable CRC check,4'h5;Disable CRC check, 4'hA</t>
  </si>
  <si>
    <t>Reserved,4'h0</t>
  </si>
  <si>
    <t>Default Value, 24'b0; TRC Glitch Detection Delay, 24'bx</t>
  </si>
  <si>
    <t>HIP Config for TRC Disable, 5'b0; HIP Config for TRC Enable,5'bx</t>
  </si>
  <si>
    <t>Reserved,2'b00</t>
  </si>
  <si>
    <t>TRC Glitch Detection Enable, 1'b1;TRC Glitch Detection Disable,1'b0</t>
  </si>
  <si>
    <t>Default Value,8'h0</t>
  </si>
  <si>
    <t>RF_trim_fuses,16'h0</t>
  </si>
  <si>
    <t>ROM_trim_fuses,8'h0</t>
  </si>
  <si>
    <t>CFMIA_RF_Repair_fuses,32'h0</t>
  </si>
  <si>
    <t>PG_RF_Repair_fuses,32'h0</t>
  </si>
  <si>
    <t>AON_RF_Repair_fuses,32'h0</t>
  </si>
  <si>
    <t>CSE Cfg Fuse 18 zero,1'b0</t>
  </si>
  <si>
    <t>CSE Cfg Fuse 19 zero,1'b0</t>
  </si>
  <si>
    <t>CSE Cfg Fuse 20 zero,1'b0</t>
  </si>
  <si>
    <t>CSE Cfg Fuse 21 zero,1'b0</t>
  </si>
  <si>
    <t>CSE Cfg Fuse 22 zero,1'b0</t>
  </si>
  <si>
    <t>CSE Cfg Fuse 23 zero,1'b0</t>
  </si>
  <si>
    <t>CSE Cfg Fuse 24 zero,1'b0</t>
  </si>
  <si>
    <t>CSE Cfg Fuse 26 zero,1'b0</t>
  </si>
  <si>
    <t>CSE Cfg Fuse 27 zero,1'b0</t>
  </si>
  <si>
    <t>CSE Cfg Fuse 28 zero,1'b0</t>
  </si>
  <si>
    <t>CSE Cfg Fuse 29 zero,1'b0</t>
  </si>
  <si>
    <t>CSE Cfg Fuse 30 zero,1'b0</t>
  </si>
  <si>
    <t>CSE Cfg Fuse 37 zero,1'b0</t>
  </si>
  <si>
    <t>Default Value, 32'b0;OEM Keys,32'hx;</t>
  </si>
  <si>
    <t>CSE Cfg Fuse 101 zero,1'b0</t>
  </si>
  <si>
    <t>CSE Cfg Fuse 119_118 zero,1'b0</t>
  </si>
  <si>
    <t>Value</t>
  </si>
  <si>
    <t>CSE Cfg Fuse 11 zero,1'b0</t>
  </si>
  <si>
    <t>CSE Cfg Fuse 15 zero,1'b0</t>
  </si>
  <si>
    <t>CSE Cfg Fuse 32 zero,1'b0</t>
  </si>
  <si>
    <t>CSE Cfg Fuse 96 zero,1'b0</t>
  </si>
  <si>
    <t>CSE Cfg Fuse 97 zero,1'b0</t>
  </si>
  <si>
    <t>CSE Cfg Fuse 98 zero,1'b0</t>
  </si>
  <si>
    <t>CSE Cfg Fuse 102 zero,1'b0</t>
  </si>
  <si>
    <t>CSE Cfg Fuse 103 zero,1'b0</t>
  </si>
  <si>
    <t>CSE Cfg Fuse 111_105 zero,1'b0</t>
  </si>
  <si>
    <t>CSE Cfg Fuse 114 zero,1'b0</t>
  </si>
  <si>
    <t>CSE Cfg Fuse 115 zero,1'b0</t>
  </si>
  <si>
    <t>CSE Cfg Fuse 116 zero,1'b0</t>
  </si>
  <si>
    <t>CSE Cfg Fuse 126_122 zero,1'b0</t>
  </si>
  <si>
    <t>DefaultValue, 1'b0;MEASUREMENT_EXTENSION_SUPP,1'bx</t>
  </si>
  <si>
    <t>CSE ONDIE CA Disabled, 1'b0; CSE ONDIE CA Enabled,1'b1</t>
  </si>
  <si>
    <t>DefaultValue, 1'b0; CSE_CFG_FUSES_VALID,1'bx</t>
  </si>
  <si>
    <t>Added encoding value for Group1</t>
  </si>
  <si>
    <t>Following the recent DCN update for [DCN] Support Push model for fuses for integrated GSC(DCN) document updates
https://hsdes.intel.com/appstore/article/#/14010939545</t>
  </si>
  <si>
    <t>ROM_BYPASS_AUTHENTICATION_SUPPORT</t>
  </si>
  <si>
    <t>Security Key Fuses</t>
  </si>
  <si>
    <t>ROM_Bypass_Auth_Disable</t>
  </si>
  <si>
    <t>Immutable ROM Bypass Authentication Enable Fuse
Note: This bit must be referred with ROM_Bypass_Disable Group1 fuse as well as ROM_Bypass_En Hardstrap.
Any parts customer would use must enable ROM Bypass Authentication flow with ROM_Byass_Disable fuse set to 0.
Business Group (e.g. CCG and IOTG) shall ensure to disable legacy ROM Bypass flow over HVM fuses. Unfused part shall be used Intel internal usage only.</t>
  </si>
  <si>
    <t xml:space="preserve">ROM Bypass Authentication Disable,1'b1; 
ROM Bypass Authentication Enable,1'b0; </t>
  </si>
  <si>
    <t>For ESE ROM to configure the ROM Bypass flow, the ROM_Bypass_Auth_Disable bit filed is added in the GROUP1[9] HVM fuse, this fuse value will be loaded into GSK_FUSES_LO register bit9.
This fuse value in A0 strap is set to 0, and it'll be XORed with the GROUP1[9] when it is pulled correctly.
The default value of the GSK_FUSES_LO[9] is set to '0' for Production silicon.
• When Fuse Parameter (ROM_BYPASS_AUTHENTICATION_SUPPORT) is set to '1', the Group1 HVM Fuse value at Bit9 will be defined as ROM_Bypass_Auth_Disable bit fuses.
• When the parameter is set to '0', the Group1 HVM fuse value at Bit9 will be defined as IP_Cfg_Fuse_9 as reserved bit.
RDL of GSK_FUSES_LO also must be configured with the ROM_BYPASS_AUTHENTICATION_SUPPORT accordingly.</t>
  </si>
  <si>
    <t>This parameter is used to remove Gasket internal triprication logic for IFP fuses
When ‘1’, copies for triprication and voting logic will be removed.
When ‘0’, Gasket pulls 2nd and 3rd coipes of each IFP, and voiting logic will be included to detect the valid value.
This parameter is only for IFP fuse, but there are some dependencies to the following parameters.
TRC_PRESENT, OEM_SECRET_KEY_FUSES_LIMIT, and FW_IFP_FUSES_LIMIT
When the INT_IFP_TRIPLE_RDD_DIS is set to ‘0’, the Fuse RDL will be naturally duplicated to Array2 and 3. OEM_SECRET_KEY_FUSES_LIMIT and FW_IFP_FUSES_LIMIT parameters configure DWs only for Array1. INT_IFP_TRIPLE_RDD_DIS parameter determines if the array2, 3 duplucation is required or not.
When more than 64DWs of the generic FW IFPs are required, INT_IFP_TRIPLE_RDD_DIS parameter must be set to ‘1’ and FW_IFP_FUSE_LIMIT must be set to ‘0’.</t>
  </si>
  <si>
    <t>This parameter is used to remove repair fuse registers in Gasket. 
When set, the repair logic are needed in CSE IP. The repair fuse registers will be allocated, there are the following three parameters associated with this parameter.
RF_FUSE_INT_PULL, ROM_INT_FUSE_PULL, and EXT_FUSE_PULL_SUPP
When cleared, the repair logic are not needed. Exiting RF_FUSE_INT_PULL and ROM_INT_FUSE_PULL parameters will be force cleared, and remove ROM and RF (AON, PG, CFMIA) registers.
RF_FUSE_INT_PULL and ROM_INT_FUSE_PULL are used to configure how the signals in the RTL are driven. When set, the signals are drived from the Gasket internal fuse registers pulled by Gasket Fuse Puller. When cleared, the signals are drived from the wires driven by SOC. Like DG1, there is a use case where these parameters can be cleared even when the internal fuse puller is enabled (EXT_FUSE_PULL_SUPP=1)
EXT_FUSE_PULL_SUPP is used to configure whether the internal fuse puller is enabled or not. This parameter can be configured regardless of RF_FUSE_INT_PULL and ROM_INT_FUSE_PULL.
Therefore this parameter: REPAIR_FUSE_SUPPORT_EN is added on top of existing there parameters.</t>
  </si>
  <si>
    <t>When set to 0 the HW key called GKEY0 is available to be used with AES and SM4 (if present) ciphers, the fuse value to configure the GKEY0 feature is propagated to OCS from Gasket.
When set to 1, the wire to propagate the value in Group1 HVM fuse will be removed.
When the fuse is removed, the bit field of the fuse will be reserved.</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</si>
  <si>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</si>
  <si>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Number of SRAM banks in this SIP variation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</si>
  <si>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When set to 1, the internal fuse pull is disabled all the fuses are pulled by external fuse puller. Group 1/2/3 HVM fuses are routed as wires.
This parameter is also used to disable sending an IP_Ready message from the HW after Fuse Pull is done by external fuse puller.</t>
  </si>
  <si>
    <t xml:space="preserve">When set to 1, MROM will be supported in CSE, and the fuses to configure the MROM feature are allocated in the Group1 fuse and softstrap.
When set to 0, the RTL logic for MROM feature is removed and the bit fields for Group1 and Softstrap are reserved. </t>
  </si>
  <si>
    <t>This parameter specifies maximum DW size supported in OEM secret key fuses per copy.
The parameter is in decimal value.
The maximum DW size is 32.
If the value is 0, then OEM secret key IFP FUSES is not supported.
When this parameter set to 0, the IFP allocation in Group 0 will be removed.</t>
  </si>
  <si>
    <t>This is a redundandant parameter that being tracked in the CFMIA.  It should refer to CSE_TOP.RF_INT_FUSE_PULL instead.
This is only value when the EXT_FUSE_PULL_SUPP is set to 0.
When this bit is set to 0, the wires from Gasket to CFMIA will be tied off, and the HVM Group1 fuse as well as registers will be removed from RDL/RTL.
fpctrl_cfmia_rf_repair_fuse
fpctrl_pg_rf_repair_fuse
fpctrl_aon_rf_repair_fuse</t>
  </si>
  <si>
    <t>This is a redundandant parameter that being tracked in the CFMIA.  It should refer to CSE_TOP.ROM_INT_FUSE_PULL instead.
When this bit is set to 0, the wires from Gasket to CFMIA will be tied off, and the HVM Group1 fuse as well as registers will be removed from RDL/RTL.
fpctrl_rom_trim_fuse
fpctrl_rf_trim_fuse</t>
  </si>
  <si>
    <t>TRC HIP Instantiated or not.
When TRC HIP is not present in MISA, the fuse and its register allocation of Group1 and IFP as well as registers in Gasket will be removed from RDL/RTL</t>
  </si>
  <si>
    <t>This parameter specifies the maximum DW size that supported in the FW IFP Fuse Pull Fuse Memory per copy.
The parameter is in decimal value.
When INT_IFP_TRIPLE_RDD_DIS is set to ‘0’, this parameter is specifies the DW size per copy. The maximum value is 64, which indicate 64 DW.  
When INT_IFP_TRIPLE_RDD_DIS is set to ‘1’, this parameter is specifies the DW size of entire generic IFP fuse size without internal copy. The maximum value is 64 x 3, which indicate 192 DW.
If the value is 0, then FW IFP FUSES is not supported.</t>
  </si>
  <si>
    <t>As defined in the CSE HAS, there is LLDD Fuse Reserved Range from 0000h to 003Fh in Array 1. This range is for FW IFP fuse. HW will allocate 512bits (0x40 Bytes) for FW usage unless FW team doesn’t have any IFP in the Array1.
Bit size is defined in this parameter.
If the parameter is 0, it means no IFP allocation for this range.  Default is to set FW_IFP1_RESERVED = 512 (Full allocation for FW IFP)</t>
  </si>
  <si>
    <t>As defined in the CSE HAS, there is LLDD Fuse Reserved Range from 0200h to 023Fh in Array 2. This range is for FW IFP fuse. HW will allocate 512bits (0x40 Bytes) for FW usage unless FW team doesn’t have any IFP in the Array2.
Bit size is defined in this parameter.
If the parameter is 0, it means no IFP allocation for this range.  Default is to set FW_IFP2_RESERVED = 512 (Full allocation for FW IFP)</t>
  </si>
  <si>
    <t>As defined in the CSE HAS, there is LLDD Fuse Reserved Range from 0400h to 043Fh in Array 3. This range is for FW IFP fuse. HW will allocate 512bits (0x40 Bytes) for FW usage unless FW team doesn’t have any IFP in the Array3.
Bit size is defined in this parameter.
If the parameter is 0, it means no IFP allocation for this range.  Default is to set FW_IFP3_RESERVED = 512 (Full allocation for FW IFP)</t>
  </si>
  <si>
    <t>This parameter is used to define the Fuse RDL IFP size, and there is no impact to the CSE IP RTL since this parameter is only valid when the FW_IFP_FUSE_LIMIT is set to ‘0’.
As defined in the CSE HAS, there is General FW IFP Fuse Range from 0100h to 01FFh in Array 1, from 0300h to 03FFh in Array 2, and from 0500h to 05FFh in Array 3,  This range is for General FW IFP usage. HW will allocate 2048bits (0x100 Bytes) per array for FW usage.
The miximum size of this parameter depends on the Fuse Controller definition. When FW_IFP_FUSE_LIMIT is not-zero value, this parameter is ignored.
If the parameter is 0, it means no IFP allocation for this range.</t>
  </si>
  <si>
    <t>This parameter is used to indicate the Group0 Fuses are burnt by HVM and pulled by external fuse puller especially when External Fuse Puller is used.
IFP_FW_FUSES_VALID bit will be always set to ‘1’ in production parts so that FW can determine the Group0 fuses are pulled.
However, when the IFP fuses are grouped as Group1 instead of Group0, this valid bit won’t be needed and CSE_CFG_FUSES_VALID in group1 is used instead.</t>
  </si>
  <si>
    <t>This parameter is used to indicate the Group2 Fuses are burnt by HVM and pulled by external fuse puller especially when External Fuse Puller is used.
FW_Fuses_Valid bit will be always set to ‘1’ in production parts so that FW can determine the Group0 fuses are pulled.
However, when the HVM fuses are grouped as Group1 instead of Group2, this valid bit won’t be needed and CSE_CFG_FUSES_VALID in group1 is used instead.</t>
  </si>
  <si>
    <t>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t>
  </si>
  <si>
    <t xml:space="preserve">This parameter is used to define iKGF signature for On Die CA. This parameter shows bit size of HVM fuse. 
Current signature size is 768 bits. When this parameter is set to ‘0’, this HVM fuse is removed. </t>
  </si>
  <si>
    <t>This parameter is used to define bit size of FW configuration fuses. Each bit allocation will be defined by FW spec. When this parameter is set to ‘0’, this HVM fuse is removed.</t>
  </si>
  <si>
    <t>This parameter is used to define bit size of PUF Helper data. When this parameter is set to ‘0’, this HVM fuse is removed.</t>
  </si>
  <si>
    <t>This parameter is used to define bit size of FW Fuse Check Parity. Each bit allocation will be defined by FW spec. When this parameter is set to ‘0’, this HVM fuse is removed.</t>
  </si>
  <si>
    <t>This parameter is used to define Security Key Fuses for the Identity.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</si>
  <si>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Current Security Key Fuse size is 32 bits. When this parameter is set to ‘0’, this HVM fuse is removed.</t>
  </si>
  <si>
    <t>This parameter is used to define Debug Enabled Security Key Fuses. This parameter shows bit size of HVM fuse. 
Current Debug Enabled Security Key Fuse size is 256 bits. When this parameter is set to ‘0’, this HVM fuse is removed.</t>
  </si>
  <si>
    <t>This parameter is used to define HVM Globa Key Fuses. This parameter shows bit size of HVM fuse. 
Current HVM Global Key Fuse size is 256 bits. When this parameter is set to ‘0’, this HVM fuse is removed.</t>
  </si>
  <si>
    <t>This parameter is used to enable first DW of Softstrap. This parameter shows if this softstrap is included or removed in the RTL/RDL. 
When this parameter is set to ‘0’, this softstrap is removed from RDL/RTL</t>
  </si>
  <si>
    <t>This parameter is used to enable ssecond DW of Softstrap. This parameter shows if this softstrap is included or removed in the RTL/RDL. 
When this parameter is set to ‘0’, this softstrap is removed from RDL/RTL</t>
  </si>
  <si>
    <t>This is ROM/FW fuse to configure the error handling flow based on the fuse.</t>
  </si>
  <si>
    <t>This is ROM/FW fuse to configure the boot device control flow based on the fuse.</t>
  </si>
  <si>
    <t>This is ROM/FW fuse to configure the Boot Guard feature based on the fuse.</t>
  </si>
  <si>
    <t>This is ROM/FW fuse to configure the debug flow based on the fuse.</t>
  </si>
  <si>
    <t>This is ROM/FW fuse to configure the DWSRAM control based on the fuse.</t>
  </si>
  <si>
    <t>This is ROM/FW fuse to configure the FUSA DIAG feature based on the fuse.</t>
  </si>
  <si>
    <t>This is ROM/FW fuse to configure Patch flow based on the fuse.</t>
  </si>
  <si>
    <t>This is ROM/FW fuse to configure HSIO SKU Limit based on the fuse.</t>
  </si>
  <si>
    <t>This is ROM/FW fuse to configure ICC SKU based on the fuse.</t>
  </si>
  <si>
    <t>This is ROM/FW fuse to configure ICLS feature based on the fuse.</t>
  </si>
  <si>
    <t>This is ROM/FW fuse to configure FPF feature based on the fuse.</t>
  </si>
  <si>
    <t>This is ROM/FW fuse to configure FW image layout based on the fuse.</t>
  </si>
  <si>
    <t>This is ROM/FW fuse to configure CM device disabling feature based on the fuse.</t>
  </si>
  <si>
    <t>This is ROM/FW fuse to configure ISH feature based on the fuse.</t>
  </si>
  <si>
    <t>This is ROM/FW fuse to configure manageability feature based on the fuse.</t>
  </si>
  <si>
    <t>This is ROM/FW fuse to configure NFC feature based on the fuse.</t>
  </si>
  <si>
    <t>This is ROM/FW fuse to configure Node Manager feature based on the fuse.</t>
  </si>
  <si>
    <t>This is ROM/FW fuse to configure OEM IFP based on the fuse.</t>
  </si>
  <si>
    <t>This is ROM/FW fuse to configure Platform Halt Policy for TDT RO hardening based on the fuse.</t>
  </si>
  <si>
    <t>This is ROM/FW fuse to configure Boot Service flow with PMC based on the fuse.</t>
  </si>
  <si>
    <t>This is ROM/FW fuse to configure PTT feature based on the fuse.</t>
  </si>
  <si>
    <t>This is ROM/FW fuse to configure PAVP feature based on the fuse.</t>
  </si>
  <si>
    <t>This is ROM/FW fuse to configure Remote Wake feature based on the fuse.</t>
  </si>
  <si>
    <t>This is ROM/FW fuse to configure DNX capability based on the fuse.</t>
  </si>
  <si>
    <t>This is ROM/FW fuse to configure ROM OEM unlock based on the fuse.</t>
  </si>
  <si>
    <t>This is ROM/FW fuse to configure RPMB Reuse feature based on the fuse.</t>
  </si>
  <si>
    <t>This is ROM/FW fuse to configure SAMSUNG_PUF capaiblity based on the fuse.</t>
  </si>
  <si>
    <t>This is ROM/FW fuse to configure FW PM flow based on the fuse.</t>
  </si>
  <si>
    <t>This is ROM/FW fuse to configure UFS related feature based on the fuse.</t>
  </si>
  <si>
    <t>This is ROM/FW fuse to configure WIDI feature based on the fuse.</t>
  </si>
  <si>
    <t>This is ROM/FW fuse to identify Xeon branch CPU based on the fuse.</t>
  </si>
  <si>
    <t>This is IFP fuses pulled by HW, and locked by OEM when out of manufacturing
BIT0: OEM_IFP_CONFIG_DONE_1
BIT1: TRC_ENABLE_IFP_1
BIT31-02: CSME_HWIFP_FUSE_31_2</t>
  </si>
  <si>
    <t>This is IFP fuses pulled by HW, and locked by OEM when out of manufacturing
BIT0: OEM_IFP_CONFIG_DONE_0
BIT1: TRC_ENABLE_IFP_0
BIT31-02: CSME_HWIFP_FUSE_31_2</t>
  </si>
  <si>
    <t>This is IFP fuses pulled by HW, and locked by OEM when out of manufacturing
BIT0: OEM_IFP_CONFIG_DONE_2
BIT1: TRC_ENABLE_IFP_2
BIT31-02: CSME_HWIFP_FUSE_31_2</t>
  </si>
  <si>
    <t>This is IFP fuses pulled by HW, and locked by OEM when out of manufacturing
BIT0: TRC_DISABLE_IFP_0
BIT31-01: CSME_HWIFP_FUSE_31_1</t>
  </si>
  <si>
    <t>This is IFP fuses pulled by HW, and locked by OEM when out of manufacturing
BIT0: TRC_DISABLE_IFP_2
BIT31-01: CSME_HWIFP_FUSE_31_1</t>
  </si>
  <si>
    <t>This is IFP fuses pulled by HW, and locked by OEM when out of manufacturing
BIT0: TRC_DISABLE_IFP_1
BIT31-01: CSME_HWIFP_FUSE_31_1</t>
  </si>
  <si>
    <t>Following the recent DCN update for
[ESE][Rombypass via CSME SRAM] ESE to pull ROMB from CSME SRAM
https://hsdes.intel.com/appstore/article/#/1707199209
and
[ESE 1.0] Fuse/Softstrap Update for MTL SOC CSME and ESE
https://hsdes.intel.com/appstore/article/#/14010576857</t>
  </si>
  <si>
    <t xml:space="preserve">This parameter is used to define iKGF TBS attributes for On Die CA. This parameter shows bit size of HVM fuse. 
Current attribute size is 320 bits. When this parameter is set to ‘0’, this HVM fuse is removed. </t>
  </si>
  <si>
    <t>ECC_P384_ONDIE_CERT_ATTRIBUTE</t>
  </si>
  <si>
    <t>FW MISC / 
ECC_OnDieCA_Certificate</t>
  </si>
  <si>
    <t>Following the recent DCN update for
Group 2 HVM Fuses for ODCA Certificate
https://hsdes.intel.com/appstore/article/#/22010752686</t>
  </si>
  <si>
    <t>Added future reserved for LNL on ROM usage at Group1 - Bit 118.</t>
  </si>
  <si>
    <t>IP_Cfg_Fuse_118</t>
  </si>
  <si>
    <t>IP_Cfg_Fuse_119</t>
  </si>
  <si>
    <t>ROM Reserved - for DRNG SAI check related. To be defined in LNL</t>
  </si>
  <si>
    <t>CSE_HW_FW_CFG_FUSE_DEDAULT[0]</t>
  </si>
  <si>
    <t>CSE_HW_FW_CFG_FUSE_DEDAULT[1]</t>
  </si>
  <si>
    <t>CSE_HW_FW_CFG_FUSE_DEDAULT[2]</t>
  </si>
  <si>
    <t>CSE_HW_FW_CFG_FUSE_DEDAULT[3]</t>
  </si>
  <si>
    <t>CSE_HW_FW_CFG_FUSE_DEDAULT[4]</t>
  </si>
  <si>
    <t>CSE_HW_FW_CFG_FUSE_DEDAULT[5]</t>
  </si>
  <si>
    <t>CSE_HW_FW_CFG_FUSE_DEDAULT[6]</t>
  </si>
  <si>
    <t>CSE_HW_FW_CFG_FUSE_DEDAULT[7]</t>
  </si>
  <si>
    <t>CSE_HW_FW_CFG_FUSE_DEDAULT[8]</t>
  </si>
  <si>
    <t>CSE_HW_FW_CFG_FUSE_DEDAULT[9]</t>
  </si>
  <si>
    <t>CSE_HW_FW_CFG_FUSE_DEDAULT[10]</t>
  </si>
  <si>
    <t>CSE_HW_FW_CFG_FUSE_DEDAULT[11]</t>
  </si>
  <si>
    <t>CSE_HW_FW_CFG_FUSE_DEDAULT[12]</t>
  </si>
  <si>
    <t>CSE_HW_FW_CFG_FUSE_DEDAULT[13]</t>
  </si>
  <si>
    <t>CSE_HW_FW_CFG_FUSE_DEDAULT[14]</t>
  </si>
  <si>
    <t>CSE_HW_FW_CFG_FUSE_DEDAULT[15]</t>
  </si>
  <si>
    <t>CSE_HW_FW_CFG_FUSE_DEDAULT[16]</t>
  </si>
  <si>
    <t>CSE_HW_FW_CFG_FUSE_DEDAULT[17]</t>
  </si>
  <si>
    <t>CSE_HW_FW_CFG_FUSE_DEDAULT[18]</t>
  </si>
  <si>
    <t>CSE_HW_FW_CFG_FUSE_DEDAULT[19]</t>
  </si>
  <si>
    <t>CSE_HW_FW_CFG_FUSE_DEDAULT[20]</t>
  </si>
  <si>
    <t>CSE_HW_FW_CFG_FUSE_DEDAULT[21]</t>
  </si>
  <si>
    <t>CSE_HW_FW_CFG_FUSE_DEDAULT[22]</t>
  </si>
  <si>
    <t>CSE_HW_FW_CFG_FUSE_DEDAULT[23]</t>
  </si>
  <si>
    <t>CSE_HW_FW_CFG_FUSE_DEDAULT[24]</t>
  </si>
  <si>
    <t>CSE_HW_FW_CFG_FUSE_DEDAULT[25]</t>
  </si>
  <si>
    <t>CSE_HW_FW_CFG_FUSE_DEDAULT[26]</t>
  </si>
  <si>
    <t>CSE_HW_FW_CFG_FUSE_DEDAULT[27]</t>
  </si>
  <si>
    <t>CSE_HW_FW_CFG_FUSE_DEDAULT[28]</t>
  </si>
  <si>
    <t>CSE_HW_FW_CFG_FUSE_DEDAULT[29]</t>
  </si>
  <si>
    <t>CSE_HW_FW_CFG_FUSE_DEDAULT[30]</t>
  </si>
  <si>
    <t>CSE_HW_FW_CFG_FUSE_DEDAULT[31]</t>
  </si>
  <si>
    <t>CSE_HW_FW_CFG_FUSE_DEDAULT[32]</t>
  </si>
  <si>
    <t>CSE_HW_FW_CFG_FUSE_DEDAULT[33]</t>
  </si>
  <si>
    <t>CSE_HW_FW_CFG_FUSE_DEDAULT[34]</t>
  </si>
  <si>
    <t>CSE_HW_FW_CFG_FUSE_DEDAULT[35]</t>
  </si>
  <si>
    <t>CSE_HW_FW_CFG_FUSE_DEDAULT[36]</t>
  </si>
  <si>
    <t>CSE_HW_FW_CFG_FUSE_DEDAULT[37]</t>
  </si>
  <si>
    <t>CSE_HW_FW_CFG_FUSE_DEDAULT[38]</t>
  </si>
  <si>
    <t>CSE_HW_FW_CFG_FUSE_DEDAULT[39]</t>
  </si>
  <si>
    <t>CSE_HW_FW_CFG_FUSE_DEDAULT[40]</t>
  </si>
  <si>
    <t>CSE_HW_FW_CFG_FUSE_DEDAULT[44]</t>
  </si>
  <si>
    <t>CSE_HW_FW_CFG_FUSE_DEDAULT[45]</t>
  </si>
  <si>
    <t>CSE_HW_FW_CFG_FUSE_DEDAULT[46]</t>
  </si>
  <si>
    <t>CSE_HW_FW_CFG_FUSE_DEDAULT[47]</t>
  </si>
  <si>
    <t>CSE_HW_FW_CFG_FUSE_DEDAULT[48]</t>
  </si>
  <si>
    <t>CSE_HW_FW_CFG_FUSE_DEDAULT[49]</t>
  </si>
  <si>
    <t>CSE_HW_FW_CFG_FUSE_DEDAULT[50]</t>
  </si>
  <si>
    <t>CSE_HW_FW_CFG_FUSE_DEDAULT[51]</t>
  </si>
  <si>
    <t>CSE_HW_FW_CFG_FUSE_DEDAULT[52]</t>
  </si>
  <si>
    <t>CSE_HW_FW_CFG_FUSE_DEDAULT[53]</t>
  </si>
  <si>
    <t>CSE_HW_FW_CFG_FUSE_DEDAULT[79]</t>
  </si>
  <si>
    <t>CSE_HW_FW_CFG_FUSE_DEDAULT[80]</t>
  </si>
  <si>
    <t>CSE_HW_FW_CFG_FUSE_DEDAULT[81]</t>
  </si>
  <si>
    <t>CSE_HW_FW_CFG_FUSE_DEDAULT[96]</t>
  </si>
  <si>
    <t>CSE_HW_FW_CFG_FUSE_DEDAULT[97]</t>
  </si>
  <si>
    <t>CSE_HW_FW_CFG_FUSE_DEDAULT[98]</t>
  </si>
  <si>
    <t>CSE_HW_FW_CFG_FUSE_DEDAULT[99]</t>
  </si>
  <si>
    <t>CSE_HW_FW_CFG_FUSE_DEDAULT[100]</t>
  </si>
  <si>
    <t>CSE_HW_FW_CFG_FUSE_DEDAULT[101]</t>
  </si>
  <si>
    <t>CSE_HW_FW_CFG_FUSE_DEDAULT[102]</t>
  </si>
  <si>
    <t>CSE_HW_FW_CFG_FUSE_DEDAULT[103]</t>
  </si>
  <si>
    <t>CSE_HW_FW_CFG_FUSE_DEDAULT[104]</t>
  </si>
  <si>
    <t>CSE_HW_FW_CFG_FUSE_DEDAULT[112]</t>
  </si>
  <si>
    <t>CSE_HW_FW_CFG_FUSE_DEDAULT[113]</t>
  </si>
  <si>
    <t>CSE_HW_FW_CFG_FUSE_DEDAULT[114]</t>
  </si>
  <si>
    <t>CSE_HW_FW_CFG_FUSE_DEDAULT[115]</t>
  </si>
  <si>
    <t>CSE_HW_FW_CFG_FUSE_DEDAULT[116]</t>
  </si>
  <si>
    <t>CSE_HW_FW_CFG_FUSE_DEDAULT[117]</t>
  </si>
  <si>
    <t>CSE_HW_FW_CFG_FUSE_DEDAULT[118]</t>
  </si>
  <si>
    <t>CSE_HW_FW_CFG_FUSE_DEDAULT[119]</t>
  </si>
  <si>
    <t>CSE_HW_FW_CFG_FUSE_DEDAULT[120]</t>
  </si>
  <si>
    <t>CSE_HW_FW_CFG_FUSE_DEDAULT[121]</t>
  </si>
  <si>
    <t>CSE_HW_FW_CFG_FUSE_DEDAULT[127]</t>
  </si>
  <si>
    <t>CSE_HW_FW_CFG_FUSE_DEDAULT[28:26]</t>
  </si>
  <si>
    <t>CSE_HW_FW_CFG_FUSE_DEDAULT[43:41]</t>
  </si>
  <si>
    <t>CSE_HW_FW_CFG_FUSE_DEDAULT[55:54]</t>
  </si>
  <si>
    <t>CSE_HW_FW_CFG_FUSE_DEDAULT[78:64]</t>
  </si>
  <si>
    <t>CSE_HW_FW_CFG_FUSE_DEDAULT[111:105]</t>
  </si>
  <si>
    <t>CSE_HW_FW_CFG_FUSE_DEDAULT[84:82]</t>
  </si>
  <si>
    <t>CSE_HW_FW_CFG_FUSE_DEDAULT[91:88]</t>
  </si>
  <si>
    <t>CSE_HW_FW_CFG_FUSE_DEDAULT[95:92]</t>
  </si>
  <si>
    <t>CSE_HW_FW_CFG_FUSE_DEDAULT[126:122]</t>
  </si>
  <si>
    <t>CSE_HW_FW_CFG_FUSE_DEFAULT[215:208]</t>
  </si>
  <si>
    <t>CSE_HW_FW_CFG_FUSE_DEFAULT[223:216]</t>
  </si>
  <si>
    <t>CSE_HW_FW_CFG_FUSE_DEFAULT[151:128]</t>
  </si>
  <si>
    <t>CSE_HW_FW_CFG_FUSE_DEFAULT[156:152]</t>
  </si>
  <si>
    <t>CSE_HW_FW_CFG_FUSE_DEFAULT[158:157]</t>
  </si>
  <si>
    <t>CSE_HW_FW_CFG_FUSE_DEFAULT[159]</t>
  </si>
  <si>
    <t>GROUP1_FUSE_DEFAULT_PARAM[0]</t>
  </si>
  <si>
    <t>GROUP1_FUSE_DEFAULT_PARAM[1]</t>
  </si>
  <si>
    <t>GROUP1_FUSE_DEFAULT_PARAM[2]</t>
  </si>
  <si>
    <t>GROUP1_FUSE_DEFAULT_PARAM[3]</t>
  </si>
  <si>
    <t>GROUP1_FUSE_DEFAULT_PARAM[4]</t>
  </si>
  <si>
    <t>GROUP1_FUSE_DEFAULT_PARAM[5]</t>
  </si>
  <si>
    <t>GROUP1_FUSE_DEFAULT_PARAM[6]</t>
  </si>
  <si>
    <t>GROUP1_FUSE_DEFAULT_PARAM[7]</t>
  </si>
  <si>
    <t>GROUP1_FUSE_DEFAULT_PARAM[8]</t>
  </si>
  <si>
    <t>GROUP1_FUSE_DEFAULT_PARAM[9]</t>
  </si>
  <si>
    <t>GROUP1_FUSE_DEFAULT_PARAM[10]</t>
  </si>
  <si>
    <t>GROUP1_FUSE_DEFAULT_PARAM[11]</t>
  </si>
  <si>
    <t>GROUP1_FUSE_DEFAULT_PARAM[12]</t>
  </si>
  <si>
    <t>GROUP1_FUSE_DEFAULT_PARAM[13]</t>
  </si>
  <si>
    <t>GROUP1_FUSE_DEFAULT_PARAM[14]</t>
  </si>
  <si>
    <t>GROUP1_FUSE_DEFAULT_PARAM[15]</t>
  </si>
  <si>
    <t>GROUP1_FUSE_DEFAULT_PARAM[16]</t>
  </si>
  <si>
    <t>GROUP1_FUSE_DEFAULT_PARAM[17]</t>
  </si>
  <si>
    <t>GROUP1_FUSE_DEFAULT_PARAM[18]</t>
  </si>
  <si>
    <t>GROUP1_FUSE_DEFAULT_PARAM[19]</t>
  </si>
  <si>
    <t>GROUP1_FUSE_DEFAULT_PARAM[20]</t>
  </si>
  <si>
    <t>GROUP1_FUSE_DEFAULT_PARAM[21]</t>
  </si>
  <si>
    <t>GROUP1_FUSE_DEFAULT_PARAM[22]</t>
  </si>
  <si>
    <t>GROUP1_FUSE_DEFAULT_PARAM[23]</t>
  </si>
  <si>
    <t>GROUP1_FUSE_DEFAULT_PARAM[24]</t>
  </si>
  <si>
    <t>GROUP1_FUSE_DEFAULT_PARAM[25]</t>
  </si>
  <si>
    <t>GROUP1_FUSE_DEFAULT_PARAM[28:26]</t>
  </si>
  <si>
    <t>GROUP1_FUSE_DEFAULT_PARAM[26]</t>
  </si>
  <si>
    <t>GROUP1_FUSE_DEFAULT_PARAM[27]</t>
  </si>
  <si>
    <t>GROUP1_FUSE_DEFAULT_PARAM[28]</t>
  </si>
  <si>
    <t>GROUP1_FUSE_DEFAULT_PARAM[29]</t>
  </si>
  <si>
    <t>GROUP1_FUSE_DEFAULT_PARAM[30]</t>
  </si>
  <si>
    <t>GROUP1_FUSE_DEFAULT_PARAM[31]</t>
  </si>
  <si>
    <t>GROUP1_FUSE_DEFAULT_PARAM[32]</t>
  </si>
  <si>
    <t>GROUP1_FUSE_DEFAULT_PARAM[33]</t>
  </si>
  <si>
    <t>GROUP1_FUSE_DEFAULT_PARAM[34]</t>
  </si>
  <si>
    <t>GROUP1_FUSE_DEFAULT_PARAM[35]</t>
  </si>
  <si>
    <t>GROUP1_FUSE_DEFAULT_PARAM[36]</t>
  </si>
  <si>
    <t>GROUP1_FUSE_DEFAULT_PARAM[37]</t>
  </si>
  <si>
    <t>GROUP1_FUSE_DEFAULT_PARAM[38]</t>
  </si>
  <si>
    <t>GROUP1_FUSE_DEFAULT_PARAM[39]</t>
  </si>
  <si>
    <t>GROUP1_FUSE_DEFAULT_PARAM[40]</t>
  </si>
  <si>
    <t>GROUP1_FUSE_DEFAULT_PARAM[43:41]</t>
  </si>
  <si>
    <t>GROUP1_FUSE_DEFAULT_PARAM[44]</t>
  </si>
  <si>
    <t>GROUP1_FUSE_DEFAULT_PARAM[45]</t>
  </si>
  <si>
    <t>GROUP1_FUSE_DEFAULT_PARAM[46]</t>
  </si>
  <si>
    <t>GROUP1_FUSE_DEFAULT_PARAM[47]</t>
  </si>
  <si>
    <t>GROUP1_FUSE_DEFAULT_PARAM[48]</t>
  </si>
  <si>
    <t>GROUP1_FUSE_DEFAULT_PARAM[49]</t>
  </si>
  <si>
    <t>GROUP1_FUSE_DEFAULT_PARAM[50]</t>
  </si>
  <si>
    <t>GROUP1_FUSE_DEFAULT_PARAM[51]</t>
  </si>
  <si>
    <t>GROUP1_FUSE_DEFAULT_PARAM[52]</t>
  </si>
  <si>
    <t>GROUP1_FUSE_DEFAULT_PARAM[53]</t>
  </si>
  <si>
    <t>GROUP1_FUSE_DEFAULT_PARAM[55:54]</t>
  </si>
  <si>
    <t>GROUP1_FUSE_DEFAULT_PARAM[78:64]</t>
  </si>
  <si>
    <t>GROUP1_FUSE_DEFAULT_PARAM[79]</t>
  </si>
  <si>
    <t>GROUP1_FUSE_DEFAULT_PARAM[80]</t>
  </si>
  <si>
    <t>GROUP1_FUSE_DEFAULT_PARAM[81]</t>
  </si>
  <si>
    <t>GROUP1_FUSE_DEFAULT_PARAM[84:82]</t>
  </si>
  <si>
    <t>GROUP1_FUSE_DEFAULT_PARAM[91:88]</t>
  </si>
  <si>
    <t>GROUP1_FUSE_DEFAULT_PARAM[95:92]</t>
  </si>
  <si>
    <t>GROUP1_FUSE_DEFAULT_PARAM[96]</t>
  </si>
  <si>
    <t>GROUP1_FUSE_DEFAULT_PARAM[97]</t>
  </si>
  <si>
    <t>GROUP1_FUSE_DEFAULT_PARAM[98]</t>
  </si>
  <si>
    <t>GROUP1_FUSE_DEFAULT_PARAM[99]</t>
  </si>
  <si>
    <t>GROUP1_FUSE_DEFAULT_PARAM[100]</t>
  </si>
  <si>
    <t>GROUP1_FUSE_DEFAULT_PARAM[101]</t>
  </si>
  <si>
    <t>GROUP1_FUSE_DEFAULT_PARAM[102]</t>
  </si>
  <si>
    <t>GROUP1_FUSE_DEFAULT_PARAM[103]</t>
  </si>
  <si>
    <t>GROUP1_FUSE_DEFAULT_PARAM[104]</t>
  </si>
  <si>
    <t>GROUP1_FUSE_DEFAULT_PARAM[111:105]</t>
  </si>
  <si>
    <t>GROUP1_FUSE_DEFAULT_PARAM[112]</t>
  </si>
  <si>
    <t>GROUP1_FUSE_DEFAULT_PARAM[113]</t>
  </si>
  <si>
    <t>GROUP1_FUSE_DEFAULT_PARAM[114]</t>
  </si>
  <si>
    <t>GROUP1_FUSE_DEFAULT_PARAM[115]</t>
  </si>
  <si>
    <t>GROUP1_FUSE_DEFAULT_PARAM[116]</t>
  </si>
  <si>
    <t>GROUP1_FUSE_DEFAULT_PARAM[117]</t>
  </si>
  <si>
    <t>GROUP1_FUSE_DEFAULT_PARAM[118]</t>
  </si>
  <si>
    <t>GROUP1_FUSE_DEFAULT_PARAM[119]</t>
  </si>
  <si>
    <t>GROUP1_FUSE_DEFAULT_PARAM[120]</t>
  </si>
  <si>
    <t>GROUP1_FUSE_DEFAULT_PARAM[121]</t>
  </si>
  <si>
    <t>GROUP1_FUSE_DEFAULT_PARAM[126:122]</t>
  </si>
  <si>
    <t>GROUP1_FUSE_DEFAULT_PARAM[127]</t>
  </si>
  <si>
    <t>GROUP1_FUSE_DEFAULT_PARAM[151:128]</t>
  </si>
  <si>
    <t>GROUP1_FUSE_DEFAULT_PARAM[156:152]</t>
  </si>
  <si>
    <t>GROUP1_FUSE_DEFAULT_PARAM[158:157]</t>
  </si>
  <si>
    <t>GROUP1_FUSE_DEFAULT_PARAM[159]</t>
  </si>
  <si>
    <t>GROUP1_FUSE_DEFAULT_PARAM[215:208]</t>
  </si>
  <si>
    <t>GROUP1_FUSE_DEFAULT_PARAM[223:216]</t>
  </si>
  <si>
    <t>GROUP1_FUSE_DEFAULT_PARAM[167:160]</t>
  </si>
  <si>
    <t>GROUP1_FUSE_DEFAULT_PARAM[175:168]</t>
  </si>
  <si>
    <t>GROUP1_FUSE_DEFAULT_PARAM[183:176]</t>
  </si>
  <si>
    <t>GROUP1_FUSE_DEFAULT_PARAM[191:184]</t>
  </si>
  <si>
    <t>GROUP1_FUSE_DEFAULT_PARAM[207:192]</t>
  </si>
  <si>
    <t>CSE_HW_FW_CFG_FUSE_DEFAULT[183:176]</t>
  </si>
  <si>
    <t>CSE_HW_FW_CFG_FUSE_DEFAULT[191:184]</t>
  </si>
  <si>
    <t>GROUP1_FUSE_DEFAULT_PARAM[255:224]</t>
  </si>
  <si>
    <t>GROUP1_FUSE_DEFAULT_PARAM[287:256]</t>
  </si>
  <si>
    <t>GROUP1_FUSE_DEFAULT_PARAM[319:288]</t>
  </si>
  <si>
    <t>0x03220008</t>
  </si>
  <si>
    <t>0x730F5480</t>
  </si>
  <si>
    <t>0x00814834</t>
  </si>
  <si>
    <t>0x0000001F</t>
  </si>
  <si>
    <t>0x000000C0</t>
  </si>
  <si>
    <t>0x00001FFF</t>
  </si>
  <si>
    <t>0x0A000000</t>
  </si>
  <si>
    <t>0x00</t>
  </si>
  <si>
    <t>0x0A</t>
  </si>
  <si>
    <t>GROUP1_FUSE_DEFAULT_PARAM[63:56]</t>
  </si>
  <si>
    <t>CSE_HW_FW_CFG_FUSE_DEDAULT[63:56]</t>
  </si>
  <si>
    <t>0x0039a098</t>
  </si>
  <si>
    <r>
      <t>0x0039a09</t>
    </r>
    <r>
      <rPr>
        <sz val="11"/>
        <color rgb="FFFF0000"/>
        <rFont val="Calibri"/>
        <family val="2"/>
        <scheme val="minor"/>
      </rPr>
      <t>8</t>
    </r>
  </si>
  <si>
    <r>
      <t>0x0</t>
    </r>
    <r>
      <rPr>
        <sz val="11"/>
        <color rgb="FFFF0000"/>
        <rFont val="Calibri"/>
        <family val="2"/>
        <scheme val="minor"/>
      </rPr>
      <t>0</t>
    </r>
    <r>
      <rPr>
        <sz val="11"/>
        <color theme="1"/>
        <rFont val="Calibri"/>
        <family val="2"/>
        <scheme val="minor"/>
      </rPr>
      <t>03</t>
    </r>
    <r>
      <rPr>
        <sz val="11"/>
        <color rgb="FFFF0000"/>
        <rFont val="Calibri"/>
        <family val="2"/>
        <scheme val="minor"/>
      </rPr>
      <t>4</t>
    </r>
    <r>
      <rPr>
        <sz val="11"/>
        <color theme="1"/>
        <rFont val="Calibri"/>
        <family val="2"/>
        <scheme val="minor"/>
      </rPr>
      <t>083</t>
    </r>
  </si>
  <si>
    <r>
      <t>0x0203</t>
    </r>
    <r>
      <rPr>
        <sz val="11"/>
        <color rgb="FFFF0000"/>
        <rFont val="Calibri"/>
        <family val="2"/>
        <scheme val="minor"/>
      </rPr>
      <t>7</t>
    </r>
    <r>
      <rPr>
        <sz val="11"/>
        <color theme="1"/>
        <rFont val="Calibri"/>
        <family val="2"/>
        <scheme val="minor"/>
      </rPr>
      <t>083</t>
    </r>
  </si>
  <si>
    <r>
      <t>0x0003</t>
    </r>
    <r>
      <rPr>
        <sz val="11"/>
        <color rgb="FFFF0000"/>
        <rFont val="Calibri"/>
        <family val="2"/>
        <scheme val="minor"/>
      </rPr>
      <t>4</t>
    </r>
    <r>
      <rPr>
        <sz val="11"/>
        <color theme="1"/>
        <rFont val="Calibri"/>
        <family val="2"/>
        <scheme val="minor"/>
      </rPr>
      <t>083</t>
    </r>
  </si>
  <si>
    <r>
      <t>0x00</t>
    </r>
    <r>
      <rPr>
        <sz val="11"/>
        <color rgb="FFFF0000"/>
        <rFont val="Calibri"/>
        <family val="2"/>
        <scheme val="minor"/>
      </rPr>
      <t>000</t>
    </r>
    <r>
      <rPr>
        <sz val="11"/>
        <color theme="1"/>
        <rFont val="Calibri"/>
        <family val="2"/>
        <scheme val="minor"/>
      </rPr>
      <t>0</t>
    </r>
    <r>
      <rPr>
        <sz val="11"/>
        <color rgb="FFFF0000"/>
        <rFont val="Calibri"/>
        <family val="2"/>
        <scheme val="minor"/>
      </rPr>
      <t>0</t>
    </r>
    <r>
      <rPr>
        <sz val="11"/>
        <color theme="1"/>
        <rFont val="Calibri"/>
        <family val="2"/>
        <scheme val="minor"/>
      </rPr>
      <t>8</t>
    </r>
  </si>
  <si>
    <r>
      <t>0x0000a0</t>
    </r>
    <r>
      <rPr>
        <sz val="11"/>
        <rFont val="Calibri"/>
        <family val="2"/>
        <scheme val="minor"/>
      </rPr>
      <t>8</t>
    </r>
    <r>
      <rPr>
        <sz val="11"/>
        <color rgb="FFFF0000"/>
        <rFont val="Calibri"/>
        <family val="2"/>
        <scheme val="minor"/>
      </rPr>
      <t>0</t>
    </r>
  </si>
  <si>
    <t>0x02037083</t>
  </si>
  <si>
    <t>CSE_HW_FW_CFG_FUSE_DEFAULT[207:192]</t>
  </si>
  <si>
    <t>CSE_HW_FW_CFG_FUSE_DEFAULT[167:160]</t>
  </si>
  <si>
    <t>CSE_HW_FW_CFG_FUSE_DEFAULT[175:168]</t>
  </si>
  <si>
    <r>
      <t>0x0302000</t>
    </r>
    <r>
      <rPr>
        <sz val="11"/>
        <color rgb="FFFF0000"/>
        <rFont val="Calibri"/>
        <family val="2"/>
        <scheme val="minor"/>
      </rPr>
      <t>9</t>
    </r>
  </si>
  <si>
    <r>
      <t>0x0322000</t>
    </r>
    <r>
      <rPr>
        <sz val="11"/>
        <color rgb="FFFF0000"/>
        <rFont val="Calibri"/>
        <family val="2"/>
        <scheme val="minor"/>
      </rPr>
      <t>9</t>
    </r>
  </si>
  <si>
    <r>
      <t>0x032</t>
    </r>
    <r>
      <rPr>
        <sz val="11"/>
        <color rgb="FFFF0000"/>
        <rFont val="Calibri"/>
        <family val="2"/>
        <scheme val="minor"/>
      </rPr>
      <t>2</t>
    </r>
    <r>
      <rPr>
        <sz val="11"/>
        <color theme="1"/>
        <rFont val="Calibri"/>
        <family val="2"/>
        <scheme val="minor"/>
      </rPr>
      <t>000</t>
    </r>
    <r>
      <rPr>
        <sz val="11"/>
        <color rgb="FFFF0000"/>
        <rFont val="Calibri"/>
        <family val="2"/>
        <scheme val="minor"/>
      </rPr>
      <t>9</t>
    </r>
  </si>
  <si>
    <t>0x00009FFF</t>
  </si>
  <si>
    <t>Added CSE_HW_FW_CFG_FUSE_DEFAULT and GROUP1_FUSE_DEFAULT_PARAM definitions.</t>
  </si>
  <si>
    <t>RSA_SKIP_DISABLED</t>
  </si>
  <si>
    <t>ROM_DRNG_SAI_CHECK_EN</t>
  </si>
  <si>
    <t>Name: ROM check DRNG SAI En Values: 0 – disabled; 1 – enabled (default value)</t>
  </si>
  <si>
    <t>(SBWr)</t>
  </si>
  <si>
    <t>Reserved_Sofstrap_17</t>
  </si>
  <si>
    <t>Reserved_Sofstrap_12</t>
  </si>
  <si>
    <t>Reserved_Sofstrap_13</t>
  </si>
  <si>
    <t>Reserved_Sofstrap_14</t>
  </si>
  <si>
    <t>Reserved_Sofstrap_18</t>
  </si>
  <si>
    <t>Reserved_Sofstrap_19</t>
  </si>
  <si>
    <t>Reserved_Sofstrap_22</t>
  </si>
  <si>
    <t>Reserved_Sofstrap_23</t>
  </si>
  <si>
    <t>Reserved_Sofstrap_24</t>
  </si>
  <si>
    <t>Reserved_Sofstrap_25</t>
  </si>
  <si>
    <t>Reserved_Sofstrap_26</t>
  </si>
  <si>
    <t>Reserved_Sofstrap_27</t>
  </si>
  <si>
    <t>Reserved_Sofstrap_28</t>
  </si>
  <si>
    <r>
      <t>IP_Cfg_Fuse_2</t>
    </r>
    <r>
      <rPr>
        <sz val="10"/>
        <color rgb="FFFF0000"/>
        <rFont val="Calibri"/>
        <family val="2"/>
        <scheme val="minor"/>
      </rPr>
      <t>2</t>
    </r>
    <r>
      <rPr>
        <sz val="10"/>
        <color theme="1"/>
        <rFont val="Calibri"/>
        <family val="2"/>
        <scheme val="minor"/>
      </rPr>
      <t>_18</t>
    </r>
  </si>
  <si>
    <r>
      <t>CSE_HW_FW_CFG_FUSE_DEDAULT[2</t>
    </r>
    <r>
      <rPr>
        <sz val="10"/>
        <color rgb="FFFF0000"/>
        <rFont val="Calibri"/>
        <family val="2"/>
        <scheme val="minor"/>
      </rPr>
      <t>2</t>
    </r>
    <r>
      <rPr>
        <sz val="10"/>
        <color theme="1"/>
        <rFont val="Calibri"/>
        <family val="2"/>
        <scheme val="minor"/>
      </rPr>
      <t>:18]</t>
    </r>
  </si>
  <si>
    <r>
      <t>GROUP1_FUSE_DEFAULT_PARAM[2</t>
    </r>
    <r>
      <rPr>
        <sz val="10"/>
        <color rgb="FFFF0000"/>
        <rFont val="Calibri"/>
        <family val="2"/>
        <scheme val="minor"/>
      </rPr>
      <t>2</t>
    </r>
    <r>
      <rPr>
        <sz val="10"/>
        <color theme="1"/>
        <rFont val="Calibri"/>
        <family val="2"/>
        <scheme val="minor"/>
      </rPr>
      <t>:18]</t>
    </r>
  </si>
  <si>
    <r>
      <rPr>
        <sz val="11"/>
        <color rgb="FFFF0000"/>
        <rFont val="Calibri"/>
        <family val="2"/>
        <scheme val="minor"/>
      </rPr>
      <t>IP</t>
    </r>
    <r>
      <rPr>
        <sz val="11"/>
        <color theme="1"/>
        <rFont val="Calibri"/>
        <family val="2"/>
        <scheme val="minor"/>
      </rPr>
      <t>_ROM_Bypass_Enable_Softstrap</t>
    </r>
  </si>
  <si>
    <t>A0 value Mapping</t>
  </si>
  <si>
    <t>A0</t>
  </si>
  <si>
    <t>DRNG Disable,1'b0; 
DRNG Enable,1'b1</t>
  </si>
  <si>
    <t>ROM_ifusekprb</t>
  </si>
  <si>
    <t>RF_Write_Assist_Enable_XLLP</t>
  </si>
  <si>
    <t>RF_Write_Assist_Enable</t>
  </si>
  <si>
    <t>IP_Cfg_Fuse_85</t>
  </si>
  <si>
    <t>CSE_HW_FW_CFG_FUSE_DEDAULT[85]</t>
  </si>
  <si>
    <t>GROUP1_FUSE_DEFAULT_PARAM[85]</t>
  </si>
  <si>
    <t>CSE Cfg Fuse 85 zero,1'b0</t>
  </si>
  <si>
    <t>IP_Cfg_Fuse_86</t>
  </si>
  <si>
    <t>IP_Cfg_Fuse_87</t>
  </si>
  <si>
    <t>CSE_HW_FW_CFG_FUSE_DEDAULT[86]</t>
  </si>
  <si>
    <t>CSE_HW_FW_CFG_FUSE_DEDAULT[87]</t>
  </si>
  <si>
    <t>GROUP1_FUSE_DEFAULT_PARAM[86]</t>
  </si>
  <si>
    <t>GROUP1_FUSE_DEFAULT_PARAM[87]</t>
  </si>
  <si>
    <t>CSE Cfg Fuse 86 zero,1'b0</t>
  </si>
  <si>
    <t>CSE Cfg Fuse 87 zero,1'b0</t>
  </si>
  <si>
    <t>1FFF</t>
  </si>
  <si>
    <t>-</t>
  </si>
  <si>
    <t>Update the fuse attribute for CSME/ESE based on the new request from FW team.</t>
  </si>
  <si>
    <t>FUSE_BASED_PATCH_DIS &amp; !SAMSUNG_PUF_CONFIG_EN</t>
  </si>
  <si>
    <t>[ESE] Change SRAM Size from 640K to 512K for M/P segments to support area reduction
https://hsdes.intel.com/appstore/article/#/22011135044</t>
  </si>
  <si>
    <r>
      <t>0x000000</t>
    </r>
    <r>
      <rPr>
        <sz val="11"/>
        <color rgb="FFFF0000"/>
        <rFont val="Calibri"/>
        <family val="2"/>
        <scheme val="minor"/>
      </rPr>
      <t>0F</t>
    </r>
  </si>
  <si>
    <t>This is a local pamater to enable RS2 ATT overwrite feature in iUnit.
When enabled, IOSF-P ATT can overwrite Root Space, Bus Number, and Device Function. It overwrites Root Space to RS2 from RS3, Bus Number from CSE_RS2_ACCESS_MISC register, and Device Function from RS2_CSME_DF[7:0]
When set to ‘1’, this feature can be enabled, and ATT_n_EXT_CONTROL registers will be integrated in each ATT-P entry.</t>
  </si>
  <si>
    <t>Disable_RS2DMA_Softstrap</t>
  </si>
  <si>
    <t>SOFTSTRAP1_EN &amp; EMBED_SYS_RS2_OVERWRITE_EN</t>
  </si>
  <si>
    <t>When set, the RS2DMA would be disabled. FW can not trigger any RS2 transaction that targeting ESE Memory. 
This softstrap is only valid when Fuse_DeviceDis_Support is set.
This field is integrated only when  PARAM_EMBED_SYS_RS2_OVERWRITE_EN[0] is set to 1.</t>
  </si>
  <si>
    <t>[SUN][CSME] RS2 DMA strap RDL definition update
https://hsdes.intel.com/appstore/article/#/14012118199</t>
  </si>
  <si>
    <t>[ESE] Change SRAM Size from 640K to 512K for M/P segments to support area reduction (updated cse_sram_num_banks parameter from 5 to 4)
https://hsdes.intel.com/appstore/article/#/22011135044</t>
  </si>
  <si>
    <t>JtagWr</t>
  </si>
  <si>
    <t>IP_Cfg_Fuse_87_85</t>
  </si>
  <si>
    <t>IP_Cfg_Fuse_119_118</t>
  </si>
  <si>
    <t>IP_external_ROM_Bypass</t>
  </si>
  <si>
    <r>
      <t>JtagWr</t>
    </r>
    <r>
      <rPr>
        <strike/>
        <sz val="11"/>
        <color theme="0"/>
        <rFont val="Calibri"/>
        <family val="2"/>
        <scheme val="minor"/>
      </rPr>
      <t>, SBWr</t>
    </r>
  </si>
  <si>
    <t>GSC  Final Fuses</t>
  </si>
  <si>
    <r>
      <t xml:space="preserve">RSA_SKIP_DISABLED 
</t>
    </r>
    <r>
      <rPr>
        <sz val="10"/>
        <color rgb="FFFF0000"/>
        <rFont val="Calibri"/>
        <family val="2"/>
        <scheme val="minor"/>
      </rPr>
      <t>IP_external_ROM_Bypass</t>
    </r>
  </si>
  <si>
    <t>Group 0</t>
  </si>
  <si>
    <t xml:space="preserve">[GSC] Fuse attribute changes for OC and revert back to old fuse names
https://hsdes.intel.com/appstore/article/#/14012245610
Added a new tab group1 (GSC) for group1 fuses  updated the FW_CONFIG_FUSES for gsc
Updated based on feedback from chaitu and Kakeda , Keep the same fuse overrides for GSC for grp1 fuses  
</t>
  </si>
  <si>
    <t>Updated based on Arch WG feedback , Following is the the encoding for (SBWr) means Fuse is not required to non overridable as part of OC changes but the byte it contains has a fuse that needs to be overridable. SBWr - Fuse itself needs to be overridable.</t>
  </si>
  <si>
    <t>Yaxin Shui</t>
  </si>
  <si>
    <t>MTP-PCH-S CSME</t>
  </si>
  <si>
    <t>MTP-PCH-S ESE</t>
  </si>
  <si>
    <t>MTL-SOC-S CSE</t>
  </si>
  <si>
    <t>MTL-SOC-S ESE</t>
  </si>
  <si>
    <t>MTL-SOC-S GSC</t>
  </si>
  <si>
    <t xml:space="preserve">Added 5 new Columns for 5 MTL Desktop instances (lookup number 8-12) in "Config" page. Completed primary config value based on the MTL Desktop feature config, ADP-P + MTL-M Fuse config as baseline. MTL-S GSC as place holder, it is same as MTL-M GSC at this point. </t>
  </si>
  <si>
    <t>16'h2000</t>
  </si>
  <si>
    <t>16'h2001</t>
  </si>
  <si>
    <t>16'h2002</t>
  </si>
  <si>
    <t>16'h2003</t>
  </si>
  <si>
    <t>16'h2004</t>
  </si>
  <si>
    <t>16'h2005</t>
  </si>
  <si>
    <t>iCLK_Disable</t>
  </si>
  <si>
    <t>16'h2006</t>
  </si>
  <si>
    <t>16'h2007</t>
  </si>
  <si>
    <t>16'h2008</t>
  </si>
  <si>
    <t>16'h2009</t>
  </si>
  <si>
    <t>UFS_High_Speed_Disable</t>
  </si>
  <si>
    <t>16'h200A</t>
  </si>
  <si>
    <t>16'h200B</t>
  </si>
  <si>
    <t>16'h200C</t>
  </si>
  <si>
    <t>Host_PoG_disable_fuse</t>
  </si>
  <si>
    <t>16'h200D</t>
  </si>
  <si>
    <t>16'h200E</t>
  </si>
  <si>
    <t>16'h200F</t>
  </si>
  <si>
    <t>16'h2010</t>
  </si>
  <si>
    <t>16'h2013</t>
  </si>
  <si>
    <t>16'h27FC</t>
  </si>
  <si>
    <t>16'h27FE</t>
  </si>
  <si>
    <t>16'h27FF</t>
  </si>
  <si>
    <t>CSME_ROM_Bypass_Enable_Softstrap</t>
  </si>
  <si>
    <t>16'h8000</t>
  </si>
  <si>
    <t>Reserved_Softstrap_3</t>
  </si>
  <si>
    <t>Reserved_Softstrap_8</t>
  </si>
  <si>
    <t>16'h8001</t>
  </si>
  <si>
    <t>Reserved_Softstrap_12</t>
  </si>
  <si>
    <t>Reserved_Softstrap_13</t>
  </si>
  <si>
    <t>Reserved_Softstrap_14</t>
  </si>
  <si>
    <t>Reserved_Softstrap_15</t>
  </si>
  <si>
    <t>16'h8002</t>
  </si>
  <si>
    <t>Reserved_Softstrap_18</t>
  </si>
  <si>
    <t>Reserved_Softstrap_19</t>
  </si>
  <si>
    <t>Reserved_Softstrap_22</t>
  </si>
  <si>
    <t>Reserved_Softstrap_24</t>
  </si>
  <si>
    <t>16'h8003</t>
  </si>
  <si>
    <t>Reserved_Softstrap_25</t>
  </si>
  <si>
    <t>Reserved_Softstrap_26</t>
  </si>
  <si>
    <t>Reserved_Softstrap_27</t>
  </si>
  <si>
    <t>Reserved_Softstrap_28</t>
  </si>
  <si>
    <t>16'h8004</t>
  </si>
  <si>
    <t>16'h8005</t>
  </si>
  <si>
    <t>Spare_Softstraps_10</t>
  </si>
  <si>
    <t>Spare_Softstraps_11</t>
  </si>
  <si>
    <t>Spare_Softstraps_12</t>
  </si>
  <si>
    <t>Spare_Softstraps_13</t>
  </si>
  <si>
    <t>Spare_Softstraps_14</t>
  </si>
  <si>
    <t>Spare_Softstraps_15</t>
  </si>
  <si>
    <t>16'h8006</t>
  </si>
  <si>
    <t>Spare_Softstraps_17</t>
  </si>
  <si>
    <t>Spare_Softstraps_18</t>
  </si>
  <si>
    <t>Spare_Softstraps_20</t>
  </si>
  <si>
    <t>Spare_Softstraps_21</t>
  </si>
  <si>
    <t>Spare_Softstraps_22</t>
  </si>
  <si>
    <t>Spare_Softstraps_23</t>
  </si>
  <si>
    <t>16'h8007</t>
  </si>
  <si>
    <t>16'h6000</t>
  </si>
  <si>
    <t>Security_Keys_Fuse_Check_Hash</t>
  </si>
  <si>
    <t>16'h6064</t>
  </si>
  <si>
    <t>16'h6860</t>
  </si>
  <si>
    <t>16'h6874</t>
  </si>
  <si>
    <t>16'h6878</t>
  </si>
  <si>
    <t>HWIFP_A_RSVD_0</t>
  </si>
  <si>
    <t>HWIFP_B_RSVD_0</t>
  </si>
  <si>
    <t>n/a</t>
  </si>
  <si>
    <t>Fuse Registers</t>
  </si>
  <si>
    <t>IFP1 Configure Fuse</t>
  </si>
  <si>
    <t>IFP2 Configure Fuse</t>
  </si>
  <si>
    <t>IFP3 Configure Fuse</t>
  </si>
  <si>
    <t>Note</t>
  </si>
  <si>
    <t>CSE_Secure_Debug_Disable</t>
  </si>
  <si>
    <t>CSE_ROM_Bypass_Disable</t>
  </si>
  <si>
    <t>Testmode_G1_PUF_Key_Disable</t>
  </si>
  <si>
    <t>CSE_SRAM_Zeroing_Bypass_Disable</t>
  </si>
  <si>
    <t>MOFF_EXIT_IMG_SRC_ATTEMPT_RESUME</t>
  </si>
  <si>
    <t>DNX_Disable</t>
  </si>
  <si>
    <t>CSE_ROM_Bypass_OEM_Unlock</t>
  </si>
  <si>
    <t xml:space="preserve">PUF_GLOBAL_DISABLE </t>
  </si>
  <si>
    <t>HW_PUF_CM_En</t>
  </si>
  <si>
    <t>CSE_HVM_Mode_Disable</t>
  </si>
  <si>
    <t>CSE_MIA_HALT_Disable</t>
  </si>
  <si>
    <t>CSME_Cfg_Fuse_23</t>
  </si>
  <si>
    <t>CSME_Cfg_Fuse_24</t>
  </si>
  <si>
    <t>CSME_Cfg_Fuse_29</t>
  </si>
  <si>
    <t>CSME_Cfg_Fuse_30</t>
  </si>
  <si>
    <t>RNG_Disable</t>
  </si>
  <si>
    <t>CSME_Cfg_Fuse_37</t>
  </si>
  <si>
    <t>PAVP_2_0_DISABLE</t>
  </si>
  <si>
    <t>CSME_Cfg_Fuse_40</t>
  </si>
  <si>
    <t>CSME_SKU_Fuse_6_NET_INFRA_MODE</t>
  </si>
  <si>
    <t>CSME_Cfg_Fuse_44</t>
  </si>
  <si>
    <t>CSME_Cfg_Fuse_46</t>
  </si>
  <si>
    <t>ICLS_Disable</t>
  </si>
  <si>
    <t>CSE_SPI_Boot_EN</t>
  </si>
  <si>
    <t>CSE_eMMC_Boot_EN</t>
  </si>
  <si>
    <t>CSE_UFS_Boot_EN</t>
  </si>
  <si>
    <t>FPF_disable</t>
  </si>
  <si>
    <t>fTPM_disable</t>
  </si>
  <si>
    <t>CSME_FW_Signing_Key_Disables</t>
  </si>
  <si>
    <t>CSME_SRAM_Bank_Enable</t>
  </si>
  <si>
    <t>CSME_Remote_Wake_Disable</t>
  </si>
  <si>
    <t>CSME_Cfg_Fuse_81</t>
  </si>
  <si>
    <t>CSME_Cfg_Fuse_85</t>
  </si>
  <si>
    <t>CSME_Cfg_Fuse_86</t>
  </si>
  <si>
    <t>CSME_Cfg_Fuse_87</t>
  </si>
  <si>
    <t>CSME_Cfg_Fuse_101</t>
  </si>
  <si>
    <t>Disable_MROM</t>
  </si>
  <si>
    <t>MROM_BAR_Disable</t>
  </si>
  <si>
    <t>CSME_HSIO_SKU_Limit</t>
  </si>
  <si>
    <t>CSE_ONDIE_CA_ENABLED</t>
  </si>
  <si>
    <t>CSME_Cfg_Fuse_118</t>
  </si>
  <si>
    <t>CSME_Cfg_Fuse_119</t>
  </si>
  <si>
    <t>CSME_Cfg_Fuse_127</t>
  </si>
  <si>
    <t>TRC_GLITCH_DETECTION_RSV</t>
  </si>
  <si>
    <t>16'h2014</t>
  </si>
  <si>
    <t>16'h2015</t>
  </si>
  <si>
    <t>FUSES_4_BIOS_FW_USAGE</t>
  </si>
  <si>
    <t>16'h2016</t>
  </si>
  <si>
    <t>FUSES_4_BIOS_USAGE</t>
  </si>
  <si>
    <t>16'h2017</t>
  </si>
  <si>
    <t>16'h2100</t>
  </si>
  <si>
    <t>16'h2102</t>
  </si>
  <si>
    <t>16'h2103</t>
  </si>
  <si>
    <t>16'h2104</t>
  </si>
  <si>
    <t>16'h2108</t>
  </si>
  <si>
    <t>16'h210C</t>
  </si>
  <si>
    <t>CSE_INTCHK_HW_CFG_CRC_VAL</t>
  </si>
  <si>
    <t>CSE_INTCHK_RSVD_23_16</t>
  </si>
  <si>
    <t>CSE_INTCHK_FUSECRCCHK</t>
  </si>
  <si>
    <t>CSE_INTCHK_RSVD_31_28</t>
  </si>
  <si>
    <t>CSE_ROM_Bypass_Enable_Softstrap</t>
  </si>
  <si>
    <t>CSME_Security_Keys</t>
  </si>
  <si>
    <t>OEM_IFP_CONFIG_DONE_1</t>
  </si>
  <si>
    <t>16'h0240</t>
  </si>
  <si>
    <t>TRC_GLITCH_DETECTION_ENABLE_IFP_1</t>
  </si>
  <si>
    <t>HWIFP_A_RSVD_1</t>
  </si>
  <si>
    <t>TRC_GLITCH_DETECTION_DISABLE_IFP_1</t>
  </si>
  <si>
    <t>16'h0244</t>
  </si>
  <si>
    <t>HWIFP_B_RSVD_1</t>
  </si>
  <si>
    <t>16'h0300</t>
  </si>
  <si>
    <t>OEM_IFP_CONFIG_DONE_2</t>
  </si>
  <si>
    <t>16'h0440</t>
  </si>
  <si>
    <t>TRC_GLITCH_DETECTION_ENABLE_IFP_2</t>
  </si>
  <si>
    <t>HWIFP_A_RSVD_2</t>
  </si>
  <si>
    <t>16'h0500</t>
  </si>
  <si>
    <t xml:space="preserve">n/a </t>
  </si>
  <si>
    <t>removed</t>
  </si>
  <si>
    <t>n/a (removed)</t>
  </si>
  <si>
    <t>(16'h6A00)</t>
  </si>
  <si>
    <t>Reserved_Softstrap_23</t>
  </si>
  <si>
    <t xml:space="preserve">Descriptions </t>
  </si>
  <si>
    <t>Reserved_Softstrap_4</t>
  </si>
  <si>
    <t>Reserved_Softstrap_5</t>
  </si>
  <si>
    <t>Reserved_Softstrap_6</t>
  </si>
  <si>
    <t>Reserved_Softstrap_7</t>
  </si>
  <si>
    <t>Reserved_Softstrap_9</t>
  </si>
  <si>
    <t>Reserved_Softstrap_10</t>
  </si>
  <si>
    <t>Reserved_Softstrap_11</t>
  </si>
  <si>
    <t>No</t>
  </si>
  <si>
    <t>yes</t>
  </si>
  <si>
    <t xml:space="preserve">This is a 3b IFP encoding value to indicate IFP status in Group 1 whether or not the IFPs in group 1 is supposed to be burnt.
This fuse value should be set at End of Manufacturing.
</t>
  </si>
  <si>
    <t>0x8000</t>
  </si>
  <si>
    <t>Attributes (eg: BOD=True, others=False)</t>
  </si>
  <si>
    <t>baseline for all IP</t>
  </si>
  <si>
    <t>no</t>
  </si>
  <si>
    <t>IP Feature dependent</t>
  </si>
  <si>
    <t xml:space="preserve">ROM </t>
  </si>
  <si>
    <t>Yes</t>
  </si>
  <si>
    <t xml:space="preserve">yes </t>
  </si>
  <si>
    <t>??</t>
  </si>
  <si>
    <t>MB: removed</t>
  </si>
  <si>
    <t>ROM do not look at this bit any more. MB to confirm</t>
  </si>
  <si>
    <t>no loner be used by ROM, remove, MB to confirm. Only apply CSME/CSE. Not ESE</t>
  </si>
  <si>
    <t>AR Michael to confirm with ROM team</t>
  </si>
  <si>
    <t>FW doesn't use. Kah Meng would need to confirm that value can always be 1 and that fuse is not needed.</t>
  </si>
  <si>
    <t>Not relevant to SoC-CSE</t>
  </si>
  <si>
    <t>Remove</t>
  </si>
  <si>
    <t>AR Michael to confirm with ROM team that can be removed</t>
  </si>
  <si>
    <t>AR Michael to confirm with FW team that can be removed</t>
  </si>
  <si>
    <t>Change to NVMe</t>
  </si>
  <si>
    <t>Is this currently not supported on MTL -M ESE??? Should be enabled for all IPs, AFAIK.</t>
  </si>
  <si>
    <t>AR Michael: Need to check with Brayn D and Mikal H if we still support binning of parts with faulty SRAM. I tried to check in the past but did not receive an answer.</t>
  </si>
  <si>
    <t>Only relevant to PCH-CSME, not others</t>
  </si>
  <si>
    <t>Not relevant to ESE instances</t>
  </si>
  <si>
    <t>Does this not exist on MTL -M CSME??? Supposed to be relevant to PCH-CSME and SoC-CSE.</t>
  </si>
  <si>
    <t>Ask Yaxin: Yanai and Thripthi</t>
  </si>
  <si>
    <t>AR Yaxin: Ask Yanai and Thripthi</t>
  </si>
  <si>
    <t>AR Yaxin: Ask Xiaoyu</t>
  </si>
  <si>
    <t>Rename to PACKAGE_ID to make sure that it’s not repurposed to other usages.</t>
  </si>
  <si>
    <t>1) Remove prefix "SSS_EMUL_IFP_".
2) Change eMMC to NVMe.
3) Only relevant to PCH-CSME, remove for rest.</t>
  </si>
  <si>
    <t>1) Remove prefix "SSS_EMUL_IFP_".
2) Only relevant to PCH-CSME, remove for rest.</t>
  </si>
  <si>
    <t>Rename to AVOID_HALT_WHEN_DRAM_AVAILABLE</t>
  </si>
  <si>
    <t>Only relevant to PCH-CSME, remove for rest.</t>
  </si>
  <si>
    <t>Remove for ESE instances</t>
  </si>
  <si>
    <t>Isn't KVMcc in SoC? If so, I believe it should be relevant to SoC-CSE not PCH-CSME.</t>
  </si>
  <si>
    <t>Shouldn't this be relevant also to SoC-CSE? AR Yaxin check with Eli / Yanai.</t>
  </si>
  <si>
    <t>agree</t>
  </si>
  <si>
    <t>yanai to anser for 4 instance</t>
  </si>
  <si>
    <t>no (only for pch)</t>
  </si>
  <si>
    <t>ok only for PCH CSME</t>
  </si>
  <si>
    <t>ok to remove</t>
  </si>
  <si>
    <t>check with Yanai for CSE/CSME</t>
  </si>
  <si>
    <t>OK</t>
  </si>
  <si>
    <t>agree to remove</t>
  </si>
  <si>
    <t>agree .confirmation from ROM team.</t>
  </si>
  <si>
    <t>latency bit.</t>
  </si>
  <si>
    <t>remove</t>
  </si>
  <si>
    <t>for pch csme and ese, not in SOC</t>
  </si>
  <si>
    <t>no more PRVP in both csme and cse</t>
  </si>
  <si>
    <t>keep for SOC CSE, confirm with FW team</t>
  </si>
  <si>
    <t>no sure, confirm with FW team for SOC CSE (most likely no)</t>
  </si>
  <si>
    <t>ok</t>
  </si>
  <si>
    <t>can be removed</t>
  </si>
  <si>
    <t xml:space="preserve">need to be yes for keeping  CSME(PCH) and CSE (SOC). </t>
  </si>
  <si>
    <t>confirm with MK for usecase. But keep it for CSME/CSE</t>
  </si>
  <si>
    <t>confirm with FW team</t>
  </si>
  <si>
    <t>need to be yes for 4 instances</t>
  </si>
  <si>
    <t>JtagWr, SBWr ?</t>
  </si>
  <si>
    <t>Attr. shall not be writable</t>
  </si>
  <si>
    <t>not sure if the use case HVM SROM bank testing is still supported in platform</t>
  </si>
  <si>
    <t>agree to remove, no useage. But need to confirm</t>
  </si>
  <si>
    <t>need to confirm</t>
  </si>
  <si>
    <t>shall keep for CSME/CSE</t>
  </si>
  <si>
    <t>no idea</t>
  </si>
  <si>
    <t>no idea for FW, seems for HW use</t>
  </si>
  <si>
    <t>not for FW</t>
  </si>
  <si>
    <t>for HW checken bit, keep for 4 instances</t>
  </si>
  <si>
    <t>agree to keep for all</t>
  </si>
  <si>
    <t>keep for 4 instance</t>
  </si>
  <si>
    <t>keep to yes for CSME (PCH) only</t>
  </si>
  <si>
    <t>MTL-M CSME shall be yes as well</t>
  </si>
  <si>
    <t>PCH CSME DNX support need hard strap. Non in ESE and CSE (Eli and MB agree)</t>
  </si>
  <si>
    <t>ELI Comment (8/31)</t>
  </si>
  <si>
    <t>MB Comment (8/31)</t>
  </si>
  <si>
    <t>in use</t>
  </si>
  <si>
    <t>reserve</t>
  </si>
  <si>
    <t>we may need Gky0 and gkey 2 in CSME, need further discussion with FW</t>
  </si>
  <si>
    <t>agree, not in used</t>
  </si>
  <si>
    <t>only used for HW, check with HW team.</t>
  </si>
  <si>
    <t>only for PCH CSME</t>
  </si>
  <si>
    <t>need to confirm with ROM team</t>
  </si>
  <si>
    <t>ROM no longer look at this bit. MB to confirm if remove ?</t>
  </si>
  <si>
    <t>how PUF work with ESE in PCH die.</t>
  </si>
  <si>
    <t>PUF_Global_Disable ??</t>
  </si>
  <si>
    <t>check with ROM</t>
  </si>
  <si>
    <t xml:space="preserve">decription for punit. Need for SOC CSE/ESE only, not in PCH </t>
  </si>
  <si>
    <t>GSC only ? Confirm with Shalini &amp; Kakeda</t>
  </si>
  <si>
    <r>
      <t>Chavet, Aaron &lt;</t>
    </r>
    <r>
      <rPr>
        <sz val="10"/>
        <color theme="1"/>
        <rFont val="Segoe UI"/>
        <family val="2"/>
      </rPr>
      <t>aaron.chavet@intel.com</t>
    </r>
    <r>
      <rPr>
        <sz val="10"/>
        <color rgb="FF000000"/>
        <rFont val="Segoe UI"/>
        <family val="2"/>
      </rPr>
      <t>&gt;; Tsikinovsky, Viacheslav &lt;</t>
    </r>
    <r>
      <rPr>
        <sz val="10"/>
        <color theme="1"/>
        <rFont val="Segoe UI"/>
        <family val="2"/>
      </rPr>
      <t>viacheslav.tsikinovsky@intel.com</t>
    </r>
    <r>
      <rPr>
        <sz val="10"/>
        <color rgb="FF000000"/>
        <rFont val="Segoe UI"/>
        <family val="2"/>
      </rPr>
      <t>&gt;; Heifetz, Shmuel &lt;</t>
    </r>
    <r>
      <rPr>
        <sz val="10"/>
        <color theme="1"/>
        <rFont val="Segoe UI"/>
        <family val="2"/>
      </rPr>
      <t>shmuel.heifetz@intel.com</t>
    </r>
    <r>
      <rPr>
        <sz val="10"/>
        <color rgb="FF000000"/>
        <rFont val="Segoe UI"/>
        <family val="2"/>
      </rPr>
      <t xml:space="preserve">&gt; </t>
    </r>
  </si>
  <si>
    <t>eli, Michael Berger, yanai, Babi</t>
  </si>
  <si>
    <t>yanai (9/1)</t>
  </si>
  <si>
    <t>IP Instance</t>
  </si>
  <si>
    <t>Baseline</t>
  </si>
  <si>
    <t>Group0 reviewer</t>
  </si>
  <si>
    <t>Group1 Reviewer</t>
  </si>
  <si>
    <t>Group2,3</t>
  </si>
  <si>
    <t>Group4</t>
  </si>
  <si>
    <t>CSME (PCH-S)</t>
  </si>
  <si>
    <t>ADP-S (4.5.2) + MTL-M (4.7)</t>
  </si>
  <si>
    <t>CSE (SoC-S)</t>
  </si>
  <si>
    <t>MTL-M (4.7) reduction</t>
  </si>
  <si>
    <t>ESE (PCH-S)</t>
  </si>
  <si>
    <t>ESE (SoC-S)</t>
  </si>
  <si>
    <t>MTL-M</t>
  </si>
  <si>
    <t>Reviewers</t>
  </si>
  <si>
    <t>Babi, Chaitu</t>
  </si>
  <si>
    <t>Eli, Michale, Yanai, Chaitu</t>
  </si>
  <si>
    <t>PCR #14011738652 PCR Title: [DCN][MTL-M] Remove TRC enable configuration.
to remove this config fuse from HW start from MTL-S</t>
  </si>
  <si>
    <t xml:space="preserve">added MTL-S Page (MTL-S fuse seletion association with Config parameter page is underdevelopment. The page MTL-S has no dependencies on Config page)
- combined Group0, Group1 (GSC), Group1, Group2,3, Softstrap as for Group4 page into one super set fuse config page with columns of Fuse register, Fuse name, Paramters,  Attrinutes, group number, bit width, receiving address, description
- included ADP-S, MTL-M CSME 4.7 and ESE 1.0 kaigen fuse confguration as for revew references
- Completed the first round of MTL-S 4 instances fuse config and review. Reviewers are Eli, Michael B. Chaitu, Babi, Yanai, XiaoYu, Khee Wooi
- good enough for RTL0.5 first fuse RDL generation.  </t>
  </si>
  <si>
    <t>[Babi ] 
-1 row allocated for GSK_TRC_DIC
- The rest of area should be reserved</t>
  </si>
  <si>
    <t xml:space="preserve">use case no long exit, recommented to remove
[KM 9/18] confirmed that this fuse no longer needed </t>
  </si>
  <si>
    <t>we may need Gky0 and gkey 2 in CSME, need further discussion with FW
YS issued DCN to add gKey0/2 back to CSME</t>
  </si>
  <si>
    <t>used to be a checken bit, 
need ROM team to confirm</t>
  </si>
  <si>
    <t xml:space="preserve">cheken bit, no longer needed
MB to confirm
</t>
  </si>
  <si>
    <t>note manager, no more needed
(confirm with ELI, no longer need, for server only)</t>
  </si>
  <si>
    <t>PCH CSME/ESE yes (for server, HEDT)</t>
  </si>
  <si>
    <t>reserved as "yes" but need MB to confirm if OK to remove</t>
  </si>
  <si>
    <t>PARAM_INT_IFP_TRIPLE_RDD_DIS is 1</t>
  </si>
  <si>
    <t>always in-use for ROM to know if the CSME IP have PUF or Not</t>
  </si>
  <si>
    <t xml:space="preserve">PRVP support for GSC in CSME/CSE? Need to Confirm with Daniel </t>
  </si>
  <si>
    <t xml:space="preserve">XiaoYu confirmed </t>
  </si>
  <si>
    <t>SpareFuse</t>
  </si>
  <si>
    <t>Reserved unused Spare Bit</t>
  </si>
  <si>
    <t>16'h6040
(16'h6068)</t>
  </si>
  <si>
    <t>16'6044
(16'h6070)</t>
  </si>
  <si>
    <t>CSME_Security_Keys_Fuse_Check_Hash (in address 16'h6068)</t>
  </si>
  <si>
    <t>CSME_Debug_Enabled_Security_Key (in address 16'h6070)</t>
  </si>
  <si>
    <t xml:space="preserve">remove </t>
  </si>
  <si>
    <t xml:space="preserve">This parameter is used to define iKGF TBS attributes for On Die CA. This parameter shows bit size of HVM fuse. 
Current attribute size is 320 bits. When this parameter is set to ‘0’, this HVM fuse is remove. </t>
  </si>
  <si>
    <t>Can be remove for SoC-ESE</t>
  </si>
  <si>
    <t>Updated MTL-S Page
- cleaned up config words to be consistant (eg: removed -&gt; remove, empty field for "no" config)
- highlighted new paremeters might be needed in order to make different fuse bit config across MTL-S instances
- Updated Testmode_G0/G2_Key_Disable config for PCR# 22011432469 reqested Gkey 0/2 support in PCH-S CSME
- Updated IFP (Group0) Configure based on Babi's update after her confirmation with Kakeda of latest MTL-M</t>
  </si>
  <si>
    <t>TRC_PRESENT &amp; !PARAM_INT_IFP_TRIPLE_RDD_DIS</t>
  </si>
  <si>
    <t>CONFIG_OCS_DISABLE_GKEY2</t>
  </si>
  <si>
    <t>MTL-M CSME 
(Kaigen Sheet)</t>
  </si>
  <si>
    <t>MTL-M ESE 
(Kaigen Sheet)</t>
  </si>
  <si>
    <t>ADP-S
(Kaigen Sheet)</t>
  </si>
  <si>
    <t>When set to 0 the HW key called GKEY2 is available to be used with AES and SM4 (if present) ciphers, the fuse value to configure the GKEY2 feature is propagated to OCS from Gasket.
When set to 1, the wire to propagate the value in Group1 HVM fuse will be removed.
When the fuse is removed, the bit field of the fuse will be reserved.</t>
  </si>
  <si>
    <t>Updated Config Page for MTL-S 4 instances 
added new parameter in MTL-S and Config Page 
•	FB_PLATFORM_ID
•	FB_STEPPING_ID
•	FB_MODEL_ID
•	SVR_CHIPSET
•	CONFIG_OCS_DISABLE_GKEY2
•	IP_SKU_Fuse_6_NET_INFRA_MODE
removed FW_IFP1/2/3_Reserved row and Lock_bit rows in MTL-S Page.</t>
  </si>
  <si>
    <t>Category</t>
  </si>
  <si>
    <t>SoftStrap</t>
  </si>
  <si>
    <t xml:space="preserve">* Hardstraps </t>
  </si>
  <si>
    <t>Receive Address offset</t>
  </si>
  <si>
    <t xml:space="preserve">Reviewers </t>
  </si>
  <si>
    <t>ROM/HW Cfg HVM Fuse + HW IFP</t>
  </si>
  <si>
    <t>ROM/FW IFP</t>
  </si>
  <si>
    <t>General ROM/FW HVM fuse</t>
  </si>
  <si>
    <t>ROM Security HVM Fuse</t>
  </si>
  <si>
    <t xml:space="preserve">Group </t>
  </si>
  <si>
    <t>Notation</t>
  </si>
  <si>
    <t xml:space="preserve"> Notation</t>
  </si>
  <si>
    <t>can be  disconnected for the future DCN or keep as reserved.</t>
  </si>
  <si>
    <t xml:space="preserve">IntelHVM </t>
  </si>
  <si>
    <t>IntelHVM Security Fuse</t>
  </si>
  <si>
    <t>Group 4</t>
  </si>
  <si>
    <t>Soft Straps</t>
  </si>
  <si>
    <t>Configure per project</t>
  </si>
  <si>
    <t>IntelIFP</t>
  </si>
  <si>
    <t>* OEMIFP</t>
  </si>
  <si>
    <t xml:space="preserve">not used in CSME Fuse </t>
  </si>
  <si>
    <t>IntelIFP1,2,3</t>
  </si>
  <si>
    <t xml:space="preserve">TRC_GLITCH_DETECTION_DISABLE_IFP_0 </t>
  </si>
  <si>
    <t xml:space="preserve">OEM_IFP_CONFIG_DONE_1
</t>
  </si>
  <si>
    <t xml:space="preserve">** 16'h0200~16'h0240 IFP_Bit_Lock_* reserved for IFP2 FW allocation, See CSE Firmware IFP Arch Spec (FAS) for definition.  Since these IFP are programmed and consumed only by FW, definition is in the FAS, it would not to be included in IP HW Fuse RDL </t>
  </si>
  <si>
    <t xml:space="preserve">** 16'h0100~16'h0200 IFP_Row_Lock_* reserved for IFP1 FW allocation, See CSE Firmware IFP Arch Spec (FAS) for definition.  Since these IFP are programmed and consumed only by FW, definition is in the FAS, it would not to be included in IP HW Fuse RDL </t>
  </si>
  <si>
    <t xml:space="preserve">** 16'h0000~16'h0040 IFP_Bit_Lock reserved for IFP1 FW allocation, See CSE Firmware IFP Arch Spec (FAS) for definition.  Since these IFP are programmed and consumed only by FW, definition is in the FAS, it would not to be included in IP HW Fuse RDL </t>
  </si>
  <si>
    <t xml:space="preserve">** 16'h0300~16'h0400 IFP_Row_Lock_* reserved for IFP2 FW allocation, See CSE Firmware IFP Arch Spec (FAS) for definition.  Since these IFP are programmed and consumed only by FW, definition is in the FAS, it would not to be included in IP HW Fuse RDL </t>
  </si>
  <si>
    <t xml:space="preserve">** 16'h0400~16'h0440 IFP_Bit_Lock_* reserved for IFP3 FW allocation, See CSE Firmware IFP Arch Spec (FAS) for definition.  Since these IFP are programmed and consumed only by FW, definition is in the FAS, it would not to be included in IP HW Fuse RDL </t>
  </si>
  <si>
    <t>16'h0200</t>
  </si>
  <si>
    <t>16'h0400</t>
  </si>
  <si>
    <t>in FAS</t>
  </si>
  <si>
    <t>16'h0000</t>
  </si>
  <si>
    <t>16'h0100</t>
  </si>
  <si>
    <t>16'h0040</t>
  </si>
  <si>
    <t>16'h0044</t>
  </si>
  <si>
    <t>16'h0444</t>
  </si>
  <si>
    <t>64 x 32</t>
  </si>
  <si>
    <t>256 x 32</t>
  </si>
  <si>
    <t>TRC_GLITCH_DETECTION_DISABLE_IFP_2</t>
  </si>
  <si>
    <t>HWIFP_B_RSVD_2</t>
  </si>
  <si>
    <t xml:space="preserve">** 16'h0500~16'h0600 IFP_Row_Lock_* reserved for IFP3 FW allocation, See CSE Firmware IFP Arch Spec (FAS) for definition.  Since these IFP are programmed and consumed only by FW, definition is in the FAS, it would not to be included in IP HW Fuse RDL </t>
  </si>
  <si>
    <t>FW_IFP_FUSES_LIMIT</t>
  </si>
  <si>
    <t>INCLUDE_CM</t>
  </si>
  <si>
    <t>EMBED_SYS_RS2_OVERWRITE_EN</t>
  </si>
  <si>
    <t>IntelHVM</t>
  </si>
  <si>
    <t>IntelHVM Security</t>
  </si>
  <si>
    <t>TRC_PRESENT &amp; TRC_GLITCH_DETECTION_ENABLE</t>
  </si>
  <si>
    <t>TRC_PRESENT &amp; TRC_GLITCH_DETECTION_ENABLE &amp; !PARAM_INT_IFP_TRIPLE_RDD_DIS</t>
  </si>
  <si>
    <t xml:space="preserve"> SOFTSTRAP1_EN &amp; EMBED_SYS_RS2_OVERWRITE_EN</t>
  </si>
  <si>
    <t xml:space="preserve">OEM Secret Keys -GSK_OEM_SECRET_KEYS_DWn_COPY2,  maximum DW size supported in OEM secret key fuses </t>
  </si>
  <si>
    <t xml:space="preserve">OEM Secret Keys -GSK_OEM_SECRET_KEYS_DWn_COPY1,  maximum DW size supported in OEM secret key fuses </t>
  </si>
  <si>
    <t xml:space="preserve">OEM Secret Keys - GSK_OEM_SECRET_KEYS_DWn,    maximum DW size supported in OEM secret key fuses </t>
  </si>
  <si>
    <t>SOFTSTRAP1_EN &amp; Hotham_Softstrap &amp; INCLUDE_CM</t>
  </si>
  <si>
    <t>Hotham_Softstrap</t>
  </si>
  <si>
    <t>This parameter is used to enable Hotham Softstrap. This parameter shows if this softstrap is included or removed in the RTL/RDL. 
When this parameter is set to ‘0’, this softstrap is removed from RDL/RTL</t>
  </si>
  <si>
    <t xml:space="preserve">Updated MTL-S Page
- added Category column for indetifying the fuse group of IntelIFP, IntelHVM. 
- cleaned up the confusion of Group 0-4 defination vs Category, removed Group 0 fuse config bits. 
- corrected TRC and OEM_Security_Key are IntelIFP and Group1 not group0
- corrected conflict resered fuse bit name in the 3 copies of IFP triple redundant field 
Added new parameter in MTL-S and Config Page 
- IP_SRAM_Zeroing_Bypass_Disable
- OCS_DRNG_Enable
- TRC_GLITCH_DETECTION_ENABLE
- Hotham_Softstrap
</t>
  </si>
  <si>
    <t xml:space="preserve">Removed following fuse bits row from Group2 in MTL-S Page, no longer needed
- KEY_ROT_HASH_EN
- RESERVED_FOR_DW_ALIGNMENT
Parameter Config typo fixes in Config Page
- BOOT_DEV_CTRL_EN config for PCH-S CSME
- BADIMAGE_FLOW_EN config for PCH-S CSME
- PAVP_2_0_DIS_CTRL config for SOC CSE
</t>
  </si>
  <si>
    <t xml:space="preserve">The following fuse bit config in MTL-S Page is defined as the size of the fuse bits instead of "fuse in-use or Fuse reserve or fuse remove" since they are always in-use
- Security_Keys
- Security_Keys_fuse_Check_Hash
- Debug_Enabled_Security_Key
- Debug_Enabled_Encryption_Key
- ECC_P384_ONDIE_ROM_CERT
- FW_CONFIG_FUSES
- HW_OCS_PUF_ECC
- GENERAL_FW_FUSES_CHECK
- ECC_P384_ONDIE_CERT_ATTRIBUTE
- IP_SRAM_Bank_Enable
</t>
  </si>
  <si>
    <t>SoftStrap configure corections 
- fuse bit "Disable_RS2DMA_Softstrap" to be dependent on  SOFTSTRAP1_EN &amp; EMBED_SYS_RS2_OVERWRITE_EN
- TRC_ENABLE_Softstrap to be yes on MTL-S page
- New Hotham_Softstrap to be "1" on CSME and CSE on Config Page, remove the INCLUDE_CM dependency in MTL-S page for Disable_Hotham_Softstrap
- SSS_EMUL_IFP_EMMC/UFS/SPI/DNX_BOOT_SOURCE_DISABLED, 
- SSS_EMUL_IFP_EMMC/UFS/SPI/DNX_BOOT_SOURCE_DISABLED rename to NVMe/UFS/SPI/DNX_BOOT_SOURCE_DISABLED per Michael Berger's request</t>
  </si>
  <si>
    <t>NVMe_BOOT_SOURCE_DISABLED</t>
  </si>
  <si>
    <t>UFS_BOOT_SOURCE_DISABLED</t>
  </si>
  <si>
    <t>SPI_BOOT_SOURCE_DISABLED</t>
  </si>
  <si>
    <t>DNX_BOOT_SOURCE_DISABLED</t>
  </si>
  <si>
    <r>
      <rPr>
        <sz val="11"/>
        <color rgb="FFFF0000"/>
        <rFont val="Calibri"/>
        <family val="2"/>
        <scheme val="minor"/>
      </rPr>
      <t>IP</t>
    </r>
    <r>
      <rPr>
        <sz val="11"/>
        <color theme="1"/>
        <rFont val="Calibri"/>
        <family val="2"/>
        <scheme val="minor"/>
      </rPr>
      <t>_ROM_Bypass_Enable_Softstrap</t>
    </r>
  </si>
  <si>
    <r>
      <rPr>
        <sz val="11"/>
        <color rgb="FFFF0000"/>
        <rFont val="Calibri"/>
        <family val="2"/>
        <scheme val="minor"/>
      </rPr>
      <t xml:space="preserve">RSA_SKIP_DISABLED </t>
    </r>
    <r>
      <rPr>
        <strike/>
        <sz val="11"/>
        <color rgb="FFFF0000"/>
        <rFont val="Calibri"/>
        <family val="2"/>
        <scheme val="minor"/>
      </rPr>
      <t xml:space="preserve">
</t>
    </r>
    <r>
      <rPr>
        <sz val="11"/>
        <color rgb="FFFF0000"/>
        <rFont val="Calibri"/>
        <family val="2"/>
        <scheme val="minor"/>
      </rPr>
      <t>(IP_external_ROM_Bypass?)</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</si>
</sst>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37" x14ac:knownFonts="1">
    <font>
      <sz val="11"/>
      <color theme="1"/>
      <name val="Calibri"/>
      <family val="2"/>
      <scheme val="minor"/>
    </font>
    <font>
      <sz val="11"/>
      <color rgb="FF000000"/>
      <name val="Calibri"/>
      <family val="2"/>
      <scheme val="minor"/>
    </font>
    <font>
      <sz val="9"/>
      <color indexed="81"/>
      <name val="Tahoma"/>
      <family val="2"/>
    </font>
    <font>
      <b/>
      <sz val="9"/>
      <color indexed="81"/>
      <name val="Tahoma"/>
      <family val="2"/>
    </font>
    <font>
      <b/>
      <sz val="12"/>
      <color theme="0"/>
      <name val="Calibri"/>
      <family val="2"/>
      <scheme val="minor"/>
    </font>
    <font>
      <sz val="11"/>
      <name val="Calibri"/>
      <family val="2"/>
      <scheme val="minor"/>
    </font>
    <font>
      <sz val="11"/>
      <color rgb="FFFF0000"/>
      <name val="Calibri"/>
      <family val="2"/>
      <scheme val="minor"/>
    </font>
    <font>
      <b/>
      <sz val="11"/>
      <color theme="1"/>
      <name val="Calibri"/>
      <family val="2"/>
      <scheme val="minor"/>
    </font>
    <font>
      <b/>
      <sz val="11"/>
      <color theme="0"/>
      <name val="Calibri"/>
      <family val="2"/>
      <scheme val="minor"/>
    </font>
    <font>
      <sz val="18"/>
      <color theme="1"/>
      <name val="Calibri"/>
      <family val="2"/>
      <scheme val="minor"/>
    </font>
    <font>
      <b/>
      <sz val="18"/>
      <color rgb="FFFF0000"/>
      <name val="Calibri"/>
      <family val="2"/>
      <scheme val="minor"/>
    </font>
    <font>
      <strike/>
      <sz val="11"/>
      <color rgb="FFFF0000"/>
      <name val="Calibri"/>
      <family val="2"/>
      <scheme val="minor"/>
    </font>
    <font>
      <b/>
      <sz val="14"/>
      <color theme="0"/>
      <name val="Calibri"/>
      <family val="2"/>
      <scheme val="minor"/>
    </font>
    <font>
      <b/>
      <sz val="11"/>
      <color rgb="FFFF0000"/>
      <name val="Calibri"/>
      <family val="2"/>
      <scheme val="minor"/>
    </font>
    <font>
      <sz val="11"/>
      <color theme="3"/>
      <name val="Calibri"/>
      <family val="2"/>
      <scheme val="minor"/>
    </font>
    <font>
      <sz val="11"/>
      <color theme="0"/>
      <name val="Calibri"/>
      <family val="2"/>
      <scheme val="minor"/>
    </font>
    <font>
      <sz val="6"/>
      <color theme="1"/>
      <name val="Calibri"/>
      <family val="2"/>
      <scheme val="minor"/>
    </font>
    <font>
      <sz val="8"/>
      <name val="Calibri"/>
      <family val="2"/>
      <scheme val="minor"/>
    </font>
    <font>
      <b/>
      <sz val="10"/>
      <color theme="0"/>
      <name val="Calibri"/>
      <family val="2"/>
      <scheme val="minor"/>
    </font>
    <font>
      <sz val="10"/>
      <color theme="1"/>
      <name val="Calibri"/>
      <family val="2"/>
      <scheme val="minor"/>
    </font>
    <font>
      <sz val="10"/>
      <color theme="3"/>
      <name val="Calibri"/>
      <family val="2"/>
      <scheme val="minor"/>
    </font>
    <font>
      <sz val="10"/>
      <color rgb="FFFF0000"/>
      <name val="Calibri"/>
      <family val="2"/>
      <scheme val="minor"/>
    </font>
    <font>
      <sz val="10"/>
      <name val="Calibri"/>
      <family val="2"/>
      <scheme val="minor"/>
    </font>
    <font>
      <strike/>
      <sz val="10"/>
      <color theme="1"/>
      <name val="Calibri"/>
      <family val="2"/>
      <scheme val="minor"/>
    </font>
    <font>
      <strike/>
      <sz val="10"/>
      <color rgb="FFFF0000"/>
      <name val="Calibri"/>
      <family val="2"/>
      <scheme val="minor"/>
    </font>
    <font>
      <strike/>
      <sz val="11"/>
      <color theme="0"/>
      <name val="Calibri"/>
      <family val="2"/>
      <scheme val="minor"/>
    </font>
    <font>
      <sz val="11"/>
      <color rgb="FF000000"/>
      <name val="Calibri"/>
      <family val="2"/>
    </font>
    <font>
      <b/>
      <sz val="12"/>
      <name val="Calibri"/>
      <family val="2"/>
      <scheme val="minor"/>
    </font>
    <font>
      <sz val="12"/>
      <name val="Calibri"/>
      <family val="2"/>
      <scheme val="minor"/>
    </font>
    <font>
      <sz val="11"/>
      <color rgb="FFC00000"/>
      <name val="Calibri"/>
      <family val="2"/>
      <scheme val="minor"/>
    </font>
    <font>
      <sz val="10"/>
      <color theme="1"/>
      <name val="Segoe UI"/>
      <family val="2"/>
    </font>
    <font>
      <sz val="10"/>
      <color rgb="FF000000"/>
      <name val="Segoe UI"/>
      <family val="2"/>
    </font>
    <font>
      <sz val="9"/>
      <color indexed="81"/>
      <name val="Tahoma"/>
      <charset val="1"/>
    </font>
    <font>
      <b/>
      <sz val="9"/>
      <color indexed="81"/>
      <name val="Tahoma"/>
      <charset val="1"/>
    </font>
    <font>
      <strike/>
      <sz val="11"/>
      <color theme="1"/>
      <name val="Calibri"/>
      <family val="2"/>
      <scheme val="minor"/>
    </font>
    <font>
      <sz val="11"/>
      <color theme="1"/>
      <name val="Calibri"/>
      <family val="2"/>
      <scheme val="minor"/>
    </font>
    <font>
      <b/>
      <sz val="12"/>
      <color theme="1"/>
      <name val="Calibri"/>
      <family val="2"/>
      <scheme val="minor"/>
    </font>
  </fonts>
  <fills count="26">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3"/>
        <bgColor indexed="64"/>
      </patternFill>
    </fill>
    <fill>
      <patternFill patternType="solid">
        <fgColor theme="9" tint="0.79998168889431442"/>
        <bgColor indexed="64"/>
      </patternFill>
    </fill>
    <fill>
      <patternFill patternType="solid">
        <fgColor rgb="FFFFFF00"/>
        <bgColor indexed="64"/>
      </patternFill>
    </fill>
    <fill>
      <patternFill patternType="solid">
        <fgColor theme="4" tint="0.39997558519241921"/>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4"/>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indexed="44"/>
        <bgColor indexed="64"/>
      </patternFill>
    </fill>
    <fill>
      <patternFill patternType="solid">
        <fgColor rgb="FF92D050"/>
        <bgColor indexed="64"/>
      </patternFill>
    </fill>
    <fill>
      <patternFill patternType="solid">
        <fgColor rgb="FF7030A0"/>
        <bgColor indexed="64"/>
      </patternFill>
    </fill>
    <fill>
      <patternFill patternType="solid">
        <fgColor theme="9"/>
        <bgColor indexed="64"/>
      </patternFill>
    </fill>
    <fill>
      <patternFill patternType="solid">
        <fgColor theme="0" tint="-0.249977111117893"/>
        <bgColor indexed="64"/>
      </patternFill>
    </fill>
    <fill>
      <patternFill patternType="solid">
        <fgColor rgb="FFFFC000"/>
        <bgColor indexed="64"/>
      </patternFill>
    </fill>
    <fill>
      <patternFill patternType="solid">
        <fgColor theme="4" tint="0.79998168889431442"/>
        <bgColor indexed="64"/>
      </patternFill>
    </fill>
    <fill>
      <patternFill patternType="solid">
        <fgColor theme="1" tint="0.499984740745262"/>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6" tint="0.79998168889431442"/>
        <bgColor indexed="64"/>
      </patternFill>
    </fill>
    <fill>
      <patternFill patternType="solid">
        <fgColor theme="2" tint="-0.249977111117893"/>
        <bgColor indexed="64"/>
      </patternFill>
    </fill>
    <fill>
      <patternFill patternType="solid">
        <fgColor theme="2" tint="-9.9978637043366805E-2"/>
        <bgColor indexed="64"/>
      </patternFill>
    </fill>
  </fills>
  <borders count="77">
    <border>
      <left/>
      <right/>
      <top/>
      <bottom/>
      <diagonal/>
    </border>
    <border>
      <left style="thin">
        <color indexed="64"/>
      </left>
      <right style="thin">
        <color indexed="64"/>
      </right>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style="thin">
        <color indexed="64"/>
      </top>
      <bottom/>
      <diagonal/>
    </border>
    <border>
      <left style="thin">
        <color indexed="64"/>
      </left>
      <right style="thin">
        <color auto="1"/>
      </right>
      <top/>
      <bottom/>
      <diagonal/>
    </border>
    <border>
      <left style="thin">
        <color auto="1"/>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auto="1"/>
      </left>
      <right style="thin">
        <color auto="1"/>
      </right>
      <top style="medium">
        <color indexed="64"/>
      </top>
      <bottom/>
      <diagonal/>
    </border>
    <border>
      <left style="medium">
        <color indexed="64"/>
      </left>
      <right style="thin">
        <color auto="1"/>
      </right>
      <top style="medium">
        <color indexed="64"/>
      </top>
      <bottom/>
      <diagonal/>
    </border>
    <border>
      <left style="medium">
        <color indexed="64"/>
      </left>
      <right/>
      <top style="medium">
        <color indexed="64"/>
      </top>
      <bottom style="medium">
        <color indexed="64"/>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right/>
      <top style="thin">
        <color indexed="64"/>
      </top>
      <bottom style="thin">
        <color auto="1"/>
      </bottom>
      <diagonal/>
    </border>
    <border>
      <left style="medium">
        <color indexed="64"/>
      </left>
      <right style="medium">
        <color indexed="64"/>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right style="medium">
        <color indexed="64"/>
      </right>
      <top style="thin">
        <color indexed="64"/>
      </top>
      <bottom style="thin">
        <color auto="1"/>
      </bottom>
      <diagonal/>
    </border>
    <border>
      <left style="medium">
        <color indexed="64"/>
      </left>
      <right style="medium">
        <color indexed="64"/>
      </right>
      <top style="thin">
        <color auto="1"/>
      </top>
      <bottom style="medium">
        <color indexed="64"/>
      </bottom>
      <diagonal/>
    </border>
    <border>
      <left/>
      <right style="medium">
        <color indexed="64"/>
      </right>
      <top style="thin">
        <color auto="1"/>
      </top>
      <bottom style="medium">
        <color indexed="64"/>
      </bottom>
      <diagonal/>
    </border>
    <border>
      <left/>
      <right style="medium">
        <color indexed="64"/>
      </right>
      <top style="medium">
        <color indexed="64"/>
      </top>
      <bottom/>
      <diagonal/>
    </border>
    <border>
      <left style="thin">
        <color auto="1"/>
      </left>
      <right style="medium">
        <color indexed="64"/>
      </right>
      <top/>
      <bottom style="thin">
        <color auto="1"/>
      </bottom>
      <diagonal/>
    </border>
    <border>
      <left style="thin">
        <color auto="1"/>
      </left>
      <right style="medium">
        <color indexed="64"/>
      </right>
      <top style="thin">
        <color auto="1"/>
      </top>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auto="1"/>
      </bottom>
      <diagonal/>
    </border>
    <border>
      <left/>
      <right style="medium">
        <color indexed="64"/>
      </right>
      <top/>
      <bottom style="medium">
        <color indexed="64"/>
      </bottom>
      <diagonal/>
    </border>
    <border>
      <left/>
      <right style="medium">
        <color indexed="64"/>
      </right>
      <top style="thin">
        <color auto="1"/>
      </top>
      <bottom/>
      <diagonal/>
    </border>
    <border>
      <left/>
      <right style="thin">
        <color auto="1"/>
      </right>
      <top style="thin">
        <color indexed="64"/>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style="thin">
        <color auto="1"/>
      </right>
      <top style="thin">
        <color indexed="64"/>
      </top>
      <bottom style="medium">
        <color indexed="64"/>
      </bottom>
      <diagonal/>
    </border>
    <border>
      <left style="medium">
        <color indexed="64"/>
      </left>
      <right style="medium">
        <color indexed="64"/>
      </right>
      <top style="thin">
        <color auto="1"/>
      </top>
      <bottom/>
      <diagonal/>
    </border>
    <border>
      <left/>
      <right style="thin">
        <color auto="1"/>
      </right>
      <top style="thin">
        <color indexed="64"/>
      </top>
      <bottom/>
      <diagonal/>
    </border>
    <border>
      <left/>
      <right style="thin">
        <color auto="1"/>
      </right>
      <top style="medium">
        <color indexed="64"/>
      </top>
      <bottom style="thin">
        <color auto="1"/>
      </bottom>
      <diagonal/>
    </border>
    <border>
      <left style="thin">
        <color indexed="64"/>
      </left>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style="thin">
        <color auto="1"/>
      </left>
      <right style="medium">
        <color indexed="64"/>
      </right>
      <top/>
      <bottom/>
      <diagonal/>
    </border>
    <border>
      <left style="medium">
        <color indexed="64"/>
      </left>
      <right/>
      <top/>
      <bottom style="thin">
        <color auto="1"/>
      </bottom>
      <diagonal/>
    </border>
    <border>
      <left style="medium">
        <color indexed="64"/>
      </left>
      <right style="thin">
        <color auto="1"/>
      </right>
      <top/>
      <bottom style="thin">
        <color auto="1"/>
      </bottom>
      <diagonal/>
    </border>
    <border>
      <left style="thin">
        <color auto="1"/>
      </left>
      <right/>
      <top style="medium">
        <color indexed="64"/>
      </top>
      <bottom style="thin">
        <color auto="1"/>
      </bottom>
      <diagonal/>
    </border>
    <border>
      <left/>
      <right/>
      <top style="medium">
        <color indexed="64"/>
      </top>
      <bottom style="thin">
        <color auto="1"/>
      </bottom>
      <diagonal/>
    </border>
    <border>
      <left/>
      <right/>
      <top style="thin">
        <color auto="1"/>
      </top>
      <bottom style="medium">
        <color indexed="64"/>
      </bottom>
      <diagonal/>
    </border>
    <border>
      <left/>
      <right/>
      <top/>
      <bottom style="thin">
        <color auto="1"/>
      </bottom>
      <diagonal/>
    </border>
    <border>
      <left style="thin">
        <color auto="1"/>
      </left>
      <right/>
      <top style="medium">
        <color indexed="64"/>
      </top>
      <bottom/>
      <diagonal/>
    </border>
    <border>
      <left/>
      <right style="thin">
        <color auto="1"/>
      </right>
      <top style="medium">
        <color indexed="64"/>
      </top>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medium">
        <color indexed="64"/>
      </right>
      <top/>
      <bottom style="medium">
        <color indexed="64"/>
      </bottom>
      <diagonal/>
    </border>
    <border>
      <left style="medium">
        <color indexed="64"/>
      </left>
      <right/>
      <top style="thin">
        <color auto="1"/>
      </top>
      <bottom/>
      <diagonal/>
    </border>
    <border>
      <left style="thin">
        <color indexed="64"/>
      </left>
      <right style="thin">
        <color indexed="64"/>
      </right>
      <top style="thin">
        <color theme="8"/>
      </top>
      <bottom style="thin">
        <color indexed="64"/>
      </bottom>
      <diagonal/>
    </border>
    <border>
      <left/>
      <right style="medium">
        <color indexed="64"/>
      </right>
      <top style="medium">
        <color indexed="64"/>
      </top>
      <bottom style="medium">
        <color indexed="64"/>
      </bottom>
      <diagonal/>
    </border>
    <border>
      <left style="thick">
        <color indexed="64"/>
      </left>
      <right style="thin">
        <color auto="1"/>
      </right>
      <top style="thick">
        <color indexed="64"/>
      </top>
      <bottom style="thin">
        <color auto="1"/>
      </bottom>
      <diagonal/>
    </border>
    <border>
      <left style="thin">
        <color auto="1"/>
      </left>
      <right style="thick">
        <color indexed="64"/>
      </right>
      <top style="thick">
        <color indexed="64"/>
      </top>
      <bottom style="thin">
        <color auto="1"/>
      </bottom>
      <diagonal/>
    </border>
    <border>
      <left style="thick">
        <color indexed="64"/>
      </left>
      <right style="thin">
        <color auto="1"/>
      </right>
      <top style="thin">
        <color auto="1"/>
      </top>
      <bottom style="thin">
        <color auto="1"/>
      </bottom>
      <diagonal/>
    </border>
    <border>
      <left style="thin">
        <color auto="1"/>
      </left>
      <right style="thick">
        <color indexed="64"/>
      </right>
      <top style="thin">
        <color auto="1"/>
      </top>
      <bottom style="thin">
        <color auto="1"/>
      </bottom>
      <diagonal/>
    </border>
    <border>
      <left style="thick">
        <color indexed="64"/>
      </left>
      <right style="thin">
        <color auto="1"/>
      </right>
      <top style="thin">
        <color auto="1"/>
      </top>
      <bottom style="thick">
        <color indexed="64"/>
      </bottom>
      <diagonal/>
    </border>
    <border>
      <left style="thin">
        <color auto="1"/>
      </left>
      <right style="thick">
        <color indexed="64"/>
      </right>
      <top style="thin">
        <color auto="1"/>
      </top>
      <bottom style="thick">
        <color indexed="64"/>
      </bottom>
      <diagonal/>
    </border>
    <border>
      <left style="thick">
        <color indexed="64"/>
      </left>
      <right style="thin">
        <color auto="1"/>
      </right>
      <top style="thin">
        <color auto="1"/>
      </top>
      <bottom/>
      <diagonal/>
    </border>
    <border>
      <left style="thin">
        <color auto="1"/>
      </left>
      <right style="thick">
        <color indexed="64"/>
      </right>
      <top style="thin">
        <color auto="1"/>
      </top>
      <bottom/>
      <diagonal/>
    </border>
  </borders>
  <cellStyleXfs count="1">
    <xf numFmtId="0" fontId="0" fillId="0" borderId="0"/>
  </cellStyleXfs>
  <cellXfs count="494">
    <xf numFmtId="0" fontId="0" fillId="0" borderId="0" xfId="0"/>
    <xf numFmtId="0" fontId="4" fillId="4" borderId="2" xfId="0" applyFont="1" applyFill="1" applyBorder="1"/>
    <xf numFmtId="0" fontId="0" fillId="3" borderId="2" xfId="0" applyFill="1" applyBorder="1"/>
    <xf numFmtId="0" fontId="0" fillId="2" borderId="2" xfId="0" applyFill="1" applyBorder="1"/>
    <xf numFmtId="0" fontId="0" fillId="5" borderId="2" xfId="0" applyFill="1" applyBorder="1"/>
    <xf numFmtId="0" fontId="0" fillId="0" borderId="1" xfId="0" applyFill="1" applyBorder="1"/>
    <xf numFmtId="0" fontId="0" fillId="0" borderId="0" xfId="0"/>
    <xf numFmtId="0" fontId="0" fillId="0" borderId="2" xfId="0" applyFill="1" applyBorder="1"/>
    <xf numFmtId="0" fontId="0" fillId="0" borderId="2" xfId="0" applyFont="1" applyBorder="1" applyAlignment="1">
      <alignment horizontal="left" vertical="center" wrapText="1"/>
    </xf>
    <xf numFmtId="0" fontId="0" fillId="2" borderId="2" xfId="0" applyFill="1" applyBorder="1" applyAlignment="1">
      <alignment horizontal="left" vertical="center" wrapText="1"/>
    </xf>
    <xf numFmtId="0" fontId="0" fillId="2" borderId="2" xfId="0" applyFont="1" applyFill="1" applyBorder="1" applyAlignment="1">
      <alignment horizontal="left" vertical="center" wrapText="1"/>
    </xf>
    <xf numFmtId="0" fontId="1" fillId="2" borderId="2" xfId="0" applyFont="1" applyFill="1" applyBorder="1" applyAlignment="1">
      <alignment vertical="center" wrapText="1"/>
    </xf>
    <xf numFmtId="0" fontId="5" fillId="2" borderId="2" xfId="0" applyFont="1" applyFill="1" applyBorder="1" applyAlignment="1">
      <alignment horizontal="left" vertical="center" wrapText="1"/>
    </xf>
    <xf numFmtId="0" fontId="5" fillId="3" borderId="2" xfId="0" applyFont="1" applyFill="1" applyBorder="1" applyAlignment="1">
      <alignment horizontal="left" vertical="center" wrapText="1"/>
    </xf>
    <xf numFmtId="0" fontId="0" fillId="3" borderId="2" xfId="0" applyFont="1" applyFill="1" applyBorder="1" applyAlignment="1">
      <alignment horizontal="left" vertical="center" wrapText="1"/>
    </xf>
    <xf numFmtId="0" fontId="0" fillId="0" borderId="0" xfId="0"/>
    <xf numFmtId="0" fontId="0" fillId="0" borderId="2" xfId="0" applyBorder="1"/>
    <xf numFmtId="0" fontId="0" fillId="0" borderId="2" xfId="0" applyBorder="1" applyAlignment="1">
      <alignment vertical="center"/>
    </xf>
    <xf numFmtId="0" fontId="8" fillId="4" borderId="2" xfId="0" applyFont="1" applyFill="1" applyBorder="1"/>
    <xf numFmtId="0" fontId="8" fillId="4" borderId="2" xfId="0" applyFont="1" applyFill="1" applyBorder="1" applyAlignment="1">
      <alignment vertical="center"/>
    </xf>
    <xf numFmtId="0" fontId="8" fillId="4" borderId="2" xfId="0" applyFont="1" applyFill="1" applyBorder="1" applyAlignment="1">
      <alignment horizontal="center" vertical="center"/>
    </xf>
    <xf numFmtId="0" fontId="8" fillId="4" borderId="2" xfId="0" quotePrefix="1" applyFont="1" applyFill="1" applyBorder="1" applyAlignment="1">
      <alignment vertical="center"/>
    </xf>
    <xf numFmtId="0" fontId="9" fillId="0" borderId="0" xfId="0" applyFont="1"/>
    <xf numFmtId="0" fontId="10" fillId="0" borderId="0" xfId="0" applyFont="1"/>
    <xf numFmtId="0" fontId="0" fillId="0" borderId="9" xfId="0" applyBorder="1"/>
    <xf numFmtId="0" fontId="0" fillId="0" borderId="11" xfId="0" applyBorder="1"/>
    <xf numFmtId="0" fontId="0" fillId="0" borderId="14" xfId="0" applyBorder="1"/>
    <xf numFmtId="0" fontId="7" fillId="7" borderId="19" xfId="0" applyFont="1" applyFill="1" applyBorder="1" applyAlignment="1">
      <alignment vertical="center"/>
    </xf>
    <xf numFmtId="0" fontId="7" fillId="7" borderId="18" xfId="0" applyFont="1" applyFill="1" applyBorder="1" applyAlignment="1">
      <alignment vertical="center"/>
    </xf>
    <xf numFmtId="0" fontId="7" fillId="7" borderId="7" xfId="0" applyFont="1" applyFill="1" applyBorder="1" applyAlignment="1">
      <alignment vertical="center"/>
    </xf>
    <xf numFmtId="0" fontId="7" fillId="7" borderId="20" xfId="0" applyFont="1" applyFill="1" applyBorder="1" applyAlignment="1">
      <alignment vertical="center"/>
    </xf>
    <xf numFmtId="0" fontId="0" fillId="0" borderId="21" xfId="0" applyBorder="1"/>
    <xf numFmtId="0" fontId="0" fillId="0" borderId="22" xfId="0" applyBorder="1"/>
    <xf numFmtId="0" fontId="7" fillId="7" borderId="6" xfId="0" applyFont="1" applyFill="1" applyBorder="1" applyAlignment="1">
      <alignment vertical="center"/>
    </xf>
    <xf numFmtId="0" fontId="0" fillId="0" borderId="25" xfId="0" applyBorder="1"/>
    <xf numFmtId="0" fontId="0" fillId="0" borderId="27" xfId="0" applyBorder="1"/>
    <xf numFmtId="0" fontId="0" fillId="3" borderId="25" xfId="0" applyFill="1" applyBorder="1"/>
    <xf numFmtId="0" fontId="0" fillId="3" borderId="27" xfId="0" applyFill="1" applyBorder="1"/>
    <xf numFmtId="0" fontId="7" fillId="7" borderId="31" xfId="0" applyFont="1" applyFill="1" applyBorder="1" applyAlignment="1">
      <alignment vertical="center"/>
    </xf>
    <xf numFmtId="0" fontId="0" fillId="0" borderId="2" xfId="0" applyBorder="1" applyAlignment="1">
      <alignment horizontal="center" vertical="center" wrapText="1"/>
    </xf>
    <xf numFmtId="0" fontId="0" fillId="8" borderId="2" xfId="0" applyFill="1" applyBorder="1"/>
    <xf numFmtId="0" fontId="0" fillId="5" borderId="2" xfId="0" applyFill="1" applyBorder="1" applyAlignment="1">
      <alignment horizontal="left" vertical="center" wrapText="1"/>
    </xf>
    <xf numFmtId="0" fontId="0" fillId="9" borderId="2" xfId="0" applyFill="1" applyBorder="1"/>
    <xf numFmtId="0" fontId="0" fillId="0" borderId="35" xfId="0" applyBorder="1"/>
    <xf numFmtId="0" fontId="0" fillId="0" borderId="27" xfId="0" applyBorder="1" applyAlignment="1">
      <alignment horizontal="left" vertical="center" wrapText="1"/>
    </xf>
    <xf numFmtId="0" fontId="0" fillId="0" borderId="11" xfId="0" applyBorder="1" applyAlignment="1">
      <alignment horizontal="center" vertical="center" wrapText="1"/>
    </xf>
    <xf numFmtId="0" fontId="0" fillId="0" borderId="9" xfId="0" applyFill="1" applyBorder="1"/>
    <xf numFmtId="0" fontId="8" fillId="10" borderId="2" xfId="0" applyFont="1" applyFill="1" applyBorder="1" applyAlignment="1">
      <alignment horizontal="center" vertical="top"/>
    </xf>
    <xf numFmtId="164" fontId="8" fillId="10" borderId="2" xfId="0" applyNumberFormat="1" applyFont="1" applyFill="1" applyBorder="1" applyAlignment="1">
      <alignment horizontal="center" vertical="top"/>
    </xf>
    <xf numFmtId="0" fontId="8" fillId="10" borderId="2" xfId="0" applyFont="1" applyFill="1" applyBorder="1" applyAlignment="1">
      <alignment horizontal="left" vertical="top"/>
    </xf>
    <xf numFmtId="0" fontId="8" fillId="10" borderId="2" xfId="0" applyFont="1" applyFill="1" applyBorder="1" applyAlignment="1">
      <alignment horizontal="left" vertical="top" wrapText="1"/>
    </xf>
    <xf numFmtId="0" fontId="0" fillId="0" borderId="2" xfId="0" applyBorder="1" applyAlignment="1">
      <alignment horizontal="center" vertical="top"/>
    </xf>
    <xf numFmtId="164" fontId="0" fillId="0" borderId="2" xfId="0" applyNumberFormat="1" applyBorder="1" applyAlignment="1">
      <alignment horizontal="center" vertical="top"/>
    </xf>
    <xf numFmtId="0" fontId="0" fillId="0" borderId="2" xfId="0" applyBorder="1" applyAlignment="1">
      <alignment vertical="top"/>
    </xf>
    <xf numFmtId="0" fontId="0" fillId="0" borderId="2" xfId="0" applyBorder="1" applyAlignment="1">
      <alignment vertical="top" wrapText="1"/>
    </xf>
    <xf numFmtId="0" fontId="0" fillId="0" borderId="2" xfId="0" quotePrefix="1" applyBorder="1" applyAlignment="1">
      <alignment vertical="top" wrapText="1"/>
    </xf>
    <xf numFmtId="0" fontId="0" fillId="0" borderId="0" xfId="0" applyFont="1" applyAlignment="1">
      <alignment wrapText="1"/>
    </xf>
    <xf numFmtId="0" fontId="6" fillId="0" borderId="2" xfId="0" applyFont="1" applyBorder="1"/>
    <xf numFmtId="0" fontId="0" fillId="0" borderId="2" xfId="0" applyFont="1" applyBorder="1" applyAlignment="1">
      <alignment wrapText="1"/>
    </xf>
    <xf numFmtId="0" fontId="8" fillId="4" borderId="2" xfId="0" applyFont="1" applyFill="1" applyBorder="1" applyAlignment="1">
      <alignment horizontal="center" vertical="center"/>
    </xf>
    <xf numFmtId="0" fontId="0" fillId="0" borderId="9" xfId="0" applyBorder="1" applyAlignment="1">
      <alignment horizontal="center" vertical="center" wrapText="1"/>
    </xf>
    <xf numFmtId="0" fontId="8" fillId="4" borderId="2" xfId="0" applyFont="1" applyFill="1" applyBorder="1" applyAlignment="1">
      <alignment horizontal="center" vertical="center" wrapText="1"/>
    </xf>
    <xf numFmtId="0" fontId="8" fillId="4" borderId="2" xfId="0" applyFont="1" applyFill="1" applyBorder="1" applyAlignment="1">
      <alignment wrapText="1"/>
    </xf>
    <xf numFmtId="0" fontId="0" fillId="6" borderId="2" xfId="0" applyFill="1" applyBorder="1"/>
    <xf numFmtId="0" fontId="0" fillId="0" borderId="1" xfId="0" applyBorder="1"/>
    <xf numFmtId="0" fontId="0" fillId="0" borderId="1" xfId="0" applyBorder="1" applyAlignment="1">
      <alignment horizontal="center" vertical="center" wrapText="1"/>
    </xf>
    <xf numFmtId="0" fontId="7" fillId="7" borderId="39" xfId="0" applyFont="1" applyFill="1" applyBorder="1" applyAlignment="1">
      <alignment vertical="center"/>
    </xf>
    <xf numFmtId="0" fontId="7" fillId="7" borderId="40" xfId="0" applyFont="1" applyFill="1" applyBorder="1" applyAlignment="1">
      <alignment vertical="center"/>
    </xf>
    <xf numFmtId="0" fontId="0" fillId="0" borderId="38" xfId="0" applyBorder="1"/>
    <xf numFmtId="0" fontId="0" fillId="6" borderId="27" xfId="0" applyFill="1" applyBorder="1"/>
    <xf numFmtId="0" fontId="0" fillId="0" borderId="34" xfId="0" applyFill="1" applyBorder="1"/>
    <xf numFmtId="0" fontId="0" fillId="0" borderId="25" xfId="0" applyBorder="1" applyAlignment="1">
      <alignment horizontal="left" vertical="center" wrapText="1"/>
    </xf>
    <xf numFmtId="0" fontId="0" fillId="6" borderId="27" xfId="0" applyFill="1" applyBorder="1" applyAlignment="1">
      <alignment horizontal="left" vertical="center" wrapText="1"/>
    </xf>
    <xf numFmtId="0" fontId="0" fillId="0" borderId="27" xfId="0" applyFill="1" applyBorder="1"/>
    <xf numFmtId="0" fontId="0" fillId="0" borderId="29" xfId="0" applyBorder="1"/>
    <xf numFmtId="0" fontId="0" fillId="0" borderId="14" xfId="0" applyBorder="1" applyAlignment="1">
      <alignment horizontal="center" vertical="center" wrapText="1"/>
    </xf>
    <xf numFmtId="0" fontId="0" fillId="0" borderId="42" xfId="0" applyBorder="1"/>
    <xf numFmtId="0" fontId="0" fillId="0" borderId="29" xfId="0" applyFill="1" applyBorder="1"/>
    <xf numFmtId="0" fontId="0" fillId="0" borderId="43" xfId="0" applyBorder="1"/>
    <xf numFmtId="0" fontId="0" fillId="0" borderId="3" xfId="0" applyBorder="1"/>
    <xf numFmtId="0" fontId="0" fillId="11" borderId="25" xfId="0" applyFill="1" applyBorder="1"/>
    <xf numFmtId="0" fontId="0" fillId="11" borderId="1" xfId="0" applyFill="1" applyBorder="1" applyAlignment="1">
      <alignment horizontal="center" vertical="center" wrapText="1"/>
    </xf>
    <xf numFmtId="0" fontId="0" fillId="11" borderId="9" xfId="0" applyFill="1" applyBorder="1"/>
    <xf numFmtId="0" fontId="0" fillId="11" borderId="9" xfId="0" applyFill="1" applyBorder="1" applyAlignment="1"/>
    <xf numFmtId="0" fontId="0" fillId="11" borderId="27" xfId="0" applyFill="1" applyBorder="1"/>
    <xf numFmtId="0" fontId="0" fillId="11" borderId="2" xfId="0" applyFill="1" applyBorder="1"/>
    <xf numFmtId="0" fontId="0" fillId="11" borderId="2" xfId="0" applyFill="1" applyBorder="1" applyAlignment="1"/>
    <xf numFmtId="0" fontId="0" fillId="11" borderId="29" xfId="0" applyFill="1" applyBorder="1"/>
    <xf numFmtId="0" fontId="0" fillId="11" borderId="14" xfId="0" applyFill="1" applyBorder="1"/>
    <xf numFmtId="0" fontId="0" fillId="11" borderId="14" xfId="0" applyFill="1" applyBorder="1" applyAlignment="1"/>
    <xf numFmtId="0" fontId="0" fillId="11" borderId="8" xfId="0" applyFill="1" applyBorder="1"/>
    <xf numFmtId="0" fontId="0" fillId="11" borderId="9" xfId="0" applyFill="1" applyBorder="1" applyAlignment="1">
      <alignment horizontal="center" vertical="center" wrapText="1"/>
    </xf>
    <xf numFmtId="0" fontId="0" fillId="11" borderId="11" xfId="0" applyFill="1" applyBorder="1"/>
    <xf numFmtId="0" fontId="0" fillId="11" borderId="13" xfId="0" applyFill="1" applyBorder="1"/>
    <xf numFmtId="0" fontId="0" fillId="11" borderId="1" xfId="0" applyFill="1" applyBorder="1"/>
    <xf numFmtId="0" fontId="0" fillId="0" borderId="4" xfId="0" applyBorder="1"/>
    <xf numFmtId="0" fontId="7" fillId="7" borderId="41" xfId="0" applyFont="1" applyFill="1" applyBorder="1" applyAlignment="1">
      <alignment horizontal="center" vertical="center"/>
    </xf>
    <xf numFmtId="0" fontId="0" fillId="0" borderId="8" xfId="0" applyBorder="1" applyAlignment="1">
      <alignment horizontal="center" vertical="center" wrapText="1"/>
    </xf>
    <xf numFmtId="0" fontId="11" fillId="3" borderId="2" xfId="0" applyFont="1" applyFill="1" applyBorder="1"/>
    <xf numFmtId="0" fontId="0" fillId="12" borderId="2" xfId="0" applyFill="1" applyBorder="1"/>
    <xf numFmtId="0" fontId="12" fillId="4" borderId="2" xfId="0" applyFont="1" applyFill="1" applyBorder="1"/>
    <xf numFmtId="0" fontId="12" fillId="4" borderId="2" xfId="0" applyFont="1" applyFill="1" applyBorder="1" applyAlignment="1">
      <alignment wrapText="1"/>
    </xf>
    <xf numFmtId="0" fontId="0" fillId="0" borderId="25" xfId="0" applyBorder="1" applyAlignment="1">
      <alignment horizontal="left" vertical="center"/>
    </xf>
    <xf numFmtId="0" fontId="0" fillId="0" borderId="27" xfId="0" applyBorder="1" applyAlignment="1">
      <alignment horizontal="left" vertical="center"/>
    </xf>
    <xf numFmtId="0" fontId="0" fillId="0" borderId="4" xfId="0" applyBorder="1" applyAlignment="1">
      <alignment horizontal="left" vertical="center"/>
    </xf>
    <xf numFmtId="0" fontId="8" fillId="4" borderId="2" xfId="0" applyFont="1" applyFill="1" applyBorder="1" applyAlignment="1">
      <alignment vertical="center" wrapText="1"/>
    </xf>
    <xf numFmtId="0" fontId="6" fillId="11" borderId="27" xfId="0" applyFont="1" applyFill="1" applyBorder="1"/>
    <xf numFmtId="0" fontId="0" fillId="11" borderId="21" xfId="0" applyFill="1" applyBorder="1"/>
    <xf numFmtId="0" fontId="6" fillId="11" borderId="22" xfId="0" applyFont="1" applyFill="1" applyBorder="1"/>
    <xf numFmtId="0" fontId="0" fillId="11" borderId="22" xfId="0" applyFill="1" applyBorder="1"/>
    <xf numFmtId="0" fontId="0" fillId="11" borderId="23" xfId="0" applyFill="1" applyBorder="1"/>
    <xf numFmtId="0" fontId="0" fillId="0" borderId="45" xfId="0" applyBorder="1"/>
    <xf numFmtId="0" fontId="0" fillId="3" borderId="9" xfId="0" applyFill="1" applyBorder="1"/>
    <xf numFmtId="0" fontId="0" fillId="3" borderId="9" xfId="0" applyFill="1" applyBorder="1" applyAlignment="1"/>
    <xf numFmtId="0" fontId="0" fillId="3" borderId="2" xfId="0" applyFill="1" applyBorder="1" applyAlignment="1"/>
    <xf numFmtId="0" fontId="0" fillId="3" borderId="1" xfId="0" applyFill="1" applyBorder="1"/>
    <xf numFmtId="0" fontId="0" fillId="3" borderId="14" xfId="0" applyFill="1" applyBorder="1"/>
    <xf numFmtId="0" fontId="0" fillId="3" borderId="14" xfId="0" applyFill="1" applyBorder="1" applyAlignment="1"/>
    <xf numFmtId="0" fontId="0" fillId="13" borderId="0" xfId="0" applyFill="1"/>
    <xf numFmtId="0" fontId="0" fillId="6" borderId="0" xfId="0" applyFill="1"/>
    <xf numFmtId="0" fontId="14" fillId="2" borderId="2" xfId="0" applyFont="1" applyFill="1" applyBorder="1"/>
    <xf numFmtId="0" fontId="0" fillId="0" borderId="25" xfId="0" applyBorder="1" applyAlignment="1">
      <alignment horizontal="left" vertical="center"/>
    </xf>
    <xf numFmtId="0" fontId="0" fillId="0" borderId="27" xfId="0" applyBorder="1" applyAlignment="1">
      <alignment horizontal="left" vertical="center"/>
    </xf>
    <xf numFmtId="0" fontId="0" fillId="0" borderId="29" xfId="0" applyBorder="1" applyAlignment="1">
      <alignment horizontal="left" vertical="center"/>
    </xf>
    <xf numFmtId="0" fontId="0" fillId="0" borderId="4" xfId="0" applyBorder="1" applyAlignment="1">
      <alignment horizontal="left" vertical="center"/>
    </xf>
    <xf numFmtId="0" fontId="0" fillId="14" borderId="2" xfId="0" applyFill="1" applyBorder="1"/>
    <xf numFmtId="0" fontId="0" fillId="11" borderId="14" xfId="0" applyFill="1" applyBorder="1" applyAlignment="1">
      <alignment horizontal="center" vertical="center" wrapText="1"/>
    </xf>
    <xf numFmtId="0" fontId="0" fillId="0" borderId="2" xfId="0" applyBorder="1" applyAlignment="1">
      <alignment vertical="center"/>
    </xf>
    <xf numFmtId="0" fontId="0" fillId="13" borderId="0" xfId="0" applyFill="1" applyAlignment="1"/>
    <xf numFmtId="0" fontId="0" fillId="0" borderId="0" xfId="0" applyAlignment="1"/>
    <xf numFmtId="0" fontId="0" fillId="0" borderId="2" xfId="0" applyFill="1" applyBorder="1" applyAlignment="1">
      <alignment wrapText="1"/>
    </xf>
    <xf numFmtId="0" fontId="0" fillId="0" borderId="2" xfId="0" applyBorder="1" applyAlignment="1">
      <alignment vertical="center"/>
    </xf>
    <xf numFmtId="0" fontId="15" fillId="15" borderId="27" xfId="0" applyFont="1" applyFill="1" applyBorder="1" applyAlignment="1">
      <alignment horizontal="left" vertical="center" wrapText="1"/>
    </xf>
    <xf numFmtId="0" fontId="15" fillId="15" borderId="0" xfId="0" applyFont="1" applyFill="1"/>
    <xf numFmtId="0" fontId="5" fillId="2" borderId="2" xfId="0" applyFont="1" applyFill="1" applyBorder="1"/>
    <xf numFmtId="0" fontId="15" fillId="10" borderId="27" xfId="0" applyFont="1" applyFill="1" applyBorder="1" applyAlignment="1">
      <alignment horizontal="left" vertical="center" wrapText="1"/>
    </xf>
    <xf numFmtId="0" fontId="0" fillId="0" borderId="2" xfId="0" applyBorder="1" applyAlignment="1">
      <alignment horizontal="center" vertical="center"/>
    </xf>
    <xf numFmtId="164" fontId="0" fillId="0" borderId="2" xfId="0" applyNumberFormat="1" applyBorder="1" applyAlignment="1">
      <alignment horizontal="center" vertical="center"/>
    </xf>
    <xf numFmtId="0" fontId="0" fillId="0" borderId="2" xfId="0" applyBorder="1" applyAlignment="1">
      <alignment vertical="center" wrapText="1"/>
    </xf>
    <xf numFmtId="0" fontId="0" fillId="16" borderId="2" xfId="0" applyFill="1" applyBorder="1"/>
    <xf numFmtId="0" fontId="0" fillId="0" borderId="2" xfId="0" applyBorder="1" applyAlignment="1">
      <alignment vertical="center"/>
    </xf>
    <xf numFmtId="0" fontId="0" fillId="0" borderId="2" xfId="0" applyBorder="1" applyAlignment="1">
      <alignment wrapText="1"/>
    </xf>
    <xf numFmtId="0" fontId="0" fillId="0" borderId="2" xfId="0" applyBorder="1" applyAlignment="1"/>
    <xf numFmtId="0" fontId="0" fillId="0" borderId="48" xfId="0" applyFill="1" applyBorder="1"/>
    <xf numFmtId="0" fontId="0" fillId="0" borderId="43" xfId="0" applyFill="1" applyBorder="1"/>
    <xf numFmtId="0" fontId="0" fillId="0" borderId="48" xfId="0" applyBorder="1"/>
    <xf numFmtId="0" fontId="0" fillId="0" borderId="47" xfId="0" applyBorder="1"/>
    <xf numFmtId="0" fontId="0" fillId="0" borderId="53" xfId="0" applyBorder="1"/>
    <xf numFmtId="0" fontId="0" fillId="0" borderId="51" xfId="0" applyBorder="1"/>
    <xf numFmtId="0" fontId="0" fillId="0" borderId="45" xfId="0" applyBorder="1" applyAlignment="1">
      <alignment horizontal="center" vertical="center" wrapText="1"/>
    </xf>
    <xf numFmtId="0" fontId="0" fillId="0" borderId="38" xfId="0" applyBorder="1" applyAlignment="1">
      <alignment horizontal="center" vertical="center" wrapText="1"/>
    </xf>
    <xf numFmtId="0" fontId="0" fillId="0" borderId="44" xfId="0" applyBorder="1" applyAlignment="1">
      <alignment horizontal="center" vertical="center" wrapText="1"/>
    </xf>
    <xf numFmtId="0" fontId="0" fillId="0" borderId="54" xfId="0" applyBorder="1"/>
    <xf numFmtId="0" fontId="0" fillId="0" borderId="24" xfId="0" applyBorder="1"/>
    <xf numFmtId="0" fontId="0" fillId="0" borderId="0" xfId="0" applyBorder="1"/>
    <xf numFmtId="0" fontId="0" fillId="0" borderId="55" xfId="0" applyBorder="1"/>
    <xf numFmtId="0" fontId="0" fillId="0" borderId="56" xfId="0" applyBorder="1"/>
    <xf numFmtId="0" fontId="7" fillId="7" borderId="57" xfId="0" applyFont="1" applyFill="1" applyBorder="1" applyAlignment="1">
      <alignment vertical="center"/>
    </xf>
    <xf numFmtId="0" fontId="0" fillId="0" borderId="7" xfId="0" applyBorder="1"/>
    <xf numFmtId="0" fontId="0" fillId="0" borderId="5" xfId="0" applyBorder="1"/>
    <xf numFmtId="0" fontId="7" fillId="7" borderId="58" xfId="0" applyFont="1" applyFill="1" applyBorder="1" applyAlignment="1">
      <alignment vertical="center"/>
    </xf>
    <xf numFmtId="0" fontId="7" fillId="7" borderId="59" xfId="0" applyFont="1" applyFill="1" applyBorder="1" applyAlignment="1">
      <alignment vertical="center"/>
    </xf>
    <xf numFmtId="0" fontId="0" fillId="0" borderId="25" xfId="0" applyFill="1" applyBorder="1"/>
    <xf numFmtId="0" fontId="0" fillId="2" borderId="27" xfId="0" applyFill="1" applyBorder="1"/>
    <xf numFmtId="0" fontId="0" fillId="0" borderId="25" xfId="0" applyFill="1" applyBorder="1" applyAlignment="1">
      <alignment wrapText="1"/>
    </xf>
    <xf numFmtId="0" fontId="0" fillId="0" borderId="29" xfId="0" applyFill="1" applyBorder="1" applyAlignment="1">
      <alignment wrapText="1"/>
    </xf>
    <xf numFmtId="0" fontId="7" fillId="7" borderId="25" xfId="0" applyFont="1" applyFill="1" applyBorder="1" applyAlignment="1">
      <alignmen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4" xfId="0" applyBorder="1" applyAlignment="1">
      <alignment horizontal="left" vertical="center" wrapText="1"/>
    </xf>
    <xf numFmtId="0" fontId="0" fillId="0" borderId="10" xfId="0" applyBorder="1"/>
    <xf numFmtId="0" fontId="0" fillId="0" borderId="12" xfId="0" applyBorder="1"/>
    <xf numFmtId="0" fontId="0" fillId="0" borderId="25" xfId="0" applyBorder="1" applyAlignment="1">
      <alignment horizontal="left" vertical="center" wrapText="1"/>
    </xf>
    <xf numFmtId="0" fontId="7" fillId="7" borderId="60" xfId="0" applyFont="1" applyFill="1" applyBorder="1" applyAlignment="1">
      <alignment vertical="center"/>
    </xf>
    <xf numFmtId="0" fontId="0" fillId="3" borderId="35" xfId="0" applyFill="1" applyBorder="1"/>
    <xf numFmtId="0" fontId="0" fillId="0" borderId="35" xfId="0" applyBorder="1" applyAlignment="1">
      <alignment horizontal="left" vertical="center"/>
    </xf>
    <xf numFmtId="0" fontId="0" fillId="6" borderId="1" xfId="0" applyFill="1" applyBorder="1"/>
    <xf numFmtId="0" fontId="0" fillId="0" borderId="27" xfId="0" applyFill="1" applyBorder="1" applyAlignment="1">
      <alignment wrapText="1"/>
    </xf>
    <xf numFmtId="0" fontId="15" fillId="15" borderId="24" xfId="0" applyFont="1" applyFill="1" applyBorder="1"/>
    <xf numFmtId="0" fontId="15" fillId="10" borderId="24" xfId="0" applyFont="1" applyFill="1" applyBorder="1"/>
    <xf numFmtId="0" fontId="0" fillId="0" borderId="13" xfId="0" applyBorder="1"/>
    <xf numFmtId="0" fontId="0" fillId="0" borderId="52" xfId="0" applyBorder="1"/>
    <xf numFmtId="0" fontId="0" fillId="0" borderId="35" xfId="0" applyBorder="1" applyAlignment="1">
      <alignment horizontal="left" vertical="center" wrapText="1"/>
    </xf>
    <xf numFmtId="0" fontId="0" fillId="0" borderId="35" xfId="0" applyFill="1" applyBorder="1" applyAlignment="1">
      <alignment wrapText="1"/>
    </xf>
    <xf numFmtId="0" fontId="0" fillId="0" borderId="8" xfId="0" applyBorder="1"/>
    <xf numFmtId="0" fontId="6" fillId="5" borderId="2" xfId="0" applyFont="1" applyFill="1" applyBorder="1" applyAlignment="1">
      <alignment horizontal="left" vertical="center" wrapText="1"/>
    </xf>
    <xf numFmtId="0" fontId="0" fillId="0" borderId="25" xfId="0" applyBorder="1" applyAlignment="1">
      <alignment vertical="top" wrapText="1"/>
    </xf>
    <xf numFmtId="0" fontId="0" fillId="0" borderId="27" xfId="0" applyBorder="1" applyAlignment="1">
      <alignment wrapText="1"/>
    </xf>
    <xf numFmtId="0" fontId="0" fillId="0" borderId="61" xfId="0" applyBorder="1"/>
    <xf numFmtId="0" fontId="0" fillId="0" borderId="34" xfId="0" applyBorder="1"/>
    <xf numFmtId="0" fontId="0" fillId="0" borderId="62" xfId="0" applyBorder="1"/>
    <xf numFmtId="0" fontId="0" fillId="0" borderId="63" xfId="0" applyBorder="1" applyAlignment="1">
      <alignment horizontal="center" vertical="center" wrapText="1"/>
    </xf>
    <xf numFmtId="0" fontId="0" fillId="0" borderId="64" xfId="0" applyBorder="1"/>
    <xf numFmtId="0" fontId="0" fillId="0" borderId="65" xfId="0" applyBorder="1"/>
    <xf numFmtId="0" fontId="0" fillId="0" borderId="64" xfId="0" applyBorder="1" applyAlignment="1">
      <alignment horizontal="center" vertical="center" wrapText="1"/>
    </xf>
    <xf numFmtId="14" fontId="0" fillId="0" borderId="2" xfId="0" applyNumberFormat="1" applyBorder="1" applyAlignment="1">
      <alignment horizontal="center"/>
    </xf>
    <xf numFmtId="0" fontId="16" fillId="0" borderId="0" xfId="0" applyFont="1" applyAlignment="1">
      <alignment horizontal="left"/>
    </xf>
    <xf numFmtId="0" fontId="0" fillId="0" borderId="0" xfId="0" applyAlignment="1">
      <alignment horizontal="left"/>
    </xf>
    <xf numFmtId="0" fontId="0" fillId="17" borderId="2" xfId="0" applyFill="1" applyBorder="1"/>
    <xf numFmtId="0" fontId="5" fillId="0" borderId="9" xfId="0" applyFont="1" applyBorder="1"/>
    <xf numFmtId="0" fontId="5" fillId="0" borderId="2" xfId="0" applyFont="1" applyBorder="1"/>
    <xf numFmtId="0" fontId="5" fillId="0" borderId="2" xfId="0" applyFont="1" applyFill="1" applyBorder="1"/>
    <xf numFmtId="0" fontId="5" fillId="17" borderId="2" xfId="0" applyFont="1" applyFill="1" applyBorder="1"/>
    <xf numFmtId="0" fontId="5" fillId="0" borderId="14" xfId="0" applyFont="1" applyBorder="1"/>
    <xf numFmtId="0" fontId="18" fillId="4" borderId="2" xfId="0" applyFont="1" applyFill="1" applyBorder="1"/>
    <xf numFmtId="0" fontId="18" fillId="4" borderId="2" xfId="0" applyFont="1" applyFill="1" applyBorder="1" applyAlignment="1">
      <alignment horizontal="left"/>
    </xf>
    <xf numFmtId="0" fontId="19" fillId="0" borderId="2" xfId="0" applyFont="1" applyFill="1" applyBorder="1"/>
    <xf numFmtId="0" fontId="19" fillId="0" borderId="2" xfId="0" applyFont="1" applyBorder="1"/>
    <xf numFmtId="0" fontId="19" fillId="3" borderId="2" xfId="0" applyFont="1" applyFill="1" applyBorder="1"/>
    <xf numFmtId="0" fontId="19" fillId="0" borderId="2" xfId="0" applyFont="1" applyFill="1" applyBorder="1" applyAlignment="1">
      <alignment horizontal="left"/>
    </xf>
    <xf numFmtId="0" fontId="19" fillId="2" borderId="2" xfId="0" applyFont="1" applyFill="1" applyBorder="1"/>
    <xf numFmtId="0" fontId="19" fillId="5" borderId="2" xfId="0" applyFont="1" applyFill="1" applyBorder="1"/>
    <xf numFmtId="0" fontId="20" fillId="2" borderId="2" xfId="0" applyFont="1" applyFill="1" applyBorder="1"/>
    <xf numFmtId="0" fontId="19" fillId="2" borderId="2" xfId="0" applyFont="1" applyFill="1" applyBorder="1" applyAlignment="1"/>
    <xf numFmtId="0" fontId="19" fillId="0" borderId="2" xfId="0" applyFont="1" applyBorder="1" applyAlignment="1">
      <alignment horizontal="left"/>
    </xf>
    <xf numFmtId="0" fontId="19" fillId="3" borderId="2" xfId="0" applyFont="1" applyFill="1" applyBorder="1" applyAlignment="1">
      <alignment horizontal="left"/>
    </xf>
    <xf numFmtId="0" fontId="21" fillId="2" borderId="2" xfId="0" applyFont="1" applyFill="1" applyBorder="1"/>
    <xf numFmtId="0" fontId="19" fillId="0" borderId="2" xfId="0" applyFont="1" applyFill="1" applyBorder="1" applyAlignment="1">
      <alignment wrapText="1"/>
    </xf>
    <xf numFmtId="0" fontId="22" fillId="2" borderId="2" xfId="0" applyFont="1" applyFill="1" applyBorder="1"/>
    <xf numFmtId="0" fontId="23" fillId="3" borderId="2" xfId="0" applyFont="1" applyFill="1" applyBorder="1"/>
    <xf numFmtId="0" fontId="23" fillId="0" borderId="2" xfId="0" applyFont="1" applyBorder="1"/>
    <xf numFmtId="0" fontId="21" fillId="0" borderId="2" xfId="0" applyFont="1" applyBorder="1"/>
    <xf numFmtId="0" fontId="19" fillId="8" borderId="2" xfId="0" applyFont="1" applyFill="1" applyBorder="1" applyAlignment="1">
      <alignment horizontal="left" vertical="center"/>
    </xf>
    <xf numFmtId="0" fontId="22" fillId="0" borderId="2" xfId="0" applyFont="1" applyFill="1" applyBorder="1" applyAlignment="1">
      <alignment horizontal="left"/>
    </xf>
    <xf numFmtId="0" fontId="22" fillId="0" borderId="2" xfId="0" applyFont="1" applyBorder="1" applyAlignment="1">
      <alignment horizontal="left"/>
    </xf>
    <xf numFmtId="0" fontId="19" fillId="0" borderId="1" xfId="0" applyFont="1" applyFill="1" applyBorder="1"/>
    <xf numFmtId="0" fontId="19" fillId="2" borderId="1" xfId="0" applyFont="1" applyFill="1" applyBorder="1"/>
    <xf numFmtId="0" fontId="22" fillId="0" borderId="1" xfId="0" applyFont="1" applyFill="1" applyBorder="1" applyAlignment="1">
      <alignment horizontal="left"/>
    </xf>
    <xf numFmtId="0" fontId="19" fillId="0" borderId="2" xfId="0" applyFont="1" applyBorder="1" applyAlignment="1">
      <alignment wrapText="1"/>
    </xf>
    <xf numFmtId="0" fontId="22" fillId="17" borderId="2" xfId="0" applyFont="1" applyFill="1" applyBorder="1" applyAlignment="1">
      <alignment horizontal="left"/>
    </xf>
    <xf numFmtId="0" fontId="19" fillId="17" borderId="2" xfId="0" applyFont="1" applyFill="1" applyBorder="1" applyAlignment="1">
      <alignment horizontal="left"/>
    </xf>
    <xf numFmtId="0" fontId="0" fillId="0" borderId="21" xfId="0" applyFill="1" applyBorder="1" applyAlignment="1">
      <alignment wrapText="1"/>
    </xf>
    <xf numFmtId="0" fontId="0" fillId="0" borderId="22" xfId="0" applyFill="1" applyBorder="1" applyAlignment="1">
      <alignment wrapText="1"/>
    </xf>
    <xf numFmtId="0" fontId="0" fillId="0" borderId="66" xfId="0" applyBorder="1"/>
    <xf numFmtId="0" fontId="0" fillId="0" borderId="22" xfId="0" applyBorder="1" applyAlignment="1">
      <alignment wrapText="1"/>
    </xf>
    <xf numFmtId="0" fontId="0" fillId="0" borderId="3" xfId="0" applyBorder="1" applyAlignment="1">
      <alignment horizontal="center" vertical="center" wrapText="1"/>
    </xf>
    <xf numFmtId="0" fontId="0" fillId="2" borderId="1" xfId="0" applyFill="1" applyBorder="1"/>
    <xf numFmtId="0" fontId="0" fillId="2" borderId="14" xfId="0" applyFill="1" applyBorder="1"/>
    <xf numFmtId="0" fontId="0" fillId="0" borderId="2" xfId="0" applyBorder="1" applyAlignment="1">
      <alignment horizontal="left" vertical="center"/>
    </xf>
    <xf numFmtId="14" fontId="0" fillId="0" borderId="2" xfId="0" applyNumberFormat="1" applyBorder="1" applyAlignment="1">
      <alignment horizontal="center" vertical="center"/>
    </xf>
    <xf numFmtId="0" fontId="0" fillId="0" borderId="2" xfId="0" applyBorder="1" applyAlignment="1">
      <alignment horizontal="left" vertical="center"/>
    </xf>
    <xf numFmtId="0" fontId="0" fillId="0" borderId="2" xfId="0" applyBorder="1" applyAlignment="1">
      <alignment horizontal="left" vertical="center" wrapText="1"/>
    </xf>
    <xf numFmtId="0" fontId="6" fillId="0" borderId="2" xfId="0" applyFont="1" applyBorder="1" applyAlignment="1">
      <alignment horizontal="left" vertical="center" wrapText="1"/>
    </xf>
    <xf numFmtId="0" fontId="6" fillId="0" borderId="2" xfId="0" applyFont="1" applyFill="1" applyBorder="1"/>
    <xf numFmtId="0" fontId="0" fillId="0" borderId="2" xfId="0" applyBorder="1" applyAlignment="1">
      <alignment horizontal="left" vertical="center"/>
    </xf>
    <xf numFmtId="0" fontId="6" fillId="8" borderId="2" xfId="0" applyFont="1" applyFill="1" applyBorder="1"/>
    <xf numFmtId="0" fontId="0" fillId="0" borderId="2" xfId="0" applyBorder="1" applyAlignment="1">
      <alignment vertical="center"/>
    </xf>
    <xf numFmtId="0" fontId="19" fillId="18" borderId="2" xfId="0" applyFont="1" applyFill="1" applyBorder="1"/>
    <xf numFmtId="0" fontId="19" fillId="6" borderId="2" xfId="0" applyFont="1" applyFill="1" applyBorder="1"/>
    <xf numFmtId="0" fontId="19" fillId="0" borderId="0" xfId="0" applyFont="1"/>
    <xf numFmtId="0" fontId="21" fillId="3" borderId="2" xfId="0" applyFont="1" applyFill="1" applyBorder="1"/>
    <xf numFmtId="0" fontId="0" fillId="0" borderId="4" xfId="0" applyFill="1" applyBorder="1" applyAlignment="1">
      <alignment horizontal="center" vertical="center"/>
    </xf>
    <xf numFmtId="0" fontId="24" fillId="0" borderId="2" xfId="0" applyFont="1" applyBorder="1"/>
    <xf numFmtId="0" fontId="24" fillId="0" borderId="2" xfId="0" applyFont="1" applyBorder="1" applyAlignment="1">
      <alignment wrapText="1"/>
    </xf>
    <xf numFmtId="0" fontId="8" fillId="4" borderId="2" xfId="0" applyFont="1" applyFill="1" applyBorder="1" applyAlignment="1">
      <alignment horizontal="left" vertical="center" wrapText="1"/>
    </xf>
    <xf numFmtId="0" fontId="27" fillId="7" borderId="8" xfId="0" applyFont="1" applyFill="1" applyBorder="1" applyAlignment="1">
      <alignment vertical="center" wrapText="1"/>
    </xf>
    <xf numFmtId="0" fontId="27" fillId="7" borderId="9" xfId="0" applyFont="1" applyFill="1" applyBorder="1" applyAlignment="1">
      <alignment vertical="center" wrapText="1"/>
    </xf>
    <xf numFmtId="0" fontId="0" fillId="11" borderId="2" xfId="0" applyFill="1" applyBorder="1" applyAlignment="1">
      <alignment horizontal="center" vertical="top" wrapText="1"/>
    </xf>
    <xf numFmtId="0" fontId="0" fillId="11" borderId="2" xfId="0" applyFill="1" applyBorder="1" applyAlignment="1">
      <alignment horizontal="left" vertical="top" wrapText="1"/>
    </xf>
    <xf numFmtId="0" fontId="0" fillId="9" borderId="2" xfId="0" applyFill="1" applyBorder="1" applyAlignment="1">
      <alignment horizontal="left" vertical="top" wrapText="1"/>
    </xf>
    <xf numFmtId="0" fontId="0" fillId="21" borderId="2" xfId="0" applyFill="1" applyBorder="1" applyAlignment="1">
      <alignment horizontal="left" vertical="top" wrapText="1"/>
    </xf>
    <xf numFmtId="0" fontId="0" fillId="23" borderId="2" xfId="0" applyFill="1" applyBorder="1" applyAlignment="1">
      <alignment horizontal="left" vertical="top" wrapText="1"/>
    </xf>
    <xf numFmtId="0" fontId="0" fillId="0" borderId="14" xfId="0" applyBorder="1" applyAlignment="1">
      <alignment wrapText="1"/>
    </xf>
    <xf numFmtId="0" fontId="0" fillId="19" borderId="2" xfId="0" applyFont="1" applyFill="1" applyBorder="1" applyAlignment="1">
      <alignment horizontal="left" vertical="top" wrapText="1"/>
    </xf>
    <xf numFmtId="0" fontId="5" fillId="19" borderId="2" xfId="0" applyFont="1" applyFill="1" applyBorder="1" applyAlignment="1">
      <alignment horizontal="left" vertical="top" wrapText="1"/>
    </xf>
    <xf numFmtId="0" fontId="0" fillId="11" borderId="2" xfId="0" applyFill="1" applyBorder="1" applyAlignment="1">
      <alignment vertical="top" wrapText="1"/>
    </xf>
    <xf numFmtId="0" fontId="5" fillId="21" borderId="2" xfId="0" applyFont="1" applyFill="1" applyBorder="1" applyAlignment="1">
      <alignment horizontal="left" vertical="top" wrapText="1"/>
    </xf>
    <xf numFmtId="0" fontId="0" fillId="23" borderId="2" xfId="0" applyFont="1" applyFill="1" applyBorder="1" applyAlignment="1">
      <alignment horizontal="left" vertical="top" wrapText="1"/>
    </xf>
    <xf numFmtId="0" fontId="1" fillId="23" borderId="2" xfId="0" applyFont="1" applyFill="1" applyBorder="1" applyAlignment="1">
      <alignment vertical="top" wrapText="1"/>
    </xf>
    <xf numFmtId="0" fontId="6" fillId="23" borderId="2" xfId="0" applyFont="1" applyFill="1" applyBorder="1" applyAlignment="1">
      <alignment vertical="top" wrapText="1"/>
    </xf>
    <xf numFmtId="0" fontId="5" fillId="23" borderId="2" xfId="0" applyFont="1" applyFill="1" applyBorder="1" applyAlignment="1">
      <alignment horizontal="left" vertical="top" wrapText="1"/>
    </xf>
    <xf numFmtId="0" fontId="6" fillId="23" borderId="2" xfId="0" applyFont="1" applyFill="1" applyBorder="1" applyAlignment="1">
      <alignment horizontal="left" vertical="top" wrapText="1"/>
    </xf>
    <xf numFmtId="0" fontId="27" fillId="7" borderId="9" xfId="0" applyFont="1" applyFill="1" applyBorder="1" applyAlignment="1">
      <alignment vertical="top" wrapText="1"/>
    </xf>
    <xf numFmtId="0" fontId="5" fillId="11" borderId="2" xfId="0" applyFont="1" applyFill="1" applyBorder="1" applyAlignment="1">
      <alignment horizontal="left" vertical="top" wrapText="1"/>
    </xf>
    <xf numFmtId="0" fontId="6" fillId="5" borderId="2" xfId="0" applyFont="1" applyFill="1" applyBorder="1" applyAlignment="1">
      <alignment vertical="top" wrapText="1"/>
    </xf>
    <xf numFmtId="0" fontId="6" fillId="5" borderId="2" xfId="0" applyFont="1" applyFill="1" applyBorder="1" applyAlignment="1">
      <alignment horizontal="left" vertical="top" wrapText="1"/>
    </xf>
    <xf numFmtId="0" fontId="5" fillId="9" borderId="2" xfId="0" applyFont="1" applyFill="1" applyBorder="1" applyAlignment="1">
      <alignment horizontal="left" vertical="top" wrapText="1"/>
    </xf>
    <xf numFmtId="0" fontId="0" fillId="5" borderId="2" xfId="0" applyFont="1" applyFill="1" applyBorder="1" applyAlignment="1">
      <alignment vertical="top" wrapText="1"/>
    </xf>
    <xf numFmtId="0" fontId="29" fillId="5" borderId="2" xfId="0" applyFont="1" applyFill="1" applyBorder="1" applyAlignment="1">
      <alignment vertical="top" wrapText="1"/>
    </xf>
    <xf numFmtId="0" fontId="6" fillId="9" borderId="2" xfId="0" applyFont="1" applyFill="1" applyBorder="1" applyAlignment="1">
      <alignment vertical="top" wrapText="1"/>
    </xf>
    <xf numFmtId="0" fontId="6" fillId="21" borderId="2" xfId="0" applyFont="1" applyFill="1" applyBorder="1" applyAlignment="1">
      <alignment horizontal="left" vertical="top" wrapText="1"/>
    </xf>
    <xf numFmtId="0" fontId="1" fillId="5" borderId="2" xfId="0" applyFont="1" applyFill="1" applyBorder="1" applyAlignment="1">
      <alignment vertical="top" wrapText="1"/>
    </xf>
    <xf numFmtId="0" fontId="27" fillId="7" borderId="9" xfId="0" applyFont="1" applyFill="1" applyBorder="1" applyAlignment="1">
      <alignment horizontal="left" vertical="top" wrapText="1"/>
    </xf>
    <xf numFmtId="0" fontId="19" fillId="5" borderId="2" xfId="0" applyFont="1" applyFill="1" applyBorder="1" applyAlignment="1">
      <alignment horizontal="left" vertical="top" wrapText="1"/>
    </xf>
    <xf numFmtId="0" fontId="20" fillId="5" borderId="2" xfId="0" applyFont="1" applyFill="1" applyBorder="1" applyAlignment="1">
      <alignment horizontal="left" vertical="top" wrapText="1"/>
    </xf>
    <xf numFmtId="0" fontId="19" fillId="19" borderId="2" xfId="0" applyFont="1" applyFill="1" applyBorder="1" applyAlignment="1">
      <alignment horizontal="left" vertical="top" wrapText="1"/>
    </xf>
    <xf numFmtId="0" fontId="21" fillId="5" borderId="2" xfId="0" applyFont="1" applyFill="1" applyBorder="1" applyAlignment="1">
      <alignment horizontal="left" vertical="top" wrapText="1"/>
    </xf>
    <xf numFmtId="0" fontId="21" fillId="19" borderId="2" xfId="0" applyFont="1" applyFill="1" applyBorder="1" applyAlignment="1">
      <alignment horizontal="left" vertical="top" wrapText="1"/>
    </xf>
    <xf numFmtId="0" fontId="6" fillId="9" borderId="2" xfId="0" applyFont="1" applyFill="1" applyBorder="1" applyAlignment="1">
      <alignment horizontal="left" vertical="top" wrapText="1"/>
    </xf>
    <xf numFmtId="0" fontId="0" fillId="11" borderId="11" xfId="0" applyFill="1" applyBorder="1" applyAlignment="1">
      <alignment vertical="top" wrapText="1"/>
    </xf>
    <xf numFmtId="0" fontId="0" fillId="0" borderId="0" xfId="0" applyAlignment="1">
      <alignment wrapText="1"/>
    </xf>
    <xf numFmtId="0" fontId="28" fillId="0" borderId="64" xfId="0" applyFont="1" applyBorder="1" applyAlignment="1">
      <alignment wrapText="1"/>
    </xf>
    <xf numFmtId="0" fontId="0" fillId="0" borderId="0" xfId="0" applyAlignment="1">
      <alignment horizontal="left" vertical="top" wrapText="1"/>
    </xf>
    <xf numFmtId="0" fontId="0" fillId="0" borderId="0" xfId="0" applyAlignment="1">
      <alignment vertical="top" wrapText="1"/>
    </xf>
    <xf numFmtId="0" fontId="0" fillId="0" borderId="0" xfId="0" applyFill="1" applyAlignment="1">
      <alignment wrapText="1"/>
    </xf>
    <xf numFmtId="0" fontId="0" fillId="0" borderId="34" xfId="0" applyBorder="1" applyAlignment="1">
      <alignment horizontal="left" vertical="center" wrapText="1"/>
    </xf>
    <xf numFmtId="0" fontId="0" fillId="0" borderId="0" xfId="0" applyAlignment="1">
      <alignment horizontal="left" vertical="top"/>
    </xf>
    <xf numFmtId="0" fontId="31" fillId="0" borderId="0" xfId="0" applyFont="1" applyAlignment="1">
      <alignment vertical="center"/>
    </xf>
    <xf numFmtId="0" fontId="0" fillId="0" borderId="0" xfId="0" applyAlignment="1">
      <alignment vertical="center" wrapText="1"/>
    </xf>
    <xf numFmtId="0" fontId="0" fillId="0" borderId="68" xfId="0" applyBorder="1" applyAlignment="1">
      <alignment vertical="center" wrapText="1"/>
    </xf>
    <xf numFmtId="0" fontId="0" fillId="0" borderId="36" xfId="0" applyBorder="1" applyAlignment="1">
      <alignment vertical="center" wrapText="1"/>
    </xf>
    <xf numFmtId="0" fontId="0" fillId="0" borderId="6" xfId="0" applyBorder="1" applyAlignment="1">
      <alignment horizontal="left" vertical="center" wrapText="1"/>
    </xf>
    <xf numFmtId="0" fontId="27" fillId="7" borderId="9" xfId="0" applyFont="1" applyFill="1" applyBorder="1" applyAlignment="1">
      <alignment horizontal="left" vertical="center" wrapText="1"/>
    </xf>
    <xf numFmtId="0" fontId="0" fillId="0" borderId="0" xfId="0" applyAlignment="1">
      <alignment horizontal="left" vertical="center" wrapText="1"/>
    </xf>
    <xf numFmtId="0" fontId="6" fillId="6" borderId="2" xfId="0" applyFont="1" applyFill="1" applyBorder="1" applyAlignment="1">
      <alignment horizontal="left" vertical="top" wrapText="1"/>
    </xf>
    <xf numFmtId="0" fontId="0" fillId="0" borderId="2" xfId="0" applyFill="1" applyBorder="1" applyAlignment="1">
      <alignment horizontal="left" vertical="center"/>
    </xf>
    <xf numFmtId="0" fontId="0" fillId="0" borderId="34" xfId="0" applyBorder="1" applyAlignment="1">
      <alignment horizontal="left" vertical="center" wrapText="1"/>
    </xf>
    <xf numFmtId="0" fontId="0" fillId="0" borderId="4" xfId="0" applyFill="1" applyBorder="1" applyAlignment="1">
      <alignment horizontal="left" vertical="center"/>
    </xf>
    <xf numFmtId="0" fontId="27" fillId="24" borderId="11" xfId="0" applyFont="1" applyFill="1" applyBorder="1" applyAlignment="1">
      <alignment horizontal="left" vertical="top"/>
    </xf>
    <xf numFmtId="0" fontId="0" fillId="24" borderId="2" xfId="0" applyFill="1" applyBorder="1" applyAlignment="1">
      <alignment vertical="top" wrapText="1"/>
    </xf>
    <xf numFmtId="0" fontId="0" fillId="24" borderId="2" xfId="0" applyFill="1" applyBorder="1" applyAlignment="1">
      <alignment horizontal="left" vertical="top" wrapText="1"/>
    </xf>
    <xf numFmtId="0" fontId="0" fillId="24" borderId="2" xfId="0" applyFill="1" applyBorder="1" applyAlignment="1">
      <alignment horizontal="center" vertical="top" wrapText="1"/>
    </xf>
    <xf numFmtId="0" fontId="27" fillId="24" borderId="38" xfId="0" applyFont="1" applyFill="1" applyBorder="1" applyAlignment="1">
      <alignment horizontal="left" vertical="top"/>
    </xf>
    <xf numFmtId="0" fontId="5" fillId="24" borderId="2" xfId="0" applyFont="1" applyFill="1" applyBorder="1" applyAlignment="1">
      <alignment horizontal="left" vertical="top"/>
    </xf>
    <xf numFmtId="0" fontId="27" fillId="24" borderId="2" xfId="0" applyFont="1" applyFill="1" applyBorder="1" applyAlignment="1">
      <alignment horizontal="left" vertical="top"/>
    </xf>
    <xf numFmtId="0" fontId="27" fillId="24" borderId="2" xfId="0" applyFont="1" applyFill="1" applyBorder="1" applyAlignment="1">
      <alignment horizontal="center" vertical="top"/>
    </xf>
    <xf numFmtId="0" fontId="8" fillId="4" borderId="7" xfId="0" applyFont="1" applyFill="1" applyBorder="1" applyAlignment="1">
      <alignment horizontal="center" vertical="center"/>
    </xf>
    <xf numFmtId="0" fontId="8" fillId="4" borderId="24" xfId="0" applyFont="1" applyFill="1" applyBorder="1" applyAlignment="1">
      <alignment horizontal="center" vertical="center"/>
    </xf>
    <xf numFmtId="0" fontId="8" fillId="4" borderId="38" xfId="0" applyFont="1" applyFill="1" applyBorder="1" applyAlignment="1">
      <alignment horizontal="center" vertical="center"/>
    </xf>
    <xf numFmtId="0" fontId="8" fillId="4" borderId="7" xfId="0" applyFont="1" applyFill="1" applyBorder="1" applyAlignment="1">
      <alignment horizontal="center"/>
    </xf>
    <xf numFmtId="0" fontId="8" fillId="4" borderId="38" xfId="0" applyFont="1" applyFill="1" applyBorder="1" applyAlignment="1">
      <alignment horizontal="center"/>
    </xf>
    <xf numFmtId="0" fontId="0" fillId="0" borderId="38" xfId="0" applyBorder="1" applyAlignment="1">
      <alignment horizontal="center"/>
    </xf>
    <xf numFmtId="0" fontId="0" fillId="0" borderId="7" xfId="0" applyBorder="1" applyAlignment="1">
      <alignment horizontal="left" vertical="center"/>
    </xf>
    <xf numFmtId="0" fontId="0" fillId="0" borderId="9" xfId="0" applyBorder="1" applyAlignment="1">
      <alignment horizontal="left" vertical="center" wrapText="1"/>
    </xf>
    <xf numFmtId="0" fontId="0" fillId="0" borderId="2" xfId="0" applyBorder="1" applyAlignment="1">
      <alignment horizontal="left" vertical="center"/>
    </xf>
    <xf numFmtId="0" fontId="0" fillId="0" borderId="14" xfId="0" applyBorder="1" applyAlignment="1">
      <alignment horizontal="left" vertical="center"/>
    </xf>
    <xf numFmtId="0" fontId="0" fillId="0" borderId="9" xfId="0" applyBorder="1" applyAlignment="1">
      <alignment horizontal="left" vertical="center"/>
    </xf>
    <xf numFmtId="0" fontId="0" fillId="0" borderId="10" xfId="0" applyBorder="1" applyAlignment="1">
      <alignment horizontal="center" vertical="center"/>
    </xf>
    <xf numFmtId="0" fontId="0" fillId="0" borderId="12" xfId="0" applyBorder="1" applyAlignment="1">
      <alignment horizontal="center" vertical="center"/>
    </xf>
    <xf numFmtId="0" fontId="0" fillId="0" borderId="15" xfId="0" applyBorder="1" applyAlignment="1">
      <alignment horizontal="center" vertical="center"/>
    </xf>
    <xf numFmtId="0" fontId="0" fillId="0" borderId="1" xfId="0" applyFill="1" applyBorder="1" applyAlignment="1">
      <alignment horizontal="left" vertical="center" wrapText="1"/>
    </xf>
    <xf numFmtId="0" fontId="0" fillId="0" borderId="2" xfId="0" applyFill="1" applyBorder="1" applyAlignment="1">
      <alignment horizontal="left" vertical="center"/>
    </xf>
    <xf numFmtId="0" fontId="0" fillId="0" borderId="3" xfId="0" applyFill="1" applyBorder="1" applyAlignment="1">
      <alignment horizontal="left" vertical="center"/>
    </xf>
    <xf numFmtId="0" fontId="0" fillId="0" borderId="1" xfId="0" applyBorder="1" applyAlignment="1">
      <alignment horizontal="left" vertical="center"/>
    </xf>
    <xf numFmtId="0" fontId="0" fillId="0" borderId="3" xfId="0" applyBorder="1" applyAlignment="1">
      <alignment horizontal="left"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3" xfId="0" applyBorder="1" applyAlignment="1">
      <alignment horizontal="left" vertical="center" wrapText="1"/>
    </xf>
    <xf numFmtId="0" fontId="0" fillId="0" borderId="50" xfId="0" applyBorder="1" applyAlignment="1">
      <alignment horizontal="left" vertical="center" wrapText="1"/>
    </xf>
    <xf numFmtId="0" fontId="0" fillId="0" borderId="32" xfId="0" applyBorder="1" applyAlignment="1">
      <alignment horizontal="left" vertical="center" wrapText="1"/>
    </xf>
    <xf numFmtId="0" fontId="0" fillId="0" borderId="16" xfId="0" applyBorder="1" applyAlignment="1">
      <alignment horizontal="left" vertical="center"/>
    </xf>
    <xf numFmtId="0" fontId="0" fillId="0" borderId="5" xfId="0" applyBorder="1" applyAlignment="1">
      <alignment horizontal="left" vertical="center"/>
    </xf>
    <xf numFmtId="0" fontId="0" fillId="0" borderId="21" xfId="0" applyBorder="1" applyAlignment="1">
      <alignment horizontal="left" vertical="center"/>
    </xf>
    <xf numFmtId="0" fontId="0" fillId="0" borderId="22" xfId="0" applyBorder="1" applyAlignment="1">
      <alignment horizontal="left" vertical="center"/>
    </xf>
    <xf numFmtId="0" fontId="0" fillId="0" borderId="2" xfId="0" applyBorder="1" applyAlignment="1">
      <alignment horizontal="left" vertical="center" wrapText="1"/>
    </xf>
    <xf numFmtId="0" fontId="0" fillId="0" borderId="46" xfId="0" applyBorder="1" applyAlignment="1">
      <alignment horizontal="left" vertical="center"/>
    </xf>
    <xf numFmtId="0" fontId="0" fillId="0" borderId="23" xfId="0" applyBorder="1" applyAlignment="1">
      <alignment horizontal="left" vertical="center"/>
    </xf>
    <xf numFmtId="0" fontId="0" fillId="0" borderId="43" xfId="0" applyBorder="1" applyAlignment="1">
      <alignment horizontal="left" vertical="center"/>
    </xf>
    <xf numFmtId="0" fontId="0" fillId="0" borderId="48" xfId="0" applyBorder="1" applyAlignment="1">
      <alignment horizontal="left" vertical="center"/>
    </xf>
    <xf numFmtId="0" fontId="0" fillId="0" borderId="34" xfId="0" applyBorder="1" applyAlignment="1">
      <alignment horizontal="left" vertical="center"/>
    </xf>
    <xf numFmtId="0" fontId="0" fillId="0" borderId="27" xfId="0" applyBorder="1" applyAlignment="1">
      <alignment horizontal="lef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5" xfId="0" applyBorder="1" applyAlignment="1">
      <alignment horizontal="left" vertical="center" wrapText="1"/>
    </xf>
    <xf numFmtId="0" fontId="0" fillId="0" borderId="17" xfId="0" applyBorder="1" applyAlignment="1">
      <alignment horizontal="left" vertical="center"/>
    </xf>
    <xf numFmtId="0" fontId="0" fillId="0" borderId="56" xfId="0" applyBorder="1" applyAlignment="1">
      <alignment horizontal="left" vertical="center"/>
    </xf>
    <xf numFmtId="0" fontId="0" fillId="0" borderId="24" xfId="0" applyBorder="1" applyAlignment="1">
      <alignment horizontal="left" vertical="center"/>
    </xf>
    <xf numFmtId="0" fontId="0" fillId="0" borderId="1" xfId="0" applyBorder="1" applyAlignment="1">
      <alignment horizontal="left" vertical="center" wrapText="1"/>
    </xf>
    <xf numFmtId="0" fontId="0" fillId="0" borderId="55" xfId="0" applyBorder="1" applyAlignment="1">
      <alignment horizontal="left" vertical="center"/>
    </xf>
    <xf numFmtId="0" fontId="0" fillId="0" borderId="9" xfId="0" applyFill="1" applyBorder="1" applyAlignment="1">
      <alignment horizontal="left" vertical="center" wrapText="1"/>
    </xf>
    <xf numFmtId="0" fontId="0" fillId="0" borderId="14" xfId="0" applyFill="1" applyBorder="1" applyAlignment="1">
      <alignment horizontal="left" vertical="center"/>
    </xf>
    <xf numFmtId="0" fontId="0" fillId="0" borderId="16" xfId="0" applyBorder="1" applyAlignment="1">
      <alignment horizontal="left" vertical="center" wrapText="1"/>
    </xf>
    <xf numFmtId="0" fontId="0" fillId="0" borderId="5" xfId="0" applyBorder="1" applyAlignment="1">
      <alignment horizontal="left" vertical="center" wrapText="1"/>
    </xf>
    <xf numFmtId="0" fontId="0" fillId="0" borderId="17" xfId="0" applyBorder="1" applyAlignment="1">
      <alignment horizontal="left" vertical="center" wrapText="1"/>
    </xf>
    <xf numFmtId="0" fontId="0" fillId="0" borderId="4" xfId="0" applyBorder="1" applyAlignment="1">
      <alignment horizontal="left" vertical="center"/>
    </xf>
    <xf numFmtId="0" fontId="19" fillId="5" borderId="3" xfId="0" applyFont="1" applyFill="1" applyBorder="1" applyAlignment="1">
      <alignment horizontal="left" vertical="center"/>
    </xf>
    <xf numFmtId="0" fontId="19" fillId="5" borderId="4" xfId="0" applyFont="1" applyFill="1" applyBorder="1" applyAlignment="1">
      <alignment horizontal="left" vertical="center"/>
    </xf>
    <xf numFmtId="0" fontId="19" fillId="5" borderId="1" xfId="0" applyFont="1" applyFill="1" applyBorder="1" applyAlignment="1">
      <alignment horizontal="left" vertical="center"/>
    </xf>
    <xf numFmtId="0" fontId="0" fillId="0" borderId="2" xfId="0" applyBorder="1" applyAlignment="1">
      <alignment vertical="center"/>
    </xf>
    <xf numFmtId="0" fontId="0" fillId="0" borderId="25" xfId="0" applyBorder="1" applyAlignment="1">
      <alignment horizontal="left" vertical="center" wrapText="1"/>
    </xf>
    <xf numFmtId="0" fontId="0" fillId="0" borderId="29" xfId="0" applyBorder="1" applyAlignment="1">
      <alignment horizontal="left" vertical="center"/>
    </xf>
    <xf numFmtId="0" fontId="0" fillId="0" borderId="26" xfId="0" applyBorder="1" applyAlignment="1">
      <alignment horizontal="left" vertical="center"/>
    </xf>
    <xf numFmtId="0" fontId="0" fillId="0" borderId="28" xfId="0" applyBorder="1" applyAlignment="1">
      <alignment horizontal="left" vertical="center"/>
    </xf>
    <xf numFmtId="0" fontId="0" fillId="0" borderId="37" xfId="0" applyBorder="1" applyAlignment="1">
      <alignment horizontal="left" vertical="center"/>
    </xf>
    <xf numFmtId="0" fontId="0" fillId="0" borderId="30" xfId="0" applyBorder="1" applyAlignment="1">
      <alignment horizontal="left" vertical="center"/>
    </xf>
    <xf numFmtId="0" fontId="0" fillId="0" borderId="25" xfId="0" applyBorder="1" applyAlignment="1">
      <alignment horizontal="left" vertical="center"/>
    </xf>
    <xf numFmtId="0" fontId="0" fillId="0" borderId="34" xfId="0" applyBorder="1" applyAlignment="1">
      <alignment horizontal="left" vertical="center" wrapText="1"/>
    </xf>
    <xf numFmtId="0" fontId="0" fillId="0" borderId="59" xfId="0" applyFill="1" applyBorder="1" applyAlignment="1">
      <alignment horizontal="left" vertical="center" wrapText="1"/>
    </xf>
    <xf numFmtId="0" fontId="0" fillId="0" borderId="48" xfId="0" applyFill="1" applyBorder="1" applyAlignment="1">
      <alignment horizontal="left" vertical="center" wrapText="1"/>
    </xf>
    <xf numFmtId="0" fontId="0" fillId="0" borderId="34" xfId="0" applyFill="1" applyBorder="1" applyAlignment="1">
      <alignment horizontal="left" vertical="center" wrapText="1"/>
    </xf>
    <xf numFmtId="0" fontId="0" fillId="0" borderId="31" xfId="0" applyBorder="1" applyAlignment="1">
      <alignment horizontal="left" vertical="center"/>
    </xf>
    <xf numFmtId="0" fontId="0" fillId="0" borderId="49" xfId="0" applyBorder="1" applyAlignment="1">
      <alignment horizontal="left" vertical="center"/>
    </xf>
    <xf numFmtId="0" fontId="0" fillId="0" borderId="36" xfId="0" applyBorder="1" applyAlignment="1">
      <alignment horizontal="left" vertical="center"/>
    </xf>
    <xf numFmtId="0" fontId="0" fillId="0" borderId="4" xfId="0" applyFill="1" applyBorder="1" applyAlignment="1">
      <alignment horizontal="left" vertical="center"/>
    </xf>
    <xf numFmtId="0" fontId="0" fillId="0" borderId="1" xfId="0" applyFill="1" applyBorder="1" applyAlignment="1">
      <alignment horizontal="left" vertical="center"/>
    </xf>
    <xf numFmtId="0" fontId="0" fillId="0" borderId="2" xfId="0" applyBorder="1" applyAlignment="1">
      <alignment horizontal="center"/>
    </xf>
    <xf numFmtId="0" fontId="7" fillId="11" borderId="11" xfId="0" applyFont="1" applyFill="1" applyBorder="1" applyAlignment="1">
      <alignment wrapText="1"/>
    </xf>
    <xf numFmtId="0" fontId="0" fillId="0" borderId="12" xfId="0" applyBorder="1" applyAlignment="1">
      <alignment horizontal="left" vertical="top" wrapText="1"/>
    </xf>
    <xf numFmtId="0" fontId="7" fillId="22" borderId="11" xfId="0" applyFont="1" applyFill="1" applyBorder="1" applyAlignment="1">
      <alignment wrapText="1"/>
    </xf>
    <xf numFmtId="0" fontId="7" fillId="9" borderId="11" xfId="0" applyFont="1" applyFill="1" applyBorder="1" applyAlignment="1">
      <alignment wrapText="1"/>
    </xf>
    <xf numFmtId="0" fontId="0" fillId="0" borderId="15" xfId="0" applyBorder="1" applyAlignment="1">
      <alignment horizontal="left" vertical="top" wrapText="1"/>
    </xf>
    <xf numFmtId="0" fontId="36" fillId="0" borderId="0" xfId="0" applyFont="1" applyAlignment="1">
      <alignment horizontal="left" vertical="top" wrapText="1"/>
    </xf>
    <xf numFmtId="0" fontId="36" fillId="0" borderId="8" xfId="0" applyFont="1" applyBorder="1" applyAlignment="1">
      <alignment wrapText="1"/>
    </xf>
    <xf numFmtId="0" fontId="36" fillId="0" borderId="69" xfId="0" applyFont="1" applyBorder="1" applyAlignment="1">
      <alignment wrapText="1"/>
    </xf>
    <xf numFmtId="0" fontId="0" fillId="0" borderId="71" xfId="0" applyBorder="1" applyAlignment="1">
      <alignment horizontal="left" vertical="top"/>
    </xf>
    <xf numFmtId="0" fontId="0" fillId="0" borderId="72" xfId="0" applyFont="1" applyBorder="1" applyAlignment="1">
      <alignment wrapText="1"/>
    </xf>
    <xf numFmtId="0" fontId="0" fillId="0" borderId="71" xfId="0" applyBorder="1" applyAlignment="1">
      <alignment wrapText="1"/>
    </xf>
    <xf numFmtId="0" fontId="0" fillId="0" borderId="72" xfId="0" applyFont="1" applyBorder="1" applyAlignment="1">
      <alignment horizontal="left" vertical="top"/>
    </xf>
    <xf numFmtId="0" fontId="1" fillId="0" borderId="72" xfId="0" applyFont="1" applyBorder="1" applyAlignment="1">
      <alignment vertical="center"/>
    </xf>
    <xf numFmtId="0" fontId="0" fillId="0" borderId="73" xfId="0" applyBorder="1" applyAlignment="1">
      <alignment wrapText="1"/>
    </xf>
    <xf numFmtId="0" fontId="0" fillId="0" borderId="74" xfId="0" applyFont="1" applyBorder="1" applyAlignment="1">
      <alignment horizontal="left" vertical="top"/>
    </xf>
    <xf numFmtId="0" fontId="7" fillId="23" borderId="13" xfId="0" applyFont="1" applyFill="1" applyBorder="1" applyAlignment="1">
      <alignment horizontal="left" vertical="top" wrapText="1"/>
    </xf>
    <xf numFmtId="0" fontId="36" fillId="0" borderId="10" xfId="0" applyFont="1" applyBorder="1" applyAlignment="1">
      <alignment wrapText="1"/>
    </xf>
    <xf numFmtId="0" fontId="36" fillId="0" borderId="70" xfId="0" applyFont="1" applyBorder="1" applyAlignment="1">
      <alignment horizontal="left" vertical="top"/>
    </xf>
    <xf numFmtId="0" fontId="0" fillId="0" borderId="71" xfId="0" applyBorder="1" applyAlignment="1">
      <alignment horizontal="left" vertical="center" wrapText="1"/>
    </xf>
    <xf numFmtId="0" fontId="0" fillId="0" borderId="72" xfId="0" applyBorder="1" applyAlignment="1">
      <alignment wrapText="1"/>
    </xf>
    <xf numFmtId="0" fontId="0" fillId="0" borderId="71" xfId="0" applyBorder="1" applyAlignment="1">
      <alignment horizontal="left" vertical="top" wrapText="1"/>
    </xf>
    <xf numFmtId="0" fontId="0" fillId="0" borderId="73" xfId="0" applyBorder="1" applyAlignment="1">
      <alignment horizontal="left" vertical="top" wrapText="1"/>
    </xf>
    <xf numFmtId="0" fontId="0" fillId="0" borderId="74" xfId="0" applyBorder="1" applyAlignment="1"/>
    <xf numFmtId="0" fontId="0" fillId="0" borderId="75" xfId="0" applyBorder="1" applyAlignment="1">
      <alignment wrapText="1"/>
    </xf>
    <xf numFmtId="0" fontId="1" fillId="0" borderId="76" xfId="0" applyFont="1" applyBorder="1" applyAlignment="1">
      <alignment vertical="center"/>
    </xf>
    <xf numFmtId="0" fontId="0" fillId="11" borderId="11" xfId="0" applyFont="1" applyFill="1" applyBorder="1" applyAlignment="1">
      <alignment vertical="top" wrapText="1"/>
    </xf>
    <xf numFmtId="0" fontId="0" fillId="19" borderId="2" xfId="0" applyFont="1" applyFill="1" applyBorder="1" applyAlignment="1">
      <alignment vertical="top" wrapText="1"/>
    </xf>
    <xf numFmtId="0" fontId="0" fillId="11" borderId="2" xfId="0" applyFont="1" applyFill="1" applyBorder="1" applyAlignment="1">
      <alignment vertical="top" wrapText="1"/>
    </xf>
    <xf numFmtId="0" fontId="0" fillId="11" borderId="2" xfId="0" applyFont="1" applyFill="1" applyBorder="1" applyAlignment="1">
      <alignment horizontal="left" vertical="top" wrapText="1"/>
    </xf>
    <xf numFmtId="0" fontId="0" fillId="11" borderId="2" xfId="0" applyFont="1" applyFill="1" applyBorder="1" applyAlignment="1">
      <alignment horizontal="center" vertical="top" wrapText="1"/>
    </xf>
    <xf numFmtId="0" fontId="0" fillId="19" borderId="2" xfId="0" applyFont="1" applyFill="1" applyBorder="1" applyAlignment="1">
      <alignment horizontal="center" vertical="top" wrapText="1"/>
    </xf>
    <xf numFmtId="0" fontId="0" fillId="8" borderId="2" xfId="0" applyFont="1" applyFill="1" applyBorder="1" applyAlignment="1">
      <alignment horizontal="left" vertical="top" wrapText="1"/>
    </xf>
    <xf numFmtId="0" fontId="6" fillId="11" borderId="2" xfId="0" applyFont="1" applyFill="1" applyBorder="1" applyAlignment="1">
      <alignment horizontal="left" vertical="top" wrapText="1"/>
    </xf>
    <xf numFmtId="0" fontId="6" fillId="11" borderId="2" xfId="0" applyFont="1" applyFill="1" applyBorder="1" applyAlignment="1">
      <alignment vertical="top" wrapText="1"/>
    </xf>
    <xf numFmtId="0" fontId="0" fillId="11" borderId="12" xfId="0" applyFont="1" applyFill="1" applyBorder="1" applyAlignment="1">
      <alignment vertical="top" wrapText="1"/>
    </xf>
    <xf numFmtId="0" fontId="0" fillId="11" borderId="11" xfId="0" applyFill="1" applyBorder="1" applyAlignment="1">
      <alignment horizontal="left" vertical="top" wrapText="1"/>
    </xf>
    <xf numFmtId="0" fontId="0" fillId="11" borderId="12" xfId="0" applyFont="1" applyFill="1" applyBorder="1" applyAlignment="1">
      <alignment horizontal="left" vertical="top" wrapText="1"/>
    </xf>
    <xf numFmtId="0" fontId="0" fillId="11" borderId="12" xfId="0" applyFill="1" applyBorder="1" applyAlignment="1">
      <alignment vertical="top" wrapText="1"/>
    </xf>
    <xf numFmtId="0" fontId="0" fillId="24" borderId="12" xfId="0" applyFill="1" applyBorder="1" applyAlignment="1">
      <alignment vertical="top" wrapText="1"/>
    </xf>
    <xf numFmtId="0" fontId="27" fillId="24" borderId="11" xfId="0" applyFont="1" applyFill="1" applyBorder="1" applyAlignment="1">
      <alignment vertical="top"/>
    </xf>
    <xf numFmtId="0" fontId="29" fillId="6" borderId="2" xfId="0" applyFont="1" applyFill="1" applyBorder="1"/>
    <xf numFmtId="0" fontId="0" fillId="5" borderId="2" xfId="0" applyFont="1" applyFill="1" applyBorder="1" applyAlignment="1">
      <alignment horizontal="left" vertical="top" wrapText="1"/>
    </xf>
    <xf numFmtId="0" fontId="5" fillId="5" borderId="2" xfId="0" applyFont="1" applyFill="1" applyBorder="1" applyAlignment="1">
      <alignment horizontal="left" vertical="top" wrapText="1"/>
    </xf>
    <xf numFmtId="0" fontId="6" fillId="8" borderId="2" xfId="0" applyFont="1" applyFill="1" applyBorder="1" applyAlignment="1">
      <alignment horizontal="left" vertical="top" wrapText="1"/>
    </xf>
    <xf numFmtId="0" fontId="29" fillId="5" borderId="2" xfId="0" applyFont="1" applyFill="1" applyBorder="1" applyAlignment="1">
      <alignment vertical="top"/>
    </xf>
    <xf numFmtId="0" fontId="28" fillId="0" borderId="10" xfId="0" applyFont="1" applyBorder="1" applyAlignment="1">
      <alignment horizontal="left" vertical="top" wrapText="1"/>
    </xf>
    <xf numFmtId="0" fontId="0" fillId="18" borderId="2" xfId="0" applyFont="1" applyFill="1" applyBorder="1" applyAlignment="1">
      <alignment horizontal="left" vertical="top" wrapText="1"/>
    </xf>
    <xf numFmtId="0" fontId="6" fillId="6" borderId="2" xfId="0" applyFont="1" applyFill="1" applyBorder="1"/>
    <xf numFmtId="0" fontId="0" fillId="5" borderId="2" xfId="0" applyFont="1" applyFill="1" applyBorder="1" applyAlignment="1">
      <alignment horizontal="center" vertical="top" wrapText="1"/>
    </xf>
    <xf numFmtId="0" fontId="0" fillId="20" borderId="12" xfId="0" applyFont="1" applyFill="1" applyBorder="1" applyAlignment="1">
      <alignment vertical="top" wrapText="1"/>
    </xf>
    <xf numFmtId="0" fontId="0" fillId="11" borderId="11" xfId="0" applyFont="1" applyFill="1" applyBorder="1" applyAlignment="1">
      <alignment horizontal="left" vertical="top" wrapText="1"/>
    </xf>
    <xf numFmtId="16" fontId="0" fillId="0" borderId="4" xfId="0" applyNumberFormat="1" applyBorder="1" applyAlignment="1">
      <alignment vertical="center"/>
    </xf>
    <xf numFmtId="0" fontId="0" fillId="0" borderId="4" xfId="0" applyBorder="1" applyAlignment="1">
      <alignment wrapText="1"/>
    </xf>
    <xf numFmtId="0" fontId="0" fillId="0" borderId="4" xfId="0" applyBorder="1" applyAlignment="1">
      <alignment horizontal="left" vertical="top" wrapText="1"/>
    </xf>
    <xf numFmtId="0" fontId="0" fillId="0" borderId="2" xfId="0" applyFill="1" applyBorder="1" applyAlignment="1">
      <alignment horizontal="center" vertical="center"/>
    </xf>
    <xf numFmtId="14" fontId="0" fillId="0" borderId="2" xfId="0" applyNumberFormat="1" applyBorder="1" applyAlignment="1">
      <alignment vertical="center"/>
    </xf>
    <xf numFmtId="16" fontId="0" fillId="0" borderId="2" xfId="0" applyNumberFormat="1" applyBorder="1" applyAlignment="1">
      <alignment horizontal="center" vertical="center"/>
    </xf>
    <xf numFmtId="16" fontId="0" fillId="0" borderId="2" xfId="0" applyNumberFormat="1" applyBorder="1" applyAlignment="1">
      <alignment vertical="center"/>
    </xf>
    <xf numFmtId="0" fontId="6" fillId="9" borderId="2" xfId="0" applyFont="1" applyFill="1" applyBorder="1" applyAlignment="1">
      <alignment horizontal="center" vertical="top" wrapText="1"/>
    </xf>
    <xf numFmtId="0" fontId="6" fillId="21" borderId="2" xfId="0" applyFont="1" applyFill="1" applyBorder="1" applyAlignment="1">
      <alignment horizontal="center" vertical="top" wrapText="1"/>
    </xf>
    <xf numFmtId="0" fontId="28" fillId="24" borderId="7" xfId="0" applyFont="1" applyFill="1" applyBorder="1" applyAlignment="1">
      <alignment vertical="top" wrapText="1"/>
    </xf>
    <xf numFmtId="0" fontId="28" fillId="0" borderId="0" xfId="0" applyFont="1" applyBorder="1" applyAlignment="1">
      <alignment vertical="top" wrapText="1"/>
    </xf>
    <xf numFmtId="0" fontId="0" fillId="0" borderId="0" xfId="0" applyFont="1" applyAlignment="1">
      <alignment vertical="top" wrapText="1"/>
    </xf>
    <xf numFmtId="0" fontId="34" fillId="11" borderId="12" xfId="0" applyFont="1" applyFill="1" applyBorder="1" applyAlignment="1">
      <alignment vertical="top" wrapText="1"/>
    </xf>
    <xf numFmtId="0" fontId="19" fillId="11" borderId="2" xfId="0" applyFont="1" applyFill="1" applyBorder="1" applyAlignment="1">
      <alignment horizontal="center" vertical="top" wrapText="1"/>
    </xf>
    <xf numFmtId="0" fontId="6" fillId="5" borderId="12" xfId="0" applyFont="1" applyFill="1" applyBorder="1" applyAlignment="1">
      <alignment vertical="top" wrapText="1"/>
    </xf>
    <xf numFmtId="0" fontId="6" fillId="0" borderId="0" xfId="0" applyFont="1" applyAlignment="1">
      <alignment vertical="top" wrapText="1"/>
    </xf>
    <xf numFmtId="0" fontId="1" fillId="23" borderId="12" xfId="0" applyFont="1" applyFill="1" applyBorder="1" applyAlignment="1">
      <alignment vertical="top" wrapText="1"/>
    </xf>
    <xf numFmtId="0" fontId="5" fillId="23" borderId="12" xfId="0" applyFont="1" applyFill="1" applyBorder="1" applyAlignment="1">
      <alignment horizontal="left" vertical="top" wrapText="1"/>
    </xf>
    <xf numFmtId="0" fontId="0" fillId="5" borderId="11" xfId="0" applyFont="1" applyFill="1" applyBorder="1" applyAlignment="1">
      <alignment vertical="top" wrapText="1"/>
    </xf>
    <xf numFmtId="0" fontId="0" fillId="5" borderId="11" xfId="0" applyFont="1" applyFill="1" applyBorder="1" applyAlignment="1">
      <alignment horizontal="left" vertical="top" wrapText="1"/>
    </xf>
    <xf numFmtId="0" fontId="0" fillId="6" borderId="2" xfId="0" applyFont="1" applyFill="1" applyBorder="1" applyAlignment="1">
      <alignment horizontal="left" vertical="top" wrapText="1"/>
    </xf>
    <xf numFmtId="0" fontId="0" fillId="9" borderId="11" xfId="0" applyFont="1" applyFill="1" applyBorder="1" applyAlignment="1">
      <alignment horizontal="left" vertical="top" wrapText="1"/>
    </xf>
    <xf numFmtId="0" fontId="0" fillId="9" borderId="2" xfId="0" applyFont="1" applyFill="1" applyBorder="1" applyAlignment="1">
      <alignment vertical="top" wrapText="1"/>
    </xf>
    <xf numFmtId="0" fontId="0" fillId="9" borderId="2" xfId="0" applyFont="1" applyFill="1" applyBorder="1" applyAlignment="1">
      <alignment horizontal="left" vertical="top" wrapText="1"/>
    </xf>
    <xf numFmtId="0" fontId="0" fillId="21" borderId="11" xfId="0" applyFont="1" applyFill="1" applyBorder="1" applyAlignment="1">
      <alignment horizontal="left" vertical="top" wrapText="1"/>
    </xf>
    <xf numFmtId="0" fontId="0" fillId="21" borderId="2" xfId="0" applyFont="1" applyFill="1" applyBorder="1" applyAlignment="1">
      <alignment horizontal="left" vertical="top" wrapText="1"/>
    </xf>
    <xf numFmtId="0" fontId="0" fillId="23" borderId="11" xfId="0" applyFont="1" applyFill="1" applyBorder="1" applyAlignment="1">
      <alignment horizontal="left" vertical="top" wrapText="1"/>
    </xf>
    <xf numFmtId="0" fontId="0" fillId="23" borderId="2" xfId="0" applyFont="1" applyFill="1" applyBorder="1" applyAlignment="1">
      <alignment vertical="top" wrapText="1"/>
    </xf>
    <xf numFmtId="0" fontId="0" fillId="0" borderId="13" xfId="0" applyFont="1" applyBorder="1" applyAlignment="1">
      <alignment vertical="top" wrapText="1"/>
    </xf>
    <xf numFmtId="0" fontId="0" fillId="0" borderId="14" xfId="0" applyFont="1" applyBorder="1" applyAlignment="1">
      <alignment vertical="top" wrapText="1"/>
    </xf>
    <xf numFmtId="0" fontId="0" fillId="0" borderId="14" xfId="0" applyFont="1" applyBorder="1" applyAlignment="1">
      <alignment horizontal="left" vertical="top" wrapText="1"/>
    </xf>
    <xf numFmtId="0" fontId="0" fillId="5" borderId="12" xfId="0" applyFont="1" applyFill="1" applyBorder="1" applyAlignment="1">
      <alignment vertical="top" wrapText="1"/>
    </xf>
    <xf numFmtId="0" fontId="0" fillId="19" borderId="12" xfId="0" applyFont="1" applyFill="1" applyBorder="1" applyAlignment="1">
      <alignment vertical="top" wrapText="1"/>
    </xf>
    <xf numFmtId="0" fontId="0" fillId="8" borderId="12" xfId="0" applyFont="1" applyFill="1" applyBorder="1" applyAlignment="1">
      <alignment vertical="top" wrapText="1"/>
    </xf>
    <xf numFmtId="0" fontId="1" fillId="5" borderId="2" xfId="0" applyFont="1" applyFill="1" applyBorder="1" applyAlignment="1">
      <alignment horizontal="center" vertical="top" wrapText="1"/>
    </xf>
    <xf numFmtId="0" fontId="0" fillId="9" borderId="2" xfId="0" applyFont="1" applyFill="1" applyBorder="1" applyAlignment="1">
      <alignment horizontal="center" vertical="top" wrapText="1"/>
    </xf>
    <xf numFmtId="0" fontId="0" fillId="9" borderId="25" xfId="0" applyFont="1" applyFill="1" applyBorder="1" applyAlignment="1">
      <alignment vertical="top" wrapText="1"/>
    </xf>
    <xf numFmtId="0" fontId="0" fillId="9" borderId="12" xfId="0" applyFont="1" applyFill="1" applyBorder="1" applyAlignment="1">
      <alignment vertical="top" wrapText="1"/>
    </xf>
    <xf numFmtId="0" fontId="0" fillId="9" borderId="27" xfId="0" applyFont="1" applyFill="1" applyBorder="1" applyAlignment="1">
      <alignment vertical="top" wrapText="1"/>
    </xf>
    <xf numFmtId="0" fontId="0" fillId="9" borderId="43" xfId="0" applyFont="1" applyFill="1" applyBorder="1" applyAlignment="1">
      <alignment vertical="top" wrapText="1"/>
    </xf>
    <xf numFmtId="0" fontId="0" fillId="21" borderId="2" xfId="0" applyFont="1" applyFill="1" applyBorder="1" applyAlignment="1">
      <alignment horizontal="center" vertical="top" wrapText="1"/>
    </xf>
    <xf numFmtId="0" fontId="0" fillId="21" borderId="12" xfId="0" applyFont="1" applyFill="1" applyBorder="1" applyAlignment="1">
      <alignment vertical="top" wrapText="1"/>
    </xf>
    <xf numFmtId="0" fontId="0" fillId="21" borderId="2" xfId="0" applyFont="1" applyFill="1" applyBorder="1" applyAlignment="1">
      <alignment vertical="top" wrapText="1"/>
    </xf>
    <xf numFmtId="0" fontId="0" fillId="21" borderId="43" xfId="0" applyFont="1" applyFill="1" applyBorder="1" applyAlignment="1">
      <alignment vertical="top" wrapText="1"/>
    </xf>
    <xf numFmtId="0" fontId="0" fillId="21" borderId="27" xfId="0" applyFont="1" applyFill="1" applyBorder="1" applyAlignment="1">
      <alignment vertical="top" wrapText="1"/>
    </xf>
    <xf numFmtId="0" fontId="0" fillId="21" borderId="34" xfId="0" applyFont="1" applyFill="1" applyBorder="1" applyAlignment="1">
      <alignment vertical="top" wrapText="1"/>
    </xf>
    <xf numFmtId="0" fontId="0" fillId="23" borderId="2" xfId="0" applyFont="1" applyFill="1" applyBorder="1" applyAlignment="1">
      <alignment horizontal="center" vertical="top" wrapText="1"/>
    </xf>
    <xf numFmtId="0" fontId="0" fillId="23" borderId="12" xfId="0" applyFont="1" applyFill="1" applyBorder="1" applyAlignment="1">
      <alignment horizontal="left" vertical="top" wrapText="1"/>
    </xf>
    <xf numFmtId="0" fontId="0" fillId="23" borderId="12" xfId="0" applyFont="1" applyFill="1" applyBorder="1" applyAlignment="1">
      <alignment vertical="top" wrapText="1"/>
    </xf>
    <xf numFmtId="0" fontId="0" fillId="0" borderId="15" xfId="0" applyFont="1" applyBorder="1" applyAlignment="1">
      <alignment vertical="top" wrapText="1"/>
    </xf>
    <xf numFmtId="0" fontId="5" fillId="5" borderId="2" xfId="0" applyFont="1" applyFill="1" applyBorder="1" applyAlignment="1">
      <alignment vertical="top" wrapText="1"/>
    </xf>
    <xf numFmtId="0" fontId="11" fillId="5" borderId="2" xfId="0" applyFont="1" applyFill="1" applyBorder="1" applyAlignment="1">
      <alignment vertical="top" wrapText="1"/>
    </xf>
    <xf numFmtId="0" fontId="0" fillId="8" borderId="2" xfId="0" applyFont="1" applyFill="1" applyBorder="1" applyAlignment="1">
      <alignment vertical="top" wrapText="1"/>
    </xf>
    <xf numFmtId="0" fontId="0" fillId="5" borderId="67" xfId="0" applyFont="1" applyFill="1" applyBorder="1" applyAlignment="1">
      <alignment vertical="top" wrapText="1"/>
    </xf>
    <xf numFmtId="0" fontId="0" fillId="25" borderId="2" xfId="0" applyFont="1" applyFill="1" applyBorder="1" applyAlignment="1">
      <alignment horizontal="center" vertical="top" wrapText="1"/>
    </xf>
    <xf numFmtId="0" fontId="0" fillId="25" borderId="2" xfId="0" applyFont="1" applyFill="1" applyBorder="1" applyAlignment="1">
      <alignment vertical="top" wrapText="1"/>
    </xf>
    <xf numFmtId="0" fontId="6" fillId="25" borderId="2" xfId="0" applyFont="1" applyFill="1" applyBorder="1" applyAlignment="1">
      <alignment vertical="top" wrapText="1"/>
    </xf>
  </cellXfs>
  <cellStyles count="1">
    <cellStyle name="Normal" xfId="0" builtinId="0"/>
  </cellStyles>
  <dxfs count="633">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alignment vertical="top" textRotation="0" wrapText="1" indent="0" justifyLastLine="0" shrinkToFit="0" readingOrder="0"/>
    </dxf>
    <dxf>
      <alignment vertical="top" textRotation="0" wrapText="1" indent="0" justifyLastLine="0" shrinkToFit="0" readingOrder="0"/>
    </dxf>
    <dxf>
      <alignment vertical="top" textRotation="0" wrapText="1" indent="0" justifyLastLine="0" shrinkToFit="0" readingOrder="0"/>
    </dxf>
    <dxf>
      <alignment vertical="top" textRotation="0" wrapText="1" indent="0" justifyLastLine="0" shrinkToFit="0" readingOrder="0"/>
      <border diagonalUp="0" diagonalDown="0" outline="0">
        <left style="thin">
          <color indexed="64"/>
        </left>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auto="1"/>
        </right>
        <top style="thin">
          <color indexed="64"/>
        </top>
        <bottom style="thin">
          <color auto="1"/>
        </bottom>
      </border>
    </dxf>
    <dxf>
      <fill>
        <patternFill patternType="solid">
          <fgColor indexed="64"/>
          <bgColor theme="4" tint="0.79998168889431442"/>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auto="1"/>
        </right>
        <top style="thin">
          <color indexed="64"/>
        </top>
        <bottom style="thin">
          <color auto="1"/>
        </bottom>
      </border>
    </dxf>
    <dxf>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4" tint="0.79998168889431442"/>
        </patternFill>
      </fill>
      <alignment horizontal="left" vertical="top" textRotation="0" wrapText="1" indent="0" justifyLastLine="0" shrinkToFit="0" readingOrder="0"/>
      <border diagonalUp="0" diagonalDown="0" outline="0">
        <left/>
        <right style="thin">
          <color indexed="64"/>
        </right>
        <top style="thin">
          <color indexed="64"/>
        </top>
        <bottom style="thin">
          <color indexed="64"/>
        </bottom>
      </border>
    </dxf>
    <dxf>
      <fill>
        <patternFill patternType="solid">
          <fgColor indexed="64"/>
          <bgColor theme="4" tint="0.79998168889431442"/>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alignment textRotation="0" wrapText="1" justifyLastLine="0" shrinkToFit="0" readingOrder="0"/>
    </dxf>
    <dxf>
      <border>
        <bottom style="medium">
          <color indexed="64"/>
        </bottom>
      </border>
    </dxf>
    <dxf>
      <font>
        <strike val="0"/>
        <outline val="0"/>
        <shadow val="0"/>
        <u val="none"/>
        <vertAlign val="baseline"/>
        <sz val="12"/>
        <color auto="1"/>
        <name val="Calibri"/>
        <family val="2"/>
        <scheme val="minor"/>
      </font>
      <alignment textRotation="0" wrapText="1" justifyLastLine="0" shrinkToFit="0" readingOrder="0"/>
      <border diagonalUp="0" diagonalDown="0">
        <left style="thin">
          <color indexed="64"/>
        </left>
        <right style="thin">
          <color indexed="64"/>
        </right>
        <top/>
        <bottom/>
        <vertical style="thin">
          <color indexed="64"/>
        </vertical>
        <horizontal style="thin">
          <color indexed="64"/>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17/10/relationships/person" Target="persons/person.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586740</xdr:colOff>
          <xdr:row>0</xdr:row>
          <xdr:rowOff>0</xdr:rowOff>
        </xdr:from>
        <xdr:to>
          <xdr:col>16</xdr:col>
          <xdr:colOff>601980</xdr:colOff>
          <xdr:row>1</xdr:row>
          <xdr:rowOff>76200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400-000001B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Query Group1 Fuse</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Shalini" id="{A2DE5FF8-E295-4803-B02B-F176E08C7223}" userId="S::shalini.sharma@intel.com::347b2999-a9a6-45a8-a01f-a5b9bf7d88de"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4923D90-FC5B-4E2C-8AF4-48367E25215C}" name="Table1" displayName="Table1" ref="C27:V235" totalsRowShown="0" headerRowDxfId="632" dataDxfId="630" headerRowBorderDxfId="631">
  <autoFilter ref="C27:V235" xr:uid="{5AC71680-DE96-4D5C-A1F5-D9F97567B45C}">
    <filterColumn colId="2">
      <filters blank="1">
        <filter val="!PARAM_INT_IFP_TRIPLE_RDD_DIS &amp; OEM_SECRET_KEY_FUSES_LIMIT"/>
        <filter val="!PARAM_INT_IFP_TRIPLE_RDD_DIS &amp; TRC_PRESENT"/>
        <filter val="BADIMAGE_FLOW_EN"/>
        <filter val="BOOT_DEV_CTRL_EN"/>
        <filter val="BTG_CTRL_EN"/>
        <filter val="CLEAN_DATA_ON_ERROR"/>
        <filter val="CONFIG_OCS_DISABLE_GKEY0"/>
        <filter val="CONFIG_OCS_DISABLE_GKEY2"/>
        <filter val="CONFIG_OCS_KEY_LOCKER_ENABLE"/>
        <filter val="cse_sram_num_banks"/>
        <filter val="DCMI_CTRL_EN"/>
        <filter val="Debug_Enabled_Encryption_Key"/>
        <filter val="Debug_Enabled_Security_Key"/>
        <filter val="DSWRAM_EN"/>
        <filter val="ECC_P384_ONDIE_CERT_ATTRIBUTE"/>
        <filter val="ECC_P384_ONDIE_ROM_CERT"/>
        <filter val="EXT_FUSE_PULL_SUPP"/>
        <filter val="FB_MODEL_ID"/>
        <filter val="FB_PLATFORM_ID"/>
        <filter val="FB_STEPPING_ID"/>
        <filter val="from ADP-S Fuse Kaigen Sheet, no parametr"/>
        <filter val="from MTL-M Fuse Kaigen, no parameter"/>
        <filter val="FUSA_DIAG_FEATURE_EN"/>
        <filter val="FUSE_BASED_PATCH_DIS &amp; !SAMSUNG_PUF_CONFIG_EN"/>
        <filter val="FW_CONFIG_FUSES"/>
        <filter val="FW_Fuses_Valid"/>
        <filter val="FW_IFP_GENERAL"/>
        <filter val="GENERAL_FW_FUSES_CHECK"/>
        <filter val="HSIO_SKU_EN"/>
        <filter val="HW_OCS_PUF_ECC"/>
        <filter val="ICC_SKU_EN"/>
        <filter val="ICLS_CTRL_EN"/>
        <filter val="IFP_DIS_CTRL"/>
        <filter val="IFWI_LAYOUT_1_5_EN &amp; !SAMSUNG_PUF_CONFIG_EN"/>
        <filter val="in MTL-M Fuse Kaigen sheet 16'h8002,  16'h8006  in group page under GSK_SW_STRAP"/>
        <filter val="INCLUDE_MROM"/>
        <filter val="IP_SKU_Fuse_6_NET_INFRA_MODE"/>
        <filter val="ISH_DIS_CTRL"/>
        <filter val="MNG_APP_DIS_CTRL"/>
        <filter val="NFC_DIS_CTRL"/>
        <filter val="NM2_0_DIS_CTRL"/>
        <filter val="No Param_x000a_(from ADP-S Fuse RDL not in group page)"/>
        <filter val="OEM_IFP_DIS_CTRL"/>
        <filter val="OEM_SECRET_KEY_FUSES_LIMIT"/>
        <filter val="PAVP_2_0_DIS_CTRL"/>
        <filter val="Platform_Halt_En"/>
        <filter val="PMC_IPC_BOOT_SRVS_MSG"/>
        <filter val="PTT_DIS_CTRL"/>
        <filter val="RF_FUSE_INT_PULL"/>
        <filter val="RMT_WAKE_DIS_CTRL"/>
        <filter val="ROM_BYPASS_AUTHENTICATION_SUPPORT"/>
        <filter val="ROM_DNX_CAP_DIS_CTRL"/>
        <filter val="ROM_INT_FUSE_PULL"/>
        <filter val="ROMB_OEM_Unlock"/>
        <filter val="RPMB_REUSE_DIS_CTRL"/>
        <filter val="SAMSUNG_PUF_CONFIG_EN"/>
        <filter val="Security_Fuses_Valid"/>
        <filter val="Security_Keys"/>
        <filter val="Security_Keys_fuse_Check_Hash"/>
        <filter val="SOC_PM_GRST_CTRL"/>
        <filter val="SOC_PM_M3_EN"/>
        <filter val="SOFTSTRAP0_EN"/>
        <filter val="SOFTSTRAP0_EN &amp; BOOT_DEV_CTRL_EN"/>
        <filter val="SOFTSTRAP0_EN &amp; INCLUDE_MROM"/>
        <filter val="SOFTSTRAP0_EN &amp; ROM_DNX_CAP_DIS_CTRL"/>
        <filter val="SOFTSTRAP0_EN &amp; TRC_PRESENT"/>
        <filter val="SOFTSTRAP1_EN"/>
        <filter val="SOFTSTRAP1_EN &amp; EMBED_SYS_RS2_OVERWRITE_EN"/>
        <filter val="SOFTSTRAP1_EN &amp; INCLUDE_CM"/>
        <filter val="SVR_CHIPSET"/>
        <filter val="TRC_PRESENT"/>
        <filter val="TRC_PRESENT &amp; !PARAM_INT_IFP_TRIPLE_RDD_DIS"/>
        <filter val="UFS_HIGH_SPEED_DIS_CTRL"/>
        <filter val="WIDI_DIS_CTRL"/>
        <filter val="XEON_CPU_SKU_CTRL_EN"/>
      </filters>
    </filterColumn>
  </autoFilter>
  <tableColumns count="20">
    <tableColumn id="1" xr3:uid="{E22C7A7E-4507-4E6C-A1D4-8188CE931144}" name="Fuse Registers" dataDxfId="628"/>
    <tableColumn id="2" xr3:uid="{2C7A8A4A-B6E5-4643-9050-2B6173F06F5E}" name="Fuse name" dataDxfId="627"/>
    <tableColumn id="3" xr3:uid="{C6D58C12-721E-444E-80B2-F4544FAECF46}" name="Parameter" dataDxfId="626"/>
    <tableColumn id="4" xr3:uid="{AFF9CE6A-9972-4C9E-ADA5-3ED797874252}" name="Attributes (eg: BOD=True, others=False)" dataDxfId="629"/>
    <tableColumn id="20" xr3:uid="{35ECF4CB-9E60-4D5D-8D02-DE6F644E2839}" name="Category" dataDxfId="625"/>
    <tableColumn id="5" xr3:uid="{1E76332D-E1F5-428A-93CF-88A8E3A5D6BA}" name="Group" dataDxfId="624"/>
    <tableColumn id="6" xr3:uid="{E547DB44-1FE9-4FDF-8E84-70A6A4D0CCF3}" name="Bit Width" dataDxfId="623"/>
    <tableColumn id="7" xr3:uid="{A729247C-EA8B-401C-B8E0-60800AA81E43}" name="Receiver Addr" dataDxfId="622"/>
    <tableColumn id="18" xr3:uid="{5125DD6A-E279-4F9A-8753-C9A7A1A6FA0D}" name="Descriptions " dataDxfId="621"/>
    <tableColumn id="11" xr3:uid="{E0D899E0-977F-4D52-BD93-366FE05CBE45}" name="ADP-S_x000a_(Kaigen Sheet)" dataDxfId="620"/>
    <tableColumn id="8" xr3:uid="{25C821DF-500A-4A46-963C-E87A53F80A51}" name="MTL-M CSME _x000a_(Kaigen Sheet)" dataDxfId="619"/>
    <tableColumn id="10" xr3:uid="{B4902C32-9532-4709-B0EE-8C7F1CB1C4B2}" name="MTL-M ESE _x000a_(Kaigen Sheet)" dataDxfId="618"/>
    <tableColumn id="14" xr3:uid="{6F3282FA-91A1-4B95-99F9-A71BABC7BC0A}" name="MTP-PCH-S CSME" dataDxfId="617"/>
    <tableColumn id="15" xr3:uid="{2275D0E0-2047-419C-B326-348DEA27C9D8}" name="MTP-PCH-S ESE" dataDxfId="616"/>
    <tableColumn id="17" xr3:uid="{0AA5A55A-4C87-4146-8910-718B909D6A28}" name="MTL-SOC-S CSE" dataDxfId="615"/>
    <tableColumn id="16" xr3:uid="{C52400B3-3395-491E-8BF5-3DE6BC0DA728}" name="MTL-SOC-S ESE" dataDxfId="614"/>
    <tableColumn id="9" xr3:uid="{43AE5AC5-7820-4C04-AF58-8C240F6E7743}" name="Note" dataDxfId="613"/>
    <tableColumn id="12" xr3:uid="{A037F08A-8070-4376-A336-A6DC23C455BE}" name="MB Comment (8/31)" dataDxfId="612"/>
    <tableColumn id="13" xr3:uid="{EEF5ECCA-8B0F-4240-AAD3-8CF46E57CF5C}" name="ELI Comment (8/31)" dataDxfId="611"/>
    <tableColumn id="19" xr3:uid="{D5C5684C-CDE4-4936-B7CC-F8BA1EF2A608}" name="yanai (9/1)" dataDxfId="610"/>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9" dT="2020-08-12T17:43:59.89" personId="{A2DE5FF8-E295-4803-B02B-F176E08C7223}" id="{90309A38-4FF8-4722-80AD-D54B6D8DF2E2}">
    <text>FW_CONFIG_FUSES need to be overwriteen by CSME</text>
  </threadedComment>
</ThreadedComments>
</file>

<file path=xl/threadedComments/threadedComment2.xml><?xml version="1.0" encoding="utf-8"?>
<ThreadedComments xmlns="http://schemas.microsoft.com/office/spreadsheetml/2018/threadedcomments" xmlns:x="http://schemas.openxmlformats.org/spreadsheetml/2006/main">
  <threadedComment ref="L58" dT="2020-08-11T21:25:32.46" personId="{A2DE5FF8-E295-4803-B02B-F176E08C7223}" id="{EF198BE6-6E2F-4CC1-B863-D0C9CAD83CAF}">
    <text>SRAM bank PG is not controlled by FW</text>
  </threadedComment>
  <threadedComment ref="E68" dT="2020-08-12T18:08:48.50" personId="{A2DE5FF8-E295-4803-B02B-F176E08C7223}" id="{E735E7BC-1127-4DA9-B026-EED68A469392}">
    <text>Keep the fuses are disabled for GSC even though there is no parameter</text>
  </threadedComment>
  <threadedComment ref="L76" dT="2020-08-11T21:27:52.87" personId="{A2DE5FF8-E295-4803-B02B-F176E08C7223}" id="{CB3F87C7-AF47-4CCF-BA96-005C9A70AB0A}">
    <text>GSC does not need FIPS compliance</text>
  </threadedComment>
  <threadedComment ref="E87" dT="2020-08-12T18:10:26.18" personId="{A2DE5FF8-E295-4803-B02B-F176E08C7223}" id="{983B7FEB-9DA6-4A4E-BE49-4A0EFE22131A}">
    <text>keep the same name as 0.5 drop</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xml"/><Relationship Id="rId1" Type="http://schemas.openxmlformats.org/officeDocument/2006/relationships/printerSettings" Target="../printerSettings/printerSettings5.bin"/><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8.bin"/><Relationship Id="rId4" Type="http://schemas.microsoft.com/office/2017/10/relationships/threadedComment" Target="../threadedComments/threadedComment1.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10.bin"/><Relationship Id="rId4" Type="http://schemas.microsoft.com/office/2017/10/relationships/threadedComment" Target="../threadedComments/threadedComment2.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AADE2D-416A-4B78-842F-14E2FFEB9387}">
  <sheetPr codeName="Sheet1"/>
  <dimension ref="A1:D35"/>
  <sheetViews>
    <sheetView tabSelected="1" topLeftCell="A31" workbookViewId="0">
      <selection activeCell="A30" sqref="A30:D33"/>
    </sheetView>
  </sheetViews>
  <sheetFormatPr defaultRowHeight="14.4" x14ac:dyDescent="0.3"/>
  <cols>
    <col min="1" max="1" width="10" bestFit="1" customWidth="1"/>
    <col min="2" max="2" width="10.44140625" bestFit="1" customWidth="1"/>
    <col min="3" max="3" width="20.6640625" customWidth="1"/>
    <col min="4" max="4" width="126.88671875" customWidth="1"/>
  </cols>
  <sheetData>
    <row r="1" spans="1:4" x14ac:dyDescent="0.3">
      <c r="A1" s="47" t="s">
        <v>551</v>
      </c>
      <c r="B1" s="48" t="s">
        <v>552</v>
      </c>
      <c r="C1" s="49" t="s">
        <v>553</v>
      </c>
      <c r="D1" s="50" t="s">
        <v>423</v>
      </c>
    </row>
    <row r="2" spans="1:4" x14ac:dyDescent="0.3">
      <c r="A2" s="51">
        <v>1</v>
      </c>
      <c r="B2" s="52">
        <v>43878</v>
      </c>
      <c r="C2" s="53" t="s">
        <v>554</v>
      </c>
      <c r="D2" s="54" t="s">
        <v>555</v>
      </c>
    </row>
    <row r="3" spans="1:4" x14ac:dyDescent="0.3">
      <c r="A3" s="51">
        <v>2</v>
      </c>
      <c r="B3" s="52">
        <v>43880</v>
      </c>
      <c r="C3" s="53" t="s">
        <v>554</v>
      </c>
      <c r="D3" s="55" t="s">
        <v>556</v>
      </c>
    </row>
    <row r="4" spans="1:4" x14ac:dyDescent="0.3">
      <c r="A4" s="51">
        <v>3</v>
      </c>
      <c r="B4" s="52">
        <v>43880</v>
      </c>
      <c r="C4" s="53" t="s">
        <v>554</v>
      </c>
      <c r="D4" s="55" t="s">
        <v>557</v>
      </c>
    </row>
    <row r="5" spans="1:4" x14ac:dyDescent="0.3">
      <c r="A5" s="51">
        <v>4</v>
      </c>
      <c r="B5" s="52">
        <v>43883</v>
      </c>
      <c r="C5" s="16" t="s">
        <v>554</v>
      </c>
      <c r="D5" s="16" t="s">
        <v>599</v>
      </c>
    </row>
    <row r="6" spans="1:4" x14ac:dyDescent="0.3">
      <c r="A6" s="51">
        <v>5</v>
      </c>
      <c r="B6" s="52">
        <v>43887</v>
      </c>
      <c r="C6" s="16" t="s">
        <v>605</v>
      </c>
      <c r="D6" s="16" t="s">
        <v>606</v>
      </c>
    </row>
    <row r="7" spans="1:4" x14ac:dyDescent="0.3">
      <c r="A7" s="51">
        <v>6</v>
      </c>
      <c r="B7" s="52">
        <v>43888</v>
      </c>
      <c r="C7" s="16" t="s">
        <v>554</v>
      </c>
      <c r="D7" s="16" t="s">
        <v>607</v>
      </c>
    </row>
    <row r="8" spans="1:4" x14ac:dyDescent="0.3">
      <c r="A8" s="51">
        <v>7</v>
      </c>
      <c r="B8" s="52">
        <v>43889</v>
      </c>
      <c r="C8" s="16" t="s">
        <v>554</v>
      </c>
      <c r="D8" s="16" t="s">
        <v>651</v>
      </c>
    </row>
    <row r="9" spans="1:4" x14ac:dyDescent="0.3">
      <c r="A9" s="51">
        <v>8</v>
      </c>
      <c r="B9" s="52">
        <v>43893</v>
      </c>
      <c r="C9" s="16" t="s">
        <v>554</v>
      </c>
      <c r="D9" s="16" t="s">
        <v>652</v>
      </c>
    </row>
    <row r="10" spans="1:4" s="15" customFormat="1" x14ac:dyDescent="0.3">
      <c r="A10" s="51">
        <v>9</v>
      </c>
      <c r="B10" s="52">
        <v>43899</v>
      </c>
      <c r="C10" s="16" t="s">
        <v>554</v>
      </c>
      <c r="D10" s="16" t="s">
        <v>665</v>
      </c>
    </row>
    <row r="11" spans="1:4" x14ac:dyDescent="0.3">
      <c r="A11" s="51">
        <v>10</v>
      </c>
      <c r="B11" s="52">
        <v>43899</v>
      </c>
      <c r="C11" s="16" t="s">
        <v>554</v>
      </c>
      <c r="D11" s="16" t="s">
        <v>666</v>
      </c>
    </row>
    <row r="12" spans="1:4" x14ac:dyDescent="0.3">
      <c r="A12" s="51">
        <v>11</v>
      </c>
      <c r="B12" s="52">
        <v>43903</v>
      </c>
      <c r="C12" s="16" t="s">
        <v>554</v>
      </c>
      <c r="D12" s="16" t="s">
        <v>670</v>
      </c>
    </row>
    <row r="13" spans="1:4" x14ac:dyDescent="0.3">
      <c r="A13" s="51">
        <v>12</v>
      </c>
      <c r="B13" s="52">
        <v>43904</v>
      </c>
      <c r="C13" s="16" t="s">
        <v>554</v>
      </c>
      <c r="D13" s="16" t="s">
        <v>671</v>
      </c>
    </row>
    <row r="14" spans="1:4" x14ac:dyDescent="0.3">
      <c r="A14" s="51">
        <v>13</v>
      </c>
      <c r="B14" s="52">
        <v>43916</v>
      </c>
      <c r="C14" s="16" t="s">
        <v>554</v>
      </c>
      <c r="D14" s="16" t="s">
        <v>806</v>
      </c>
    </row>
    <row r="15" spans="1:4" ht="28.8" x14ac:dyDescent="0.3">
      <c r="A15" s="136">
        <v>14</v>
      </c>
      <c r="B15" s="137">
        <v>43920</v>
      </c>
      <c r="C15" s="127" t="s">
        <v>554</v>
      </c>
      <c r="D15" s="138" t="s">
        <v>807</v>
      </c>
    </row>
    <row r="16" spans="1:4" ht="86.4" x14ac:dyDescent="0.3">
      <c r="A16" s="136">
        <v>15</v>
      </c>
      <c r="B16" s="137">
        <v>43979</v>
      </c>
      <c r="C16" s="131" t="s">
        <v>554</v>
      </c>
      <c r="D16" s="138" t="s">
        <v>880</v>
      </c>
    </row>
    <row r="17" spans="1:4" ht="43.2" x14ac:dyDescent="0.3">
      <c r="A17" s="136">
        <v>16</v>
      </c>
      <c r="B17" s="137">
        <v>43979</v>
      </c>
      <c r="C17" s="140" t="s">
        <v>554</v>
      </c>
      <c r="D17" s="138" t="s">
        <v>884</v>
      </c>
    </row>
    <row r="18" spans="1:4" x14ac:dyDescent="0.3">
      <c r="A18" s="136">
        <v>17</v>
      </c>
      <c r="B18" s="195">
        <v>43999</v>
      </c>
      <c r="C18" s="16" t="s">
        <v>554</v>
      </c>
      <c r="D18" s="16" t="s">
        <v>885</v>
      </c>
    </row>
    <row r="19" spans="1:4" x14ac:dyDescent="0.3">
      <c r="A19" s="136">
        <v>18</v>
      </c>
      <c r="B19" s="195">
        <v>44012</v>
      </c>
      <c r="C19" s="16" t="s">
        <v>554</v>
      </c>
      <c r="D19" s="16" t="s">
        <v>1103</v>
      </c>
    </row>
    <row r="20" spans="1:4" x14ac:dyDescent="0.3">
      <c r="A20" s="136">
        <v>19</v>
      </c>
      <c r="B20" s="195">
        <v>44018</v>
      </c>
      <c r="C20" s="16" t="s">
        <v>554</v>
      </c>
      <c r="D20" s="16" t="s">
        <v>1145</v>
      </c>
    </row>
    <row r="21" spans="1:4" ht="28.8" x14ac:dyDescent="0.3">
      <c r="A21" s="136">
        <v>20</v>
      </c>
      <c r="B21" s="239">
        <v>44028</v>
      </c>
      <c r="C21" s="238" t="s">
        <v>554</v>
      </c>
      <c r="D21" s="141" t="s">
        <v>1147</v>
      </c>
    </row>
    <row r="22" spans="1:4" ht="28.8" x14ac:dyDescent="0.3">
      <c r="A22" s="136">
        <v>21</v>
      </c>
      <c r="B22" s="239">
        <v>44039</v>
      </c>
      <c r="C22" s="240" t="s">
        <v>554</v>
      </c>
      <c r="D22" s="141" t="s">
        <v>1153</v>
      </c>
    </row>
    <row r="23" spans="1:4" ht="28.8" x14ac:dyDescent="0.3">
      <c r="A23" s="136">
        <v>22</v>
      </c>
      <c r="B23" s="239">
        <v>44042</v>
      </c>
      <c r="C23" s="244" t="s">
        <v>554</v>
      </c>
      <c r="D23" s="141" t="s">
        <v>1154</v>
      </c>
    </row>
    <row r="24" spans="1:4" ht="72" x14ac:dyDescent="0.3">
      <c r="A24" s="440">
        <v>23</v>
      </c>
      <c r="B24" s="441">
        <v>44055</v>
      </c>
      <c r="C24" s="305" t="s">
        <v>605</v>
      </c>
      <c r="D24" s="130" t="s">
        <v>1163</v>
      </c>
    </row>
    <row r="25" spans="1:4" ht="28.8" x14ac:dyDescent="0.3">
      <c r="A25" s="440">
        <v>24</v>
      </c>
      <c r="B25" s="441">
        <v>44056</v>
      </c>
      <c r="C25" s="305" t="s">
        <v>605</v>
      </c>
      <c r="D25" s="130" t="s">
        <v>1164</v>
      </c>
    </row>
    <row r="26" spans="1:4" ht="28.8" x14ac:dyDescent="0.3">
      <c r="A26" s="440">
        <v>25</v>
      </c>
      <c r="B26" s="441">
        <v>44056</v>
      </c>
      <c r="C26" s="305" t="s">
        <v>1165</v>
      </c>
      <c r="D26" s="130" t="s">
        <v>1171</v>
      </c>
    </row>
    <row r="27" spans="1:4" ht="100.8" x14ac:dyDescent="0.3">
      <c r="A27" s="440">
        <v>26</v>
      </c>
      <c r="B27" s="441">
        <v>44077</v>
      </c>
      <c r="C27" s="305" t="s">
        <v>1165</v>
      </c>
      <c r="D27" s="130" t="s">
        <v>1442</v>
      </c>
    </row>
    <row r="28" spans="1:4" ht="72" x14ac:dyDescent="0.3">
      <c r="A28" s="440">
        <v>27</v>
      </c>
      <c r="B28" s="442">
        <v>44098</v>
      </c>
      <c r="C28" s="305" t="s">
        <v>1165</v>
      </c>
      <c r="D28" s="141" t="s">
        <v>1464</v>
      </c>
    </row>
    <row r="29" spans="1:4" ht="129.6" x14ac:dyDescent="0.3">
      <c r="A29" s="440">
        <v>28</v>
      </c>
      <c r="B29" s="443">
        <v>44099</v>
      </c>
      <c r="C29" s="305" t="s">
        <v>1165</v>
      </c>
      <c r="D29" s="141" t="s">
        <v>1471</v>
      </c>
    </row>
    <row r="30" spans="1:4" ht="158.4" x14ac:dyDescent="0.3">
      <c r="A30" s="251">
        <v>29</v>
      </c>
      <c r="B30" s="437">
        <v>44125</v>
      </c>
      <c r="C30" s="307" t="s">
        <v>1165</v>
      </c>
      <c r="D30" s="439" t="s">
        <v>1528</v>
      </c>
    </row>
    <row r="31" spans="1:4" ht="115.2" x14ac:dyDescent="0.3">
      <c r="A31" s="95"/>
      <c r="B31" s="95"/>
      <c r="C31" s="95"/>
      <c r="D31" s="438" t="s">
        <v>1529</v>
      </c>
    </row>
    <row r="32" spans="1:4" ht="187.2" x14ac:dyDescent="0.3">
      <c r="A32" s="95"/>
      <c r="B32" s="95"/>
      <c r="C32" s="95"/>
      <c r="D32" s="438" t="s">
        <v>1530</v>
      </c>
    </row>
    <row r="33" spans="1:4" ht="115.2" x14ac:dyDescent="0.3">
      <c r="A33" s="95"/>
      <c r="B33" s="95"/>
      <c r="C33" s="95"/>
      <c r="D33" s="438" t="s">
        <v>1531</v>
      </c>
    </row>
    <row r="34" spans="1:4" x14ac:dyDescent="0.3">
      <c r="A34" s="95"/>
      <c r="B34" s="95"/>
      <c r="C34" s="95"/>
      <c r="D34" s="95"/>
    </row>
    <row r="35" spans="1:4" x14ac:dyDescent="0.3">
      <c r="A35" s="64"/>
      <c r="B35" s="64"/>
      <c r="C35" s="64"/>
      <c r="D35" s="64"/>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D548A-03C4-4A49-9FBA-5F0BEDAC79C1}">
  <sheetPr codeName="Sheet2"/>
  <dimension ref="A1:AD83"/>
  <sheetViews>
    <sheetView workbookViewId="0">
      <pane xSplit="12" ySplit="4" topLeftCell="M62" activePane="bottomRight" state="frozen"/>
      <selection pane="topRight" activeCell="M1" sqref="M1"/>
      <selection pane="bottomLeft" activeCell="A5" sqref="A5"/>
      <selection pane="bottomRight" activeCell="A23" sqref="A23"/>
    </sheetView>
  </sheetViews>
  <sheetFormatPr defaultRowHeight="14.4" x14ac:dyDescent="0.3"/>
  <cols>
    <col min="1" max="1" width="32.6640625" bestFit="1" customWidth="1"/>
    <col min="2" max="2" width="7.6640625" style="15" customWidth="1"/>
    <col min="3" max="4" width="6.33203125" style="15" customWidth="1"/>
    <col min="5" max="5" width="11.77734375" customWidth="1"/>
    <col min="6" max="6" width="12.44140625" customWidth="1"/>
    <col min="7" max="7" width="14.77734375" customWidth="1"/>
    <col min="8" max="8" width="12.6640625" customWidth="1"/>
    <col min="9" max="9" width="14.21875" customWidth="1"/>
    <col min="10" max="10" width="12.21875" customWidth="1"/>
    <col min="11" max="11" width="14.21875" customWidth="1"/>
    <col min="12" max="12" width="10.44140625" customWidth="1"/>
    <col min="13" max="13" width="7.44140625" customWidth="1"/>
    <col min="14" max="14" width="7.33203125" customWidth="1"/>
    <col min="15" max="15" width="7.44140625" customWidth="1"/>
    <col min="30" max="30" width="124.77734375" customWidth="1"/>
  </cols>
  <sheetData>
    <row r="1" spans="1:30" s="15" customFormat="1" ht="20.399999999999999" customHeight="1" x14ac:dyDescent="0.3">
      <c r="A1" s="15" t="s">
        <v>611</v>
      </c>
      <c r="B1" s="15" t="str">
        <f>CONCATENATE(A1,"!A2:AA100")</f>
        <v>Config!A2:AA100</v>
      </c>
      <c r="E1" s="15" t="str">
        <f>CONCATENATE(A1,"!B3:AA4")</f>
        <v>Config!B3:AA4</v>
      </c>
    </row>
    <row r="2" spans="1:30" s="15" customFormat="1" x14ac:dyDescent="0.3">
      <c r="A2" s="18"/>
      <c r="B2" s="18" t="s">
        <v>418</v>
      </c>
      <c r="C2" s="319" t="s">
        <v>633</v>
      </c>
      <c r="D2" s="320"/>
      <c r="E2" s="316" t="s">
        <v>392</v>
      </c>
      <c r="F2" s="317"/>
      <c r="G2" s="318"/>
      <c r="H2" s="319" t="s">
        <v>633</v>
      </c>
      <c r="I2" s="321"/>
      <c r="J2" s="316" t="s">
        <v>392</v>
      </c>
      <c r="K2" s="317"/>
      <c r="L2" s="318"/>
      <c r="M2" s="18"/>
      <c r="N2" s="18"/>
      <c r="O2" s="18"/>
      <c r="P2" s="18"/>
      <c r="Q2" s="18"/>
      <c r="R2" s="18"/>
      <c r="S2" s="18"/>
      <c r="T2" s="18"/>
      <c r="U2" s="18"/>
      <c r="V2" s="18"/>
      <c r="W2" s="18"/>
      <c r="X2" s="18"/>
      <c r="Y2" s="18"/>
      <c r="Z2" s="18"/>
      <c r="AA2" s="18"/>
      <c r="AB2" s="18"/>
      <c r="AC2" s="18"/>
      <c r="AD2" s="18"/>
    </row>
    <row r="3" spans="1:30" s="15" customFormat="1" ht="57.6" x14ac:dyDescent="0.3">
      <c r="A3" s="19" t="s">
        <v>391</v>
      </c>
      <c r="B3" s="19" t="s">
        <v>386</v>
      </c>
      <c r="C3" s="105" t="s">
        <v>631</v>
      </c>
      <c r="D3" s="105" t="s">
        <v>632</v>
      </c>
      <c r="E3" s="61" t="s">
        <v>608</v>
      </c>
      <c r="F3" s="61" t="s">
        <v>609</v>
      </c>
      <c r="G3" s="61" t="s">
        <v>610</v>
      </c>
      <c r="H3" s="254" t="s">
        <v>1166</v>
      </c>
      <c r="I3" s="105" t="s">
        <v>1167</v>
      </c>
      <c r="J3" s="61" t="s">
        <v>1168</v>
      </c>
      <c r="K3" s="61" t="s">
        <v>1169</v>
      </c>
      <c r="L3" s="61" t="s">
        <v>1170</v>
      </c>
      <c r="M3" s="62"/>
      <c r="N3" s="62"/>
      <c r="O3" s="62"/>
      <c r="P3" s="62"/>
      <c r="Q3" s="62"/>
      <c r="R3" s="62"/>
      <c r="S3" s="62"/>
      <c r="T3" s="62"/>
      <c r="U3" s="62"/>
      <c r="V3" s="62"/>
      <c r="W3" s="62"/>
      <c r="X3" s="62"/>
      <c r="Y3" s="62"/>
      <c r="Z3" s="62"/>
      <c r="AA3" s="62"/>
      <c r="AB3" s="62"/>
      <c r="AC3" s="62"/>
      <c r="AD3" s="62"/>
    </row>
    <row r="4" spans="1:30" s="15" customFormat="1" x14ac:dyDescent="0.3">
      <c r="A4" s="21" t="s">
        <v>393</v>
      </c>
      <c r="B4" s="20">
        <v>2</v>
      </c>
      <c r="C4" s="59">
        <v>3</v>
      </c>
      <c r="D4" s="59">
        <v>4</v>
      </c>
      <c r="E4" s="59">
        <v>5</v>
      </c>
      <c r="F4" s="59">
        <v>6</v>
      </c>
      <c r="G4" s="59">
        <v>7</v>
      </c>
      <c r="H4" s="59">
        <v>8</v>
      </c>
      <c r="I4" s="59">
        <v>9</v>
      </c>
      <c r="J4" s="59">
        <v>10</v>
      </c>
      <c r="K4" s="59">
        <v>11</v>
      </c>
      <c r="L4" s="59">
        <v>12</v>
      </c>
      <c r="M4" s="59">
        <v>13</v>
      </c>
      <c r="N4" s="59">
        <v>14</v>
      </c>
      <c r="O4" s="59">
        <v>15</v>
      </c>
      <c r="P4" s="59">
        <v>16</v>
      </c>
      <c r="Q4" s="59">
        <v>17</v>
      </c>
      <c r="R4" s="59">
        <v>18</v>
      </c>
      <c r="S4" s="59">
        <v>19</v>
      </c>
      <c r="T4" s="59">
        <v>20</v>
      </c>
      <c r="U4" s="59">
        <v>21</v>
      </c>
      <c r="V4" s="59">
        <v>22</v>
      </c>
      <c r="W4" s="59">
        <v>23</v>
      </c>
      <c r="X4" s="59">
        <v>24</v>
      </c>
      <c r="Y4" s="59">
        <v>25</v>
      </c>
      <c r="Z4" s="59">
        <v>26</v>
      </c>
      <c r="AA4" s="59">
        <v>27</v>
      </c>
      <c r="AB4" s="59">
        <v>28</v>
      </c>
      <c r="AC4" s="59">
        <v>29</v>
      </c>
      <c r="AD4" s="59" t="s">
        <v>423</v>
      </c>
    </row>
    <row r="5" spans="1:30" ht="13.5" customHeight="1" x14ac:dyDescent="0.3">
      <c r="A5" s="40" t="s">
        <v>125</v>
      </c>
      <c r="B5" s="16">
        <v>1</v>
      </c>
      <c r="C5" s="16">
        <v>1</v>
      </c>
      <c r="D5" s="16">
        <v>1</v>
      </c>
      <c r="E5" s="16">
        <v>1</v>
      </c>
      <c r="F5" s="16">
        <v>0</v>
      </c>
      <c r="G5" s="16">
        <v>0</v>
      </c>
      <c r="H5" s="16">
        <v>0</v>
      </c>
      <c r="I5" s="16">
        <v>0</v>
      </c>
      <c r="J5" s="16">
        <v>0</v>
      </c>
      <c r="K5" s="16">
        <v>0</v>
      </c>
      <c r="L5" s="16"/>
      <c r="M5" s="16"/>
      <c r="N5" s="16"/>
      <c r="O5" s="16"/>
      <c r="P5" s="16"/>
      <c r="Q5" s="16"/>
      <c r="R5" s="16"/>
      <c r="S5" s="16"/>
      <c r="T5" s="16"/>
      <c r="U5" s="16"/>
      <c r="V5" s="16"/>
      <c r="W5" s="16"/>
      <c r="X5" s="16"/>
      <c r="Y5" s="16"/>
      <c r="Z5" s="16"/>
      <c r="AA5" s="16"/>
      <c r="AB5" s="16"/>
      <c r="AC5" s="16"/>
      <c r="AD5" s="16" t="s">
        <v>843</v>
      </c>
    </row>
    <row r="6" spans="1:30" ht="13.5" customHeight="1" x14ac:dyDescent="0.3">
      <c r="A6" s="40" t="s">
        <v>172</v>
      </c>
      <c r="B6" s="16">
        <v>1</v>
      </c>
      <c r="C6" s="16">
        <v>1</v>
      </c>
      <c r="D6" s="16">
        <v>1</v>
      </c>
      <c r="E6" s="16">
        <v>1</v>
      </c>
      <c r="F6" s="16">
        <v>0</v>
      </c>
      <c r="G6" s="16">
        <v>0</v>
      </c>
      <c r="H6" s="16">
        <v>1</v>
      </c>
      <c r="I6" s="16">
        <v>0</v>
      </c>
      <c r="J6" s="16">
        <v>0</v>
      </c>
      <c r="K6" s="16">
        <v>0</v>
      </c>
      <c r="L6" s="16"/>
      <c r="M6" s="16"/>
      <c r="N6" s="16"/>
      <c r="O6" s="16"/>
      <c r="P6" s="16"/>
      <c r="Q6" s="16"/>
      <c r="R6" s="16"/>
      <c r="S6" s="16"/>
      <c r="T6" s="16"/>
      <c r="U6" s="16"/>
      <c r="V6" s="16"/>
      <c r="W6" s="16"/>
      <c r="X6" s="16"/>
      <c r="Y6" s="16"/>
      <c r="Z6" s="16"/>
      <c r="AA6" s="16"/>
      <c r="AB6" s="16"/>
      <c r="AC6" s="16"/>
      <c r="AD6" s="16" t="s">
        <v>844</v>
      </c>
    </row>
    <row r="7" spans="1:30" ht="13.5" customHeight="1" x14ac:dyDescent="0.3">
      <c r="A7" s="40" t="s">
        <v>634</v>
      </c>
      <c r="B7" s="16">
        <v>1</v>
      </c>
      <c r="C7" s="16">
        <v>1</v>
      </c>
      <c r="D7" s="16">
        <v>1</v>
      </c>
      <c r="E7" s="16">
        <v>1</v>
      </c>
      <c r="F7" s="16">
        <v>0</v>
      </c>
      <c r="G7" s="16">
        <v>0</v>
      </c>
      <c r="H7" s="16">
        <v>1</v>
      </c>
      <c r="I7" s="16">
        <v>0</v>
      </c>
      <c r="J7" s="16">
        <v>1</v>
      </c>
      <c r="K7" s="16">
        <v>0</v>
      </c>
      <c r="L7" s="16"/>
      <c r="M7" s="16"/>
      <c r="N7" s="16"/>
      <c r="O7" s="16"/>
      <c r="P7" s="16"/>
      <c r="Q7" s="16"/>
      <c r="R7" s="16"/>
      <c r="S7" s="16"/>
      <c r="T7" s="16"/>
      <c r="U7" s="16"/>
      <c r="V7" s="16"/>
      <c r="W7" s="16"/>
      <c r="X7" s="16"/>
      <c r="Y7" s="16"/>
      <c r="Z7" s="16"/>
      <c r="AA7" s="16"/>
      <c r="AB7" s="16"/>
      <c r="AC7" s="16"/>
      <c r="AD7" s="16" t="s">
        <v>845</v>
      </c>
    </row>
    <row r="8" spans="1:30" ht="13.5" customHeight="1" x14ac:dyDescent="0.3">
      <c r="A8" s="40" t="s">
        <v>234</v>
      </c>
      <c r="B8" s="16">
        <v>1</v>
      </c>
      <c r="C8" s="16">
        <v>1</v>
      </c>
      <c r="D8" s="16">
        <v>1</v>
      </c>
      <c r="E8" s="16">
        <v>1</v>
      </c>
      <c r="F8" s="16">
        <v>1</v>
      </c>
      <c r="G8" s="16">
        <v>0</v>
      </c>
      <c r="H8" s="16">
        <v>1</v>
      </c>
      <c r="I8" s="16">
        <v>0</v>
      </c>
      <c r="J8" s="16">
        <v>0</v>
      </c>
      <c r="K8" s="16">
        <v>0</v>
      </c>
      <c r="L8" s="16"/>
      <c r="M8" s="16"/>
      <c r="N8" s="16"/>
      <c r="O8" s="16"/>
      <c r="P8" s="16"/>
      <c r="Q8" s="16"/>
      <c r="R8" s="16"/>
      <c r="S8" s="16"/>
      <c r="T8" s="16"/>
      <c r="U8" s="16"/>
      <c r="V8" s="16"/>
      <c r="W8" s="16"/>
      <c r="X8" s="16"/>
      <c r="Y8" s="16"/>
      <c r="Z8" s="16"/>
      <c r="AA8" s="16"/>
      <c r="AB8" s="16"/>
      <c r="AC8" s="16"/>
      <c r="AD8" s="16" t="s">
        <v>843</v>
      </c>
    </row>
    <row r="9" spans="1:30" ht="13.5" customHeight="1" x14ac:dyDescent="0.3">
      <c r="A9" s="245" t="s">
        <v>70</v>
      </c>
      <c r="B9" s="16">
        <v>1</v>
      </c>
      <c r="C9" s="16">
        <v>1</v>
      </c>
      <c r="D9" s="16">
        <v>1</v>
      </c>
      <c r="E9" s="16">
        <v>0</v>
      </c>
      <c r="F9" s="16">
        <v>1</v>
      </c>
      <c r="G9" s="16">
        <v>0</v>
      </c>
      <c r="H9" s="7">
        <v>0</v>
      </c>
      <c r="I9" s="7">
        <v>1</v>
      </c>
      <c r="J9" s="7">
        <v>0</v>
      </c>
      <c r="K9" s="7">
        <v>1</v>
      </c>
      <c r="L9" s="16"/>
      <c r="M9" s="16"/>
      <c r="N9" s="16"/>
      <c r="O9" s="16"/>
      <c r="P9" s="16"/>
      <c r="Q9" s="16"/>
      <c r="R9" s="16"/>
      <c r="S9" s="16"/>
      <c r="T9" s="16"/>
      <c r="U9" s="16"/>
      <c r="V9" s="16"/>
      <c r="W9" s="16"/>
      <c r="X9" s="16"/>
      <c r="Y9" s="16"/>
      <c r="Z9" s="16"/>
      <c r="AA9" s="16"/>
      <c r="AB9" s="16"/>
      <c r="AC9" s="16"/>
      <c r="AD9" s="141" t="s">
        <v>816</v>
      </c>
    </row>
    <row r="10" spans="1:30" s="15" customFormat="1" ht="13.5" customHeight="1" x14ac:dyDescent="0.3">
      <c r="A10" s="433" t="s">
        <v>1466</v>
      </c>
      <c r="B10" s="63">
        <v>1</v>
      </c>
      <c r="C10" s="63">
        <v>1</v>
      </c>
      <c r="D10" s="63">
        <v>1</v>
      </c>
      <c r="E10" s="63">
        <v>0</v>
      </c>
      <c r="F10" s="63">
        <v>1</v>
      </c>
      <c r="G10" s="63">
        <v>0</v>
      </c>
      <c r="H10" s="63">
        <v>0</v>
      </c>
      <c r="I10" s="63">
        <v>1</v>
      </c>
      <c r="J10" s="63">
        <v>0</v>
      </c>
      <c r="K10" s="63">
        <v>1</v>
      </c>
      <c r="L10" s="16"/>
      <c r="M10" s="16"/>
      <c r="N10" s="16"/>
      <c r="O10" s="16"/>
      <c r="P10" s="16"/>
      <c r="Q10" s="16"/>
      <c r="R10" s="16"/>
      <c r="S10" s="16"/>
      <c r="T10" s="16"/>
      <c r="U10" s="16"/>
      <c r="V10" s="16"/>
      <c r="W10" s="16"/>
      <c r="X10" s="16"/>
      <c r="Y10" s="16"/>
      <c r="Z10" s="16"/>
      <c r="AA10" s="16"/>
      <c r="AB10" s="16"/>
      <c r="AC10" s="16"/>
      <c r="AD10" s="141" t="s">
        <v>1470</v>
      </c>
    </row>
    <row r="11" spans="1:30" ht="13.5" customHeight="1" x14ac:dyDescent="0.3">
      <c r="A11" s="40" t="s">
        <v>224</v>
      </c>
      <c r="B11" s="16">
        <v>1</v>
      </c>
      <c r="C11" s="16">
        <v>1</v>
      </c>
      <c r="D11" s="16">
        <v>1</v>
      </c>
      <c r="E11" s="16">
        <v>1</v>
      </c>
      <c r="F11" s="16">
        <v>0</v>
      </c>
      <c r="G11" s="16">
        <v>0</v>
      </c>
      <c r="H11" s="16">
        <v>1</v>
      </c>
      <c r="I11" s="16">
        <v>0</v>
      </c>
      <c r="J11" s="16">
        <v>0</v>
      </c>
      <c r="K11" s="16">
        <v>0</v>
      </c>
      <c r="L11" s="16"/>
      <c r="M11" s="16"/>
      <c r="N11" s="16"/>
      <c r="O11" s="16"/>
      <c r="P11" s="16"/>
      <c r="Q11" s="16"/>
      <c r="R11" s="16"/>
      <c r="S11" s="16"/>
      <c r="T11" s="16"/>
      <c r="U11" s="16"/>
      <c r="V11" s="16"/>
      <c r="W11" s="16"/>
      <c r="X11" s="16"/>
      <c r="Y11" s="16"/>
      <c r="Z11" s="16"/>
      <c r="AA11" s="16"/>
      <c r="AB11" s="16"/>
      <c r="AC11" s="16"/>
      <c r="AD11" s="141" t="s">
        <v>817</v>
      </c>
    </row>
    <row r="12" spans="1:30" ht="13.5" customHeight="1" x14ac:dyDescent="0.3">
      <c r="A12" s="40" t="s">
        <v>394</v>
      </c>
      <c r="B12" s="16">
        <v>13</v>
      </c>
      <c r="C12" s="16">
        <v>15</v>
      </c>
      <c r="D12" s="16">
        <v>15</v>
      </c>
      <c r="E12" s="16">
        <v>13</v>
      </c>
      <c r="F12" s="57">
        <v>4</v>
      </c>
      <c r="G12" s="16">
        <v>5</v>
      </c>
      <c r="H12" s="16">
        <v>15</v>
      </c>
      <c r="I12" s="16">
        <v>5</v>
      </c>
      <c r="J12" s="16">
        <v>7</v>
      </c>
      <c r="K12" s="16">
        <v>5</v>
      </c>
      <c r="L12" s="16"/>
      <c r="M12" s="16"/>
      <c r="N12" s="16"/>
      <c r="O12" s="16"/>
      <c r="P12" s="16"/>
      <c r="Q12" s="16"/>
      <c r="R12" s="16"/>
      <c r="S12" s="16"/>
      <c r="T12" s="16"/>
      <c r="U12" s="16"/>
      <c r="V12" s="16"/>
      <c r="W12" s="16"/>
      <c r="X12" s="16"/>
      <c r="Y12" s="16"/>
      <c r="Z12" s="16"/>
      <c r="AA12" s="16"/>
      <c r="AB12" s="16"/>
      <c r="AC12" s="16"/>
      <c r="AD12" s="141" t="s">
        <v>818</v>
      </c>
    </row>
    <row r="13" spans="1:30" ht="13.5" customHeight="1" x14ac:dyDescent="0.3">
      <c r="A13" s="40" t="s">
        <v>635</v>
      </c>
      <c r="B13" s="16">
        <v>0</v>
      </c>
      <c r="C13" s="16">
        <v>0</v>
      </c>
      <c r="D13" s="16">
        <v>0</v>
      </c>
      <c r="E13" s="16">
        <v>0</v>
      </c>
      <c r="F13" s="16">
        <v>0</v>
      </c>
      <c r="G13" s="16">
        <v>0</v>
      </c>
      <c r="H13" s="16">
        <v>0</v>
      </c>
      <c r="I13" s="16">
        <v>0</v>
      </c>
      <c r="J13" s="16">
        <v>0</v>
      </c>
      <c r="K13" s="16">
        <v>0</v>
      </c>
      <c r="L13" s="16"/>
      <c r="M13" s="16"/>
      <c r="N13" s="16"/>
      <c r="O13" s="16"/>
      <c r="P13" s="16"/>
      <c r="Q13" s="16"/>
      <c r="R13" s="16"/>
      <c r="S13" s="16"/>
      <c r="T13" s="16"/>
      <c r="U13" s="16"/>
      <c r="V13" s="16"/>
      <c r="W13" s="16"/>
      <c r="X13" s="16"/>
      <c r="Y13" s="16"/>
      <c r="Z13" s="16"/>
      <c r="AA13" s="16"/>
      <c r="AB13" s="16"/>
      <c r="AC13" s="16"/>
      <c r="AD13" s="16" t="s">
        <v>846</v>
      </c>
    </row>
    <row r="14" spans="1:30" ht="13.5" customHeight="1" x14ac:dyDescent="0.3">
      <c r="A14" s="42" t="s">
        <v>241</v>
      </c>
      <c r="B14" s="16">
        <v>0</v>
      </c>
      <c r="C14" s="16">
        <v>1</v>
      </c>
      <c r="D14" s="16">
        <v>1</v>
      </c>
      <c r="E14" s="16">
        <v>0</v>
      </c>
      <c r="F14" s="16">
        <v>0</v>
      </c>
      <c r="G14" s="16">
        <v>0</v>
      </c>
      <c r="H14" s="243">
        <v>1</v>
      </c>
      <c r="I14" s="7">
        <v>0</v>
      </c>
      <c r="J14" s="7">
        <v>1</v>
      </c>
      <c r="K14" s="7">
        <v>0</v>
      </c>
      <c r="L14" s="16"/>
      <c r="M14" s="16"/>
      <c r="N14" s="16"/>
      <c r="O14" s="16"/>
      <c r="P14" s="16"/>
      <c r="Q14" s="16"/>
      <c r="R14" s="16"/>
      <c r="S14" s="16"/>
      <c r="T14" s="16"/>
      <c r="U14" s="16"/>
      <c r="V14" s="16"/>
      <c r="W14" s="16"/>
      <c r="X14" s="16"/>
      <c r="Y14" s="16"/>
      <c r="Z14" s="16"/>
      <c r="AA14" s="16"/>
      <c r="AB14" s="16"/>
      <c r="AC14" s="16"/>
      <c r="AD14" s="16" t="s">
        <v>847</v>
      </c>
    </row>
    <row r="15" spans="1:30" s="15" customFormat="1" ht="13.5" customHeight="1" x14ac:dyDescent="0.3">
      <c r="A15" s="245" t="s">
        <v>1516</v>
      </c>
      <c r="B15" s="16">
        <v>0</v>
      </c>
      <c r="C15" s="16">
        <v>0</v>
      </c>
      <c r="D15" s="16">
        <v>0</v>
      </c>
      <c r="E15" s="16">
        <v>1</v>
      </c>
      <c r="F15" s="16">
        <v>0</v>
      </c>
      <c r="G15" s="16">
        <v>0</v>
      </c>
      <c r="H15" s="7">
        <v>1</v>
      </c>
      <c r="I15" s="243">
        <v>0</v>
      </c>
      <c r="J15" s="243">
        <v>0</v>
      </c>
      <c r="K15" s="243">
        <v>0</v>
      </c>
      <c r="L15" s="16"/>
      <c r="M15" s="16"/>
      <c r="N15" s="16"/>
      <c r="O15" s="16"/>
      <c r="P15" s="16"/>
      <c r="Q15" s="16"/>
      <c r="R15" s="16"/>
      <c r="S15" s="16"/>
      <c r="T15" s="16"/>
      <c r="U15" s="16"/>
      <c r="V15" s="16"/>
      <c r="W15" s="16"/>
      <c r="X15" s="16"/>
      <c r="Y15" s="16"/>
      <c r="Z15" s="16"/>
      <c r="AA15" s="16"/>
      <c r="AB15" s="16"/>
      <c r="AC15" s="16"/>
      <c r="AD15" s="141" t="s">
        <v>1149</v>
      </c>
    </row>
    <row r="16" spans="1:30" ht="13.5" customHeight="1" x14ac:dyDescent="0.3">
      <c r="A16" s="125" t="s">
        <v>535</v>
      </c>
      <c r="B16" s="16">
        <v>0</v>
      </c>
      <c r="C16" s="16">
        <v>0</v>
      </c>
      <c r="D16" s="16">
        <v>0</v>
      </c>
      <c r="E16" s="16">
        <v>0</v>
      </c>
      <c r="F16" s="16">
        <v>0</v>
      </c>
      <c r="G16" s="16">
        <v>1</v>
      </c>
      <c r="H16" s="16">
        <v>0</v>
      </c>
      <c r="I16" s="16">
        <v>0</v>
      </c>
      <c r="J16" s="16">
        <v>0</v>
      </c>
      <c r="K16" s="16">
        <v>0</v>
      </c>
      <c r="L16" s="16"/>
      <c r="M16" s="16"/>
      <c r="N16" s="16"/>
      <c r="O16" s="16"/>
      <c r="P16" s="16"/>
      <c r="Q16" s="16"/>
      <c r="R16" s="16"/>
      <c r="S16" s="16"/>
      <c r="T16" s="16"/>
      <c r="U16" s="16"/>
      <c r="V16" s="16"/>
      <c r="W16" s="16"/>
      <c r="X16" s="16"/>
      <c r="Y16" s="16"/>
      <c r="Z16" s="16"/>
      <c r="AA16" s="16"/>
      <c r="AB16" s="16"/>
      <c r="AC16" s="16"/>
      <c r="AD16" s="141" t="s">
        <v>819</v>
      </c>
    </row>
    <row r="17" spans="1:30" s="15" customFormat="1" ht="13.5" customHeight="1" x14ac:dyDescent="0.3">
      <c r="A17" s="63" t="s">
        <v>203</v>
      </c>
      <c r="B17" s="63">
        <v>1</v>
      </c>
      <c r="C17" s="63">
        <v>1</v>
      </c>
      <c r="D17" s="63">
        <v>1</v>
      </c>
      <c r="E17" s="63">
        <v>1</v>
      </c>
      <c r="F17" s="63">
        <v>1</v>
      </c>
      <c r="G17" s="63">
        <v>1</v>
      </c>
      <c r="H17" s="63">
        <v>1</v>
      </c>
      <c r="I17" s="63">
        <v>0</v>
      </c>
      <c r="J17" s="63">
        <v>1</v>
      </c>
      <c r="K17" s="63">
        <v>0</v>
      </c>
      <c r="L17" s="16"/>
      <c r="M17" s="16"/>
      <c r="N17" s="16"/>
      <c r="O17" s="16"/>
      <c r="P17" s="16"/>
      <c r="Q17" s="16"/>
      <c r="R17" s="16"/>
      <c r="S17" s="16"/>
      <c r="T17" s="16"/>
      <c r="U17" s="16"/>
      <c r="V17" s="16"/>
      <c r="W17" s="16"/>
      <c r="X17" s="16"/>
      <c r="Y17" s="16"/>
      <c r="Z17" s="16"/>
      <c r="AA17" s="16"/>
      <c r="AB17" s="16"/>
      <c r="AC17" s="16"/>
      <c r="AD17" s="141"/>
    </row>
    <row r="18" spans="1:30" s="15" customFormat="1" ht="13.5" customHeight="1" x14ac:dyDescent="0.3">
      <c r="A18" s="63" t="s">
        <v>199</v>
      </c>
      <c r="B18" s="63">
        <v>1</v>
      </c>
      <c r="C18" s="63">
        <v>1</v>
      </c>
      <c r="D18" s="63">
        <v>1</v>
      </c>
      <c r="E18" s="63">
        <v>1</v>
      </c>
      <c r="F18" s="63">
        <v>1</v>
      </c>
      <c r="G18" s="63">
        <v>1</v>
      </c>
      <c r="H18" s="63">
        <v>1</v>
      </c>
      <c r="I18" s="63">
        <v>0</v>
      </c>
      <c r="J18" s="63">
        <v>1</v>
      </c>
      <c r="K18" s="63">
        <v>0</v>
      </c>
      <c r="L18" s="16"/>
      <c r="M18" s="16"/>
      <c r="N18" s="16"/>
      <c r="O18" s="16"/>
      <c r="P18" s="16"/>
      <c r="Q18" s="16"/>
      <c r="R18" s="16"/>
      <c r="S18" s="16"/>
      <c r="T18" s="16"/>
      <c r="U18" s="16"/>
      <c r="V18" s="16"/>
      <c r="W18" s="16"/>
      <c r="X18" s="16"/>
      <c r="Y18" s="16"/>
      <c r="Z18" s="16"/>
      <c r="AA18" s="16"/>
      <c r="AB18" s="16"/>
      <c r="AC18" s="16"/>
      <c r="AD18" s="141"/>
    </row>
    <row r="19" spans="1:30" s="15" customFormat="1" ht="13.5" customHeight="1" x14ac:dyDescent="0.3">
      <c r="A19" s="63" t="s">
        <v>201</v>
      </c>
      <c r="B19" s="63">
        <v>1</v>
      </c>
      <c r="C19" s="63">
        <v>1</v>
      </c>
      <c r="D19" s="63">
        <v>1</v>
      </c>
      <c r="E19" s="63">
        <v>1</v>
      </c>
      <c r="F19" s="63">
        <v>1</v>
      </c>
      <c r="G19" s="63">
        <v>1</v>
      </c>
      <c r="H19" s="63">
        <v>1</v>
      </c>
      <c r="I19" s="63">
        <v>0</v>
      </c>
      <c r="J19" s="63">
        <v>1</v>
      </c>
      <c r="K19" s="63">
        <v>0</v>
      </c>
      <c r="L19" s="16"/>
      <c r="M19" s="16"/>
      <c r="N19" s="16"/>
      <c r="O19" s="16"/>
      <c r="P19" s="16"/>
      <c r="Q19" s="16"/>
      <c r="R19" s="16"/>
      <c r="S19" s="16"/>
      <c r="T19" s="16"/>
      <c r="U19" s="16"/>
      <c r="V19" s="16"/>
      <c r="W19" s="16"/>
      <c r="X19" s="16"/>
      <c r="Y19" s="16"/>
      <c r="Z19" s="16"/>
      <c r="AA19" s="16"/>
      <c r="AB19" s="16"/>
      <c r="AC19" s="16"/>
      <c r="AD19" s="141"/>
    </row>
    <row r="20" spans="1:30" ht="13.5" customHeight="1" x14ac:dyDescent="0.3">
      <c r="A20" s="40" t="s">
        <v>147</v>
      </c>
      <c r="B20" s="16">
        <v>1</v>
      </c>
      <c r="C20" s="16">
        <v>1</v>
      </c>
      <c r="D20" s="16">
        <v>1</v>
      </c>
      <c r="E20" s="16">
        <v>1</v>
      </c>
      <c r="F20" s="16">
        <v>0</v>
      </c>
      <c r="G20" s="16">
        <v>0</v>
      </c>
      <c r="H20" s="16">
        <v>1</v>
      </c>
      <c r="I20" s="16">
        <v>0</v>
      </c>
      <c r="J20" s="16">
        <v>0</v>
      </c>
      <c r="K20" s="16">
        <v>0</v>
      </c>
      <c r="L20" s="16"/>
      <c r="M20" s="16"/>
      <c r="N20" s="16"/>
      <c r="O20" s="16"/>
      <c r="P20" s="16"/>
      <c r="Q20" s="16"/>
      <c r="R20" s="16"/>
      <c r="S20" s="16"/>
      <c r="T20" s="16"/>
      <c r="U20" s="16"/>
      <c r="V20" s="16"/>
      <c r="W20" s="16"/>
      <c r="X20" s="16"/>
      <c r="Y20" s="16"/>
      <c r="Z20" s="16"/>
      <c r="AA20" s="16"/>
      <c r="AB20" s="16"/>
      <c r="AC20" s="16"/>
      <c r="AD20" s="16" t="s">
        <v>848</v>
      </c>
    </row>
    <row r="21" spans="1:30" ht="13.5" customHeight="1" x14ac:dyDescent="0.3">
      <c r="A21" s="245" t="s">
        <v>377</v>
      </c>
      <c r="B21" s="16">
        <v>0</v>
      </c>
      <c r="C21" s="16">
        <v>0</v>
      </c>
      <c r="D21" s="16">
        <v>0</v>
      </c>
      <c r="E21" s="16">
        <v>0</v>
      </c>
      <c r="F21" s="16">
        <v>0</v>
      </c>
      <c r="G21" s="16">
        <v>0</v>
      </c>
      <c r="H21" s="16">
        <v>0</v>
      </c>
      <c r="I21" s="16">
        <v>0</v>
      </c>
      <c r="J21" s="16">
        <v>0</v>
      </c>
      <c r="K21" s="16">
        <v>0</v>
      </c>
      <c r="L21" s="16"/>
      <c r="M21" s="16"/>
      <c r="N21" s="16"/>
      <c r="O21" s="16"/>
      <c r="P21" s="16"/>
      <c r="Q21" s="16"/>
      <c r="R21" s="16"/>
      <c r="S21" s="16"/>
      <c r="T21" s="16"/>
      <c r="U21" s="16"/>
      <c r="V21" s="16"/>
      <c r="W21" s="16"/>
      <c r="X21" s="16"/>
      <c r="Y21" s="16"/>
      <c r="Z21" s="16"/>
      <c r="AA21" s="16"/>
      <c r="AB21" s="16"/>
      <c r="AC21" s="16"/>
      <c r="AD21" s="16" t="s">
        <v>849</v>
      </c>
    </row>
    <row r="22" spans="1:30" s="15" customFormat="1" ht="13.5" customHeight="1" x14ac:dyDescent="0.3">
      <c r="A22" s="245" t="s">
        <v>1514</v>
      </c>
      <c r="B22" s="16">
        <v>0</v>
      </c>
      <c r="C22" s="16">
        <v>0</v>
      </c>
      <c r="D22" s="16">
        <v>0</v>
      </c>
      <c r="E22" s="16">
        <v>0</v>
      </c>
      <c r="F22" s="16">
        <v>0</v>
      </c>
      <c r="G22" s="16">
        <v>0</v>
      </c>
      <c r="H22" s="16">
        <v>0</v>
      </c>
      <c r="I22" s="16">
        <v>0</v>
      </c>
      <c r="J22" s="16">
        <v>0</v>
      </c>
      <c r="K22" s="16">
        <v>0</v>
      </c>
      <c r="L22" s="16"/>
      <c r="M22" s="16"/>
      <c r="N22" s="16"/>
      <c r="O22" s="16"/>
      <c r="P22" s="16"/>
      <c r="Q22" s="16"/>
      <c r="R22" s="16"/>
      <c r="S22" s="16"/>
      <c r="T22" s="16"/>
      <c r="U22" s="16"/>
      <c r="V22" s="16"/>
      <c r="W22" s="16"/>
      <c r="X22" s="16"/>
      <c r="Y22" s="16"/>
      <c r="Z22" s="16"/>
      <c r="AA22" s="16"/>
      <c r="AB22" s="16"/>
      <c r="AC22" s="16"/>
      <c r="AD22" s="141" t="s">
        <v>825</v>
      </c>
    </row>
    <row r="23" spans="1:30" ht="13.5" customHeight="1" x14ac:dyDescent="0.3">
      <c r="A23" s="42" t="s">
        <v>221</v>
      </c>
      <c r="B23" s="16">
        <v>0</v>
      </c>
      <c r="C23" s="16">
        <v>1</v>
      </c>
      <c r="D23" s="16">
        <v>1</v>
      </c>
      <c r="E23" s="16">
        <v>0</v>
      </c>
      <c r="F23" s="16">
        <v>0</v>
      </c>
      <c r="G23" s="16">
        <v>0</v>
      </c>
      <c r="H23" s="7">
        <v>1</v>
      </c>
      <c r="I23" s="7">
        <v>0</v>
      </c>
      <c r="J23" s="7">
        <v>0</v>
      </c>
      <c r="K23" s="16">
        <v>0</v>
      </c>
      <c r="L23" s="16"/>
      <c r="M23" s="16"/>
      <c r="N23" s="16"/>
      <c r="O23" s="16"/>
      <c r="P23" s="16"/>
      <c r="Q23" s="16"/>
      <c r="R23" s="16"/>
      <c r="S23" s="16"/>
      <c r="T23" s="16"/>
      <c r="U23" s="16"/>
      <c r="V23" s="16"/>
      <c r="W23" s="16"/>
      <c r="X23" s="16"/>
      <c r="Y23" s="16"/>
      <c r="Z23" s="16"/>
      <c r="AA23" s="16"/>
      <c r="AB23" s="16"/>
      <c r="AC23" s="16"/>
      <c r="AD23" s="16" t="s">
        <v>850</v>
      </c>
    </row>
    <row r="24" spans="1:30" ht="13.5" customHeight="1" x14ac:dyDescent="0.3">
      <c r="A24" s="42" t="s">
        <v>186</v>
      </c>
      <c r="B24" s="16">
        <v>1</v>
      </c>
      <c r="C24" s="16">
        <v>1</v>
      </c>
      <c r="D24" s="16">
        <v>1</v>
      </c>
      <c r="E24" s="16">
        <v>1</v>
      </c>
      <c r="F24" s="16">
        <v>0</v>
      </c>
      <c r="G24" s="16">
        <v>0</v>
      </c>
      <c r="H24" s="7">
        <v>0</v>
      </c>
      <c r="I24" s="7">
        <v>0</v>
      </c>
      <c r="J24" s="7">
        <v>0</v>
      </c>
      <c r="K24" s="16">
        <v>0</v>
      </c>
      <c r="L24" s="16"/>
      <c r="M24" s="16"/>
      <c r="N24" s="16"/>
      <c r="O24" s="16"/>
      <c r="P24" s="16"/>
      <c r="Q24" s="16"/>
      <c r="R24" s="16"/>
      <c r="S24" s="16"/>
      <c r="T24" s="16"/>
      <c r="U24" s="16"/>
      <c r="V24" s="16"/>
      <c r="W24" s="16"/>
      <c r="X24" s="16"/>
      <c r="Y24" s="16"/>
      <c r="Z24" s="16"/>
      <c r="AA24" s="16"/>
      <c r="AB24" s="16"/>
      <c r="AC24" s="16"/>
      <c r="AD24" s="16" t="s">
        <v>851</v>
      </c>
    </row>
    <row r="25" spans="1:30" ht="13.5" customHeight="1" x14ac:dyDescent="0.3">
      <c r="A25" s="40" t="s">
        <v>636</v>
      </c>
      <c r="B25" s="16">
        <v>1</v>
      </c>
      <c r="C25" s="16">
        <v>1</v>
      </c>
      <c r="D25" s="16">
        <v>1</v>
      </c>
      <c r="E25" s="16">
        <v>1</v>
      </c>
      <c r="F25" s="16">
        <v>0</v>
      </c>
      <c r="G25" s="16">
        <v>1</v>
      </c>
      <c r="H25" s="7">
        <v>1</v>
      </c>
      <c r="I25" s="7">
        <v>0</v>
      </c>
      <c r="J25" s="7">
        <v>0</v>
      </c>
      <c r="K25" s="16">
        <v>0</v>
      </c>
      <c r="L25" s="16"/>
      <c r="M25" s="16"/>
      <c r="N25" s="16"/>
      <c r="O25" s="16"/>
      <c r="P25" s="16"/>
      <c r="Q25" s="16"/>
      <c r="R25" s="16"/>
      <c r="S25" s="16"/>
      <c r="T25" s="16"/>
      <c r="U25" s="16"/>
      <c r="V25" s="16"/>
      <c r="W25" s="16"/>
      <c r="X25" s="16"/>
      <c r="Y25" s="16"/>
      <c r="Z25" s="16"/>
      <c r="AA25" s="16"/>
      <c r="AB25" s="16"/>
      <c r="AC25" s="16"/>
      <c r="AD25" s="16" t="s">
        <v>852</v>
      </c>
    </row>
    <row r="26" spans="1:30" ht="13.5" customHeight="1" x14ac:dyDescent="0.3">
      <c r="A26" s="40" t="s">
        <v>637</v>
      </c>
      <c r="B26" s="16">
        <v>1</v>
      </c>
      <c r="C26" s="16">
        <v>1</v>
      </c>
      <c r="D26" s="16">
        <v>1</v>
      </c>
      <c r="E26" s="16">
        <v>1</v>
      </c>
      <c r="F26" s="16">
        <v>0</v>
      </c>
      <c r="G26" s="16">
        <v>0</v>
      </c>
      <c r="H26" s="7">
        <v>0</v>
      </c>
      <c r="I26" s="7">
        <v>0</v>
      </c>
      <c r="J26" s="7">
        <v>0</v>
      </c>
      <c r="K26" s="16">
        <v>0</v>
      </c>
      <c r="L26" s="16"/>
      <c r="M26" s="16"/>
      <c r="N26" s="16"/>
      <c r="O26" s="16"/>
      <c r="P26" s="16"/>
      <c r="Q26" s="16"/>
      <c r="R26" s="16"/>
      <c r="S26" s="16"/>
      <c r="T26" s="16"/>
      <c r="U26" s="16"/>
      <c r="V26" s="16"/>
      <c r="W26" s="16"/>
      <c r="X26" s="16"/>
      <c r="Y26" s="16"/>
      <c r="Z26" s="16"/>
      <c r="AA26" s="16"/>
      <c r="AB26" s="16"/>
      <c r="AC26" s="16"/>
      <c r="AD26" s="16" t="s">
        <v>853</v>
      </c>
    </row>
    <row r="27" spans="1:30" ht="13.5" customHeight="1" x14ac:dyDescent="0.3">
      <c r="A27" s="40" t="s">
        <v>388</v>
      </c>
      <c r="B27" s="16">
        <v>0</v>
      </c>
      <c r="C27" s="16">
        <v>0</v>
      </c>
      <c r="D27" s="16">
        <v>0</v>
      </c>
      <c r="E27" s="16">
        <v>0</v>
      </c>
      <c r="F27" s="16">
        <v>0</v>
      </c>
      <c r="G27" s="16">
        <v>0</v>
      </c>
      <c r="H27" s="16">
        <v>0</v>
      </c>
      <c r="I27" s="16">
        <v>0</v>
      </c>
      <c r="J27" s="16">
        <v>0</v>
      </c>
      <c r="K27" s="16">
        <v>0</v>
      </c>
      <c r="L27" s="16"/>
      <c r="M27" s="16"/>
      <c r="N27" s="16"/>
      <c r="O27" s="16"/>
      <c r="P27" s="16"/>
      <c r="Q27" s="16"/>
      <c r="R27" s="16"/>
      <c r="S27" s="16"/>
      <c r="T27" s="16"/>
      <c r="U27" s="16"/>
      <c r="V27" s="16"/>
      <c r="W27" s="16"/>
      <c r="X27" s="16"/>
      <c r="Y27" s="16"/>
      <c r="Z27" s="16"/>
      <c r="AA27" s="16"/>
      <c r="AB27" s="16"/>
      <c r="AC27" s="16"/>
      <c r="AD27" s="16" t="s">
        <v>854</v>
      </c>
    </row>
    <row r="28" spans="1:30" ht="13.5" customHeight="1" x14ac:dyDescent="0.3">
      <c r="A28" s="125" t="s">
        <v>214</v>
      </c>
      <c r="B28" s="16">
        <v>0</v>
      </c>
      <c r="C28" s="16">
        <v>0</v>
      </c>
      <c r="D28" s="16">
        <v>0</v>
      </c>
      <c r="E28" s="16">
        <v>0</v>
      </c>
      <c r="F28" s="16">
        <v>0</v>
      </c>
      <c r="G28" s="16">
        <v>0</v>
      </c>
      <c r="H28" s="16">
        <v>0</v>
      </c>
      <c r="I28" s="16">
        <v>0</v>
      </c>
      <c r="J28" s="16">
        <v>0</v>
      </c>
      <c r="K28" s="16">
        <v>0</v>
      </c>
      <c r="L28" s="16"/>
      <c r="M28" s="16"/>
      <c r="N28" s="16"/>
      <c r="O28" s="16"/>
      <c r="P28" s="16"/>
      <c r="Q28" s="16"/>
      <c r="R28" s="16"/>
      <c r="S28" s="16"/>
      <c r="T28" s="16"/>
      <c r="U28" s="16"/>
      <c r="V28" s="16"/>
      <c r="W28" s="16"/>
      <c r="X28" s="16"/>
      <c r="Y28" s="16"/>
      <c r="Z28" s="16"/>
      <c r="AA28" s="16"/>
      <c r="AB28" s="16"/>
      <c r="AC28" s="16"/>
      <c r="AD28" s="141" t="s">
        <v>820</v>
      </c>
    </row>
    <row r="29" spans="1:30" s="15" customFormat="1" ht="13.5" customHeight="1" x14ac:dyDescent="0.3">
      <c r="A29" s="245" t="s">
        <v>1515</v>
      </c>
      <c r="B29" s="16">
        <v>1</v>
      </c>
      <c r="C29" s="16">
        <v>1</v>
      </c>
      <c r="D29" s="16">
        <v>1</v>
      </c>
      <c r="E29" s="16">
        <v>1</v>
      </c>
      <c r="F29" s="16">
        <v>0</v>
      </c>
      <c r="G29" s="16">
        <v>0</v>
      </c>
      <c r="H29" s="16">
        <v>1</v>
      </c>
      <c r="I29" s="16">
        <v>0</v>
      </c>
      <c r="J29" s="7">
        <v>0</v>
      </c>
      <c r="K29" s="16">
        <v>0</v>
      </c>
      <c r="L29" s="16"/>
      <c r="M29" s="16"/>
      <c r="N29" s="16"/>
      <c r="O29" s="16"/>
      <c r="P29" s="16"/>
      <c r="Q29" s="16"/>
      <c r="R29" s="16"/>
      <c r="S29" s="16"/>
      <c r="T29" s="16"/>
      <c r="U29" s="16"/>
      <c r="V29" s="16"/>
      <c r="W29" s="16"/>
      <c r="X29" s="16"/>
      <c r="Y29" s="16"/>
      <c r="Z29" s="16"/>
      <c r="AA29" s="16"/>
      <c r="AB29" s="16"/>
      <c r="AC29" s="16"/>
      <c r="AD29" s="16" t="s">
        <v>855</v>
      </c>
    </row>
    <row r="30" spans="1:30" s="15" customFormat="1" ht="13.5" customHeight="1" x14ac:dyDescent="0.3">
      <c r="A30" s="426" t="s">
        <v>163</v>
      </c>
      <c r="B30" s="63">
        <v>1</v>
      </c>
      <c r="C30" s="63">
        <v>1</v>
      </c>
      <c r="D30" s="63">
        <v>1</v>
      </c>
      <c r="E30" s="63">
        <v>1</v>
      </c>
      <c r="F30" s="63">
        <v>1</v>
      </c>
      <c r="G30" s="63">
        <v>1</v>
      </c>
      <c r="H30" s="63">
        <v>1</v>
      </c>
      <c r="I30" s="63">
        <v>0</v>
      </c>
      <c r="J30" s="63">
        <v>1</v>
      </c>
      <c r="K30" s="63">
        <v>0</v>
      </c>
      <c r="L30" s="16"/>
      <c r="M30" s="16"/>
      <c r="N30" s="16"/>
      <c r="O30" s="16"/>
      <c r="P30" s="16"/>
      <c r="Q30" s="16"/>
      <c r="R30" s="16"/>
      <c r="S30" s="16"/>
      <c r="T30" s="16"/>
      <c r="U30" s="16"/>
      <c r="V30" s="16"/>
      <c r="W30" s="16"/>
      <c r="X30" s="16"/>
      <c r="Y30" s="16"/>
      <c r="Z30" s="16"/>
      <c r="AA30" s="16"/>
      <c r="AB30" s="16"/>
      <c r="AC30" s="16"/>
      <c r="AD30" s="16"/>
    </row>
    <row r="31" spans="1:30" s="15" customFormat="1" ht="13.5" customHeight="1" x14ac:dyDescent="0.3">
      <c r="A31" s="426" t="s">
        <v>83</v>
      </c>
      <c r="B31" s="63">
        <v>0</v>
      </c>
      <c r="C31" s="63">
        <v>0</v>
      </c>
      <c r="D31" s="63">
        <v>0</v>
      </c>
      <c r="E31" s="63">
        <v>0</v>
      </c>
      <c r="F31" s="63">
        <v>0</v>
      </c>
      <c r="G31" s="63">
        <v>0</v>
      </c>
      <c r="H31" s="63">
        <v>1</v>
      </c>
      <c r="I31" s="63">
        <v>1</v>
      </c>
      <c r="J31" s="63">
        <v>1</v>
      </c>
      <c r="K31" s="63">
        <v>1</v>
      </c>
      <c r="L31" s="16"/>
      <c r="M31" s="16"/>
      <c r="N31" s="16"/>
      <c r="O31" s="16"/>
      <c r="P31" s="16"/>
      <c r="Q31" s="16"/>
      <c r="R31" s="16"/>
      <c r="S31" s="16"/>
      <c r="T31" s="16"/>
      <c r="U31" s="16"/>
      <c r="V31" s="16"/>
      <c r="W31" s="16"/>
      <c r="X31" s="16"/>
      <c r="Y31" s="16"/>
      <c r="Z31" s="16"/>
      <c r="AA31" s="16"/>
      <c r="AB31" s="16"/>
      <c r="AC31" s="16"/>
      <c r="AD31" s="16"/>
    </row>
    <row r="32" spans="1:30" ht="13.5" customHeight="1" x14ac:dyDescent="0.3">
      <c r="A32" s="40" t="s">
        <v>639</v>
      </c>
      <c r="B32" s="16">
        <v>0</v>
      </c>
      <c r="C32" s="16">
        <v>1</v>
      </c>
      <c r="D32" s="16">
        <v>1</v>
      </c>
      <c r="E32" s="16">
        <v>0</v>
      </c>
      <c r="F32" s="16">
        <v>0</v>
      </c>
      <c r="G32" s="16">
        <v>0</v>
      </c>
      <c r="H32" s="7">
        <v>0</v>
      </c>
      <c r="I32" s="7">
        <v>0</v>
      </c>
      <c r="J32" s="7">
        <v>0</v>
      </c>
      <c r="K32" s="7">
        <v>0</v>
      </c>
      <c r="L32" s="16"/>
      <c r="M32" s="16"/>
      <c r="N32" s="16"/>
      <c r="O32" s="16"/>
      <c r="P32" s="16"/>
      <c r="Q32" s="16"/>
      <c r="R32" s="16"/>
      <c r="S32" s="16"/>
      <c r="T32" s="16"/>
      <c r="U32" s="16"/>
      <c r="V32" s="16"/>
      <c r="W32" s="16"/>
      <c r="X32" s="16"/>
      <c r="Y32" s="16"/>
      <c r="Z32" s="16"/>
      <c r="AA32" s="16"/>
      <c r="AB32" s="16"/>
      <c r="AC32" s="16"/>
      <c r="AD32" s="16" t="s">
        <v>856</v>
      </c>
    </row>
    <row r="33" spans="1:30" ht="13.5" customHeight="1" x14ac:dyDescent="0.3">
      <c r="A33" s="40" t="s">
        <v>640</v>
      </c>
      <c r="B33" s="16">
        <v>1</v>
      </c>
      <c r="C33" s="16">
        <v>1</v>
      </c>
      <c r="D33" s="16">
        <v>1</v>
      </c>
      <c r="E33" s="16">
        <v>1</v>
      </c>
      <c r="F33" s="16">
        <v>0</v>
      </c>
      <c r="G33" s="16">
        <v>0</v>
      </c>
      <c r="H33" s="7">
        <v>0</v>
      </c>
      <c r="I33" s="7">
        <v>0</v>
      </c>
      <c r="J33" s="7">
        <v>0</v>
      </c>
      <c r="K33" s="7">
        <v>0</v>
      </c>
      <c r="L33" s="16"/>
      <c r="M33" s="16"/>
      <c r="N33" s="16"/>
      <c r="O33" s="16"/>
      <c r="P33" s="16"/>
      <c r="Q33" s="16"/>
      <c r="R33" s="16"/>
      <c r="S33" s="16"/>
      <c r="T33" s="16"/>
      <c r="U33" s="16"/>
      <c r="V33" s="16"/>
      <c r="W33" s="16"/>
      <c r="X33" s="16"/>
      <c r="Y33" s="16"/>
      <c r="Z33" s="16"/>
      <c r="AA33" s="16"/>
      <c r="AB33" s="16"/>
      <c r="AC33" s="16"/>
      <c r="AD33" s="16" t="s">
        <v>857</v>
      </c>
    </row>
    <row r="34" spans="1:30" ht="13.5" customHeight="1" x14ac:dyDescent="0.3">
      <c r="A34" s="40" t="s">
        <v>641</v>
      </c>
      <c r="B34" s="16">
        <v>0</v>
      </c>
      <c r="C34" s="16">
        <v>1</v>
      </c>
      <c r="D34" s="16">
        <v>1</v>
      </c>
      <c r="E34" s="16">
        <v>0</v>
      </c>
      <c r="F34" s="16">
        <v>0</v>
      </c>
      <c r="G34" s="16">
        <v>0</v>
      </c>
      <c r="H34" s="7">
        <v>0</v>
      </c>
      <c r="I34" s="7">
        <v>0</v>
      </c>
      <c r="J34" s="7">
        <v>0</v>
      </c>
      <c r="K34" s="7">
        <v>0</v>
      </c>
      <c r="L34" s="16"/>
      <c r="M34" s="16"/>
      <c r="N34" s="16"/>
      <c r="O34" s="16"/>
      <c r="P34" s="16"/>
      <c r="Q34" s="16"/>
      <c r="R34" s="16"/>
      <c r="S34" s="16"/>
      <c r="T34" s="16"/>
      <c r="U34" s="16"/>
      <c r="V34" s="16"/>
      <c r="W34" s="16"/>
      <c r="X34" s="16"/>
      <c r="Y34" s="16"/>
      <c r="Z34" s="16"/>
      <c r="AA34" s="16"/>
      <c r="AB34" s="16"/>
      <c r="AC34" s="16"/>
      <c r="AD34" s="16" t="s">
        <v>858</v>
      </c>
    </row>
    <row r="35" spans="1:30" ht="13.5" customHeight="1" x14ac:dyDescent="0.3">
      <c r="A35" s="40" t="s">
        <v>642</v>
      </c>
      <c r="B35" s="16">
        <v>1</v>
      </c>
      <c r="C35" s="16">
        <v>1</v>
      </c>
      <c r="D35" s="16">
        <v>1</v>
      </c>
      <c r="E35" s="16">
        <v>1</v>
      </c>
      <c r="F35" s="16">
        <v>0</v>
      </c>
      <c r="G35" s="16">
        <v>0</v>
      </c>
      <c r="H35" s="7">
        <v>0</v>
      </c>
      <c r="I35" s="7">
        <v>0</v>
      </c>
      <c r="J35" s="7">
        <v>0</v>
      </c>
      <c r="K35" s="7">
        <v>0</v>
      </c>
      <c r="L35" s="16"/>
      <c r="M35" s="16"/>
      <c r="N35" s="16"/>
      <c r="O35" s="16"/>
      <c r="P35" s="16"/>
      <c r="Q35" s="16"/>
      <c r="R35" s="16"/>
      <c r="S35" s="16"/>
      <c r="T35" s="16"/>
      <c r="U35" s="16"/>
      <c r="V35" s="16"/>
      <c r="W35" s="16"/>
      <c r="X35" s="16"/>
      <c r="Y35" s="16"/>
      <c r="Z35" s="16"/>
      <c r="AA35" s="16"/>
      <c r="AB35" s="16"/>
      <c r="AC35" s="16"/>
      <c r="AD35" s="16" t="s">
        <v>859</v>
      </c>
    </row>
    <row r="36" spans="1:30" s="15" customFormat="1" ht="13.5" customHeight="1" x14ac:dyDescent="0.3">
      <c r="A36" s="63" t="s">
        <v>150</v>
      </c>
      <c r="B36" s="16">
        <v>1</v>
      </c>
      <c r="C36" s="16">
        <v>1</v>
      </c>
      <c r="D36" s="16">
        <v>1</v>
      </c>
      <c r="E36" s="16">
        <v>1</v>
      </c>
      <c r="F36" s="16">
        <v>1</v>
      </c>
      <c r="G36" s="16">
        <v>1</v>
      </c>
      <c r="H36" s="7">
        <v>0</v>
      </c>
      <c r="I36" s="7">
        <v>0</v>
      </c>
      <c r="J36" s="7">
        <v>0</v>
      </c>
      <c r="K36" s="7">
        <v>0</v>
      </c>
      <c r="L36" s="16"/>
      <c r="M36" s="16"/>
      <c r="N36" s="16"/>
      <c r="O36" s="16"/>
      <c r="P36" s="16"/>
      <c r="Q36" s="16"/>
      <c r="R36" s="16"/>
      <c r="S36" s="16"/>
      <c r="T36" s="16"/>
      <c r="U36" s="16"/>
      <c r="V36" s="16"/>
      <c r="W36" s="16"/>
      <c r="X36" s="16"/>
      <c r="Y36" s="16"/>
      <c r="Z36" s="16"/>
      <c r="AA36" s="16"/>
      <c r="AB36" s="16"/>
      <c r="AC36" s="16"/>
      <c r="AD36" s="16"/>
    </row>
    <row r="37" spans="1:30" ht="13.5" customHeight="1" x14ac:dyDescent="0.3">
      <c r="A37" s="40" t="s">
        <v>638</v>
      </c>
      <c r="B37" s="16">
        <v>0</v>
      </c>
      <c r="C37" s="16">
        <v>1</v>
      </c>
      <c r="D37" s="16">
        <v>1</v>
      </c>
      <c r="E37" s="16">
        <v>0</v>
      </c>
      <c r="F37" s="16">
        <v>0</v>
      </c>
      <c r="G37" s="16">
        <v>0</v>
      </c>
      <c r="H37" s="7">
        <v>0</v>
      </c>
      <c r="I37" s="7">
        <v>0</v>
      </c>
      <c r="J37" s="7">
        <v>0</v>
      </c>
      <c r="K37" s="7">
        <v>0</v>
      </c>
      <c r="L37" s="16"/>
      <c r="M37" s="16"/>
      <c r="N37" s="16"/>
      <c r="O37" s="16"/>
      <c r="P37" s="16"/>
      <c r="Q37" s="16"/>
      <c r="R37" s="16"/>
      <c r="S37" s="16"/>
      <c r="T37" s="16"/>
      <c r="U37" s="16"/>
      <c r="V37" s="16"/>
      <c r="W37" s="16"/>
      <c r="X37" s="16"/>
      <c r="Y37" s="16"/>
      <c r="Z37" s="16"/>
      <c r="AA37" s="16"/>
      <c r="AB37" s="16"/>
      <c r="AC37" s="16"/>
      <c r="AD37" s="16" t="s">
        <v>860</v>
      </c>
    </row>
    <row r="38" spans="1:30" ht="13.5" customHeight="1" x14ac:dyDescent="0.3">
      <c r="A38" s="40" t="s">
        <v>360</v>
      </c>
      <c r="B38" s="16">
        <v>0</v>
      </c>
      <c r="C38" s="16">
        <v>0</v>
      </c>
      <c r="D38" s="16">
        <v>0</v>
      </c>
      <c r="E38" s="16">
        <v>0</v>
      </c>
      <c r="F38" s="16">
        <v>0</v>
      </c>
      <c r="G38" s="16">
        <v>0</v>
      </c>
      <c r="H38" s="7">
        <v>0</v>
      </c>
      <c r="I38" s="7">
        <v>0</v>
      </c>
      <c r="J38" s="7">
        <v>0</v>
      </c>
      <c r="K38" s="7">
        <v>0</v>
      </c>
      <c r="L38" s="16"/>
      <c r="M38" s="16"/>
      <c r="N38" s="16"/>
      <c r="O38" s="16"/>
      <c r="P38" s="16"/>
      <c r="Q38" s="16"/>
      <c r="R38" s="16"/>
      <c r="S38" s="16"/>
      <c r="T38" s="16"/>
      <c r="U38" s="16"/>
      <c r="V38" s="16"/>
      <c r="W38" s="16"/>
      <c r="X38" s="16"/>
      <c r="Y38" s="16"/>
      <c r="Z38" s="16"/>
      <c r="AA38" s="16"/>
      <c r="AB38" s="16"/>
      <c r="AC38" s="16"/>
      <c r="AD38" s="141" t="s">
        <v>821</v>
      </c>
    </row>
    <row r="39" spans="1:30" ht="13.5" customHeight="1" x14ac:dyDescent="0.3">
      <c r="A39" s="63" t="s">
        <v>389</v>
      </c>
      <c r="B39" s="16">
        <v>1</v>
      </c>
      <c r="C39" s="16">
        <v>0</v>
      </c>
      <c r="D39" s="16">
        <v>0</v>
      </c>
      <c r="E39" s="16">
        <v>1</v>
      </c>
      <c r="F39" s="16">
        <v>1</v>
      </c>
      <c r="G39" s="16">
        <v>1</v>
      </c>
      <c r="H39" s="7">
        <v>1</v>
      </c>
      <c r="I39" s="7">
        <v>1</v>
      </c>
      <c r="J39" s="7">
        <v>1</v>
      </c>
      <c r="K39" s="7">
        <v>1</v>
      </c>
      <c r="L39" s="16"/>
      <c r="M39" s="16"/>
      <c r="N39" s="16"/>
      <c r="O39" s="16"/>
      <c r="P39" s="16"/>
      <c r="Q39" s="16"/>
      <c r="R39" s="16"/>
      <c r="S39" s="16"/>
      <c r="T39" s="16"/>
      <c r="U39" s="16"/>
      <c r="V39" s="16"/>
      <c r="W39" s="16"/>
      <c r="X39" s="16"/>
      <c r="Y39" s="16"/>
      <c r="Z39" s="16"/>
      <c r="AA39" s="16"/>
      <c r="AB39" s="16"/>
      <c r="AC39" s="16"/>
      <c r="AD39" s="141" t="s">
        <v>814</v>
      </c>
    </row>
    <row r="40" spans="1:30" s="15" customFormat="1" ht="13.5" customHeight="1" x14ac:dyDescent="0.3">
      <c r="A40" s="63" t="s">
        <v>669</v>
      </c>
      <c r="B40" s="16">
        <v>0</v>
      </c>
      <c r="C40" s="16">
        <v>0</v>
      </c>
      <c r="D40" s="16">
        <v>0</v>
      </c>
      <c r="E40" s="16">
        <v>0</v>
      </c>
      <c r="F40" s="16">
        <v>0</v>
      </c>
      <c r="G40" s="7">
        <v>0</v>
      </c>
      <c r="H40" s="16">
        <v>0</v>
      </c>
      <c r="I40" s="16">
        <v>0</v>
      </c>
      <c r="J40" s="16">
        <v>0</v>
      </c>
      <c r="K40" s="16">
        <v>0</v>
      </c>
      <c r="L40" s="16"/>
      <c r="M40" s="16"/>
      <c r="N40" s="16"/>
      <c r="O40" s="16"/>
      <c r="P40" s="16"/>
      <c r="Q40" s="16"/>
      <c r="R40" s="16"/>
      <c r="S40" s="16"/>
      <c r="T40" s="16"/>
      <c r="U40" s="16"/>
      <c r="V40" s="16"/>
      <c r="W40" s="16"/>
      <c r="X40" s="16"/>
      <c r="Y40" s="16"/>
      <c r="Z40" s="16"/>
      <c r="AA40" s="16"/>
      <c r="AB40" s="16"/>
      <c r="AC40" s="16"/>
      <c r="AD40" s="141" t="s">
        <v>815</v>
      </c>
    </row>
    <row r="41" spans="1:30" ht="13.5" customHeight="1" x14ac:dyDescent="0.3">
      <c r="A41" s="40" t="s">
        <v>75</v>
      </c>
      <c r="B41" s="16">
        <v>1</v>
      </c>
      <c r="C41" s="16">
        <v>1</v>
      </c>
      <c r="D41" s="16">
        <v>1</v>
      </c>
      <c r="E41" s="16">
        <v>1</v>
      </c>
      <c r="F41" s="16">
        <v>0</v>
      </c>
      <c r="G41" s="16">
        <v>0</v>
      </c>
      <c r="H41" s="16">
        <v>0</v>
      </c>
      <c r="I41" s="16">
        <v>0</v>
      </c>
      <c r="J41" s="7">
        <v>0</v>
      </c>
      <c r="K41" s="16">
        <v>0</v>
      </c>
      <c r="L41" s="16"/>
      <c r="M41" s="16"/>
      <c r="N41" s="16"/>
      <c r="O41" s="16"/>
      <c r="P41" s="16"/>
      <c r="Q41" s="16"/>
      <c r="R41" s="16"/>
      <c r="S41" s="16"/>
      <c r="T41" s="16"/>
      <c r="U41" s="16"/>
      <c r="V41" s="16"/>
      <c r="W41" s="16"/>
      <c r="X41" s="16"/>
      <c r="Y41" s="16"/>
      <c r="Z41" s="16"/>
      <c r="AA41" s="16"/>
      <c r="AB41" s="16"/>
      <c r="AC41" s="16"/>
      <c r="AD41" s="16" t="s">
        <v>861</v>
      </c>
    </row>
    <row r="42" spans="1:30" ht="13.5" customHeight="1" x14ac:dyDescent="0.3">
      <c r="A42" s="40" t="s">
        <v>133</v>
      </c>
      <c r="B42" s="16">
        <v>0</v>
      </c>
      <c r="C42" s="16">
        <v>0</v>
      </c>
      <c r="D42" s="16">
        <v>0</v>
      </c>
      <c r="E42" s="16">
        <v>0</v>
      </c>
      <c r="F42" s="16">
        <v>0</v>
      </c>
      <c r="G42" s="16">
        <v>0</v>
      </c>
      <c r="H42" s="16">
        <v>0</v>
      </c>
      <c r="I42" s="16">
        <v>0</v>
      </c>
      <c r="J42" s="7">
        <v>0</v>
      </c>
      <c r="K42" s="16">
        <v>0</v>
      </c>
      <c r="L42" s="16"/>
      <c r="M42" s="16"/>
      <c r="N42" s="16"/>
      <c r="O42" s="16"/>
      <c r="P42" s="16"/>
      <c r="Q42" s="16"/>
      <c r="R42" s="16"/>
      <c r="S42" s="16"/>
      <c r="T42" s="16"/>
      <c r="U42" s="16"/>
      <c r="V42" s="16"/>
      <c r="W42" s="16"/>
      <c r="X42" s="16"/>
      <c r="Y42" s="16"/>
      <c r="Z42" s="16"/>
      <c r="AA42" s="16"/>
      <c r="AB42" s="16"/>
      <c r="AC42" s="16"/>
      <c r="AD42" s="16" t="s">
        <v>862</v>
      </c>
    </row>
    <row r="43" spans="1:30" ht="13.5" customHeight="1" x14ac:dyDescent="0.3">
      <c r="A43" s="40" t="s">
        <v>643</v>
      </c>
      <c r="B43" s="16">
        <v>1</v>
      </c>
      <c r="C43" s="16">
        <v>1</v>
      </c>
      <c r="D43" s="16">
        <v>1</v>
      </c>
      <c r="E43" s="16">
        <v>1</v>
      </c>
      <c r="F43" s="16">
        <v>0</v>
      </c>
      <c r="G43" s="16">
        <v>0</v>
      </c>
      <c r="H43" s="16">
        <v>1</v>
      </c>
      <c r="I43" s="16">
        <v>0</v>
      </c>
      <c r="J43" s="7">
        <v>1</v>
      </c>
      <c r="K43" s="16">
        <v>0</v>
      </c>
      <c r="L43" s="16"/>
      <c r="M43" s="16"/>
      <c r="N43" s="16"/>
      <c r="O43" s="16"/>
      <c r="P43" s="16"/>
      <c r="Q43" s="16"/>
      <c r="R43" s="16"/>
      <c r="S43" s="16"/>
      <c r="T43" s="16"/>
      <c r="U43" s="16"/>
      <c r="V43" s="16"/>
      <c r="W43" s="16"/>
      <c r="X43" s="16"/>
      <c r="Y43" s="16"/>
      <c r="Z43" s="16"/>
      <c r="AA43" s="16"/>
      <c r="AB43" s="16"/>
      <c r="AC43" s="16"/>
      <c r="AD43" s="16" t="s">
        <v>863</v>
      </c>
    </row>
    <row r="44" spans="1:30" ht="13.5" customHeight="1" x14ac:dyDescent="0.3">
      <c r="A44" s="40" t="s">
        <v>644</v>
      </c>
      <c r="B44" s="16">
        <v>1</v>
      </c>
      <c r="C44" s="16">
        <v>1</v>
      </c>
      <c r="D44" s="16">
        <v>1</v>
      </c>
      <c r="E44" s="16">
        <v>1</v>
      </c>
      <c r="F44" s="16">
        <v>0</v>
      </c>
      <c r="G44" s="16">
        <v>1</v>
      </c>
      <c r="H44" s="16">
        <v>1</v>
      </c>
      <c r="I44" s="16">
        <v>0</v>
      </c>
      <c r="J44" s="7">
        <v>0</v>
      </c>
      <c r="K44" s="16">
        <v>0</v>
      </c>
      <c r="L44" s="16"/>
      <c r="M44" s="16"/>
      <c r="N44" s="16"/>
      <c r="O44" s="16"/>
      <c r="P44" s="16"/>
      <c r="Q44" s="16"/>
      <c r="R44" s="16"/>
      <c r="S44" s="16"/>
      <c r="T44" s="16"/>
      <c r="U44" s="16"/>
      <c r="V44" s="16"/>
      <c r="W44" s="16"/>
      <c r="X44" s="16"/>
      <c r="Y44" s="16"/>
      <c r="Z44" s="16"/>
      <c r="AA44" s="16"/>
      <c r="AB44" s="16"/>
      <c r="AC44" s="16"/>
      <c r="AD44" s="16" t="s">
        <v>864</v>
      </c>
    </row>
    <row r="45" spans="1:30" ht="13.5" customHeight="1" x14ac:dyDescent="0.3">
      <c r="A45" s="40" t="s">
        <v>390</v>
      </c>
      <c r="B45" s="16">
        <v>0</v>
      </c>
      <c r="C45" s="16">
        <v>0</v>
      </c>
      <c r="D45" s="16">
        <v>0</v>
      </c>
      <c r="E45" s="16">
        <v>0</v>
      </c>
      <c r="F45" s="16">
        <v>0</v>
      </c>
      <c r="G45" s="7">
        <v>0</v>
      </c>
      <c r="H45" s="16">
        <v>0</v>
      </c>
      <c r="I45" s="16">
        <v>0</v>
      </c>
      <c r="J45" s="16">
        <v>0</v>
      </c>
      <c r="K45" s="16">
        <v>0</v>
      </c>
      <c r="L45" s="16"/>
      <c r="M45" s="16"/>
      <c r="N45" s="16"/>
      <c r="O45" s="16"/>
      <c r="P45" s="16"/>
      <c r="Q45" s="16"/>
      <c r="R45" s="16"/>
      <c r="S45" s="16"/>
      <c r="T45" s="16"/>
      <c r="U45" s="16"/>
      <c r="V45" s="16"/>
      <c r="W45" s="16"/>
      <c r="X45" s="16"/>
      <c r="Y45" s="16"/>
      <c r="Z45" s="16"/>
      <c r="AA45" s="16"/>
      <c r="AB45" s="16"/>
      <c r="AC45" s="16"/>
      <c r="AD45" s="141" t="s">
        <v>822</v>
      </c>
    </row>
    <row r="46" spans="1:30" ht="13.5" customHeight="1" x14ac:dyDescent="0.3">
      <c r="A46" s="40" t="s">
        <v>645</v>
      </c>
      <c r="B46" s="16">
        <v>1</v>
      </c>
      <c r="C46" s="16">
        <v>1</v>
      </c>
      <c r="D46" s="16">
        <v>1</v>
      </c>
      <c r="E46" s="16">
        <v>1</v>
      </c>
      <c r="F46" s="16">
        <v>0</v>
      </c>
      <c r="G46" s="7">
        <v>0</v>
      </c>
      <c r="H46" s="7">
        <v>1</v>
      </c>
      <c r="I46" s="7">
        <v>0</v>
      </c>
      <c r="J46" s="7">
        <v>0</v>
      </c>
      <c r="K46" s="16">
        <v>0</v>
      </c>
      <c r="L46" s="16"/>
      <c r="M46" s="16"/>
      <c r="N46" s="16"/>
      <c r="O46" s="16"/>
      <c r="P46" s="16"/>
      <c r="Q46" s="16"/>
      <c r="R46" s="16"/>
      <c r="S46" s="16"/>
      <c r="T46" s="16"/>
      <c r="U46" s="16"/>
      <c r="V46" s="16"/>
      <c r="W46" s="16"/>
      <c r="X46" s="16"/>
      <c r="Y46" s="16"/>
      <c r="Z46" s="16"/>
      <c r="AA46" s="16"/>
      <c r="AB46" s="16"/>
      <c r="AC46" s="16"/>
      <c r="AD46" s="16" t="s">
        <v>865</v>
      </c>
    </row>
    <row r="47" spans="1:30" ht="13.5" customHeight="1" x14ac:dyDescent="0.3">
      <c r="A47" s="40" t="s">
        <v>646</v>
      </c>
      <c r="B47" s="16">
        <v>1</v>
      </c>
      <c r="C47" s="16">
        <v>1</v>
      </c>
      <c r="D47" s="16">
        <v>1</v>
      </c>
      <c r="E47" s="16">
        <v>1</v>
      </c>
      <c r="F47" s="16">
        <v>0</v>
      </c>
      <c r="G47" s="7">
        <v>0</v>
      </c>
      <c r="H47" s="7">
        <v>1</v>
      </c>
      <c r="I47" s="7">
        <v>0</v>
      </c>
      <c r="J47" s="7">
        <v>0</v>
      </c>
      <c r="K47" s="16">
        <v>0</v>
      </c>
      <c r="L47" s="16"/>
      <c r="M47" s="16"/>
      <c r="N47" s="16"/>
      <c r="O47" s="16"/>
      <c r="P47" s="16"/>
      <c r="Q47" s="16"/>
      <c r="R47" s="16"/>
      <c r="S47" s="16"/>
      <c r="T47" s="16"/>
      <c r="U47" s="16"/>
      <c r="V47" s="16"/>
      <c r="W47" s="16"/>
      <c r="X47" s="16"/>
      <c r="Y47" s="16"/>
      <c r="Z47" s="16"/>
      <c r="AA47" s="16"/>
      <c r="AB47" s="16"/>
      <c r="AC47" s="16"/>
      <c r="AD47" s="16" t="s">
        <v>866</v>
      </c>
    </row>
    <row r="48" spans="1:30" ht="13.5" customHeight="1" x14ac:dyDescent="0.3">
      <c r="A48" s="40" t="s">
        <v>205</v>
      </c>
      <c r="B48" s="16">
        <v>0</v>
      </c>
      <c r="C48" s="16">
        <v>0</v>
      </c>
      <c r="D48" s="16">
        <v>0</v>
      </c>
      <c r="E48" s="16">
        <v>0</v>
      </c>
      <c r="F48" s="16">
        <v>0</v>
      </c>
      <c r="G48" s="7">
        <v>0</v>
      </c>
      <c r="H48" s="7">
        <v>0</v>
      </c>
      <c r="I48" s="7">
        <v>0</v>
      </c>
      <c r="J48" s="7">
        <v>0</v>
      </c>
      <c r="K48" s="16">
        <v>0</v>
      </c>
      <c r="L48" s="16"/>
      <c r="M48" s="16"/>
      <c r="N48" s="16"/>
      <c r="O48" s="16"/>
      <c r="P48" s="16"/>
      <c r="Q48" s="16"/>
      <c r="R48" s="16"/>
      <c r="S48" s="16"/>
      <c r="T48" s="16"/>
      <c r="U48" s="16"/>
      <c r="V48" s="16"/>
      <c r="W48" s="16"/>
      <c r="X48" s="16"/>
      <c r="Y48" s="16"/>
      <c r="Z48" s="16"/>
      <c r="AA48" s="16"/>
      <c r="AB48" s="16"/>
      <c r="AC48" s="16"/>
      <c r="AD48" s="141" t="s">
        <v>823</v>
      </c>
    </row>
    <row r="49" spans="1:30" ht="13.5" customHeight="1" x14ac:dyDescent="0.3">
      <c r="A49" s="40" t="s">
        <v>91</v>
      </c>
      <c r="B49" s="16">
        <v>0</v>
      </c>
      <c r="C49" s="16">
        <v>1</v>
      </c>
      <c r="D49" s="16">
        <v>1</v>
      </c>
      <c r="E49" s="16">
        <v>0</v>
      </c>
      <c r="F49" s="16">
        <v>0</v>
      </c>
      <c r="G49" s="16">
        <v>0</v>
      </c>
      <c r="H49" s="7">
        <v>0</v>
      </c>
      <c r="I49" s="7">
        <v>0</v>
      </c>
      <c r="J49" s="7">
        <v>0</v>
      </c>
      <c r="K49" s="16">
        <v>0</v>
      </c>
      <c r="L49" s="16"/>
      <c r="M49" s="16"/>
      <c r="N49" s="16"/>
      <c r="O49" s="16"/>
      <c r="P49" s="16"/>
      <c r="Q49" s="16"/>
      <c r="R49" s="16"/>
      <c r="S49" s="16"/>
      <c r="T49" s="16"/>
      <c r="U49" s="16"/>
      <c r="V49" s="16"/>
      <c r="W49" s="16"/>
      <c r="X49" s="16"/>
      <c r="Y49" s="16"/>
      <c r="Z49" s="16"/>
      <c r="AA49" s="16"/>
      <c r="AB49" s="16"/>
      <c r="AC49" s="16"/>
      <c r="AD49" s="16" t="s">
        <v>867</v>
      </c>
    </row>
    <row r="50" spans="1:30" s="15" customFormat="1" ht="13.5" customHeight="1" x14ac:dyDescent="0.3">
      <c r="A50" s="63" t="s">
        <v>808</v>
      </c>
      <c r="B50" s="16">
        <v>0</v>
      </c>
      <c r="C50" s="16">
        <v>0</v>
      </c>
      <c r="D50" s="16">
        <v>0</v>
      </c>
      <c r="E50" s="16">
        <v>1</v>
      </c>
      <c r="F50" s="16">
        <v>1</v>
      </c>
      <c r="G50" s="16">
        <v>0</v>
      </c>
      <c r="H50" s="7">
        <v>1</v>
      </c>
      <c r="I50" s="7">
        <v>1</v>
      </c>
      <c r="J50" s="7">
        <v>1</v>
      </c>
      <c r="K50" s="16">
        <v>1</v>
      </c>
      <c r="L50" s="16"/>
      <c r="M50" s="16"/>
      <c r="N50" s="16"/>
      <c r="O50" s="16"/>
      <c r="P50" s="16"/>
      <c r="Q50" s="16"/>
      <c r="R50" s="16"/>
      <c r="S50" s="16"/>
      <c r="T50" s="16"/>
      <c r="U50" s="16"/>
      <c r="V50" s="16"/>
      <c r="W50" s="16"/>
      <c r="X50" s="16"/>
      <c r="Y50" s="16"/>
      <c r="Z50" s="16"/>
      <c r="AA50" s="16"/>
      <c r="AB50" s="16"/>
      <c r="AC50" s="16"/>
      <c r="AD50" s="142" t="s">
        <v>813</v>
      </c>
    </row>
    <row r="51" spans="1:30" ht="13.5" customHeight="1" x14ac:dyDescent="0.3">
      <c r="A51" s="40" t="s">
        <v>648</v>
      </c>
      <c r="B51" s="16">
        <v>1</v>
      </c>
      <c r="C51" s="16">
        <v>1</v>
      </c>
      <c r="D51" s="16">
        <v>1</v>
      </c>
      <c r="E51" s="16">
        <v>1</v>
      </c>
      <c r="F51" s="16">
        <v>0</v>
      </c>
      <c r="G51" s="16">
        <v>0</v>
      </c>
      <c r="H51" s="7">
        <v>1</v>
      </c>
      <c r="I51" s="7">
        <v>0</v>
      </c>
      <c r="J51" s="7">
        <v>0</v>
      </c>
      <c r="K51" s="16">
        <v>0</v>
      </c>
      <c r="L51" s="16"/>
      <c r="M51" s="16"/>
      <c r="N51" s="16"/>
      <c r="O51" s="16"/>
      <c r="P51" s="16"/>
      <c r="Q51" s="16"/>
      <c r="R51" s="16"/>
      <c r="S51" s="16"/>
      <c r="T51" s="16"/>
      <c r="U51" s="16"/>
      <c r="V51" s="16"/>
      <c r="W51" s="16"/>
      <c r="X51" s="16"/>
      <c r="Y51" s="16"/>
      <c r="Z51" s="16"/>
      <c r="AA51" s="16"/>
      <c r="AB51" s="16"/>
      <c r="AC51" s="16"/>
      <c r="AD51" s="16" t="s">
        <v>868</v>
      </c>
    </row>
    <row r="52" spans="1:30" ht="13.5" customHeight="1" x14ac:dyDescent="0.3">
      <c r="A52" s="40" t="s">
        <v>100</v>
      </c>
      <c r="B52" s="16">
        <v>0</v>
      </c>
      <c r="C52" s="16">
        <v>1</v>
      </c>
      <c r="D52" s="16">
        <v>0</v>
      </c>
      <c r="E52" s="16">
        <v>0</v>
      </c>
      <c r="F52" s="16">
        <v>0</v>
      </c>
      <c r="G52" s="16">
        <v>0</v>
      </c>
      <c r="H52" s="7">
        <v>1</v>
      </c>
      <c r="I52" s="7">
        <v>0</v>
      </c>
      <c r="J52" s="7">
        <v>0</v>
      </c>
      <c r="K52" s="16">
        <v>0</v>
      </c>
      <c r="L52" s="16"/>
      <c r="M52" s="16"/>
      <c r="N52" s="16"/>
      <c r="O52" s="16"/>
      <c r="P52" s="16"/>
      <c r="Q52" s="16"/>
      <c r="R52" s="16"/>
      <c r="S52" s="16"/>
      <c r="T52" s="16"/>
      <c r="U52" s="16"/>
      <c r="V52" s="16"/>
      <c r="W52" s="16"/>
      <c r="X52" s="16"/>
      <c r="Y52" s="16"/>
      <c r="Z52" s="16"/>
      <c r="AA52" s="16"/>
      <c r="AB52" s="16"/>
      <c r="AC52" s="16"/>
      <c r="AD52" s="16" t="s">
        <v>869</v>
      </c>
    </row>
    <row r="53" spans="1:30" ht="13.5" customHeight="1" x14ac:dyDescent="0.3">
      <c r="A53" s="40" t="s">
        <v>119</v>
      </c>
      <c r="B53" s="16">
        <v>1</v>
      </c>
      <c r="C53" s="16">
        <v>0</v>
      </c>
      <c r="D53" s="16">
        <v>0</v>
      </c>
      <c r="E53" s="16">
        <v>1</v>
      </c>
      <c r="F53" s="16">
        <v>1</v>
      </c>
      <c r="G53" s="16">
        <v>0</v>
      </c>
      <c r="H53" s="7">
        <v>0</v>
      </c>
      <c r="I53" s="7">
        <v>0</v>
      </c>
      <c r="J53" s="7">
        <v>0</v>
      </c>
      <c r="K53" s="16">
        <v>0</v>
      </c>
      <c r="L53" s="16"/>
      <c r="M53" s="16"/>
      <c r="N53" s="16"/>
      <c r="O53" s="16"/>
      <c r="P53" s="16"/>
      <c r="Q53" s="16"/>
      <c r="R53" s="16"/>
      <c r="S53" s="16"/>
      <c r="T53" s="16"/>
      <c r="U53" s="16"/>
      <c r="V53" s="16"/>
      <c r="W53" s="16"/>
      <c r="X53" s="16"/>
      <c r="Y53" s="16"/>
      <c r="Z53" s="16"/>
      <c r="AA53" s="16"/>
      <c r="AB53" s="16"/>
      <c r="AC53" s="16"/>
      <c r="AD53" s="16" t="s">
        <v>870</v>
      </c>
    </row>
    <row r="54" spans="1:30" ht="13.5" customHeight="1" x14ac:dyDescent="0.3">
      <c r="A54" s="40" t="s">
        <v>122</v>
      </c>
      <c r="B54" s="16">
        <v>1</v>
      </c>
      <c r="C54" s="16">
        <v>0</v>
      </c>
      <c r="D54" s="16">
        <v>0</v>
      </c>
      <c r="E54" s="16">
        <v>1</v>
      </c>
      <c r="F54" s="16">
        <v>1</v>
      </c>
      <c r="G54" s="16">
        <v>0</v>
      </c>
      <c r="H54" s="7">
        <v>0</v>
      </c>
      <c r="I54" s="7">
        <v>0</v>
      </c>
      <c r="J54" s="7">
        <v>0</v>
      </c>
      <c r="K54" s="16">
        <v>0</v>
      </c>
      <c r="L54" s="16"/>
      <c r="M54" s="16"/>
      <c r="N54" s="16"/>
      <c r="O54" s="16"/>
      <c r="P54" s="16"/>
      <c r="Q54" s="16"/>
      <c r="R54" s="16"/>
      <c r="S54" s="16"/>
      <c r="T54" s="16"/>
      <c r="U54" s="16"/>
      <c r="V54" s="16"/>
      <c r="W54" s="16"/>
      <c r="X54" s="16"/>
      <c r="Y54" s="16"/>
      <c r="Z54" s="16"/>
      <c r="AA54" s="16"/>
      <c r="AB54" s="16"/>
      <c r="AC54" s="16"/>
      <c r="AD54" s="16" t="s">
        <v>870</v>
      </c>
    </row>
    <row r="55" spans="1:30" s="15" customFormat="1" ht="13.5" customHeight="1" x14ac:dyDescent="0.3">
      <c r="A55" s="63" t="s">
        <v>157</v>
      </c>
      <c r="B55" s="63">
        <v>1</v>
      </c>
      <c r="C55" s="63">
        <v>1</v>
      </c>
      <c r="D55" s="63">
        <v>1</v>
      </c>
      <c r="E55" s="63">
        <v>1</v>
      </c>
      <c r="F55" s="63">
        <v>1</v>
      </c>
      <c r="G55" s="63">
        <v>1</v>
      </c>
      <c r="H55" s="63">
        <v>1</v>
      </c>
      <c r="I55" s="63">
        <v>1</v>
      </c>
      <c r="J55" s="63">
        <v>0</v>
      </c>
      <c r="K55" s="63">
        <v>0</v>
      </c>
      <c r="L55" s="16"/>
      <c r="M55" s="16"/>
      <c r="N55" s="16"/>
      <c r="O55" s="16"/>
      <c r="P55" s="16"/>
      <c r="Q55" s="16"/>
      <c r="R55" s="16"/>
      <c r="S55" s="16"/>
      <c r="T55" s="16"/>
      <c r="U55" s="16"/>
      <c r="V55" s="16"/>
      <c r="W55" s="16"/>
      <c r="X55" s="16"/>
      <c r="Y55" s="16"/>
      <c r="Z55" s="16"/>
      <c r="AA55" s="16"/>
      <c r="AB55" s="16"/>
      <c r="AC55" s="16"/>
      <c r="AD55" s="16"/>
    </row>
    <row r="56" spans="1:30" s="15" customFormat="1" ht="13.5" customHeight="1" x14ac:dyDescent="0.3">
      <c r="A56" s="63" t="s">
        <v>257</v>
      </c>
      <c r="B56" s="63">
        <v>1</v>
      </c>
      <c r="C56" s="63">
        <v>1</v>
      </c>
      <c r="D56" s="63">
        <v>1</v>
      </c>
      <c r="E56" s="63">
        <v>1</v>
      </c>
      <c r="F56" s="63">
        <v>1</v>
      </c>
      <c r="G56" s="63">
        <v>0</v>
      </c>
      <c r="H56" s="63">
        <v>0</v>
      </c>
      <c r="I56" s="63">
        <v>0</v>
      </c>
      <c r="J56" s="63">
        <v>0</v>
      </c>
      <c r="K56" s="63">
        <v>0</v>
      </c>
      <c r="L56" s="16"/>
      <c r="M56" s="16"/>
      <c r="N56" s="16"/>
      <c r="O56" s="16"/>
      <c r="P56" s="16"/>
      <c r="Q56" s="16"/>
      <c r="R56" s="16"/>
      <c r="S56" s="16"/>
      <c r="T56" s="16"/>
      <c r="U56" s="16"/>
      <c r="V56" s="16"/>
      <c r="W56" s="16"/>
      <c r="X56" s="16"/>
      <c r="Y56" s="16"/>
      <c r="Z56" s="16"/>
      <c r="AA56" s="16"/>
      <c r="AB56" s="16"/>
      <c r="AC56" s="16"/>
      <c r="AD56" s="16"/>
    </row>
    <row r="57" spans="1:30" ht="13.5" customHeight="1" x14ac:dyDescent="0.3">
      <c r="A57" s="40" t="s">
        <v>253</v>
      </c>
      <c r="B57" s="16">
        <v>1</v>
      </c>
      <c r="C57" s="16">
        <v>1</v>
      </c>
      <c r="D57" s="16">
        <v>1</v>
      </c>
      <c r="E57" s="16">
        <v>1</v>
      </c>
      <c r="F57" s="16">
        <v>1</v>
      </c>
      <c r="G57" s="16">
        <v>0</v>
      </c>
      <c r="H57" s="7">
        <v>1</v>
      </c>
      <c r="I57" s="7">
        <v>1</v>
      </c>
      <c r="J57" s="7">
        <v>1</v>
      </c>
      <c r="K57" s="16">
        <v>1</v>
      </c>
      <c r="L57" s="16"/>
      <c r="M57" s="16"/>
      <c r="N57" s="16"/>
      <c r="O57" s="16"/>
      <c r="P57" s="16"/>
      <c r="Q57" s="16"/>
      <c r="R57" s="16"/>
      <c r="S57" s="16"/>
      <c r="T57" s="16"/>
      <c r="U57" s="16"/>
      <c r="V57" s="16"/>
      <c r="W57" s="16"/>
      <c r="X57" s="16"/>
      <c r="Y57" s="16"/>
      <c r="Z57" s="16"/>
      <c r="AA57" s="16"/>
      <c r="AB57" s="16"/>
      <c r="AC57" s="16"/>
      <c r="AD57" s="141" t="s">
        <v>824</v>
      </c>
    </row>
    <row r="58" spans="1:30" ht="13.5" customHeight="1" x14ac:dyDescent="0.3">
      <c r="A58" s="40" t="s">
        <v>649</v>
      </c>
      <c r="B58" s="16">
        <v>1</v>
      </c>
      <c r="C58" s="16">
        <v>1</v>
      </c>
      <c r="D58" s="16">
        <v>1</v>
      </c>
      <c r="E58" s="16">
        <v>1</v>
      </c>
      <c r="F58" s="16">
        <v>0</v>
      </c>
      <c r="G58" s="16">
        <v>0</v>
      </c>
      <c r="H58" s="7">
        <v>0</v>
      </c>
      <c r="I58" s="7">
        <v>0</v>
      </c>
      <c r="J58" s="7">
        <v>0</v>
      </c>
      <c r="K58" s="16">
        <v>0</v>
      </c>
      <c r="L58" s="16"/>
      <c r="M58" s="16"/>
      <c r="N58" s="16"/>
      <c r="O58" s="16"/>
      <c r="P58" s="16"/>
      <c r="Q58" s="16"/>
      <c r="R58" s="16"/>
      <c r="S58" s="16"/>
      <c r="T58" s="16"/>
      <c r="U58" s="16"/>
      <c r="V58" s="16"/>
      <c r="W58" s="16"/>
      <c r="X58" s="16"/>
      <c r="Y58" s="16"/>
      <c r="Z58" s="16"/>
      <c r="AA58" s="16"/>
      <c r="AB58" s="16"/>
      <c r="AC58" s="16"/>
      <c r="AD58" s="16" t="s">
        <v>871</v>
      </c>
    </row>
    <row r="59" spans="1:30" ht="13.5" customHeight="1" x14ac:dyDescent="0.3">
      <c r="A59" s="245" t="s">
        <v>650</v>
      </c>
      <c r="B59" s="16">
        <v>1</v>
      </c>
      <c r="C59" s="16">
        <v>1</v>
      </c>
      <c r="D59" s="16">
        <v>1</v>
      </c>
      <c r="E59" s="16">
        <v>1</v>
      </c>
      <c r="F59" s="16">
        <v>0</v>
      </c>
      <c r="G59" s="16">
        <v>1</v>
      </c>
      <c r="H59" s="7">
        <v>1</v>
      </c>
      <c r="I59" s="7">
        <v>0</v>
      </c>
      <c r="J59" s="7">
        <v>0</v>
      </c>
      <c r="K59" s="16">
        <v>0</v>
      </c>
      <c r="L59" s="16"/>
      <c r="M59" s="16"/>
      <c r="N59" s="16"/>
      <c r="O59" s="16"/>
      <c r="P59" s="16"/>
      <c r="Q59" s="16"/>
      <c r="R59" s="16"/>
      <c r="S59" s="16"/>
      <c r="T59" s="16"/>
      <c r="U59" s="16"/>
      <c r="V59" s="16"/>
      <c r="W59" s="16"/>
      <c r="X59" s="16"/>
      <c r="Y59" s="16"/>
      <c r="Z59" s="16"/>
      <c r="AA59" s="16"/>
      <c r="AB59" s="16"/>
      <c r="AC59" s="16"/>
      <c r="AD59" s="16" t="s">
        <v>872</v>
      </c>
    </row>
    <row r="60" spans="1:30" ht="13.5" customHeight="1" x14ac:dyDescent="0.3">
      <c r="A60" s="40" t="s">
        <v>144</v>
      </c>
      <c r="B60" s="16">
        <v>1</v>
      </c>
      <c r="C60" s="16">
        <v>1</v>
      </c>
      <c r="D60" s="16">
        <v>1</v>
      </c>
      <c r="E60" s="16">
        <v>1</v>
      </c>
      <c r="F60" s="16">
        <v>0</v>
      </c>
      <c r="G60" s="16">
        <v>0</v>
      </c>
      <c r="H60" s="7">
        <v>1</v>
      </c>
      <c r="I60" s="7">
        <v>1</v>
      </c>
      <c r="J60" s="7">
        <v>0</v>
      </c>
      <c r="K60" s="16">
        <v>0</v>
      </c>
      <c r="L60" s="16"/>
      <c r="M60" s="16"/>
      <c r="N60" s="16"/>
      <c r="O60" s="16"/>
      <c r="P60" s="16"/>
      <c r="Q60" s="16"/>
      <c r="R60" s="16"/>
      <c r="S60" s="16"/>
      <c r="T60" s="16"/>
      <c r="U60" s="16"/>
      <c r="V60" s="16"/>
      <c r="W60" s="16"/>
      <c r="X60" s="16"/>
      <c r="Y60" s="16"/>
      <c r="Z60" s="16"/>
      <c r="AA60" s="16"/>
      <c r="AB60" s="16"/>
      <c r="AC60" s="16"/>
      <c r="AD60" s="16" t="s">
        <v>873</v>
      </c>
    </row>
    <row r="61" spans="1:30" s="15" customFormat="1" ht="13.5" customHeight="1" x14ac:dyDescent="0.3">
      <c r="A61" s="18" t="s">
        <v>615</v>
      </c>
      <c r="B61" s="18"/>
      <c r="C61" s="18"/>
      <c r="D61" s="18"/>
      <c r="E61" s="18"/>
      <c r="F61" s="18"/>
      <c r="G61" s="18"/>
      <c r="H61" s="18"/>
      <c r="I61" s="18"/>
      <c r="J61" s="18"/>
      <c r="K61" s="18"/>
      <c r="L61" s="18"/>
      <c r="M61" s="18"/>
      <c r="N61" s="18"/>
      <c r="O61" s="18"/>
      <c r="P61" s="18"/>
      <c r="Q61" s="18"/>
      <c r="R61" s="18"/>
      <c r="S61" s="18"/>
      <c r="T61" s="18"/>
      <c r="U61" s="18"/>
      <c r="V61" s="18"/>
      <c r="W61" s="18"/>
      <c r="X61" s="18"/>
      <c r="Y61" s="18"/>
      <c r="Z61" s="18"/>
      <c r="AA61" s="18"/>
      <c r="AB61" s="18"/>
      <c r="AC61" s="18"/>
      <c r="AD61" s="18"/>
    </row>
    <row r="62" spans="1:30" s="15" customFormat="1" ht="13.5" customHeight="1" x14ac:dyDescent="0.3">
      <c r="A62" s="16" t="s">
        <v>613</v>
      </c>
      <c r="B62" s="7">
        <v>1</v>
      </c>
      <c r="C62" s="7">
        <v>1</v>
      </c>
      <c r="D62" s="7">
        <v>1</v>
      </c>
      <c r="E62" s="7">
        <v>1</v>
      </c>
      <c r="F62" s="7">
        <v>1</v>
      </c>
      <c r="G62" s="7">
        <v>0</v>
      </c>
      <c r="H62" s="16">
        <v>1</v>
      </c>
      <c r="I62" s="16">
        <v>1</v>
      </c>
      <c r="J62" s="16">
        <v>1</v>
      </c>
      <c r="K62" s="16">
        <v>1</v>
      </c>
      <c r="L62" s="16"/>
      <c r="M62" s="16"/>
      <c r="N62" s="16"/>
      <c r="O62" s="16"/>
      <c r="P62" s="16"/>
      <c r="Q62" s="16"/>
      <c r="R62" s="16"/>
      <c r="S62" s="16"/>
      <c r="T62" s="16"/>
      <c r="U62" s="16"/>
      <c r="V62" s="16"/>
      <c r="W62" s="16"/>
      <c r="X62" s="16"/>
      <c r="Y62" s="16"/>
      <c r="Z62" s="16"/>
      <c r="AA62" s="16"/>
      <c r="AB62" s="16"/>
      <c r="AC62" s="16"/>
      <c r="AD62" s="141" t="s">
        <v>841</v>
      </c>
    </row>
    <row r="63" spans="1:30" s="15" customFormat="1" ht="13.5" customHeight="1" x14ac:dyDescent="0.3">
      <c r="A63" s="16" t="s">
        <v>614</v>
      </c>
      <c r="B63" s="7">
        <v>1</v>
      </c>
      <c r="C63" s="7">
        <v>1</v>
      </c>
      <c r="D63" s="7">
        <v>1</v>
      </c>
      <c r="E63" s="7">
        <v>1</v>
      </c>
      <c r="F63" s="7">
        <v>1</v>
      </c>
      <c r="G63" s="7">
        <v>0</v>
      </c>
      <c r="H63" s="16">
        <v>1</v>
      </c>
      <c r="I63" s="16">
        <v>1</v>
      </c>
      <c r="J63" s="16">
        <v>1</v>
      </c>
      <c r="K63" s="16">
        <v>1</v>
      </c>
      <c r="L63" s="16"/>
      <c r="M63" s="16"/>
      <c r="N63" s="16"/>
      <c r="O63" s="16"/>
      <c r="P63" s="16"/>
      <c r="Q63" s="16"/>
      <c r="R63" s="16"/>
      <c r="S63" s="16"/>
      <c r="T63" s="16"/>
      <c r="U63" s="16"/>
      <c r="V63" s="16"/>
      <c r="W63" s="16"/>
      <c r="X63" s="16"/>
      <c r="Y63" s="16"/>
      <c r="Z63" s="16"/>
      <c r="AA63" s="16"/>
      <c r="AB63" s="16"/>
      <c r="AC63" s="16"/>
      <c r="AD63" s="141" t="s">
        <v>842</v>
      </c>
    </row>
    <row r="64" spans="1:30" s="15" customFormat="1" ht="13.5" customHeight="1" x14ac:dyDescent="0.3">
      <c r="A64" s="63" t="s">
        <v>1526</v>
      </c>
      <c r="B64" s="16">
        <v>1</v>
      </c>
      <c r="C64" s="16">
        <v>1</v>
      </c>
      <c r="D64" s="16">
        <v>1</v>
      </c>
      <c r="E64" s="16">
        <v>1</v>
      </c>
      <c r="F64" s="16">
        <v>0</v>
      </c>
      <c r="G64" s="16">
        <v>0</v>
      </c>
      <c r="H64" s="16">
        <v>1</v>
      </c>
      <c r="I64" s="16">
        <v>0</v>
      </c>
      <c r="J64" s="7">
        <v>1</v>
      </c>
      <c r="K64" s="16">
        <v>0</v>
      </c>
      <c r="L64" s="16"/>
      <c r="M64" s="16"/>
      <c r="N64" s="16"/>
      <c r="O64" s="16"/>
      <c r="P64" s="16"/>
      <c r="Q64" s="16"/>
      <c r="R64" s="16"/>
      <c r="S64" s="16"/>
      <c r="T64" s="16"/>
      <c r="U64" s="16"/>
      <c r="V64" s="16"/>
      <c r="W64" s="16"/>
      <c r="X64" s="16"/>
      <c r="Y64" s="16"/>
      <c r="Z64" s="16"/>
      <c r="AA64" s="16"/>
      <c r="AB64" s="16"/>
      <c r="AC64" s="16"/>
      <c r="AD64" s="141" t="s">
        <v>1527</v>
      </c>
    </row>
    <row r="65" spans="1:30" ht="13.5" customHeight="1" x14ac:dyDescent="0.3">
      <c r="A65" s="18" t="s">
        <v>416</v>
      </c>
      <c r="B65" s="18"/>
      <c r="C65" s="18"/>
      <c r="D65" s="18"/>
      <c r="E65" s="18"/>
      <c r="F65" s="18"/>
      <c r="G65" s="18"/>
      <c r="H65" s="18"/>
      <c r="I65" s="18"/>
      <c r="J65" s="18"/>
      <c r="K65" s="18"/>
      <c r="L65" s="18"/>
      <c r="M65" s="18"/>
      <c r="N65" s="18"/>
      <c r="O65" s="18"/>
      <c r="P65" s="18"/>
      <c r="Q65" s="18"/>
      <c r="R65" s="18"/>
      <c r="S65" s="18"/>
      <c r="T65" s="18"/>
      <c r="U65" s="18"/>
      <c r="V65" s="18"/>
      <c r="W65" s="18"/>
      <c r="X65" s="18"/>
      <c r="Y65" s="18"/>
      <c r="Z65" s="18"/>
      <c r="AA65" s="18"/>
      <c r="AB65" s="18"/>
      <c r="AC65" s="18"/>
      <c r="AD65" s="18"/>
    </row>
    <row r="66" spans="1:30" ht="13.5" customHeight="1" x14ac:dyDescent="0.3">
      <c r="A66" s="4" t="s">
        <v>395</v>
      </c>
      <c r="B66" s="16">
        <v>512</v>
      </c>
      <c r="C66" s="16">
        <v>512</v>
      </c>
      <c r="D66" s="16">
        <v>512</v>
      </c>
      <c r="E66" s="16">
        <v>512</v>
      </c>
      <c r="F66" s="16">
        <v>512</v>
      </c>
      <c r="G66" s="16">
        <v>512</v>
      </c>
      <c r="H66" s="16">
        <v>512</v>
      </c>
      <c r="I66" s="16">
        <v>512</v>
      </c>
      <c r="J66" s="16">
        <v>512</v>
      </c>
      <c r="K66" s="16">
        <v>512</v>
      </c>
      <c r="L66" s="16"/>
      <c r="M66" s="16"/>
      <c r="N66" s="16"/>
      <c r="O66" s="16"/>
      <c r="P66" s="16"/>
      <c r="Q66" s="16"/>
      <c r="R66" s="16"/>
      <c r="S66" s="16"/>
      <c r="T66" s="16"/>
      <c r="U66" s="16"/>
      <c r="V66" s="16"/>
      <c r="W66" s="16"/>
      <c r="X66" s="16"/>
      <c r="Y66" s="16"/>
      <c r="Z66" s="16"/>
      <c r="AA66" s="16"/>
      <c r="AB66" s="16"/>
      <c r="AC66" s="16"/>
      <c r="AD66" s="141" t="s">
        <v>837</v>
      </c>
    </row>
    <row r="67" spans="1:30" ht="12.45" customHeight="1" x14ac:dyDescent="0.3">
      <c r="A67" s="4" t="s">
        <v>396</v>
      </c>
      <c r="B67" s="16">
        <v>32</v>
      </c>
      <c r="C67" s="16">
        <v>32</v>
      </c>
      <c r="D67" s="16">
        <v>32</v>
      </c>
      <c r="E67" s="16">
        <v>32</v>
      </c>
      <c r="F67" s="16">
        <v>32</v>
      </c>
      <c r="G67" s="16">
        <v>32</v>
      </c>
      <c r="H67" s="16">
        <v>32</v>
      </c>
      <c r="I67" s="16">
        <v>32</v>
      </c>
      <c r="J67" s="16">
        <v>32</v>
      </c>
      <c r="K67" s="16">
        <v>32</v>
      </c>
      <c r="L67" s="16"/>
      <c r="M67" s="16"/>
      <c r="N67" s="16"/>
      <c r="O67" s="16"/>
      <c r="P67" s="16"/>
      <c r="Q67" s="16"/>
      <c r="R67" s="16"/>
      <c r="S67" s="16"/>
      <c r="T67" s="16"/>
      <c r="U67" s="16"/>
      <c r="V67" s="16"/>
      <c r="W67" s="16"/>
      <c r="X67" s="16"/>
      <c r="Y67" s="16"/>
      <c r="Z67" s="16"/>
      <c r="AA67" s="16"/>
      <c r="AB67" s="16"/>
      <c r="AC67" s="16"/>
      <c r="AD67" s="141" t="s">
        <v>838</v>
      </c>
    </row>
    <row r="68" spans="1:30" ht="12.45" customHeight="1" x14ac:dyDescent="0.3">
      <c r="A68" s="4" t="s">
        <v>397</v>
      </c>
      <c r="B68" s="16">
        <v>256</v>
      </c>
      <c r="C68" s="16">
        <v>256</v>
      </c>
      <c r="D68" s="16">
        <v>256</v>
      </c>
      <c r="E68" s="16">
        <v>256</v>
      </c>
      <c r="F68" s="16">
        <v>256</v>
      </c>
      <c r="G68" s="16">
        <v>256</v>
      </c>
      <c r="H68" s="16">
        <v>256</v>
      </c>
      <c r="I68" s="16">
        <v>256</v>
      </c>
      <c r="J68" s="16">
        <v>256</v>
      </c>
      <c r="K68" s="16">
        <v>256</v>
      </c>
      <c r="L68" s="16"/>
      <c r="M68" s="16"/>
      <c r="N68" s="16"/>
      <c r="O68" s="16"/>
      <c r="P68" s="16"/>
      <c r="Q68" s="16"/>
      <c r="R68" s="16"/>
      <c r="S68" s="16"/>
      <c r="T68" s="16"/>
      <c r="U68" s="16"/>
      <c r="V68" s="16"/>
      <c r="W68" s="16"/>
      <c r="X68" s="16"/>
      <c r="Y68" s="16"/>
      <c r="Z68" s="16"/>
      <c r="AA68" s="16"/>
      <c r="AB68" s="16"/>
      <c r="AC68" s="16"/>
      <c r="AD68" s="141" t="s">
        <v>839</v>
      </c>
    </row>
    <row r="69" spans="1:30" s="15" customFormat="1" ht="12.45" customHeight="1" x14ac:dyDescent="0.3">
      <c r="A69" s="4" t="s">
        <v>398</v>
      </c>
      <c r="B69" s="16">
        <v>0</v>
      </c>
      <c r="C69" s="16">
        <v>0</v>
      </c>
      <c r="D69" s="16">
        <v>0</v>
      </c>
      <c r="E69" s="16">
        <v>256</v>
      </c>
      <c r="F69" s="16">
        <v>256</v>
      </c>
      <c r="G69" s="7">
        <v>0</v>
      </c>
      <c r="H69" s="7">
        <v>0</v>
      </c>
      <c r="I69" s="7">
        <v>0</v>
      </c>
      <c r="J69" s="16">
        <v>256</v>
      </c>
      <c r="K69" s="16">
        <v>256</v>
      </c>
      <c r="L69" s="16"/>
      <c r="M69" s="16"/>
      <c r="N69" s="16"/>
      <c r="O69" s="16"/>
      <c r="P69" s="16"/>
      <c r="Q69" s="16"/>
      <c r="R69" s="16"/>
      <c r="S69" s="16"/>
      <c r="T69" s="16"/>
      <c r="U69" s="16"/>
      <c r="V69" s="16"/>
      <c r="W69" s="16"/>
      <c r="X69" s="16"/>
      <c r="Y69" s="16"/>
      <c r="Z69" s="16"/>
      <c r="AA69" s="16"/>
      <c r="AB69" s="16"/>
      <c r="AC69" s="16"/>
      <c r="AD69" s="141" t="s">
        <v>840</v>
      </c>
    </row>
    <row r="70" spans="1:30" ht="12.45" customHeight="1" x14ac:dyDescent="0.3">
      <c r="A70" s="4" t="s">
        <v>421</v>
      </c>
      <c r="B70" s="16">
        <v>0</v>
      </c>
      <c r="C70" s="16">
        <v>0</v>
      </c>
      <c r="D70" s="16">
        <v>0</v>
      </c>
      <c r="E70" s="16">
        <v>0</v>
      </c>
      <c r="F70" s="16">
        <v>0</v>
      </c>
      <c r="G70" s="16">
        <v>1</v>
      </c>
      <c r="H70" s="16">
        <v>1</v>
      </c>
      <c r="I70" s="16">
        <v>1</v>
      </c>
      <c r="J70" s="16">
        <v>1</v>
      </c>
      <c r="K70" s="16">
        <v>1</v>
      </c>
      <c r="L70" s="16"/>
      <c r="M70" s="16"/>
      <c r="N70" s="16"/>
      <c r="O70" s="16"/>
      <c r="P70" s="16"/>
      <c r="Q70" s="16"/>
      <c r="R70" s="16"/>
      <c r="S70" s="16"/>
      <c r="T70" s="16"/>
      <c r="U70" s="16"/>
      <c r="V70" s="16"/>
      <c r="W70" s="16"/>
      <c r="X70" s="16"/>
      <c r="Y70" s="16"/>
      <c r="Z70" s="16"/>
      <c r="AA70" s="16"/>
      <c r="AB70" s="16"/>
      <c r="AC70" s="16"/>
      <c r="AD70" s="141" t="s">
        <v>832</v>
      </c>
    </row>
    <row r="71" spans="1:30" s="15" customFormat="1" ht="12.45" customHeight="1" x14ac:dyDescent="0.3">
      <c r="A71" s="18" t="s">
        <v>417</v>
      </c>
      <c r="B71" s="18"/>
      <c r="C71" s="18"/>
      <c r="D71" s="18"/>
      <c r="E71" s="18"/>
      <c r="F71" s="18"/>
      <c r="G71" s="18"/>
      <c r="H71" s="18"/>
      <c r="I71" s="18"/>
      <c r="J71" s="18"/>
      <c r="K71" s="18"/>
      <c r="L71" s="18"/>
      <c r="M71" s="18"/>
      <c r="N71" s="18"/>
      <c r="O71" s="18"/>
      <c r="P71" s="18"/>
      <c r="Q71" s="18"/>
      <c r="R71" s="18"/>
      <c r="S71" s="18"/>
      <c r="T71" s="18"/>
      <c r="U71" s="18"/>
      <c r="V71" s="18"/>
      <c r="W71" s="18"/>
      <c r="X71" s="18"/>
      <c r="Y71" s="18"/>
      <c r="Z71" s="18"/>
      <c r="AA71" s="18"/>
      <c r="AB71" s="18"/>
      <c r="AC71" s="18"/>
      <c r="AD71" s="18"/>
    </row>
    <row r="72" spans="1:30" ht="12.45" customHeight="1" x14ac:dyDescent="0.3">
      <c r="A72" s="41" t="s">
        <v>16</v>
      </c>
      <c r="B72" s="16">
        <v>768</v>
      </c>
      <c r="C72" s="16">
        <v>768</v>
      </c>
      <c r="D72" s="16">
        <v>768</v>
      </c>
      <c r="E72" s="16">
        <v>768</v>
      </c>
      <c r="F72" s="16">
        <v>768</v>
      </c>
      <c r="G72" s="16">
        <v>768</v>
      </c>
      <c r="H72" s="16">
        <v>768</v>
      </c>
      <c r="I72" s="16">
        <v>768</v>
      </c>
      <c r="J72" s="16">
        <v>768</v>
      </c>
      <c r="K72" s="16">
        <v>768</v>
      </c>
      <c r="L72" s="16"/>
      <c r="M72" s="16"/>
      <c r="N72" s="16"/>
      <c r="O72" s="16"/>
      <c r="P72" s="16"/>
      <c r="Q72" s="16"/>
      <c r="R72" s="16"/>
      <c r="S72" s="16"/>
      <c r="T72" s="16"/>
      <c r="U72" s="16"/>
      <c r="V72" s="16"/>
      <c r="W72" s="16"/>
      <c r="X72" s="16"/>
      <c r="Y72" s="16"/>
      <c r="Z72" s="16"/>
      <c r="AA72" s="16"/>
      <c r="AB72" s="16"/>
      <c r="AC72" s="16"/>
      <c r="AD72" s="141" t="s">
        <v>833</v>
      </c>
    </row>
    <row r="73" spans="1:30" ht="12.45" customHeight="1" x14ac:dyDescent="0.3">
      <c r="A73" s="41" t="s">
        <v>399</v>
      </c>
      <c r="B73" s="16">
        <v>32</v>
      </c>
      <c r="C73" s="16">
        <v>32</v>
      </c>
      <c r="D73" s="16">
        <v>32</v>
      </c>
      <c r="E73" s="16">
        <v>160</v>
      </c>
      <c r="F73" s="7">
        <v>160</v>
      </c>
      <c r="G73" s="7">
        <v>192</v>
      </c>
      <c r="H73" s="7">
        <v>160</v>
      </c>
      <c r="I73" s="7">
        <v>160</v>
      </c>
      <c r="J73" s="7">
        <v>160</v>
      </c>
      <c r="K73" s="7">
        <v>160</v>
      </c>
      <c r="L73" s="16"/>
      <c r="M73" s="16"/>
      <c r="N73" s="16"/>
      <c r="O73" s="16"/>
      <c r="P73" s="16"/>
      <c r="Q73" s="16"/>
      <c r="R73" s="16"/>
      <c r="S73" s="16"/>
      <c r="T73" s="16"/>
      <c r="U73" s="16"/>
      <c r="V73" s="16"/>
      <c r="W73" s="16"/>
      <c r="X73" s="16"/>
      <c r="Y73" s="16"/>
      <c r="Z73" s="16"/>
      <c r="AA73" s="16"/>
      <c r="AB73" s="16"/>
      <c r="AC73" s="16"/>
      <c r="AD73" s="16" t="s">
        <v>834</v>
      </c>
    </row>
    <row r="74" spans="1:30" ht="12.45" customHeight="1" x14ac:dyDescent="0.3">
      <c r="A74" s="41" t="s">
        <v>21</v>
      </c>
      <c r="B74" s="16">
        <v>0</v>
      </c>
      <c r="C74" s="16">
        <v>0</v>
      </c>
      <c r="D74" s="16">
        <v>0</v>
      </c>
      <c r="E74" s="16">
        <v>0</v>
      </c>
      <c r="F74" s="7">
        <v>0</v>
      </c>
      <c r="G74" s="7">
        <v>0</v>
      </c>
      <c r="H74" s="7">
        <v>6400</v>
      </c>
      <c r="I74" s="7">
        <v>0</v>
      </c>
      <c r="J74" s="7">
        <v>0</v>
      </c>
      <c r="K74" s="7">
        <v>0</v>
      </c>
      <c r="L74" s="16"/>
      <c r="M74" s="16"/>
      <c r="N74" s="16"/>
      <c r="O74" s="16"/>
      <c r="P74" s="16"/>
      <c r="Q74" s="16"/>
      <c r="R74" s="16"/>
      <c r="S74" s="16"/>
      <c r="T74" s="16"/>
      <c r="U74" s="16"/>
      <c r="V74" s="16"/>
      <c r="W74" s="16"/>
      <c r="X74" s="16"/>
      <c r="Y74" s="16"/>
      <c r="Z74" s="16"/>
      <c r="AA74" s="16"/>
      <c r="AB74" s="16"/>
      <c r="AC74" s="16"/>
      <c r="AD74" s="16" t="s">
        <v>835</v>
      </c>
    </row>
    <row r="75" spans="1:30" s="15" customFormat="1" ht="12.45" customHeight="1" x14ac:dyDescent="0.3">
      <c r="A75" s="41" t="s">
        <v>22</v>
      </c>
      <c r="B75" s="16">
        <v>32</v>
      </c>
      <c r="C75" s="16">
        <v>32</v>
      </c>
      <c r="D75" s="16">
        <v>32</v>
      </c>
      <c r="E75" s="16">
        <v>32</v>
      </c>
      <c r="F75" s="7">
        <v>32</v>
      </c>
      <c r="G75" s="7">
        <v>32</v>
      </c>
      <c r="H75" s="7">
        <v>32</v>
      </c>
      <c r="I75" s="7">
        <v>32</v>
      </c>
      <c r="J75" s="7">
        <v>32</v>
      </c>
      <c r="K75" s="7">
        <v>32</v>
      </c>
      <c r="L75" s="16"/>
      <c r="M75" s="16"/>
      <c r="N75" s="16"/>
      <c r="O75" s="16"/>
      <c r="P75" s="16"/>
      <c r="Q75" s="16"/>
      <c r="R75" s="16"/>
      <c r="S75" s="16"/>
      <c r="T75" s="16"/>
      <c r="U75" s="16"/>
      <c r="V75" s="16"/>
      <c r="W75" s="16"/>
      <c r="X75" s="16"/>
      <c r="Y75" s="16"/>
      <c r="Z75" s="16"/>
      <c r="AA75" s="16"/>
      <c r="AB75" s="16"/>
      <c r="AC75" s="16"/>
      <c r="AD75" s="16" t="s">
        <v>836</v>
      </c>
    </row>
    <row r="76" spans="1:30" ht="12.45" customHeight="1" x14ac:dyDescent="0.3">
      <c r="A76" s="41" t="s">
        <v>422</v>
      </c>
      <c r="B76" s="16">
        <v>0</v>
      </c>
      <c r="C76" s="16">
        <v>0</v>
      </c>
      <c r="D76" s="16">
        <v>0</v>
      </c>
      <c r="E76" s="16">
        <v>0</v>
      </c>
      <c r="F76" s="7">
        <v>0</v>
      </c>
      <c r="G76" s="7">
        <v>0</v>
      </c>
      <c r="H76" s="7">
        <v>0</v>
      </c>
      <c r="I76" s="7">
        <v>0</v>
      </c>
      <c r="J76" s="7">
        <v>0</v>
      </c>
      <c r="K76" s="7">
        <v>0</v>
      </c>
      <c r="L76" s="16"/>
      <c r="M76" s="16"/>
      <c r="N76" s="16"/>
      <c r="O76" s="16"/>
      <c r="P76" s="16"/>
      <c r="Q76" s="16"/>
      <c r="R76" s="16"/>
      <c r="S76" s="16"/>
      <c r="T76" s="16"/>
      <c r="U76" s="16"/>
      <c r="V76" s="16"/>
      <c r="W76" s="16"/>
      <c r="X76" s="16"/>
      <c r="Y76" s="16"/>
      <c r="Z76" s="16"/>
      <c r="AA76" s="16"/>
      <c r="AB76" s="16"/>
      <c r="AC76" s="16"/>
      <c r="AD76" s="141" t="s">
        <v>831</v>
      </c>
    </row>
    <row r="77" spans="1:30" s="15" customFormat="1" ht="12.45" customHeight="1" x14ac:dyDescent="0.3">
      <c r="A77" s="185" t="s">
        <v>882</v>
      </c>
      <c r="B77" s="16">
        <v>0</v>
      </c>
      <c r="C77" s="16">
        <v>0</v>
      </c>
      <c r="D77" s="16">
        <v>0</v>
      </c>
      <c r="E77" s="7">
        <v>320</v>
      </c>
      <c r="F77" s="7">
        <v>320</v>
      </c>
      <c r="G77" s="7">
        <v>0</v>
      </c>
      <c r="H77" s="7">
        <v>320</v>
      </c>
      <c r="I77" s="7">
        <v>320</v>
      </c>
      <c r="J77" s="7">
        <v>320</v>
      </c>
      <c r="K77" s="7">
        <v>320</v>
      </c>
      <c r="L77" s="16"/>
      <c r="M77" s="16"/>
      <c r="N77" s="16"/>
      <c r="O77" s="16"/>
      <c r="P77" s="16"/>
      <c r="Q77" s="16"/>
      <c r="R77" s="16"/>
      <c r="S77" s="16"/>
      <c r="T77" s="16"/>
      <c r="U77" s="16"/>
      <c r="V77" s="16"/>
      <c r="W77" s="16"/>
      <c r="X77" s="16"/>
      <c r="Y77" s="16"/>
      <c r="Z77" s="16"/>
      <c r="AA77" s="16"/>
      <c r="AB77" s="16"/>
      <c r="AC77" s="16"/>
      <c r="AD77" s="141" t="s">
        <v>881</v>
      </c>
    </row>
    <row r="78" spans="1:30" ht="12.45" customHeight="1" x14ac:dyDescent="0.3">
      <c r="A78" s="18" t="s">
        <v>622</v>
      </c>
      <c r="B78" s="18"/>
      <c r="C78" s="18"/>
      <c r="D78" s="18"/>
      <c r="E78" s="18"/>
      <c r="F78" s="18"/>
      <c r="G78" s="18"/>
      <c r="H78" s="18"/>
      <c r="I78" s="18"/>
      <c r="J78" s="18"/>
      <c r="K78" s="18"/>
      <c r="L78" s="18"/>
      <c r="M78" s="18"/>
      <c r="N78" s="18"/>
      <c r="O78" s="18"/>
      <c r="P78" s="18"/>
      <c r="Q78" s="18"/>
      <c r="R78" s="18"/>
      <c r="S78" s="18"/>
      <c r="T78" s="18"/>
      <c r="U78" s="18"/>
      <c r="V78" s="18"/>
      <c r="W78" s="18"/>
      <c r="X78" s="18"/>
      <c r="Y78" s="18"/>
      <c r="Z78" s="18"/>
      <c r="AA78" s="18"/>
      <c r="AB78" s="18"/>
      <c r="AC78" s="18"/>
      <c r="AD78" s="18"/>
    </row>
    <row r="79" spans="1:30" ht="12.45" customHeight="1" x14ac:dyDescent="0.3">
      <c r="A79" s="2" t="s">
        <v>617</v>
      </c>
      <c r="B79" s="16">
        <f>HEX2DEC(40)*8</f>
        <v>512</v>
      </c>
      <c r="C79" s="16">
        <v>512</v>
      </c>
      <c r="D79" s="16">
        <v>512</v>
      </c>
      <c r="E79" s="16">
        <f>HEX2DEC(40)*8</f>
        <v>512</v>
      </c>
      <c r="F79" s="16">
        <f>HEX2DEC(40)*8</f>
        <v>512</v>
      </c>
      <c r="G79" s="16">
        <v>0</v>
      </c>
      <c r="H79" s="16">
        <v>512</v>
      </c>
      <c r="I79" s="16" t="s">
        <v>1239</v>
      </c>
      <c r="J79" s="16" t="s">
        <v>1239</v>
      </c>
      <c r="K79" s="16" t="s">
        <v>1239</v>
      </c>
      <c r="L79" s="16"/>
      <c r="M79" s="16"/>
      <c r="N79" s="16"/>
      <c r="O79" s="16"/>
      <c r="P79" s="16"/>
      <c r="Q79" s="16"/>
      <c r="R79" s="16"/>
      <c r="S79" s="16"/>
      <c r="T79" s="16"/>
      <c r="U79" s="16"/>
      <c r="V79" s="16"/>
      <c r="W79" s="16"/>
      <c r="X79" s="16"/>
      <c r="Y79" s="16"/>
      <c r="Z79" s="16"/>
      <c r="AA79" s="16"/>
      <c r="AB79" s="16"/>
      <c r="AC79" s="16"/>
      <c r="AD79" s="141" t="s">
        <v>826</v>
      </c>
    </row>
    <row r="80" spans="1:30" ht="12.45" customHeight="1" x14ac:dyDescent="0.3">
      <c r="A80" s="2" t="s">
        <v>618</v>
      </c>
      <c r="B80" s="16">
        <f>HEX2DEC(40)*8</f>
        <v>512</v>
      </c>
      <c r="C80" s="16">
        <v>512</v>
      </c>
      <c r="D80" s="16">
        <v>512</v>
      </c>
      <c r="E80" s="57">
        <v>0</v>
      </c>
      <c r="F80" s="16">
        <v>0</v>
      </c>
      <c r="G80" s="16">
        <v>0</v>
      </c>
      <c r="H80" s="7" t="s">
        <v>1239</v>
      </c>
      <c r="I80" s="16" t="s">
        <v>1239</v>
      </c>
      <c r="J80" s="16" t="s">
        <v>1239</v>
      </c>
      <c r="K80" s="16" t="s">
        <v>1239</v>
      </c>
      <c r="L80" s="16"/>
      <c r="M80" s="16"/>
      <c r="N80" s="16"/>
      <c r="O80" s="16"/>
      <c r="P80" s="16"/>
      <c r="Q80" s="16"/>
      <c r="R80" s="16"/>
      <c r="S80" s="16"/>
      <c r="T80" s="16"/>
      <c r="U80" s="16"/>
      <c r="V80" s="16"/>
      <c r="W80" s="16"/>
      <c r="X80" s="16"/>
      <c r="Y80" s="16"/>
      <c r="Z80" s="16"/>
      <c r="AA80" s="16"/>
      <c r="AB80" s="16"/>
      <c r="AC80" s="16"/>
      <c r="AD80" s="141" t="s">
        <v>827</v>
      </c>
    </row>
    <row r="81" spans="1:30" ht="12.45" customHeight="1" x14ac:dyDescent="0.3">
      <c r="A81" s="2" t="s">
        <v>620</v>
      </c>
      <c r="B81" s="16">
        <f>HEX2DEC(40)*8</f>
        <v>512</v>
      </c>
      <c r="C81" s="16">
        <v>512</v>
      </c>
      <c r="D81" s="16">
        <v>512</v>
      </c>
      <c r="E81" s="16">
        <v>0</v>
      </c>
      <c r="F81" s="16">
        <v>0</v>
      </c>
      <c r="G81" s="16">
        <v>0</v>
      </c>
      <c r="H81" s="7" t="s">
        <v>1239</v>
      </c>
      <c r="I81" s="16" t="s">
        <v>1239</v>
      </c>
      <c r="J81" s="16" t="s">
        <v>1239</v>
      </c>
      <c r="K81" s="16" t="s">
        <v>1239</v>
      </c>
      <c r="L81" s="16"/>
      <c r="M81" s="16"/>
      <c r="N81" s="16"/>
      <c r="O81" s="16"/>
      <c r="P81" s="16"/>
      <c r="Q81" s="16"/>
      <c r="R81" s="16"/>
      <c r="S81" s="16"/>
      <c r="T81" s="16"/>
      <c r="U81" s="16"/>
      <c r="V81" s="16"/>
      <c r="W81" s="16"/>
      <c r="X81" s="16"/>
      <c r="Y81" s="16"/>
      <c r="Z81" s="16"/>
      <c r="AA81" s="16"/>
      <c r="AB81" s="16"/>
      <c r="AC81" s="16"/>
      <c r="AD81" s="141" t="s">
        <v>828</v>
      </c>
    </row>
    <row r="82" spans="1:30" ht="12.45" customHeight="1" x14ac:dyDescent="0.3">
      <c r="A82" s="2" t="s">
        <v>668</v>
      </c>
      <c r="B82" s="16">
        <f>2048/32</f>
        <v>64</v>
      </c>
      <c r="C82" s="16">
        <f>2048/32</f>
        <v>64</v>
      </c>
      <c r="D82" s="16">
        <f>2048/32</f>
        <v>64</v>
      </c>
      <c r="E82" s="57">
        <v>64</v>
      </c>
      <c r="F82" s="16">
        <f>2048/32</f>
        <v>64</v>
      </c>
      <c r="G82" s="16">
        <f>0/32</f>
        <v>0</v>
      </c>
      <c r="H82" s="16">
        <f>2048/32</f>
        <v>64</v>
      </c>
      <c r="I82" s="16">
        <f>2048/32</f>
        <v>64</v>
      </c>
      <c r="J82" s="16">
        <f>2048/32</f>
        <v>64</v>
      </c>
      <c r="K82" s="16">
        <f>2048/32</f>
        <v>64</v>
      </c>
      <c r="L82" s="16"/>
      <c r="M82" s="16"/>
      <c r="N82" s="16"/>
      <c r="O82" s="16"/>
      <c r="P82" s="16"/>
      <c r="Q82" s="16"/>
      <c r="R82" s="16"/>
      <c r="S82" s="16"/>
      <c r="T82" s="16"/>
      <c r="U82" s="16"/>
      <c r="V82" s="16"/>
      <c r="W82" s="16"/>
      <c r="X82" s="16"/>
      <c r="Y82" s="16"/>
      <c r="Z82" s="16"/>
      <c r="AA82" s="16"/>
      <c r="AB82" s="16"/>
      <c r="AC82" s="16"/>
      <c r="AD82" s="141" t="s">
        <v>829</v>
      </c>
    </row>
    <row r="83" spans="1:30" ht="12.45" customHeight="1" x14ac:dyDescent="0.3">
      <c r="A83" s="2" t="s">
        <v>625</v>
      </c>
      <c r="B83" s="16">
        <v>0</v>
      </c>
      <c r="C83" s="16">
        <v>0</v>
      </c>
      <c r="D83" s="16">
        <v>0</v>
      </c>
      <c r="E83" s="16">
        <v>0</v>
      </c>
      <c r="F83" s="16">
        <v>0</v>
      </c>
      <c r="G83" s="7">
        <v>0</v>
      </c>
      <c r="H83" s="16">
        <v>0</v>
      </c>
      <c r="I83" s="16">
        <v>0</v>
      </c>
      <c r="J83" s="16">
        <v>0</v>
      </c>
      <c r="K83" s="16">
        <v>0</v>
      </c>
      <c r="L83" s="16"/>
      <c r="M83" s="16"/>
      <c r="N83" s="16"/>
      <c r="O83" s="16"/>
      <c r="P83" s="16"/>
      <c r="Q83" s="16"/>
      <c r="R83" s="16"/>
      <c r="S83" s="16"/>
      <c r="T83" s="16"/>
      <c r="U83" s="16"/>
      <c r="V83" s="16"/>
      <c r="W83" s="16"/>
      <c r="X83" s="16"/>
      <c r="Y83" s="16"/>
      <c r="Z83" s="16"/>
      <c r="AA83" s="16"/>
      <c r="AB83" s="16"/>
      <c r="AC83" s="16"/>
      <c r="AD83" s="141" t="s">
        <v>830</v>
      </c>
    </row>
  </sheetData>
  <sortState xmlns:xlrd2="http://schemas.microsoft.com/office/spreadsheetml/2017/richdata2" ref="N6:R116">
    <sortCondition ref="N5"/>
  </sortState>
  <mergeCells count="4">
    <mergeCell ref="E2:G2"/>
    <mergeCell ref="C2:D2"/>
    <mergeCell ref="H2:I2"/>
    <mergeCell ref="J2:L2"/>
  </mergeCells>
  <conditionalFormatting sqref="A66">
    <cfRule type="cellIs" dxfId="609" priority="10" operator="equal">
      <formula>0</formula>
    </cfRule>
  </conditionalFormatting>
  <conditionalFormatting sqref="A67">
    <cfRule type="cellIs" dxfId="608" priority="9" operator="equal">
      <formula>0</formula>
    </cfRule>
  </conditionalFormatting>
  <conditionalFormatting sqref="A68">
    <cfRule type="cellIs" dxfId="607" priority="8" operator="equal">
      <formula>0</formula>
    </cfRule>
  </conditionalFormatting>
  <conditionalFormatting sqref="A70">
    <cfRule type="cellIs" dxfId="606" priority="7" operator="equal">
      <formula>0</formula>
    </cfRule>
  </conditionalFormatting>
  <conditionalFormatting sqref="A72 A77">
    <cfRule type="cellIs" priority="6" operator="equal">
      <formula>0</formula>
    </cfRule>
  </conditionalFormatting>
  <conditionalFormatting sqref="A73">
    <cfRule type="cellIs" dxfId="605" priority="5" operator="equal">
      <formula>0</formula>
    </cfRule>
  </conditionalFormatting>
  <conditionalFormatting sqref="A74">
    <cfRule type="cellIs" dxfId="604" priority="3" operator="equal">
      <formula>0</formula>
    </cfRule>
    <cfRule type="cellIs" dxfId="603" priority="4" operator="equal">
      <formula>0</formula>
    </cfRule>
  </conditionalFormatting>
  <conditionalFormatting sqref="A69">
    <cfRule type="cellIs" dxfId="602" priority="2" operator="equal">
      <formula>0</formula>
    </cfRule>
  </conditionalFormatting>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90B1B9-8F69-4A09-BFC9-B96C1533263D}">
  <dimension ref="A1:V236"/>
  <sheetViews>
    <sheetView topLeftCell="A110" zoomScale="75" zoomScaleNormal="75" workbookViewId="0">
      <selection activeCell="E127" sqref="E127"/>
    </sheetView>
  </sheetViews>
  <sheetFormatPr defaultRowHeight="14.4" x14ac:dyDescent="0.3"/>
  <cols>
    <col min="1" max="1" width="8.88671875" style="290"/>
    <col min="2" max="2" width="8.88671875" style="290" customWidth="1"/>
    <col min="3" max="3" width="29.33203125" style="290" customWidth="1"/>
    <col min="4" max="4" width="42.109375" style="290" customWidth="1"/>
    <col min="5" max="5" width="22" style="292" customWidth="1"/>
    <col min="6" max="6" width="17.44140625" style="290" hidden="1" customWidth="1"/>
    <col min="7" max="7" width="17.44140625" style="290" customWidth="1"/>
    <col min="8" max="8" width="9.88671875" style="290" customWidth="1"/>
    <col min="9" max="9" width="11.6640625" style="290" customWidth="1"/>
    <col min="10" max="10" width="15.33203125" style="290" customWidth="1"/>
    <col min="11" max="11" width="39.21875" style="292" customWidth="1"/>
    <col min="12" max="12" width="34.44140625" style="293" customWidth="1"/>
    <col min="13" max="13" width="27.5546875" style="293" customWidth="1"/>
    <col min="14" max="14" width="27.109375" style="293" customWidth="1"/>
    <col min="15" max="15" width="19" style="303" customWidth="1"/>
    <col min="16" max="16" width="16.109375" style="290" customWidth="1"/>
    <col min="17" max="18" width="18.6640625" style="298" customWidth="1"/>
    <col min="19" max="19" width="26.109375" style="290" customWidth="1"/>
    <col min="20" max="20" width="19.77734375" style="290" customWidth="1"/>
    <col min="21" max="21" width="16.6640625" style="290" customWidth="1"/>
    <col min="22" max="22" width="24.77734375" style="290" customWidth="1"/>
    <col min="23" max="16384" width="8.88671875" style="290"/>
  </cols>
  <sheetData>
    <row r="1" spans="3:20" ht="15" thickBot="1" x14ac:dyDescent="0.35"/>
    <row r="2" spans="3:20" ht="15.6" x14ac:dyDescent="0.3">
      <c r="C2" s="392" t="s">
        <v>1472</v>
      </c>
      <c r="D2" s="402" t="s">
        <v>1475</v>
      </c>
    </row>
    <row r="3" spans="3:20" x14ac:dyDescent="0.3">
      <c r="C3" s="386" t="s">
        <v>1493</v>
      </c>
      <c r="D3" s="387" t="s">
        <v>51</v>
      </c>
    </row>
    <row r="4" spans="3:20" ht="15" thickBot="1" x14ac:dyDescent="0.35">
      <c r="C4" s="388" t="s">
        <v>1485</v>
      </c>
      <c r="D4" s="387" t="s">
        <v>27</v>
      </c>
      <c r="O4" s="303" t="s">
        <v>1438</v>
      </c>
    </row>
    <row r="5" spans="3:20" ht="15.6" thickBot="1" x14ac:dyDescent="0.35">
      <c r="C5" s="389" t="s">
        <v>1486</v>
      </c>
      <c r="D5" s="387" t="s">
        <v>12</v>
      </c>
      <c r="L5" s="297"/>
      <c r="O5" s="301" t="s">
        <v>1425</v>
      </c>
      <c r="P5" s="299" t="s">
        <v>1426</v>
      </c>
      <c r="Q5" s="299" t="s">
        <v>1427</v>
      </c>
      <c r="R5" s="299" t="s">
        <v>1428</v>
      </c>
      <c r="S5" s="299" t="s">
        <v>1429</v>
      </c>
      <c r="T5" s="299" t="s">
        <v>1430</v>
      </c>
    </row>
    <row r="6" spans="3:20" ht="14.4" customHeight="1" thickBot="1" x14ac:dyDescent="0.35">
      <c r="C6" s="401" t="s">
        <v>1473</v>
      </c>
      <c r="D6" s="390" t="s">
        <v>1336</v>
      </c>
      <c r="O6" s="295" t="s">
        <v>1431</v>
      </c>
      <c r="P6" s="300" t="s">
        <v>1432</v>
      </c>
      <c r="Q6" s="300" t="s">
        <v>1439</v>
      </c>
      <c r="R6" s="300" t="s">
        <v>1440</v>
      </c>
      <c r="S6" s="300" t="s">
        <v>1440</v>
      </c>
      <c r="T6" s="300" t="s">
        <v>1440</v>
      </c>
    </row>
    <row r="7" spans="3:20" ht="12" customHeight="1" thickBot="1" x14ac:dyDescent="0.35">
      <c r="C7" s="292" t="s">
        <v>1474</v>
      </c>
      <c r="D7" s="296" t="s">
        <v>1406</v>
      </c>
      <c r="O7" s="295" t="s">
        <v>1433</v>
      </c>
      <c r="P7" s="300" t="s">
        <v>1434</v>
      </c>
      <c r="Q7" s="300" t="s">
        <v>1439</v>
      </c>
      <c r="R7" s="300" t="s">
        <v>1440</v>
      </c>
      <c r="S7" s="300" t="s">
        <v>1440</v>
      </c>
      <c r="T7" s="300" t="s">
        <v>1440</v>
      </c>
    </row>
    <row r="8" spans="3:20" ht="12" customHeight="1" thickBot="1" x14ac:dyDescent="0.35">
      <c r="C8" s="292" t="s">
        <v>1491</v>
      </c>
      <c r="D8" s="296" t="s">
        <v>1492</v>
      </c>
      <c r="O8" s="306"/>
      <c r="P8" s="300"/>
      <c r="Q8" s="300"/>
      <c r="R8" s="300"/>
      <c r="S8" s="300"/>
      <c r="T8" s="300"/>
    </row>
    <row r="9" spans="3:20" ht="16.8" customHeight="1" thickBot="1" x14ac:dyDescent="0.35">
      <c r="D9" s="296"/>
      <c r="O9" s="295" t="s">
        <v>1435</v>
      </c>
      <c r="P9" s="300" t="s">
        <v>1434</v>
      </c>
      <c r="Q9" s="300" t="s">
        <v>1439</v>
      </c>
      <c r="R9" s="300" t="s">
        <v>1440</v>
      </c>
      <c r="S9" s="300" t="s">
        <v>1440</v>
      </c>
      <c r="T9" s="300" t="s">
        <v>1440</v>
      </c>
    </row>
    <row r="10" spans="3:20" ht="16.8" thickTop="1" thickBot="1" x14ac:dyDescent="0.35">
      <c r="C10" s="393" t="s">
        <v>1481</v>
      </c>
      <c r="D10" s="403" t="s">
        <v>1482</v>
      </c>
      <c r="O10" s="306"/>
      <c r="P10" s="300"/>
      <c r="Q10" s="300"/>
      <c r="R10" s="300"/>
      <c r="S10" s="300"/>
      <c r="T10" s="300"/>
    </row>
    <row r="11" spans="3:20" ht="15" thickBot="1" x14ac:dyDescent="0.35">
      <c r="C11" s="394" t="s">
        <v>1162</v>
      </c>
      <c r="D11" s="395" t="s">
        <v>1478</v>
      </c>
      <c r="O11" s="306"/>
      <c r="P11" s="300"/>
      <c r="Q11" s="300"/>
      <c r="R11" s="300"/>
      <c r="S11" s="300"/>
      <c r="T11" s="300"/>
    </row>
    <row r="12" spans="3:20" ht="15" thickBot="1" x14ac:dyDescent="0.35">
      <c r="C12" s="396" t="s">
        <v>26</v>
      </c>
      <c r="D12" s="397" t="s">
        <v>1477</v>
      </c>
      <c r="O12" s="306"/>
      <c r="P12" s="300"/>
      <c r="Q12" s="300"/>
      <c r="R12" s="300"/>
      <c r="S12" s="300"/>
      <c r="T12" s="300"/>
    </row>
    <row r="13" spans="3:20" ht="15" thickBot="1" x14ac:dyDescent="0.35">
      <c r="C13" s="396" t="s">
        <v>18</v>
      </c>
      <c r="D13" s="398" t="s">
        <v>1479</v>
      </c>
      <c r="O13" s="306"/>
      <c r="P13" s="300"/>
      <c r="Q13" s="300"/>
      <c r="R13" s="300"/>
      <c r="S13" s="300"/>
      <c r="T13" s="300"/>
    </row>
    <row r="14" spans="3:20" ht="15" thickBot="1" x14ac:dyDescent="0.35">
      <c r="C14" s="409" t="s">
        <v>11</v>
      </c>
      <c r="D14" s="410" t="s">
        <v>1480</v>
      </c>
      <c r="O14" s="306"/>
      <c r="P14" s="300"/>
      <c r="Q14" s="300"/>
      <c r="R14" s="300"/>
      <c r="S14" s="300"/>
      <c r="T14" s="300"/>
    </row>
    <row r="15" spans="3:20" ht="15" thickBot="1" x14ac:dyDescent="0.35">
      <c r="C15" s="399" t="s">
        <v>1487</v>
      </c>
      <c r="D15" s="400" t="s">
        <v>1488</v>
      </c>
      <c r="O15" s="306"/>
      <c r="P15" s="300"/>
      <c r="Q15" s="300"/>
      <c r="R15" s="300"/>
      <c r="S15" s="300"/>
      <c r="T15" s="300"/>
    </row>
    <row r="16" spans="3:20" ht="15.6" thickTop="1" thickBot="1" x14ac:dyDescent="0.35">
      <c r="D16" s="296"/>
      <c r="O16" s="306"/>
      <c r="P16" s="300"/>
      <c r="Q16" s="300"/>
      <c r="R16" s="300"/>
      <c r="S16" s="300"/>
      <c r="T16" s="300"/>
    </row>
    <row r="17" spans="1:22" ht="16.8" thickTop="1" thickBot="1" x14ac:dyDescent="0.35">
      <c r="C17" s="393" t="s">
        <v>1489</v>
      </c>
      <c r="D17" s="403" t="s">
        <v>1483</v>
      </c>
      <c r="O17" s="306"/>
      <c r="P17" s="300"/>
      <c r="Q17" s="300"/>
      <c r="R17" s="300"/>
      <c r="S17" s="300"/>
      <c r="T17" s="300"/>
    </row>
    <row r="18" spans="1:22" ht="20.399999999999999" customHeight="1" thickBot="1" x14ac:dyDescent="0.35">
      <c r="C18" s="404" t="s">
        <v>1334</v>
      </c>
      <c r="D18" s="405" t="s">
        <v>1409</v>
      </c>
      <c r="O18" s="295" t="s">
        <v>1436</v>
      </c>
      <c r="P18" s="300" t="s">
        <v>1437</v>
      </c>
      <c r="Q18" s="300" t="s">
        <v>1439</v>
      </c>
      <c r="R18" s="300" t="s">
        <v>1440</v>
      </c>
      <c r="S18" s="300" t="s">
        <v>1440</v>
      </c>
      <c r="T18" s="300" t="s">
        <v>1440</v>
      </c>
    </row>
    <row r="19" spans="1:22" x14ac:dyDescent="0.3">
      <c r="C19" s="406" t="s">
        <v>1339</v>
      </c>
      <c r="D19" s="405" t="s">
        <v>1410</v>
      </c>
    </row>
    <row r="20" spans="1:22" ht="15" thickBot="1" x14ac:dyDescent="0.35">
      <c r="C20" s="407" t="s">
        <v>1381</v>
      </c>
      <c r="D20" s="408" t="s">
        <v>1484</v>
      </c>
    </row>
    <row r="21" spans="1:22" ht="15" thickTop="1" x14ac:dyDescent="0.3">
      <c r="C21" s="292"/>
      <c r="D21" s="129"/>
    </row>
    <row r="22" spans="1:22" x14ac:dyDescent="0.3">
      <c r="C22" s="292"/>
      <c r="D22" s="129"/>
    </row>
    <row r="23" spans="1:22" ht="15.6" x14ac:dyDescent="0.3">
      <c r="C23" s="391" t="s">
        <v>1476</v>
      </c>
      <c r="D23" s="129"/>
    </row>
    <row r="24" spans="1:22" ht="15" x14ac:dyDescent="0.3">
      <c r="C24" s="297" t="s">
        <v>1422</v>
      </c>
      <c r="D24" s="129"/>
    </row>
    <row r="25" spans="1:22" x14ac:dyDescent="0.3">
      <c r="C25" s="293" t="s">
        <v>1423</v>
      </c>
      <c r="D25" s="129"/>
    </row>
    <row r="26" spans="1:22" ht="15" thickBot="1" x14ac:dyDescent="0.35">
      <c r="D26" s="296"/>
    </row>
    <row r="27" spans="1:22" ht="47.4" thickBot="1" x14ac:dyDescent="0.35">
      <c r="C27" s="255" t="s">
        <v>1240</v>
      </c>
      <c r="D27" s="256" t="s">
        <v>1</v>
      </c>
      <c r="E27" s="282" t="s">
        <v>371</v>
      </c>
      <c r="F27" s="256" t="s">
        <v>1337</v>
      </c>
      <c r="G27" s="256" t="s">
        <v>1472</v>
      </c>
      <c r="H27" s="256" t="s">
        <v>601</v>
      </c>
      <c r="I27" s="256" t="s">
        <v>660</v>
      </c>
      <c r="J27" s="256" t="s">
        <v>5</v>
      </c>
      <c r="K27" s="282" t="s">
        <v>1325</v>
      </c>
      <c r="L27" s="272" t="s">
        <v>1469</v>
      </c>
      <c r="M27" s="272" t="s">
        <v>1467</v>
      </c>
      <c r="N27" s="272" t="s">
        <v>1468</v>
      </c>
      <c r="O27" s="302" t="s">
        <v>1166</v>
      </c>
      <c r="P27" s="256" t="s">
        <v>1167</v>
      </c>
      <c r="Q27" s="282" t="s">
        <v>1168</v>
      </c>
      <c r="R27" s="256" t="s">
        <v>1169</v>
      </c>
      <c r="S27" s="431" t="s">
        <v>1244</v>
      </c>
      <c r="T27" s="291" t="s">
        <v>1408</v>
      </c>
      <c r="U27" s="291" t="s">
        <v>1407</v>
      </c>
      <c r="V27" s="291" t="s">
        <v>1424</v>
      </c>
    </row>
    <row r="28" spans="1:22" ht="18" customHeight="1" x14ac:dyDescent="0.3">
      <c r="C28" s="411" t="s">
        <v>1241</v>
      </c>
      <c r="D28" s="312" t="s">
        <v>1498</v>
      </c>
      <c r="E28" s="309" t="s">
        <v>612</v>
      </c>
      <c r="F28" s="310"/>
      <c r="G28" s="310" t="s">
        <v>1490</v>
      </c>
      <c r="H28" s="310">
        <v>0</v>
      </c>
      <c r="I28" s="311" t="s">
        <v>1509</v>
      </c>
      <c r="J28" s="311" t="s">
        <v>1504</v>
      </c>
      <c r="K28" s="310" t="s">
        <v>1503</v>
      </c>
      <c r="L28" s="315"/>
      <c r="M28" s="313"/>
      <c r="N28" s="313"/>
      <c r="O28" s="314"/>
      <c r="P28" s="314"/>
      <c r="Q28" s="314"/>
      <c r="R28" s="314"/>
      <c r="S28" s="446"/>
      <c r="T28" s="447"/>
      <c r="U28" s="447"/>
      <c r="V28" s="447"/>
    </row>
    <row r="29" spans="1:22" ht="18" customHeight="1" x14ac:dyDescent="0.3">
      <c r="A29" s="294"/>
      <c r="C29" s="411"/>
      <c r="D29" s="413" t="s">
        <v>546</v>
      </c>
      <c r="E29" s="432" t="s">
        <v>1519</v>
      </c>
      <c r="F29" s="414"/>
      <c r="G29" s="414" t="s">
        <v>1490</v>
      </c>
      <c r="H29" s="414">
        <v>1</v>
      </c>
      <c r="I29" s="415">
        <v>1</v>
      </c>
      <c r="J29" s="415" t="s">
        <v>1506</v>
      </c>
      <c r="K29" s="414" t="s">
        <v>1335</v>
      </c>
      <c r="L29" s="414" t="s">
        <v>546</v>
      </c>
      <c r="M29" s="413" t="s">
        <v>546</v>
      </c>
      <c r="N29" s="414" t="s">
        <v>546</v>
      </c>
      <c r="O29" s="418" t="s">
        <v>1381</v>
      </c>
      <c r="P29" s="418" t="s">
        <v>1381</v>
      </c>
      <c r="Q29" s="418" t="s">
        <v>1381</v>
      </c>
      <c r="R29" s="418" t="s">
        <v>1381</v>
      </c>
      <c r="S29" s="420" t="s">
        <v>1441</v>
      </c>
      <c r="T29" s="293"/>
      <c r="U29" s="293"/>
      <c r="V29" s="293"/>
    </row>
    <row r="30" spans="1:22" ht="18" customHeight="1" x14ac:dyDescent="0.3">
      <c r="A30" s="294"/>
      <c r="C30" s="411"/>
      <c r="D30" s="273" t="s">
        <v>547</v>
      </c>
      <c r="E30" s="414" t="s">
        <v>1519</v>
      </c>
      <c r="F30" s="414"/>
      <c r="G30" s="414" t="s">
        <v>1490</v>
      </c>
      <c r="H30" s="414">
        <v>1</v>
      </c>
      <c r="I30" s="415">
        <v>1</v>
      </c>
      <c r="J30" s="415" t="s">
        <v>1506</v>
      </c>
      <c r="K30" s="414" t="s">
        <v>534</v>
      </c>
      <c r="L30" s="414" t="s">
        <v>547</v>
      </c>
      <c r="M30" s="414" t="s">
        <v>547</v>
      </c>
      <c r="N30" s="414" t="s">
        <v>547</v>
      </c>
      <c r="O30" s="418" t="s">
        <v>1381</v>
      </c>
      <c r="P30" s="418" t="s">
        <v>1381</v>
      </c>
      <c r="Q30" s="418" t="s">
        <v>1381</v>
      </c>
      <c r="R30" s="418" t="s">
        <v>1381</v>
      </c>
      <c r="S30" s="420" t="s">
        <v>1441</v>
      </c>
      <c r="T30" s="293"/>
      <c r="U30" s="293"/>
      <c r="V30" s="293"/>
    </row>
    <row r="31" spans="1:22" ht="18" customHeight="1" x14ac:dyDescent="0.3">
      <c r="C31" s="411"/>
      <c r="D31" s="418" t="s">
        <v>664</v>
      </c>
      <c r="E31" s="414" t="s">
        <v>1519</v>
      </c>
      <c r="F31" s="414"/>
      <c r="G31" s="414" t="s">
        <v>1490</v>
      </c>
      <c r="H31" s="414">
        <v>1</v>
      </c>
      <c r="I31" s="415">
        <v>30</v>
      </c>
      <c r="J31" s="415" t="s">
        <v>1506</v>
      </c>
      <c r="K31" s="414"/>
      <c r="L31" s="414" t="s">
        <v>1237</v>
      </c>
      <c r="M31" s="419" t="s">
        <v>1237</v>
      </c>
      <c r="N31" s="418" t="s">
        <v>1237</v>
      </c>
      <c r="O31" s="418" t="s">
        <v>1381</v>
      </c>
      <c r="P31" s="418" t="s">
        <v>1381</v>
      </c>
      <c r="Q31" s="418" t="s">
        <v>1381</v>
      </c>
      <c r="R31" s="418" t="s">
        <v>1381</v>
      </c>
      <c r="S31" s="420" t="s">
        <v>1441</v>
      </c>
      <c r="T31" s="293"/>
      <c r="U31" s="293"/>
      <c r="V31" s="293"/>
    </row>
    <row r="32" spans="1:22" ht="18" customHeight="1" x14ac:dyDescent="0.3">
      <c r="C32" s="411"/>
      <c r="D32" s="414" t="s">
        <v>1494</v>
      </c>
      <c r="E32" s="414" t="s">
        <v>253</v>
      </c>
      <c r="F32" s="414"/>
      <c r="G32" s="414" t="s">
        <v>1490</v>
      </c>
      <c r="H32" s="414">
        <v>1</v>
      </c>
      <c r="I32" s="415">
        <v>1</v>
      </c>
      <c r="J32" s="415" t="s">
        <v>1507</v>
      </c>
      <c r="K32" s="414" t="s">
        <v>545</v>
      </c>
      <c r="L32" s="414" t="s">
        <v>548</v>
      </c>
      <c r="M32" s="414" t="s">
        <v>548</v>
      </c>
      <c r="N32" s="414" t="s">
        <v>548</v>
      </c>
      <c r="O32" s="273" t="s">
        <v>1334</v>
      </c>
      <c r="P32" s="414" t="s">
        <v>1334</v>
      </c>
      <c r="Q32" s="414" t="s">
        <v>1334</v>
      </c>
      <c r="R32" s="414" t="s">
        <v>1334</v>
      </c>
      <c r="S32" s="422" t="s">
        <v>1443</v>
      </c>
      <c r="T32" s="293"/>
      <c r="U32" s="293"/>
      <c r="V32" s="293"/>
    </row>
    <row r="33" spans="3:22" ht="18" customHeight="1" x14ac:dyDescent="0.3">
      <c r="C33" s="411"/>
      <c r="D33" s="413" t="s">
        <v>663</v>
      </c>
      <c r="E33" s="414" t="s">
        <v>253</v>
      </c>
      <c r="F33" s="414"/>
      <c r="G33" s="414" t="s">
        <v>1490</v>
      </c>
      <c r="H33" s="414">
        <v>1</v>
      </c>
      <c r="I33" s="415">
        <v>31</v>
      </c>
      <c r="J33" s="415" t="s">
        <v>1507</v>
      </c>
      <c r="K33" s="414"/>
      <c r="L33" s="414" t="s">
        <v>1238</v>
      </c>
      <c r="M33" s="413" t="s">
        <v>1238</v>
      </c>
      <c r="N33" s="414" t="s">
        <v>1238</v>
      </c>
      <c r="O33" s="273" t="s">
        <v>1334</v>
      </c>
      <c r="P33" s="414" t="s">
        <v>1334</v>
      </c>
      <c r="Q33" s="414" t="s">
        <v>1334</v>
      </c>
      <c r="R33" s="414" t="s">
        <v>1334</v>
      </c>
      <c r="S33" s="420"/>
      <c r="T33" s="293"/>
      <c r="U33" s="293"/>
      <c r="V33" s="293"/>
    </row>
    <row r="34" spans="3:22" s="56" customFormat="1" ht="18" customHeight="1" x14ac:dyDescent="0.3">
      <c r="C34" s="411"/>
      <c r="D34" s="414" t="s">
        <v>361</v>
      </c>
      <c r="E34" s="414" t="s">
        <v>360</v>
      </c>
      <c r="F34" s="427" t="s">
        <v>550</v>
      </c>
      <c r="G34" s="414" t="s">
        <v>1490</v>
      </c>
      <c r="H34" s="414">
        <v>1</v>
      </c>
      <c r="I34" s="415">
        <f>32*8</f>
        <v>256</v>
      </c>
      <c r="J34" s="415" t="s">
        <v>1344</v>
      </c>
      <c r="K34" s="414" t="s">
        <v>1524</v>
      </c>
      <c r="L34" s="414" t="s">
        <v>1321</v>
      </c>
      <c r="M34" s="414" t="s">
        <v>1321</v>
      </c>
      <c r="N34" s="414" t="s">
        <v>1321</v>
      </c>
      <c r="O34" s="414" t="s">
        <v>1321</v>
      </c>
      <c r="P34" s="413" t="s">
        <v>1321</v>
      </c>
      <c r="Q34" s="413" t="s">
        <v>1321</v>
      </c>
      <c r="R34" s="413" t="s">
        <v>1321</v>
      </c>
      <c r="S34" s="420"/>
      <c r="T34" s="448"/>
      <c r="U34" s="448"/>
      <c r="V34" s="448"/>
    </row>
    <row r="35" spans="3:22" ht="18" customHeight="1" x14ac:dyDescent="0.3">
      <c r="C35" s="411"/>
      <c r="D35" s="312" t="s">
        <v>1497</v>
      </c>
      <c r="E35" s="309" t="s">
        <v>612</v>
      </c>
      <c r="F35" s="310"/>
      <c r="G35" s="310" t="s">
        <v>1490</v>
      </c>
      <c r="H35" s="310">
        <v>0</v>
      </c>
      <c r="I35" s="311" t="s">
        <v>1510</v>
      </c>
      <c r="J35" s="311" t="s">
        <v>1505</v>
      </c>
      <c r="K35" s="310" t="s">
        <v>1503</v>
      </c>
      <c r="L35" s="315"/>
      <c r="M35" s="313"/>
      <c r="N35" s="313"/>
      <c r="O35" s="314"/>
      <c r="P35" s="314"/>
      <c r="Q35" s="314"/>
      <c r="R35" s="314"/>
      <c r="S35" s="446"/>
      <c r="T35" s="447"/>
      <c r="U35" s="447"/>
      <c r="V35" s="447"/>
    </row>
    <row r="36" spans="3:22" ht="18" customHeight="1" x14ac:dyDescent="0.3">
      <c r="C36" s="289" t="s">
        <v>1242</v>
      </c>
      <c r="D36" s="308" t="s">
        <v>1496</v>
      </c>
      <c r="E36" s="309" t="s">
        <v>612</v>
      </c>
      <c r="F36" s="310"/>
      <c r="G36" s="310" t="s">
        <v>1490</v>
      </c>
      <c r="H36" s="310">
        <v>0</v>
      </c>
      <c r="I36" s="311" t="s">
        <v>1509</v>
      </c>
      <c r="J36" s="311" t="s">
        <v>1501</v>
      </c>
      <c r="K36" s="310" t="s">
        <v>1503</v>
      </c>
      <c r="L36" s="309"/>
      <c r="M36" s="309"/>
      <c r="N36" s="309"/>
      <c r="O36" s="310"/>
      <c r="P36" s="310"/>
      <c r="Q36" s="310"/>
      <c r="R36" s="310"/>
      <c r="S36" s="424" t="s">
        <v>1451</v>
      </c>
      <c r="T36" s="293"/>
      <c r="U36" s="293"/>
      <c r="V36" s="293"/>
    </row>
    <row r="37" spans="3:22" s="292" customFormat="1" ht="18" customHeight="1" x14ac:dyDescent="0.3">
      <c r="C37" s="421"/>
      <c r="D37" s="273" t="s">
        <v>1495</v>
      </c>
      <c r="E37" s="414" t="s">
        <v>1520</v>
      </c>
      <c r="F37" s="414"/>
      <c r="G37" s="414" t="s">
        <v>1490</v>
      </c>
      <c r="H37" s="414">
        <v>1</v>
      </c>
      <c r="I37" s="415">
        <v>1</v>
      </c>
      <c r="J37" s="415" t="s">
        <v>1308</v>
      </c>
      <c r="K37" s="414" t="s">
        <v>533</v>
      </c>
      <c r="L37" s="414" t="s">
        <v>1307</v>
      </c>
      <c r="M37" s="414" t="s">
        <v>1307</v>
      </c>
      <c r="N37" s="414" t="s">
        <v>1307</v>
      </c>
      <c r="O37" s="273" t="s">
        <v>1333</v>
      </c>
      <c r="P37" s="273" t="s">
        <v>1333</v>
      </c>
      <c r="Q37" s="273" t="s">
        <v>1333</v>
      </c>
      <c r="R37" s="273" t="s">
        <v>1333</v>
      </c>
      <c r="S37" s="422"/>
    </row>
    <row r="38" spans="3:22" ht="18" customHeight="1" x14ac:dyDescent="0.3">
      <c r="C38" s="289"/>
      <c r="D38" s="273" t="s">
        <v>1309</v>
      </c>
      <c r="E38" s="414" t="s">
        <v>1520</v>
      </c>
      <c r="F38" s="414"/>
      <c r="G38" s="414" t="s">
        <v>1490</v>
      </c>
      <c r="H38" s="414">
        <v>1</v>
      </c>
      <c r="I38" s="415">
        <v>1</v>
      </c>
      <c r="J38" s="415" t="s">
        <v>1308</v>
      </c>
      <c r="K38" s="414" t="s">
        <v>534</v>
      </c>
      <c r="L38" s="414" t="s">
        <v>1309</v>
      </c>
      <c r="M38" s="273" t="s">
        <v>1333</v>
      </c>
      <c r="N38" s="273" t="s">
        <v>1333</v>
      </c>
      <c r="O38" s="273" t="s">
        <v>1333</v>
      </c>
      <c r="P38" s="273" t="s">
        <v>1333</v>
      </c>
      <c r="Q38" s="273" t="s">
        <v>1333</v>
      </c>
      <c r="R38" s="273" t="s">
        <v>1333</v>
      </c>
      <c r="S38" s="420"/>
      <c r="T38" s="293"/>
      <c r="U38" s="293"/>
      <c r="V38" s="293"/>
    </row>
    <row r="39" spans="3:22" ht="18" customHeight="1" x14ac:dyDescent="0.3">
      <c r="C39" s="289"/>
      <c r="D39" s="273" t="s">
        <v>1310</v>
      </c>
      <c r="E39" s="414" t="s">
        <v>1520</v>
      </c>
      <c r="F39" s="414"/>
      <c r="G39" s="414" t="s">
        <v>1490</v>
      </c>
      <c r="H39" s="414">
        <v>1</v>
      </c>
      <c r="I39" s="415">
        <v>30</v>
      </c>
      <c r="J39" s="415" t="s">
        <v>1308</v>
      </c>
      <c r="K39" s="414"/>
      <c r="L39" s="414" t="s">
        <v>1310</v>
      </c>
      <c r="M39" s="273" t="s">
        <v>1333</v>
      </c>
      <c r="N39" s="273" t="s">
        <v>1333</v>
      </c>
      <c r="O39" s="273" t="s">
        <v>1333</v>
      </c>
      <c r="P39" s="273" t="s">
        <v>1333</v>
      </c>
      <c r="Q39" s="273" t="s">
        <v>1333</v>
      </c>
      <c r="R39" s="273" t="s">
        <v>1333</v>
      </c>
      <c r="S39" s="420"/>
      <c r="T39" s="293"/>
      <c r="U39" s="293"/>
      <c r="V39" s="293"/>
    </row>
    <row r="40" spans="3:22" ht="18" customHeight="1" x14ac:dyDescent="0.3">
      <c r="C40" s="289"/>
      <c r="D40" s="273" t="s">
        <v>1311</v>
      </c>
      <c r="E40" s="414" t="s">
        <v>1465</v>
      </c>
      <c r="F40" s="414"/>
      <c r="G40" s="414" t="s">
        <v>1490</v>
      </c>
      <c r="H40" s="414">
        <v>1</v>
      </c>
      <c r="I40" s="415">
        <v>1</v>
      </c>
      <c r="J40" s="415" t="s">
        <v>1312</v>
      </c>
      <c r="K40" s="414" t="s">
        <v>545</v>
      </c>
      <c r="L40" s="414" t="s">
        <v>1311</v>
      </c>
      <c r="M40" s="273" t="s">
        <v>1333</v>
      </c>
      <c r="N40" s="273" t="s">
        <v>1333</v>
      </c>
      <c r="O40" s="273" t="s">
        <v>1333</v>
      </c>
      <c r="P40" s="273" t="s">
        <v>1333</v>
      </c>
      <c r="Q40" s="273" t="s">
        <v>1333</v>
      </c>
      <c r="R40" s="273" t="s">
        <v>1333</v>
      </c>
      <c r="S40" s="449"/>
      <c r="T40" s="293"/>
      <c r="U40" s="293"/>
      <c r="V40" s="293"/>
    </row>
    <row r="41" spans="3:22" ht="18" customHeight="1" x14ac:dyDescent="0.3">
      <c r="C41" s="289"/>
      <c r="D41" s="273" t="s">
        <v>1313</v>
      </c>
      <c r="E41" s="414" t="s">
        <v>1465</v>
      </c>
      <c r="F41" s="414"/>
      <c r="G41" s="414" t="s">
        <v>1490</v>
      </c>
      <c r="H41" s="414">
        <v>1</v>
      </c>
      <c r="I41" s="415">
        <v>31</v>
      </c>
      <c r="J41" s="415" t="s">
        <v>1312</v>
      </c>
      <c r="K41" s="414"/>
      <c r="L41" s="414" t="s">
        <v>1313</v>
      </c>
      <c r="M41" s="273" t="s">
        <v>1333</v>
      </c>
      <c r="N41" s="273" t="s">
        <v>1333</v>
      </c>
      <c r="O41" s="273" t="s">
        <v>1333</v>
      </c>
      <c r="P41" s="273" t="s">
        <v>1333</v>
      </c>
      <c r="Q41" s="273" t="s">
        <v>1333</v>
      </c>
      <c r="R41" s="273" t="s">
        <v>1333</v>
      </c>
      <c r="S41" s="449"/>
      <c r="T41" s="293"/>
      <c r="U41" s="293"/>
      <c r="V41" s="293"/>
    </row>
    <row r="42" spans="3:22" ht="18" customHeight="1" x14ac:dyDescent="0.3">
      <c r="C42" s="289"/>
      <c r="D42" s="414" t="s">
        <v>364</v>
      </c>
      <c r="E42" s="414" t="s">
        <v>363</v>
      </c>
      <c r="F42" s="283" t="s">
        <v>550</v>
      </c>
      <c r="G42" s="414" t="s">
        <v>1517</v>
      </c>
      <c r="H42" s="414">
        <v>1</v>
      </c>
      <c r="I42" s="450">
        <f>32*8</f>
        <v>256</v>
      </c>
      <c r="J42" s="257" t="s">
        <v>1344</v>
      </c>
      <c r="K42" s="414" t="s">
        <v>1523</v>
      </c>
      <c r="L42" s="414" t="s">
        <v>384</v>
      </c>
      <c r="M42" s="414" t="s">
        <v>384</v>
      </c>
      <c r="N42" s="414" t="s">
        <v>384</v>
      </c>
      <c r="O42" s="414" t="s">
        <v>1321</v>
      </c>
      <c r="P42" s="414" t="s">
        <v>1321</v>
      </c>
      <c r="Q42" s="414" t="s">
        <v>1321</v>
      </c>
      <c r="R42" s="414" t="s">
        <v>1321</v>
      </c>
      <c r="S42" s="422"/>
      <c r="T42" s="293"/>
      <c r="U42" s="293"/>
      <c r="V42" s="293"/>
    </row>
    <row r="43" spans="3:22" ht="18" customHeight="1" x14ac:dyDescent="0.3">
      <c r="C43" s="411"/>
      <c r="D43" s="312" t="s">
        <v>1499</v>
      </c>
      <c r="E43" s="309" t="s">
        <v>612</v>
      </c>
      <c r="F43" s="310"/>
      <c r="G43" s="310" t="s">
        <v>1490</v>
      </c>
      <c r="H43" s="310">
        <v>0</v>
      </c>
      <c r="I43" s="311" t="s">
        <v>1510</v>
      </c>
      <c r="J43" s="311" t="s">
        <v>1314</v>
      </c>
      <c r="K43" s="310" t="s">
        <v>1503</v>
      </c>
      <c r="L43" s="315"/>
      <c r="M43" s="313"/>
      <c r="N43" s="313"/>
      <c r="O43" s="314"/>
      <c r="P43" s="314"/>
      <c r="Q43" s="314"/>
      <c r="R43" s="314"/>
      <c r="S43" s="446"/>
      <c r="T43" s="447"/>
      <c r="U43" s="447"/>
      <c r="V43" s="447"/>
    </row>
    <row r="44" spans="3:22" s="293" customFormat="1" ht="18" customHeight="1" x14ac:dyDescent="0.3">
      <c r="C44" s="289" t="s">
        <v>1243</v>
      </c>
      <c r="D44" s="425" t="s">
        <v>1500</v>
      </c>
      <c r="E44" s="309" t="s">
        <v>612</v>
      </c>
      <c r="F44" s="310"/>
      <c r="G44" s="310" t="s">
        <v>1490</v>
      </c>
      <c r="H44" s="310">
        <v>0</v>
      </c>
      <c r="I44" s="311" t="s">
        <v>1509</v>
      </c>
      <c r="J44" s="311" t="s">
        <v>1502</v>
      </c>
      <c r="K44" s="310" t="s">
        <v>1503</v>
      </c>
      <c r="L44" s="309"/>
      <c r="M44" s="309"/>
      <c r="N44" s="309"/>
      <c r="O44" s="309"/>
      <c r="P44" s="309"/>
      <c r="Q44" s="309"/>
      <c r="R44" s="309"/>
      <c r="S44" s="424" t="s">
        <v>1451</v>
      </c>
    </row>
    <row r="45" spans="3:22" s="293" customFormat="1" ht="18" customHeight="1" x14ac:dyDescent="0.3">
      <c r="C45" s="289"/>
      <c r="D45" s="413" t="s">
        <v>1315</v>
      </c>
      <c r="E45" s="413" t="s">
        <v>1520</v>
      </c>
      <c r="F45" s="265"/>
      <c r="G45" s="414" t="s">
        <v>1490</v>
      </c>
      <c r="H45" s="258">
        <v>1</v>
      </c>
      <c r="I45" s="257">
        <v>1</v>
      </c>
      <c r="J45" s="257" t="s">
        <v>1316</v>
      </c>
      <c r="K45" s="265" t="s">
        <v>533</v>
      </c>
      <c r="L45" s="413" t="s">
        <v>1315</v>
      </c>
      <c r="M45" s="273" t="s">
        <v>1333</v>
      </c>
      <c r="N45" s="273" t="s">
        <v>1333</v>
      </c>
      <c r="O45" s="273" t="s">
        <v>1333</v>
      </c>
      <c r="P45" s="273" t="s">
        <v>1333</v>
      </c>
      <c r="Q45" s="273" t="s">
        <v>1333</v>
      </c>
      <c r="R45" s="273" t="s">
        <v>1333</v>
      </c>
      <c r="S45" s="423"/>
    </row>
    <row r="46" spans="3:22" s="293" customFormat="1" ht="18" customHeight="1" x14ac:dyDescent="0.3">
      <c r="C46" s="289"/>
      <c r="D46" s="413" t="s">
        <v>1317</v>
      </c>
      <c r="E46" s="413" t="s">
        <v>1520</v>
      </c>
      <c r="F46" s="265"/>
      <c r="G46" s="414" t="s">
        <v>1490</v>
      </c>
      <c r="H46" s="258">
        <v>1</v>
      </c>
      <c r="I46" s="257">
        <v>1</v>
      </c>
      <c r="J46" s="257" t="s">
        <v>1316</v>
      </c>
      <c r="K46" s="265" t="s">
        <v>534</v>
      </c>
      <c r="L46" s="413" t="s">
        <v>1317</v>
      </c>
      <c r="M46" s="273" t="s">
        <v>1333</v>
      </c>
      <c r="N46" s="273" t="s">
        <v>1333</v>
      </c>
      <c r="O46" s="273" t="s">
        <v>1333</v>
      </c>
      <c r="P46" s="273" t="s">
        <v>1333</v>
      </c>
      <c r="Q46" s="273" t="s">
        <v>1333</v>
      </c>
      <c r="R46" s="273" t="s">
        <v>1333</v>
      </c>
      <c r="S46" s="423"/>
    </row>
    <row r="47" spans="3:22" s="293" customFormat="1" ht="18" customHeight="1" x14ac:dyDescent="0.3">
      <c r="C47" s="289"/>
      <c r="D47" s="413" t="s">
        <v>1318</v>
      </c>
      <c r="E47" s="413" t="s">
        <v>1520</v>
      </c>
      <c r="F47" s="265"/>
      <c r="G47" s="414" t="s">
        <v>1490</v>
      </c>
      <c r="H47" s="258">
        <v>1</v>
      </c>
      <c r="I47" s="257">
        <v>30</v>
      </c>
      <c r="J47" s="257" t="s">
        <v>1316</v>
      </c>
      <c r="K47" s="265"/>
      <c r="L47" s="413" t="s">
        <v>1318</v>
      </c>
      <c r="M47" s="273" t="s">
        <v>1333</v>
      </c>
      <c r="N47" s="273" t="s">
        <v>1333</v>
      </c>
      <c r="O47" s="273" t="s">
        <v>1333</v>
      </c>
      <c r="P47" s="273" t="s">
        <v>1333</v>
      </c>
      <c r="Q47" s="273" t="s">
        <v>1333</v>
      </c>
      <c r="R47" s="273" t="s">
        <v>1333</v>
      </c>
      <c r="S47" s="423"/>
    </row>
    <row r="48" spans="3:22" ht="18" customHeight="1" x14ac:dyDescent="0.3">
      <c r="C48" s="289"/>
      <c r="D48" s="273" t="s">
        <v>1511</v>
      </c>
      <c r="E48" s="414" t="s">
        <v>1465</v>
      </c>
      <c r="F48" s="414"/>
      <c r="G48" s="414" t="s">
        <v>1490</v>
      </c>
      <c r="H48" s="414">
        <v>1</v>
      </c>
      <c r="I48" s="415">
        <v>1</v>
      </c>
      <c r="J48" s="415" t="s">
        <v>1508</v>
      </c>
      <c r="K48" s="414" t="s">
        <v>545</v>
      </c>
      <c r="L48" s="414" t="s">
        <v>1311</v>
      </c>
      <c r="M48" s="273" t="s">
        <v>1333</v>
      </c>
      <c r="N48" s="273" t="s">
        <v>1333</v>
      </c>
      <c r="O48" s="273" t="s">
        <v>1333</v>
      </c>
      <c r="P48" s="273" t="s">
        <v>1333</v>
      </c>
      <c r="Q48" s="273" t="s">
        <v>1333</v>
      </c>
      <c r="R48" s="273" t="s">
        <v>1333</v>
      </c>
      <c r="S48" s="423"/>
      <c r="T48" s="293"/>
      <c r="U48" s="293"/>
      <c r="V48" s="293"/>
    </row>
    <row r="49" spans="3:22" ht="18" customHeight="1" x14ac:dyDescent="0.3">
      <c r="C49" s="289"/>
      <c r="D49" s="273" t="s">
        <v>1512</v>
      </c>
      <c r="E49" s="414" t="s">
        <v>1465</v>
      </c>
      <c r="F49" s="414"/>
      <c r="G49" s="414" t="s">
        <v>1490</v>
      </c>
      <c r="H49" s="414">
        <v>1</v>
      </c>
      <c r="I49" s="415">
        <v>31</v>
      </c>
      <c r="J49" s="415" t="s">
        <v>1508</v>
      </c>
      <c r="K49" s="414"/>
      <c r="L49" s="414" t="s">
        <v>1512</v>
      </c>
      <c r="M49" s="273" t="s">
        <v>1333</v>
      </c>
      <c r="N49" s="273" t="s">
        <v>1333</v>
      </c>
      <c r="O49" s="273" t="s">
        <v>1333</v>
      </c>
      <c r="P49" s="273" t="s">
        <v>1333</v>
      </c>
      <c r="Q49" s="273" t="s">
        <v>1333</v>
      </c>
      <c r="R49" s="273" t="s">
        <v>1333</v>
      </c>
      <c r="S49" s="423"/>
      <c r="T49" s="293"/>
      <c r="U49" s="293"/>
      <c r="V49" s="293"/>
    </row>
    <row r="50" spans="3:22" ht="18" customHeight="1" x14ac:dyDescent="0.3">
      <c r="C50" s="436"/>
      <c r="D50" s="414" t="s">
        <v>366</v>
      </c>
      <c r="E50" s="414" t="s">
        <v>363</v>
      </c>
      <c r="F50" s="283" t="s">
        <v>550</v>
      </c>
      <c r="G50" s="414" t="s">
        <v>1517</v>
      </c>
      <c r="H50" s="414">
        <v>1</v>
      </c>
      <c r="I50" s="415">
        <f>32*8</f>
        <v>256</v>
      </c>
      <c r="J50" s="415" t="s">
        <v>1239</v>
      </c>
      <c r="K50" s="414" t="s">
        <v>1522</v>
      </c>
      <c r="L50" s="414" t="s">
        <v>1321</v>
      </c>
      <c r="M50" s="414" t="s">
        <v>1321</v>
      </c>
      <c r="N50" s="414" t="s">
        <v>1321</v>
      </c>
      <c r="O50" s="414" t="s">
        <v>1321</v>
      </c>
      <c r="P50" s="414" t="s">
        <v>1321</v>
      </c>
      <c r="Q50" s="414" t="s">
        <v>1321</v>
      </c>
      <c r="R50" s="414" t="s">
        <v>1321</v>
      </c>
      <c r="S50" s="422"/>
      <c r="T50" s="293"/>
      <c r="U50" s="293"/>
      <c r="V50" s="293"/>
    </row>
    <row r="51" spans="3:22" ht="18" customHeight="1" x14ac:dyDescent="0.3">
      <c r="C51" s="411"/>
      <c r="D51" s="312" t="s">
        <v>1513</v>
      </c>
      <c r="E51" s="309" t="s">
        <v>612</v>
      </c>
      <c r="F51" s="310"/>
      <c r="G51" s="310" t="s">
        <v>1490</v>
      </c>
      <c r="H51" s="310">
        <v>0</v>
      </c>
      <c r="I51" s="311" t="s">
        <v>1510</v>
      </c>
      <c r="J51" s="311" t="s">
        <v>1319</v>
      </c>
      <c r="K51" s="310" t="s">
        <v>1503</v>
      </c>
      <c r="L51" s="315"/>
      <c r="M51" s="313"/>
      <c r="N51" s="313"/>
      <c r="O51" s="314"/>
      <c r="P51" s="314"/>
      <c r="Q51" s="314"/>
      <c r="R51" s="314"/>
      <c r="S51" s="446"/>
      <c r="T51" s="447"/>
      <c r="U51" s="447"/>
      <c r="V51" s="447"/>
    </row>
    <row r="52" spans="3:22" ht="18" customHeight="1" x14ac:dyDescent="0.3">
      <c r="C52" s="455" t="s">
        <v>63</v>
      </c>
      <c r="D52" s="277" t="s">
        <v>64</v>
      </c>
      <c r="E52" s="427" t="s">
        <v>612</v>
      </c>
      <c r="F52" s="283" t="s">
        <v>17</v>
      </c>
      <c r="G52" s="427" t="s">
        <v>1517</v>
      </c>
      <c r="H52" s="427">
        <v>1</v>
      </c>
      <c r="I52" s="434">
        <v>1</v>
      </c>
      <c r="J52" s="434" t="s">
        <v>1172</v>
      </c>
      <c r="K52" s="277" t="s">
        <v>424</v>
      </c>
      <c r="L52" s="427" t="s">
        <v>1245</v>
      </c>
      <c r="M52" s="277" t="s">
        <v>64</v>
      </c>
      <c r="N52" s="427" t="s">
        <v>64</v>
      </c>
      <c r="O52" s="427" t="s">
        <v>1334</v>
      </c>
      <c r="P52" s="427" t="s">
        <v>1334</v>
      </c>
      <c r="Q52" s="427" t="s">
        <v>1334</v>
      </c>
      <c r="R52" s="427" t="s">
        <v>1334</v>
      </c>
      <c r="S52" s="468" t="s">
        <v>1338</v>
      </c>
      <c r="T52" s="448"/>
      <c r="U52" s="448"/>
      <c r="V52" s="448"/>
    </row>
    <row r="53" spans="3:22" ht="18" customHeight="1" x14ac:dyDescent="0.3">
      <c r="C53" s="455"/>
      <c r="D53" s="277" t="s">
        <v>67</v>
      </c>
      <c r="E53" s="427" t="s">
        <v>612</v>
      </c>
      <c r="F53" s="283" t="s">
        <v>17</v>
      </c>
      <c r="G53" s="427" t="s">
        <v>1517</v>
      </c>
      <c r="H53" s="427">
        <v>1</v>
      </c>
      <c r="I53" s="434">
        <v>1</v>
      </c>
      <c r="J53" s="434" t="s">
        <v>1172</v>
      </c>
      <c r="K53" s="277" t="s">
        <v>425</v>
      </c>
      <c r="L53" s="427" t="s">
        <v>1246</v>
      </c>
      <c r="M53" s="277" t="s">
        <v>67</v>
      </c>
      <c r="N53" s="427" t="s">
        <v>67</v>
      </c>
      <c r="O53" s="427" t="s">
        <v>1334</v>
      </c>
      <c r="P53" s="427" t="s">
        <v>1334</v>
      </c>
      <c r="Q53" s="427" t="s">
        <v>1334</v>
      </c>
      <c r="R53" s="427" t="s">
        <v>1334</v>
      </c>
      <c r="S53" s="468" t="s">
        <v>1338</v>
      </c>
      <c r="T53" s="448"/>
      <c r="U53" s="448"/>
      <c r="V53" s="448"/>
    </row>
    <row r="54" spans="3:22" ht="18" customHeight="1" x14ac:dyDescent="0.3">
      <c r="C54" s="455"/>
      <c r="D54" s="277" t="s">
        <v>71</v>
      </c>
      <c r="E54" s="427" t="s">
        <v>70</v>
      </c>
      <c r="F54" s="283" t="s">
        <v>17</v>
      </c>
      <c r="G54" s="427" t="s">
        <v>1517</v>
      </c>
      <c r="H54" s="427">
        <v>1</v>
      </c>
      <c r="I54" s="434">
        <v>1</v>
      </c>
      <c r="J54" s="434" t="s">
        <v>1172</v>
      </c>
      <c r="K54" s="277" t="s">
        <v>426</v>
      </c>
      <c r="L54" s="427" t="s">
        <v>71</v>
      </c>
      <c r="M54" s="277" t="s">
        <v>71</v>
      </c>
      <c r="N54" s="427" t="s">
        <v>72</v>
      </c>
      <c r="O54" s="275" t="s">
        <v>1334</v>
      </c>
      <c r="P54" s="427" t="s">
        <v>1339</v>
      </c>
      <c r="Q54" s="427" t="s">
        <v>1334</v>
      </c>
      <c r="R54" s="427" t="s">
        <v>1339</v>
      </c>
      <c r="S54" s="468" t="s">
        <v>1340</v>
      </c>
      <c r="T54" s="448"/>
      <c r="U54" s="448"/>
      <c r="V54" s="448" t="s">
        <v>1411</v>
      </c>
    </row>
    <row r="55" spans="3:22" ht="18" customHeight="1" x14ac:dyDescent="0.3">
      <c r="C55" s="455"/>
      <c r="D55" s="277" t="s">
        <v>73</v>
      </c>
      <c r="E55" s="427" t="s">
        <v>612</v>
      </c>
      <c r="F55" s="283" t="s">
        <v>17</v>
      </c>
      <c r="G55" s="427" t="s">
        <v>1517</v>
      </c>
      <c r="H55" s="427">
        <v>1</v>
      </c>
      <c r="I55" s="434">
        <v>1</v>
      </c>
      <c r="J55" s="434" t="s">
        <v>1172</v>
      </c>
      <c r="K55" s="277" t="s">
        <v>427</v>
      </c>
      <c r="L55" s="427" t="s">
        <v>1247</v>
      </c>
      <c r="M55" s="277" t="s">
        <v>73</v>
      </c>
      <c r="N55" s="427" t="s">
        <v>73</v>
      </c>
      <c r="O55" s="427" t="s">
        <v>1334</v>
      </c>
      <c r="P55" s="427" t="s">
        <v>1334</v>
      </c>
      <c r="Q55" s="427" t="s">
        <v>1334</v>
      </c>
      <c r="R55" s="427" t="s">
        <v>1334</v>
      </c>
      <c r="S55" s="468"/>
      <c r="T55" s="448"/>
      <c r="U55" s="448"/>
      <c r="V55" s="448"/>
    </row>
    <row r="56" spans="3:22" ht="18" customHeight="1" x14ac:dyDescent="0.3">
      <c r="C56" s="455"/>
      <c r="D56" s="277" t="s">
        <v>76</v>
      </c>
      <c r="E56" s="427" t="s">
        <v>75</v>
      </c>
      <c r="F56" s="283" t="s">
        <v>17</v>
      </c>
      <c r="G56" s="427" t="s">
        <v>1517</v>
      </c>
      <c r="H56" s="427">
        <v>1</v>
      </c>
      <c r="I56" s="434">
        <v>1</v>
      </c>
      <c r="J56" s="434" t="s">
        <v>1172</v>
      </c>
      <c r="K56" s="277" t="s">
        <v>428</v>
      </c>
      <c r="L56" s="427" t="s">
        <v>76</v>
      </c>
      <c r="M56" s="277" t="s">
        <v>76</v>
      </c>
      <c r="N56" s="427" t="s">
        <v>77</v>
      </c>
      <c r="O56" s="427" t="s">
        <v>1381</v>
      </c>
      <c r="P56" s="427" t="s">
        <v>1381</v>
      </c>
      <c r="Q56" s="427" t="s">
        <v>1381</v>
      </c>
      <c r="R56" s="427" t="s">
        <v>1381</v>
      </c>
      <c r="S56" s="468" t="s">
        <v>1346</v>
      </c>
      <c r="T56" s="448" t="s">
        <v>1348</v>
      </c>
      <c r="U56" s="448" t="s">
        <v>1371</v>
      </c>
      <c r="V56" s="448" t="s">
        <v>1412</v>
      </c>
    </row>
    <row r="57" spans="3:22" ht="18" customHeight="1" x14ac:dyDescent="0.3">
      <c r="C57" s="455"/>
      <c r="D57" s="277" t="s">
        <v>79</v>
      </c>
      <c r="E57" s="427" t="s">
        <v>75</v>
      </c>
      <c r="F57" s="283" t="s">
        <v>17</v>
      </c>
      <c r="G57" s="427" t="s">
        <v>1517</v>
      </c>
      <c r="H57" s="427">
        <v>1</v>
      </c>
      <c r="I57" s="434">
        <v>1</v>
      </c>
      <c r="J57" s="434" t="s">
        <v>1172</v>
      </c>
      <c r="K57" s="277" t="s">
        <v>429</v>
      </c>
      <c r="L57" s="427" t="s">
        <v>79</v>
      </c>
      <c r="M57" s="277" t="s">
        <v>79</v>
      </c>
      <c r="N57" s="427" t="s">
        <v>80</v>
      </c>
      <c r="O57" s="427" t="s">
        <v>1381</v>
      </c>
      <c r="P57" s="427" t="s">
        <v>1381</v>
      </c>
      <c r="Q57" s="427" t="s">
        <v>1381</v>
      </c>
      <c r="R57" s="427" t="s">
        <v>1381</v>
      </c>
      <c r="S57" s="468" t="s">
        <v>1346</v>
      </c>
      <c r="T57" s="448" t="s">
        <v>1348</v>
      </c>
      <c r="U57" s="448" t="s">
        <v>1371</v>
      </c>
      <c r="V57" s="448" t="s">
        <v>1412</v>
      </c>
    </row>
    <row r="58" spans="3:22" ht="18" customHeight="1" x14ac:dyDescent="0.3">
      <c r="C58" s="455"/>
      <c r="D58" s="277" t="s">
        <v>81</v>
      </c>
      <c r="E58" s="304" t="s">
        <v>1466</v>
      </c>
      <c r="F58" s="283" t="s">
        <v>17</v>
      </c>
      <c r="G58" s="427" t="s">
        <v>1517</v>
      </c>
      <c r="H58" s="427">
        <v>1</v>
      </c>
      <c r="I58" s="434">
        <v>1</v>
      </c>
      <c r="J58" s="434" t="s">
        <v>1172</v>
      </c>
      <c r="K58" s="277" t="s">
        <v>430</v>
      </c>
      <c r="L58" s="427" t="s">
        <v>81</v>
      </c>
      <c r="M58" s="277" t="s">
        <v>81</v>
      </c>
      <c r="N58" s="427" t="s">
        <v>81</v>
      </c>
      <c r="O58" s="428" t="s">
        <v>1342</v>
      </c>
      <c r="P58" s="427" t="s">
        <v>1339</v>
      </c>
      <c r="Q58" s="427" t="s">
        <v>1334</v>
      </c>
      <c r="R58" s="427" t="s">
        <v>1339</v>
      </c>
      <c r="S58" s="468" t="s">
        <v>1340</v>
      </c>
      <c r="T58" s="448"/>
      <c r="U58" s="448"/>
      <c r="V58" s="448" t="s">
        <v>1445</v>
      </c>
    </row>
    <row r="59" spans="3:22" ht="18" customHeight="1" x14ac:dyDescent="0.3">
      <c r="C59" s="455"/>
      <c r="D59" s="277" t="s">
        <v>83</v>
      </c>
      <c r="E59" s="432" t="s">
        <v>83</v>
      </c>
      <c r="F59" s="283" t="s">
        <v>17</v>
      </c>
      <c r="G59" s="427" t="s">
        <v>1517</v>
      </c>
      <c r="H59" s="427">
        <v>1</v>
      </c>
      <c r="I59" s="434">
        <v>1</v>
      </c>
      <c r="J59" s="434" t="s">
        <v>1172</v>
      </c>
      <c r="K59" s="277" t="s">
        <v>431</v>
      </c>
      <c r="L59" s="427" t="s">
        <v>1248</v>
      </c>
      <c r="M59" s="277" t="s">
        <v>83</v>
      </c>
      <c r="N59" s="427" t="s">
        <v>83</v>
      </c>
      <c r="O59" s="275" t="s">
        <v>1381</v>
      </c>
      <c r="P59" s="275" t="s">
        <v>1381</v>
      </c>
      <c r="Q59" s="275" t="s">
        <v>1381</v>
      </c>
      <c r="R59" s="275" t="s">
        <v>1381</v>
      </c>
      <c r="S59" s="468" t="s">
        <v>1444</v>
      </c>
      <c r="T59" s="448" t="s">
        <v>1349</v>
      </c>
      <c r="U59" s="448"/>
      <c r="V59" s="448" t="s">
        <v>1413</v>
      </c>
    </row>
    <row r="60" spans="3:22" ht="18" customHeight="1" x14ac:dyDescent="0.3">
      <c r="C60" s="455"/>
      <c r="D60" s="277" t="s">
        <v>85</v>
      </c>
      <c r="E60" s="427" t="s">
        <v>612</v>
      </c>
      <c r="F60" s="284" t="s">
        <v>17</v>
      </c>
      <c r="G60" s="427" t="s">
        <v>1517</v>
      </c>
      <c r="H60" s="427">
        <v>1</v>
      </c>
      <c r="I60" s="434">
        <v>1</v>
      </c>
      <c r="J60" s="434" t="s">
        <v>1173</v>
      </c>
      <c r="K60" s="277" t="s">
        <v>432</v>
      </c>
      <c r="L60" s="427" t="s">
        <v>85</v>
      </c>
      <c r="M60" s="277" t="s">
        <v>85</v>
      </c>
      <c r="N60" s="427" t="s">
        <v>85</v>
      </c>
      <c r="O60" s="427" t="s">
        <v>1334</v>
      </c>
      <c r="P60" s="427" t="s">
        <v>1334</v>
      </c>
      <c r="Q60" s="427" t="s">
        <v>1334</v>
      </c>
      <c r="R60" s="427" t="s">
        <v>1334</v>
      </c>
      <c r="S60" s="468" t="s">
        <v>1341</v>
      </c>
      <c r="T60" s="448"/>
      <c r="U60" s="448"/>
      <c r="V60" s="448"/>
    </row>
    <row r="61" spans="3:22" ht="18" customHeight="1" x14ac:dyDescent="0.3">
      <c r="C61" s="455"/>
      <c r="D61" s="277" t="s">
        <v>810</v>
      </c>
      <c r="E61" s="427" t="s">
        <v>808</v>
      </c>
      <c r="F61" s="284" t="s">
        <v>17</v>
      </c>
      <c r="G61" s="427" t="s">
        <v>1517</v>
      </c>
      <c r="H61" s="427">
        <v>1</v>
      </c>
      <c r="I61" s="434">
        <v>1</v>
      </c>
      <c r="J61" s="434" t="s">
        <v>1173</v>
      </c>
      <c r="K61" s="277" t="s">
        <v>811</v>
      </c>
      <c r="L61" s="427" t="s">
        <v>1249</v>
      </c>
      <c r="M61" s="274" t="s">
        <v>810</v>
      </c>
      <c r="N61" s="274" t="s">
        <v>810</v>
      </c>
      <c r="O61" s="427" t="s">
        <v>1334</v>
      </c>
      <c r="P61" s="427" t="s">
        <v>1334</v>
      </c>
      <c r="Q61" s="427" t="s">
        <v>1334</v>
      </c>
      <c r="R61" s="427" t="s">
        <v>1334</v>
      </c>
      <c r="S61" s="468" t="s">
        <v>1341</v>
      </c>
      <c r="T61" s="448"/>
      <c r="U61" s="448" t="s">
        <v>1372</v>
      </c>
      <c r="V61" s="448"/>
    </row>
    <row r="62" spans="3:22" ht="18" customHeight="1" x14ac:dyDescent="0.3">
      <c r="C62" s="455"/>
      <c r="D62" s="277" t="s">
        <v>89</v>
      </c>
      <c r="E62" s="427" t="s">
        <v>646</v>
      </c>
      <c r="F62" s="284" t="s">
        <v>17</v>
      </c>
      <c r="G62" s="427" t="s">
        <v>1517</v>
      </c>
      <c r="H62" s="427">
        <v>1</v>
      </c>
      <c r="I62" s="434">
        <v>1</v>
      </c>
      <c r="J62" s="434" t="s">
        <v>1173</v>
      </c>
      <c r="K62" s="277" t="s">
        <v>433</v>
      </c>
      <c r="L62" s="427" t="s">
        <v>1250</v>
      </c>
      <c r="M62" s="277" t="s">
        <v>89</v>
      </c>
      <c r="N62" s="427" t="s">
        <v>90</v>
      </c>
      <c r="O62" s="427" t="s">
        <v>1334</v>
      </c>
      <c r="P62" s="427" t="s">
        <v>1339</v>
      </c>
      <c r="Q62" s="427" t="s">
        <v>1373</v>
      </c>
      <c r="R62" s="427" t="s">
        <v>1339</v>
      </c>
      <c r="S62" s="468" t="s">
        <v>1341</v>
      </c>
      <c r="T62" s="448" t="s">
        <v>1463</v>
      </c>
      <c r="U62" s="448" t="s">
        <v>1374</v>
      </c>
      <c r="V62" s="448" t="s">
        <v>1414</v>
      </c>
    </row>
    <row r="63" spans="3:22" ht="18" customHeight="1" x14ac:dyDescent="0.3">
      <c r="C63" s="455"/>
      <c r="D63" s="277" t="s">
        <v>92</v>
      </c>
      <c r="E63" s="427" t="s">
        <v>91</v>
      </c>
      <c r="F63" s="284" t="s">
        <v>17</v>
      </c>
      <c r="G63" s="427" t="s">
        <v>1517</v>
      </c>
      <c r="H63" s="427">
        <v>1</v>
      </c>
      <c r="I63" s="434">
        <v>1</v>
      </c>
      <c r="J63" s="434" t="s">
        <v>1173</v>
      </c>
      <c r="K63" s="277" t="s">
        <v>434</v>
      </c>
      <c r="L63" s="427" t="s">
        <v>1251</v>
      </c>
      <c r="M63" s="277" t="s">
        <v>1239</v>
      </c>
      <c r="N63" s="427" t="s">
        <v>93</v>
      </c>
      <c r="O63" s="427" t="s">
        <v>1381</v>
      </c>
      <c r="P63" s="427" t="s">
        <v>1381</v>
      </c>
      <c r="Q63" s="427" t="s">
        <v>1381</v>
      </c>
      <c r="R63" s="427" t="s">
        <v>1381</v>
      </c>
      <c r="S63" s="468" t="s">
        <v>1345</v>
      </c>
      <c r="T63" s="448"/>
      <c r="U63" s="448" t="s">
        <v>1375</v>
      </c>
      <c r="V63" s="448"/>
    </row>
    <row r="64" spans="3:22" ht="18" customHeight="1" x14ac:dyDescent="0.3">
      <c r="C64" s="455"/>
      <c r="D64" s="277" t="s">
        <v>94</v>
      </c>
      <c r="E64" s="427" t="s">
        <v>648</v>
      </c>
      <c r="F64" s="284" t="s">
        <v>17</v>
      </c>
      <c r="G64" s="427" t="s">
        <v>1517</v>
      </c>
      <c r="H64" s="427">
        <v>1</v>
      </c>
      <c r="I64" s="434">
        <v>1</v>
      </c>
      <c r="J64" s="434" t="s">
        <v>1173</v>
      </c>
      <c r="K64" s="277" t="s">
        <v>435</v>
      </c>
      <c r="L64" s="427" t="s">
        <v>94</v>
      </c>
      <c r="M64" s="277" t="s">
        <v>94</v>
      </c>
      <c r="N64" s="427" t="s">
        <v>95</v>
      </c>
      <c r="O64" s="427" t="s">
        <v>1334</v>
      </c>
      <c r="P64" s="427" t="s">
        <v>1339</v>
      </c>
      <c r="Q64" s="427" t="s">
        <v>1339</v>
      </c>
      <c r="R64" s="427" t="s">
        <v>1339</v>
      </c>
      <c r="S64" s="468"/>
      <c r="T64" s="448" t="s">
        <v>1350</v>
      </c>
      <c r="U64" s="448" t="s">
        <v>1376</v>
      </c>
      <c r="V64" s="448" t="s">
        <v>1414</v>
      </c>
    </row>
    <row r="65" spans="3:22" ht="18" customHeight="1" x14ac:dyDescent="0.3">
      <c r="C65" s="455"/>
      <c r="D65" s="277" t="s">
        <v>96</v>
      </c>
      <c r="E65" s="427" t="s">
        <v>172</v>
      </c>
      <c r="F65" s="284" t="s">
        <v>17</v>
      </c>
      <c r="G65" s="427" t="s">
        <v>1517</v>
      </c>
      <c r="H65" s="427">
        <v>1</v>
      </c>
      <c r="I65" s="434">
        <v>1</v>
      </c>
      <c r="J65" s="434" t="s">
        <v>1173</v>
      </c>
      <c r="K65" s="277" t="s">
        <v>436</v>
      </c>
      <c r="L65" s="427" t="s">
        <v>96</v>
      </c>
      <c r="M65" s="277" t="s">
        <v>96</v>
      </c>
      <c r="N65" s="427" t="s">
        <v>97</v>
      </c>
      <c r="O65" s="275" t="s">
        <v>1334</v>
      </c>
      <c r="P65" s="275" t="s">
        <v>1381</v>
      </c>
      <c r="Q65" s="275" t="s">
        <v>1381</v>
      </c>
      <c r="R65" s="275" t="s">
        <v>1381</v>
      </c>
      <c r="S65" s="451" t="s">
        <v>1416</v>
      </c>
      <c r="T65" s="448" t="s">
        <v>1348</v>
      </c>
      <c r="U65" s="448" t="s">
        <v>1371</v>
      </c>
      <c r="V65" s="452" t="s">
        <v>1415</v>
      </c>
    </row>
    <row r="66" spans="3:22" ht="18" customHeight="1" x14ac:dyDescent="0.3">
      <c r="C66" s="455"/>
      <c r="D66" s="277" t="s">
        <v>98</v>
      </c>
      <c r="E66" s="427" t="s">
        <v>612</v>
      </c>
      <c r="F66" s="284" t="s">
        <v>17</v>
      </c>
      <c r="G66" s="427" t="s">
        <v>1517</v>
      </c>
      <c r="H66" s="427">
        <v>1</v>
      </c>
      <c r="I66" s="434">
        <v>1</v>
      </c>
      <c r="J66" s="434" t="s">
        <v>1173</v>
      </c>
      <c r="K66" s="277" t="s">
        <v>437</v>
      </c>
      <c r="L66" s="427" t="s">
        <v>1252</v>
      </c>
      <c r="M66" s="277" t="s">
        <v>98</v>
      </c>
      <c r="N66" s="275" t="s">
        <v>1418</v>
      </c>
      <c r="O66" s="427" t="s">
        <v>1334</v>
      </c>
      <c r="P66" s="427" t="s">
        <v>1334</v>
      </c>
      <c r="Q66" s="427" t="s">
        <v>1334</v>
      </c>
      <c r="R66" s="427" t="s">
        <v>1334</v>
      </c>
      <c r="S66" s="468" t="s">
        <v>1452</v>
      </c>
      <c r="T66" s="448"/>
      <c r="U66" s="448"/>
      <c r="V66" s="448" t="s">
        <v>1417</v>
      </c>
    </row>
    <row r="67" spans="3:22" ht="18" customHeight="1" x14ac:dyDescent="0.3">
      <c r="C67" s="455"/>
      <c r="D67" s="277" t="s">
        <v>101</v>
      </c>
      <c r="E67" s="427" t="s">
        <v>100</v>
      </c>
      <c r="F67" s="284" t="s">
        <v>17</v>
      </c>
      <c r="G67" s="427" t="s">
        <v>1517</v>
      </c>
      <c r="H67" s="427">
        <v>1</v>
      </c>
      <c r="I67" s="434">
        <v>1</v>
      </c>
      <c r="J67" s="434" t="s">
        <v>1173</v>
      </c>
      <c r="K67" s="277" t="s">
        <v>438</v>
      </c>
      <c r="L67" s="277" t="s">
        <v>1253</v>
      </c>
      <c r="M67" s="277" t="s">
        <v>102</v>
      </c>
      <c r="N67" s="427" t="s">
        <v>102</v>
      </c>
      <c r="O67" s="427" t="s">
        <v>1342</v>
      </c>
      <c r="P67" s="427" t="s">
        <v>1339</v>
      </c>
      <c r="Q67" s="427" t="s">
        <v>1339</v>
      </c>
      <c r="R67" s="427" t="s">
        <v>1339</v>
      </c>
      <c r="S67" s="468"/>
      <c r="T67" s="448"/>
      <c r="U67" s="448"/>
      <c r="V67" s="448"/>
    </row>
    <row r="68" spans="3:22" ht="18" customHeight="1" x14ac:dyDescent="0.3">
      <c r="C68" s="455"/>
      <c r="D68" s="277" t="s">
        <v>103</v>
      </c>
      <c r="E68" s="427" t="s">
        <v>612</v>
      </c>
      <c r="F68" s="283"/>
      <c r="G68" s="427" t="s">
        <v>1517</v>
      </c>
      <c r="H68" s="427">
        <v>1</v>
      </c>
      <c r="I68" s="434">
        <v>1</v>
      </c>
      <c r="J68" s="434" t="s">
        <v>1174</v>
      </c>
      <c r="K68" s="277" t="s">
        <v>439</v>
      </c>
      <c r="L68" s="427" t="s">
        <v>1254</v>
      </c>
      <c r="M68" s="277" t="s">
        <v>103</v>
      </c>
      <c r="N68" s="427" t="s">
        <v>103</v>
      </c>
      <c r="O68" s="427" t="s">
        <v>1334</v>
      </c>
      <c r="P68" s="427" t="s">
        <v>1334</v>
      </c>
      <c r="Q68" s="427" t="s">
        <v>1334</v>
      </c>
      <c r="R68" s="427" t="s">
        <v>1334</v>
      </c>
      <c r="S68" s="468"/>
      <c r="T68" s="448"/>
      <c r="U68" s="448"/>
      <c r="V68" s="448"/>
    </row>
    <row r="69" spans="3:22" ht="18" customHeight="1" x14ac:dyDescent="0.3">
      <c r="C69" s="455"/>
      <c r="D69" s="277" t="s">
        <v>105</v>
      </c>
      <c r="E69" s="427" t="s">
        <v>612</v>
      </c>
      <c r="F69" s="283"/>
      <c r="G69" s="427" t="s">
        <v>1517</v>
      </c>
      <c r="H69" s="427">
        <v>1</v>
      </c>
      <c r="I69" s="434">
        <v>1</v>
      </c>
      <c r="J69" s="434" t="s">
        <v>1174</v>
      </c>
      <c r="K69" s="277" t="s">
        <v>440</v>
      </c>
      <c r="L69" s="427" t="s">
        <v>1255</v>
      </c>
      <c r="M69" s="277" t="s">
        <v>105</v>
      </c>
      <c r="N69" s="427" t="s">
        <v>105</v>
      </c>
      <c r="O69" s="427" t="s">
        <v>1334</v>
      </c>
      <c r="P69" s="427" t="s">
        <v>1334</v>
      </c>
      <c r="Q69" s="427" t="s">
        <v>1334</v>
      </c>
      <c r="R69" s="427" t="s">
        <v>1334</v>
      </c>
      <c r="S69" s="468"/>
      <c r="T69" s="448"/>
      <c r="U69" s="448"/>
      <c r="V69" s="448"/>
    </row>
    <row r="70" spans="3:22" ht="18" customHeight="1" x14ac:dyDescent="0.3">
      <c r="C70" s="455"/>
      <c r="D70" s="487" t="s">
        <v>107</v>
      </c>
      <c r="E70" s="427" t="s">
        <v>100</v>
      </c>
      <c r="F70" s="283"/>
      <c r="G70" s="427" t="s">
        <v>1517</v>
      </c>
      <c r="H70" s="427">
        <v>1</v>
      </c>
      <c r="I70" s="434">
        <v>5</v>
      </c>
      <c r="J70" s="434" t="s">
        <v>1174</v>
      </c>
      <c r="K70" s="277" t="s">
        <v>441</v>
      </c>
      <c r="L70" s="277" t="s">
        <v>107</v>
      </c>
      <c r="M70" s="277" t="s">
        <v>1320</v>
      </c>
      <c r="N70" s="277" t="s">
        <v>1239</v>
      </c>
      <c r="O70" s="427" t="s">
        <v>1334</v>
      </c>
      <c r="P70" s="277" t="s">
        <v>1339</v>
      </c>
      <c r="Q70" s="277" t="s">
        <v>1339</v>
      </c>
      <c r="R70" s="277" t="s">
        <v>1339</v>
      </c>
      <c r="S70" s="468"/>
      <c r="T70" s="448"/>
      <c r="U70" s="448"/>
      <c r="V70" s="448"/>
    </row>
    <row r="71" spans="3:22" ht="18" customHeight="1" x14ac:dyDescent="0.3">
      <c r="C71" s="455"/>
      <c r="D71" s="412" t="s">
        <v>109</v>
      </c>
      <c r="E71" s="263" t="s">
        <v>108</v>
      </c>
      <c r="F71" s="285"/>
      <c r="G71" s="263" t="s">
        <v>1517</v>
      </c>
      <c r="H71" s="263">
        <v>1</v>
      </c>
      <c r="I71" s="416">
        <v>1</v>
      </c>
      <c r="J71" s="416" t="s">
        <v>1174</v>
      </c>
      <c r="K71" s="489" t="s">
        <v>520</v>
      </c>
      <c r="L71" s="263" t="s">
        <v>1239</v>
      </c>
      <c r="M71" s="412" t="s">
        <v>110</v>
      </c>
      <c r="N71" s="417" t="s">
        <v>110</v>
      </c>
      <c r="O71" s="417" t="s">
        <v>1339</v>
      </c>
      <c r="P71" s="417" t="s">
        <v>1339</v>
      </c>
      <c r="Q71" s="417" t="s">
        <v>1339</v>
      </c>
      <c r="R71" s="417" t="s">
        <v>1339</v>
      </c>
      <c r="S71" s="469"/>
      <c r="T71" s="448" t="s">
        <v>1351</v>
      </c>
      <c r="U71" s="448"/>
      <c r="V71" s="448"/>
    </row>
    <row r="72" spans="3:22" ht="18" customHeight="1" x14ac:dyDescent="0.3">
      <c r="C72" s="455"/>
      <c r="D72" s="412" t="s">
        <v>111</v>
      </c>
      <c r="E72" s="263" t="s">
        <v>108</v>
      </c>
      <c r="F72" s="285"/>
      <c r="G72" s="263" t="s">
        <v>1517</v>
      </c>
      <c r="H72" s="263">
        <v>1</v>
      </c>
      <c r="I72" s="416">
        <v>1</v>
      </c>
      <c r="J72" s="416" t="s">
        <v>1174</v>
      </c>
      <c r="K72" s="489" t="s">
        <v>520</v>
      </c>
      <c r="L72" s="263" t="s">
        <v>1239</v>
      </c>
      <c r="M72" s="412" t="s">
        <v>112</v>
      </c>
      <c r="N72" s="417" t="s">
        <v>112</v>
      </c>
      <c r="O72" s="417" t="s">
        <v>1339</v>
      </c>
      <c r="P72" s="417" t="s">
        <v>1339</v>
      </c>
      <c r="Q72" s="417" t="s">
        <v>1339</v>
      </c>
      <c r="R72" s="417" t="s">
        <v>1339</v>
      </c>
      <c r="S72" s="469"/>
      <c r="T72" s="448" t="s">
        <v>1351</v>
      </c>
      <c r="U72" s="448"/>
      <c r="V72" s="448"/>
    </row>
    <row r="73" spans="3:22" ht="18" customHeight="1" x14ac:dyDescent="0.3">
      <c r="C73" s="455"/>
      <c r="D73" s="412" t="s">
        <v>113</v>
      </c>
      <c r="E73" s="263" t="s">
        <v>108</v>
      </c>
      <c r="F73" s="285"/>
      <c r="G73" s="263" t="s">
        <v>1517</v>
      </c>
      <c r="H73" s="263">
        <v>1</v>
      </c>
      <c r="I73" s="416">
        <v>1</v>
      </c>
      <c r="J73" s="416" t="s">
        <v>1174</v>
      </c>
      <c r="K73" s="489" t="s">
        <v>520</v>
      </c>
      <c r="L73" s="263" t="s">
        <v>1239</v>
      </c>
      <c r="M73" s="412" t="s">
        <v>114</v>
      </c>
      <c r="N73" s="417" t="s">
        <v>114</v>
      </c>
      <c r="O73" s="417" t="s">
        <v>1339</v>
      </c>
      <c r="P73" s="417" t="s">
        <v>1339</v>
      </c>
      <c r="Q73" s="417" t="s">
        <v>1339</v>
      </c>
      <c r="R73" s="417" t="s">
        <v>1339</v>
      </c>
      <c r="S73" s="469"/>
      <c r="T73" s="448" t="s">
        <v>1351</v>
      </c>
      <c r="U73" s="448"/>
      <c r="V73" s="448"/>
    </row>
    <row r="74" spans="3:22" ht="18" customHeight="1" x14ac:dyDescent="0.3">
      <c r="C74" s="455"/>
      <c r="D74" s="412" t="s">
        <v>115</v>
      </c>
      <c r="E74" s="263" t="s">
        <v>108</v>
      </c>
      <c r="F74" s="285"/>
      <c r="G74" s="263" t="s">
        <v>1517</v>
      </c>
      <c r="H74" s="263">
        <v>1</v>
      </c>
      <c r="I74" s="416">
        <v>1</v>
      </c>
      <c r="J74" s="416" t="s">
        <v>1174</v>
      </c>
      <c r="K74" s="489" t="s">
        <v>520</v>
      </c>
      <c r="L74" s="263" t="s">
        <v>1239</v>
      </c>
      <c r="M74" s="412" t="s">
        <v>116</v>
      </c>
      <c r="N74" s="417" t="s">
        <v>116</v>
      </c>
      <c r="O74" s="417" t="s">
        <v>1339</v>
      </c>
      <c r="P74" s="417" t="s">
        <v>1339</v>
      </c>
      <c r="Q74" s="417" t="s">
        <v>1339</v>
      </c>
      <c r="R74" s="417" t="s">
        <v>1339</v>
      </c>
      <c r="S74" s="469"/>
      <c r="T74" s="448" t="s">
        <v>1351</v>
      </c>
      <c r="U74" s="448"/>
      <c r="V74" s="448"/>
    </row>
    <row r="75" spans="3:22" ht="18" customHeight="1" x14ac:dyDescent="0.3">
      <c r="C75" s="455"/>
      <c r="D75" s="412" t="s">
        <v>117</v>
      </c>
      <c r="E75" s="263" t="s">
        <v>108</v>
      </c>
      <c r="F75" s="285"/>
      <c r="G75" s="263" t="s">
        <v>1517</v>
      </c>
      <c r="H75" s="263">
        <v>1</v>
      </c>
      <c r="I75" s="416">
        <v>1</v>
      </c>
      <c r="J75" s="416" t="s">
        <v>1174</v>
      </c>
      <c r="K75" s="489" t="s">
        <v>520</v>
      </c>
      <c r="L75" s="263" t="s">
        <v>1239</v>
      </c>
      <c r="M75" s="412" t="s">
        <v>118</v>
      </c>
      <c r="N75" s="417" t="s">
        <v>118</v>
      </c>
      <c r="O75" s="417" t="s">
        <v>1339</v>
      </c>
      <c r="P75" s="417" t="s">
        <v>1339</v>
      </c>
      <c r="Q75" s="417" t="s">
        <v>1339</v>
      </c>
      <c r="R75" s="417" t="s">
        <v>1339</v>
      </c>
      <c r="S75" s="469"/>
      <c r="T75" s="448" t="s">
        <v>1351</v>
      </c>
      <c r="U75" s="448"/>
      <c r="V75" s="448"/>
    </row>
    <row r="76" spans="3:22" ht="18" customHeight="1" x14ac:dyDescent="0.3">
      <c r="C76" s="455"/>
      <c r="D76" s="277" t="s">
        <v>120</v>
      </c>
      <c r="E76" s="427" t="s">
        <v>119</v>
      </c>
      <c r="F76" s="283"/>
      <c r="G76" s="427" t="s">
        <v>1517</v>
      </c>
      <c r="H76" s="427">
        <v>1</v>
      </c>
      <c r="I76" s="434">
        <v>1</v>
      </c>
      <c r="J76" s="434" t="s">
        <v>1174</v>
      </c>
      <c r="K76" s="277" t="s">
        <v>520</v>
      </c>
      <c r="L76" s="427" t="s">
        <v>1256</v>
      </c>
      <c r="M76" s="277" t="s">
        <v>121</v>
      </c>
      <c r="N76" s="427" t="s">
        <v>121</v>
      </c>
      <c r="O76" s="275" t="s">
        <v>1339</v>
      </c>
      <c r="P76" s="275" t="s">
        <v>1339</v>
      </c>
      <c r="Q76" s="275" t="s">
        <v>1339</v>
      </c>
      <c r="R76" s="275" t="s">
        <v>1339</v>
      </c>
      <c r="S76" s="468"/>
      <c r="T76" s="448" t="s">
        <v>1348</v>
      </c>
      <c r="U76" s="448"/>
      <c r="V76" s="448"/>
    </row>
    <row r="77" spans="3:22" ht="18" customHeight="1" x14ac:dyDescent="0.3">
      <c r="C77" s="455"/>
      <c r="D77" s="277" t="s">
        <v>123</v>
      </c>
      <c r="E77" s="427" t="s">
        <v>122</v>
      </c>
      <c r="F77" s="286" t="s">
        <v>1107</v>
      </c>
      <c r="G77" s="427" t="s">
        <v>1517</v>
      </c>
      <c r="H77" s="427">
        <v>1</v>
      </c>
      <c r="I77" s="434">
        <v>1</v>
      </c>
      <c r="J77" s="434" t="s">
        <v>1175</v>
      </c>
      <c r="K77" s="277" t="s">
        <v>520</v>
      </c>
      <c r="L77" s="427" t="s">
        <v>1257</v>
      </c>
      <c r="M77" s="277" t="s">
        <v>124</v>
      </c>
      <c r="N77" s="427" t="s">
        <v>124</v>
      </c>
      <c r="O77" s="275" t="s">
        <v>1339</v>
      </c>
      <c r="P77" s="275" t="s">
        <v>1339</v>
      </c>
      <c r="Q77" s="275" t="s">
        <v>1339</v>
      </c>
      <c r="R77" s="275" t="s">
        <v>1339</v>
      </c>
      <c r="S77" s="468"/>
      <c r="T77" s="448" t="s">
        <v>1348</v>
      </c>
      <c r="U77" s="448"/>
      <c r="V77" s="448"/>
    </row>
    <row r="78" spans="3:22" ht="18" customHeight="1" x14ac:dyDescent="0.3">
      <c r="C78" s="455"/>
      <c r="D78" s="277" t="s">
        <v>126</v>
      </c>
      <c r="E78" s="427" t="s">
        <v>125</v>
      </c>
      <c r="F78" s="286" t="s">
        <v>1107</v>
      </c>
      <c r="G78" s="427" t="s">
        <v>1517</v>
      </c>
      <c r="H78" s="427">
        <v>1</v>
      </c>
      <c r="I78" s="434">
        <v>1</v>
      </c>
      <c r="J78" s="434" t="s">
        <v>1175</v>
      </c>
      <c r="K78" s="277" t="s">
        <v>741</v>
      </c>
      <c r="L78" s="427" t="s">
        <v>126</v>
      </c>
      <c r="M78" s="277" t="s">
        <v>126</v>
      </c>
      <c r="N78" s="427" t="s">
        <v>127</v>
      </c>
      <c r="O78" s="275" t="s">
        <v>1334</v>
      </c>
      <c r="P78" s="275" t="s">
        <v>1339</v>
      </c>
      <c r="Q78" s="275" t="s">
        <v>1339</v>
      </c>
      <c r="R78" s="275" t="s">
        <v>1339</v>
      </c>
      <c r="S78" s="468"/>
      <c r="T78" s="452" t="s">
        <v>1352</v>
      </c>
      <c r="U78" s="448"/>
      <c r="V78" s="452" t="s">
        <v>1419</v>
      </c>
    </row>
    <row r="79" spans="3:22" ht="18" customHeight="1" x14ac:dyDescent="0.3">
      <c r="C79" s="455"/>
      <c r="D79" s="277" t="s">
        <v>129</v>
      </c>
      <c r="E79" s="427" t="s">
        <v>100</v>
      </c>
      <c r="F79" s="286" t="s">
        <v>1107</v>
      </c>
      <c r="G79" s="427" t="s">
        <v>1517</v>
      </c>
      <c r="H79" s="427">
        <v>1</v>
      </c>
      <c r="I79" s="434">
        <v>3</v>
      </c>
      <c r="J79" s="434" t="s">
        <v>1175</v>
      </c>
      <c r="K79" s="277" t="s">
        <v>742</v>
      </c>
      <c r="L79" s="277" t="s">
        <v>129</v>
      </c>
      <c r="M79" s="277" t="s">
        <v>1239</v>
      </c>
      <c r="N79" s="277" t="s">
        <v>1239</v>
      </c>
      <c r="O79" s="427" t="s">
        <v>1334</v>
      </c>
      <c r="P79" s="277" t="s">
        <v>1339</v>
      </c>
      <c r="Q79" s="277" t="s">
        <v>1339</v>
      </c>
      <c r="R79" s="427" t="s">
        <v>1339</v>
      </c>
      <c r="S79" s="468"/>
      <c r="T79" s="448"/>
      <c r="U79" s="448" t="s">
        <v>1377</v>
      </c>
      <c r="V79" s="448"/>
    </row>
    <row r="80" spans="3:22" ht="18" customHeight="1" x14ac:dyDescent="0.3">
      <c r="C80" s="455"/>
      <c r="D80" s="412" t="s">
        <v>131</v>
      </c>
      <c r="E80" s="263" t="s">
        <v>108</v>
      </c>
      <c r="F80" s="287" t="s">
        <v>1107</v>
      </c>
      <c r="G80" s="264" t="s">
        <v>1517</v>
      </c>
      <c r="H80" s="263">
        <v>1</v>
      </c>
      <c r="I80" s="416">
        <v>1</v>
      </c>
      <c r="J80" s="416" t="s">
        <v>1175</v>
      </c>
      <c r="K80" s="489" t="s">
        <v>521</v>
      </c>
      <c r="L80" s="263" t="s">
        <v>1239</v>
      </c>
      <c r="M80" s="412" t="s">
        <v>132</v>
      </c>
      <c r="N80" s="417" t="s">
        <v>132</v>
      </c>
      <c r="O80" s="429" t="s">
        <v>1381</v>
      </c>
      <c r="P80" s="429" t="s">
        <v>1381</v>
      </c>
      <c r="Q80" s="429" t="s">
        <v>1381</v>
      </c>
      <c r="R80" s="429" t="s">
        <v>1381</v>
      </c>
      <c r="S80" s="470"/>
      <c r="T80" s="452" t="s">
        <v>1352</v>
      </c>
      <c r="U80" s="448"/>
      <c r="V80" s="448"/>
    </row>
    <row r="81" spans="3:22" ht="18" customHeight="1" x14ac:dyDescent="0.3">
      <c r="C81" s="455"/>
      <c r="D81" s="412" t="s">
        <v>1455</v>
      </c>
      <c r="E81" s="263" t="s">
        <v>48</v>
      </c>
      <c r="F81" s="287" t="s">
        <v>1107</v>
      </c>
      <c r="G81" s="264" t="s">
        <v>1517</v>
      </c>
      <c r="H81" s="263">
        <v>1</v>
      </c>
      <c r="I81" s="416">
        <v>1</v>
      </c>
      <c r="J81" s="416" t="s">
        <v>1175</v>
      </c>
      <c r="K81" s="489" t="s">
        <v>1456</v>
      </c>
      <c r="L81" s="263" t="s">
        <v>1239</v>
      </c>
      <c r="M81" s="412" t="s">
        <v>374</v>
      </c>
      <c r="N81" s="417" t="s">
        <v>374</v>
      </c>
      <c r="O81" s="429" t="s">
        <v>1381</v>
      </c>
      <c r="P81" s="429" t="s">
        <v>1381</v>
      </c>
      <c r="Q81" s="429" t="s">
        <v>1381</v>
      </c>
      <c r="R81" s="429" t="s">
        <v>1381</v>
      </c>
      <c r="S81" s="470"/>
      <c r="T81" s="448"/>
      <c r="U81" s="448"/>
      <c r="V81" s="448"/>
    </row>
    <row r="82" spans="3:22" ht="18" customHeight="1" x14ac:dyDescent="0.3">
      <c r="C82" s="455"/>
      <c r="D82" s="412" t="s">
        <v>376</v>
      </c>
      <c r="E82" s="263" t="s">
        <v>1146</v>
      </c>
      <c r="F82" s="287" t="s">
        <v>1107</v>
      </c>
      <c r="G82" s="264" t="s">
        <v>1517</v>
      </c>
      <c r="H82" s="263">
        <v>1</v>
      </c>
      <c r="I82" s="416">
        <v>1</v>
      </c>
      <c r="J82" s="416" t="s">
        <v>1175</v>
      </c>
      <c r="K82" s="489" t="s">
        <v>524</v>
      </c>
      <c r="L82" s="263" t="s">
        <v>1239</v>
      </c>
      <c r="M82" s="412" t="s">
        <v>375</v>
      </c>
      <c r="N82" s="417" t="s">
        <v>375</v>
      </c>
      <c r="O82" s="429" t="s">
        <v>1381</v>
      </c>
      <c r="P82" s="429" t="s">
        <v>1381</v>
      </c>
      <c r="Q82" s="429" t="s">
        <v>1381</v>
      </c>
      <c r="R82" s="429" t="s">
        <v>1381</v>
      </c>
      <c r="S82" s="470"/>
      <c r="T82" s="448" t="s">
        <v>1352</v>
      </c>
      <c r="U82" s="448"/>
      <c r="V82" s="448"/>
    </row>
    <row r="83" spans="3:22" ht="18" customHeight="1" x14ac:dyDescent="0.3">
      <c r="C83" s="455"/>
      <c r="D83" s="277" t="s">
        <v>134</v>
      </c>
      <c r="E83" s="427" t="s">
        <v>133</v>
      </c>
      <c r="F83" s="286" t="s">
        <v>1107</v>
      </c>
      <c r="G83" s="427" t="s">
        <v>1517</v>
      </c>
      <c r="H83" s="427">
        <v>1</v>
      </c>
      <c r="I83" s="434">
        <v>1</v>
      </c>
      <c r="J83" s="434" t="s">
        <v>1175</v>
      </c>
      <c r="K83" s="427" t="s">
        <v>525</v>
      </c>
      <c r="L83" s="427" t="s">
        <v>1258</v>
      </c>
      <c r="M83" s="277" t="s">
        <v>135</v>
      </c>
      <c r="N83" s="427" t="s">
        <v>135</v>
      </c>
      <c r="O83" s="275" t="s">
        <v>1381</v>
      </c>
      <c r="P83" s="427" t="s">
        <v>1381</v>
      </c>
      <c r="Q83" s="275" t="s">
        <v>1381</v>
      </c>
      <c r="R83" s="427" t="s">
        <v>1381</v>
      </c>
      <c r="S83" s="451" t="s">
        <v>1347</v>
      </c>
      <c r="T83" s="448" t="s">
        <v>1352</v>
      </c>
      <c r="U83" s="448" t="s">
        <v>1378</v>
      </c>
      <c r="V83" s="448"/>
    </row>
    <row r="84" spans="3:22" ht="18" customHeight="1" x14ac:dyDescent="0.3">
      <c r="C84" s="455"/>
      <c r="D84" s="277" t="s">
        <v>136</v>
      </c>
      <c r="E84" s="427" t="s">
        <v>125</v>
      </c>
      <c r="F84" s="286" t="s">
        <v>1107</v>
      </c>
      <c r="G84" s="427" t="s">
        <v>1517</v>
      </c>
      <c r="H84" s="427">
        <v>1</v>
      </c>
      <c r="I84" s="434">
        <v>1</v>
      </c>
      <c r="J84" s="434" t="s">
        <v>1175</v>
      </c>
      <c r="K84" s="277" t="s">
        <v>521</v>
      </c>
      <c r="L84" s="427" t="s">
        <v>1259</v>
      </c>
      <c r="M84" s="277" t="s">
        <v>137</v>
      </c>
      <c r="N84" s="427" t="s">
        <v>137</v>
      </c>
      <c r="O84" s="275" t="s">
        <v>1381</v>
      </c>
      <c r="P84" s="427" t="s">
        <v>1339</v>
      </c>
      <c r="Q84" s="427" t="s">
        <v>1339</v>
      </c>
      <c r="R84" s="427" t="s">
        <v>1339</v>
      </c>
      <c r="S84" s="451" t="s">
        <v>1446</v>
      </c>
      <c r="T84" s="448" t="s">
        <v>1352</v>
      </c>
      <c r="U84" s="448" t="s">
        <v>1379</v>
      </c>
      <c r="V84" s="448"/>
    </row>
    <row r="85" spans="3:22" ht="18" customHeight="1" x14ac:dyDescent="0.3">
      <c r="C85" s="455"/>
      <c r="D85" s="277" t="s">
        <v>138</v>
      </c>
      <c r="E85" s="427" t="s">
        <v>612</v>
      </c>
      <c r="F85" s="286" t="s">
        <v>667</v>
      </c>
      <c r="G85" s="427" t="s">
        <v>1517</v>
      </c>
      <c r="H85" s="427">
        <v>1</v>
      </c>
      <c r="I85" s="434">
        <v>1</v>
      </c>
      <c r="J85" s="434" t="s">
        <v>1175</v>
      </c>
      <c r="K85" s="277" t="s">
        <v>743</v>
      </c>
      <c r="L85" s="427" t="s">
        <v>138</v>
      </c>
      <c r="M85" s="277" t="s">
        <v>138</v>
      </c>
      <c r="N85" s="427" t="s">
        <v>138</v>
      </c>
      <c r="O85" s="427" t="s">
        <v>1334</v>
      </c>
      <c r="P85" s="427" t="s">
        <v>1334</v>
      </c>
      <c r="Q85" s="427" t="s">
        <v>1334</v>
      </c>
      <c r="R85" s="427" t="s">
        <v>1334</v>
      </c>
      <c r="S85" s="468"/>
      <c r="T85" s="448"/>
      <c r="U85" s="448"/>
      <c r="V85" s="448"/>
    </row>
    <row r="86" spans="3:22" ht="18" customHeight="1" x14ac:dyDescent="0.3">
      <c r="C86" s="456" t="s">
        <v>141</v>
      </c>
      <c r="D86" s="277" t="s">
        <v>142</v>
      </c>
      <c r="E86" s="427" t="s">
        <v>639</v>
      </c>
      <c r="F86" s="283"/>
      <c r="G86" s="427" t="s">
        <v>1517</v>
      </c>
      <c r="H86" s="427">
        <v>1</v>
      </c>
      <c r="I86" s="434">
        <v>1</v>
      </c>
      <c r="J86" s="434" t="s">
        <v>1176</v>
      </c>
      <c r="K86" s="277" t="s">
        <v>521</v>
      </c>
      <c r="L86" s="427" t="s">
        <v>142</v>
      </c>
      <c r="M86" s="277" t="s">
        <v>143</v>
      </c>
      <c r="N86" s="427" t="s">
        <v>143</v>
      </c>
      <c r="O86" s="275" t="s">
        <v>1339</v>
      </c>
      <c r="P86" s="427" t="s">
        <v>1339</v>
      </c>
      <c r="Q86" s="427" t="s">
        <v>1339</v>
      </c>
      <c r="R86" s="427" t="s">
        <v>1339</v>
      </c>
      <c r="S86" s="468" t="s">
        <v>1380</v>
      </c>
      <c r="T86" s="448" t="s">
        <v>1353</v>
      </c>
      <c r="U86" s="448" t="s">
        <v>1378</v>
      </c>
      <c r="V86" s="448"/>
    </row>
    <row r="87" spans="3:22" ht="18" customHeight="1" x14ac:dyDescent="0.3">
      <c r="C87" s="456"/>
      <c r="D87" s="277" t="s">
        <v>145</v>
      </c>
      <c r="E87" s="427" t="s">
        <v>144</v>
      </c>
      <c r="F87" s="283"/>
      <c r="G87" s="427" t="s">
        <v>1517</v>
      </c>
      <c r="H87" s="427">
        <v>1</v>
      </c>
      <c r="I87" s="434">
        <v>1</v>
      </c>
      <c r="J87" s="434" t="s">
        <v>1176</v>
      </c>
      <c r="K87" s="277" t="s">
        <v>442</v>
      </c>
      <c r="L87" s="427" t="s">
        <v>145</v>
      </c>
      <c r="M87" s="277" t="s">
        <v>145</v>
      </c>
      <c r="N87" s="427" t="s">
        <v>146</v>
      </c>
      <c r="O87" s="427" t="s">
        <v>1334</v>
      </c>
      <c r="P87" s="427" t="s">
        <v>1334</v>
      </c>
      <c r="Q87" s="427" t="s">
        <v>1339</v>
      </c>
      <c r="R87" s="427" t="s">
        <v>1339</v>
      </c>
      <c r="S87" s="468"/>
      <c r="T87" s="448" t="s">
        <v>1382</v>
      </c>
      <c r="U87" s="448" t="s">
        <v>1371</v>
      </c>
      <c r="V87" s="448"/>
    </row>
    <row r="88" spans="3:22" ht="18" customHeight="1" x14ac:dyDescent="0.3">
      <c r="C88" s="456"/>
      <c r="D88" s="277" t="s">
        <v>148</v>
      </c>
      <c r="E88" s="427" t="s">
        <v>147</v>
      </c>
      <c r="F88" s="283"/>
      <c r="G88" s="427" t="s">
        <v>1517</v>
      </c>
      <c r="H88" s="427">
        <v>1</v>
      </c>
      <c r="I88" s="434">
        <v>1</v>
      </c>
      <c r="J88" s="434" t="s">
        <v>1176</v>
      </c>
      <c r="K88" s="277" t="s">
        <v>443</v>
      </c>
      <c r="L88" s="427" t="s">
        <v>148</v>
      </c>
      <c r="M88" s="277" t="s">
        <v>148</v>
      </c>
      <c r="N88" s="427" t="s">
        <v>149</v>
      </c>
      <c r="O88" s="427" t="s">
        <v>1334</v>
      </c>
      <c r="P88" s="427" t="s">
        <v>1339</v>
      </c>
      <c r="Q88" s="427" t="s">
        <v>1339</v>
      </c>
      <c r="R88" s="427" t="s">
        <v>1339</v>
      </c>
      <c r="S88" s="468"/>
      <c r="T88" s="448"/>
      <c r="U88" s="448"/>
      <c r="V88" s="448"/>
    </row>
    <row r="89" spans="3:22" ht="18" customHeight="1" x14ac:dyDescent="0.3">
      <c r="C89" s="456"/>
      <c r="D89" s="277" t="s">
        <v>150</v>
      </c>
      <c r="E89" s="432" t="s">
        <v>150</v>
      </c>
      <c r="F89" s="283"/>
      <c r="G89" s="427" t="s">
        <v>1517</v>
      </c>
      <c r="H89" s="427">
        <v>1</v>
      </c>
      <c r="I89" s="434">
        <v>1</v>
      </c>
      <c r="J89" s="434" t="s">
        <v>1176</v>
      </c>
      <c r="K89" s="277" t="s">
        <v>520</v>
      </c>
      <c r="L89" s="427" t="s">
        <v>1260</v>
      </c>
      <c r="M89" s="277" t="s">
        <v>150</v>
      </c>
      <c r="N89" s="427" t="s">
        <v>150</v>
      </c>
      <c r="O89" s="275" t="s">
        <v>1381</v>
      </c>
      <c r="P89" s="275" t="s">
        <v>1381</v>
      </c>
      <c r="Q89" s="275" t="s">
        <v>1381</v>
      </c>
      <c r="R89" s="275" t="s">
        <v>1381</v>
      </c>
      <c r="S89" s="468" t="s">
        <v>1447</v>
      </c>
      <c r="T89" s="448" t="s">
        <v>1352</v>
      </c>
      <c r="U89" s="448" t="s">
        <v>1371</v>
      </c>
      <c r="V89" s="448"/>
    </row>
    <row r="90" spans="3:22" ht="18" customHeight="1" x14ac:dyDescent="0.3">
      <c r="C90" s="456"/>
      <c r="D90" s="277" t="s">
        <v>153</v>
      </c>
      <c r="E90" s="427" t="s">
        <v>642</v>
      </c>
      <c r="F90" s="283"/>
      <c r="G90" s="427" t="s">
        <v>1517</v>
      </c>
      <c r="H90" s="427">
        <v>1</v>
      </c>
      <c r="I90" s="434">
        <v>1</v>
      </c>
      <c r="J90" s="434" t="s">
        <v>1176</v>
      </c>
      <c r="K90" s="277" t="s">
        <v>744</v>
      </c>
      <c r="L90" s="427" t="s">
        <v>153</v>
      </c>
      <c r="M90" s="277" t="s">
        <v>153</v>
      </c>
      <c r="N90" s="427" t="s">
        <v>154</v>
      </c>
      <c r="O90" s="428" t="s">
        <v>1461</v>
      </c>
      <c r="P90" s="427" t="s">
        <v>1339</v>
      </c>
      <c r="Q90" s="427" t="s">
        <v>1339</v>
      </c>
      <c r="R90" s="427" t="s">
        <v>1339</v>
      </c>
      <c r="S90" s="468" t="s">
        <v>1448</v>
      </c>
      <c r="T90" s="448" t="s">
        <v>1353</v>
      </c>
      <c r="U90" s="448" t="s">
        <v>1371</v>
      </c>
      <c r="V90" s="448"/>
    </row>
    <row r="91" spans="3:22" ht="18" customHeight="1" x14ac:dyDescent="0.3">
      <c r="C91" s="456"/>
      <c r="D91" s="277" t="s">
        <v>155</v>
      </c>
      <c r="E91" s="427" t="s">
        <v>635</v>
      </c>
      <c r="F91" s="283"/>
      <c r="G91" s="427" t="s">
        <v>1517</v>
      </c>
      <c r="H91" s="427">
        <v>1</v>
      </c>
      <c r="I91" s="434">
        <v>1</v>
      </c>
      <c r="J91" s="434" t="s">
        <v>1176</v>
      </c>
      <c r="K91" s="277" t="s">
        <v>520</v>
      </c>
      <c r="L91" s="427" t="s">
        <v>1261</v>
      </c>
      <c r="M91" s="277" t="s">
        <v>156</v>
      </c>
      <c r="N91" s="427" t="s">
        <v>156</v>
      </c>
      <c r="O91" s="427" t="s">
        <v>1339</v>
      </c>
      <c r="P91" s="427" t="s">
        <v>1339</v>
      </c>
      <c r="Q91" s="427" t="s">
        <v>1339</v>
      </c>
      <c r="R91" s="427" t="s">
        <v>1339</v>
      </c>
      <c r="S91" s="468"/>
      <c r="T91" s="448"/>
      <c r="U91" s="448"/>
      <c r="V91" s="448"/>
    </row>
    <row r="92" spans="3:22" ht="18" customHeight="1" x14ac:dyDescent="0.3">
      <c r="C92" s="456"/>
      <c r="D92" s="277" t="s">
        <v>157</v>
      </c>
      <c r="E92" s="457" t="s">
        <v>157</v>
      </c>
      <c r="F92" s="283"/>
      <c r="G92" s="427" t="s">
        <v>1517</v>
      </c>
      <c r="H92" s="427">
        <v>1</v>
      </c>
      <c r="I92" s="434">
        <v>1</v>
      </c>
      <c r="J92" s="434" t="s">
        <v>1176</v>
      </c>
      <c r="K92" s="277" t="s">
        <v>745</v>
      </c>
      <c r="L92" s="427" t="s">
        <v>157</v>
      </c>
      <c r="M92" s="277" t="s">
        <v>157</v>
      </c>
      <c r="N92" s="427" t="s">
        <v>157</v>
      </c>
      <c r="O92" s="427" t="s">
        <v>1334</v>
      </c>
      <c r="P92" s="427" t="s">
        <v>1334</v>
      </c>
      <c r="Q92" s="427" t="s">
        <v>1339</v>
      </c>
      <c r="R92" s="427" t="s">
        <v>1339</v>
      </c>
      <c r="S92" s="468" t="s">
        <v>1449</v>
      </c>
      <c r="T92" s="448"/>
      <c r="U92" s="448"/>
      <c r="V92" s="448"/>
    </row>
    <row r="93" spans="3:22" ht="18" customHeight="1" x14ac:dyDescent="0.3">
      <c r="C93" s="456"/>
      <c r="D93" s="277" t="s">
        <v>159</v>
      </c>
      <c r="E93" s="427" t="s">
        <v>644</v>
      </c>
      <c r="F93" s="283"/>
      <c r="G93" s="427" t="s">
        <v>1517</v>
      </c>
      <c r="H93" s="427">
        <v>1</v>
      </c>
      <c r="I93" s="434">
        <v>1</v>
      </c>
      <c r="J93" s="434" t="s">
        <v>1176</v>
      </c>
      <c r="K93" s="277" t="s">
        <v>746</v>
      </c>
      <c r="L93" s="427" t="s">
        <v>1262</v>
      </c>
      <c r="M93" s="277" t="s">
        <v>159</v>
      </c>
      <c r="N93" s="427" t="s">
        <v>160</v>
      </c>
      <c r="O93" s="275" t="s">
        <v>1334</v>
      </c>
      <c r="P93" s="427" t="s">
        <v>1339</v>
      </c>
      <c r="Q93" s="275" t="s">
        <v>1339</v>
      </c>
      <c r="R93" s="427" t="s">
        <v>1339</v>
      </c>
      <c r="S93" s="451" t="s">
        <v>1453</v>
      </c>
      <c r="T93" s="448"/>
      <c r="U93" s="448" t="s">
        <v>1383</v>
      </c>
      <c r="V93" s="448"/>
    </row>
    <row r="94" spans="3:22" ht="18" customHeight="1" x14ac:dyDescent="0.3">
      <c r="C94" s="456"/>
      <c r="D94" s="277" t="s">
        <v>161</v>
      </c>
      <c r="E94" s="427" t="s">
        <v>640</v>
      </c>
      <c r="F94" s="283"/>
      <c r="G94" s="427" t="s">
        <v>1517</v>
      </c>
      <c r="H94" s="427">
        <v>1</v>
      </c>
      <c r="I94" s="434">
        <v>1</v>
      </c>
      <c r="J94" s="434" t="s">
        <v>1177</v>
      </c>
      <c r="K94" s="277" t="s">
        <v>520</v>
      </c>
      <c r="L94" s="427" t="s">
        <v>1263</v>
      </c>
      <c r="M94" s="277" t="s">
        <v>162</v>
      </c>
      <c r="N94" s="427" t="s">
        <v>162</v>
      </c>
      <c r="O94" s="275" t="s">
        <v>1339</v>
      </c>
      <c r="P94" s="275" t="s">
        <v>1339</v>
      </c>
      <c r="Q94" s="275" t="s">
        <v>1339</v>
      </c>
      <c r="R94" s="275" t="s">
        <v>1339</v>
      </c>
      <c r="S94" s="468"/>
      <c r="T94" s="448" t="s">
        <v>1353</v>
      </c>
      <c r="U94" s="448"/>
      <c r="V94" s="448"/>
    </row>
    <row r="95" spans="3:22" ht="18" customHeight="1" x14ac:dyDescent="0.3">
      <c r="C95" s="456"/>
      <c r="D95" s="277" t="s">
        <v>163</v>
      </c>
      <c r="E95" s="457" t="s">
        <v>163</v>
      </c>
      <c r="F95" s="283"/>
      <c r="G95" s="427" t="s">
        <v>1517</v>
      </c>
      <c r="H95" s="427">
        <v>1</v>
      </c>
      <c r="I95" s="434">
        <v>3</v>
      </c>
      <c r="J95" s="434" t="s">
        <v>1177</v>
      </c>
      <c r="K95" s="277" t="s">
        <v>747</v>
      </c>
      <c r="L95" s="427" t="s">
        <v>1264</v>
      </c>
      <c r="M95" s="277" t="s">
        <v>163</v>
      </c>
      <c r="N95" s="427" t="s">
        <v>163</v>
      </c>
      <c r="O95" s="427" t="s">
        <v>1343</v>
      </c>
      <c r="P95" s="275" t="s">
        <v>1381</v>
      </c>
      <c r="Q95" s="275" t="s">
        <v>1343</v>
      </c>
      <c r="R95" s="275" t="s">
        <v>1381</v>
      </c>
      <c r="S95" s="468"/>
      <c r="T95" s="448" t="s">
        <v>1353</v>
      </c>
      <c r="U95" s="448" t="s">
        <v>1384</v>
      </c>
      <c r="V95" s="448"/>
    </row>
    <row r="96" spans="3:22" ht="18" customHeight="1" x14ac:dyDescent="0.3">
      <c r="C96" s="456"/>
      <c r="D96" s="277" t="s">
        <v>165</v>
      </c>
      <c r="E96" s="427" t="s">
        <v>641</v>
      </c>
      <c r="F96" s="283"/>
      <c r="G96" s="427" t="s">
        <v>1517</v>
      </c>
      <c r="H96" s="427">
        <v>1</v>
      </c>
      <c r="I96" s="434">
        <v>1</v>
      </c>
      <c r="J96" s="434" t="s">
        <v>1177</v>
      </c>
      <c r="K96" s="277" t="s">
        <v>521</v>
      </c>
      <c r="L96" s="427" t="s">
        <v>1265</v>
      </c>
      <c r="M96" s="277" t="s">
        <v>166</v>
      </c>
      <c r="N96" s="427" t="s">
        <v>166</v>
      </c>
      <c r="O96" s="427" t="s">
        <v>1339</v>
      </c>
      <c r="P96" s="427" t="s">
        <v>1339</v>
      </c>
      <c r="Q96" s="427" t="s">
        <v>1339</v>
      </c>
      <c r="R96" s="427" t="s">
        <v>1339</v>
      </c>
      <c r="S96" s="468"/>
      <c r="T96" s="448" t="s">
        <v>1353</v>
      </c>
      <c r="U96" s="448"/>
      <c r="V96" s="448"/>
    </row>
    <row r="97" spans="3:22" ht="18" customHeight="1" x14ac:dyDescent="0.3">
      <c r="C97" s="456"/>
      <c r="D97" s="277" t="s">
        <v>167</v>
      </c>
      <c r="E97" s="427" t="s">
        <v>650</v>
      </c>
      <c r="F97" s="283"/>
      <c r="G97" s="427" t="s">
        <v>1517</v>
      </c>
      <c r="H97" s="427">
        <v>1</v>
      </c>
      <c r="I97" s="434">
        <v>1</v>
      </c>
      <c r="J97" s="434" t="s">
        <v>1177</v>
      </c>
      <c r="K97" s="277" t="s">
        <v>521</v>
      </c>
      <c r="L97" s="427" t="s">
        <v>167</v>
      </c>
      <c r="M97" s="277" t="s">
        <v>167</v>
      </c>
      <c r="N97" s="427" t="s">
        <v>168</v>
      </c>
      <c r="O97" s="427" t="s">
        <v>1343</v>
      </c>
      <c r="P97" s="427" t="s">
        <v>1339</v>
      </c>
      <c r="Q97" s="275" t="s">
        <v>1339</v>
      </c>
      <c r="R97" s="427" t="s">
        <v>1339</v>
      </c>
      <c r="S97" s="451" t="s">
        <v>1385</v>
      </c>
      <c r="T97" s="448" t="s">
        <v>1353</v>
      </c>
      <c r="U97" s="448" t="s">
        <v>1385</v>
      </c>
      <c r="V97" s="448"/>
    </row>
    <row r="98" spans="3:22" ht="18" customHeight="1" x14ac:dyDescent="0.3">
      <c r="C98" s="456"/>
      <c r="D98" s="277" t="s">
        <v>169</v>
      </c>
      <c r="E98" s="427" t="s">
        <v>638</v>
      </c>
      <c r="F98" s="283"/>
      <c r="G98" s="427" t="s">
        <v>1517</v>
      </c>
      <c r="H98" s="427">
        <v>1</v>
      </c>
      <c r="I98" s="434">
        <v>1</v>
      </c>
      <c r="J98" s="434" t="s">
        <v>1177</v>
      </c>
      <c r="K98" s="277" t="s">
        <v>521</v>
      </c>
      <c r="L98" s="427" t="s">
        <v>1266</v>
      </c>
      <c r="M98" s="277" t="s">
        <v>170</v>
      </c>
      <c r="N98" s="427" t="s">
        <v>170</v>
      </c>
      <c r="O98" s="427" t="s">
        <v>1339</v>
      </c>
      <c r="P98" s="427" t="s">
        <v>1339</v>
      </c>
      <c r="Q98" s="427" t="s">
        <v>1339</v>
      </c>
      <c r="R98" s="427" t="s">
        <v>1339</v>
      </c>
      <c r="S98" s="468"/>
      <c r="T98" s="448" t="s">
        <v>1351</v>
      </c>
      <c r="U98" s="448" t="s">
        <v>1371</v>
      </c>
      <c r="V98" s="448"/>
    </row>
    <row r="99" spans="3:22" ht="18" customHeight="1" x14ac:dyDescent="0.3">
      <c r="C99" s="456"/>
      <c r="D99" s="277" t="s">
        <v>672</v>
      </c>
      <c r="E99" s="427" t="s">
        <v>636</v>
      </c>
      <c r="F99" s="283"/>
      <c r="G99" s="427" t="s">
        <v>1517</v>
      </c>
      <c r="H99" s="427">
        <v>1</v>
      </c>
      <c r="I99" s="434">
        <v>1</v>
      </c>
      <c r="J99" s="434" t="s">
        <v>1177</v>
      </c>
      <c r="K99" s="277" t="s">
        <v>521</v>
      </c>
      <c r="L99" s="427" t="s">
        <v>1267</v>
      </c>
      <c r="M99" s="277" t="s">
        <v>1178</v>
      </c>
      <c r="N99" s="427" t="s">
        <v>171</v>
      </c>
      <c r="O99" s="427" t="s">
        <v>1334</v>
      </c>
      <c r="P99" s="427" t="s">
        <v>1339</v>
      </c>
      <c r="Q99" s="427" t="s">
        <v>1339</v>
      </c>
      <c r="R99" s="427" t="s">
        <v>1339</v>
      </c>
      <c r="S99" s="468"/>
      <c r="T99" s="448" t="s">
        <v>1352</v>
      </c>
      <c r="U99" s="448"/>
      <c r="V99" s="448"/>
    </row>
    <row r="100" spans="3:22" ht="18" customHeight="1" x14ac:dyDescent="0.3">
      <c r="C100" s="456"/>
      <c r="D100" s="277" t="s">
        <v>173</v>
      </c>
      <c r="E100" s="427" t="s">
        <v>172</v>
      </c>
      <c r="F100" s="283"/>
      <c r="G100" s="427" t="s">
        <v>1517</v>
      </c>
      <c r="H100" s="427">
        <v>1</v>
      </c>
      <c r="I100" s="434">
        <v>1</v>
      </c>
      <c r="J100" s="434" t="s">
        <v>1179</v>
      </c>
      <c r="K100" s="277" t="s">
        <v>444</v>
      </c>
      <c r="L100" s="427" t="s">
        <v>1268</v>
      </c>
      <c r="M100" s="277" t="s">
        <v>173</v>
      </c>
      <c r="N100" s="427" t="s">
        <v>174</v>
      </c>
      <c r="O100" s="427" t="s">
        <v>1334</v>
      </c>
      <c r="P100" s="427" t="s">
        <v>1339</v>
      </c>
      <c r="Q100" s="427" t="s">
        <v>1339</v>
      </c>
      <c r="R100" s="427" t="s">
        <v>1339</v>
      </c>
      <c r="S100" s="468"/>
      <c r="T100" s="448"/>
      <c r="U100" s="448"/>
      <c r="V100" s="448"/>
    </row>
    <row r="101" spans="3:22" ht="18" customHeight="1" x14ac:dyDescent="0.3">
      <c r="C101" s="456"/>
      <c r="D101" s="277" t="s">
        <v>176</v>
      </c>
      <c r="E101" s="427" t="s">
        <v>172</v>
      </c>
      <c r="F101" s="283"/>
      <c r="G101" s="427" t="s">
        <v>1517</v>
      </c>
      <c r="H101" s="427">
        <v>1</v>
      </c>
      <c r="I101" s="434">
        <v>1</v>
      </c>
      <c r="J101" s="434" t="s">
        <v>1179</v>
      </c>
      <c r="K101" s="277" t="s">
        <v>445</v>
      </c>
      <c r="L101" s="427" t="s">
        <v>1269</v>
      </c>
      <c r="M101" s="277" t="s">
        <v>176</v>
      </c>
      <c r="N101" s="427" t="s">
        <v>177</v>
      </c>
      <c r="O101" s="427" t="s">
        <v>1334</v>
      </c>
      <c r="P101" s="427" t="s">
        <v>1339</v>
      </c>
      <c r="Q101" s="427" t="s">
        <v>1339</v>
      </c>
      <c r="R101" s="427" t="s">
        <v>1339</v>
      </c>
      <c r="S101" s="468"/>
      <c r="T101" s="448" t="s">
        <v>1354</v>
      </c>
      <c r="U101" s="448" t="s">
        <v>1386</v>
      </c>
      <c r="V101" s="448"/>
    </row>
    <row r="102" spans="3:22" ht="18" customHeight="1" x14ac:dyDescent="0.3">
      <c r="C102" s="456"/>
      <c r="D102" s="277" t="s">
        <v>178</v>
      </c>
      <c r="E102" s="427" t="s">
        <v>172</v>
      </c>
      <c r="F102" s="283"/>
      <c r="G102" s="427" t="s">
        <v>1517</v>
      </c>
      <c r="H102" s="427">
        <v>1</v>
      </c>
      <c r="I102" s="434">
        <v>1</v>
      </c>
      <c r="J102" s="434" t="s">
        <v>1179</v>
      </c>
      <c r="K102" s="277" t="s">
        <v>446</v>
      </c>
      <c r="L102" s="427" t="s">
        <v>1270</v>
      </c>
      <c r="M102" s="277" t="s">
        <v>178</v>
      </c>
      <c r="N102" s="427" t="s">
        <v>179</v>
      </c>
      <c r="O102" s="427" t="s">
        <v>1334</v>
      </c>
      <c r="P102" s="427" t="s">
        <v>1339</v>
      </c>
      <c r="Q102" s="427" t="s">
        <v>1339</v>
      </c>
      <c r="R102" s="427" t="s">
        <v>1339</v>
      </c>
      <c r="S102" s="468"/>
      <c r="T102" s="448"/>
      <c r="U102" s="448"/>
      <c r="V102" s="448"/>
    </row>
    <row r="103" spans="3:22" ht="18" customHeight="1" x14ac:dyDescent="0.3">
      <c r="C103" s="456"/>
      <c r="D103" s="277" t="s">
        <v>180</v>
      </c>
      <c r="E103" s="427" t="s">
        <v>637</v>
      </c>
      <c r="F103" s="283"/>
      <c r="G103" s="427" t="s">
        <v>1517</v>
      </c>
      <c r="H103" s="427">
        <v>1</v>
      </c>
      <c r="I103" s="434">
        <v>1</v>
      </c>
      <c r="J103" s="434" t="s">
        <v>1179</v>
      </c>
      <c r="K103" s="277" t="s">
        <v>522</v>
      </c>
      <c r="L103" s="427" t="s">
        <v>1271</v>
      </c>
      <c r="M103" s="277" t="s">
        <v>180</v>
      </c>
      <c r="N103" s="427" t="s">
        <v>181</v>
      </c>
      <c r="O103" s="427" t="s">
        <v>1339</v>
      </c>
      <c r="P103" s="427" t="s">
        <v>1339</v>
      </c>
      <c r="Q103" s="427" t="s">
        <v>1339</v>
      </c>
      <c r="R103" s="427" t="s">
        <v>1339</v>
      </c>
      <c r="S103" s="468"/>
      <c r="T103" s="448" t="s">
        <v>1387</v>
      </c>
      <c r="U103" s="448" t="s">
        <v>1371</v>
      </c>
      <c r="V103" s="448"/>
    </row>
    <row r="104" spans="3:22" ht="18" customHeight="1" x14ac:dyDescent="0.3">
      <c r="C104" s="456"/>
      <c r="D104" s="277" t="s">
        <v>182</v>
      </c>
      <c r="E104" s="427" t="s">
        <v>634</v>
      </c>
      <c r="F104" s="283"/>
      <c r="G104" s="427" t="s">
        <v>1517</v>
      </c>
      <c r="H104" s="427">
        <v>1</v>
      </c>
      <c r="I104" s="434">
        <v>1</v>
      </c>
      <c r="J104" s="434" t="s">
        <v>1179</v>
      </c>
      <c r="K104" s="277" t="s">
        <v>523</v>
      </c>
      <c r="L104" s="427" t="s">
        <v>182</v>
      </c>
      <c r="M104" s="277" t="s">
        <v>182</v>
      </c>
      <c r="N104" s="427" t="s">
        <v>183</v>
      </c>
      <c r="O104" s="427" t="s">
        <v>1334</v>
      </c>
      <c r="P104" s="427" t="s">
        <v>1339</v>
      </c>
      <c r="Q104" s="427" t="s">
        <v>1334</v>
      </c>
      <c r="R104" s="427" t="s">
        <v>1339</v>
      </c>
      <c r="S104" s="468" t="s">
        <v>1389</v>
      </c>
      <c r="T104" s="448" t="s">
        <v>1352</v>
      </c>
      <c r="U104" s="448" t="s">
        <v>1388</v>
      </c>
      <c r="V104" s="448"/>
    </row>
    <row r="105" spans="3:22" ht="18" customHeight="1" x14ac:dyDescent="0.3">
      <c r="C105" s="456"/>
      <c r="D105" s="277" t="s">
        <v>184</v>
      </c>
      <c r="E105" s="427" t="s">
        <v>643</v>
      </c>
      <c r="F105" s="283"/>
      <c r="G105" s="427" t="s">
        <v>1517</v>
      </c>
      <c r="H105" s="427">
        <v>1</v>
      </c>
      <c r="I105" s="434">
        <v>1</v>
      </c>
      <c r="J105" s="434" t="s">
        <v>1179</v>
      </c>
      <c r="K105" s="277" t="s">
        <v>447</v>
      </c>
      <c r="L105" s="427" t="s">
        <v>1272</v>
      </c>
      <c r="M105" s="277" t="s">
        <v>184</v>
      </c>
      <c r="N105" s="427" t="s">
        <v>185</v>
      </c>
      <c r="O105" s="427" t="s">
        <v>1334</v>
      </c>
      <c r="P105" s="427" t="s">
        <v>1339</v>
      </c>
      <c r="Q105" s="427" t="s">
        <v>1334</v>
      </c>
      <c r="R105" s="427" t="s">
        <v>1339</v>
      </c>
      <c r="S105" s="468"/>
      <c r="T105" s="448" t="s">
        <v>1353</v>
      </c>
      <c r="U105" s="448"/>
      <c r="V105" s="448"/>
    </row>
    <row r="106" spans="3:22" ht="18" customHeight="1" x14ac:dyDescent="0.3">
      <c r="C106" s="456"/>
      <c r="D106" s="277" t="s">
        <v>187</v>
      </c>
      <c r="E106" s="427" t="s">
        <v>186</v>
      </c>
      <c r="F106" s="283"/>
      <c r="G106" s="427" t="s">
        <v>1517</v>
      </c>
      <c r="H106" s="427">
        <v>1</v>
      </c>
      <c r="I106" s="434">
        <v>2</v>
      </c>
      <c r="J106" s="434" t="s">
        <v>1179</v>
      </c>
      <c r="K106" s="277" t="s">
        <v>448</v>
      </c>
      <c r="L106" s="427" t="s">
        <v>187</v>
      </c>
      <c r="M106" s="277" t="s">
        <v>187</v>
      </c>
      <c r="N106" s="427" t="s">
        <v>188</v>
      </c>
      <c r="O106" s="275" t="s">
        <v>1339</v>
      </c>
      <c r="P106" s="427" t="s">
        <v>1339</v>
      </c>
      <c r="Q106" s="427" t="s">
        <v>1339</v>
      </c>
      <c r="R106" s="427" t="s">
        <v>1339</v>
      </c>
      <c r="S106" s="468"/>
      <c r="T106" s="448" t="s">
        <v>1353</v>
      </c>
      <c r="U106" s="448" t="s">
        <v>1390</v>
      </c>
      <c r="V106" s="448"/>
    </row>
    <row r="107" spans="3:22" ht="18" customHeight="1" x14ac:dyDescent="0.3">
      <c r="C107" s="456"/>
      <c r="D107" s="277" t="s">
        <v>189</v>
      </c>
      <c r="E107" s="427" t="s">
        <v>612</v>
      </c>
      <c r="F107" s="286" t="s">
        <v>1392</v>
      </c>
      <c r="G107" s="427" t="s">
        <v>1517</v>
      </c>
      <c r="H107" s="427">
        <v>1</v>
      </c>
      <c r="I107" s="434">
        <v>8</v>
      </c>
      <c r="J107" s="434" t="s">
        <v>1180</v>
      </c>
      <c r="K107" s="277" t="s">
        <v>449</v>
      </c>
      <c r="L107" s="427" t="s">
        <v>1273</v>
      </c>
      <c r="M107" s="277" t="s">
        <v>189</v>
      </c>
      <c r="N107" s="427" t="s">
        <v>189</v>
      </c>
      <c r="O107" s="427" t="s">
        <v>1334</v>
      </c>
      <c r="P107" s="427" t="s">
        <v>1334</v>
      </c>
      <c r="Q107" s="427" t="s">
        <v>1334</v>
      </c>
      <c r="R107" s="427" t="s">
        <v>1334</v>
      </c>
      <c r="S107" s="451" t="s">
        <v>1393</v>
      </c>
      <c r="T107" s="448" t="s">
        <v>1355</v>
      </c>
      <c r="U107" s="448" t="s">
        <v>1391</v>
      </c>
      <c r="V107" s="448"/>
    </row>
    <row r="108" spans="3:22" ht="18" customHeight="1" x14ac:dyDescent="0.3">
      <c r="C108" s="456" t="s">
        <v>191</v>
      </c>
      <c r="D108" s="277" t="s">
        <v>192</v>
      </c>
      <c r="E108" s="427" t="s">
        <v>394</v>
      </c>
      <c r="F108" s="286" t="s">
        <v>667</v>
      </c>
      <c r="G108" s="427" t="s">
        <v>1517</v>
      </c>
      <c r="H108" s="427">
        <v>1</v>
      </c>
      <c r="I108" s="434">
        <v>15</v>
      </c>
      <c r="J108" s="434" t="s">
        <v>1181</v>
      </c>
      <c r="K108" s="277" t="s">
        <v>450</v>
      </c>
      <c r="L108" s="427" t="s">
        <v>1274</v>
      </c>
      <c r="M108" s="277" t="s">
        <v>192</v>
      </c>
      <c r="N108" s="427" t="s">
        <v>192</v>
      </c>
      <c r="O108" s="430">
        <v>15</v>
      </c>
      <c r="P108" s="430">
        <v>5</v>
      </c>
      <c r="Q108" s="430">
        <v>7</v>
      </c>
      <c r="R108" s="430">
        <v>5</v>
      </c>
      <c r="S108" s="451" t="s">
        <v>1394</v>
      </c>
      <c r="T108" s="448" t="s">
        <v>1356</v>
      </c>
      <c r="U108" s="448" t="s">
        <v>1395</v>
      </c>
      <c r="V108" s="448"/>
    </row>
    <row r="109" spans="3:22" ht="18" customHeight="1" x14ac:dyDescent="0.3">
      <c r="C109" s="456"/>
      <c r="D109" s="277" t="s">
        <v>194</v>
      </c>
      <c r="E109" s="427" t="s">
        <v>645</v>
      </c>
      <c r="F109" s="286" t="s">
        <v>1107</v>
      </c>
      <c r="G109" s="427" t="s">
        <v>1517</v>
      </c>
      <c r="H109" s="427">
        <v>1</v>
      </c>
      <c r="I109" s="434">
        <v>1</v>
      </c>
      <c r="J109" s="434" t="s">
        <v>1182</v>
      </c>
      <c r="K109" s="277" t="s">
        <v>451</v>
      </c>
      <c r="L109" s="427" t="s">
        <v>1275</v>
      </c>
      <c r="M109" s="277" t="s">
        <v>194</v>
      </c>
      <c r="N109" s="427" t="s">
        <v>195</v>
      </c>
      <c r="O109" s="275" t="s">
        <v>1334</v>
      </c>
      <c r="P109" s="427" t="s">
        <v>1339</v>
      </c>
      <c r="Q109" s="427" t="s">
        <v>1339</v>
      </c>
      <c r="R109" s="427" t="s">
        <v>1339</v>
      </c>
      <c r="S109" s="468" t="s">
        <v>1450</v>
      </c>
      <c r="T109" s="448" t="s">
        <v>1353</v>
      </c>
      <c r="U109" s="448" t="s">
        <v>1396</v>
      </c>
      <c r="V109" s="448"/>
    </row>
    <row r="110" spans="3:22" ht="18" customHeight="1" x14ac:dyDescent="0.3">
      <c r="C110" s="456"/>
      <c r="D110" s="277" t="s">
        <v>196</v>
      </c>
      <c r="E110" s="427" t="s">
        <v>649</v>
      </c>
      <c r="F110" s="283"/>
      <c r="G110" s="427" t="s">
        <v>1517</v>
      </c>
      <c r="H110" s="427">
        <v>1</v>
      </c>
      <c r="I110" s="434">
        <v>1</v>
      </c>
      <c r="J110" s="434" t="s">
        <v>1184</v>
      </c>
      <c r="K110" s="277" t="s">
        <v>452</v>
      </c>
      <c r="L110" s="427" t="s">
        <v>1183</v>
      </c>
      <c r="M110" s="277" t="s">
        <v>1183</v>
      </c>
      <c r="N110" s="427" t="s">
        <v>197</v>
      </c>
      <c r="O110" s="427" t="s">
        <v>1339</v>
      </c>
      <c r="P110" s="427" t="s">
        <v>1339</v>
      </c>
      <c r="Q110" s="427" t="s">
        <v>1339</v>
      </c>
      <c r="R110" s="427" t="s">
        <v>1339</v>
      </c>
      <c r="S110" s="468"/>
      <c r="T110" s="448" t="s">
        <v>1351</v>
      </c>
      <c r="U110" s="448" t="s">
        <v>1371</v>
      </c>
      <c r="V110" s="448"/>
    </row>
    <row r="111" spans="3:22" ht="18" customHeight="1" x14ac:dyDescent="0.3">
      <c r="C111" s="456"/>
      <c r="D111" s="487" t="s">
        <v>237</v>
      </c>
      <c r="E111" s="427" t="s">
        <v>535</v>
      </c>
      <c r="F111" s="283"/>
      <c r="G111" s="427" t="s">
        <v>1517</v>
      </c>
      <c r="H111" s="427">
        <v>1</v>
      </c>
      <c r="I111" s="434">
        <v>1</v>
      </c>
      <c r="J111" s="434" t="s">
        <v>1184</v>
      </c>
      <c r="K111" s="277" t="s">
        <v>543</v>
      </c>
      <c r="L111" s="427" t="s">
        <v>1276</v>
      </c>
      <c r="M111" s="277" t="s">
        <v>198</v>
      </c>
      <c r="N111" s="427" t="s">
        <v>198</v>
      </c>
      <c r="O111" s="427" t="s">
        <v>1339</v>
      </c>
      <c r="P111" s="427" t="s">
        <v>1339</v>
      </c>
      <c r="Q111" s="427" t="s">
        <v>1339</v>
      </c>
      <c r="R111" s="427" t="s">
        <v>1339</v>
      </c>
      <c r="S111" s="468"/>
      <c r="T111" s="448"/>
      <c r="U111" s="448"/>
      <c r="V111" s="448"/>
    </row>
    <row r="112" spans="3:22" ht="18" customHeight="1" x14ac:dyDescent="0.3">
      <c r="C112" s="456"/>
      <c r="D112" s="277" t="s">
        <v>199</v>
      </c>
      <c r="E112" s="457" t="s">
        <v>199</v>
      </c>
      <c r="F112" s="283"/>
      <c r="G112" s="427" t="s">
        <v>1517</v>
      </c>
      <c r="H112" s="427">
        <v>1</v>
      </c>
      <c r="I112" s="434">
        <v>3</v>
      </c>
      <c r="J112" s="434" t="s">
        <v>1184</v>
      </c>
      <c r="K112" s="277" t="s">
        <v>453</v>
      </c>
      <c r="L112" s="427" t="s">
        <v>199</v>
      </c>
      <c r="M112" s="277" t="s">
        <v>199</v>
      </c>
      <c r="N112" s="427" t="s">
        <v>199</v>
      </c>
      <c r="O112" s="427" t="s">
        <v>1334</v>
      </c>
      <c r="P112" s="427" t="s">
        <v>1339</v>
      </c>
      <c r="Q112" s="427" t="s">
        <v>1334</v>
      </c>
      <c r="R112" s="427" t="s">
        <v>1339</v>
      </c>
      <c r="S112" s="468"/>
      <c r="T112" s="448" t="s">
        <v>1357</v>
      </c>
      <c r="U112" s="448" t="s">
        <v>1397</v>
      </c>
      <c r="V112" s="448"/>
    </row>
    <row r="113" spans="3:22" ht="18" customHeight="1" x14ac:dyDescent="0.3">
      <c r="C113" s="456"/>
      <c r="D113" s="277" t="s">
        <v>1455</v>
      </c>
      <c r="E113" s="427" t="s">
        <v>48</v>
      </c>
      <c r="F113" s="283"/>
      <c r="G113" s="427" t="s">
        <v>1517</v>
      </c>
      <c r="H113" s="427">
        <v>1</v>
      </c>
      <c r="I113" s="434">
        <v>1</v>
      </c>
      <c r="J113" s="434" t="s">
        <v>1184</v>
      </c>
      <c r="K113" s="277" t="s">
        <v>459</v>
      </c>
      <c r="L113" s="427" t="s">
        <v>1277</v>
      </c>
      <c r="M113" s="277" t="s">
        <v>1131</v>
      </c>
      <c r="N113" s="277" t="s">
        <v>1131</v>
      </c>
      <c r="O113" s="427" t="s">
        <v>1339</v>
      </c>
      <c r="P113" s="277" t="s">
        <v>1339</v>
      </c>
      <c r="Q113" s="277" t="s">
        <v>1339</v>
      </c>
      <c r="R113" s="277" t="s">
        <v>1339</v>
      </c>
      <c r="S113" s="468"/>
      <c r="T113" s="448"/>
      <c r="U113" s="448"/>
      <c r="V113" s="448"/>
    </row>
    <row r="114" spans="3:22" ht="18" customHeight="1" x14ac:dyDescent="0.3">
      <c r="C114" s="456"/>
      <c r="D114" s="277" t="s">
        <v>1455</v>
      </c>
      <c r="E114" s="427" t="s">
        <v>48</v>
      </c>
      <c r="F114" s="283"/>
      <c r="G114" s="427" t="s">
        <v>1517</v>
      </c>
      <c r="H114" s="427">
        <v>1</v>
      </c>
      <c r="I114" s="434">
        <v>1</v>
      </c>
      <c r="J114" s="434" t="s">
        <v>1184</v>
      </c>
      <c r="K114" s="277" t="s">
        <v>459</v>
      </c>
      <c r="L114" s="427" t="s">
        <v>1278</v>
      </c>
      <c r="M114" s="277" t="s">
        <v>1135</v>
      </c>
      <c r="N114" s="277" t="s">
        <v>1135</v>
      </c>
      <c r="O114" s="427" t="s">
        <v>1339</v>
      </c>
      <c r="P114" s="277" t="s">
        <v>1339</v>
      </c>
      <c r="Q114" s="277" t="s">
        <v>1339</v>
      </c>
      <c r="R114" s="277" t="s">
        <v>1339</v>
      </c>
      <c r="S114" s="468"/>
      <c r="T114" s="448"/>
      <c r="U114" s="448"/>
      <c r="V114" s="448"/>
    </row>
    <row r="115" spans="3:22" ht="18" customHeight="1" x14ac:dyDescent="0.3">
      <c r="C115" s="456"/>
      <c r="D115" s="277" t="s">
        <v>1455</v>
      </c>
      <c r="E115" s="427" t="s">
        <v>48</v>
      </c>
      <c r="F115" s="283"/>
      <c r="G115" s="427" t="s">
        <v>1517</v>
      </c>
      <c r="H115" s="427">
        <v>1</v>
      </c>
      <c r="I115" s="434">
        <v>1</v>
      </c>
      <c r="J115" s="434" t="s">
        <v>1184</v>
      </c>
      <c r="K115" s="277" t="s">
        <v>459</v>
      </c>
      <c r="L115" s="427" t="s">
        <v>1279</v>
      </c>
      <c r="M115" s="277" t="s">
        <v>1136</v>
      </c>
      <c r="N115" s="277" t="s">
        <v>1136</v>
      </c>
      <c r="O115" s="427" t="s">
        <v>1339</v>
      </c>
      <c r="P115" s="277" t="s">
        <v>1339</v>
      </c>
      <c r="Q115" s="277" t="s">
        <v>1339</v>
      </c>
      <c r="R115" s="277" t="s">
        <v>1339</v>
      </c>
      <c r="S115" s="468"/>
      <c r="T115" s="448"/>
      <c r="U115" s="448"/>
      <c r="V115" s="448"/>
    </row>
    <row r="116" spans="3:22" ht="18" customHeight="1" x14ac:dyDescent="0.3">
      <c r="C116" s="456"/>
      <c r="D116" s="277" t="s">
        <v>201</v>
      </c>
      <c r="E116" s="457" t="s">
        <v>201</v>
      </c>
      <c r="F116" s="283"/>
      <c r="G116" s="427" t="s">
        <v>1517</v>
      </c>
      <c r="H116" s="427">
        <v>1</v>
      </c>
      <c r="I116" s="434">
        <v>4</v>
      </c>
      <c r="J116" s="434" t="s">
        <v>1185</v>
      </c>
      <c r="K116" s="277" t="s">
        <v>453</v>
      </c>
      <c r="L116" s="427" t="s">
        <v>201</v>
      </c>
      <c r="M116" s="277" t="s">
        <v>201</v>
      </c>
      <c r="N116" s="427" t="s">
        <v>201</v>
      </c>
      <c r="O116" s="427" t="s">
        <v>1334</v>
      </c>
      <c r="P116" s="277" t="s">
        <v>1339</v>
      </c>
      <c r="Q116" s="277" t="s">
        <v>1334</v>
      </c>
      <c r="R116" s="277" t="s">
        <v>1339</v>
      </c>
      <c r="S116" s="468"/>
      <c r="T116" s="448" t="s">
        <v>1357</v>
      </c>
      <c r="U116" s="448" t="s">
        <v>1397</v>
      </c>
      <c r="V116" s="448"/>
    </row>
    <row r="117" spans="3:22" ht="18" customHeight="1" x14ac:dyDescent="0.3">
      <c r="C117" s="456"/>
      <c r="D117" s="277" t="s">
        <v>203</v>
      </c>
      <c r="E117" s="457" t="s">
        <v>203</v>
      </c>
      <c r="F117" s="283"/>
      <c r="G117" s="427" t="s">
        <v>1517</v>
      </c>
      <c r="H117" s="427">
        <v>1</v>
      </c>
      <c r="I117" s="434">
        <v>4</v>
      </c>
      <c r="J117" s="434" t="s">
        <v>1185</v>
      </c>
      <c r="K117" s="277" t="s">
        <v>453</v>
      </c>
      <c r="L117" s="427" t="s">
        <v>203</v>
      </c>
      <c r="M117" s="277" t="s">
        <v>203</v>
      </c>
      <c r="N117" s="427" t="s">
        <v>203</v>
      </c>
      <c r="O117" s="427" t="s">
        <v>1334</v>
      </c>
      <c r="P117" s="277" t="s">
        <v>1339</v>
      </c>
      <c r="Q117" s="277" t="s">
        <v>1334</v>
      </c>
      <c r="R117" s="277" t="s">
        <v>1339</v>
      </c>
      <c r="S117" s="468"/>
      <c r="T117" s="448" t="s">
        <v>1357</v>
      </c>
      <c r="U117" s="448" t="s">
        <v>1397</v>
      </c>
      <c r="V117" s="448"/>
    </row>
    <row r="118" spans="3:22" ht="18" customHeight="1" x14ac:dyDescent="0.3">
      <c r="C118" s="456" t="s">
        <v>32</v>
      </c>
      <c r="D118" s="274" t="s">
        <v>1128</v>
      </c>
      <c r="E118" s="427" t="s">
        <v>612</v>
      </c>
      <c r="F118" s="286" t="s">
        <v>1107</v>
      </c>
      <c r="G118" s="427" t="s">
        <v>1517</v>
      </c>
      <c r="H118" s="427">
        <v>1</v>
      </c>
      <c r="I118" s="434">
        <v>1</v>
      </c>
      <c r="J118" s="434" t="s">
        <v>1186</v>
      </c>
      <c r="K118" s="277" t="s">
        <v>454</v>
      </c>
      <c r="L118" s="427" t="s">
        <v>1128</v>
      </c>
      <c r="M118" s="274" t="s">
        <v>1128</v>
      </c>
      <c r="N118" s="274" t="s">
        <v>1128</v>
      </c>
      <c r="O118" s="275" t="s">
        <v>1334</v>
      </c>
      <c r="P118" s="274" t="s">
        <v>1334</v>
      </c>
      <c r="Q118" s="274" t="s">
        <v>1334</v>
      </c>
      <c r="R118" s="274" t="s">
        <v>1334</v>
      </c>
      <c r="S118" s="451" t="s">
        <v>1400</v>
      </c>
      <c r="T118" s="448" t="s">
        <v>1399</v>
      </c>
      <c r="U118" s="448" t="s">
        <v>1399</v>
      </c>
      <c r="V118" s="448"/>
    </row>
    <row r="119" spans="3:22" ht="18" customHeight="1" x14ac:dyDescent="0.3">
      <c r="C119" s="456"/>
      <c r="D119" s="274" t="s">
        <v>1129</v>
      </c>
      <c r="E119" s="427" t="s">
        <v>612</v>
      </c>
      <c r="F119" s="286" t="s">
        <v>1107</v>
      </c>
      <c r="G119" s="427" t="s">
        <v>1517</v>
      </c>
      <c r="H119" s="427">
        <v>1</v>
      </c>
      <c r="I119" s="434">
        <v>1</v>
      </c>
      <c r="J119" s="434" t="s">
        <v>1186</v>
      </c>
      <c r="K119" s="277" t="s">
        <v>455</v>
      </c>
      <c r="L119" s="427" t="s">
        <v>1129</v>
      </c>
      <c r="M119" s="274" t="s">
        <v>1129</v>
      </c>
      <c r="N119" s="274" t="s">
        <v>1129</v>
      </c>
      <c r="O119" s="275" t="s">
        <v>1334</v>
      </c>
      <c r="P119" s="274" t="s">
        <v>1334</v>
      </c>
      <c r="Q119" s="274" t="s">
        <v>1334</v>
      </c>
      <c r="R119" s="274" t="s">
        <v>1334</v>
      </c>
      <c r="S119" s="451" t="s">
        <v>1400</v>
      </c>
      <c r="T119" s="448" t="s">
        <v>1399</v>
      </c>
      <c r="U119" s="448" t="s">
        <v>1399</v>
      </c>
      <c r="V119" s="448"/>
    </row>
    <row r="120" spans="3:22" ht="18" customHeight="1" x14ac:dyDescent="0.3">
      <c r="C120" s="456"/>
      <c r="D120" s="274" t="s">
        <v>1130</v>
      </c>
      <c r="E120" s="427" t="s">
        <v>612</v>
      </c>
      <c r="F120" s="286" t="s">
        <v>1107</v>
      </c>
      <c r="G120" s="427" t="s">
        <v>1517</v>
      </c>
      <c r="H120" s="427">
        <v>1</v>
      </c>
      <c r="I120" s="434">
        <v>1</v>
      </c>
      <c r="J120" s="434" t="s">
        <v>1186</v>
      </c>
      <c r="K120" s="277" t="s">
        <v>456</v>
      </c>
      <c r="L120" s="427" t="s">
        <v>1130</v>
      </c>
      <c r="M120" s="274" t="s">
        <v>1130</v>
      </c>
      <c r="N120" s="274" t="s">
        <v>1130</v>
      </c>
      <c r="O120" s="275" t="s">
        <v>1334</v>
      </c>
      <c r="P120" s="274" t="s">
        <v>1334</v>
      </c>
      <c r="Q120" s="274" t="s">
        <v>1334</v>
      </c>
      <c r="R120" s="274" t="s">
        <v>1334</v>
      </c>
      <c r="S120" s="451" t="s">
        <v>1400</v>
      </c>
      <c r="T120" s="448" t="s">
        <v>1399</v>
      </c>
      <c r="U120" s="448" t="s">
        <v>1399</v>
      </c>
      <c r="V120" s="448"/>
    </row>
    <row r="121" spans="3:22" ht="18" customHeight="1" x14ac:dyDescent="0.3">
      <c r="C121" s="456"/>
      <c r="D121" s="277" t="s">
        <v>209</v>
      </c>
      <c r="E121" s="427" t="s">
        <v>612</v>
      </c>
      <c r="F121" s="286" t="s">
        <v>667</v>
      </c>
      <c r="G121" s="427" t="s">
        <v>1517</v>
      </c>
      <c r="H121" s="427">
        <v>1</v>
      </c>
      <c r="I121" s="434">
        <v>1</v>
      </c>
      <c r="J121" s="434" t="s">
        <v>1186</v>
      </c>
      <c r="K121" s="277" t="s">
        <v>526</v>
      </c>
      <c r="L121" s="427" t="s">
        <v>1187</v>
      </c>
      <c r="M121" s="277" t="s">
        <v>1187</v>
      </c>
      <c r="N121" s="427" t="s">
        <v>1187</v>
      </c>
      <c r="O121" s="275" t="s">
        <v>1334</v>
      </c>
      <c r="P121" s="274" t="s">
        <v>1334</v>
      </c>
      <c r="Q121" s="274" t="s">
        <v>1334</v>
      </c>
      <c r="R121" s="274" t="s">
        <v>1334</v>
      </c>
      <c r="S121" s="468"/>
      <c r="T121" s="448" t="s">
        <v>1398</v>
      </c>
      <c r="U121" s="448" t="s">
        <v>1398</v>
      </c>
      <c r="V121" s="448"/>
    </row>
    <row r="122" spans="3:22" ht="18" customHeight="1" x14ac:dyDescent="0.3">
      <c r="C122" s="456"/>
      <c r="D122" s="277" t="s">
        <v>211</v>
      </c>
      <c r="E122" s="427" t="s">
        <v>612</v>
      </c>
      <c r="F122" s="286" t="s">
        <v>1107</v>
      </c>
      <c r="G122" s="427" t="s">
        <v>1517</v>
      </c>
      <c r="H122" s="427">
        <v>1</v>
      </c>
      <c r="I122" s="434">
        <v>1</v>
      </c>
      <c r="J122" s="434" t="s">
        <v>1186</v>
      </c>
      <c r="K122" s="277" t="s">
        <v>527</v>
      </c>
      <c r="L122" s="427" t="s">
        <v>211</v>
      </c>
      <c r="M122" s="277" t="s">
        <v>211</v>
      </c>
      <c r="N122" s="427" t="s">
        <v>211</v>
      </c>
      <c r="O122" s="427" t="s">
        <v>1334</v>
      </c>
      <c r="P122" s="427" t="s">
        <v>1334</v>
      </c>
      <c r="Q122" s="427" t="s">
        <v>1334</v>
      </c>
      <c r="R122" s="427" t="s">
        <v>1334</v>
      </c>
      <c r="S122" s="468" t="s">
        <v>1401</v>
      </c>
      <c r="T122" s="448" t="s">
        <v>1403</v>
      </c>
      <c r="U122" s="448" t="s">
        <v>1402</v>
      </c>
      <c r="V122" s="448"/>
    </row>
    <row r="123" spans="3:22" ht="18" customHeight="1" x14ac:dyDescent="0.3">
      <c r="C123" s="456"/>
      <c r="D123" s="277" t="s">
        <v>1455</v>
      </c>
      <c r="E123" s="427" t="s">
        <v>48</v>
      </c>
      <c r="F123" s="286" t="s">
        <v>1107</v>
      </c>
      <c r="G123" s="427" t="s">
        <v>1517</v>
      </c>
      <c r="H123" s="427">
        <v>1</v>
      </c>
      <c r="I123" s="434">
        <v>1</v>
      </c>
      <c r="J123" s="434" t="s">
        <v>1186</v>
      </c>
      <c r="K123" s="277" t="s">
        <v>459</v>
      </c>
      <c r="L123" s="427" t="s">
        <v>1280</v>
      </c>
      <c r="M123" s="277" t="s">
        <v>213</v>
      </c>
      <c r="N123" s="427" t="s">
        <v>213</v>
      </c>
      <c r="O123" s="427" t="s">
        <v>1339</v>
      </c>
      <c r="P123" s="427" t="s">
        <v>1339</v>
      </c>
      <c r="Q123" s="427" t="s">
        <v>1339</v>
      </c>
      <c r="R123" s="427" t="s">
        <v>1339</v>
      </c>
      <c r="S123" s="468"/>
      <c r="T123" s="448"/>
      <c r="U123" s="448"/>
      <c r="V123" s="448"/>
    </row>
    <row r="124" spans="3:22" ht="18" customHeight="1" x14ac:dyDescent="0.3">
      <c r="C124" s="456"/>
      <c r="D124" s="277" t="s">
        <v>215</v>
      </c>
      <c r="E124" s="427" t="s">
        <v>214</v>
      </c>
      <c r="F124" s="286" t="s">
        <v>1107</v>
      </c>
      <c r="G124" s="427" t="s">
        <v>1517</v>
      </c>
      <c r="H124" s="427">
        <v>1</v>
      </c>
      <c r="I124" s="434">
        <v>1</v>
      </c>
      <c r="J124" s="434" t="s">
        <v>1186</v>
      </c>
      <c r="K124" s="277" t="s">
        <v>528</v>
      </c>
      <c r="L124" s="427" t="s">
        <v>1281</v>
      </c>
      <c r="M124" s="277" t="s">
        <v>216</v>
      </c>
      <c r="N124" s="427" t="s">
        <v>216</v>
      </c>
      <c r="O124" s="427" t="s">
        <v>1339</v>
      </c>
      <c r="P124" s="427" t="s">
        <v>1339</v>
      </c>
      <c r="Q124" s="427" t="s">
        <v>1339</v>
      </c>
      <c r="R124" s="427" t="s">
        <v>1339</v>
      </c>
      <c r="S124" s="468"/>
      <c r="T124" s="448"/>
      <c r="U124" s="448"/>
      <c r="V124" s="448"/>
    </row>
    <row r="125" spans="3:22" ht="18" customHeight="1" x14ac:dyDescent="0.3">
      <c r="C125" s="456"/>
      <c r="D125" s="277" t="s">
        <v>217</v>
      </c>
      <c r="E125" s="427" t="s">
        <v>214</v>
      </c>
      <c r="F125" s="286" t="s">
        <v>1107</v>
      </c>
      <c r="G125" s="427" t="s">
        <v>1517</v>
      </c>
      <c r="H125" s="427">
        <v>1</v>
      </c>
      <c r="I125" s="434">
        <v>1</v>
      </c>
      <c r="J125" s="434" t="s">
        <v>1186</v>
      </c>
      <c r="K125" s="277" t="s">
        <v>529</v>
      </c>
      <c r="L125" s="427" t="s">
        <v>1282</v>
      </c>
      <c r="M125" s="277" t="s">
        <v>218</v>
      </c>
      <c r="N125" s="427" t="s">
        <v>218</v>
      </c>
      <c r="O125" s="427" t="s">
        <v>1339</v>
      </c>
      <c r="P125" s="427" t="s">
        <v>1339</v>
      </c>
      <c r="Q125" s="427" t="s">
        <v>1339</v>
      </c>
      <c r="R125" s="427" t="s">
        <v>1339</v>
      </c>
      <c r="S125" s="468"/>
      <c r="T125" s="448"/>
      <c r="U125" s="448"/>
      <c r="V125" s="448"/>
    </row>
    <row r="126" spans="3:22" ht="18" customHeight="1" x14ac:dyDescent="0.3">
      <c r="C126" s="456"/>
      <c r="D126" s="277" t="s">
        <v>219</v>
      </c>
      <c r="E126" s="427" t="s">
        <v>612</v>
      </c>
      <c r="F126" s="286" t="s">
        <v>667</v>
      </c>
      <c r="G126" s="427" t="s">
        <v>1517</v>
      </c>
      <c r="H126" s="427">
        <v>1</v>
      </c>
      <c r="I126" s="434">
        <v>1</v>
      </c>
      <c r="J126" s="434" t="s">
        <v>1188</v>
      </c>
      <c r="K126" s="277" t="s">
        <v>530</v>
      </c>
      <c r="L126" s="427" t="s">
        <v>219</v>
      </c>
      <c r="M126" s="277" t="s">
        <v>219</v>
      </c>
      <c r="N126" s="427" t="s">
        <v>219</v>
      </c>
      <c r="O126" s="427" t="s">
        <v>1334</v>
      </c>
      <c r="P126" s="427" t="s">
        <v>1334</v>
      </c>
      <c r="Q126" s="427" t="s">
        <v>1334</v>
      </c>
      <c r="R126" s="427" t="s">
        <v>1334</v>
      </c>
      <c r="S126" s="468"/>
      <c r="T126" s="448"/>
      <c r="U126" s="448"/>
      <c r="V126" s="448"/>
    </row>
    <row r="127" spans="3:22" ht="18" customHeight="1" x14ac:dyDescent="0.3">
      <c r="C127" s="456"/>
      <c r="D127" s="277" t="s">
        <v>222</v>
      </c>
      <c r="E127" s="427" t="s">
        <v>221</v>
      </c>
      <c r="F127" s="286" t="s">
        <v>1107</v>
      </c>
      <c r="G127" s="427" t="s">
        <v>1517</v>
      </c>
      <c r="H127" s="427">
        <v>1</v>
      </c>
      <c r="I127" s="434">
        <v>7</v>
      </c>
      <c r="J127" s="434" t="s">
        <v>1188</v>
      </c>
      <c r="K127" s="277" t="s">
        <v>531</v>
      </c>
      <c r="L127" s="427" t="s">
        <v>1283</v>
      </c>
      <c r="M127" s="277" t="s">
        <v>223</v>
      </c>
      <c r="N127" s="427" t="s">
        <v>223</v>
      </c>
      <c r="O127" s="428" t="s">
        <v>1334</v>
      </c>
      <c r="P127" s="427" t="s">
        <v>1339</v>
      </c>
      <c r="Q127" s="427" t="s">
        <v>1339</v>
      </c>
      <c r="R127" s="427" t="s">
        <v>1339</v>
      </c>
      <c r="S127" s="468"/>
      <c r="T127" s="448"/>
      <c r="U127" s="448" t="s">
        <v>1404</v>
      </c>
      <c r="V127" s="448"/>
    </row>
    <row r="128" spans="3:22" ht="18" customHeight="1" x14ac:dyDescent="0.3">
      <c r="C128" s="456"/>
      <c r="D128" s="277" t="s">
        <v>225</v>
      </c>
      <c r="E128" s="427" t="s">
        <v>224</v>
      </c>
      <c r="F128" s="283" t="s">
        <v>17</v>
      </c>
      <c r="G128" s="427" t="s">
        <v>1517</v>
      </c>
      <c r="H128" s="427">
        <v>1</v>
      </c>
      <c r="I128" s="434">
        <v>1</v>
      </c>
      <c r="J128" s="434" t="s">
        <v>1189</v>
      </c>
      <c r="K128" s="277" t="s">
        <v>532</v>
      </c>
      <c r="L128" s="427" t="s">
        <v>225</v>
      </c>
      <c r="M128" s="277" t="s">
        <v>225</v>
      </c>
      <c r="N128" s="427" t="s">
        <v>226</v>
      </c>
      <c r="O128" s="428" t="s">
        <v>1334</v>
      </c>
      <c r="P128" s="427" t="s">
        <v>1339</v>
      </c>
      <c r="Q128" s="427" t="s">
        <v>1339</v>
      </c>
      <c r="R128" s="427" t="s">
        <v>1339</v>
      </c>
      <c r="S128" s="468"/>
      <c r="T128" s="448"/>
      <c r="U128" s="448"/>
      <c r="V128" s="448"/>
    </row>
    <row r="129" spans="3:22" ht="18" customHeight="1" x14ac:dyDescent="0.3">
      <c r="C129" s="456"/>
      <c r="D129" s="277" t="s">
        <v>673</v>
      </c>
      <c r="E129" s="427" t="s">
        <v>612</v>
      </c>
      <c r="F129" s="283" t="s">
        <v>17</v>
      </c>
      <c r="G129" s="427" t="s">
        <v>1517</v>
      </c>
      <c r="H129" s="427">
        <v>1</v>
      </c>
      <c r="I129" s="434">
        <v>1</v>
      </c>
      <c r="J129" s="434" t="s">
        <v>1189</v>
      </c>
      <c r="K129" s="277" t="s">
        <v>674</v>
      </c>
      <c r="L129" s="427" t="s">
        <v>1284</v>
      </c>
      <c r="M129" s="277" t="s">
        <v>673</v>
      </c>
      <c r="N129" s="427" t="s">
        <v>673</v>
      </c>
      <c r="O129" s="427" t="s">
        <v>1334</v>
      </c>
      <c r="P129" s="427" t="s">
        <v>1334</v>
      </c>
      <c r="Q129" s="427" t="s">
        <v>1334</v>
      </c>
      <c r="R129" s="427" t="s">
        <v>1334</v>
      </c>
      <c r="S129" s="468"/>
      <c r="T129" s="448"/>
      <c r="U129" s="448" t="s">
        <v>1386</v>
      </c>
      <c r="V129" s="448"/>
    </row>
    <row r="130" spans="3:22" ht="18" customHeight="1" x14ac:dyDescent="0.3">
      <c r="C130" s="456"/>
      <c r="D130" s="277" t="s">
        <v>228</v>
      </c>
      <c r="E130" s="427" t="s">
        <v>100</v>
      </c>
      <c r="F130" s="283" t="s">
        <v>17</v>
      </c>
      <c r="G130" s="427" t="s">
        <v>1517</v>
      </c>
      <c r="H130" s="427">
        <v>1</v>
      </c>
      <c r="I130" s="434">
        <v>1</v>
      </c>
      <c r="J130" s="434" t="s">
        <v>1189</v>
      </c>
      <c r="K130" s="277" t="s">
        <v>536</v>
      </c>
      <c r="L130" s="427" t="s">
        <v>228</v>
      </c>
      <c r="M130" s="277" t="s">
        <v>229</v>
      </c>
      <c r="N130" s="427" t="s">
        <v>229</v>
      </c>
      <c r="O130" s="428" t="s">
        <v>1334</v>
      </c>
      <c r="P130" s="427" t="s">
        <v>1339</v>
      </c>
      <c r="Q130" s="427" t="s">
        <v>1339</v>
      </c>
      <c r="R130" s="427" t="s">
        <v>1339</v>
      </c>
      <c r="S130" s="468"/>
      <c r="T130" s="448"/>
      <c r="U130" s="448" t="s">
        <v>1386</v>
      </c>
      <c r="V130" s="448"/>
    </row>
    <row r="131" spans="3:22" ht="18" customHeight="1" x14ac:dyDescent="0.3">
      <c r="C131" s="456"/>
      <c r="D131" s="277" t="s">
        <v>230</v>
      </c>
      <c r="E131" s="427" t="s">
        <v>100</v>
      </c>
      <c r="F131" s="283" t="s">
        <v>17</v>
      </c>
      <c r="G131" s="427" t="s">
        <v>1517</v>
      </c>
      <c r="H131" s="427">
        <v>1</v>
      </c>
      <c r="I131" s="434">
        <v>1</v>
      </c>
      <c r="J131" s="434" t="s">
        <v>1189</v>
      </c>
      <c r="K131" s="277" t="s">
        <v>537</v>
      </c>
      <c r="L131" s="277" t="s">
        <v>230</v>
      </c>
      <c r="M131" s="277" t="s">
        <v>231</v>
      </c>
      <c r="N131" s="427" t="s">
        <v>231</v>
      </c>
      <c r="O131" s="428" t="s">
        <v>1334</v>
      </c>
      <c r="P131" s="427" t="s">
        <v>1339</v>
      </c>
      <c r="Q131" s="427" t="s">
        <v>1339</v>
      </c>
      <c r="R131" s="427" t="s">
        <v>1339</v>
      </c>
      <c r="S131" s="468"/>
      <c r="T131" s="448"/>
      <c r="U131" s="448" t="s">
        <v>1386</v>
      </c>
      <c r="V131" s="448"/>
    </row>
    <row r="132" spans="3:22" ht="18" customHeight="1" x14ac:dyDescent="0.3">
      <c r="C132" s="456"/>
      <c r="D132" s="277" t="s">
        <v>232</v>
      </c>
      <c r="E132" s="427" t="s">
        <v>100</v>
      </c>
      <c r="F132" s="283" t="s">
        <v>17</v>
      </c>
      <c r="G132" s="427" t="s">
        <v>1517</v>
      </c>
      <c r="H132" s="427">
        <v>1</v>
      </c>
      <c r="I132" s="434">
        <v>1</v>
      </c>
      <c r="J132" s="434" t="s">
        <v>1189</v>
      </c>
      <c r="K132" s="277" t="s">
        <v>538</v>
      </c>
      <c r="L132" s="277" t="s">
        <v>232</v>
      </c>
      <c r="M132" s="277" t="s">
        <v>233</v>
      </c>
      <c r="N132" s="427" t="s">
        <v>233</v>
      </c>
      <c r="O132" s="428" t="s">
        <v>1334</v>
      </c>
      <c r="P132" s="427" t="s">
        <v>1339</v>
      </c>
      <c r="Q132" s="427" t="s">
        <v>1339</v>
      </c>
      <c r="R132" s="427" t="s">
        <v>1339</v>
      </c>
      <c r="S132" s="468"/>
      <c r="T132" s="448"/>
      <c r="U132" s="448" t="s">
        <v>1386</v>
      </c>
      <c r="V132" s="448"/>
    </row>
    <row r="133" spans="3:22" ht="18" customHeight="1" x14ac:dyDescent="0.3">
      <c r="C133" s="456"/>
      <c r="D133" s="277" t="s">
        <v>235</v>
      </c>
      <c r="E133" s="427" t="s">
        <v>234</v>
      </c>
      <c r="F133" s="283" t="s">
        <v>17</v>
      </c>
      <c r="G133" s="427" t="s">
        <v>1517</v>
      </c>
      <c r="H133" s="427">
        <v>1</v>
      </c>
      <c r="I133" s="434">
        <v>1</v>
      </c>
      <c r="J133" s="434" t="s">
        <v>1189</v>
      </c>
      <c r="K133" s="277" t="s">
        <v>539</v>
      </c>
      <c r="L133" s="281" t="s">
        <v>235</v>
      </c>
      <c r="M133" s="277" t="s">
        <v>235</v>
      </c>
      <c r="N133" s="427" t="s">
        <v>235</v>
      </c>
      <c r="O133" s="427" t="s">
        <v>1334</v>
      </c>
      <c r="P133" s="427" t="s">
        <v>1339</v>
      </c>
      <c r="Q133" s="427" t="s">
        <v>1339</v>
      </c>
      <c r="R133" s="427" t="s">
        <v>1339</v>
      </c>
      <c r="S133" s="468"/>
      <c r="T133" s="448" t="s">
        <v>1371</v>
      </c>
      <c r="U133" s="448" t="s">
        <v>1371</v>
      </c>
      <c r="V133" s="448"/>
    </row>
    <row r="134" spans="3:22" ht="18" customHeight="1" x14ac:dyDescent="0.3">
      <c r="C134" s="456"/>
      <c r="D134" s="274" t="s">
        <v>1105</v>
      </c>
      <c r="E134" s="427" t="s">
        <v>48</v>
      </c>
      <c r="F134" s="283" t="s">
        <v>17</v>
      </c>
      <c r="G134" s="427" t="s">
        <v>1517</v>
      </c>
      <c r="H134" s="427">
        <v>1</v>
      </c>
      <c r="I134" s="434">
        <v>1</v>
      </c>
      <c r="J134" s="434" t="s">
        <v>1189</v>
      </c>
      <c r="K134" s="277" t="s">
        <v>888</v>
      </c>
      <c r="L134" s="427" t="s">
        <v>1285</v>
      </c>
      <c r="M134" s="277" t="s">
        <v>886</v>
      </c>
      <c r="N134" s="427" t="s">
        <v>886</v>
      </c>
      <c r="O134" s="427" t="s">
        <v>1339</v>
      </c>
      <c r="P134" s="427" t="s">
        <v>1339</v>
      </c>
      <c r="Q134" s="427" t="s">
        <v>1339</v>
      </c>
      <c r="R134" s="427" t="s">
        <v>1339</v>
      </c>
      <c r="S134" s="468"/>
      <c r="T134" s="448"/>
      <c r="U134" s="448"/>
      <c r="V134" s="448"/>
    </row>
    <row r="135" spans="3:22" ht="18" customHeight="1" x14ac:dyDescent="0.3">
      <c r="C135" s="456"/>
      <c r="D135" s="277" t="s">
        <v>1455</v>
      </c>
      <c r="E135" s="427" t="s">
        <v>48</v>
      </c>
      <c r="F135" s="283" t="s">
        <v>17</v>
      </c>
      <c r="G135" s="427" t="s">
        <v>1517</v>
      </c>
      <c r="H135" s="427">
        <v>1</v>
      </c>
      <c r="I135" s="434">
        <v>1</v>
      </c>
      <c r="J135" s="434" t="s">
        <v>1189</v>
      </c>
      <c r="K135" s="277" t="s">
        <v>459</v>
      </c>
      <c r="L135" s="427" t="s">
        <v>1286</v>
      </c>
      <c r="M135" s="277" t="s">
        <v>887</v>
      </c>
      <c r="N135" s="427" t="s">
        <v>887</v>
      </c>
      <c r="O135" s="427" t="s">
        <v>1339</v>
      </c>
      <c r="P135" s="427" t="s">
        <v>1339</v>
      </c>
      <c r="Q135" s="427" t="s">
        <v>1339</v>
      </c>
      <c r="R135" s="427" t="s">
        <v>1339</v>
      </c>
      <c r="S135" s="468"/>
      <c r="T135" s="448"/>
      <c r="U135" s="448"/>
      <c r="V135" s="448"/>
    </row>
    <row r="136" spans="3:22" ht="18" customHeight="1" x14ac:dyDescent="0.3">
      <c r="C136" s="456"/>
      <c r="D136" s="274" t="s">
        <v>238</v>
      </c>
      <c r="E136" s="457" t="s">
        <v>612</v>
      </c>
      <c r="F136" s="283"/>
      <c r="G136" s="427" t="s">
        <v>1517</v>
      </c>
      <c r="H136" s="427">
        <v>1</v>
      </c>
      <c r="I136" s="434">
        <v>1</v>
      </c>
      <c r="J136" s="434" t="s">
        <v>1190</v>
      </c>
      <c r="K136" s="277" t="s">
        <v>540</v>
      </c>
      <c r="L136" s="427" t="s">
        <v>238</v>
      </c>
      <c r="M136" s="277" t="s">
        <v>238</v>
      </c>
      <c r="N136" s="427" t="s">
        <v>238</v>
      </c>
      <c r="O136" s="427" t="s">
        <v>1334</v>
      </c>
      <c r="P136" s="427" t="s">
        <v>1334</v>
      </c>
      <c r="Q136" s="427" t="s">
        <v>1334</v>
      </c>
      <c r="R136" s="427" t="s">
        <v>1334</v>
      </c>
      <c r="S136" s="468"/>
      <c r="T136" s="448"/>
      <c r="U136" s="448"/>
      <c r="V136" s="448"/>
    </row>
    <row r="137" spans="3:22" ht="18" customHeight="1" x14ac:dyDescent="0.3">
      <c r="C137" s="456"/>
      <c r="D137" s="488" t="s">
        <v>1537</v>
      </c>
      <c r="E137" s="427" t="s">
        <v>612</v>
      </c>
      <c r="F137" s="283"/>
      <c r="G137" s="427" t="s">
        <v>1517</v>
      </c>
      <c r="H137" s="427">
        <v>1</v>
      </c>
      <c r="I137" s="434">
        <v>1</v>
      </c>
      <c r="J137" s="434" t="s">
        <v>1190</v>
      </c>
      <c r="K137" s="277" t="s">
        <v>541</v>
      </c>
      <c r="L137" s="427" t="s">
        <v>1104</v>
      </c>
      <c r="M137" s="277" t="s">
        <v>1104</v>
      </c>
      <c r="N137" s="275" t="s">
        <v>1104</v>
      </c>
      <c r="O137" s="427" t="s">
        <v>1334</v>
      </c>
      <c r="P137" s="427" t="s">
        <v>1334</v>
      </c>
      <c r="Q137" s="427" t="s">
        <v>1334</v>
      </c>
      <c r="R137" s="427" t="s">
        <v>1334</v>
      </c>
      <c r="S137" s="451"/>
      <c r="T137" s="448"/>
      <c r="U137" s="448"/>
      <c r="V137" s="448"/>
    </row>
    <row r="138" spans="3:22" ht="18" customHeight="1" x14ac:dyDescent="0.3">
      <c r="C138" s="456"/>
      <c r="D138" s="277" t="s">
        <v>242</v>
      </c>
      <c r="E138" s="427" t="s">
        <v>241</v>
      </c>
      <c r="F138" s="283"/>
      <c r="G138" s="427" t="s">
        <v>1517</v>
      </c>
      <c r="H138" s="427">
        <v>1</v>
      </c>
      <c r="I138" s="434">
        <v>5</v>
      </c>
      <c r="J138" s="434" t="s">
        <v>1190</v>
      </c>
      <c r="K138" s="277" t="s">
        <v>542</v>
      </c>
      <c r="L138" s="427" t="s">
        <v>242</v>
      </c>
      <c r="M138" s="277" t="s">
        <v>243</v>
      </c>
      <c r="N138" s="427" t="s">
        <v>243</v>
      </c>
      <c r="O138" s="427" t="s">
        <v>1334</v>
      </c>
      <c r="P138" s="427" t="s">
        <v>1339</v>
      </c>
      <c r="Q138" s="427" t="s">
        <v>1334</v>
      </c>
      <c r="R138" s="427" t="s">
        <v>1339</v>
      </c>
      <c r="S138" s="468" t="s">
        <v>1405</v>
      </c>
      <c r="T138" s="448" t="s">
        <v>1359</v>
      </c>
      <c r="U138" s="448"/>
      <c r="V138" s="448"/>
    </row>
    <row r="139" spans="3:22" ht="18" customHeight="1" x14ac:dyDescent="0.3">
      <c r="C139" s="456"/>
      <c r="D139" s="274" t="s">
        <v>244</v>
      </c>
      <c r="E139" s="457" t="s">
        <v>612</v>
      </c>
      <c r="F139" s="283"/>
      <c r="G139" s="427" t="s">
        <v>1517</v>
      </c>
      <c r="H139" s="427">
        <v>1</v>
      </c>
      <c r="I139" s="434">
        <v>1</v>
      </c>
      <c r="J139" s="434" t="s">
        <v>1190</v>
      </c>
      <c r="K139" s="277" t="s">
        <v>544</v>
      </c>
      <c r="L139" s="427" t="s">
        <v>1287</v>
      </c>
      <c r="M139" s="277" t="s">
        <v>244</v>
      </c>
      <c r="N139" s="427" t="s">
        <v>244</v>
      </c>
      <c r="O139" s="427" t="s">
        <v>1334</v>
      </c>
      <c r="P139" s="427" t="s">
        <v>1334</v>
      </c>
      <c r="Q139" s="427" t="s">
        <v>1334</v>
      </c>
      <c r="R139" s="427" t="s">
        <v>1334</v>
      </c>
      <c r="S139" s="468"/>
      <c r="T139" s="448"/>
      <c r="U139" s="448"/>
      <c r="V139" s="448"/>
    </row>
    <row r="140" spans="3:22" ht="18" customHeight="1" x14ac:dyDescent="0.3">
      <c r="C140" s="456" t="s">
        <v>34</v>
      </c>
      <c r="D140" s="277" t="s">
        <v>254</v>
      </c>
      <c r="E140" s="427" t="s">
        <v>253</v>
      </c>
      <c r="F140" s="283" t="s">
        <v>17</v>
      </c>
      <c r="G140" s="427" t="s">
        <v>1517</v>
      </c>
      <c r="H140" s="427">
        <v>1</v>
      </c>
      <c r="I140" s="434">
        <v>24</v>
      </c>
      <c r="J140" s="434" t="s">
        <v>1191</v>
      </c>
      <c r="K140" s="277" t="s">
        <v>457</v>
      </c>
      <c r="L140" s="427" t="s">
        <v>254</v>
      </c>
      <c r="M140" s="277" t="s">
        <v>254</v>
      </c>
      <c r="N140" s="427" t="s">
        <v>254</v>
      </c>
      <c r="O140" s="427" t="s">
        <v>1334</v>
      </c>
      <c r="P140" s="427" t="s">
        <v>1334</v>
      </c>
      <c r="Q140" s="427" t="s">
        <v>1334</v>
      </c>
      <c r="R140" s="427" t="s">
        <v>1334</v>
      </c>
      <c r="S140" s="468"/>
      <c r="T140" s="448"/>
      <c r="U140" s="448"/>
      <c r="V140" s="448"/>
    </row>
    <row r="141" spans="3:22" ht="18" customHeight="1" x14ac:dyDescent="0.3">
      <c r="C141" s="456"/>
      <c r="D141" s="277" t="s">
        <v>255</v>
      </c>
      <c r="E141" s="427" t="s">
        <v>253</v>
      </c>
      <c r="F141" s="283" t="s">
        <v>17</v>
      </c>
      <c r="G141" s="427" t="s">
        <v>1517</v>
      </c>
      <c r="H141" s="427">
        <v>1</v>
      </c>
      <c r="I141" s="434">
        <v>5</v>
      </c>
      <c r="J141" s="434" t="s">
        <v>1192</v>
      </c>
      <c r="K141" s="277" t="s">
        <v>458</v>
      </c>
      <c r="L141" s="427" t="s">
        <v>255</v>
      </c>
      <c r="M141" s="277" t="s">
        <v>255</v>
      </c>
      <c r="N141" s="427" t="s">
        <v>255</v>
      </c>
      <c r="O141" s="427" t="s">
        <v>1334</v>
      </c>
      <c r="P141" s="427" t="s">
        <v>1334</v>
      </c>
      <c r="Q141" s="427" t="s">
        <v>1334</v>
      </c>
      <c r="R141" s="427" t="s">
        <v>1334</v>
      </c>
      <c r="S141" s="468"/>
      <c r="T141" s="448"/>
      <c r="U141" s="448"/>
      <c r="V141" s="448"/>
    </row>
    <row r="142" spans="3:22" ht="18" customHeight="1" x14ac:dyDescent="0.3">
      <c r="C142" s="456"/>
      <c r="D142" s="277" t="s">
        <v>256</v>
      </c>
      <c r="E142" s="427" t="s">
        <v>253</v>
      </c>
      <c r="F142" s="283" t="s">
        <v>17</v>
      </c>
      <c r="G142" s="427" t="s">
        <v>1517</v>
      </c>
      <c r="H142" s="427">
        <v>1</v>
      </c>
      <c r="I142" s="434">
        <v>2</v>
      </c>
      <c r="J142" s="434" t="s">
        <v>1192</v>
      </c>
      <c r="K142" s="277" t="s">
        <v>461</v>
      </c>
      <c r="L142" s="427" t="s">
        <v>1288</v>
      </c>
      <c r="M142" s="277" t="s">
        <v>256</v>
      </c>
      <c r="N142" s="427" t="s">
        <v>256</v>
      </c>
      <c r="O142" s="427" t="s">
        <v>1334</v>
      </c>
      <c r="P142" s="427" t="s">
        <v>1334</v>
      </c>
      <c r="Q142" s="427" t="s">
        <v>1334</v>
      </c>
      <c r="R142" s="427" t="s">
        <v>1334</v>
      </c>
      <c r="S142" s="468"/>
      <c r="T142" s="448"/>
      <c r="U142" s="448"/>
      <c r="V142" s="448"/>
    </row>
    <row r="143" spans="3:22" ht="18" customHeight="1" x14ac:dyDescent="0.3">
      <c r="C143" s="456"/>
      <c r="D143" s="277" t="s">
        <v>257</v>
      </c>
      <c r="E143" s="427" t="s">
        <v>253</v>
      </c>
      <c r="F143" s="283" t="s">
        <v>17</v>
      </c>
      <c r="G143" s="427" t="s">
        <v>1517</v>
      </c>
      <c r="H143" s="427">
        <v>1</v>
      </c>
      <c r="I143" s="434">
        <v>1</v>
      </c>
      <c r="J143" s="434" t="s">
        <v>1192</v>
      </c>
      <c r="K143" s="277" t="s">
        <v>460</v>
      </c>
      <c r="L143" s="427" t="s">
        <v>257</v>
      </c>
      <c r="M143" s="277" t="s">
        <v>257</v>
      </c>
      <c r="N143" s="427" t="s">
        <v>257</v>
      </c>
      <c r="O143" s="427" t="s">
        <v>1334</v>
      </c>
      <c r="P143" s="427" t="s">
        <v>1334</v>
      </c>
      <c r="Q143" s="427" t="s">
        <v>1334</v>
      </c>
      <c r="R143" s="427" t="s">
        <v>1334</v>
      </c>
      <c r="S143" s="468"/>
      <c r="T143" s="448"/>
      <c r="U143" s="448"/>
      <c r="V143" s="448"/>
    </row>
    <row r="144" spans="3:22" ht="18" customHeight="1" x14ac:dyDescent="0.3">
      <c r="C144" s="456" t="s">
        <v>36</v>
      </c>
      <c r="D144" s="277" t="s">
        <v>258</v>
      </c>
      <c r="E144" s="427" t="s">
        <v>214</v>
      </c>
      <c r="F144" s="283"/>
      <c r="G144" s="427" t="s">
        <v>1517</v>
      </c>
      <c r="H144" s="427">
        <v>1</v>
      </c>
      <c r="I144" s="434">
        <v>8</v>
      </c>
      <c r="J144" s="471" t="s">
        <v>1289</v>
      </c>
      <c r="K144" s="277" t="s">
        <v>462</v>
      </c>
      <c r="L144" s="281" t="s">
        <v>258</v>
      </c>
      <c r="M144" s="278" t="s">
        <v>1322</v>
      </c>
      <c r="N144" s="427" t="s">
        <v>1239</v>
      </c>
      <c r="O144" s="427" t="s">
        <v>1381</v>
      </c>
      <c r="P144" s="427" t="s">
        <v>1381</v>
      </c>
      <c r="Q144" s="427" t="s">
        <v>1381</v>
      </c>
      <c r="R144" s="427" t="s">
        <v>1381</v>
      </c>
      <c r="S144" s="468"/>
      <c r="T144" s="448"/>
      <c r="U144" s="448"/>
      <c r="V144" s="448"/>
    </row>
    <row r="145" spans="3:22" ht="18" customHeight="1" x14ac:dyDescent="0.3">
      <c r="C145" s="456"/>
      <c r="D145" s="277" t="s">
        <v>259</v>
      </c>
      <c r="E145" s="427" t="s">
        <v>214</v>
      </c>
      <c r="F145" s="283"/>
      <c r="G145" s="427" t="s">
        <v>1517</v>
      </c>
      <c r="H145" s="427">
        <v>1</v>
      </c>
      <c r="I145" s="434">
        <v>8</v>
      </c>
      <c r="J145" s="471" t="s">
        <v>1290</v>
      </c>
      <c r="K145" s="277" t="s">
        <v>463</v>
      </c>
      <c r="L145" s="281" t="s">
        <v>259</v>
      </c>
      <c r="M145" s="278" t="s">
        <v>1322</v>
      </c>
      <c r="N145" s="427" t="s">
        <v>1239</v>
      </c>
      <c r="O145" s="427" t="s">
        <v>1381</v>
      </c>
      <c r="P145" s="427" t="s">
        <v>1381</v>
      </c>
      <c r="Q145" s="427" t="s">
        <v>1381</v>
      </c>
      <c r="R145" s="427" t="s">
        <v>1381</v>
      </c>
      <c r="S145" s="468"/>
      <c r="T145" s="448"/>
      <c r="U145" s="448"/>
      <c r="V145" s="448"/>
    </row>
    <row r="146" spans="3:22" ht="18" customHeight="1" x14ac:dyDescent="0.3">
      <c r="C146" s="456"/>
      <c r="D146" s="277" t="s">
        <v>260</v>
      </c>
      <c r="E146" s="427" t="s">
        <v>214</v>
      </c>
      <c r="F146" s="283"/>
      <c r="G146" s="427" t="s">
        <v>1517</v>
      </c>
      <c r="H146" s="427">
        <v>1</v>
      </c>
      <c r="I146" s="434">
        <v>8</v>
      </c>
      <c r="J146" s="471" t="s">
        <v>1292</v>
      </c>
      <c r="K146" s="490" t="s">
        <v>464</v>
      </c>
      <c r="L146" s="281" t="s">
        <v>1291</v>
      </c>
      <c r="M146" s="278" t="s">
        <v>1322</v>
      </c>
      <c r="N146" s="427" t="s">
        <v>1239</v>
      </c>
      <c r="O146" s="427" t="s">
        <v>1381</v>
      </c>
      <c r="P146" s="427" t="s">
        <v>1381</v>
      </c>
      <c r="Q146" s="427" t="s">
        <v>1381</v>
      </c>
      <c r="R146" s="427" t="s">
        <v>1381</v>
      </c>
      <c r="S146" s="468"/>
      <c r="T146" s="448"/>
      <c r="U146" s="448"/>
      <c r="V146" s="448"/>
    </row>
    <row r="147" spans="3:22" ht="18" customHeight="1" x14ac:dyDescent="0.3">
      <c r="C147" s="456"/>
      <c r="D147" s="277" t="s">
        <v>261</v>
      </c>
      <c r="E147" s="427" t="s">
        <v>214</v>
      </c>
      <c r="F147" s="283"/>
      <c r="G147" s="427" t="s">
        <v>1517</v>
      </c>
      <c r="H147" s="427">
        <v>1</v>
      </c>
      <c r="I147" s="434">
        <v>8</v>
      </c>
      <c r="J147" s="471" t="s">
        <v>1294</v>
      </c>
      <c r="K147" s="277" t="s">
        <v>465</v>
      </c>
      <c r="L147" s="281" t="s">
        <v>1293</v>
      </c>
      <c r="M147" s="278" t="s">
        <v>1322</v>
      </c>
      <c r="N147" s="427" t="s">
        <v>1239</v>
      </c>
      <c r="O147" s="427" t="s">
        <v>1381</v>
      </c>
      <c r="P147" s="427" t="s">
        <v>1381</v>
      </c>
      <c r="Q147" s="427" t="s">
        <v>1381</v>
      </c>
      <c r="R147" s="427" t="s">
        <v>1381</v>
      </c>
      <c r="S147" s="468"/>
      <c r="T147" s="448"/>
      <c r="U147" s="448"/>
      <c r="V147" s="448"/>
    </row>
    <row r="148" spans="3:22" ht="18" customHeight="1" x14ac:dyDescent="0.3">
      <c r="C148" s="456" t="s">
        <v>246</v>
      </c>
      <c r="D148" s="277" t="s">
        <v>247</v>
      </c>
      <c r="E148" s="427" t="s">
        <v>390</v>
      </c>
      <c r="F148" s="283"/>
      <c r="G148" s="427" t="s">
        <v>1517</v>
      </c>
      <c r="H148" s="427">
        <v>1</v>
      </c>
      <c r="I148" s="434">
        <v>16</v>
      </c>
      <c r="J148" s="434" t="s">
        <v>1295</v>
      </c>
      <c r="K148" s="277" t="s">
        <v>466</v>
      </c>
      <c r="L148" s="427" t="s">
        <v>247</v>
      </c>
      <c r="M148" s="278" t="s">
        <v>1322</v>
      </c>
      <c r="N148" s="427" t="s">
        <v>1239</v>
      </c>
      <c r="O148" s="427" t="s">
        <v>1381</v>
      </c>
      <c r="P148" s="427" t="s">
        <v>1381</v>
      </c>
      <c r="Q148" s="427" t="s">
        <v>1381</v>
      </c>
      <c r="R148" s="427" t="s">
        <v>1381</v>
      </c>
      <c r="S148" s="468"/>
      <c r="T148" s="448"/>
      <c r="U148" s="448"/>
      <c r="V148" s="448"/>
    </row>
    <row r="149" spans="3:22" ht="18" customHeight="1" x14ac:dyDescent="0.3">
      <c r="C149" s="456"/>
      <c r="D149" s="277" t="s">
        <v>248</v>
      </c>
      <c r="E149" s="427" t="s">
        <v>390</v>
      </c>
      <c r="F149" s="283"/>
      <c r="G149" s="427" t="s">
        <v>1517</v>
      </c>
      <c r="H149" s="427">
        <v>1</v>
      </c>
      <c r="I149" s="434">
        <v>8</v>
      </c>
      <c r="J149" s="434" t="s">
        <v>1296</v>
      </c>
      <c r="K149" s="277" t="s">
        <v>466</v>
      </c>
      <c r="L149" s="427" t="s">
        <v>248</v>
      </c>
      <c r="M149" s="278" t="s">
        <v>1322</v>
      </c>
      <c r="N149" s="427" t="s">
        <v>1239</v>
      </c>
      <c r="O149" s="427" t="s">
        <v>1381</v>
      </c>
      <c r="P149" s="427" t="s">
        <v>1381</v>
      </c>
      <c r="Q149" s="427" t="s">
        <v>1381</v>
      </c>
      <c r="R149" s="427" t="s">
        <v>1381</v>
      </c>
      <c r="S149" s="468"/>
      <c r="T149" s="448"/>
      <c r="U149" s="448"/>
      <c r="V149" s="448"/>
    </row>
    <row r="150" spans="3:22" ht="18" customHeight="1" x14ac:dyDescent="0.3">
      <c r="C150" s="456"/>
      <c r="D150" s="277" t="s">
        <v>249</v>
      </c>
      <c r="E150" s="427" t="s">
        <v>205</v>
      </c>
      <c r="F150" s="283"/>
      <c r="G150" s="427" t="s">
        <v>1517</v>
      </c>
      <c r="H150" s="427">
        <v>1</v>
      </c>
      <c r="I150" s="434">
        <v>8</v>
      </c>
      <c r="J150" s="434" t="s">
        <v>1297</v>
      </c>
      <c r="K150" s="277" t="s">
        <v>467</v>
      </c>
      <c r="L150" s="427" t="s">
        <v>249</v>
      </c>
      <c r="M150" s="278" t="s">
        <v>1322</v>
      </c>
      <c r="N150" s="427" t="s">
        <v>1239</v>
      </c>
      <c r="O150" s="427" t="s">
        <v>1381</v>
      </c>
      <c r="P150" s="427" t="s">
        <v>1381</v>
      </c>
      <c r="Q150" s="427" t="s">
        <v>1381</v>
      </c>
      <c r="R150" s="427" t="s">
        <v>1381</v>
      </c>
      <c r="S150" s="468"/>
      <c r="T150" s="448"/>
      <c r="U150" s="448"/>
      <c r="V150" s="448"/>
    </row>
    <row r="151" spans="3:22" ht="18" customHeight="1" x14ac:dyDescent="0.3">
      <c r="C151" s="455" t="s">
        <v>250</v>
      </c>
      <c r="D151" s="277" t="s">
        <v>250</v>
      </c>
      <c r="E151" s="427" t="s">
        <v>390</v>
      </c>
      <c r="F151" s="283"/>
      <c r="G151" s="427" t="s">
        <v>1517</v>
      </c>
      <c r="H151" s="427">
        <v>1</v>
      </c>
      <c r="I151" s="434">
        <v>32</v>
      </c>
      <c r="J151" s="434" t="s">
        <v>1298</v>
      </c>
      <c r="K151" s="277" t="s">
        <v>468</v>
      </c>
      <c r="L151" s="427" t="s">
        <v>250</v>
      </c>
      <c r="M151" s="278" t="s">
        <v>1322</v>
      </c>
      <c r="N151" s="427" t="s">
        <v>1239</v>
      </c>
      <c r="O151" s="427" t="s">
        <v>1381</v>
      </c>
      <c r="P151" s="427" t="s">
        <v>1381</v>
      </c>
      <c r="Q151" s="427" t="s">
        <v>1381</v>
      </c>
      <c r="R151" s="427" t="s">
        <v>1381</v>
      </c>
      <c r="S151" s="468"/>
      <c r="T151" s="448"/>
      <c r="U151" s="448"/>
      <c r="V151" s="448"/>
    </row>
    <row r="152" spans="3:22" ht="18" customHeight="1" x14ac:dyDescent="0.3">
      <c r="C152" s="455" t="s">
        <v>251</v>
      </c>
      <c r="D152" s="277" t="s">
        <v>251</v>
      </c>
      <c r="E152" s="427" t="s">
        <v>390</v>
      </c>
      <c r="F152" s="283"/>
      <c r="G152" s="427" t="s">
        <v>1517</v>
      </c>
      <c r="H152" s="427">
        <v>1</v>
      </c>
      <c r="I152" s="434">
        <v>32</v>
      </c>
      <c r="J152" s="434" t="s">
        <v>1299</v>
      </c>
      <c r="K152" s="277" t="s">
        <v>469</v>
      </c>
      <c r="L152" s="427" t="s">
        <v>251</v>
      </c>
      <c r="M152" s="278" t="s">
        <v>1322</v>
      </c>
      <c r="N152" s="427" t="s">
        <v>1239</v>
      </c>
      <c r="O152" s="427" t="s">
        <v>1381</v>
      </c>
      <c r="P152" s="427" t="s">
        <v>1381</v>
      </c>
      <c r="Q152" s="427" t="s">
        <v>1381</v>
      </c>
      <c r="R152" s="427" t="s">
        <v>1381</v>
      </c>
      <c r="S152" s="468"/>
      <c r="T152" s="448"/>
      <c r="U152" s="448"/>
      <c r="V152" s="448"/>
    </row>
    <row r="153" spans="3:22" ht="18" customHeight="1" x14ac:dyDescent="0.3">
      <c r="C153" s="455" t="s">
        <v>252</v>
      </c>
      <c r="D153" s="277" t="s">
        <v>252</v>
      </c>
      <c r="E153" s="427" t="s">
        <v>390</v>
      </c>
      <c r="F153" s="283"/>
      <c r="G153" s="427" t="s">
        <v>1517</v>
      </c>
      <c r="H153" s="427">
        <v>1</v>
      </c>
      <c r="I153" s="434">
        <v>32</v>
      </c>
      <c r="J153" s="434" t="s">
        <v>1300</v>
      </c>
      <c r="K153" s="277" t="s">
        <v>470</v>
      </c>
      <c r="L153" s="427" t="s">
        <v>252</v>
      </c>
      <c r="M153" s="278" t="s">
        <v>1322</v>
      </c>
      <c r="N153" s="427" t="s">
        <v>1239</v>
      </c>
      <c r="O153" s="427" t="s">
        <v>1381</v>
      </c>
      <c r="P153" s="427" t="s">
        <v>1381</v>
      </c>
      <c r="Q153" s="427" t="s">
        <v>1381</v>
      </c>
      <c r="R153" s="427" t="s">
        <v>1381</v>
      </c>
      <c r="S153" s="468"/>
      <c r="T153" s="448"/>
      <c r="U153" s="448"/>
      <c r="V153" s="448"/>
    </row>
    <row r="154" spans="3:22" ht="18" customHeight="1" x14ac:dyDescent="0.3">
      <c r="C154" s="456" t="s">
        <v>38</v>
      </c>
      <c r="D154" s="277" t="s">
        <v>262</v>
      </c>
      <c r="E154" s="427" t="s">
        <v>612</v>
      </c>
      <c r="F154" s="286"/>
      <c r="G154" s="427" t="s">
        <v>1517</v>
      </c>
      <c r="H154" s="427">
        <v>1</v>
      </c>
      <c r="I154" s="434">
        <v>16</v>
      </c>
      <c r="J154" s="434" t="s">
        <v>1193</v>
      </c>
      <c r="K154" s="277" t="s">
        <v>471</v>
      </c>
      <c r="L154" s="427" t="s">
        <v>1301</v>
      </c>
      <c r="M154" s="277" t="s">
        <v>262</v>
      </c>
      <c r="N154" s="427" t="s">
        <v>262</v>
      </c>
      <c r="O154" s="427" t="s">
        <v>1334</v>
      </c>
      <c r="P154" s="427" t="s">
        <v>1334</v>
      </c>
      <c r="Q154" s="427" t="s">
        <v>1334</v>
      </c>
      <c r="R154" s="427" t="s">
        <v>1334</v>
      </c>
      <c r="S154" s="468"/>
      <c r="T154" s="448"/>
      <c r="U154" s="448"/>
      <c r="V154" s="448"/>
    </row>
    <row r="155" spans="3:22" ht="18" customHeight="1" x14ac:dyDescent="0.3">
      <c r="C155" s="456"/>
      <c r="D155" s="277" t="s">
        <v>263</v>
      </c>
      <c r="E155" s="427" t="s">
        <v>612</v>
      </c>
      <c r="F155" s="286"/>
      <c r="G155" s="427" t="s">
        <v>1517</v>
      </c>
      <c r="H155" s="427">
        <v>1</v>
      </c>
      <c r="I155" s="434">
        <v>8</v>
      </c>
      <c r="J155" s="434" t="s">
        <v>1194</v>
      </c>
      <c r="K155" s="277" t="s">
        <v>472</v>
      </c>
      <c r="L155" s="427" t="s">
        <v>1302</v>
      </c>
      <c r="M155" s="277" t="s">
        <v>263</v>
      </c>
      <c r="N155" s="427" t="s">
        <v>263</v>
      </c>
      <c r="O155" s="427" t="s">
        <v>1334</v>
      </c>
      <c r="P155" s="427" t="s">
        <v>1334</v>
      </c>
      <c r="Q155" s="427" t="s">
        <v>1334</v>
      </c>
      <c r="R155" s="427" t="s">
        <v>1334</v>
      </c>
      <c r="S155" s="468"/>
      <c r="T155" s="448"/>
      <c r="U155" s="448"/>
      <c r="V155" s="448"/>
    </row>
    <row r="156" spans="3:22" ht="18" customHeight="1" x14ac:dyDescent="0.3">
      <c r="C156" s="456"/>
      <c r="D156" s="277" t="s">
        <v>264</v>
      </c>
      <c r="E156" s="427" t="s">
        <v>612</v>
      </c>
      <c r="F156" s="286"/>
      <c r="G156" s="427" t="s">
        <v>1517</v>
      </c>
      <c r="H156" s="427">
        <v>1</v>
      </c>
      <c r="I156" s="434">
        <v>4</v>
      </c>
      <c r="J156" s="434" t="s">
        <v>1195</v>
      </c>
      <c r="K156" s="277" t="s">
        <v>473</v>
      </c>
      <c r="L156" s="427" t="s">
        <v>1303</v>
      </c>
      <c r="M156" s="277" t="s">
        <v>264</v>
      </c>
      <c r="N156" s="427" t="s">
        <v>264</v>
      </c>
      <c r="O156" s="427" t="s">
        <v>1334</v>
      </c>
      <c r="P156" s="427" t="s">
        <v>1334</v>
      </c>
      <c r="Q156" s="427" t="s">
        <v>1334</v>
      </c>
      <c r="R156" s="427" t="s">
        <v>1334</v>
      </c>
      <c r="S156" s="468"/>
      <c r="T156" s="448"/>
      <c r="U156" s="448"/>
      <c r="V156" s="448"/>
    </row>
    <row r="157" spans="3:22" ht="18" customHeight="1" x14ac:dyDescent="0.3">
      <c r="C157" s="456"/>
      <c r="D157" s="277" t="s">
        <v>265</v>
      </c>
      <c r="E157" s="427" t="s">
        <v>612</v>
      </c>
      <c r="F157" s="286"/>
      <c r="G157" s="427" t="s">
        <v>1517</v>
      </c>
      <c r="H157" s="427">
        <v>1</v>
      </c>
      <c r="I157" s="434">
        <v>4</v>
      </c>
      <c r="J157" s="434" t="s">
        <v>1195</v>
      </c>
      <c r="K157" s="277" t="s">
        <v>472</v>
      </c>
      <c r="L157" s="427" t="s">
        <v>1304</v>
      </c>
      <c r="M157" s="277" t="s">
        <v>265</v>
      </c>
      <c r="N157" s="427" t="s">
        <v>265</v>
      </c>
      <c r="O157" s="427" t="s">
        <v>1334</v>
      </c>
      <c r="P157" s="427" t="s">
        <v>1334</v>
      </c>
      <c r="Q157" s="427" t="s">
        <v>1334</v>
      </c>
      <c r="R157" s="427" t="s">
        <v>1334</v>
      </c>
      <c r="S157" s="468"/>
      <c r="T157" s="448"/>
      <c r="U157" s="448"/>
      <c r="V157" s="448"/>
    </row>
    <row r="158" spans="3:22" ht="18" customHeight="1" x14ac:dyDescent="0.3">
      <c r="C158" s="455" t="s">
        <v>359</v>
      </c>
      <c r="D158" s="277" t="s">
        <v>361</v>
      </c>
      <c r="E158" s="427" t="s">
        <v>360</v>
      </c>
      <c r="F158" s="283" t="s">
        <v>550</v>
      </c>
      <c r="G158" s="427" t="s">
        <v>1517</v>
      </c>
      <c r="H158" s="427">
        <v>1</v>
      </c>
      <c r="I158" s="434">
        <f>32*8</f>
        <v>256</v>
      </c>
      <c r="J158" s="434" t="s">
        <v>1239</v>
      </c>
      <c r="K158" s="277" t="s">
        <v>549</v>
      </c>
      <c r="L158" s="434" t="s">
        <v>1239</v>
      </c>
      <c r="M158" s="277" t="s">
        <v>1321</v>
      </c>
      <c r="N158" s="277"/>
      <c r="O158" s="427" t="s">
        <v>1321</v>
      </c>
      <c r="P158" s="277" t="s">
        <v>1321</v>
      </c>
      <c r="Q158" s="277" t="s">
        <v>1321</v>
      </c>
      <c r="R158" s="277" t="s">
        <v>1321</v>
      </c>
      <c r="S158" s="435"/>
      <c r="T158" s="448"/>
      <c r="U158" s="448"/>
      <c r="V158" s="448"/>
    </row>
    <row r="159" spans="3:22" ht="18" customHeight="1" x14ac:dyDescent="0.3">
      <c r="C159" s="455" t="s">
        <v>362</v>
      </c>
      <c r="D159" s="277" t="s">
        <v>364</v>
      </c>
      <c r="E159" s="427" t="s">
        <v>363</v>
      </c>
      <c r="F159" s="283" t="s">
        <v>550</v>
      </c>
      <c r="G159" s="427" t="s">
        <v>1517</v>
      </c>
      <c r="H159" s="427">
        <v>1</v>
      </c>
      <c r="I159" s="434">
        <f>32*8</f>
        <v>256</v>
      </c>
      <c r="J159" s="434" t="s">
        <v>1239</v>
      </c>
      <c r="K159" s="277" t="s">
        <v>549</v>
      </c>
      <c r="L159" s="434"/>
      <c r="M159" s="277" t="s">
        <v>1321</v>
      </c>
      <c r="N159" s="277"/>
      <c r="O159" s="427" t="s">
        <v>1321</v>
      </c>
      <c r="P159" s="277" t="s">
        <v>1321</v>
      </c>
      <c r="Q159" s="277" t="s">
        <v>1321</v>
      </c>
      <c r="R159" s="277" t="s">
        <v>1321</v>
      </c>
      <c r="S159" s="435"/>
      <c r="T159" s="448"/>
      <c r="U159" s="448"/>
      <c r="V159" s="448"/>
    </row>
    <row r="160" spans="3:22" ht="18" customHeight="1" thickBot="1" x14ac:dyDescent="0.35">
      <c r="C160" s="455" t="s">
        <v>365</v>
      </c>
      <c r="D160" s="277" t="s">
        <v>366</v>
      </c>
      <c r="E160" s="427" t="s">
        <v>363</v>
      </c>
      <c r="F160" s="283" t="s">
        <v>550</v>
      </c>
      <c r="G160" s="427" t="s">
        <v>1517</v>
      </c>
      <c r="H160" s="427">
        <v>1</v>
      </c>
      <c r="I160" s="434">
        <f>32*8</f>
        <v>256</v>
      </c>
      <c r="J160" s="434" t="s">
        <v>1239</v>
      </c>
      <c r="K160" s="277" t="s">
        <v>549</v>
      </c>
      <c r="L160" s="434"/>
      <c r="M160" s="277" t="s">
        <v>1321</v>
      </c>
      <c r="N160" s="277"/>
      <c r="O160" s="427" t="s">
        <v>1321</v>
      </c>
      <c r="P160" s="277" t="s">
        <v>1321</v>
      </c>
      <c r="Q160" s="277" t="s">
        <v>1321</v>
      </c>
      <c r="R160" s="277" t="s">
        <v>1321</v>
      </c>
      <c r="S160" s="435"/>
      <c r="T160" s="448"/>
      <c r="U160" s="448"/>
      <c r="V160" s="448"/>
    </row>
    <row r="161" spans="3:22" ht="18" customHeight="1" x14ac:dyDescent="0.3">
      <c r="C161" s="458" t="s">
        <v>9</v>
      </c>
      <c r="D161" s="459" t="s">
        <v>395</v>
      </c>
      <c r="E161" s="460" t="s">
        <v>395</v>
      </c>
      <c r="F161" s="276" t="s">
        <v>550</v>
      </c>
      <c r="G161" s="276" t="s">
        <v>1518</v>
      </c>
      <c r="H161" s="460">
        <v>3</v>
      </c>
      <c r="I161" s="472">
        <v>512</v>
      </c>
      <c r="J161" s="472" t="s">
        <v>1231</v>
      </c>
      <c r="K161" s="473" t="s">
        <v>511</v>
      </c>
      <c r="L161" s="460" t="s">
        <v>1306</v>
      </c>
      <c r="M161" s="459" t="s">
        <v>395</v>
      </c>
      <c r="N161" s="460" t="s">
        <v>395</v>
      </c>
      <c r="O161" s="460">
        <v>512</v>
      </c>
      <c r="P161" s="460">
        <v>512</v>
      </c>
      <c r="Q161" s="460">
        <v>512</v>
      </c>
      <c r="R161" s="460">
        <v>512</v>
      </c>
      <c r="S161" s="474"/>
      <c r="T161" s="448" t="s">
        <v>1360</v>
      </c>
      <c r="U161" s="448"/>
      <c r="V161" s="448"/>
    </row>
    <row r="162" spans="3:22" ht="18" customHeight="1" x14ac:dyDescent="0.3">
      <c r="C162" s="458"/>
      <c r="D162" s="459" t="s">
        <v>396</v>
      </c>
      <c r="E162" s="460" t="s">
        <v>396</v>
      </c>
      <c r="F162" s="276" t="s">
        <v>550</v>
      </c>
      <c r="G162" s="276" t="s">
        <v>1518</v>
      </c>
      <c r="H162" s="460">
        <v>3</v>
      </c>
      <c r="I162" s="472">
        <v>32</v>
      </c>
      <c r="J162" s="444" t="s">
        <v>1457</v>
      </c>
      <c r="K162" s="475" t="s">
        <v>512</v>
      </c>
      <c r="L162" s="288" t="s">
        <v>1459</v>
      </c>
      <c r="M162" s="279" t="s">
        <v>1232</v>
      </c>
      <c r="N162" s="460" t="s">
        <v>1232</v>
      </c>
      <c r="O162" s="460">
        <v>32</v>
      </c>
      <c r="P162" s="460">
        <v>32</v>
      </c>
      <c r="Q162" s="460">
        <v>32</v>
      </c>
      <c r="R162" s="460">
        <v>32</v>
      </c>
      <c r="S162" s="474"/>
      <c r="T162" s="448" t="s">
        <v>1361</v>
      </c>
      <c r="U162" s="448"/>
      <c r="V162" s="448"/>
    </row>
    <row r="163" spans="3:22" ht="18" customHeight="1" x14ac:dyDescent="0.3">
      <c r="C163" s="458"/>
      <c r="D163" s="459" t="s">
        <v>397</v>
      </c>
      <c r="E163" s="460" t="s">
        <v>397</v>
      </c>
      <c r="F163" s="259" t="s">
        <v>15</v>
      </c>
      <c r="G163" s="276" t="s">
        <v>1518</v>
      </c>
      <c r="H163" s="460">
        <v>3</v>
      </c>
      <c r="I163" s="472">
        <v>256</v>
      </c>
      <c r="J163" s="444" t="s">
        <v>1458</v>
      </c>
      <c r="K163" s="475" t="s">
        <v>513</v>
      </c>
      <c r="L163" s="288" t="s">
        <v>1460</v>
      </c>
      <c r="M163" s="279" t="s">
        <v>397</v>
      </c>
      <c r="N163" s="460" t="s">
        <v>397</v>
      </c>
      <c r="O163" s="460">
        <v>256</v>
      </c>
      <c r="P163" s="460">
        <v>256</v>
      </c>
      <c r="Q163" s="460">
        <v>256</v>
      </c>
      <c r="R163" s="460">
        <v>256</v>
      </c>
      <c r="S163" s="474"/>
      <c r="T163" s="448" t="s">
        <v>1361</v>
      </c>
      <c r="U163" s="448"/>
      <c r="V163" s="448"/>
    </row>
    <row r="164" spans="3:22" ht="18" customHeight="1" x14ac:dyDescent="0.3">
      <c r="C164" s="458"/>
      <c r="D164" s="459" t="s">
        <v>398</v>
      </c>
      <c r="E164" s="460" t="s">
        <v>398</v>
      </c>
      <c r="F164" s="259" t="s">
        <v>15</v>
      </c>
      <c r="G164" s="276" t="s">
        <v>1518</v>
      </c>
      <c r="H164" s="460">
        <v>3</v>
      </c>
      <c r="I164" s="472">
        <v>256</v>
      </c>
      <c r="J164" s="472" t="s">
        <v>1233</v>
      </c>
      <c r="K164" s="475" t="s">
        <v>516</v>
      </c>
      <c r="L164" s="460" t="s">
        <v>1239</v>
      </c>
      <c r="M164" s="459" t="s">
        <v>398</v>
      </c>
      <c r="N164" s="459" t="s">
        <v>398</v>
      </c>
      <c r="O164" s="276" t="s">
        <v>1339</v>
      </c>
      <c r="P164" s="459" t="s">
        <v>1339</v>
      </c>
      <c r="Q164" s="460">
        <v>256</v>
      </c>
      <c r="R164" s="460">
        <v>256</v>
      </c>
      <c r="S164" s="474"/>
      <c r="T164" s="448" t="s">
        <v>1361</v>
      </c>
      <c r="U164" s="448"/>
      <c r="V164" s="448" t="s">
        <v>1420</v>
      </c>
    </row>
    <row r="165" spans="3:22" ht="18" customHeight="1" x14ac:dyDescent="0.3">
      <c r="C165" s="458"/>
      <c r="D165" s="459" t="s">
        <v>421</v>
      </c>
      <c r="E165" s="460" t="s">
        <v>421</v>
      </c>
      <c r="F165" s="276" t="s">
        <v>550</v>
      </c>
      <c r="G165" s="276" t="s">
        <v>1518</v>
      </c>
      <c r="H165" s="460">
        <v>3</v>
      </c>
      <c r="I165" s="472">
        <v>0</v>
      </c>
      <c r="J165" s="459"/>
      <c r="K165" s="476" t="s">
        <v>517</v>
      </c>
      <c r="L165" s="459"/>
      <c r="M165" s="459"/>
      <c r="N165" s="459" t="s">
        <v>1239</v>
      </c>
      <c r="O165" s="288" t="s">
        <v>1334</v>
      </c>
      <c r="P165" s="279" t="s">
        <v>1334</v>
      </c>
      <c r="Q165" s="279" t="s">
        <v>1334</v>
      </c>
      <c r="R165" s="279" t="s">
        <v>1334</v>
      </c>
      <c r="S165" s="474"/>
      <c r="T165" s="448" t="s">
        <v>1361</v>
      </c>
      <c r="U165" s="448"/>
      <c r="V165" s="448"/>
    </row>
    <row r="166" spans="3:22" ht="18" customHeight="1" x14ac:dyDescent="0.3">
      <c r="C166" s="461" t="s">
        <v>883</v>
      </c>
      <c r="D166" s="462" t="s">
        <v>16</v>
      </c>
      <c r="E166" s="462" t="s">
        <v>16</v>
      </c>
      <c r="F166" s="260" t="s">
        <v>17</v>
      </c>
      <c r="G166" s="462" t="s">
        <v>1518</v>
      </c>
      <c r="H166" s="462">
        <v>2</v>
      </c>
      <c r="I166" s="477">
        <v>768</v>
      </c>
      <c r="J166" s="445" t="s">
        <v>562</v>
      </c>
      <c r="K166" s="280" t="s">
        <v>833</v>
      </c>
      <c r="L166" s="280" t="s">
        <v>1239</v>
      </c>
      <c r="M166" s="280" t="s">
        <v>16</v>
      </c>
      <c r="N166" s="462" t="s">
        <v>16</v>
      </c>
      <c r="O166" s="462">
        <v>768</v>
      </c>
      <c r="P166" s="462">
        <v>768</v>
      </c>
      <c r="Q166" s="462">
        <v>768</v>
      </c>
      <c r="R166" s="462">
        <v>768</v>
      </c>
      <c r="S166" s="478" t="s">
        <v>1454</v>
      </c>
      <c r="T166" s="448" t="s">
        <v>1362</v>
      </c>
      <c r="U166" s="448"/>
      <c r="V166" s="448"/>
    </row>
    <row r="167" spans="3:22" ht="18" customHeight="1" x14ac:dyDescent="0.3">
      <c r="C167" s="461"/>
      <c r="D167" s="462" t="s">
        <v>399</v>
      </c>
      <c r="E167" s="462" t="s">
        <v>399</v>
      </c>
      <c r="F167" s="260" t="s">
        <v>17</v>
      </c>
      <c r="G167" s="462" t="s">
        <v>1518</v>
      </c>
      <c r="H167" s="462">
        <v>2</v>
      </c>
      <c r="I167" s="477">
        <v>160</v>
      </c>
      <c r="J167" s="477" t="s">
        <v>1234</v>
      </c>
      <c r="K167" s="462" t="s">
        <v>519</v>
      </c>
      <c r="L167" s="462" t="s">
        <v>1239</v>
      </c>
      <c r="M167" s="462" t="s">
        <v>399</v>
      </c>
      <c r="N167" s="479" t="s">
        <v>399</v>
      </c>
      <c r="O167" s="462">
        <v>160</v>
      </c>
      <c r="P167" s="462">
        <v>160</v>
      </c>
      <c r="Q167" s="462">
        <v>160</v>
      </c>
      <c r="R167" s="462">
        <v>160</v>
      </c>
      <c r="S167" s="478" t="s">
        <v>1454</v>
      </c>
      <c r="T167" s="448" t="s">
        <v>1363</v>
      </c>
      <c r="U167" s="448"/>
      <c r="V167" s="448"/>
    </row>
    <row r="168" spans="3:22" ht="18" customHeight="1" x14ac:dyDescent="0.3">
      <c r="C168" s="461"/>
      <c r="D168" s="462" t="s">
        <v>22</v>
      </c>
      <c r="E168" s="462" t="s">
        <v>22</v>
      </c>
      <c r="F168" s="260" t="s">
        <v>17</v>
      </c>
      <c r="G168" s="462" t="s">
        <v>1518</v>
      </c>
      <c r="H168" s="462">
        <v>2</v>
      </c>
      <c r="I168" s="477">
        <v>32</v>
      </c>
      <c r="J168" s="445" t="s">
        <v>1235</v>
      </c>
      <c r="K168" s="266" t="s">
        <v>514</v>
      </c>
      <c r="L168" s="280"/>
      <c r="M168" s="280" t="s">
        <v>22</v>
      </c>
      <c r="N168" s="479" t="s">
        <v>22</v>
      </c>
      <c r="O168" s="462">
        <v>32</v>
      </c>
      <c r="P168" s="462">
        <v>32</v>
      </c>
      <c r="Q168" s="462">
        <v>32</v>
      </c>
      <c r="R168" s="462">
        <v>32</v>
      </c>
      <c r="S168" s="478"/>
      <c r="T168" s="448"/>
      <c r="U168" s="448"/>
      <c r="V168" s="448"/>
    </row>
    <row r="169" spans="3:22" ht="18" customHeight="1" x14ac:dyDescent="0.3">
      <c r="C169" s="461"/>
      <c r="D169" s="462" t="s">
        <v>882</v>
      </c>
      <c r="E169" s="462" t="s">
        <v>882</v>
      </c>
      <c r="F169" s="260" t="s">
        <v>17</v>
      </c>
      <c r="G169" s="462" t="s">
        <v>1518</v>
      </c>
      <c r="H169" s="462">
        <v>2</v>
      </c>
      <c r="I169" s="477">
        <v>320</v>
      </c>
      <c r="J169" s="477" t="s">
        <v>1236</v>
      </c>
      <c r="K169" s="481" t="s">
        <v>1462</v>
      </c>
      <c r="L169" s="462" t="s">
        <v>1239</v>
      </c>
      <c r="M169" s="462" t="s">
        <v>882</v>
      </c>
      <c r="N169" s="479" t="s">
        <v>882</v>
      </c>
      <c r="O169" s="462">
        <v>320</v>
      </c>
      <c r="P169" s="462">
        <v>320</v>
      </c>
      <c r="Q169" s="462">
        <v>320</v>
      </c>
      <c r="R169" s="462">
        <v>320</v>
      </c>
      <c r="S169" s="478"/>
      <c r="T169" s="448"/>
      <c r="U169" s="448"/>
      <c r="V169" s="448"/>
    </row>
    <row r="170" spans="3:22" ht="18" customHeight="1" x14ac:dyDescent="0.3">
      <c r="C170" s="461"/>
      <c r="D170" s="462" t="s">
        <v>21</v>
      </c>
      <c r="E170" s="462" t="s">
        <v>21</v>
      </c>
      <c r="F170" s="260" t="s">
        <v>17</v>
      </c>
      <c r="G170" s="462" t="s">
        <v>1518</v>
      </c>
      <c r="H170" s="462">
        <v>2</v>
      </c>
      <c r="I170" s="477">
        <v>6400</v>
      </c>
      <c r="J170" s="477" t="s">
        <v>1323</v>
      </c>
      <c r="K170" s="480" t="s">
        <v>515</v>
      </c>
      <c r="L170" s="462" t="s">
        <v>21</v>
      </c>
      <c r="M170" s="479" t="s">
        <v>1239</v>
      </c>
      <c r="N170" s="479" t="s">
        <v>1239</v>
      </c>
      <c r="O170" s="462">
        <v>6400</v>
      </c>
      <c r="P170" s="479" t="s">
        <v>1339</v>
      </c>
      <c r="Q170" s="479" t="s">
        <v>1339</v>
      </c>
      <c r="R170" s="479" t="s">
        <v>1339</v>
      </c>
      <c r="S170" s="478"/>
      <c r="T170" s="448"/>
      <c r="U170" s="448"/>
      <c r="V170" s="448"/>
    </row>
    <row r="171" spans="3:22" ht="18" customHeight="1" thickBot="1" x14ac:dyDescent="0.35">
      <c r="C171" s="461"/>
      <c r="D171" s="462" t="s">
        <v>422</v>
      </c>
      <c r="E171" s="462" t="s">
        <v>422</v>
      </c>
      <c r="F171" s="260" t="s">
        <v>17</v>
      </c>
      <c r="G171" s="462" t="s">
        <v>1518</v>
      </c>
      <c r="H171" s="462">
        <v>2</v>
      </c>
      <c r="I171" s="477">
        <v>0</v>
      </c>
      <c r="J171" s="479"/>
      <c r="K171" s="482" t="s">
        <v>518</v>
      </c>
      <c r="L171" s="462" t="s">
        <v>1239</v>
      </c>
      <c r="M171" s="479" t="s">
        <v>1344</v>
      </c>
      <c r="N171" s="479" t="s">
        <v>1239</v>
      </c>
      <c r="O171" s="280" t="s">
        <v>1339</v>
      </c>
      <c r="P171" s="280" t="s">
        <v>1339</v>
      </c>
      <c r="Q171" s="280" t="s">
        <v>1339</v>
      </c>
      <c r="R171" s="280" t="s">
        <v>1339</v>
      </c>
      <c r="S171" s="478"/>
      <c r="T171" s="448"/>
      <c r="U171" s="448"/>
      <c r="V171" s="448" t="s">
        <v>1421</v>
      </c>
    </row>
    <row r="172" spans="3:22" ht="18" customHeight="1" x14ac:dyDescent="0.3">
      <c r="C172" s="463" t="s">
        <v>42</v>
      </c>
      <c r="D172" s="267" t="s">
        <v>1536</v>
      </c>
      <c r="E172" s="267" t="s">
        <v>613</v>
      </c>
      <c r="F172" s="261"/>
      <c r="G172" s="267" t="s">
        <v>1473</v>
      </c>
      <c r="H172" s="267">
        <v>4</v>
      </c>
      <c r="I172" s="483">
        <v>1</v>
      </c>
      <c r="J172" s="491" t="s">
        <v>1197</v>
      </c>
      <c r="K172" s="492" t="s">
        <v>474</v>
      </c>
      <c r="L172" s="267" t="s">
        <v>1305</v>
      </c>
      <c r="M172" s="267" t="s">
        <v>1196</v>
      </c>
      <c r="N172" s="267" t="s">
        <v>1196</v>
      </c>
      <c r="O172" s="267" t="s">
        <v>1334</v>
      </c>
      <c r="P172" s="267" t="s">
        <v>1334</v>
      </c>
      <c r="Q172" s="267" t="s">
        <v>1334</v>
      </c>
      <c r="R172" s="267" t="s">
        <v>1334</v>
      </c>
      <c r="S172" s="484"/>
      <c r="T172" s="448"/>
      <c r="U172" s="448"/>
      <c r="V172" s="448"/>
    </row>
    <row r="173" spans="3:22" ht="18" customHeight="1" x14ac:dyDescent="0.3">
      <c r="C173" s="463"/>
      <c r="D173" s="267" t="s">
        <v>267</v>
      </c>
      <c r="E173" s="267" t="s">
        <v>613</v>
      </c>
      <c r="F173" s="261"/>
      <c r="G173" s="267" t="s">
        <v>1473</v>
      </c>
      <c r="H173" s="267">
        <v>4</v>
      </c>
      <c r="I173" s="483">
        <v>1</v>
      </c>
      <c r="J173" s="491" t="s">
        <v>1197</v>
      </c>
      <c r="K173" s="492" t="s">
        <v>475</v>
      </c>
      <c r="L173" s="267" t="s">
        <v>267</v>
      </c>
      <c r="M173" s="267" t="s">
        <v>267</v>
      </c>
      <c r="N173" s="267" t="s">
        <v>267</v>
      </c>
      <c r="O173" s="267" t="s">
        <v>1334</v>
      </c>
      <c r="P173" s="267" t="s">
        <v>1334</v>
      </c>
      <c r="Q173" s="267" t="s">
        <v>1334</v>
      </c>
      <c r="R173" s="267" t="s">
        <v>1334</v>
      </c>
      <c r="S173" s="484"/>
      <c r="T173" s="448"/>
      <c r="U173" s="448"/>
      <c r="V173" s="448"/>
    </row>
    <row r="174" spans="3:22" ht="18" customHeight="1" x14ac:dyDescent="0.3">
      <c r="C174" s="463"/>
      <c r="D174" s="267" t="s">
        <v>269</v>
      </c>
      <c r="E174" s="267" t="s">
        <v>613</v>
      </c>
      <c r="F174" s="261"/>
      <c r="G174" s="267" t="s">
        <v>1473</v>
      </c>
      <c r="H174" s="267">
        <v>4</v>
      </c>
      <c r="I174" s="483">
        <v>1</v>
      </c>
      <c r="J174" s="491" t="s">
        <v>1197</v>
      </c>
      <c r="K174" s="492" t="s">
        <v>476</v>
      </c>
      <c r="L174" s="267" t="s">
        <v>269</v>
      </c>
      <c r="M174" s="267" t="s">
        <v>269</v>
      </c>
      <c r="N174" s="267" t="s">
        <v>269</v>
      </c>
      <c r="O174" s="267" t="s">
        <v>1334</v>
      </c>
      <c r="P174" s="267" t="s">
        <v>1334</v>
      </c>
      <c r="Q174" s="267" t="s">
        <v>1334</v>
      </c>
      <c r="R174" s="267" t="s">
        <v>1334</v>
      </c>
      <c r="S174" s="484"/>
      <c r="T174" s="448"/>
      <c r="U174" s="448"/>
      <c r="V174" s="448"/>
    </row>
    <row r="175" spans="3:22" ht="18" customHeight="1" x14ac:dyDescent="0.3">
      <c r="C175" s="463"/>
      <c r="D175" s="267" t="s">
        <v>271</v>
      </c>
      <c r="E175" s="267" t="s">
        <v>48</v>
      </c>
      <c r="F175" s="261"/>
      <c r="G175" s="267" t="s">
        <v>1473</v>
      </c>
      <c r="H175" s="267">
        <v>4</v>
      </c>
      <c r="I175" s="483">
        <v>1</v>
      </c>
      <c r="J175" s="491" t="s">
        <v>1197</v>
      </c>
      <c r="K175" s="492" t="s">
        <v>459</v>
      </c>
      <c r="L175" s="267" t="s">
        <v>271</v>
      </c>
      <c r="M175" s="267" t="s">
        <v>1198</v>
      </c>
      <c r="N175" s="267" t="s">
        <v>1198</v>
      </c>
      <c r="O175" s="267" t="s">
        <v>1326</v>
      </c>
      <c r="P175" s="267" t="s">
        <v>1327</v>
      </c>
      <c r="Q175" s="267" t="s">
        <v>1328</v>
      </c>
      <c r="R175" s="267" t="s">
        <v>1329</v>
      </c>
      <c r="S175" s="484"/>
      <c r="T175" s="448"/>
      <c r="U175" s="448"/>
      <c r="V175" s="448"/>
    </row>
    <row r="176" spans="3:22" ht="18" customHeight="1" x14ac:dyDescent="0.3">
      <c r="C176" s="463"/>
      <c r="D176" s="271" t="s">
        <v>1532</v>
      </c>
      <c r="E176" s="267" t="s">
        <v>629</v>
      </c>
      <c r="F176" s="261"/>
      <c r="G176" s="267" t="s">
        <v>1473</v>
      </c>
      <c r="H176" s="267">
        <v>4</v>
      </c>
      <c r="I176" s="483">
        <v>1</v>
      </c>
      <c r="J176" s="491" t="s">
        <v>1197</v>
      </c>
      <c r="K176" s="492" t="s">
        <v>477</v>
      </c>
      <c r="L176" s="267" t="s">
        <v>272</v>
      </c>
      <c r="M176" s="267" t="s">
        <v>272</v>
      </c>
      <c r="N176" s="267" t="s">
        <v>272</v>
      </c>
      <c r="O176" s="267" t="s">
        <v>1334</v>
      </c>
      <c r="P176" s="267" t="s">
        <v>1339</v>
      </c>
      <c r="Q176" s="267" t="s">
        <v>1339</v>
      </c>
      <c r="R176" s="267" t="s">
        <v>1339</v>
      </c>
      <c r="S176" s="484"/>
      <c r="T176" s="448" t="s">
        <v>1364</v>
      </c>
      <c r="U176" s="448"/>
      <c r="V176" s="448"/>
    </row>
    <row r="177" spans="3:22" ht="18" customHeight="1" x14ac:dyDescent="0.3">
      <c r="C177" s="463"/>
      <c r="D177" s="269" t="s">
        <v>1533</v>
      </c>
      <c r="E177" s="267" t="s">
        <v>629</v>
      </c>
      <c r="F177" s="261"/>
      <c r="G177" s="267" t="s">
        <v>1473</v>
      </c>
      <c r="H177" s="267">
        <v>4</v>
      </c>
      <c r="I177" s="483">
        <v>1</v>
      </c>
      <c r="J177" s="491" t="s">
        <v>1197</v>
      </c>
      <c r="K177" s="492" t="s">
        <v>478</v>
      </c>
      <c r="L177" s="268" t="s">
        <v>274</v>
      </c>
      <c r="M177" s="268" t="s">
        <v>274</v>
      </c>
      <c r="N177" s="267" t="s">
        <v>274</v>
      </c>
      <c r="O177" s="267" t="s">
        <v>1334</v>
      </c>
      <c r="P177" s="267" t="s">
        <v>1339</v>
      </c>
      <c r="Q177" s="267" t="s">
        <v>1339</v>
      </c>
      <c r="R177" s="267" t="s">
        <v>1339</v>
      </c>
      <c r="S177" s="453"/>
      <c r="T177" s="448" t="s">
        <v>1365</v>
      </c>
      <c r="U177" s="448"/>
      <c r="V177" s="448"/>
    </row>
    <row r="178" spans="3:22" ht="18" customHeight="1" x14ac:dyDescent="0.3">
      <c r="C178" s="463"/>
      <c r="D178" s="271" t="s">
        <v>1534</v>
      </c>
      <c r="E178" s="267" t="s">
        <v>629</v>
      </c>
      <c r="F178" s="261"/>
      <c r="G178" s="267" t="s">
        <v>1473</v>
      </c>
      <c r="H178" s="267">
        <v>4</v>
      </c>
      <c r="I178" s="483">
        <v>1</v>
      </c>
      <c r="J178" s="491" t="s">
        <v>1197</v>
      </c>
      <c r="K178" s="492" t="s">
        <v>479</v>
      </c>
      <c r="L178" s="267" t="s">
        <v>276</v>
      </c>
      <c r="M178" s="267" t="s">
        <v>276</v>
      </c>
      <c r="N178" s="267" t="s">
        <v>276</v>
      </c>
      <c r="O178" s="267" t="s">
        <v>1334</v>
      </c>
      <c r="P178" s="267" t="s">
        <v>1339</v>
      </c>
      <c r="Q178" s="267" t="s">
        <v>1339</v>
      </c>
      <c r="R178" s="267" t="s">
        <v>1339</v>
      </c>
      <c r="S178" s="484"/>
      <c r="T178" s="448" t="s">
        <v>1351</v>
      </c>
      <c r="U178" s="448"/>
      <c r="V178" s="448"/>
    </row>
    <row r="179" spans="3:22" ht="18" customHeight="1" x14ac:dyDescent="0.3">
      <c r="C179" s="463"/>
      <c r="D179" s="271" t="s">
        <v>1535</v>
      </c>
      <c r="E179" s="267" t="s">
        <v>647</v>
      </c>
      <c r="F179" s="261"/>
      <c r="G179" s="267" t="s">
        <v>1473</v>
      </c>
      <c r="H179" s="267">
        <v>4</v>
      </c>
      <c r="I179" s="483">
        <v>1</v>
      </c>
      <c r="J179" s="491" t="s">
        <v>1197</v>
      </c>
      <c r="K179" s="492" t="s">
        <v>480</v>
      </c>
      <c r="L179" s="267" t="s">
        <v>278</v>
      </c>
      <c r="M179" s="267" t="s">
        <v>278</v>
      </c>
      <c r="N179" s="267" t="s">
        <v>278</v>
      </c>
      <c r="O179" s="267" t="s">
        <v>1334</v>
      </c>
      <c r="P179" s="267" t="s">
        <v>1339</v>
      </c>
      <c r="Q179" s="267" t="s">
        <v>1339</v>
      </c>
      <c r="R179" s="267" t="s">
        <v>1339</v>
      </c>
      <c r="S179" s="484"/>
      <c r="T179" s="448" t="s">
        <v>1367</v>
      </c>
      <c r="U179" s="448"/>
      <c r="V179" s="448"/>
    </row>
    <row r="180" spans="3:22" ht="18" customHeight="1" x14ac:dyDescent="0.3">
      <c r="C180" s="463"/>
      <c r="D180" s="267" t="s">
        <v>1199</v>
      </c>
      <c r="E180" s="267" t="s">
        <v>48</v>
      </c>
      <c r="F180" s="261"/>
      <c r="G180" s="267" t="s">
        <v>1473</v>
      </c>
      <c r="H180" s="267">
        <v>4</v>
      </c>
      <c r="I180" s="483">
        <v>1</v>
      </c>
      <c r="J180" s="491" t="s">
        <v>1200</v>
      </c>
      <c r="K180" s="492" t="s">
        <v>459</v>
      </c>
      <c r="L180" s="267" t="s">
        <v>1199</v>
      </c>
      <c r="M180" s="267" t="s">
        <v>1199</v>
      </c>
      <c r="N180" s="267" t="s">
        <v>1199</v>
      </c>
      <c r="O180" s="267" t="s">
        <v>1330</v>
      </c>
      <c r="P180" s="267" t="s">
        <v>1331</v>
      </c>
      <c r="Q180" s="267" t="s">
        <v>1332</v>
      </c>
      <c r="R180" s="267" t="s">
        <v>1201</v>
      </c>
      <c r="S180" s="484"/>
      <c r="T180" s="448"/>
      <c r="U180" s="448"/>
      <c r="V180" s="448"/>
    </row>
    <row r="181" spans="3:22" ht="18" customHeight="1" x14ac:dyDescent="0.3">
      <c r="C181" s="463"/>
      <c r="D181" s="267" t="s">
        <v>281</v>
      </c>
      <c r="E181" s="267" t="s">
        <v>613</v>
      </c>
      <c r="F181" s="261"/>
      <c r="G181" s="267" t="s">
        <v>1473</v>
      </c>
      <c r="H181" s="267">
        <v>4</v>
      </c>
      <c r="I181" s="483">
        <v>1</v>
      </c>
      <c r="J181" s="491" t="s">
        <v>1200</v>
      </c>
      <c r="K181" s="492" t="s">
        <v>481</v>
      </c>
      <c r="L181" s="267" t="s">
        <v>281</v>
      </c>
      <c r="M181" s="267" t="s">
        <v>281</v>
      </c>
      <c r="N181" s="267" t="s">
        <v>281</v>
      </c>
      <c r="O181" s="267" t="s">
        <v>1334</v>
      </c>
      <c r="P181" s="267" t="s">
        <v>1334</v>
      </c>
      <c r="Q181" s="267" t="s">
        <v>1334</v>
      </c>
      <c r="R181" s="267" t="s">
        <v>1334</v>
      </c>
      <c r="S181" s="484"/>
      <c r="T181" s="448" t="s">
        <v>1366</v>
      </c>
      <c r="U181" s="448"/>
      <c r="V181" s="448"/>
    </row>
    <row r="182" spans="3:22" ht="18" customHeight="1" x14ac:dyDescent="0.3">
      <c r="C182" s="463"/>
      <c r="D182" s="267" t="s">
        <v>283</v>
      </c>
      <c r="E182" s="267" t="s">
        <v>613</v>
      </c>
      <c r="F182" s="261"/>
      <c r="G182" s="267" t="s">
        <v>1473</v>
      </c>
      <c r="H182" s="267">
        <v>4</v>
      </c>
      <c r="I182" s="483">
        <v>1</v>
      </c>
      <c r="J182" s="491" t="s">
        <v>1200</v>
      </c>
      <c r="K182" s="492" t="s">
        <v>482</v>
      </c>
      <c r="L182" s="267" t="s">
        <v>283</v>
      </c>
      <c r="M182" s="267" t="s">
        <v>283</v>
      </c>
      <c r="N182" s="267" t="s">
        <v>283</v>
      </c>
      <c r="O182" s="267" t="s">
        <v>1334</v>
      </c>
      <c r="P182" s="267" t="s">
        <v>1334</v>
      </c>
      <c r="Q182" s="267" t="s">
        <v>1334</v>
      </c>
      <c r="R182" s="267" t="s">
        <v>1334</v>
      </c>
      <c r="S182" s="484"/>
      <c r="T182" s="448" t="s">
        <v>1367</v>
      </c>
      <c r="U182" s="448"/>
      <c r="V182" s="448"/>
    </row>
    <row r="183" spans="3:22" ht="18" customHeight="1" x14ac:dyDescent="0.3">
      <c r="C183" s="463"/>
      <c r="D183" s="267" t="s">
        <v>285</v>
      </c>
      <c r="E183" s="267" t="s">
        <v>613</v>
      </c>
      <c r="F183" s="261"/>
      <c r="G183" s="267" t="s">
        <v>1473</v>
      </c>
      <c r="H183" s="267">
        <v>4</v>
      </c>
      <c r="I183" s="483">
        <v>1</v>
      </c>
      <c r="J183" s="491" t="s">
        <v>1200</v>
      </c>
      <c r="K183" s="492" t="s">
        <v>483</v>
      </c>
      <c r="L183" s="267" t="s">
        <v>285</v>
      </c>
      <c r="M183" s="267" t="s">
        <v>285</v>
      </c>
      <c r="N183" s="267" t="s">
        <v>285</v>
      </c>
      <c r="O183" s="267" t="s">
        <v>1334</v>
      </c>
      <c r="P183" s="267" t="s">
        <v>1334</v>
      </c>
      <c r="Q183" s="267" t="s">
        <v>1334</v>
      </c>
      <c r="R183" s="267" t="s">
        <v>1334</v>
      </c>
      <c r="S183" s="484"/>
      <c r="T183" s="448" t="s">
        <v>1367</v>
      </c>
      <c r="U183" s="448"/>
      <c r="V183" s="448"/>
    </row>
    <row r="184" spans="3:22" ht="18" customHeight="1" x14ac:dyDescent="0.3">
      <c r="C184" s="463"/>
      <c r="D184" s="464" t="s">
        <v>1201</v>
      </c>
      <c r="E184" s="267" t="s">
        <v>48</v>
      </c>
      <c r="F184" s="261"/>
      <c r="G184" s="267" t="s">
        <v>1473</v>
      </c>
      <c r="H184" s="267">
        <v>4</v>
      </c>
      <c r="I184" s="483">
        <v>1</v>
      </c>
      <c r="J184" s="491" t="s">
        <v>1200</v>
      </c>
      <c r="K184" s="492" t="s">
        <v>459</v>
      </c>
      <c r="L184" s="464" t="s">
        <v>1201</v>
      </c>
      <c r="M184" s="464" t="s">
        <v>1201</v>
      </c>
      <c r="N184" s="464" t="s">
        <v>1201</v>
      </c>
      <c r="O184" s="267" t="s">
        <v>1201</v>
      </c>
      <c r="P184" s="464" t="s">
        <v>1201</v>
      </c>
      <c r="Q184" s="464" t="s">
        <v>1201</v>
      </c>
      <c r="R184" s="464" t="s">
        <v>1201</v>
      </c>
      <c r="S184" s="485"/>
      <c r="T184" s="448"/>
      <c r="U184" s="448"/>
      <c r="V184" s="448"/>
    </row>
    <row r="185" spans="3:22" ht="18" customHeight="1" x14ac:dyDescent="0.3">
      <c r="C185" s="463"/>
      <c r="D185" s="464" t="s">
        <v>1202</v>
      </c>
      <c r="E185" s="267" t="s">
        <v>48</v>
      </c>
      <c r="F185" s="261"/>
      <c r="G185" s="267" t="s">
        <v>1473</v>
      </c>
      <c r="H185" s="267">
        <v>4</v>
      </c>
      <c r="I185" s="483">
        <v>1</v>
      </c>
      <c r="J185" s="491" t="s">
        <v>1200</v>
      </c>
      <c r="K185" s="492" t="s">
        <v>459</v>
      </c>
      <c r="L185" s="464" t="s">
        <v>1202</v>
      </c>
      <c r="M185" s="464" t="s">
        <v>1202</v>
      </c>
      <c r="N185" s="464" t="s">
        <v>1202</v>
      </c>
      <c r="O185" s="267" t="s">
        <v>1202</v>
      </c>
      <c r="P185" s="464" t="s">
        <v>1202</v>
      </c>
      <c r="Q185" s="464" t="s">
        <v>1202</v>
      </c>
      <c r="R185" s="464" t="s">
        <v>1202</v>
      </c>
      <c r="S185" s="485"/>
      <c r="T185" s="448"/>
      <c r="U185" s="448"/>
      <c r="V185" s="448"/>
    </row>
    <row r="186" spans="3:22" ht="18" customHeight="1" x14ac:dyDescent="0.3">
      <c r="C186" s="463"/>
      <c r="D186" s="464" t="s">
        <v>1203</v>
      </c>
      <c r="E186" s="267" t="s">
        <v>48</v>
      </c>
      <c r="F186" s="261"/>
      <c r="G186" s="267" t="s">
        <v>1473</v>
      </c>
      <c r="H186" s="267">
        <v>4</v>
      </c>
      <c r="I186" s="483">
        <v>1</v>
      </c>
      <c r="J186" s="491" t="s">
        <v>1200</v>
      </c>
      <c r="K186" s="492" t="s">
        <v>459</v>
      </c>
      <c r="L186" s="464" t="s">
        <v>1203</v>
      </c>
      <c r="M186" s="464" t="s">
        <v>1203</v>
      </c>
      <c r="N186" s="464" t="s">
        <v>1203</v>
      </c>
      <c r="O186" s="267" t="s">
        <v>1203</v>
      </c>
      <c r="P186" s="464" t="s">
        <v>1203</v>
      </c>
      <c r="Q186" s="464" t="s">
        <v>1203</v>
      </c>
      <c r="R186" s="464" t="s">
        <v>1203</v>
      </c>
      <c r="S186" s="485"/>
      <c r="T186" s="448"/>
      <c r="U186" s="448"/>
      <c r="V186" s="448"/>
    </row>
    <row r="187" spans="3:22" ht="18" customHeight="1" x14ac:dyDescent="0.3">
      <c r="C187" s="463"/>
      <c r="D187" s="464" t="s">
        <v>1204</v>
      </c>
      <c r="E187" s="267" t="s">
        <v>48</v>
      </c>
      <c r="F187" s="261"/>
      <c r="G187" s="267" t="s">
        <v>1473</v>
      </c>
      <c r="H187" s="267">
        <v>4</v>
      </c>
      <c r="I187" s="483">
        <v>1</v>
      </c>
      <c r="J187" s="491" t="s">
        <v>1200</v>
      </c>
      <c r="K187" s="492" t="s">
        <v>459</v>
      </c>
      <c r="L187" s="464" t="s">
        <v>1204</v>
      </c>
      <c r="M187" s="464" t="s">
        <v>1204</v>
      </c>
      <c r="N187" s="464" t="s">
        <v>1204</v>
      </c>
      <c r="O187" s="267" t="s">
        <v>1204</v>
      </c>
      <c r="P187" s="464" t="s">
        <v>1204</v>
      </c>
      <c r="Q187" s="464" t="s">
        <v>1204</v>
      </c>
      <c r="R187" s="464" t="s">
        <v>1204</v>
      </c>
      <c r="S187" s="485"/>
      <c r="T187" s="448"/>
      <c r="U187" s="448"/>
      <c r="V187" s="448"/>
    </row>
    <row r="188" spans="3:22" ht="18" customHeight="1" x14ac:dyDescent="0.3">
      <c r="C188" s="463"/>
      <c r="D188" s="267" t="s">
        <v>287</v>
      </c>
      <c r="E188" s="267" t="s">
        <v>613</v>
      </c>
      <c r="F188" s="261"/>
      <c r="G188" s="267" t="s">
        <v>1473</v>
      </c>
      <c r="H188" s="267">
        <v>4</v>
      </c>
      <c r="I188" s="483">
        <v>1</v>
      </c>
      <c r="J188" s="491" t="s">
        <v>1205</v>
      </c>
      <c r="K188" s="492" t="s">
        <v>484</v>
      </c>
      <c r="L188" s="267" t="s">
        <v>287</v>
      </c>
      <c r="M188" s="267" t="s">
        <v>287</v>
      </c>
      <c r="N188" s="267" t="s">
        <v>287</v>
      </c>
      <c r="O188" s="267" t="s">
        <v>1334</v>
      </c>
      <c r="P188" s="267" t="s">
        <v>1334</v>
      </c>
      <c r="Q188" s="267" t="s">
        <v>1334</v>
      </c>
      <c r="R188" s="267" t="s">
        <v>1334</v>
      </c>
      <c r="S188" s="484"/>
      <c r="T188" s="448" t="s">
        <v>1368</v>
      </c>
      <c r="U188" s="448"/>
      <c r="V188" s="448"/>
    </row>
    <row r="189" spans="3:22" ht="18" customHeight="1" x14ac:dyDescent="0.3">
      <c r="C189" s="463"/>
      <c r="D189" s="267" t="s">
        <v>289</v>
      </c>
      <c r="E189" s="267" t="s">
        <v>613</v>
      </c>
      <c r="F189" s="261"/>
      <c r="G189" s="267" t="s">
        <v>1473</v>
      </c>
      <c r="H189" s="267">
        <v>4</v>
      </c>
      <c r="I189" s="483">
        <v>1</v>
      </c>
      <c r="J189" s="491" t="s">
        <v>1205</v>
      </c>
      <c r="K189" s="492" t="s">
        <v>485</v>
      </c>
      <c r="L189" s="267" t="s">
        <v>289</v>
      </c>
      <c r="M189" s="267" t="s">
        <v>289</v>
      </c>
      <c r="N189" s="267" t="s">
        <v>289</v>
      </c>
      <c r="O189" s="267" t="s">
        <v>1334</v>
      </c>
      <c r="P189" s="267" t="s">
        <v>1334</v>
      </c>
      <c r="Q189" s="267" t="s">
        <v>1334</v>
      </c>
      <c r="R189" s="267" t="s">
        <v>1334</v>
      </c>
      <c r="S189" s="484"/>
      <c r="T189" s="448" t="s">
        <v>1368</v>
      </c>
      <c r="U189" s="448"/>
      <c r="V189" s="448"/>
    </row>
    <row r="190" spans="3:22" ht="18" customHeight="1" x14ac:dyDescent="0.3">
      <c r="C190" s="463"/>
      <c r="D190" s="267" t="s">
        <v>1206</v>
      </c>
      <c r="E190" s="267" t="s">
        <v>48</v>
      </c>
      <c r="F190" s="261"/>
      <c r="G190" s="267" t="s">
        <v>1473</v>
      </c>
      <c r="H190" s="267">
        <v>4</v>
      </c>
      <c r="I190" s="483">
        <v>1</v>
      </c>
      <c r="J190" s="491" t="s">
        <v>1205</v>
      </c>
      <c r="K190" s="492" t="s">
        <v>459</v>
      </c>
      <c r="L190" s="267" t="s">
        <v>1206</v>
      </c>
      <c r="M190" s="267" t="s">
        <v>1206</v>
      </c>
      <c r="N190" s="267" t="s">
        <v>1206</v>
      </c>
      <c r="O190" s="267" t="s">
        <v>1206</v>
      </c>
      <c r="P190" s="267" t="s">
        <v>1206</v>
      </c>
      <c r="Q190" s="267" t="s">
        <v>1206</v>
      </c>
      <c r="R190" s="267" t="s">
        <v>1206</v>
      </c>
      <c r="S190" s="484"/>
      <c r="T190" s="448"/>
      <c r="U190" s="448"/>
      <c r="V190" s="448"/>
    </row>
    <row r="191" spans="3:22" ht="18" customHeight="1" x14ac:dyDescent="0.3">
      <c r="C191" s="463"/>
      <c r="D191" s="267" t="s">
        <v>1207</v>
      </c>
      <c r="E191" s="267" t="s">
        <v>48</v>
      </c>
      <c r="F191" s="261"/>
      <c r="G191" s="267" t="s">
        <v>1473</v>
      </c>
      <c r="H191" s="267">
        <v>4</v>
      </c>
      <c r="I191" s="483">
        <v>1</v>
      </c>
      <c r="J191" s="491" t="s">
        <v>1205</v>
      </c>
      <c r="K191" s="492" t="s">
        <v>459</v>
      </c>
      <c r="L191" s="267" t="s">
        <v>1207</v>
      </c>
      <c r="M191" s="267" t="s">
        <v>1207</v>
      </c>
      <c r="N191" s="267" t="s">
        <v>1207</v>
      </c>
      <c r="O191" s="267" t="s">
        <v>1207</v>
      </c>
      <c r="P191" s="267" t="s">
        <v>1207</v>
      </c>
      <c r="Q191" s="267" t="s">
        <v>1207</v>
      </c>
      <c r="R191" s="267" t="s">
        <v>1207</v>
      </c>
      <c r="S191" s="484"/>
      <c r="T191" s="448"/>
      <c r="U191" s="448"/>
      <c r="V191" s="448"/>
    </row>
    <row r="192" spans="3:22" ht="18" customHeight="1" x14ac:dyDescent="0.3">
      <c r="C192" s="463"/>
      <c r="D192" s="267" t="s">
        <v>291</v>
      </c>
      <c r="E192" s="267" t="s">
        <v>613</v>
      </c>
      <c r="F192" s="261"/>
      <c r="G192" s="267" t="s">
        <v>1473</v>
      </c>
      <c r="H192" s="267">
        <v>4</v>
      </c>
      <c r="I192" s="483">
        <v>1</v>
      </c>
      <c r="J192" s="491" t="s">
        <v>1205</v>
      </c>
      <c r="K192" s="492" t="s">
        <v>486</v>
      </c>
      <c r="L192" s="267" t="s">
        <v>291</v>
      </c>
      <c r="M192" s="267" t="s">
        <v>291</v>
      </c>
      <c r="N192" s="267" t="s">
        <v>291</v>
      </c>
      <c r="O192" s="267" t="s">
        <v>1334</v>
      </c>
      <c r="P192" s="267" t="s">
        <v>1334</v>
      </c>
      <c r="Q192" s="267" t="s">
        <v>1334</v>
      </c>
      <c r="R192" s="267" t="s">
        <v>1334</v>
      </c>
      <c r="S192" s="484"/>
      <c r="T192" s="448" t="s">
        <v>1368</v>
      </c>
      <c r="U192" s="448"/>
      <c r="V192" s="448"/>
    </row>
    <row r="193" spans="3:22" ht="18" customHeight="1" x14ac:dyDescent="0.3">
      <c r="C193" s="463"/>
      <c r="D193" s="267" t="s">
        <v>293</v>
      </c>
      <c r="E193" s="267" t="s">
        <v>613</v>
      </c>
      <c r="F193" s="261"/>
      <c r="G193" s="267" t="s">
        <v>1473</v>
      </c>
      <c r="H193" s="267">
        <v>4</v>
      </c>
      <c r="I193" s="483">
        <v>1</v>
      </c>
      <c r="J193" s="491" t="s">
        <v>1205</v>
      </c>
      <c r="K193" s="492" t="s">
        <v>487</v>
      </c>
      <c r="L193" s="267" t="s">
        <v>293</v>
      </c>
      <c r="M193" s="267" t="s">
        <v>293</v>
      </c>
      <c r="N193" s="267" t="s">
        <v>293</v>
      </c>
      <c r="O193" s="267" t="s">
        <v>1334</v>
      </c>
      <c r="P193" s="267" t="s">
        <v>1334</v>
      </c>
      <c r="Q193" s="267" t="s">
        <v>1334</v>
      </c>
      <c r="R193" s="267" t="s">
        <v>1334</v>
      </c>
      <c r="S193" s="484"/>
      <c r="T193" s="448"/>
      <c r="U193" s="448"/>
      <c r="V193" s="448"/>
    </row>
    <row r="194" spans="3:22" ht="18" customHeight="1" x14ac:dyDescent="0.3">
      <c r="C194" s="463"/>
      <c r="D194" s="464" t="s">
        <v>1208</v>
      </c>
      <c r="E194" s="267" t="s">
        <v>48</v>
      </c>
      <c r="F194" s="261"/>
      <c r="G194" s="267" t="s">
        <v>1473</v>
      </c>
      <c r="H194" s="267">
        <v>4</v>
      </c>
      <c r="I194" s="483">
        <v>1</v>
      </c>
      <c r="J194" s="491" t="s">
        <v>1205</v>
      </c>
      <c r="K194" s="492" t="s">
        <v>459</v>
      </c>
      <c r="L194" s="464" t="s">
        <v>1208</v>
      </c>
      <c r="M194" s="464" t="s">
        <v>1208</v>
      </c>
      <c r="N194" s="464" t="s">
        <v>1208</v>
      </c>
      <c r="O194" s="267" t="s">
        <v>1208</v>
      </c>
      <c r="P194" s="464" t="s">
        <v>1208</v>
      </c>
      <c r="Q194" s="464" t="s">
        <v>1208</v>
      </c>
      <c r="R194" s="464" t="s">
        <v>1208</v>
      </c>
      <c r="S194" s="485"/>
      <c r="T194" s="448"/>
      <c r="U194" s="448"/>
      <c r="V194" s="448"/>
    </row>
    <row r="195" spans="3:22" ht="18" customHeight="1" x14ac:dyDescent="0.3">
      <c r="C195" s="463"/>
      <c r="D195" s="269" t="s">
        <v>1150</v>
      </c>
      <c r="E195" s="271" t="s">
        <v>1521</v>
      </c>
      <c r="F195" s="261"/>
      <c r="G195" s="267" t="s">
        <v>1473</v>
      </c>
      <c r="H195" s="267">
        <v>4</v>
      </c>
      <c r="I195" s="483">
        <v>1</v>
      </c>
      <c r="J195" s="491" t="s">
        <v>1205</v>
      </c>
      <c r="K195" s="492" t="s">
        <v>1152</v>
      </c>
      <c r="L195" s="464" t="s">
        <v>1324</v>
      </c>
      <c r="M195" s="269" t="s">
        <v>1150</v>
      </c>
      <c r="N195" s="464" t="s">
        <v>1324</v>
      </c>
      <c r="O195" s="267" t="s">
        <v>1324</v>
      </c>
      <c r="P195" s="464" t="s">
        <v>1324</v>
      </c>
      <c r="Q195" s="464" t="s">
        <v>1324</v>
      </c>
      <c r="R195" s="464" t="s">
        <v>1324</v>
      </c>
      <c r="S195" s="485"/>
      <c r="T195" s="448" t="s">
        <v>1367</v>
      </c>
      <c r="U195" s="448"/>
      <c r="V195" s="448"/>
    </row>
    <row r="196" spans="3:22" ht="18" customHeight="1" x14ac:dyDescent="0.3">
      <c r="C196" s="463"/>
      <c r="D196" s="464" t="s">
        <v>1209</v>
      </c>
      <c r="E196" s="267" t="s">
        <v>48</v>
      </c>
      <c r="F196" s="261"/>
      <c r="G196" s="267" t="s">
        <v>1473</v>
      </c>
      <c r="H196" s="267">
        <v>4</v>
      </c>
      <c r="I196" s="483">
        <v>1</v>
      </c>
      <c r="J196" s="491" t="s">
        <v>1210</v>
      </c>
      <c r="K196" s="492" t="s">
        <v>459</v>
      </c>
      <c r="L196" s="464" t="s">
        <v>1209</v>
      </c>
      <c r="M196" s="464" t="s">
        <v>1209</v>
      </c>
      <c r="N196" s="464" t="s">
        <v>1209</v>
      </c>
      <c r="O196" s="267" t="s">
        <v>1209</v>
      </c>
      <c r="P196" s="464" t="s">
        <v>1209</v>
      </c>
      <c r="Q196" s="464" t="s">
        <v>1209</v>
      </c>
      <c r="R196" s="464" t="s">
        <v>1209</v>
      </c>
      <c r="S196" s="485"/>
      <c r="T196" s="448"/>
      <c r="U196" s="448"/>
      <c r="V196" s="448"/>
    </row>
    <row r="197" spans="3:22" ht="18" customHeight="1" x14ac:dyDescent="0.3">
      <c r="C197" s="463"/>
      <c r="D197" s="464" t="s">
        <v>1211</v>
      </c>
      <c r="E197" s="267" t="s">
        <v>48</v>
      </c>
      <c r="F197" s="261"/>
      <c r="G197" s="267" t="s">
        <v>1473</v>
      </c>
      <c r="H197" s="267">
        <v>4</v>
      </c>
      <c r="I197" s="483">
        <v>1</v>
      </c>
      <c r="J197" s="491" t="s">
        <v>1210</v>
      </c>
      <c r="K197" s="492" t="s">
        <v>459</v>
      </c>
      <c r="L197" s="464" t="s">
        <v>1211</v>
      </c>
      <c r="M197" s="464" t="s">
        <v>1211</v>
      </c>
      <c r="N197" s="464" t="s">
        <v>1211</v>
      </c>
      <c r="O197" s="267" t="s">
        <v>1211</v>
      </c>
      <c r="P197" s="464" t="s">
        <v>1211</v>
      </c>
      <c r="Q197" s="464" t="s">
        <v>1211</v>
      </c>
      <c r="R197" s="464" t="s">
        <v>1211</v>
      </c>
      <c r="S197" s="485"/>
      <c r="T197" s="448"/>
      <c r="U197" s="448"/>
      <c r="V197" s="448"/>
    </row>
    <row r="198" spans="3:22" ht="18" customHeight="1" x14ac:dyDescent="0.3">
      <c r="C198" s="463"/>
      <c r="D198" s="464" t="s">
        <v>1212</v>
      </c>
      <c r="E198" s="267" t="s">
        <v>48</v>
      </c>
      <c r="F198" s="261"/>
      <c r="G198" s="267" t="s">
        <v>1473</v>
      </c>
      <c r="H198" s="267">
        <v>4</v>
      </c>
      <c r="I198" s="483">
        <v>1</v>
      </c>
      <c r="J198" s="491" t="s">
        <v>1210</v>
      </c>
      <c r="K198" s="492" t="s">
        <v>459</v>
      </c>
      <c r="L198" s="464" t="s">
        <v>1212</v>
      </c>
      <c r="M198" s="464" t="s">
        <v>1212</v>
      </c>
      <c r="N198" s="464" t="s">
        <v>1212</v>
      </c>
      <c r="O198" s="267" t="s">
        <v>1212</v>
      </c>
      <c r="P198" s="464" t="s">
        <v>1212</v>
      </c>
      <c r="Q198" s="464" t="s">
        <v>1212</v>
      </c>
      <c r="R198" s="464" t="s">
        <v>1212</v>
      </c>
      <c r="S198" s="485"/>
      <c r="T198" s="448"/>
      <c r="U198" s="448"/>
      <c r="V198" s="448"/>
    </row>
    <row r="199" spans="3:22" ht="18" customHeight="1" x14ac:dyDescent="0.3">
      <c r="C199" s="463"/>
      <c r="D199" s="464" t="s">
        <v>1213</v>
      </c>
      <c r="E199" s="267" t="s">
        <v>48</v>
      </c>
      <c r="F199" s="261"/>
      <c r="G199" s="267" t="s">
        <v>1473</v>
      </c>
      <c r="H199" s="267">
        <v>4</v>
      </c>
      <c r="I199" s="483">
        <v>1</v>
      </c>
      <c r="J199" s="491" t="s">
        <v>1210</v>
      </c>
      <c r="K199" s="492" t="s">
        <v>459</v>
      </c>
      <c r="L199" s="464" t="s">
        <v>1213</v>
      </c>
      <c r="M199" s="464" t="s">
        <v>1213</v>
      </c>
      <c r="N199" s="464" t="s">
        <v>1213</v>
      </c>
      <c r="O199" s="267" t="s">
        <v>1213</v>
      </c>
      <c r="P199" s="464" t="s">
        <v>1213</v>
      </c>
      <c r="Q199" s="464" t="s">
        <v>1213</v>
      </c>
      <c r="R199" s="464" t="s">
        <v>1213</v>
      </c>
      <c r="S199" s="485"/>
      <c r="T199" s="448"/>
      <c r="U199" s="448"/>
      <c r="V199" s="448"/>
    </row>
    <row r="200" spans="3:22" ht="18" customHeight="1" x14ac:dyDescent="0.3">
      <c r="C200" s="463"/>
      <c r="D200" s="464" t="s">
        <v>1214</v>
      </c>
      <c r="E200" s="267" t="s">
        <v>48</v>
      </c>
      <c r="F200" s="261"/>
      <c r="G200" s="267" t="s">
        <v>1473</v>
      </c>
      <c r="H200" s="267">
        <v>4</v>
      </c>
      <c r="I200" s="483">
        <v>1</v>
      </c>
      <c r="J200" s="491" t="s">
        <v>1210</v>
      </c>
      <c r="K200" s="492" t="s">
        <v>459</v>
      </c>
      <c r="L200" s="464" t="s">
        <v>1214</v>
      </c>
      <c r="M200" s="464" t="s">
        <v>1214</v>
      </c>
      <c r="N200" s="464" t="s">
        <v>1214</v>
      </c>
      <c r="O200" s="267" t="s">
        <v>1214</v>
      </c>
      <c r="P200" s="464" t="s">
        <v>1214</v>
      </c>
      <c r="Q200" s="464" t="s">
        <v>1214</v>
      </c>
      <c r="R200" s="464" t="s">
        <v>1214</v>
      </c>
      <c r="S200" s="485"/>
      <c r="T200" s="448"/>
      <c r="U200" s="448"/>
      <c r="V200" s="448"/>
    </row>
    <row r="201" spans="3:22" ht="18" customHeight="1" x14ac:dyDescent="0.3">
      <c r="C201" s="463"/>
      <c r="D201" s="267" t="s">
        <v>295</v>
      </c>
      <c r="E201" s="267" t="s">
        <v>613</v>
      </c>
      <c r="F201" s="261"/>
      <c r="G201" s="267" t="s">
        <v>1473</v>
      </c>
      <c r="H201" s="267">
        <v>4</v>
      </c>
      <c r="I201" s="483">
        <v>1</v>
      </c>
      <c r="J201" s="491" t="s">
        <v>1210</v>
      </c>
      <c r="K201" s="492" t="s">
        <v>488</v>
      </c>
      <c r="L201" s="267" t="s">
        <v>295</v>
      </c>
      <c r="M201" s="267" t="s">
        <v>295</v>
      </c>
      <c r="N201" s="267" t="s">
        <v>295</v>
      </c>
      <c r="O201" s="267" t="s">
        <v>1334</v>
      </c>
      <c r="P201" s="267" t="s">
        <v>1334</v>
      </c>
      <c r="Q201" s="267" t="s">
        <v>1334</v>
      </c>
      <c r="R201" s="267" t="s">
        <v>1334</v>
      </c>
      <c r="S201" s="484"/>
      <c r="T201" s="448"/>
      <c r="U201" s="448"/>
      <c r="V201" s="448"/>
    </row>
    <row r="202" spans="3:22" ht="18" customHeight="1" x14ac:dyDescent="0.3">
      <c r="C202" s="463"/>
      <c r="D202" s="271" t="s">
        <v>297</v>
      </c>
      <c r="E202" s="267" t="s">
        <v>627</v>
      </c>
      <c r="F202" s="261"/>
      <c r="G202" s="267" t="s">
        <v>1473</v>
      </c>
      <c r="H202" s="267">
        <v>4</v>
      </c>
      <c r="I202" s="483">
        <v>1</v>
      </c>
      <c r="J202" s="491" t="s">
        <v>1210</v>
      </c>
      <c r="K202" s="492" t="s">
        <v>489</v>
      </c>
      <c r="L202" s="267" t="s">
        <v>297</v>
      </c>
      <c r="M202" s="267" t="s">
        <v>297</v>
      </c>
      <c r="N202" s="267" t="s">
        <v>297</v>
      </c>
      <c r="O202" s="271" t="s">
        <v>1342</v>
      </c>
      <c r="P202" s="269" t="s">
        <v>1334</v>
      </c>
      <c r="Q202" s="269" t="s">
        <v>1334</v>
      </c>
      <c r="R202" s="269" t="s">
        <v>1334</v>
      </c>
      <c r="S202" s="484"/>
      <c r="T202" s="448"/>
      <c r="U202" s="448"/>
      <c r="V202" s="448"/>
    </row>
    <row r="203" spans="3:22" ht="18" customHeight="1" x14ac:dyDescent="0.3">
      <c r="C203" s="463"/>
      <c r="D203" s="267" t="s">
        <v>299</v>
      </c>
      <c r="E203" s="267" t="s">
        <v>628</v>
      </c>
      <c r="F203" s="261"/>
      <c r="G203" s="267" t="s">
        <v>1473</v>
      </c>
      <c r="H203" s="267">
        <v>4</v>
      </c>
      <c r="I203" s="483">
        <v>1</v>
      </c>
      <c r="J203" s="491" t="s">
        <v>1210</v>
      </c>
      <c r="K203" s="492" t="s">
        <v>490</v>
      </c>
      <c r="L203" s="267" t="s">
        <v>299</v>
      </c>
      <c r="M203" s="267" t="s">
        <v>299</v>
      </c>
      <c r="N203" s="267" t="s">
        <v>299</v>
      </c>
      <c r="O203" s="267" t="s">
        <v>1339</v>
      </c>
      <c r="P203" s="267" t="s">
        <v>1339</v>
      </c>
      <c r="Q203" s="267" t="s">
        <v>1339</v>
      </c>
      <c r="R203" s="267" t="s">
        <v>1339</v>
      </c>
      <c r="S203" s="484"/>
      <c r="T203" s="448"/>
      <c r="U203" s="448"/>
      <c r="V203" s="448"/>
    </row>
    <row r="204" spans="3:22" ht="18" customHeight="1" x14ac:dyDescent="0.3">
      <c r="C204" s="463" t="s">
        <v>46</v>
      </c>
      <c r="D204" s="267" t="s">
        <v>301</v>
      </c>
      <c r="E204" s="267" t="s">
        <v>630</v>
      </c>
      <c r="F204" s="261"/>
      <c r="G204" s="267" t="s">
        <v>1473</v>
      </c>
      <c r="H204" s="267">
        <v>4</v>
      </c>
      <c r="I204" s="483">
        <v>1</v>
      </c>
      <c r="J204" s="491" t="s">
        <v>1215</v>
      </c>
      <c r="K204" s="492" t="s">
        <v>491</v>
      </c>
      <c r="L204" s="267" t="s">
        <v>301</v>
      </c>
      <c r="M204" s="267" t="s">
        <v>301</v>
      </c>
      <c r="N204" s="267" t="s">
        <v>301</v>
      </c>
      <c r="O204" s="267" t="s">
        <v>1334</v>
      </c>
      <c r="P204" s="267" t="s">
        <v>1339</v>
      </c>
      <c r="Q204" s="267" t="s">
        <v>1339</v>
      </c>
      <c r="R204" s="267" t="s">
        <v>1339</v>
      </c>
      <c r="S204" s="484"/>
      <c r="T204" s="448"/>
      <c r="U204" s="448"/>
      <c r="V204" s="448"/>
    </row>
    <row r="205" spans="3:22" ht="18" customHeight="1" x14ac:dyDescent="0.3">
      <c r="C205" s="463"/>
      <c r="D205" s="270" t="s">
        <v>303</v>
      </c>
      <c r="E205" s="267" t="s">
        <v>630</v>
      </c>
      <c r="F205" s="261"/>
      <c r="G205" s="267" t="s">
        <v>1473</v>
      </c>
      <c r="H205" s="267">
        <v>4</v>
      </c>
      <c r="I205" s="483">
        <v>1</v>
      </c>
      <c r="J205" s="491" t="s">
        <v>1215</v>
      </c>
      <c r="K205" s="492" t="s">
        <v>492</v>
      </c>
      <c r="L205" s="270" t="s">
        <v>303</v>
      </c>
      <c r="M205" s="270" t="s">
        <v>303</v>
      </c>
      <c r="N205" s="267" t="s">
        <v>303</v>
      </c>
      <c r="O205" s="267" t="s">
        <v>1334</v>
      </c>
      <c r="P205" s="267" t="s">
        <v>1339</v>
      </c>
      <c r="Q205" s="267" t="s">
        <v>1339</v>
      </c>
      <c r="R205" s="267" t="s">
        <v>1339</v>
      </c>
      <c r="S205" s="454"/>
      <c r="T205" s="448"/>
      <c r="U205" s="448"/>
      <c r="V205" s="448"/>
    </row>
    <row r="206" spans="3:22" ht="18" customHeight="1" x14ac:dyDescent="0.3">
      <c r="C206" s="463"/>
      <c r="D206" s="270" t="s">
        <v>305</v>
      </c>
      <c r="E206" s="267" t="s">
        <v>630</v>
      </c>
      <c r="F206" s="261"/>
      <c r="G206" s="267" t="s">
        <v>1473</v>
      </c>
      <c r="H206" s="267">
        <v>4</v>
      </c>
      <c r="I206" s="483">
        <v>1</v>
      </c>
      <c r="J206" s="491" t="s">
        <v>1215</v>
      </c>
      <c r="K206" s="492" t="s">
        <v>493</v>
      </c>
      <c r="L206" s="270" t="s">
        <v>305</v>
      </c>
      <c r="M206" s="270" t="s">
        <v>305</v>
      </c>
      <c r="N206" s="267" t="s">
        <v>305</v>
      </c>
      <c r="O206" s="267" t="s">
        <v>1334</v>
      </c>
      <c r="P206" s="267" t="s">
        <v>1339</v>
      </c>
      <c r="Q206" s="267" t="s">
        <v>1339</v>
      </c>
      <c r="R206" s="267" t="s">
        <v>1339</v>
      </c>
      <c r="S206" s="454"/>
      <c r="T206" s="448"/>
      <c r="U206" s="448"/>
      <c r="V206" s="448"/>
    </row>
    <row r="207" spans="3:22" ht="18" customHeight="1" x14ac:dyDescent="0.3">
      <c r="C207" s="463"/>
      <c r="D207" s="270" t="s">
        <v>307</v>
      </c>
      <c r="E207" s="267" t="s">
        <v>630</v>
      </c>
      <c r="F207" s="261"/>
      <c r="G207" s="267" t="s">
        <v>1473</v>
      </c>
      <c r="H207" s="267">
        <v>4</v>
      </c>
      <c r="I207" s="483">
        <v>1</v>
      </c>
      <c r="J207" s="491" t="s">
        <v>1215</v>
      </c>
      <c r="K207" s="492" t="s">
        <v>494</v>
      </c>
      <c r="L207" s="270" t="s">
        <v>307</v>
      </c>
      <c r="M207" s="270" t="s">
        <v>307</v>
      </c>
      <c r="N207" s="267" t="s">
        <v>307</v>
      </c>
      <c r="O207" s="267" t="s">
        <v>1334</v>
      </c>
      <c r="P207" s="267" t="s">
        <v>1339</v>
      </c>
      <c r="Q207" s="267" t="s">
        <v>1339</v>
      </c>
      <c r="R207" s="267" t="s">
        <v>1339</v>
      </c>
      <c r="S207" s="454"/>
      <c r="T207" s="448" t="s">
        <v>1369</v>
      </c>
      <c r="U207" s="448"/>
      <c r="V207" s="448"/>
    </row>
    <row r="208" spans="3:22" ht="18" customHeight="1" x14ac:dyDescent="0.3">
      <c r="C208" s="463"/>
      <c r="D208" s="271" t="s">
        <v>309</v>
      </c>
      <c r="E208" s="432" t="s">
        <v>1525</v>
      </c>
      <c r="F208" s="261"/>
      <c r="G208" s="267" t="s">
        <v>1473</v>
      </c>
      <c r="H208" s="267">
        <v>4</v>
      </c>
      <c r="I208" s="483">
        <v>1</v>
      </c>
      <c r="J208" s="491" t="s">
        <v>1215</v>
      </c>
      <c r="K208" s="492" t="s">
        <v>495</v>
      </c>
      <c r="L208" s="270" t="s">
        <v>309</v>
      </c>
      <c r="M208" s="270" t="s">
        <v>309</v>
      </c>
      <c r="N208" s="267" t="s">
        <v>309</v>
      </c>
      <c r="O208" s="267" t="s">
        <v>1334</v>
      </c>
      <c r="P208" s="267" t="s">
        <v>1339</v>
      </c>
      <c r="Q208" s="271" t="s">
        <v>1334</v>
      </c>
      <c r="R208" s="267" t="s">
        <v>1339</v>
      </c>
      <c r="S208" s="454"/>
      <c r="T208" s="448"/>
      <c r="U208" s="448"/>
      <c r="V208" s="448"/>
    </row>
    <row r="209" spans="3:22" ht="18" customHeight="1" x14ac:dyDescent="0.3">
      <c r="C209" s="463"/>
      <c r="D209" s="270" t="s">
        <v>311</v>
      </c>
      <c r="E209" s="267" t="s">
        <v>630</v>
      </c>
      <c r="F209" s="261"/>
      <c r="G209" s="267" t="s">
        <v>1473</v>
      </c>
      <c r="H209" s="267">
        <v>4</v>
      </c>
      <c r="I209" s="483">
        <v>1</v>
      </c>
      <c r="J209" s="491" t="s">
        <v>1215</v>
      </c>
      <c r="K209" s="492" t="s">
        <v>496</v>
      </c>
      <c r="L209" s="270" t="s">
        <v>311</v>
      </c>
      <c r="M209" s="270" t="s">
        <v>311</v>
      </c>
      <c r="N209" s="267" t="s">
        <v>311</v>
      </c>
      <c r="O209" s="267" t="s">
        <v>1334</v>
      </c>
      <c r="P209" s="267" t="s">
        <v>1339</v>
      </c>
      <c r="Q209" s="267" t="s">
        <v>1339</v>
      </c>
      <c r="R209" s="267" t="s">
        <v>1339</v>
      </c>
      <c r="S209" s="454"/>
      <c r="T209" s="448"/>
      <c r="U209" s="448"/>
      <c r="V209" s="448"/>
    </row>
    <row r="210" spans="3:22" ht="18" customHeight="1" x14ac:dyDescent="0.3">
      <c r="C210" s="463"/>
      <c r="D210" s="270" t="s">
        <v>313</v>
      </c>
      <c r="E210" s="267" t="s">
        <v>630</v>
      </c>
      <c r="F210" s="261"/>
      <c r="G210" s="267" t="s">
        <v>1473</v>
      </c>
      <c r="H210" s="267">
        <v>4</v>
      </c>
      <c r="I210" s="483">
        <v>1</v>
      </c>
      <c r="J210" s="491" t="s">
        <v>1215</v>
      </c>
      <c r="K210" s="492" t="s">
        <v>497</v>
      </c>
      <c r="L210" s="270" t="s">
        <v>313</v>
      </c>
      <c r="M210" s="270" t="s">
        <v>313</v>
      </c>
      <c r="N210" s="267" t="s">
        <v>313</v>
      </c>
      <c r="O210" s="267" t="s">
        <v>1334</v>
      </c>
      <c r="P210" s="267" t="s">
        <v>1339</v>
      </c>
      <c r="Q210" s="267" t="s">
        <v>1339</v>
      </c>
      <c r="R210" s="267" t="s">
        <v>1339</v>
      </c>
      <c r="S210" s="454"/>
      <c r="T210" s="448"/>
      <c r="U210" s="448"/>
      <c r="V210" s="448"/>
    </row>
    <row r="211" spans="3:22" ht="18" customHeight="1" x14ac:dyDescent="0.3">
      <c r="C211" s="463"/>
      <c r="D211" s="270" t="s">
        <v>315</v>
      </c>
      <c r="E211" s="267" t="s">
        <v>630</v>
      </c>
      <c r="F211" s="261"/>
      <c r="G211" s="267" t="s">
        <v>1473</v>
      </c>
      <c r="H211" s="267">
        <v>4</v>
      </c>
      <c r="I211" s="483">
        <v>1</v>
      </c>
      <c r="J211" s="491" t="s">
        <v>1215</v>
      </c>
      <c r="K211" s="492" t="s">
        <v>498</v>
      </c>
      <c r="L211" s="270" t="s">
        <v>315</v>
      </c>
      <c r="M211" s="270" t="s">
        <v>315</v>
      </c>
      <c r="N211" s="267" t="s">
        <v>315</v>
      </c>
      <c r="O211" s="267" t="s">
        <v>1334</v>
      </c>
      <c r="P211" s="267" t="s">
        <v>1339</v>
      </c>
      <c r="Q211" s="267" t="s">
        <v>1339</v>
      </c>
      <c r="R211" s="267" t="s">
        <v>1339</v>
      </c>
      <c r="S211" s="454"/>
      <c r="T211" s="448"/>
      <c r="U211" s="448"/>
      <c r="V211" s="448"/>
    </row>
    <row r="212" spans="3:22" ht="18" customHeight="1" x14ac:dyDescent="0.3">
      <c r="C212" s="463"/>
      <c r="D212" s="270" t="s">
        <v>317</v>
      </c>
      <c r="E212" s="267" t="s">
        <v>630</v>
      </c>
      <c r="F212" s="261"/>
      <c r="G212" s="267" t="s">
        <v>1473</v>
      </c>
      <c r="H212" s="267">
        <v>4</v>
      </c>
      <c r="I212" s="483">
        <v>1</v>
      </c>
      <c r="J212" s="491" t="s">
        <v>1216</v>
      </c>
      <c r="K212" s="492" t="s">
        <v>499</v>
      </c>
      <c r="L212" s="270" t="s">
        <v>317</v>
      </c>
      <c r="M212" s="270" t="s">
        <v>317</v>
      </c>
      <c r="N212" s="267" t="s">
        <v>317</v>
      </c>
      <c r="O212" s="267" t="s">
        <v>1334</v>
      </c>
      <c r="P212" s="267" t="s">
        <v>1339</v>
      </c>
      <c r="Q212" s="267" t="s">
        <v>1339</v>
      </c>
      <c r="R212" s="267" t="s">
        <v>1339</v>
      </c>
      <c r="S212" s="454"/>
      <c r="T212" s="448"/>
      <c r="U212" s="448"/>
      <c r="V212" s="448"/>
    </row>
    <row r="213" spans="3:22" ht="18" customHeight="1" x14ac:dyDescent="0.3">
      <c r="C213" s="463"/>
      <c r="D213" s="270" t="s">
        <v>319</v>
      </c>
      <c r="E213" s="267" t="s">
        <v>630</v>
      </c>
      <c r="F213" s="261"/>
      <c r="G213" s="267" t="s">
        <v>1473</v>
      </c>
      <c r="H213" s="267">
        <v>4</v>
      </c>
      <c r="I213" s="483">
        <v>1</v>
      </c>
      <c r="J213" s="491" t="s">
        <v>1216</v>
      </c>
      <c r="K213" s="492" t="s">
        <v>500</v>
      </c>
      <c r="L213" s="270" t="s">
        <v>319</v>
      </c>
      <c r="M213" s="270" t="s">
        <v>319</v>
      </c>
      <c r="N213" s="267" t="s">
        <v>319</v>
      </c>
      <c r="O213" s="267" t="s">
        <v>1334</v>
      </c>
      <c r="P213" s="267" t="s">
        <v>1339</v>
      </c>
      <c r="Q213" s="267" t="s">
        <v>1339</v>
      </c>
      <c r="R213" s="267" t="s">
        <v>1339</v>
      </c>
      <c r="S213" s="454"/>
      <c r="T213" s="448"/>
      <c r="U213" s="448"/>
      <c r="V213" s="448"/>
    </row>
    <row r="214" spans="3:22" ht="18" customHeight="1" x14ac:dyDescent="0.3">
      <c r="C214" s="463"/>
      <c r="D214" s="270" t="s">
        <v>1217</v>
      </c>
      <c r="E214" s="267" t="s">
        <v>48</v>
      </c>
      <c r="F214" s="261"/>
      <c r="G214" s="267" t="s">
        <v>1473</v>
      </c>
      <c r="H214" s="267">
        <v>4</v>
      </c>
      <c r="I214" s="483">
        <v>1</v>
      </c>
      <c r="J214" s="491" t="s">
        <v>1216</v>
      </c>
      <c r="K214" s="492" t="s">
        <v>459</v>
      </c>
      <c r="L214" s="270" t="s">
        <v>1217</v>
      </c>
      <c r="M214" s="270" t="s">
        <v>1217</v>
      </c>
      <c r="N214" s="267" t="s">
        <v>1217</v>
      </c>
      <c r="O214" s="267" t="s">
        <v>1217</v>
      </c>
      <c r="P214" s="267" t="s">
        <v>1217</v>
      </c>
      <c r="Q214" s="267" t="s">
        <v>1217</v>
      </c>
      <c r="R214" s="267" t="s">
        <v>1217</v>
      </c>
      <c r="S214" s="454"/>
      <c r="T214" s="448"/>
      <c r="U214" s="448"/>
      <c r="V214" s="448"/>
    </row>
    <row r="215" spans="3:22" ht="18" customHeight="1" x14ac:dyDescent="0.3">
      <c r="C215" s="463"/>
      <c r="D215" s="270" t="s">
        <v>1218</v>
      </c>
      <c r="E215" s="267" t="s">
        <v>48</v>
      </c>
      <c r="F215" s="261"/>
      <c r="G215" s="267" t="s">
        <v>1473</v>
      </c>
      <c r="H215" s="267">
        <v>4</v>
      </c>
      <c r="I215" s="483">
        <v>1</v>
      </c>
      <c r="J215" s="491" t="s">
        <v>1216</v>
      </c>
      <c r="K215" s="492" t="s">
        <v>459</v>
      </c>
      <c r="L215" s="270" t="s">
        <v>1218</v>
      </c>
      <c r="M215" s="270" t="s">
        <v>1218</v>
      </c>
      <c r="N215" s="267" t="s">
        <v>1218</v>
      </c>
      <c r="O215" s="267" t="s">
        <v>1218</v>
      </c>
      <c r="P215" s="267" t="s">
        <v>1218</v>
      </c>
      <c r="Q215" s="267" t="s">
        <v>1218</v>
      </c>
      <c r="R215" s="267" t="s">
        <v>1218</v>
      </c>
      <c r="S215" s="454"/>
      <c r="T215" s="448"/>
      <c r="U215" s="448"/>
      <c r="V215" s="448"/>
    </row>
    <row r="216" spans="3:22" ht="18" customHeight="1" x14ac:dyDescent="0.3">
      <c r="C216" s="463"/>
      <c r="D216" s="270" t="s">
        <v>1219</v>
      </c>
      <c r="E216" s="267" t="s">
        <v>48</v>
      </c>
      <c r="F216" s="261"/>
      <c r="G216" s="267" t="s">
        <v>1473</v>
      </c>
      <c r="H216" s="267">
        <v>4</v>
      </c>
      <c r="I216" s="483">
        <v>1</v>
      </c>
      <c r="J216" s="491" t="s">
        <v>1216</v>
      </c>
      <c r="K216" s="492" t="s">
        <v>459</v>
      </c>
      <c r="L216" s="270" t="s">
        <v>1219</v>
      </c>
      <c r="M216" s="270" t="s">
        <v>1219</v>
      </c>
      <c r="N216" s="267" t="s">
        <v>1219</v>
      </c>
      <c r="O216" s="267" t="s">
        <v>1219</v>
      </c>
      <c r="P216" s="267" t="s">
        <v>1219</v>
      </c>
      <c r="Q216" s="267" t="s">
        <v>1219</v>
      </c>
      <c r="R216" s="267" t="s">
        <v>1219</v>
      </c>
      <c r="S216" s="454"/>
      <c r="T216" s="448"/>
      <c r="U216" s="448"/>
      <c r="V216" s="448"/>
    </row>
    <row r="217" spans="3:22" ht="18" customHeight="1" x14ac:dyDescent="0.3">
      <c r="C217" s="463"/>
      <c r="D217" s="270" t="s">
        <v>1220</v>
      </c>
      <c r="E217" s="267" t="s">
        <v>48</v>
      </c>
      <c r="F217" s="261"/>
      <c r="G217" s="267" t="s">
        <v>1473</v>
      </c>
      <c r="H217" s="267">
        <v>4</v>
      </c>
      <c r="I217" s="483">
        <v>1</v>
      </c>
      <c r="J217" s="491" t="s">
        <v>1216</v>
      </c>
      <c r="K217" s="492" t="s">
        <v>459</v>
      </c>
      <c r="L217" s="270" t="s">
        <v>1220</v>
      </c>
      <c r="M217" s="270" t="s">
        <v>1220</v>
      </c>
      <c r="N217" s="267" t="s">
        <v>1220</v>
      </c>
      <c r="O217" s="267" t="s">
        <v>1220</v>
      </c>
      <c r="P217" s="267" t="s">
        <v>1220</v>
      </c>
      <c r="Q217" s="267" t="s">
        <v>1220</v>
      </c>
      <c r="R217" s="267" t="s">
        <v>1220</v>
      </c>
      <c r="S217" s="454"/>
      <c r="T217" s="448"/>
      <c r="U217" s="448"/>
      <c r="V217" s="448"/>
    </row>
    <row r="218" spans="3:22" ht="18" customHeight="1" x14ac:dyDescent="0.3">
      <c r="C218" s="463"/>
      <c r="D218" s="270" t="s">
        <v>1221</v>
      </c>
      <c r="E218" s="267" t="s">
        <v>48</v>
      </c>
      <c r="F218" s="261"/>
      <c r="G218" s="267" t="s">
        <v>1473</v>
      </c>
      <c r="H218" s="267">
        <v>4</v>
      </c>
      <c r="I218" s="483">
        <v>1</v>
      </c>
      <c r="J218" s="491" t="s">
        <v>1216</v>
      </c>
      <c r="K218" s="492" t="s">
        <v>459</v>
      </c>
      <c r="L218" s="270" t="s">
        <v>1221</v>
      </c>
      <c r="M218" s="270" t="s">
        <v>1221</v>
      </c>
      <c r="N218" s="267" t="s">
        <v>1221</v>
      </c>
      <c r="O218" s="267" t="s">
        <v>1221</v>
      </c>
      <c r="P218" s="267" t="s">
        <v>1221</v>
      </c>
      <c r="Q218" s="267" t="s">
        <v>1221</v>
      </c>
      <c r="R218" s="267" t="s">
        <v>1221</v>
      </c>
      <c r="S218" s="454"/>
      <c r="T218" s="448"/>
      <c r="U218" s="448"/>
      <c r="V218" s="448"/>
    </row>
    <row r="219" spans="3:22" ht="18" customHeight="1" x14ac:dyDescent="0.3">
      <c r="C219" s="463"/>
      <c r="D219" s="270" t="s">
        <v>1222</v>
      </c>
      <c r="E219" s="267" t="s">
        <v>48</v>
      </c>
      <c r="F219" s="261"/>
      <c r="G219" s="267" t="s">
        <v>1473</v>
      </c>
      <c r="H219" s="267">
        <v>4</v>
      </c>
      <c r="I219" s="483">
        <v>1</v>
      </c>
      <c r="J219" s="491" t="s">
        <v>1216</v>
      </c>
      <c r="K219" s="492" t="s">
        <v>459</v>
      </c>
      <c r="L219" s="270" t="s">
        <v>1222</v>
      </c>
      <c r="M219" s="270" t="s">
        <v>1222</v>
      </c>
      <c r="N219" s="267" t="s">
        <v>1222</v>
      </c>
      <c r="O219" s="267" t="s">
        <v>1222</v>
      </c>
      <c r="P219" s="267" t="s">
        <v>1222</v>
      </c>
      <c r="Q219" s="267" t="s">
        <v>1222</v>
      </c>
      <c r="R219" s="267" t="s">
        <v>1222</v>
      </c>
      <c r="S219" s="454"/>
      <c r="T219" s="448"/>
      <c r="U219" s="448"/>
      <c r="V219" s="448"/>
    </row>
    <row r="220" spans="3:22" ht="18" customHeight="1" x14ac:dyDescent="0.3">
      <c r="C220" s="463"/>
      <c r="D220" s="270" t="s">
        <v>327</v>
      </c>
      <c r="E220" s="267" t="s">
        <v>630</v>
      </c>
      <c r="F220" s="261"/>
      <c r="G220" s="267" t="s">
        <v>1473</v>
      </c>
      <c r="H220" s="267">
        <v>4</v>
      </c>
      <c r="I220" s="483">
        <v>1</v>
      </c>
      <c r="J220" s="491" t="s">
        <v>1223</v>
      </c>
      <c r="K220" s="492" t="s">
        <v>501</v>
      </c>
      <c r="L220" s="270" t="s">
        <v>327</v>
      </c>
      <c r="M220" s="270" t="s">
        <v>327</v>
      </c>
      <c r="N220" s="267" t="s">
        <v>327</v>
      </c>
      <c r="O220" s="267" t="s">
        <v>1334</v>
      </c>
      <c r="P220" s="267" t="s">
        <v>1334</v>
      </c>
      <c r="Q220" s="267" t="s">
        <v>1334</v>
      </c>
      <c r="R220" s="267" t="s">
        <v>1334</v>
      </c>
      <c r="S220" s="454"/>
      <c r="T220" s="448" t="s">
        <v>1358</v>
      </c>
      <c r="U220" s="448"/>
      <c r="V220" s="448"/>
    </row>
    <row r="221" spans="3:22" ht="18" customHeight="1" x14ac:dyDescent="0.3">
      <c r="C221" s="463"/>
      <c r="D221" s="270" t="s">
        <v>1224</v>
      </c>
      <c r="E221" s="267" t="s">
        <v>48</v>
      </c>
      <c r="F221" s="261"/>
      <c r="G221" s="267" t="s">
        <v>1473</v>
      </c>
      <c r="H221" s="267">
        <v>4</v>
      </c>
      <c r="I221" s="483">
        <v>1</v>
      </c>
      <c r="J221" s="491" t="s">
        <v>1223</v>
      </c>
      <c r="K221" s="492" t="s">
        <v>459</v>
      </c>
      <c r="L221" s="270" t="s">
        <v>1224</v>
      </c>
      <c r="M221" s="270" t="s">
        <v>1224</v>
      </c>
      <c r="N221" s="267" t="s">
        <v>1224</v>
      </c>
      <c r="O221" s="267" t="s">
        <v>1224</v>
      </c>
      <c r="P221" s="267" t="s">
        <v>1224</v>
      </c>
      <c r="Q221" s="267" t="s">
        <v>1224</v>
      </c>
      <c r="R221" s="267" t="s">
        <v>1224</v>
      </c>
      <c r="S221" s="454"/>
      <c r="T221" s="448"/>
      <c r="U221" s="448"/>
      <c r="V221" s="448"/>
    </row>
    <row r="222" spans="3:22" ht="18" customHeight="1" x14ac:dyDescent="0.3">
      <c r="C222" s="463"/>
      <c r="D222" s="270" t="s">
        <v>1225</v>
      </c>
      <c r="E222" s="267" t="s">
        <v>48</v>
      </c>
      <c r="F222" s="261"/>
      <c r="G222" s="267" t="s">
        <v>1473</v>
      </c>
      <c r="H222" s="267">
        <v>4</v>
      </c>
      <c r="I222" s="483">
        <v>1</v>
      </c>
      <c r="J222" s="491" t="s">
        <v>1223</v>
      </c>
      <c r="K222" s="492" t="s">
        <v>459</v>
      </c>
      <c r="L222" s="270" t="s">
        <v>1225</v>
      </c>
      <c r="M222" s="270" t="s">
        <v>1225</v>
      </c>
      <c r="N222" s="267" t="s">
        <v>1225</v>
      </c>
      <c r="O222" s="267" t="s">
        <v>1225</v>
      </c>
      <c r="P222" s="267" t="s">
        <v>1225</v>
      </c>
      <c r="Q222" s="267" t="s">
        <v>1225</v>
      </c>
      <c r="R222" s="267" t="s">
        <v>1225</v>
      </c>
      <c r="S222" s="454"/>
      <c r="T222" s="448"/>
      <c r="U222" s="448"/>
      <c r="V222" s="448"/>
    </row>
    <row r="223" spans="3:22" ht="18" customHeight="1" x14ac:dyDescent="0.3">
      <c r="C223" s="463"/>
      <c r="D223" s="270" t="s">
        <v>331</v>
      </c>
      <c r="E223" s="267" t="s">
        <v>630</v>
      </c>
      <c r="F223" s="261"/>
      <c r="G223" s="267" t="s">
        <v>1473</v>
      </c>
      <c r="H223" s="267">
        <v>4</v>
      </c>
      <c r="I223" s="483">
        <v>1</v>
      </c>
      <c r="J223" s="491" t="s">
        <v>1223</v>
      </c>
      <c r="K223" s="492" t="s">
        <v>502</v>
      </c>
      <c r="L223" s="270" t="s">
        <v>331</v>
      </c>
      <c r="M223" s="270" t="s">
        <v>331</v>
      </c>
      <c r="N223" s="267" t="s">
        <v>331</v>
      </c>
      <c r="O223" s="267" t="s">
        <v>1334</v>
      </c>
      <c r="P223" s="267" t="s">
        <v>1334</v>
      </c>
      <c r="Q223" s="267" t="s">
        <v>1334</v>
      </c>
      <c r="R223" s="267" t="s">
        <v>1334</v>
      </c>
      <c r="S223" s="454"/>
      <c r="T223" s="448" t="s">
        <v>1358</v>
      </c>
      <c r="U223" s="448"/>
      <c r="V223" s="448"/>
    </row>
    <row r="224" spans="3:22" ht="18" customHeight="1" x14ac:dyDescent="0.3">
      <c r="C224" s="463"/>
      <c r="D224" s="270" t="s">
        <v>1226</v>
      </c>
      <c r="E224" s="267" t="s">
        <v>48</v>
      </c>
      <c r="F224" s="261"/>
      <c r="G224" s="267" t="s">
        <v>1473</v>
      </c>
      <c r="H224" s="267">
        <v>4</v>
      </c>
      <c r="I224" s="483">
        <v>1</v>
      </c>
      <c r="J224" s="491" t="s">
        <v>1223</v>
      </c>
      <c r="K224" s="492" t="s">
        <v>459</v>
      </c>
      <c r="L224" s="270" t="s">
        <v>1226</v>
      </c>
      <c r="M224" s="270" t="s">
        <v>1226</v>
      </c>
      <c r="N224" s="267" t="s">
        <v>1226</v>
      </c>
      <c r="O224" s="267" t="s">
        <v>1226</v>
      </c>
      <c r="P224" s="267" t="s">
        <v>1226</v>
      </c>
      <c r="Q224" s="267" t="s">
        <v>1226</v>
      </c>
      <c r="R224" s="267" t="s">
        <v>1226</v>
      </c>
      <c r="S224" s="454"/>
      <c r="T224" s="448"/>
      <c r="U224" s="448"/>
      <c r="V224" s="448"/>
    </row>
    <row r="225" spans="3:22" ht="18" customHeight="1" x14ac:dyDescent="0.3">
      <c r="C225" s="463"/>
      <c r="D225" s="270" t="s">
        <v>1227</v>
      </c>
      <c r="E225" s="267" t="s">
        <v>48</v>
      </c>
      <c r="F225" s="261"/>
      <c r="G225" s="267" t="s">
        <v>1473</v>
      </c>
      <c r="H225" s="267">
        <v>4</v>
      </c>
      <c r="I225" s="483">
        <v>1</v>
      </c>
      <c r="J225" s="491" t="s">
        <v>1223</v>
      </c>
      <c r="K225" s="492" t="s">
        <v>459</v>
      </c>
      <c r="L225" s="270" t="s">
        <v>1227</v>
      </c>
      <c r="M225" s="270" t="s">
        <v>1227</v>
      </c>
      <c r="N225" s="267" t="s">
        <v>1227</v>
      </c>
      <c r="O225" s="267" t="s">
        <v>1227</v>
      </c>
      <c r="P225" s="267" t="s">
        <v>1227</v>
      </c>
      <c r="Q225" s="267" t="s">
        <v>1227</v>
      </c>
      <c r="R225" s="267" t="s">
        <v>1227</v>
      </c>
      <c r="S225" s="454"/>
      <c r="T225" s="448"/>
      <c r="U225" s="448"/>
      <c r="V225" s="448"/>
    </row>
    <row r="226" spans="3:22" ht="18" customHeight="1" x14ac:dyDescent="0.3">
      <c r="C226" s="463"/>
      <c r="D226" s="270" t="s">
        <v>1228</v>
      </c>
      <c r="E226" s="267" t="s">
        <v>48</v>
      </c>
      <c r="F226" s="261"/>
      <c r="G226" s="267" t="s">
        <v>1473</v>
      </c>
      <c r="H226" s="267">
        <v>4</v>
      </c>
      <c r="I226" s="483">
        <v>1</v>
      </c>
      <c r="J226" s="491" t="s">
        <v>1223</v>
      </c>
      <c r="K226" s="492" t="s">
        <v>459</v>
      </c>
      <c r="L226" s="270" t="s">
        <v>1228</v>
      </c>
      <c r="M226" s="270" t="s">
        <v>1228</v>
      </c>
      <c r="N226" s="267" t="s">
        <v>1228</v>
      </c>
      <c r="O226" s="267" t="s">
        <v>1228</v>
      </c>
      <c r="P226" s="267" t="s">
        <v>1228</v>
      </c>
      <c r="Q226" s="267" t="s">
        <v>1228</v>
      </c>
      <c r="R226" s="267" t="s">
        <v>1228</v>
      </c>
      <c r="S226" s="454"/>
      <c r="T226" s="448"/>
      <c r="U226" s="448"/>
      <c r="V226" s="448"/>
    </row>
    <row r="227" spans="3:22" ht="18" customHeight="1" x14ac:dyDescent="0.3">
      <c r="C227" s="463"/>
      <c r="D227" s="270" t="s">
        <v>1229</v>
      </c>
      <c r="E227" s="267" t="s">
        <v>48</v>
      </c>
      <c r="F227" s="261"/>
      <c r="G227" s="267" t="s">
        <v>1473</v>
      </c>
      <c r="H227" s="267">
        <v>4</v>
      </c>
      <c r="I227" s="483">
        <v>1</v>
      </c>
      <c r="J227" s="491" t="s">
        <v>1223</v>
      </c>
      <c r="K227" s="493" t="s">
        <v>1152</v>
      </c>
      <c r="L227" s="270" t="s">
        <v>1229</v>
      </c>
      <c r="M227" s="270" t="s">
        <v>1229</v>
      </c>
      <c r="N227" s="267" t="s">
        <v>1229</v>
      </c>
      <c r="O227" s="267" t="s">
        <v>1229</v>
      </c>
      <c r="P227" s="267" t="s">
        <v>1229</v>
      </c>
      <c r="Q227" s="267" t="s">
        <v>1229</v>
      </c>
      <c r="R227" s="267" t="s">
        <v>1229</v>
      </c>
      <c r="S227" s="454"/>
      <c r="T227" s="448" t="s">
        <v>1358</v>
      </c>
      <c r="U227" s="448"/>
      <c r="V227" s="448"/>
    </row>
    <row r="228" spans="3:22" ht="18" customHeight="1" x14ac:dyDescent="0.3">
      <c r="C228" s="463"/>
      <c r="D228" s="270" t="s">
        <v>337</v>
      </c>
      <c r="E228" s="267" t="s">
        <v>614</v>
      </c>
      <c r="F228" s="261"/>
      <c r="G228" s="267" t="s">
        <v>1473</v>
      </c>
      <c r="H228" s="267">
        <v>4</v>
      </c>
      <c r="I228" s="483">
        <v>1</v>
      </c>
      <c r="J228" s="491" t="s">
        <v>1230</v>
      </c>
      <c r="K228" s="492" t="s">
        <v>503</v>
      </c>
      <c r="L228" s="270" t="s">
        <v>337</v>
      </c>
      <c r="M228" s="270" t="s">
        <v>337</v>
      </c>
      <c r="N228" s="267" t="s">
        <v>337</v>
      </c>
      <c r="O228" s="267" t="s">
        <v>1334</v>
      </c>
      <c r="P228" s="267" t="s">
        <v>1339</v>
      </c>
      <c r="Q228" s="267" t="s">
        <v>1339</v>
      </c>
      <c r="R228" s="267" t="s">
        <v>1339</v>
      </c>
      <c r="S228" s="454"/>
      <c r="T228" s="448" t="s">
        <v>1370</v>
      </c>
      <c r="U228" s="448"/>
      <c r="V228" s="448"/>
    </row>
    <row r="229" spans="3:22" ht="18" customHeight="1" x14ac:dyDescent="0.3">
      <c r="C229" s="463"/>
      <c r="D229" s="270" t="s">
        <v>339</v>
      </c>
      <c r="E229" s="267" t="s">
        <v>614</v>
      </c>
      <c r="F229" s="261"/>
      <c r="G229" s="267" t="s">
        <v>1473</v>
      </c>
      <c r="H229" s="267">
        <v>4</v>
      </c>
      <c r="I229" s="483">
        <v>1</v>
      </c>
      <c r="J229" s="491" t="s">
        <v>1230</v>
      </c>
      <c r="K229" s="492" t="s">
        <v>504</v>
      </c>
      <c r="L229" s="270" t="s">
        <v>339</v>
      </c>
      <c r="M229" s="270" t="s">
        <v>339</v>
      </c>
      <c r="N229" s="267" t="s">
        <v>339</v>
      </c>
      <c r="O229" s="267" t="s">
        <v>1334</v>
      </c>
      <c r="P229" s="267" t="s">
        <v>1339</v>
      </c>
      <c r="Q229" s="267" t="s">
        <v>1339</v>
      </c>
      <c r="R229" s="267" t="s">
        <v>1339</v>
      </c>
      <c r="S229" s="454"/>
      <c r="T229" s="448" t="s">
        <v>1370</v>
      </c>
      <c r="U229" s="448"/>
      <c r="V229" s="448"/>
    </row>
    <row r="230" spans="3:22" ht="18" customHeight="1" x14ac:dyDescent="0.3">
      <c r="C230" s="463"/>
      <c r="D230" s="270" t="s">
        <v>341</v>
      </c>
      <c r="E230" s="267" t="s">
        <v>614</v>
      </c>
      <c r="F230" s="261"/>
      <c r="G230" s="267" t="s">
        <v>1473</v>
      </c>
      <c r="H230" s="267">
        <v>4</v>
      </c>
      <c r="I230" s="483">
        <v>1</v>
      </c>
      <c r="J230" s="491" t="s">
        <v>1230</v>
      </c>
      <c r="K230" s="492" t="s">
        <v>505</v>
      </c>
      <c r="L230" s="270" t="s">
        <v>341</v>
      </c>
      <c r="M230" s="270" t="s">
        <v>341</v>
      </c>
      <c r="N230" s="267" t="s">
        <v>341</v>
      </c>
      <c r="O230" s="267" t="s">
        <v>1334</v>
      </c>
      <c r="P230" s="267" t="s">
        <v>1339</v>
      </c>
      <c r="Q230" s="267" t="s">
        <v>1339</v>
      </c>
      <c r="R230" s="267" t="s">
        <v>1339</v>
      </c>
      <c r="S230" s="454"/>
      <c r="T230" s="448" t="s">
        <v>1370</v>
      </c>
      <c r="U230" s="448"/>
      <c r="V230" s="448"/>
    </row>
    <row r="231" spans="3:22" ht="18" customHeight="1" x14ac:dyDescent="0.3">
      <c r="C231" s="463"/>
      <c r="D231" s="270" t="s">
        <v>343</v>
      </c>
      <c r="E231" s="267" t="s">
        <v>614</v>
      </c>
      <c r="F231" s="261"/>
      <c r="G231" s="267" t="s">
        <v>1473</v>
      </c>
      <c r="H231" s="267">
        <v>4</v>
      </c>
      <c r="I231" s="483">
        <v>1</v>
      </c>
      <c r="J231" s="491" t="s">
        <v>1230</v>
      </c>
      <c r="K231" s="492" t="s">
        <v>506</v>
      </c>
      <c r="L231" s="270" t="s">
        <v>343</v>
      </c>
      <c r="M231" s="270" t="s">
        <v>343</v>
      </c>
      <c r="N231" s="267" t="s">
        <v>343</v>
      </c>
      <c r="O231" s="267" t="s">
        <v>1334</v>
      </c>
      <c r="P231" s="267" t="s">
        <v>1339</v>
      </c>
      <c r="Q231" s="267" t="s">
        <v>1339</v>
      </c>
      <c r="R231" s="267" t="s">
        <v>1339</v>
      </c>
      <c r="S231" s="454"/>
      <c r="T231" s="448" t="s">
        <v>1370</v>
      </c>
      <c r="U231" s="448"/>
      <c r="V231" s="448"/>
    </row>
    <row r="232" spans="3:22" ht="18" customHeight="1" x14ac:dyDescent="0.3">
      <c r="C232" s="463"/>
      <c r="D232" s="270" t="s">
        <v>345</v>
      </c>
      <c r="E232" s="267" t="s">
        <v>614</v>
      </c>
      <c r="F232" s="261"/>
      <c r="G232" s="267" t="s">
        <v>1473</v>
      </c>
      <c r="H232" s="267">
        <v>4</v>
      </c>
      <c r="I232" s="483">
        <v>1</v>
      </c>
      <c r="J232" s="491" t="s">
        <v>1230</v>
      </c>
      <c r="K232" s="492" t="s">
        <v>507</v>
      </c>
      <c r="L232" s="270" t="s">
        <v>345</v>
      </c>
      <c r="M232" s="270" t="s">
        <v>345</v>
      </c>
      <c r="N232" s="267" t="s">
        <v>345</v>
      </c>
      <c r="O232" s="267" t="s">
        <v>1334</v>
      </c>
      <c r="P232" s="267" t="s">
        <v>1339</v>
      </c>
      <c r="Q232" s="267" t="s">
        <v>1339</v>
      </c>
      <c r="R232" s="267" t="s">
        <v>1339</v>
      </c>
      <c r="S232" s="454"/>
      <c r="T232" s="448" t="s">
        <v>1370</v>
      </c>
      <c r="U232" s="448"/>
      <c r="V232" s="448"/>
    </row>
    <row r="233" spans="3:22" ht="18" customHeight="1" x14ac:dyDescent="0.3">
      <c r="C233" s="463"/>
      <c r="D233" s="270" t="s">
        <v>347</v>
      </c>
      <c r="E233" s="267" t="s">
        <v>614</v>
      </c>
      <c r="F233" s="261"/>
      <c r="G233" s="267" t="s">
        <v>1473</v>
      </c>
      <c r="H233" s="267">
        <v>4</v>
      </c>
      <c r="I233" s="483">
        <v>1</v>
      </c>
      <c r="J233" s="491" t="s">
        <v>1230</v>
      </c>
      <c r="K233" s="492" t="s">
        <v>508</v>
      </c>
      <c r="L233" s="270" t="s">
        <v>347</v>
      </c>
      <c r="M233" s="270" t="s">
        <v>347</v>
      </c>
      <c r="N233" s="267" t="s">
        <v>347</v>
      </c>
      <c r="O233" s="267" t="s">
        <v>1334</v>
      </c>
      <c r="P233" s="267" t="s">
        <v>1339</v>
      </c>
      <c r="Q233" s="267" t="s">
        <v>1339</v>
      </c>
      <c r="R233" s="267" t="s">
        <v>1339</v>
      </c>
      <c r="S233" s="454"/>
      <c r="T233" s="448"/>
      <c r="U233" s="448"/>
      <c r="V233" s="448"/>
    </row>
    <row r="234" spans="3:22" ht="18" customHeight="1" x14ac:dyDescent="0.3">
      <c r="C234" s="463"/>
      <c r="D234" s="270" t="s">
        <v>349</v>
      </c>
      <c r="E234" s="267" t="s">
        <v>614</v>
      </c>
      <c r="F234" s="261"/>
      <c r="G234" s="267" t="s">
        <v>1473</v>
      </c>
      <c r="H234" s="267">
        <v>4</v>
      </c>
      <c r="I234" s="483">
        <v>1</v>
      </c>
      <c r="J234" s="491" t="s">
        <v>1230</v>
      </c>
      <c r="K234" s="492" t="s">
        <v>509</v>
      </c>
      <c r="L234" s="270" t="s">
        <v>349</v>
      </c>
      <c r="M234" s="270" t="s">
        <v>349</v>
      </c>
      <c r="N234" s="267" t="s">
        <v>349</v>
      </c>
      <c r="O234" s="267" t="s">
        <v>1334</v>
      </c>
      <c r="P234" s="267" t="s">
        <v>1339</v>
      </c>
      <c r="Q234" s="267" t="s">
        <v>1339</v>
      </c>
      <c r="R234" s="267" t="s">
        <v>1339</v>
      </c>
      <c r="S234" s="454"/>
      <c r="T234" s="448"/>
      <c r="U234" s="448"/>
      <c r="V234" s="448"/>
    </row>
    <row r="235" spans="3:22" ht="18" customHeight="1" x14ac:dyDescent="0.3">
      <c r="C235" s="463"/>
      <c r="D235" s="270" t="s">
        <v>351</v>
      </c>
      <c r="E235" s="267" t="s">
        <v>614</v>
      </c>
      <c r="F235" s="261"/>
      <c r="G235" s="267" t="s">
        <v>1473</v>
      </c>
      <c r="H235" s="267">
        <v>4</v>
      </c>
      <c r="I235" s="483">
        <v>1</v>
      </c>
      <c r="J235" s="491" t="s">
        <v>1230</v>
      </c>
      <c r="K235" s="492" t="s">
        <v>510</v>
      </c>
      <c r="L235" s="270" t="s">
        <v>351</v>
      </c>
      <c r="M235" s="270" t="s">
        <v>351</v>
      </c>
      <c r="N235" s="267" t="s">
        <v>351</v>
      </c>
      <c r="O235" s="267" t="s">
        <v>1334</v>
      </c>
      <c r="P235" s="267" t="s">
        <v>1339</v>
      </c>
      <c r="Q235" s="267" t="s">
        <v>1339</v>
      </c>
      <c r="R235" s="267" t="s">
        <v>1339</v>
      </c>
      <c r="S235" s="454"/>
      <c r="T235" s="448"/>
      <c r="U235" s="448"/>
      <c r="V235" s="448"/>
    </row>
    <row r="236" spans="3:22" ht="18" customHeight="1" thickBot="1" x14ac:dyDescent="0.35">
      <c r="C236" s="465"/>
      <c r="D236" s="466"/>
      <c r="E236" s="467"/>
      <c r="F236" s="262"/>
      <c r="G236" s="466"/>
      <c r="H236" s="466"/>
      <c r="I236" s="466"/>
      <c r="J236" s="466"/>
      <c r="K236" s="467"/>
      <c r="L236" s="466"/>
      <c r="M236" s="466"/>
      <c r="N236" s="466"/>
      <c r="O236" s="467"/>
      <c r="P236" s="466"/>
      <c r="Q236" s="466"/>
      <c r="R236" s="466"/>
      <c r="S236" s="486"/>
      <c r="T236" s="448"/>
      <c r="U236" s="448"/>
      <c r="V236" s="448"/>
    </row>
  </sheetData>
  <phoneticPr fontId="17" type="noConversion"/>
  <conditionalFormatting sqref="I29:I33">
    <cfRule type="cellIs" dxfId="601" priority="84" operator="equal">
      <formula>0</formula>
    </cfRule>
  </conditionalFormatting>
  <conditionalFormatting sqref="D207 F207">
    <cfRule type="cellIs" dxfId="600" priority="76" operator="equal">
      <formula>0</formula>
    </cfRule>
  </conditionalFormatting>
  <conditionalFormatting sqref="D210 F210">
    <cfRule type="cellIs" dxfId="599" priority="72" operator="equal">
      <formula>0</formula>
    </cfRule>
  </conditionalFormatting>
  <conditionalFormatting sqref="D208 F208">
    <cfRule type="cellIs" dxfId="598" priority="75" operator="equal">
      <formula>0</formula>
    </cfRule>
  </conditionalFormatting>
  <conditionalFormatting sqref="D209 F209">
    <cfRule type="cellIs" dxfId="597" priority="74" operator="equal">
      <formula>0</formula>
    </cfRule>
  </conditionalFormatting>
  <conditionalFormatting sqref="D211">
    <cfRule type="cellIs" dxfId="596" priority="73" operator="equal">
      <formula>0</formula>
    </cfRule>
  </conditionalFormatting>
  <conditionalFormatting sqref="F211">
    <cfRule type="cellIs" dxfId="595" priority="71" operator="equal">
      <formula>0</formula>
    </cfRule>
  </conditionalFormatting>
  <conditionalFormatting sqref="E207">
    <cfRule type="cellIs" dxfId="594" priority="70" operator="equal">
      <formula>0</formula>
    </cfRule>
  </conditionalFormatting>
  <conditionalFormatting sqref="E208">
    <cfRule type="cellIs" dxfId="593" priority="69" operator="equal">
      <formula>0</formula>
    </cfRule>
  </conditionalFormatting>
  <conditionalFormatting sqref="E209">
    <cfRule type="cellIs" dxfId="592" priority="68" operator="equal">
      <formula>0</formula>
    </cfRule>
  </conditionalFormatting>
  <conditionalFormatting sqref="E211">
    <cfRule type="cellIs" dxfId="591" priority="67" operator="equal">
      <formula>0</formula>
    </cfRule>
  </conditionalFormatting>
  <conditionalFormatting sqref="E210">
    <cfRule type="cellIs" dxfId="590" priority="66" operator="equal">
      <formula>0</formula>
    </cfRule>
  </conditionalFormatting>
  <conditionalFormatting sqref="D213 F213">
    <cfRule type="cellIs" dxfId="589" priority="64" operator="equal">
      <formula>0</formula>
    </cfRule>
  </conditionalFormatting>
  <conditionalFormatting sqref="D212 F212 G167:G171">
    <cfRule type="cellIs" priority="65" operator="equal">
      <formula>0</formula>
    </cfRule>
  </conditionalFormatting>
  <conditionalFormatting sqref="F214">
    <cfRule type="cellIs" dxfId="588" priority="62" operator="equal">
      <formula>0</formula>
    </cfRule>
    <cfRule type="cellIs" dxfId="587" priority="63" operator="equal">
      <formula>0</formula>
    </cfRule>
  </conditionalFormatting>
  <conditionalFormatting sqref="E213">
    <cfRule type="cellIs" dxfId="586" priority="60" operator="equal">
      <formula>0</formula>
    </cfRule>
  </conditionalFormatting>
  <conditionalFormatting sqref="E212">
    <cfRule type="cellIs" priority="61" operator="equal">
      <formula>0</formula>
    </cfRule>
  </conditionalFormatting>
  <conditionalFormatting sqref="E214">
    <cfRule type="cellIs" dxfId="585" priority="58" operator="equal">
      <formula>0</formula>
    </cfRule>
    <cfRule type="cellIs" dxfId="584" priority="59" operator="equal">
      <formula>0</formula>
    </cfRule>
  </conditionalFormatting>
  <conditionalFormatting sqref="F216">
    <cfRule type="cellIs" priority="57" operator="equal">
      <formula>0</formula>
    </cfRule>
  </conditionalFormatting>
  <conditionalFormatting sqref="E216">
    <cfRule type="cellIs" priority="56" operator="equal">
      <formula>0</formula>
    </cfRule>
  </conditionalFormatting>
  <conditionalFormatting sqref="D164 F164">
    <cfRule type="cellIs" dxfId="583" priority="51" operator="equal">
      <formula>0</formula>
    </cfRule>
  </conditionalFormatting>
  <conditionalFormatting sqref="D161 F161:G161 G162:G165">
    <cfRule type="cellIs" dxfId="582" priority="55" operator="equal">
      <formula>0</formula>
    </cfRule>
  </conditionalFormatting>
  <conditionalFormatting sqref="D162 F162">
    <cfRule type="cellIs" dxfId="581" priority="54" operator="equal">
      <formula>0</formula>
    </cfRule>
  </conditionalFormatting>
  <conditionalFormatting sqref="D163 F163">
    <cfRule type="cellIs" dxfId="580" priority="53" operator="equal">
      <formula>0</formula>
    </cfRule>
  </conditionalFormatting>
  <conditionalFormatting sqref="D165">
    <cfRule type="cellIs" dxfId="579" priority="52" operator="equal">
      <formula>0</formula>
    </cfRule>
  </conditionalFormatting>
  <conditionalFormatting sqref="F165">
    <cfRule type="cellIs" dxfId="578" priority="50" operator="equal">
      <formula>0</formula>
    </cfRule>
  </conditionalFormatting>
  <conditionalFormatting sqref="E161">
    <cfRule type="cellIs" dxfId="577" priority="49" operator="equal">
      <formula>0</formula>
    </cfRule>
  </conditionalFormatting>
  <conditionalFormatting sqref="E162">
    <cfRule type="cellIs" dxfId="576" priority="48" operator="equal">
      <formula>0</formula>
    </cfRule>
  </conditionalFormatting>
  <conditionalFormatting sqref="E163">
    <cfRule type="cellIs" dxfId="575" priority="47" operator="equal">
      <formula>0</formula>
    </cfRule>
  </conditionalFormatting>
  <conditionalFormatting sqref="E165">
    <cfRule type="cellIs" dxfId="574" priority="46" operator="equal">
      <formula>0</formula>
    </cfRule>
  </conditionalFormatting>
  <conditionalFormatting sqref="E164">
    <cfRule type="cellIs" dxfId="573" priority="45" operator="equal">
      <formula>0</formula>
    </cfRule>
  </conditionalFormatting>
  <conditionalFormatting sqref="D167 F167">
    <cfRule type="cellIs" dxfId="572" priority="43" operator="equal">
      <formula>0</formula>
    </cfRule>
  </conditionalFormatting>
  <conditionalFormatting sqref="D166 F166:G166">
    <cfRule type="cellIs" priority="44" operator="equal">
      <formula>0</formula>
    </cfRule>
  </conditionalFormatting>
  <conditionalFormatting sqref="D168 F168">
    <cfRule type="cellIs" dxfId="571" priority="41" operator="equal">
      <formula>0</formula>
    </cfRule>
    <cfRule type="cellIs" dxfId="570" priority="42" operator="equal">
      <formula>0</formula>
    </cfRule>
  </conditionalFormatting>
  <conditionalFormatting sqref="E167">
    <cfRule type="cellIs" dxfId="569" priority="39" operator="equal">
      <formula>0</formula>
    </cfRule>
  </conditionalFormatting>
  <conditionalFormatting sqref="E166">
    <cfRule type="cellIs" priority="40" operator="equal">
      <formula>0</formula>
    </cfRule>
  </conditionalFormatting>
  <conditionalFormatting sqref="E168">
    <cfRule type="cellIs" dxfId="568" priority="37" operator="equal">
      <formula>0</formula>
    </cfRule>
    <cfRule type="cellIs" dxfId="567" priority="38" operator="equal">
      <formula>0</formula>
    </cfRule>
  </conditionalFormatting>
  <conditionalFormatting sqref="D169:D170 F169:F170">
    <cfRule type="cellIs" priority="36" operator="equal">
      <formula>0</formula>
    </cfRule>
  </conditionalFormatting>
  <conditionalFormatting sqref="E169:E170">
    <cfRule type="cellIs" priority="35" operator="equal">
      <formula>0</formula>
    </cfRule>
  </conditionalFormatting>
  <conditionalFormatting sqref="M161">
    <cfRule type="cellIs" dxfId="566" priority="34" operator="equal">
      <formula>0</formula>
    </cfRule>
  </conditionalFormatting>
  <conditionalFormatting sqref="M162">
    <cfRule type="cellIs" dxfId="565" priority="33" operator="equal">
      <formula>0</formula>
    </cfRule>
  </conditionalFormatting>
  <conditionalFormatting sqref="M163">
    <cfRule type="cellIs" dxfId="564" priority="32" operator="equal">
      <formula>0</formula>
    </cfRule>
  </conditionalFormatting>
  <conditionalFormatting sqref="M164">
    <cfRule type="cellIs" dxfId="563" priority="31" operator="equal">
      <formula>0</formula>
    </cfRule>
  </conditionalFormatting>
  <conditionalFormatting sqref="M166">
    <cfRule type="cellIs" priority="30" operator="equal">
      <formula>0</formula>
    </cfRule>
  </conditionalFormatting>
  <conditionalFormatting sqref="M167">
    <cfRule type="cellIs" dxfId="562" priority="29" operator="equal">
      <formula>0</formula>
    </cfRule>
  </conditionalFormatting>
  <conditionalFormatting sqref="M168:M170">
    <cfRule type="cellIs" dxfId="561" priority="27" operator="equal">
      <formula>0</formula>
    </cfRule>
    <cfRule type="cellIs" dxfId="560" priority="28" operator="equal">
      <formula>0</formula>
    </cfRule>
  </conditionalFormatting>
  <conditionalFormatting sqref="K161:K163">
    <cfRule type="cellIs" dxfId="559" priority="13" operator="equal">
      <formula>0</formula>
    </cfRule>
  </conditionalFormatting>
  <conditionalFormatting sqref="K161">
    <cfRule type="cellIs" dxfId="558" priority="12" operator="equal">
      <formula>0</formula>
    </cfRule>
  </conditionalFormatting>
  <conditionalFormatting sqref="K162">
    <cfRule type="cellIs" dxfId="557" priority="11" operator="equal">
      <formula>0</formula>
    </cfRule>
  </conditionalFormatting>
  <conditionalFormatting sqref="K163">
    <cfRule type="cellIs" dxfId="556" priority="10" operator="equal">
      <formula>0</formula>
    </cfRule>
  </conditionalFormatting>
  <conditionalFormatting sqref="K164:K165">
    <cfRule type="cellIs" dxfId="555" priority="9" operator="equal">
      <formula>0</formula>
    </cfRule>
  </conditionalFormatting>
  <conditionalFormatting sqref="K164">
    <cfRule type="cellIs" dxfId="554" priority="8" operator="equal">
      <formula>0</formula>
    </cfRule>
  </conditionalFormatting>
  <conditionalFormatting sqref="K165">
    <cfRule type="cellIs" dxfId="553" priority="7" operator="equal">
      <formula>0</formula>
    </cfRule>
  </conditionalFormatting>
  <conditionalFormatting sqref="K170">
    <cfRule type="cellIs" dxfId="552" priority="6" operator="equal">
      <formula>0</formula>
    </cfRule>
  </conditionalFormatting>
  <conditionalFormatting sqref="K171">
    <cfRule type="cellIs" dxfId="551" priority="5" operator="equal">
      <formula>0</formula>
    </cfRule>
  </conditionalFormatting>
  <conditionalFormatting sqref="K169:K170">
    <cfRule type="cellIs" dxfId="550" priority="4" operator="equal">
      <formula>0</formula>
    </cfRule>
  </conditionalFormatting>
  <conditionalFormatting sqref="K169:K170">
    <cfRule type="cellIs" priority="3" operator="equal">
      <formula>0</formula>
    </cfRule>
  </conditionalFormatting>
  <conditionalFormatting sqref="N164">
    <cfRule type="cellIs" dxfId="549" priority="1" operator="equal">
      <formula>0</formula>
    </cfRule>
  </conditionalFormatting>
  <pageMargins left="0.7" right="0.7" top="0.75" bottom="0.75" header="0.3" footer="0.3"/>
  <pageSetup orientation="portrait" r:id="rId1"/>
  <legacyDrawing r:id="rId2"/>
  <tableParts count="1">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59B71-AD60-4E0E-A191-D7668320A8C2}">
  <sheetPr codeName="Sheet14"/>
  <dimension ref="A1:O46"/>
  <sheetViews>
    <sheetView topLeftCell="C2" zoomScaleNormal="100" workbookViewId="0">
      <selection activeCell="E12" sqref="E12"/>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51.33203125" style="15" customWidth="1"/>
    <col min="6" max="6" width="9.5546875" style="15" bestFit="1" customWidth="1"/>
    <col min="7" max="7" width="11.5546875" style="15" bestFit="1" customWidth="1"/>
    <col min="8" max="8" width="13.5546875" style="15" bestFit="1" customWidth="1"/>
    <col min="9" max="9" width="11.33203125" style="15" bestFit="1" customWidth="1"/>
    <col min="10" max="10" width="10.77734375" style="15" bestFit="1" customWidth="1"/>
    <col min="11" max="11" width="11.33203125" style="15"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608</v>
      </c>
      <c r="E1" s="23"/>
    </row>
    <row r="2" spans="1:15" ht="15" customHeight="1" thickBot="1" x14ac:dyDescent="0.35">
      <c r="A2" s="29" t="s">
        <v>0</v>
      </c>
      <c r="B2" s="33" t="s">
        <v>1</v>
      </c>
      <c r="C2" s="33" t="s">
        <v>371</v>
      </c>
      <c r="D2" s="33" t="s">
        <v>2</v>
      </c>
      <c r="E2" s="30" t="s">
        <v>423</v>
      </c>
      <c r="F2" s="66" t="s">
        <v>3</v>
      </c>
      <c r="G2" s="67" t="s">
        <v>4</v>
      </c>
      <c r="H2" s="67" t="s">
        <v>5</v>
      </c>
      <c r="I2" s="67" t="s">
        <v>6</v>
      </c>
      <c r="J2" s="67" t="s">
        <v>385</v>
      </c>
      <c r="K2" s="67" t="s">
        <v>386</v>
      </c>
      <c r="L2" s="67" t="s">
        <v>624</v>
      </c>
      <c r="M2" s="67" t="s">
        <v>7</v>
      </c>
      <c r="N2" s="67" t="s">
        <v>8</v>
      </c>
      <c r="O2" s="96" t="s">
        <v>626</v>
      </c>
    </row>
    <row r="3" spans="1:15" ht="15" customHeight="1" x14ac:dyDescent="0.3">
      <c r="A3" s="322" t="s">
        <v>809</v>
      </c>
      <c r="B3" s="43" t="s">
        <v>395</v>
      </c>
      <c r="C3" s="43" t="s">
        <v>395</v>
      </c>
      <c r="D3" s="43" t="s">
        <v>10</v>
      </c>
      <c r="E3" s="164" t="str">
        <f>Config!AD66</f>
        <v>This parameter is used to define Security Key Fuses for the Identity. This parameter shows bit size of HVM fuse. 
Current Security Key Fuse size is 512 bits. When this parameter is set to ‘0’, this HVM fuse is removed.</v>
      </c>
      <c r="F3" s="184"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323" t="s">
        <v>367</v>
      </c>
      <c r="N3" s="326" t="s">
        <v>14</v>
      </c>
      <c r="O3" s="327">
        <f ca="1">($G3+$G4+$G5+$G6+$G7)</f>
        <v>1056</v>
      </c>
    </row>
    <row r="4" spans="1:15" ht="15" customHeight="1" x14ac:dyDescent="0.3">
      <c r="A4" s="322"/>
      <c r="B4" s="35" t="s">
        <v>396</v>
      </c>
      <c r="C4" s="35" t="s">
        <v>396</v>
      </c>
      <c r="D4" s="35" t="s">
        <v>10</v>
      </c>
      <c r="E4" s="177" t="str">
        <f>Config!AD67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324"/>
      <c r="N4" s="324"/>
      <c r="O4" s="328"/>
    </row>
    <row r="5" spans="1:15" ht="15" customHeight="1" x14ac:dyDescent="0.3">
      <c r="A5" s="322"/>
      <c r="B5" s="35" t="s">
        <v>397</v>
      </c>
      <c r="C5" s="35" t="s">
        <v>397</v>
      </c>
      <c r="D5" s="35" t="s">
        <v>15</v>
      </c>
      <c r="E5" s="177" t="str">
        <f>Config!AD68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324"/>
      <c r="N5" s="324"/>
      <c r="O5" s="328"/>
    </row>
    <row r="6" spans="1:15" ht="15" customHeight="1" x14ac:dyDescent="0.3">
      <c r="A6" s="322"/>
      <c r="B6" s="69" t="s">
        <v>398</v>
      </c>
      <c r="C6" s="69" t="s">
        <v>398</v>
      </c>
      <c r="D6" s="35" t="s">
        <v>15</v>
      </c>
      <c r="E6" s="177" t="str">
        <f>Config!AD69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324"/>
      <c r="N6" s="324"/>
      <c r="O6" s="328"/>
    </row>
    <row r="7" spans="1:15" ht="15" customHeight="1" thickBot="1" x14ac:dyDescent="0.35">
      <c r="A7" s="322"/>
      <c r="B7" s="70" t="s">
        <v>421</v>
      </c>
      <c r="C7" s="77" t="s">
        <v>421</v>
      </c>
      <c r="D7" s="74" t="s">
        <v>10</v>
      </c>
      <c r="E7" s="165" t="str">
        <f>Config!AD70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0"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325"/>
      <c r="N7" s="325"/>
      <c r="O7" s="329"/>
    </row>
    <row r="8" spans="1:15" ht="14.55" customHeight="1" x14ac:dyDescent="0.3">
      <c r="A8" s="337" t="s">
        <v>883</v>
      </c>
      <c r="B8" s="71" t="s">
        <v>16</v>
      </c>
      <c r="C8" s="71" t="s">
        <v>16</v>
      </c>
      <c r="D8" s="34" t="s">
        <v>17</v>
      </c>
      <c r="E8" s="183" t="str">
        <f>Config!AD72</f>
        <v xml:space="preserve">This parameter is used to define iKGF signature for On Die CA. This parameter shows bit size of HVM fuse. 
Current signature size is 768 bits. When this parameter is set to ‘0’, this HVM fuse is removed. </v>
      </c>
      <c r="F8" s="181" t="s">
        <v>18</v>
      </c>
      <c r="G8" s="65">
        <f ca="1">IF($C8="No Param",32,VLOOKUP($C8,INDIRECT(Config!$B$1),HLOOKUP(D$1,INDIRECT(Config!$E$1),2,FALSE),FALSE))</f>
        <v>768</v>
      </c>
      <c r="H8" s="64" t="s">
        <v>558</v>
      </c>
      <c r="I8" s="64" t="s">
        <v>19</v>
      </c>
      <c r="J8" s="64" t="s">
        <v>48</v>
      </c>
      <c r="K8" s="64">
        <v>0</v>
      </c>
      <c r="L8" s="24" t="str">
        <f ca="1">IF(VLOOKUP("EXT_FUSE_PULL_SUPP", INDIRECT(Config!$B$1),HLOOKUP(D$1,INDIRECT(Config!$E$1),2,FALSE),FALSE)=1, IF(G8&gt;0,CONCATENATE(C8,"[",G8-1,":0]"), ""), "")</f>
        <v/>
      </c>
      <c r="M8" s="330" t="s">
        <v>368</v>
      </c>
      <c r="N8" s="333" t="s">
        <v>20</v>
      </c>
      <c r="O8" s="335">
        <f ca="1">($G8+$G9+$G10+$G13)</f>
        <v>960</v>
      </c>
    </row>
    <row r="9" spans="1:15" ht="14.55" customHeight="1" x14ac:dyDescent="0.3">
      <c r="A9" s="338"/>
      <c r="B9" s="72" t="s">
        <v>399</v>
      </c>
      <c r="C9" s="72" t="s">
        <v>399</v>
      </c>
      <c r="D9" s="35" t="s">
        <v>17</v>
      </c>
      <c r="E9" s="177" t="str">
        <f>Config!AD73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4" t="s">
        <v>48</v>
      </c>
      <c r="K9" s="134">
        <v>0</v>
      </c>
      <c r="L9" s="16" t="str">
        <f ca="1">IF(VLOOKUP("EXT_FUSE_PULL_SUPP", INDIRECT(Config!$B$1),HLOOKUP(D$1,INDIRECT(Config!$E$1),2,FALSE),FALSE)=1, IF(G9&gt;0,CONCATENATE(C9,"[",G9-1,":0]"), ""), "")</f>
        <v/>
      </c>
      <c r="M9" s="331"/>
      <c r="N9" s="324"/>
      <c r="O9" s="328"/>
    </row>
    <row r="10" spans="1:15" ht="15" customHeight="1" x14ac:dyDescent="0.3">
      <c r="A10" s="338"/>
      <c r="B10" s="44" t="s">
        <v>22</v>
      </c>
      <c r="C10" s="44" t="s">
        <v>22</v>
      </c>
      <c r="D10" s="35" t="s">
        <v>17</v>
      </c>
      <c r="E10" s="177" t="str">
        <f>Config!AD74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4" t="s">
        <v>48</v>
      </c>
      <c r="K10" s="134">
        <v>0</v>
      </c>
      <c r="L10" s="16" t="str">
        <f ca="1">IF(VLOOKUP("EXT_FUSE_PULL_SUPP", INDIRECT(Config!$B$1),HLOOKUP(D$1,INDIRECT(Config!$E$1),2,FALSE),FALSE)=1, IF(G10&gt;0,CONCATENATE(C10,"[",G10-1,":0]"), ""), "")</f>
        <v/>
      </c>
      <c r="M10" s="331"/>
      <c r="N10" s="324"/>
      <c r="O10" s="328"/>
    </row>
    <row r="11" spans="1:15" ht="15" customHeight="1" x14ac:dyDescent="0.3">
      <c r="A11" s="338"/>
      <c r="B11" s="168" t="s">
        <v>21</v>
      </c>
      <c r="C11" s="167" t="s">
        <v>21</v>
      </c>
      <c r="D11" s="15" t="s">
        <v>17</v>
      </c>
      <c r="E11" s="78" t="s">
        <v>515</v>
      </c>
      <c r="F11" s="146"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331"/>
      <c r="N11" s="324"/>
      <c r="O11" s="328"/>
    </row>
    <row r="12" spans="1:15" ht="15" customHeight="1" x14ac:dyDescent="0.3">
      <c r="A12" s="338"/>
      <c r="B12" s="72" t="s">
        <v>882</v>
      </c>
      <c r="C12" s="72" t="s">
        <v>882</v>
      </c>
      <c r="D12" s="153" t="s">
        <v>17</v>
      </c>
      <c r="E12" s="187" t="s">
        <v>881</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332"/>
      <c r="N12" s="334"/>
      <c r="O12" s="336"/>
    </row>
    <row r="13" spans="1:15" ht="15" customHeight="1" thickBot="1" x14ac:dyDescent="0.35">
      <c r="A13" s="339"/>
      <c r="B13" s="169" t="s">
        <v>422</v>
      </c>
      <c r="C13" s="169" t="s">
        <v>422</v>
      </c>
      <c r="D13" s="188" t="s">
        <v>17</v>
      </c>
      <c r="E13" s="189" t="s">
        <v>518</v>
      </c>
      <c r="F13" s="190" t="s">
        <v>18</v>
      </c>
      <c r="G13" s="194">
        <f ca="1">IF($C13="No Param",32,VLOOKUP($C13,INDIRECT(Config!$B$1),HLOOKUP(D$1,INDIRECT(Config!$E$1),2,FALSE),FALSE))</f>
        <v>0</v>
      </c>
      <c r="H13" s="192" t="str">
        <f ca="1">IF(G13=0, "N/A", CONCATENATE("0x",DEC2HEX(HEX2DEC(SUBSTITUTE(H8,"0x",""))+(G8+G9+G10+G11+G12)/8)))</f>
        <v>N/A</v>
      </c>
      <c r="I13" s="192" t="str">
        <f ca="1">IF(G13=0, "N/A", CONCATENATE("0x",DEC2HEX(HEX2DEC(SUBSTITUTE(I8,"0x",""))+(G8+G9+G10+G11+G12)/8)))</f>
        <v>N/A</v>
      </c>
      <c r="J13" s="192" t="s">
        <v>48</v>
      </c>
      <c r="K13" s="192">
        <v>0</v>
      </c>
      <c r="L13" s="26" t="str">
        <f ca="1">IF(VLOOKUP("EXT_FUSE_PULL_SUPP", INDIRECT(Config!$B$1),HLOOKUP(D$1,INDIRECT(Config!$E$1),2,FALSE),FALSE)=1, IF(G13&gt;0,CONCATENATE(C13,"[",G13-1,":0]"), ""), "")</f>
        <v/>
      </c>
      <c r="M13" s="332"/>
      <c r="N13" s="334"/>
      <c r="O13" s="336"/>
    </row>
    <row r="14" spans="1:15" ht="15" customHeight="1" x14ac:dyDescent="0.3">
      <c r="A14" s="340" t="s">
        <v>23</v>
      </c>
      <c r="B14" s="34" t="s">
        <v>24</v>
      </c>
      <c r="C14" s="36" t="s">
        <v>612</v>
      </c>
      <c r="D14" s="342" t="s">
        <v>25</v>
      </c>
      <c r="E14" s="102"/>
      <c r="F14" s="111" t="s">
        <v>26</v>
      </c>
      <c r="G14" s="60">
        <f ca="1">IF($C14="No Param",32,VLOOKUP($C14,INDIRECT(Config!$B$1),HLOOKUP(D$1,INDIRECT(Config!$E$1),2,FALSE),FALSE)*32)</f>
        <v>32</v>
      </c>
      <c r="H14" s="24" t="s">
        <v>27</v>
      </c>
      <c r="I14" s="24" t="s">
        <v>28</v>
      </c>
      <c r="J14" s="199" t="s">
        <v>1078</v>
      </c>
      <c r="K14" s="199" t="s">
        <v>1095</v>
      </c>
      <c r="L14" s="236" t="str">
        <f ca="1">IF(VLOOKUP("EXT_FUSE_PULL_SUPP", INDIRECT(Config!$B$1),HLOOKUP(D$1,INDIRECT(Config!$E$1),2,FALSE),FALSE)=1, IF(G14&gt;0,CONCATENATE("CSME_HW_FW_Config_fuses[",G14-1,":0]"), ""), "")</f>
        <v/>
      </c>
      <c r="M14" s="323" t="s">
        <v>369</v>
      </c>
      <c r="N14" s="326" t="s">
        <v>29</v>
      </c>
      <c r="O14" s="327">
        <f ca="1">(4*32+G18+G19+G20+G21+G22+G23)</f>
        <v>160</v>
      </c>
    </row>
    <row r="15" spans="1:15" ht="15" customHeight="1" x14ac:dyDescent="0.3">
      <c r="A15" s="341"/>
      <c r="B15" s="35" t="s">
        <v>30</v>
      </c>
      <c r="C15" s="37" t="s">
        <v>612</v>
      </c>
      <c r="D15" s="343"/>
      <c r="E15" s="103"/>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200" t="s">
        <v>1079</v>
      </c>
      <c r="K15" s="200" t="s">
        <v>1088</v>
      </c>
      <c r="L15" s="3" t="str">
        <f ca="1">IF(VLOOKUP("EXT_FUSE_PULL_SUPP", INDIRECT(Config!$B$1),HLOOKUP(D$1,INDIRECT(Config!$E$1),2,FALSE),FALSE)=1, IF(G15&gt;0,CONCATENATE("CSME_HW_FW_Config_fuses[",G15-1+G14,":",G14,"]"), ""), "")</f>
        <v/>
      </c>
      <c r="M15" s="344"/>
      <c r="N15" s="324"/>
      <c r="O15" s="328"/>
    </row>
    <row r="16" spans="1:15" ht="15" customHeight="1" x14ac:dyDescent="0.3">
      <c r="A16" s="341"/>
      <c r="B16" s="35" t="s">
        <v>31</v>
      </c>
      <c r="C16" s="37" t="s">
        <v>612</v>
      </c>
      <c r="D16" s="343"/>
      <c r="E16" s="103"/>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200" t="s">
        <v>1082</v>
      </c>
      <c r="K16" s="200" t="s">
        <v>1082</v>
      </c>
      <c r="L16" s="3" t="str">
        <f ca="1">IF(VLOOKUP("EXT_FUSE_PULL_SUPP", INDIRECT(Config!$B$1),HLOOKUP(D$1,INDIRECT(Config!$E$1),2,FALSE),FALSE)=1, IF(G16&gt;0,CONCATENATE("CSME_HW_FW_Config_fuses[",G16-1+G15+G14,":",G15+G14,"]"), ""), "")</f>
        <v/>
      </c>
      <c r="M16" s="344"/>
      <c r="N16" s="324"/>
      <c r="O16" s="328"/>
    </row>
    <row r="17" spans="1:15" x14ac:dyDescent="0.3">
      <c r="A17" s="341"/>
      <c r="B17" s="35" t="s">
        <v>32</v>
      </c>
      <c r="C17" s="37" t="s">
        <v>612</v>
      </c>
      <c r="D17" s="343"/>
      <c r="E17" s="103"/>
      <c r="F17" s="68" t="s">
        <v>26</v>
      </c>
      <c r="G17" s="39">
        <f ca="1">IF($C17="No Param",32,VLOOKUP($C17,INDIRECT(Config!$B$1),HLOOKUP(D$1,INDIRECT(Config!$E$1),2,FALSE),FALSE)*32)</f>
        <v>32</v>
      </c>
      <c r="H17" s="16" t="str">
        <f ca="1">CONCATENATE("0x",DEC2HEX(HEX2DEC(SUBSTITUTE(H16,"0x",""))+G16/8))</f>
        <v>0x200C</v>
      </c>
      <c r="I17" s="16" t="s">
        <v>33</v>
      </c>
      <c r="J17" s="200" t="s">
        <v>1081</v>
      </c>
      <c r="K17" s="200" t="s">
        <v>1077</v>
      </c>
      <c r="L17" s="3" t="str">
        <f ca="1">IF(VLOOKUP("EXT_FUSE_PULL_SUPP", INDIRECT(Config!$B$1),HLOOKUP(D$1,INDIRECT(Config!$E$1),2,FALSE),FALSE)=1, IF(G17&gt;0,CONCATENATE("CSME_HW_FW_Config_fuses[",G17-1+G16+G15+G14,":",G16+G15+G14,"]"), ""), "")</f>
        <v/>
      </c>
      <c r="M17" s="344"/>
      <c r="N17" s="324"/>
      <c r="O17" s="328"/>
    </row>
    <row r="18" spans="1:15" x14ac:dyDescent="0.3">
      <c r="A18" s="341"/>
      <c r="B18" s="35" t="s">
        <v>34</v>
      </c>
      <c r="C18" s="35" t="s">
        <v>253</v>
      </c>
      <c r="D18" s="343"/>
      <c r="E18" s="103"/>
      <c r="F18" s="68" t="s">
        <v>26</v>
      </c>
      <c r="G18" s="39">
        <f ca="1">IF($C18="No Param",32,VLOOKUP($C18,INDIRECT(Config!$B$1),HLOOKUP(D$1,INDIRECT(Config!$E$1),2,FALSE),FALSE)*32)</f>
        <v>32</v>
      </c>
      <c r="H18" s="16" t="str">
        <f ca="1">IF(G18=0, "N/A", CONCATENATE("0x",DEC2HEX(HEX2DEC(SUBSTITUTE(H17,"0x",""))+G17/8)))</f>
        <v>0x2010</v>
      </c>
      <c r="I18" s="16" t="s">
        <v>35</v>
      </c>
      <c r="J18" s="200" t="s">
        <v>387</v>
      </c>
      <c r="K18" s="200" t="str">
        <f ca="1">IF(G18=0,"N/A","0x00000000")</f>
        <v>0x00000000</v>
      </c>
      <c r="L18" s="3" t="str">
        <f ca="1">IF(VLOOKUP("EXT_FUSE_PULL_SUPP", INDIRECT(Config!$B$1),HLOOKUP(D$1,INDIRECT(Config!$E$1),2,FALSE),FALSE)=1, IF(G18&gt;0,CONCATENATE("CSME_HW_FW_Config_fusess[",G18-1+G17+G16+G15+G14,":",G17+G16+G15+G14,"]"), ""), "")</f>
        <v/>
      </c>
      <c r="M18" s="344"/>
      <c r="N18" s="324"/>
      <c r="O18" s="328"/>
    </row>
    <row r="19" spans="1:15" x14ac:dyDescent="0.3">
      <c r="A19" s="341"/>
      <c r="B19" s="35" t="s">
        <v>36</v>
      </c>
      <c r="C19" s="73" t="s">
        <v>214</v>
      </c>
      <c r="D19" s="343"/>
      <c r="E19" s="103"/>
      <c r="F19" s="68" t="s">
        <v>26</v>
      </c>
      <c r="G19" s="39">
        <f ca="1">IF($C19="No Param",32,VLOOKUP($C19,INDIRECT(Config!$B$1),HLOOKUP(D$1,INDIRECT(Config!$E$1),2,FALSE),FALSE)*32)</f>
        <v>0</v>
      </c>
      <c r="H19" s="16" t="str">
        <f ca="1">IF(G19=0, "N/A", CONCATENATE("0x",DEC2HEX(HEX2DEC(SUBSTITUTE(H18,"0x",""))+G18/8)))</f>
        <v>N/A</v>
      </c>
      <c r="I19" s="16" t="s">
        <v>37</v>
      </c>
      <c r="J19" s="200" t="s">
        <v>387</v>
      </c>
      <c r="K19" s="200" t="s">
        <v>387</v>
      </c>
      <c r="L19" s="3" t="str">
        <f ca="1">IF(VLOOKUP("EXT_FUSE_PULL_SUPP", INDIRECT(Config!$B$1),HLOOKUP(D$1,INDIRECT(Config!$E$1),2,FALSE),FALSE)=1, IF(G19&gt;0,CONCATENATE("CSME_HW_FW_Config_fusess[",G19-1+G18+G17+G16+G15+G14,":",G18+G17+G16+G15+G14,"]"), ""), "")</f>
        <v/>
      </c>
      <c r="M19" s="344"/>
      <c r="N19" s="324"/>
      <c r="O19" s="328"/>
    </row>
    <row r="20" spans="1:15" x14ac:dyDescent="0.3">
      <c r="A20" s="341"/>
      <c r="B20" s="73" t="s">
        <v>246</v>
      </c>
      <c r="C20" s="73" t="s">
        <v>205</v>
      </c>
      <c r="D20" s="343"/>
      <c r="E20" s="103"/>
      <c r="F20" s="68" t="s">
        <v>26</v>
      </c>
      <c r="G20" s="39">
        <f ca="1">IF($C20="No Param",32,VLOOKUP($C20,INDIRECT(Config!$B$1),HLOOKUP(D$1,INDIRECT(Config!$E$1),2,FALSE),FALSE)*32)</f>
        <v>0</v>
      </c>
      <c r="H20" s="16" t="str">
        <f ca="1">IF(G20=0, "N/A", CONCATENATE("0x",DEC2HEX(HEX2DEC(SUBSTITUTE(H18,"0x",""))+(G18+G19)/8)))</f>
        <v>N/A</v>
      </c>
      <c r="I20" s="7" t="s">
        <v>378</v>
      </c>
      <c r="J20" s="201" t="s">
        <v>387</v>
      </c>
      <c r="K20" s="200" t="s">
        <v>387</v>
      </c>
      <c r="L20" s="3" t="str">
        <f ca="1">IF(VLOOKUP("EXT_FUSE_PULL_SUPP", INDIRECT(Config!$B$1),HLOOKUP(D$1,INDIRECT(Config!$E$1),2,FALSE),FALSE)=1, IF(G20&gt;0,CONCATENATE("CSME_HW_FW_Config_fusess[",G20-1+G19+G18+G17+G16+G15+G14,":",G19+G18+G17+G16+G15+G14,"]"), ""), "")</f>
        <v/>
      </c>
      <c r="M20" s="344"/>
      <c r="N20" s="324"/>
      <c r="O20" s="328"/>
    </row>
    <row r="21" spans="1:15" x14ac:dyDescent="0.3">
      <c r="A21" s="341"/>
      <c r="B21" s="73" t="s">
        <v>250</v>
      </c>
      <c r="C21" s="73" t="s">
        <v>390</v>
      </c>
      <c r="D21" s="343"/>
      <c r="E21" s="103"/>
      <c r="F21" s="68" t="s">
        <v>26</v>
      </c>
      <c r="G21" s="39">
        <f ca="1">IF($C21="No Param",32,VLOOKUP($C21,INDIRECT(Config!$B$1),HLOOKUP(D$1,INDIRECT(Config!$E$1),2,FALSE),FALSE)*32)</f>
        <v>0</v>
      </c>
      <c r="H21" s="16" t="str">
        <f ca="1">IF(G21=0, "N/A", CONCATENATE("0x",DEC2HEX(HEX2DEC(SUBSTITUTE(H18,"0x",""))+(G18+G19+G20)/8)))</f>
        <v>N/A</v>
      </c>
      <c r="I21" s="7" t="s">
        <v>379</v>
      </c>
      <c r="J21" s="201" t="s">
        <v>48</v>
      </c>
      <c r="K21" s="200" t="s">
        <v>387</v>
      </c>
      <c r="L21" s="3" t="str">
        <f ca="1">IF(VLOOKUP("EXT_FUSE_PULL_SUPP", INDIRECT(Config!$B$1),HLOOKUP(D$1,INDIRECT(Config!$E$1),2,FALSE),FALSE)=1, IF(G21&gt;0,CONCATENATE("CSME_HW_FW_Config_fusess[",G21-1+G20+G19+G18+G17+G16+G15+G14,":",G20+G19+G18+G17+G16+G15+G14,"]"), ""), "")</f>
        <v/>
      </c>
      <c r="M21" s="344"/>
      <c r="N21" s="324"/>
      <c r="O21" s="328"/>
    </row>
    <row r="22" spans="1:15" x14ac:dyDescent="0.3">
      <c r="A22" s="341"/>
      <c r="B22" s="73" t="s">
        <v>251</v>
      </c>
      <c r="C22" s="73" t="s">
        <v>390</v>
      </c>
      <c r="D22" s="343"/>
      <c r="E22" s="103"/>
      <c r="F22" s="68" t="s">
        <v>26</v>
      </c>
      <c r="G22" s="39">
        <f ca="1">IF($C22="No Param",32,VLOOKUP($C22,INDIRECT(Config!$B$1),HLOOKUP(D$1,INDIRECT(Config!$E$1),2,FALSE),FALSE)*32)</f>
        <v>0</v>
      </c>
      <c r="H22" s="16" t="str">
        <f ca="1">IF(G22=0, "N/A", CONCATENATE("0x",DEC2HEX(HEX2DEC(SUBSTITUTE(H18,"0x",""))+(G18+G19+G20+G21)/8)))</f>
        <v>N/A</v>
      </c>
      <c r="I22" s="7" t="s">
        <v>380</v>
      </c>
      <c r="J22" s="201" t="s">
        <v>48</v>
      </c>
      <c r="K22" s="200" t="s">
        <v>387</v>
      </c>
      <c r="L22" s="3" t="str">
        <f ca="1">IF(VLOOKUP("EXT_FUSE_PULL_SUPP", INDIRECT(Config!$B$1),HLOOKUP(D$1,INDIRECT(Config!$E$1),2,FALSE),FALSE)=1, IF(G22&gt;0,CONCATENATE("CSME_HW_FW_Config_fusess[",G22-1+G21+G20+G19+G18+G17+G16+G15+G14,":",G21+G20+G19+G18+G17+G16+G15+G14,"]"), ""), "")</f>
        <v/>
      </c>
      <c r="M22" s="344"/>
      <c r="N22" s="324"/>
      <c r="O22" s="328"/>
    </row>
    <row r="23" spans="1:15" x14ac:dyDescent="0.3">
      <c r="A23" s="341"/>
      <c r="B23" s="73" t="s">
        <v>252</v>
      </c>
      <c r="C23" s="73" t="s">
        <v>390</v>
      </c>
      <c r="D23" s="343"/>
      <c r="E23" s="103"/>
      <c r="F23" s="68" t="s">
        <v>26</v>
      </c>
      <c r="G23" s="39">
        <f ca="1">IF($C23="No Param",32,VLOOKUP($C23,INDIRECT(Config!$B$1),HLOOKUP(D$1,INDIRECT(Config!$E$1),2,FALSE),FALSE)*32)</f>
        <v>0</v>
      </c>
      <c r="H23" s="16" t="str">
        <f ca="1">IF(G23=0, "N/A", CONCATENATE("0x",DEC2HEX(HEX2DEC(SUBSTITUTE(H18,"0x",""))+(G18+G19+G20+G21+G22)/8)))</f>
        <v>N/A</v>
      </c>
      <c r="I23" s="7" t="s">
        <v>381</v>
      </c>
      <c r="J23" s="201" t="s">
        <v>48</v>
      </c>
      <c r="K23" s="200" t="s">
        <v>387</v>
      </c>
      <c r="L23" s="3" t="str">
        <f ca="1">IF(VLOOKUP("EXT_FUSE_PULL_SUPP", INDIRECT(Config!$B$1),HLOOKUP(D$1,INDIRECT(Config!$E$1),2,FALSE),FALSE)=1, IF(G23&gt;0,CONCATENATE("CSME_HW_FW_Config_fusess[",G23-1+G22+G21+G20+G19+G18+G17+G16+G15+G14,":",G22+G21+G20+G19+G18+G17+G16+G15+G14,"]"), ""), "")</f>
        <v/>
      </c>
      <c r="M23" s="344"/>
      <c r="N23" s="324"/>
      <c r="O23" s="328"/>
    </row>
    <row r="24" spans="1:15" x14ac:dyDescent="0.3">
      <c r="A24" s="341"/>
      <c r="B24" s="35" t="s">
        <v>38</v>
      </c>
      <c r="C24" s="37" t="s">
        <v>612</v>
      </c>
      <c r="D24" s="343"/>
      <c r="E24" s="103"/>
      <c r="F24" s="68" t="s">
        <v>26</v>
      </c>
      <c r="G24" s="39">
        <f ca="1">IF($C24="No Param",32,VLOOKUP($C24,INDIRECT(Config!$B$1),HLOOKUP(D$1,INDIRECT(Config!$E$1),2,FALSE),FALSE)*32)</f>
        <v>32</v>
      </c>
      <c r="H24" s="16" t="s">
        <v>39</v>
      </c>
      <c r="I24" s="16" t="s">
        <v>40</v>
      </c>
      <c r="J24" s="200" t="s">
        <v>48</v>
      </c>
      <c r="K24" s="202" t="s">
        <v>1083</v>
      </c>
      <c r="L24" s="3" t="str">
        <f ca="1">IF(VLOOKUP("EXT_FUSE_PULL_SUPP", INDIRECT(Config!$B$1),HLOOKUP(D$1,INDIRECT(Config!$E$1),2,FALSE),FALSE)=1, IF(G24&gt;0,CONCATENATE("CSME_HW_FW_INT_CHK[",G24-1,":0]"),""), "")</f>
        <v/>
      </c>
      <c r="M24" s="344"/>
      <c r="N24" s="324"/>
      <c r="O24" s="328"/>
    </row>
    <row r="25" spans="1:15" x14ac:dyDescent="0.3">
      <c r="A25" s="340" t="s">
        <v>41</v>
      </c>
      <c r="B25" s="35" t="s">
        <v>42</v>
      </c>
      <c r="C25" s="35" t="s">
        <v>613</v>
      </c>
      <c r="D25" s="343" t="s">
        <v>43</v>
      </c>
      <c r="E25" s="122"/>
      <c r="F25" s="68" t="s">
        <v>44</v>
      </c>
      <c r="G25" s="39">
        <f ca="1">IF($C25="No Param",32,VLOOKUP($C25,INDIRECT(Config!$B$1),HLOOKUP(D$1,INDIRECT(Config!$E$1),2,FALSE),FALSE)*32)</f>
        <v>32</v>
      </c>
      <c r="H25" s="16" t="str">
        <f ca="1">IF(G25=0,"N/A","0x8000")</f>
        <v>0x8000</v>
      </c>
      <c r="I25" s="16" t="s">
        <v>45</v>
      </c>
      <c r="J25" s="200" t="s">
        <v>48</v>
      </c>
      <c r="K25" s="200" t="s">
        <v>387</v>
      </c>
      <c r="L25" s="3"/>
      <c r="M25" s="344" t="s">
        <v>370</v>
      </c>
      <c r="N25" s="324"/>
      <c r="O25" s="328">
        <f ca="1">(G25+G26)</f>
        <v>64</v>
      </c>
    </row>
    <row r="26" spans="1:15" ht="15" thickBot="1" x14ac:dyDescent="0.35">
      <c r="A26" s="345"/>
      <c r="B26" s="74" t="s">
        <v>46</v>
      </c>
      <c r="C26" s="74" t="s">
        <v>614</v>
      </c>
      <c r="D26" s="346"/>
      <c r="E26" s="123"/>
      <c r="F26" s="76" t="s">
        <v>44</v>
      </c>
      <c r="G26" s="75">
        <f ca="1">IF($C26="No Param",32,VLOOKUP($C26,INDIRECT(Config!$B$1),HLOOKUP(D$1,INDIRECT(Config!$E$1),2,FALSE),FALSE)*32)</f>
        <v>32</v>
      </c>
      <c r="H26" s="26" t="str">
        <f ca="1">IF(G26=0,"N/A","0x8004")</f>
        <v>0x8004</v>
      </c>
      <c r="I26" s="26" t="s">
        <v>47</v>
      </c>
      <c r="J26" s="203" t="s">
        <v>48</v>
      </c>
      <c r="K26" s="203" t="s">
        <v>387</v>
      </c>
      <c r="L26" s="237"/>
      <c r="M26" s="325"/>
      <c r="N26" s="325"/>
      <c r="O26" s="329"/>
    </row>
    <row r="27" spans="1:15" ht="15" thickBot="1" x14ac:dyDescent="0.35">
      <c r="A27" s="104"/>
    </row>
    <row r="28" spans="1:15" x14ac:dyDescent="0.3">
      <c r="A28" s="342" t="s">
        <v>49</v>
      </c>
      <c r="B28" s="80" t="s">
        <v>617</v>
      </c>
      <c r="C28" s="80" t="s">
        <v>617</v>
      </c>
      <c r="D28" s="80"/>
      <c r="E28" s="107" t="str">
        <f>Group0!L3</f>
        <v>This field is reserved for FW usage</v>
      </c>
      <c r="F28" s="90" t="s">
        <v>50</v>
      </c>
      <c r="G28" s="91">
        <f ca="1">IF($C28="No Param",32,VLOOKUP($C28,INDIRECT(Config!$B$1),HLOOKUP(D$1,INDIRECT(Config!$E$1),2,FALSE),FALSE))</f>
        <v>512</v>
      </c>
      <c r="H28" s="82" t="s">
        <v>51</v>
      </c>
      <c r="I28" s="112" t="s">
        <v>623</v>
      </c>
      <c r="J28" s="112" t="s">
        <v>387</v>
      </c>
      <c r="K28" s="112" t="s">
        <v>387</v>
      </c>
      <c r="L28" s="112"/>
      <c r="M28" s="113" t="s">
        <v>48</v>
      </c>
      <c r="N28" s="326" t="s">
        <v>48</v>
      </c>
      <c r="O28" s="327">
        <f ca="1">SUM(G28:G42)</f>
        <v>576</v>
      </c>
    </row>
    <row r="29" spans="1:15" ht="15" customHeight="1" x14ac:dyDescent="0.3">
      <c r="A29" s="343"/>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344" t="s">
        <v>369</v>
      </c>
      <c r="N29" s="324"/>
      <c r="O29" s="328"/>
    </row>
    <row r="30" spans="1:15" x14ac:dyDescent="0.3">
      <c r="A30" s="343"/>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344"/>
      <c r="N30" s="324"/>
      <c r="O30" s="328"/>
    </row>
    <row r="31" spans="1:15" x14ac:dyDescent="0.3">
      <c r="A31" s="343"/>
      <c r="B31" s="35" t="s">
        <v>359</v>
      </c>
      <c r="C31" s="16" t="s">
        <v>360</v>
      </c>
      <c r="D31" s="35" t="s">
        <v>550</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344"/>
      <c r="N31" s="324"/>
      <c r="O31" s="328"/>
    </row>
    <row r="32" spans="1:15" x14ac:dyDescent="0.3">
      <c r="A32" s="343"/>
      <c r="B32" s="84" t="s">
        <v>616</v>
      </c>
      <c r="C32" s="84" t="s">
        <v>668</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324"/>
      <c r="O32" s="328"/>
    </row>
    <row r="33" spans="1:15" x14ac:dyDescent="0.3">
      <c r="A33" s="343"/>
      <c r="B33" s="84" t="s">
        <v>618</v>
      </c>
      <c r="C33" s="84" t="s">
        <v>618</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324"/>
      <c r="O33" s="328"/>
    </row>
    <row r="34" spans="1:15" ht="15" customHeight="1" x14ac:dyDescent="0.3">
      <c r="A34" s="343"/>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344" t="s">
        <v>369</v>
      </c>
      <c r="N34" s="324"/>
      <c r="O34" s="328"/>
    </row>
    <row r="35" spans="1:15" x14ac:dyDescent="0.3">
      <c r="A35" s="343"/>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344"/>
      <c r="N35" s="324"/>
      <c r="O35" s="328"/>
    </row>
    <row r="36" spans="1:15" x14ac:dyDescent="0.3">
      <c r="A36" s="343"/>
      <c r="B36" s="35" t="s">
        <v>362</v>
      </c>
      <c r="C36" s="16" t="s">
        <v>363</v>
      </c>
      <c r="D36" s="35" t="s">
        <v>550</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344"/>
      <c r="N36" s="324"/>
      <c r="O36" s="328"/>
    </row>
    <row r="37" spans="1:15" x14ac:dyDescent="0.3">
      <c r="A37" s="343"/>
      <c r="B37" s="84" t="s">
        <v>619</v>
      </c>
      <c r="C37" s="84" t="s">
        <v>668</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324"/>
      <c r="O37" s="328"/>
    </row>
    <row r="38" spans="1:15" x14ac:dyDescent="0.3">
      <c r="A38" s="343"/>
      <c r="B38" s="84" t="s">
        <v>620</v>
      </c>
      <c r="C38" s="84" t="s">
        <v>620</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324"/>
      <c r="O38" s="328"/>
    </row>
    <row r="39" spans="1:15" ht="15" customHeight="1" x14ac:dyDescent="0.3">
      <c r="A39" s="343"/>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344" t="s">
        <v>369</v>
      </c>
      <c r="N39" s="324"/>
      <c r="O39" s="328"/>
    </row>
    <row r="40" spans="1:15" x14ac:dyDescent="0.3">
      <c r="A40" s="343"/>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344"/>
      <c r="N40" s="324"/>
      <c r="O40" s="328"/>
    </row>
    <row r="41" spans="1:15" x14ac:dyDescent="0.3">
      <c r="A41" s="343"/>
      <c r="B41" s="35" t="s">
        <v>365</v>
      </c>
      <c r="C41" s="16" t="s">
        <v>363</v>
      </c>
      <c r="D41" s="35" t="s">
        <v>550</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344"/>
      <c r="N41" s="324"/>
      <c r="O41" s="328"/>
    </row>
    <row r="42" spans="1:15" ht="15" thickBot="1" x14ac:dyDescent="0.35">
      <c r="A42" s="346"/>
      <c r="B42" s="87" t="s">
        <v>621</v>
      </c>
      <c r="C42" s="87" t="s">
        <v>668</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325"/>
      <c r="O42" s="329"/>
    </row>
    <row r="43" spans="1:15" ht="15" customHeight="1" x14ac:dyDescent="0.3"/>
    <row r="44" spans="1:15" ht="15" customHeight="1" x14ac:dyDescent="0.3"/>
    <row r="45" spans="1:15" ht="15" customHeight="1" x14ac:dyDescent="0.3"/>
    <row r="46" spans="1:15" ht="15" customHeight="1" x14ac:dyDescent="0.3"/>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J28">
    <cfRule type="cellIs" dxfId="548" priority="297" operator="equal">
      <formula>0</formula>
    </cfRule>
  </conditionalFormatting>
  <conditionalFormatting sqref="G34">
    <cfRule type="cellIs" dxfId="547" priority="296" operator="equal">
      <formula>0</formula>
    </cfRule>
  </conditionalFormatting>
  <conditionalFormatting sqref="G36">
    <cfRule type="cellIs" dxfId="546" priority="295" operator="equal">
      <formula>0</formula>
    </cfRule>
  </conditionalFormatting>
  <conditionalFormatting sqref="G14:G26">
    <cfRule type="cellIs" dxfId="545" priority="294" operator="equal">
      <formula>0</formula>
    </cfRule>
  </conditionalFormatting>
  <conditionalFormatting sqref="G29">
    <cfRule type="cellIs" dxfId="544" priority="267" operator="equal">
      <formula>0</formula>
    </cfRule>
  </conditionalFormatting>
  <conditionalFormatting sqref="G32">
    <cfRule type="cellIs" dxfId="543" priority="273" operator="equal">
      <formula>0</formula>
    </cfRule>
  </conditionalFormatting>
  <conditionalFormatting sqref="G33">
    <cfRule type="cellIs" dxfId="542" priority="272" operator="equal">
      <formula>0</formula>
    </cfRule>
  </conditionalFormatting>
  <conditionalFormatting sqref="G28">
    <cfRule type="cellIs" dxfId="541" priority="274" operator="equal">
      <formula>0</formula>
    </cfRule>
  </conditionalFormatting>
  <conditionalFormatting sqref="G38">
    <cfRule type="cellIs" dxfId="540" priority="270" operator="equal">
      <formula>0</formula>
    </cfRule>
  </conditionalFormatting>
  <conditionalFormatting sqref="G35">
    <cfRule type="cellIs" dxfId="539" priority="268" operator="equal">
      <formula>0</formula>
    </cfRule>
  </conditionalFormatting>
  <conditionalFormatting sqref="G31">
    <cfRule type="cellIs" dxfId="538" priority="266" operator="equal">
      <formula>0</formula>
    </cfRule>
  </conditionalFormatting>
  <conditionalFormatting sqref="G30">
    <cfRule type="cellIs" dxfId="537" priority="265" operator="equal">
      <formula>0</formula>
    </cfRule>
  </conditionalFormatting>
  <conditionalFormatting sqref="G39">
    <cfRule type="cellIs" dxfId="536" priority="264" operator="equal">
      <formula>0</formula>
    </cfRule>
  </conditionalFormatting>
  <conditionalFormatting sqref="G41">
    <cfRule type="cellIs" dxfId="535" priority="263" operator="equal">
      <formula>0</formula>
    </cfRule>
  </conditionalFormatting>
  <conditionalFormatting sqref="G40">
    <cfRule type="cellIs" dxfId="534" priority="262" operator="equal">
      <formula>0</formula>
    </cfRule>
  </conditionalFormatting>
  <conditionalFormatting sqref="L32">
    <cfRule type="cellIs" dxfId="533" priority="234" operator="equal">
      <formula>0</formula>
    </cfRule>
  </conditionalFormatting>
  <conditionalFormatting sqref="L31">
    <cfRule type="cellIs" dxfId="532" priority="233" operator="equal">
      <formula>0</formula>
    </cfRule>
  </conditionalFormatting>
  <conditionalFormatting sqref="L30">
    <cfRule type="cellIs" dxfId="531" priority="232" operator="equal">
      <formula>0</formula>
    </cfRule>
  </conditionalFormatting>
  <conditionalFormatting sqref="L29">
    <cfRule type="cellIs" dxfId="530" priority="231" operator="equal">
      <formula>0</formula>
    </cfRule>
  </conditionalFormatting>
  <conditionalFormatting sqref="L37">
    <cfRule type="cellIs" dxfId="529" priority="230" operator="equal">
      <formula>0</formula>
    </cfRule>
  </conditionalFormatting>
  <conditionalFormatting sqref="L36">
    <cfRule type="cellIs" dxfId="528" priority="229" operator="equal">
      <formula>0</formula>
    </cfRule>
  </conditionalFormatting>
  <conditionalFormatting sqref="L35">
    <cfRule type="cellIs" dxfId="527" priority="228" operator="equal">
      <formula>0</formula>
    </cfRule>
  </conditionalFormatting>
  <conditionalFormatting sqref="L34">
    <cfRule type="cellIs" dxfId="526" priority="227" operator="equal">
      <formula>0</formula>
    </cfRule>
  </conditionalFormatting>
  <conditionalFormatting sqref="L42">
    <cfRule type="cellIs" dxfId="525" priority="226" operator="equal">
      <formula>0</formula>
    </cfRule>
  </conditionalFormatting>
  <conditionalFormatting sqref="L41">
    <cfRule type="cellIs" dxfId="524" priority="225" operator="equal">
      <formula>0</formula>
    </cfRule>
  </conditionalFormatting>
  <conditionalFormatting sqref="L40">
    <cfRule type="cellIs" dxfId="523" priority="224" operator="equal">
      <formula>0</formula>
    </cfRule>
  </conditionalFormatting>
  <conditionalFormatting sqref="L39">
    <cfRule type="cellIs" dxfId="522" priority="223" operator="equal">
      <formula>0</formula>
    </cfRule>
  </conditionalFormatting>
  <conditionalFormatting sqref="G37">
    <cfRule type="cellIs" dxfId="521" priority="200" operator="equal">
      <formula>0</formula>
    </cfRule>
  </conditionalFormatting>
  <conditionalFormatting sqref="G42">
    <cfRule type="cellIs" dxfId="520" priority="198" operator="equal">
      <formula>0</formula>
    </cfRule>
  </conditionalFormatting>
  <conditionalFormatting sqref="C5">
    <cfRule type="cellIs" dxfId="519" priority="184" operator="equal">
      <formula>0</formula>
    </cfRule>
  </conditionalFormatting>
  <conditionalFormatting sqref="C3">
    <cfRule type="cellIs" dxfId="518" priority="186" operator="equal">
      <formula>0</formula>
    </cfRule>
  </conditionalFormatting>
  <conditionalFormatting sqref="C4">
    <cfRule type="cellIs" dxfId="517" priority="185" operator="equal">
      <formula>0</formula>
    </cfRule>
  </conditionalFormatting>
  <conditionalFormatting sqref="B3 D3">
    <cfRule type="cellIs" dxfId="516" priority="197" operator="equal">
      <formula>0</formula>
    </cfRule>
  </conditionalFormatting>
  <conditionalFormatting sqref="B4 D4">
    <cfRule type="cellIs" dxfId="515" priority="196" operator="equal">
      <formula>0</formula>
    </cfRule>
  </conditionalFormatting>
  <conditionalFormatting sqref="B5 D5">
    <cfRule type="cellIs" dxfId="514" priority="195" operator="equal">
      <formula>0</formula>
    </cfRule>
  </conditionalFormatting>
  <conditionalFormatting sqref="B7">
    <cfRule type="cellIs" dxfId="513" priority="194" operator="equal">
      <formula>0</formula>
    </cfRule>
  </conditionalFormatting>
  <conditionalFormatting sqref="B8 D8">
    <cfRule type="cellIs" priority="193" operator="equal">
      <formula>0</formula>
    </cfRule>
  </conditionalFormatting>
  <conditionalFormatting sqref="B9 D9">
    <cfRule type="cellIs" dxfId="512" priority="192" operator="equal">
      <formula>0</formula>
    </cfRule>
  </conditionalFormatting>
  <conditionalFormatting sqref="B10 D10">
    <cfRule type="cellIs" dxfId="511" priority="190" operator="equal">
      <formula>0</formula>
    </cfRule>
    <cfRule type="cellIs" dxfId="510" priority="191" operator="equal">
      <formula>0</formula>
    </cfRule>
  </conditionalFormatting>
  <conditionalFormatting sqref="B6 D6">
    <cfRule type="cellIs" dxfId="509" priority="188" operator="equal">
      <formula>0</formula>
    </cfRule>
  </conditionalFormatting>
  <conditionalFormatting sqref="D7">
    <cfRule type="cellIs" dxfId="508" priority="187" operator="equal">
      <formula>0</formula>
    </cfRule>
  </conditionalFormatting>
  <conditionalFormatting sqref="C7">
    <cfRule type="cellIs" dxfId="507" priority="183" operator="equal">
      <formula>0</formula>
    </cfRule>
  </conditionalFormatting>
  <conditionalFormatting sqref="C8">
    <cfRule type="cellIs" priority="182" operator="equal">
      <formula>0</formula>
    </cfRule>
  </conditionalFormatting>
  <conditionalFormatting sqref="C9">
    <cfRule type="cellIs" dxfId="506" priority="181" operator="equal">
      <formula>0</formula>
    </cfRule>
  </conditionalFormatting>
  <conditionalFormatting sqref="C10">
    <cfRule type="cellIs" dxfId="505" priority="179" operator="equal">
      <formula>0</formula>
    </cfRule>
    <cfRule type="cellIs" dxfId="504" priority="180" operator="equal">
      <formula>0</formula>
    </cfRule>
  </conditionalFormatting>
  <conditionalFormatting sqref="C6">
    <cfRule type="cellIs" dxfId="503" priority="178" operator="equal">
      <formula>0</formula>
    </cfRule>
  </conditionalFormatting>
  <conditionalFormatting sqref="E10">
    <cfRule type="cellIs" priority="137" operator="equal">
      <formula>0</formula>
    </cfRule>
  </conditionalFormatting>
  <conditionalFormatting sqref="E3">
    <cfRule type="cellIs" dxfId="502" priority="152" operator="equal">
      <formula>0</formula>
    </cfRule>
  </conditionalFormatting>
  <conditionalFormatting sqref="E3">
    <cfRule type="cellIs" priority="151" operator="equal">
      <formula>0</formula>
    </cfRule>
  </conditionalFormatting>
  <conditionalFormatting sqref="E5">
    <cfRule type="cellIs" dxfId="501" priority="148" operator="equal">
      <formula>0</formula>
    </cfRule>
  </conditionalFormatting>
  <conditionalFormatting sqref="E5">
    <cfRule type="cellIs" priority="147" operator="equal">
      <formula>0</formula>
    </cfRule>
  </conditionalFormatting>
  <conditionalFormatting sqref="E7">
    <cfRule type="cellIs" dxfId="500" priority="144" operator="equal">
      <formula>0</formula>
    </cfRule>
  </conditionalFormatting>
  <conditionalFormatting sqref="E7">
    <cfRule type="cellIs" priority="143" operator="equal">
      <formula>0</formula>
    </cfRule>
  </conditionalFormatting>
  <conditionalFormatting sqref="E9">
    <cfRule type="cellIs" dxfId="499" priority="140" operator="equal">
      <formula>0</formula>
    </cfRule>
  </conditionalFormatting>
  <conditionalFormatting sqref="E9">
    <cfRule type="cellIs" priority="139" operator="equal">
      <formula>0</formula>
    </cfRule>
  </conditionalFormatting>
  <conditionalFormatting sqref="E4">
    <cfRule type="cellIs" dxfId="498" priority="150" operator="equal">
      <formula>0</formula>
    </cfRule>
  </conditionalFormatting>
  <conditionalFormatting sqref="E4">
    <cfRule type="cellIs" priority="149" operator="equal">
      <formula>0</formula>
    </cfRule>
  </conditionalFormatting>
  <conditionalFormatting sqref="E6">
    <cfRule type="cellIs" dxfId="497" priority="146" operator="equal">
      <formula>0</formula>
    </cfRule>
  </conditionalFormatting>
  <conditionalFormatting sqref="E6">
    <cfRule type="cellIs" priority="145" operator="equal">
      <formula>0</formula>
    </cfRule>
  </conditionalFormatting>
  <conditionalFormatting sqref="E8">
    <cfRule type="cellIs" dxfId="496" priority="142" operator="equal">
      <formula>0</formula>
    </cfRule>
  </conditionalFormatting>
  <conditionalFormatting sqref="E8">
    <cfRule type="cellIs" priority="141" operator="equal">
      <formula>0</formula>
    </cfRule>
  </conditionalFormatting>
  <conditionalFormatting sqref="E10">
    <cfRule type="cellIs" dxfId="495" priority="138" operator="equal">
      <formula>0</formula>
    </cfRule>
  </conditionalFormatting>
  <conditionalFormatting sqref="G4:G10">
    <cfRule type="cellIs" dxfId="494" priority="128" operator="equal">
      <formula>0</formula>
    </cfRule>
  </conditionalFormatting>
  <conditionalFormatting sqref="F6">
    <cfRule type="cellIs" dxfId="493" priority="119" operator="equal">
      <formula>0</formula>
    </cfRule>
  </conditionalFormatting>
  <conditionalFormatting sqref="F3">
    <cfRule type="cellIs" dxfId="492" priority="127" operator="equal">
      <formula>0</formula>
    </cfRule>
  </conditionalFormatting>
  <conditionalFormatting sqref="F4">
    <cfRule type="cellIs" dxfId="491" priority="126" operator="equal">
      <formula>0</formula>
    </cfRule>
  </conditionalFormatting>
  <conditionalFormatting sqref="F5">
    <cfRule type="cellIs" dxfId="490" priority="125" operator="equal">
      <formula>0</formula>
    </cfRule>
  </conditionalFormatting>
  <conditionalFormatting sqref="F7">
    <cfRule type="cellIs" dxfId="489" priority="124" operator="equal">
      <formula>0</formula>
    </cfRule>
  </conditionalFormatting>
  <conditionalFormatting sqref="F9">
    <cfRule type="cellIs" dxfId="488" priority="122" operator="equal">
      <formula>0</formula>
    </cfRule>
  </conditionalFormatting>
  <conditionalFormatting sqref="G3:I3">
    <cfRule type="cellIs" dxfId="487" priority="118" operator="equal">
      <formula>0</formula>
    </cfRule>
  </conditionalFormatting>
  <conditionalFormatting sqref="F8 H9:H10">
    <cfRule type="cellIs" priority="123" operator="equal">
      <formula>0</formula>
    </cfRule>
  </conditionalFormatting>
  <conditionalFormatting sqref="F10">
    <cfRule type="cellIs" dxfId="486" priority="120" operator="equal">
      <formula>0</formula>
    </cfRule>
    <cfRule type="cellIs" dxfId="485" priority="121" operator="equal">
      <formula>0</formula>
    </cfRule>
  </conditionalFormatting>
  <conditionalFormatting sqref="H7">
    <cfRule type="cellIs" dxfId="484" priority="110" operator="equal">
      <formula>0</formula>
    </cfRule>
  </conditionalFormatting>
  <conditionalFormatting sqref="I6">
    <cfRule type="cellIs" dxfId="483" priority="113" operator="equal">
      <formula>0</formula>
    </cfRule>
  </conditionalFormatting>
  <conditionalFormatting sqref="H5">
    <cfRule type="cellIs" dxfId="482" priority="112" operator="equal">
      <formula>0</formula>
    </cfRule>
  </conditionalFormatting>
  <conditionalFormatting sqref="H4:I4">
    <cfRule type="cellIs" dxfId="481" priority="117" operator="equal">
      <formula>0</formula>
    </cfRule>
  </conditionalFormatting>
  <conditionalFormatting sqref="I5">
    <cfRule type="cellIs" dxfId="480" priority="116" operator="equal">
      <formula>0</formula>
    </cfRule>
  </conditionalFormatting>
  <conditionalFormatting sqref="I7">
    <cfRule type="cellIs" dxfId="479" priority="115" operator="equal">
      <formula>0</formula>
    </cfRule>
  </conditionalFormatting>
  <conditionalFormatting sqref="H8:I8">
    <cfRule type="cellIs" priority="114" operator="equal">
      <formula>0</formula>
    </cfRule>
  </conditionalFormatting>
  <conditionalFormatting sqref="H6">
    <cfRule type="cellIs" dxfId="478" priority="111" operator="equal">
      <formula>0</formula>
    </cfRule>
  </conditionalFormatting>
  <conditionalFormatting sqref="I9:I10">
    <cfRule type="cellIs" priority="107" operator="equal">
      <formula>0</formula>
    </cfRule>
  </conditionalFormatting>
  <conditionalFormatting sqref="E11 G11">
    <cfRule type="cellIs" dxfId="477" priority="94" operator="equal">
      <formula>0</formula>
    </cfRule>
  </conditionalFormatting>
  <conditionalFormatting sqref="I11">
    <cfRule type="cellIs" priority="93" operator="equal">
      <formula>0</formula>
    </cfRule>
  </conditionalFormatting>
  <conditionalFormatting sqref="E13 G13">
    <cfRule type="cellIs" dxfId="476" priority="92" operator="equal">
      <formula>0</formula>
    </cfRule>
  </conditionalFormatting>
  <conditionalFormatting sqref="H13">
    <cfRule type="cellIs" priority="90" operator="equal">
      <formula>0</formula>
    </cfRule>
  </conditionalFormatting>
  <conditionalFormatting sqref="I13">
    <cfRule type="cellIs" priority="89" operator="equal">
      <formula>0</formula>
    </cfRule>
  </conditionalFormatting>
  <conditionalFormatting sqref="E12">
    <cfRule type="cellIs" dxfId="475" priority="88" operator="equal">
      <formula>0</formula>
    </cfRule>
  </conditionalFormatting>
  <conditionalFormatting sqref="B12 D12:F12">
    <cfRule type="cellIs" priority="86" operator="equal">
      <formula>0</formula>
    </cfRule>
  </conditionalFormatting>
  <conditionalFormatting sqref="C12">
    <cfRule type="cellIs" priority="85" operator="equal">
      <formula>0</formula>
    </cfRule>
  </conditionalFormatting>
  <conditionalFormatting sqref="I12">
    <cfRule type="cellIs" priority="84" operator="equal">
      <formula>0</formula>
    </cfRule>
  </conditionalFormatting>
  <conditionalFormatting sqref="G12">
    <cfRule type="cellIs" dxfId="474" priority="83" operator="equal">
      <formula>0</formula>
    </cfRule>
  </conditionalFormatting>
  <conditionalFormatting sqref="H12">
    <cfRule type="cellIs" priority="82" operator="equal">
      <formula>0</formula>
    </cfRule>
  </conditionalFormatting>
  <conditionalFormatting sqref="H11">
    <cfRule type="cellIs" priority="81" operator="equal">
      <formula>0</formula>
    </cfRule>
  </conditionalFormatting>
  <conditionalFormatting sqref="K3:K4">
    <cfRule type="cellIs" dxfId="473" priority="44" operator="equal">
      <formula>0</formula>
    </cfRule>
  </conditionalFormatting>
  <conditionalFormatting sqref="K5">
    <cfRule type="cellIs" dxfId="472" priority="43" operator="equal">
      <formula>0</formula>
    </cfRule>
  </conditionalFormatting>
  <conditionalFormatting sqref="K6">
    <cfRule type="cellIs" dxfId="471" priority="42" operator="equal">
      <formula>0</formula>
    </cfRule>
  </conditionalFormatting>
  <conditionalFormatting sqref="K9">
    <cfRule type="cellIs" dxfId="470" priority="41" operator="equal">
      <formula>0</formula>
    </cfRule>
  </conditionalFormatting>
  <conditionalFormatting sqref="K10">
    <cfRule type="cellIs" dxfId="469" priority="40" operator="equal">
      <formula>0</formula>
    </cfRule>
  </conditionalFormatting>
  <conditionalFormatting sqref="K7">
    <cfRule type="cellIs" dxfId="468" priority="39" operator="equal">
      <formula>0</formula>
    </cfRule>
  </conditionalFormatting>
  <conditionalFormatting sqref="K8">
    <cfRule type="cellIs" dxfId="467" priority="38" operator="equal">
      <formula>0</formula>
    </cfRule>
  </conditionalFormatting>
  <conditionalFormatting sqref="K11">
    <cfRule type="cellIs" dxfId="466" priority="37" operator="equal">
      <formula>0</formula>
    </cfRule>
  </conditionalFormatting>
  <conditionalFormatting sqref="K13">
    <cfRule type="cellIs" dxfId="465" priority="36" operator="equal">
      <formula>0</formula>
    </cfRule>
  </conditionalFormatting>
  <conditionalFormatting sqref="K12">
    <cfRule type="cellIs" dxfId="464" priority="35" operator="equal">
      <formula>0</formula>
    </cfRule>
  </conditionalFormatting>
  <conditionalFormatting sqref="J3:J4">
    <cfRule type="cellIs" dxfId="463" priority="34" operator="equal">
      <formula>0</formula>
    </cfRule>
  </conditionalFormatting>
  <conditionalFormatting sqref="J5">
    <cfRule type="cellIs" dxfId="462" priority="33" operator="equal">
      <formula>0</formula>
    </cfRule>
  </conditionalFormatting>
  <conditionalFormatting sqref="J6">
    <cfRule type="cellIs" dxfId="461" priority="32" operator="equal">
      <formula>0</formula>
    </cfRule>
  </conditionalFormatting>
  <conditionalFormatting sqref="J9">
    <cfRule type="cellIs" dxfId="460" priority="31" operator="equal">
      <formula>0</formula>
    </cfRule>
  </conditionalFormatting>
  <conditionalFormatting sqref="J10">
    <cfRule type="cellIs" dxfId="459" priority="30" operator="equal">
      <formula>0</formula>
    </cfRule>
  </conditionalFormatting>
  <conditionalFormatting sqref="J7">
    <cfRule type="cellIs" dxfId="458" priority="29" operator="equal">
      <formula>0</formula>
    </cfRule>
  </conditionalFormatting>
  <conditionalFormatting sqref="J8">
    <cfRule type="cellIs" dxfId="457" priority="28" operator="equal">
      <formula>0</formula>
    </cfRule>
  </conditionalFormatting>
  <conditionalFormatting sqref="J11">
    <cfRule type="cellIs" dxfId="456" priority="27" operator="equal">
      <formula>0</formula>
    </cfRule>
  </conditionalFormatting>
  <conditionalFormatting sqref="J13">
    <cfRule type="cellIs" dxfId="455" priority="26" operator="equal">
      <formula>0</formula>
    </cfRule>
  </conditionalFormatting>
  <conditionalFormatting sqref="J12">
    <cfRule type="cellIs" dxfId="454" priority="25" operator="equal">
      <formula>0</formula>
    </cfRule>
  </conditionalFormatting>
  <conditionalFormatting sqref="K25">
    <cfRule type="cellIs" dxfId="453" priority="24" operator="equal">
      <formula>0</formula>
    </cfRule>
  </conditionalFormatting>
  <conditionalFormatting sqref="K26">
    <cfRule type="cellIs" dxfId="452" priority="23" operator="equal">
      <formula>0</formula>
    </cfRule>
  </conditionalFormatting>
  <conditionalFormatting sqref="J25">
    <cfRule type="cellIs" dxfId="451" priority="22" operator="equal">
      <formula>0</formula>
    </cfRule>
  </conditionalFormatting>
  <conditionalFormatting sqref="J26">
    <cfRule type="cellIs" dxfId="450" priority="21" operator="equal">
      <formula>0</formula>
    </cfRule>
  </conditionalFormatting>
  <conditionalFormatting sqref="L3:L4">
    <cfRule type="cellIs" dxfId="449" priority="20" operator="equal">
      <formula>0</formula>
    </cfRule>
  </conditionalFormatting>
  <conditionalFormatting sqref="L5">
    <cfRule type="cellIs" dxfId="448" priority="19" operator="equal">
      <formula>0</formula>
    </cfRule>
  </conditionalFormatting>
  <conditionalFormatting sqref="L6">
    <cfRule type="cellIs" dxfId="447" priority="18" operator="equal">
      <formula>0</formula>
    </cfRule>
  </conditionalFormatting>
  <conditionalFormatting sqref="L7">
    <cfRule type="cellIs" dxfId="446" priority="17" operator="equal">
      <formula>0</formula>
    </cfRule>
  </conditionalFormatting>
  <conditionalFormatting sqref="L8:L9">
    <cfRule type="cellIs" dxfId="445" priority="16" operator="equal">
      <formula>0</formula>
    </cfRule>
  </conditionalFormatting>
  <conditionalFormatting sqref="L14">
    <cfRule type="cellIs" dxfId="444" priority="15" operator="equal">
      <formula>0</formula>
    </cfRule>
  </conditionalFormatting>
  <conditionalFormatting sqref="L15">
    <cfRule type="cellIs" dxfId="443" priority="14" operator="equal">
      <formula>0</formula>
    </cfRule>
  </conditionalFormatting>
  <conditionalFormatting sqref="L16">
    <cfRule type="cellIs" dxfId="442" priority="13" operator="equal">
      <formula>0</formula>
    </cfRule>
  </conditionalFormatting>
  <conditionalFormatting sqref="L17">
    <cfRule type="cellIs" dxfId="441" priority="12" operator="equal">
      <formula>0</formula>
    </cfRule>
  </conditionalFormatting>
  <conditionalFormatting sqref="L18">
    <cfRule type="cellIs" dxfId="440" priority="11" operator="equal">
      <formula>0</formula>
    </cfRule>
  </conditionalFormatting>
  <conditionalFormatting sqref="L19">
    <cfRule type="cellIs" dxfId="439" priority="10" operator="equal">
      <formula>0</formula>
    </cfRule>
  </conditionalFormatting>
  <conditionalFormatting sqref="L20">
    <cfRule type="cellIs" dxfId="438" priority="9" operator="equal">
      <formula>0</formula>
    </cfRule>
  </conditionalFormatting>
  <conditionalFormatting sqref="L21">
    <cfRule type="cellIs" dxfId="437" priority="8" operator="equal">
      <formula>0</formula>
    </cfRule>
  </conditionalFormatting>
  <conditionalFormatting sqref="L22">
    <cfRule type="cellIs" dxfId="436" priority="7" operator="equal">
      <formula>0</formula>
    </cfRule>
  </conditionalFormatting>
  <conditionalFormatting sqref="L23">
    <cfRule type="cellIs" dxfId="435" priority="6" operator="equal">
      <formula>0</formula>
    </cfRule>
  </conditionalFormatting>
  <conditionalFormatting sqref="L24">
    <cfRule type="cellIs" dxfId="434" priority="5" operator="equal">
      <formula>0</formula>
    </cfRule>
  </conditionalFormatting>
  <conditionalFormatting sqref="L10">
    <cfRule type="cellIs" dxfId="433" priority="4" operator="equal">
      <formula>0</formula>
    </cfRule>
  </conditionalFormatting>
  <conditionalFormatting sqref="L11">
    <cfRule type="cellIs" dxfId="432" priority="3" operator="equal">
      <formula>0</formula>
    </cfRule>
  </conditionalFormatting>
  <conditionalFormatting sqref="L12">
    <cfRule type="cellIs" dxfId="431" priority="2" operator="equal">
      <formula>0</formula>
    </cfRule>
  </conditionalFormatting>
  <conditionalFormatting sqref="L13">
    <cfRule type="cellIs" dxfId="430"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BF4A62BB-2D24-46CA-9C36-BF30B9A7C5DE}">
          <x14:formula1>
            <xm:f>Config!$B$3:$O$3</xm:f>
          </x14:formula1>
          <xm:sqref>D1:E1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72E4C-556C-4A55-9909-951BBA6D89C9}">
  <sheetPr codeName="Sheet16"/>
  <dimension ref="A1:P100"/>
  <sheetViews>
    <sheetView topLeftCell="A17" workbookViewId="0">
      <selection activeCell="D88" sqref="D88"/>
    </sheetView>
  </sheetViews>
  <sheetFormatPr defaultRowHeight="14.4" x14ac:dyDescent="0.3"/>
  <cols>
    <col min="1" max="1" width="28.44140625" bestFit="1" customWidth="1"/>
    <col min="2" max="2" width="8.109375" bestFit="1" customWidth="1"/>
    <col min="3" max="3" width="9.33203125" bestFit="1" customWidth="1"/>
    <col min="4" max="4" width="32.6640625" bestFit="1" customWidth="1"/>
    <col min="5" max="5" width="41.77734375" customWidth="1"/>
    <col min="6" max="6" width="21.44140625" customWidth="1"/>
    <col min="7" max="7" width="56.21875" style="129" customWidth="1"/>
  </cols>
  <sheetData>
    <row r="1" spans="1:16" x14ac:dyDescent="0.3">
      <c r="A1" s="118" t="s">
        <v>658</v>
      </c>
      <c r="B1" s="118" t="s">
        <v>659</v>
      </c>
      <c r="C1" s="118" t="s">
        <v>660</v>
      </c>
      <c r="D1" s="118" t="s">
        <v>661</v>
      </c>
      <c r="E1" s="118" t="s">
        <v>662</v>
      </c>
      <c r="F1" s="119" t="s">
        <v>610</v>
      </c>
      <c r="G1" s="128" t="s">
        <v>789</v>
      </c>
      <c r="H1" s="118"/>
      <c r="N1" t="s">
        <v>608</v>
      </c>
      <c r="O1" s="15" t="s">
        <v>609</v>
      </c>
      <c r="P1" s="15" t="s">
        <v>610</v>
      </c>
    </row>
    <row r="2" spans="1:16" x14ac:dyDescent="0.3">
      <c r="A2" t="s">
        <v>63</v>
      </c>
      <c r="B2">
        <v>0</v>
      </c>
      <c r="C2">
        <v>1</v>
      </c>
      <c r="D2" t="s">
        <v>64</v>
      </c>
      <c r="E2" t="s">
        <v>978</v>
      </c>
      <c r="F2">
        <v>1</v>
      </c>
      <c r="G2" t="s">
        <v>17</v>
      </c>
    </row>
    <row r="3" spans="1:16" x14ac:dyDescent="0.3">
      <c r="A3" t="s">
        <v>63</v>
      </c>
      <c r="B3">
        <v>1</v>
      </c>
      <c r="C3">
        <v>1</v>
      </c>
      <c r="D3" t="s">
        <v>67</v>
      </c>
      <c r="E3" t="s">
        <v>979</v>
      </c>
      <c r="F3">
        <v>1</v>
      </c>
      <c r="G3" t="s">
        <v>17</v>
      </c>
    </row>
    <row r="4" spans="1:16" x14ac:dyDescent="0.3">
      <c r="A4" t="s">
        <v>63</v>
      </c>
      <c r="B4">
        <v>2</v>
      </c>
      <c r="C4">
        <v>1</v>
      </c>
      <c r="D4" t="s">
        <v>71</v>
      </c>
      <c r="E4" t="s">
        <v>980</v>
      </c>
      <c r="F4">
        <v>1</v>
      </c>
      <c r="G4" t="s">
        <v>17</v>
      </c>
    </row>
    <row r="5" spans="1:16" x14ac:dyDescent="0.3">
      <c r="A5" t="s">
        <v>63</v>
      </c>
      <c r="B5">
        <v>3</v>
      </c>
      <c r="C5">
        <v>1</v>
      </c>
      <c r="D5" t="s">
        <v>73</v>
      </c>
      <c r="E5" t="s">
        <v>981</v>
      </c>
      <c r="F5">
        <v>1</v>
      </c>
      <c r="G5" t="s">
        <v>17</v>
      </c>
    </row>
    <row r="6" spans="1:16" x14ac:dyDescent="0.3">
      <c r="A6" t="s">
        <v>63</v>
      </c>
      <c r="B6">
        <v>4</v>
      </c>
      <c r="C6">
        <v>1</v>
      </c>
      <c r="D6" t="s">
        <v>76</v>
      </c>
      <c r="E6" t="s">
        <v>982</v>
      </c>
      <c r="F6">
        <v>1</v>
      </c>
      <c r="G6" t="s">
        <v>17</v>
      </c>
    </row>
    <row r="7" spans="1:16" x14ac:dyDescent="0.3">
      <c r="A7" t="s">
        <v>63</v>
      </c>
      <c r="B7">
        <v>5</v>
      </c>
      <c r="C7">
        <v>1</v>
      </c>
      <c r="D7" t="s">
        <v>79</v>
      </c>
      <c r="E7" t="s">
        <v>983</v>
      </c>
      <c r="F7">
        <v>1</v>
      </c>
      <c r="G7" t="s">
        <v>17</v>
      </c>
    </row>
    <row r="8" spans="1:16" x14ac:dyDescent="0.3">
      <c r="A8" t="s">
        <v>63</v>
      </c>
      <c r="B8">
        <v>6</v>
      </c>
      <c r="C8">
        <v>1</v>
      </c>
      <c r="D8" t="s">
        <v>81</v>
      </c>
      <c r="E8" t="s">
        <v>984</v>
      </c>
      <c r="F8">
        <v>1</v>
      </c>
      <c r="G8" t="s">
        <v>17</v>
      </c>
    </row>
    <row r="9" spans="1:16" x14ac:dyDescent="0.3">
      <c r="A9" t="s">
        <v>63</v>
      </c>
      <c r="B9">
        <v>7</v>
      </c>
      <c r="C9">
        <v>1</v>
      </c>
      <c r="D9" t="s">
        <v>83</v>
      </c>
      <c r="E9" t="s">
        <v>985</v>
      </c>
      <c r="F9">
        <v>1</v>
      </c>
      <c r="G9" t="s">
        <v>17</v>
      </c>
    </row>
    <row r="10" spans="1:16" x14ac:dyDescent="0.3">
      <c r="A10" t="s">
        <v>63</v>
      </c>
      <c r="B10">
        <v>8</v>
      </c>
      <c r="C10">
        <v>1</v>
      </c>
      <c r="D10" t="s">
        <v>85</v>
      </c>
      <c r="E10" t="s">
        <v>986</v>
      </c>
      <c r="F10">
        <v>1</v>
      </c>
      <c r="G10" t="s">
        <v>17</v>
      </c>
    </row>
    <row r="11" spans="1:16" x14ac:dyDescent="0.3">
      <c r="A11" t="s">
        <v>63</v>
      </c>
      <c r="B11">
        <v>9</v>
      </c>
      <c r="C11">
        <v>1</v>
      </c>
      <c r="D11" t="s">
        <v>810</v>
      </c>
      <c r="E11" t="s">
        <v>987</v>
      </c>
      <c r="F11">
        <v>1</v>
      </c>
      <c r="G11" t="s">
        <v>17</v>
      </c>
    </row>
    <row r="12" spans="1:16" x14ac:dyDescent="0.3">
      <c r="A12" t="s">
        <v>63</v>
      </c>
      <c r="B12">
        <v>10</v>
      </c>
      <c r="C12">
        <v>1</v>
      </c>
      <c r="D12" t="s">
        <v>89</v>
      </c>
      <c r="E12" t="s">
        <v>988</v>
      </c>
      <c r="F12">
        <v>1</v>
      </c>
      <c r="G12" t="s">
        <v>17</v>
      </c>
    </row>
    <row r="13" spans="1:16" x14ac:dyDescent="0.3">
      <c r="A13" t="s">
        <v>63</v>
      </c>
      <c r="B13">
        <v>11</v>
      </c>
      <c r="C13">
        <v>1</v>
      </c>
      <c r="D13" t="s">
        <v>93</v>
      </c>
      <c r="E13" t="s">
        <v>989</v>
      </c>
      <c r="F13">
        <v>0</v>
      </c>
      <c r="G13" t="s">
        <v>790</v>
      </c>
    </row>
    <row r="14" spans="1:16" x14ac:dyDescent="0.3">
      <c r="A14" t="s">
        <v>63</v>
      </c>
      <c r="B14">
        <v>12</v>
      </c>
      <c r="C14">
        <v>1</v>
      </c>
      <c r="D14" t="s">
        <v>94</v>
      </c>
      <c r="E14" t="s">
        <v>990</v>
      </c>
      <c r="F14">
        <v>1</v>
      </c>
      <c r="G14" t="s">
        <v>17</v>
      </c>
    </row>
    <row r="15" spans="1:16" x14ac:dyDescent="0.3">
      <c r="A15" t="s">
        <v>63</v>
      </c>
      <c r="B15">
        <v>13</v>
      </c>
      <c r="C15">
        <v>1</v>
      </c>
      <c r="D15" t="s">
        <v>96</v>
      </c>
      <c r="E15" t="s">
        <v>991</v>
      </c>
      <c r="F15">
        <v>1</v>
      </c>
      <c r="G15" t="s">
        <v>17</v>
      </c>
    </row>
    <row r="16" spans="1:16" x14ac:dyDescent="0.3">
      <c r="A16" t="s">
        <v>63</v>
      </c>
      <c r="B16">
        <v>14</v>
      </c>
      <c r="C16">
        <v>1</v>
      </c>
      <c r="D16" t="s">
        <v>98</v>
      </c>
      <c r="E16" t="s">
        <v>992</v>
      </c>
      <c r="F16">
        <v>1</v>
      </c>
      <c r="G16" t="s">
        <v>17</v>
      </c>
    </row>
    <row r="17" spans="1:7" x14ac:dyDescent="0.3">
      <c r="A17" t="s">
        <v>63</v>
      </c>
      <c r="B17">
        <v>15</v>
      </c>
      <c r="C17">
        <v>1</v>
      </c>
      <c r="D17" t="s">
        <v>102</v>
      </c>
      <c r="E17" t="s">
        <v>993</v>
      </c>
      <c r="F17">
        <v>0</v>
      </c>
      <c r="G17" t="s">
        <v>791</v>
      </c>
    </row>
    <row r="18" spans="1:7" x14ac:dyDescent="0.3">
      <c r="A18" t="s">
        <v>63</v>
      </c>
      <c r="B18">
        <v>16</v>
      </c>
      <c r="C18">
        <v>1</v>
      </c>
      <c r="D18" t="s">
        <v>103</v>
      </c>
      <c r="E18" t="s">
        <v>994</v>
      </c>
      <c r="F18">
        <v>1</v>
      </c>
      <c r="G18"/>
    </row>
    <row r="19" spans="1:7" x14ac:dyDescent="0.3">
      <c r="A19" t="s">
        <v>63</v>
      </c>
      <c r="B19">
        <v>17</v>
      </c>
      <c r="C19">
        <v>1</v>
      </c>
      <c r="D19" t="s">
        <v>105</v>
      </c>
      <c r="E19" t="s">
        <v>995</v>
      </c>
      <c r="F19">
        <v>1</v>
      </c>
      <c r="G19"/>
    </row>
    <row r="20" spans="1:7" x14ac:dyDescent="0.3">
      <c r="A20" t="s">
        <v>63</v>
      </c>
      <c r="B20">
        <v>18</v>
      </c>
      <c r="C20">
        <v>1</v>
      </c>
      <c r="D20" t="s">
        <v>110</v>
      </c>
      <c r="E20" t="s">
        <v>996</v>
      </c>
      <c r="F20">
        <v>0</v>
      </c>
      <c r="G20" t="s">
        <v>773</v>
      </c>
    </row>
    <row r="21" spans="1:7" x14ac:dyDescent="0.3">
      <c r="A21" t="s">
        <v>63</v>
      </c>
      <c r="B21">
        <v>19</v>
      </c>
      <c r="C21">
        <v>1</v>
      </c>
      <c r="D21" t="s">
        <v>112</v>
      </c>
      <c r="E21" t="s">
        <v>997</v>
      </c>
      <c r="F21">
        <v>0</v>
      </c>
      <c r="G21" t="s">
        <v>774</v>
      </c>
    </row>
    <row r="22" spans="1:7" x14ac:dyDescent="0.3">
      <c r="A22" t="s">
        <v>63</v>
      </c>
      <c r="B22">
        <v>20</v>
      </c>
      <c r="C22">
        <v>1</v>
      </c>
      <c r="D22" t="s">
        <v>114</v>
      </c>
      <c r="E22" t="s">
        <v>998</v>
      </c>
      <c r="F22">
        <v>0</v>
      </c>
      <c r="G22" t="s">
        <v>775</v>
      </c>
    </row>
    <row r="23" spans="1:7" x14ac:dyDescent="0.3">
      <c r="A23" t="s">
        <v>63</v>
      </c>
      <c r="B23">
        <v>21</v>
      </c>
      <c r="C23">
        <v>1</v>
      </c>
      <c r="D23" t="s">
        <v>116</v>
      </c>
      <c r="E23" t="s">
        <v>999</v>
      </c>
      <c r="F23">
        <v>0</v>
      </c>
      <c r="G23" t="s">
        <v>776</v>
      </c>
    </row>
    <row r="24" spans="1:7" x14ac:dyDescent="0.3">
      <c r="A24" t="s">
        <v>63</v>
      </c>
      <c r="B24">
        <v>22</v>
      </c>
      <c r="C24">
        <v>1</v>
      </c>
      <c r="D24" t="s">
        <v>118</v>
      </c>
      <c r="E24" t="s">
        <v>1000</v>
      </c>
      <c r="F24">
        <v>0</v>
      </c>
      <c r="G24" t="s">
        <v>777</v>
      </c>
    </row>
    <row r="25" spans="1:7" x14ac:dyDescent="0.3">
      <c r="A25" t="s">
        <v>63</v>
      </c>
      <c r="B25">
        <v>23</v>
      </c>
      <c r="C25">
        <v>1</v>
      </c>
      <c r="D25" t="s">
        <v>120</v>
      </c>
      <c r="E25" t="s">
        <v>1001</v>
      </c>
      <c r="F25">
        <v>1</v>
      </c>
      <c r="G25"/>
    </row>
    <row r="26" spans="1:7" x14ac:dyDescent="0.3">
      <c r="A26" t="s">
        <v>63</v>
      </c>
      <c r="B26">
        <v>24</v>
      </c>
      <c r="C26">
        <v>1</v>
      </c>
      <c r="D26" t="s">
        <v>123</v>
      </c>
      <c r="E26" t="s">
        <v>1002</v>
      </c>
      <c r="F26">
        <v>1</v>
      </c>
      <c r="G26" t="s">
        <v>1107</v>
      </c>
    </row>
    <row r="27" spans="1:7" x14ac:dyDescent="0.3">
      <c r="A27" t="s">
        <v>63</v>
      </c>
      <c r="B27">
        <v>25</v>
      </c>
      <c r="C27">
        <v>1</v>
      </c>
      <c r="D27" t="s">
        <v>126</v>
      </c>
      <c r="E27" t="s">
        <v>1003</v>
      </c>
      <c r="F27">
        <v>1</v>
      </c>
      <c r="G27" t="s">
        <v>1107</v>
      </c>
    </row>
    <row r="28" spans="1:7" x14ac:dyDescent="0.3">
      <c r="A28" t="s">
        <v>63</v>
      </c>
      <c r="B28">
        <v>26</v>
      </c>
      <c r="C28">
        <v>1</v>
      </c>
      <c r="D28" t="s">
        <v>132</v>
      </c>
      <c r="E28" t="s">
        <v>1005</v>
      </c>
      <c r="F28">
        <v>0</v>
      </c>
      <c r="G28" t="s">
        <v>780</v>
      </c>
    </row>
    <row r="29" spans="1:7" x14ac:dyDescent="0.3">
      <c r="A29" t="s">
        <v>63</v>
      </c>
      <c r="B29">
        <v>27</v>
      </c>
      <c r="C29">
        <v>1</v>
      </c>
      <c r="D29" t="s">
        <v>374</v>
      </c>
      <c r="E29" t="s">
        <v>1006</v>
      </c>
      <c r="F29" t="s">
        <v>48</v>
      </c>
      <c r="G29" t="s">
        <v>1107</v>
      </c>
    </row>
    <row r="30" spans="1:7" x14ac:dyDescent="0.3">
      <c r="A30" t="s">
        <v>63</v>
      </c>
      <c r="B30">
        <v>28</v>
      </c>
      <c r="C30">
        <v>1</v>
      </c>
      <c r="D30" t="s">
        <v>375</v>
      </c>
      <c r="E30" t="s">
        <v>1007</v>
      </c>
      <c r="F30">
        <v>0</v>
      </c>
      <c r="G30" t="s">
        <v>782</v>
      </c>
    </row>
    <row r="31" spans="1:7" x14ac:dyDescent="0.3">
      <c r="A31" t="s">
        <v>63</v>
      </c>
      <c r="B31">
        <v>29</v>
      </c>
      <c r="C31">
        <v>1</v>
      </c>
      <c r="D31" t="s">
        <v>135</v>
      </c>
      <c r="E31" t="s">
        <v>1008</v>
      </c>
      <c r="F31">
        <v>0</v>
      </c>
      <c r="G31" t="s">
        <v>783</v>
      </c>
    </row>
    <row r="32" spans="1:7" x14ac:dyDescent="0.3">
      <c r="A32" t="s">
        <v>63</v>
      </c>
      <c r="B32">
        <v>30</v>
      </c>
      <c r="C32">
        <v>1</v>
      </c>
      <c r="D32" t="s">
        <v>136</v>
      </c>
      <c r="E32" t="s">
        <v>1009</v>
      </c>
      <c r="F32">
        <v>1</v>
      </c>
      <c r="G32" t="s">
        <v>1107</v>
      </c>
    </row>
    <row r="33" spans="1:7" x14ac:dyDescent="0.3">
      <c r="A33" t="s">
        <v>63</v>
      </c>
      <c r="B33">
        <v>31</v>
      </c>
      <c r="C33">
        <v>1</v>
      </c>
      <c r="D33" t="s">
        <v>138</v>
      </c>
      <c r="E33" t="s">
        <v>1010</v>
      </c>
      <c r="F33">
        <v>1</v>
      </c>
      <c r="G33" t="s">
        <v>667</v>
      </c>
    </row>
    <row r="34" spans="1:7" x14ac:dyDescent="0.3">
      <c r="A34" t="s">
        <v>141</v>
      </c>
      <c r="B34">
        <v>0</v>
      </c>
      <c r="C34">
        <v>1</v>
      </c>
      <c r="D34" t="s">
        <v>143</v>
      </c>
      <c r="E34" t="s">
        <v>1011</v>
      </c>
      <c r="F34">
        <v>0</v>
      </c>
      <c r="G34" t="s">
        <v>792</v>
      </c>
    </row>
    <row r="35" spans="1:7" x14ac:dyDescent="0.3">
      <c r="A35" t="s">
        <v>141</v>
      </c>
      <c r="B35">
        <v>1</v>
      </c>
      <c r="C35">
        <v>1</v>
      </c>
      <c r="D35" t="s">
        <v>145</v>
      </c>
      <c r="E35" t="s">
        <v>1012</v>
      </c>
      <c r="F35">
        <v>1</v>
      </c>
      <c r="G35"/>
    </row>
    <row r="36" spans="1:7" x14ac:dyDescent="0.3">
      <c r="A36" t="s">
        <v>141</v>
      </c>
      <c r="B36">
        <v>2</v>
      </c>
      <c r="C36">
        <v>1</v>
      </c>
      <c r="D36" t="s">
        <v>148</v>
      </c>
      <c r="E36" t="s">
        <v>1013</v>
      </c>
      <c r="F36">
        <v>1</v>
      </c>
      <c r="G36"/>
    </row>
    <row r="37" spans="1:7" x14ac:dyDescent="0.3">
      <c r="A37" t="s">
        <v>141</v>
      </c>
      <c r="B37">
        <v>3</v>
      </c>
      <c r="C37">
        <v>1</v>
      </c>
      <c r="D37" t="s">
        <v>150</v>
      </c>
      <c r="E37" t="s">
        <v>1014</v>
      </c>
      <c r="F37">
        <v>1</v>
      </c>
      <c r="G37"/>
    </row>
    <row r="38" spans="1:7" x14ac:dyDescent="0.3">
      <c r="A38" t="s">
        <v>141</v>
      </c>
      <c r="B38">
        <v>4</v>
      </c>
      <c r="C38">
        <v>1</v>
      </c>
      <c r="D38" t="s">
        <v>153</v>
      </c>
      <c r="E38" t="s">
        <v>1015</v>
      </c>
      <c r="F38">
        <v>1</v>
      </c>
      <c r="G38"/>
    </row>
    <row r="39" spans="1:7" x14ac:dyDescent="0.3">
      <c r="A39" t="s">
        <v>141</v>
      </c>
      <c r="B39">
        <v>5</v>
      </c>
      <c r="C39">
        <v>1</v>
      </c>
      <c r="D39" t="s">
        <v>156</v>
      </c>
      <c r="E39" t="s">
        <v>1016</v>
      </c>
      <c r="F39">
        <v>0</v>
      </c>
      <c r="G39" t="s">
        <v>785</v>
      </c>
    </row>
    <row r="40" spans="1:7" x14ac:dyDescent="0.3">
      <c r="A40" t="s">
        <v>141</v>
      </c>
      <c r="B40">
        <v>6</v>
      </c>
      <c r="C40">
        <v>1</v>
      </c>
      <c r="D40" t="s">
        <v>157</v>
      </c>
      <c r="E40" t="s">
        <v>1017</v>
      </c>
      <c r="F40">
        <v>1</v>
      </c>
      <c r="G40"/>
    </row>
    <row r="41" spans="1:7" x14ac:dyDescent="0.3">
      <c r="A41" t="s">
        <v>141</v>
      </c>
      <c r="B41">
        <v>7</v>
      </c>
      <c r="C41">
        <v>1</v>
      </c>
      <c r="D41" t="s">
        <v>159</v>
      </c>
      <c r="E41" t="s">
        <v>1018</v>
      </c>
      <c r="F41">
        <v>1</v>
      </c>
      <c r="G41"/>
    </row>
    <row r="42" spans="1:7" x14ac:dyDescent="0.3">
      <c r="A42" t="s">
        <v>141</v>
      </c>
      <c r="B42">
        <v>8</v>
      </c>
      <c r="C42">
        <v>1</v>
      </c>
      <c r="D42" t="s">
        <v>161</v>
      </c>
      <c r="E42" t="s">
        <v>1019</v>
      </c>
      <c r="F42">
        <v>1</v>
      </c>
      <c r="G42"/>
    </row>
    <row r="43" spans="1:7" x14ac:dyDescent="0.3">
      <c r="A43" t="s">
        <v>141</v>
      </c>
      <c r="B43">
        <v>9</v>
      </c>
      <c r="C43">
        <v>3</v>
      </c>
      <c r="D43" t="s">
        <v>163</v>
      </c>
      <c r="E43" t="s">
        <v>1020</v>
      </c>
      <c r="F43">
        <v>1</v>
      </c>
      <c r="G43"/>
    </row>
    <row r="44" spans="1:7" x14ac:dyDescent="0.3">
      <c r="A44" t="s">
        <v>141</v>
      </c>
      <c r="B44">
        <v>12</v>
      </c>
      <c r="C44">
        <v>1</v>
      </c>
      <c r="D44" t="s">
        <v>166</v>
      </c>
      <c r="E44" t="s">
        <v>1021</v>
      </c>
      <c r="F44">
        <v>0</v>
      </c>
      <c r="G44" t="s">
        <v>705</v>
      </c>
    </row>
    <row r="45" spans="1:7" x14ac:dyDescent="0.3">
      <c r="A45" t="s">
        <v>141</v>
      </c>
      <c r="B45">
        <v>13</v>
      </c>
      <c r="C45">
        <v>1</v>
      </c>
      <c r="D45" t="s">
        <v>167</v>
      </c>
      <c r="E45" t="s">
        <v>1022</v>
      </c>
      <c r="F45">
        <v>1</v>
      </c>
      <c r="G45"/>
    </row>
    <row r="46" spans="1:7" x14ac:dyDescent="0.3">
      <c r="A46" t="s">
        <v>141</v>
      </c>
      <c r="B46">
        <v>14</v>
      </c>
      <c r="C46">
        <v>1</v>
      </c>
      <c r="D46" t="s">
        <v>170</v>
      </c>
      <c r="E46" t="s">
        <v>1023</v>
      </c>
      <c r="F46">
        <v>0</v>
      </c>
      <c r="G46" t="s">
        <v>707</v>
      </c>
    </row>
    <row r="47" spans="1:7" x14ac:dyDescent="0.3">
      <c r="A47" t="s">
        <v>141</v>
      </c>
      <c r="B47">
        <v>15</v>
      </c>
      <c r="C47">
        <v>1</v>
      </c>
      <c r="D47" t="s">
        <v>672</v>
      </c>
      <c r="E47" t="s">
        <v>1024</v>
      </c>
      <c r="F47">
        <v>1</v>
      </c>
      <c r="G47"/>
    </row>
    <row r="48" spans="1:7" x14ac:dyDescent="0.3">
      <c r="A48" t="s">
        <v>141</v>
      </c>
      <c r="B48">
        <v>16</v>
      </c>
      <c r="C48">
        <v>1</v>
      </c>
      <c r="D48" t="s">
        <v>173</v>
      </c>
      <c r="E48" t="s">
        <v>1025</v>
      </c>
      <c r="F48">
        <v>1</v>
      </c>
      <c r="G48"/>
    </row>
    <row r="49" spans="1:7" x14ac:dyDescent="0.3">
      <c r="A49" t="s">
        <v>141</v>
      </c>
      <c r="B49">
        <v>17</v>
      </c>
      <c r="C49">
        <v>1</v>
      </c>
      <c r="D49" t="s">
        <v>176</v>
      </c>
      <c r="E49" t="s">
        <v>1026</v>
      </c>
      <c r="F49">
        <v>1</v>
      </c>
      <c r="G49"/>
    </row>
    <row r="50" spans="1:7" x14ac:dyDescent="0.3">
      <c r="A50" t="s">
        <v>141</v>
      </c>
      <c r="B50">
        <v>18</v>
      </c>
      <c r="C50">
        <v>1</v>
      </c>
      <c r="D50" t="s">
        <v>178</v>
      </c>
      <c r="E50" t="s">
        <v>1027</v>
      </c>
      <c r="F50">
        <v>1</v>
      </c>
      <c r="G50"/>
    </row>
    <row r="51" spans="1:7" x14ac:dyDescent="0.3">
      <c r="A51" t="s">
        <v>141</v>
      </c>
      <c r="B51">
        <v>19</v>
      </c>
      <c r="C51">
        <v>1</v>
      </c>
      <c r="D51" t="s">
        <v>180</v>
      </c>
      <c r="E51" t="s">
        <v>1028</v>
      </c>
      <c r="F51">
        <v>1</v>
      </c>
      <c r="G51"/>
    </row>
    <row r="52" spans="1:7" x14ac:dyDescent="0.3">
      <c r="A52" t="s">
        <v>141</v>
      </c>
      <c r="B52">
        <v>20</v>
      </c>
      <c r="C52">
        <v>1</v>
      </c>
      <c r="D52" t="s">
        <v>182</v>
      </c>
      <c r="E52" t="s">
        <v>1029</v>
      </c>
      <c r="F52">
        <v>1</v>
      </c>
      <c r="G52"/>
    </row>
    <row r="53" spans="1:7" x14ac:dyDescent="0.3">
      <c r="A53" t="s">
        <v>141</v>
      </c>
      <c r="B53">
        <v>21</v>
      </c>
      <c r="C53">
        <v>1</v>
      </c>
      <c r="D53" t="s">
        <v>184</v>
      </c>
      <c r="E53" t="s">
        <v>1030</v>
      </c>
      <c r="F53">
        <v>1</v>
      </c>
      <c r="G53"/>
    </row>
    <row r="54" spans="1:7" x14ac:dyDescent="0.3">
      <c r="A54" t="s">
        <v>141</v>
      </c>
      <c r="B54">
        <v>22</v>
      </c>
      <c r="C54">
        <v>2</v>
      </c>
      <c r="D54" t="s">
        <v>187</v>
      </c>
      <c r="E54" t="s">
        <v>1031</v>
      </c>
      <c r="F54">
        <v>1</v>
      </c>
      <c r="G54"/>
    </row>
    <row r="55" spans="1:7" x14ac:dyDescent="0.3">
      <c r="A55" t="s">
        <v>141</v>
      </c>
      <c r="B55">
        <v>24</v>
      </c>
      <c r="C55">
        <v>8</v>
      </c>
      <c r="D55" t="s">
        <v>189</v>
      </c>
      <c r="E55" t="s">
        <v>1086</v>
      </c>
      <c r="F55">
        <v>1</v>
      </c>
      <c r="G55" t="s">
        <v>17</v>
      </c>
    </row>
    <row r="56" spans="1:7" x14ac:dyDescent="0.3">
      <c r="A56" t="s">
        <v>191</v>
      </c>
      <c r="B56">
        <v>0</v>
      </c>
      <c r="C56">
        <v>15</v>
      </c>
      <c r="D56" t="s">
        <v>192</v>
      </c>
      <c r="E56" t="s">
        <v>1032</v>
      </c>
      <c r="F56">
        <v>13</v>
      </c>
      <c r="G56" t="s">
        <v>667</v>
      </c>
    </row>
    <row r="57" spans="1:7" x14ac:dyDescent="0.3">
      <c r="A57" t="s">
        <v>191</v>
      </c>
      <c r="B57">
        <v>15</v>
      </c>
      <c r="C57">
        <v>1</v>
      </c>
      <c r="D57" t="s">
        <v>194</v>
      </c>
      <c r="E57" t="s">
        <v>1033</v>
      </c>
      <c r="F57">
        <v>1</v>
      </c>
      <c r="G57" t="s">
        <v>1107</v>
      </c>
    </row>
    <row r="58" spans="1:7" x14ac:dyDescent="0.3">
      <c r="A58" t="s">
        <v>191</v>
      </c>
      <c r="B58">
        <v>16</v>
      </c>
      <c r="C58">
        <v>1</v>
      </c>
      <c r="D58" t="s">
        <v>196</v>
      </c>
      <c r="E58" t="s">
        <v>1034</v>
      </c>
      <c r="F58">
        <v>1</v>
      </c>
      <c r="G58"/>
    </row>
    <row r="59" spans="1:7" x14ac:dyDescent="0.3">
      <c r="A59" t="s">
        <v>191</v>
      </c>
      <c r="B59">
        <v>17</v>
      </c>
      <c r="C59">
        <v>1</v>
      </c>
      <c r="D59" t="s">
        <v>198</v>
      </c>
      <c r="E59" t="s">
        <v>1035</v>
      </c>
      <c r="F59">
        <v>0</v>
      </c>
      <c r="G59" t="s">
        <v>720</v>
      </c>
    </row>
    <row r="60" spans="1:7" x14ac:dyDescent="0.3">
      <c r="A60" t="s">
        <v>191</v>
      </c>
      <c r="B60">
        <v>18</v>
      </c>
      <c r="C60">
        <v>3</v>
      </c>
      <c r="D60" t="s">
        <v>199</v>
      </c>
      <c r="E60" t="s">
        <v>1036</v>
      </c>
      <c r="F60">
        <v>1</v>
      </c>
      <c r="G60"/>
    </row>
    <row r="61" spans="1:7" x14ac:dyDescent="0.3">
      <c r="A61" t="s">
        <v>191</v>
      </c>
      <c r="B61">
        <v>21</v>
      </c>
      <c r="C61">
        <v>1</v>
      </c>
      <c r="D61" t="s">
        <v>1131</v>
      </c>
      <c r="E61" t="s">
        <v>1133</v>
      </c>
      <c r="F61" t="s">
        <v>48</v>
      </c>
      <c r="G61"/>
    </row>
    <row r="62" spans="1:7" x14ac:dyDescent="0.3">
      <c r="A62" t="s">
        <v>191</v>
      </c>
      <c r="B62">
        <v>22</v>
      </c>
      <c r="C62">
        <v>1</v>
      </c>
      <c r="D62" t="s">
        <v>1135</v>
      </c>
      <c r="E62" t="s">
        <v>1139</v>
      </c>
      <c r="F62" t="s">
        <v>48</v>
      </c>
      <c r="G62"/>
    </row>
    <row r="63" spans="1:7" x14ac:dyDescent="0.3">
      <c r="A63" t="s">
        <v>191</v>
      </c>
      <c r="B63">
        <v>23</v>
      </c>
      <c r="C63">
        <v>1</v>
      </c>
      <c r="D63" t="s">
        <v>1136</v>
      </c>
      <c r="E63" t="s">
        <v>1140</v>
      </c>
      <c r="F63" t="s">
        <v>48</v>
      </c>
      <c r="G63"/>
    </row>
    <row r="64" spans="1:7" x14ac:dyDescent="0.3">
      <c r="A64" t="s">
        <v>191</v>
      </c>
      <c r="B64">
        <v>24</v>
      </c>
      <c r="C64">
        <v>4</v>
      </c>
      <c r="D64" t="s">
        <v>201</v>
      </c>
      <c r="E64" t="s">
        <v>1037</v>
      </c>
      <c r="F64">
        <v>1</v>
      </c>
      <c r="G64"/>
    </row>
    <row r="65" spans="1:7" x14ac:dyDescent="0.3">
      <c r="A65" t="s">
        <v>191</v>
      </c>
      <c r="B65">
        <v>28</v>
      </c>
      <c r="C65">
        <v>4</v>
      </c>
      <c r="D65" t="s">
        <v>203</v>
      </c>
      <c r="E65" t="s">
        <v>1038</v>
      </c>
      <c r="F65">
        <v>1</v>
      </c>
      <c r="G65"/>
    </row>
    <row r="66" spans="1:7" x14ac:dyDescent="0.3">
      <c r="A66" t="s">
        <v>32</v>
      </c>
      <c r="B66">
        <v>0</v>
      </c>
      <c r="C66">
        <v>1</v>
      </c>
      <c r="D66" t="s">
        <v>206</v>
      </c>
      <c r="E66" t="s">
        <v>1039</v>
      </c>
      <c r="F66">
        <v>0</v>
      </c>
      <c r="G66" t="s">
        <v>793</v>
      </c>
    </row>
    <row r="67" spans="1:7" x14ac:dyDescent="0.3">
      <c r="A67" t="s">
        <v>32</v>
      </c>
      <c r="B67">
        <v>1</v>
      </c>
      <c r="C67">
        <v>1</v>
      </c>
      <c r="D67" t="s">
        <v>207</v>
      </c>
      <c r="E67" t="s">
        <v>1040</v>
      </c>
      <c r="F67">
        <v>0</v>
      </c>
      <c r="G67" t="s">
        <v>794</v>
      </c>
    </row>
    <row r="68" spans="1:7" x14ac:dyDescent="0.3">
      <c r="A68" t="s">
        <v>32</v>
      </c>
      <c r="B68">
        <v>2</v>
      </c>
      <c r="C68">
        <v>1</v>
      </c>
      <c r="D68" t="s">
        <v>208</v>
      </c>
      <c r="E68" t="s">
        <v>1041</v>
      </c>
      <c r="F68">
        <v>0</v>
      </c>
      <c r="G68" t="s">
        <v>795</v>
      </c>
    </row>
    <row r="69" spans="1:7" x14ac:dyDescent="0.3">
      <c r="A69" t="s">
        <v>32</v>
      </c>
      <c r="B69">
        <v>3</v>
      </c>
      <c r="C69">
        <v>1</v>
      </c>
      <c r="D69" t="s">
        <v>209</v>
      </c>
      <c r="E69" t="s">
        <v>1042</v>
      </c>
      <c r="F69">
        <v>1</v>
      </c>
      <c r="G69" t="s">
        <v>667</v>
      </c>
    </row>
    <row r="70" spans="1:7" x14ac:dyDescent="0.3">
      <c r="A70" t="s">
        <v>32</v>
      </c>
      <c r="B70">
        <v>4</v>
      </c>
      <c r="C70">
        <v>1</v>
      </c>
      <c r="D70" t="s">
        <v>211</v>
      </c>
      <c r="E70" t="s">
        <v>1043</v>
      </c>
      <c r="F70">
        <v>1</v>
      </c>
      <c r="G70" t="s">
        <v>1107</v>
      </c>
    </row>
    <row r="71" spans="1:7" x14ac:dyDescent="0.3">
      <c r="A71" t="s">
        <v>32</v>
      </c>
      <c r="B71">
        <v>5</v>
      </c>
      <c r="C71">
        <v>1</v>
      </c>
      <c r="D71" t="s">
        <v>213</v>
      </c>
      <c r="E71" t="s">
        <v>1044</v>
      </c>
      <c r="F71" t="s">
        <v>48</v>
      </c>
      <c r="G71" t="s">
        <v>1107</v>
      </c>
    </row>
    <row r="72" spans="1:7" x14ac:dyDescent="0.3">
      <c r="A72" t="s">
        <v>32</v>
      </c>
      <c r="B72">
        <v>6</v>
      </c>
      <c r="C72">
        <v>1</v>
      </c>
      <c r="D72" t="s">
        <v>216</v>
      </c>
      <c r="E72" t="s">
        <v>1045</v>
      </c>
      <c r="F72">
        <v>0</v>
      </c>
      <c r="G72" t="s">
        <v>796</v>
      </c>
    </row>
    <row r="73" spans="1:7" x14ac:dyDescent="0.3">
      <c r="A73" t="s">
        <v>32</v>
      </c>
      <c r="B73">
        <v>7</v>
      </c>
      <c r="C73">
        <v>1</v>
      </c>
      <c r="D73" t="s">
        <v>218</v>
      </c>
      <c r="E73" t="s">
        <v>1046</v>
      </c>
      <c r="F73">
        <v>0</v>
      </c>
      <c r="G73" t="s">
        <v>797</v>
      </c>
    </row>
    <row r="74" spans="1:7" x14ac:dyDescent="0.3">
      <c r="A74" t="s">
        <v>32</v>
      </c>
      <c r="B74">
        <v>8</v>
      </c>
      <c r="C74">
        <v>1</v>
      </c>
      <c r="D74" t="s">
        <v>219</v>
      </c>
      <c r="E74" t="s">
        <v>1047</v>
      </c>
      <c r="F74">
        <v>1</v>
      </c>
      <c r="G74" t="s">
        <v>667</v>
      </c>
    </row>
    <row r="75" spans="1:7" x14ac:dyDescent="0.3">
      <c r="A75" t="s">
        <v>32</v>
      </c>
      <c r="B75">
        <v>9</v>
      </c>
      <c r="C75">
        <v>7</v>
      </c>
      <c r="D75" t="s">
        <v>223</v>
      </c>
      <c r="E75" t="s">
        <v>1048</v>
      </c>
      <c r="F75">
        <v>0</v>
      </c>
      <c r="G75" t="s">
        <v>798</v>
      </c>
    </row>
    <row r="76" spans="1:7" x14ac:dyDescent="0.3">
      <c r="A76" t="s">
        <v>32</v>
      </c>
      <c r="B76">
        <v>16</v>
      </c>
      <c r="C76">
        <v>1</v>
      </c>
      <c r="D76" t="s">
        <v>225</v>
      </c>
      <c r="E76" t="s">
        <v>1049</v>
      </c>
      <c r="F76">
        <v>1</v>
      </c>
      <c r="G76" t="s">
        <v>17</v>
      </c>
    </row>
    <row r="77" spans="1:7" x14ac:dyDescent="0.3">
      <c r="A77" t="s">
        <v>32</v>
      </c>
      <c r="B77">
        <v>17</v>
      </c>
      <c r="C77">
        <v>1</v>
      </c>
      <c r="D77" t="s">
        <v>673</v>
      </c>
      <c r="E77" t="s">
        <v>1050</v>
      </c>
      <c r="F77">
        <v>1</v>
      </c>
      <c r="G77" t="s">
        <v>17</v>
      </c>
    </row>
    <row r="78" spans="1:7" x14ac:dyDescent="0.3">
      <c r="A78" t="s">
        <v>32</v>
      </c>
      <c r="B78">
        <v>18</v>
      </c>
      <c r="C78">
        <v>1</v>
      </c>
      <c r="D78" t="s">
        <v>229</v>
      </c>
      <c r="E78" t="s">
        <v>1051</v>
      </c>
      <c r="F78">
        <v>0</v>
      </c>
      <c r="G78" t="s">
        <v>799</v>
      </c>
    </row>
    <row r="79" spans="1:7" x14ac:dyDescent="0.3">
      <c r="A79" t="s">
        <v>32</v>
      </c>
      <c r="B79">
        <v>19</v>
      </c>
      <c r="C79">
        <v>1</v>
      </c>
      <c r="D79" t="s">
        <v>231</v>
      </c>
      <c r="E79" t="s">
        <v>1052</v>
      </c>
      <c r="F79">
        <v>0</v>
      </c>
      <c r="G79" t="s">
        <v>800</v>
      </c>
    </row>
    <row r="80" spans="1:7" x14ac:dyDescent="0.3">
      <c r="A80" t="s">
        <v>32</v>
      </c>
      <c r="B80">
        <v>20</v>
      </c>
      <c r="C80">
        <v>1</v>
      </c>
      <c r="D80" t="s">
        <v>233</v>
      </c>
      <c r="E80" t="s">
        <v>1053</v>
      </c>
      <c r="F80">
        <v>0</v>
      </c>
      <c r="G80" t="s">
        <v>801</v>
      </c>
    </row>
    <row r="81" spans="1:7" x14ac:dyDescent="0.3">
      <c r="A81" t="s">
        <v>32</v>
      </c>
      <c r="B81">
        <v>21</v>
      </c>
      <c r="C81">
        <v>1</v>
      </c>
      <c r="D81" t="s">
        <v>235</v>
      </c>
      <c r="E81" t="s">
        <v>1054</v>
      </c>
      <c r="F81">
        <v>1</v>
      </c>
      <c r="G81" t="s">
        <v>17</v>
      </c>
    </row>
    <row r="82" spans="1:7" x14ac:dyDescent="0.3">
      <c r="A82" t="s">
        <v>32</v>
      </c>
      <c r="B82">
        <v>22</v>
      </c>
      <c r="C82">
        <v>1</v>
      </c>
      <c r="D82" t="s">
        <v>886</v>
      </c>
      <c r="E82" t="s">
        <v>1055</v>
      </c>
      <c r="F82" t="s">
        <v>48</v>
      </c>
      <c r="G82" t="s">
        <v>17</v>
      </c>
    </row>
    <row r="83" spans="1:7" x14ac:dyDescent="0.3">
      <c r="A83" t="s">
        <v>32</v>
      </c>
      <c r="B83">
        <v>23</v>
      </c>
      <c r="C83">
        <v>1</v>
      </c>
      <c r="D83" t="s">
        <v>887</v>
      </c>
      <c r="E83" t="s">
        <v>1056</v>
      </c>
      <c r="F83" t="s">
        <v>48</v>
      </c>
      <c r="G83" t="s">
        <v>17</v>
      </c>
    </row>
    <row r="84" spans="1:7" x14ac:dyDescent="0.3">
      <c r="A84" t="s">
        <v>32</v>
      </c>
      <c r="B84">
        <v>24</v>
      </c>
      <c r="C84">
        <v>1</v>
      </c>
      <c r="D84" t="s">
        <v>238</v>
      </c>
      <c r="E84" t="s">
        <v>1057</v>
      </c>
      <c r="F84">
        <v>1</v>
      </c>
      <c r="G84"/>
    </row>
    <row r="85" spans="1:7" x14ac:dyDescent="0.3">
      <c r="A85" t="s">
        <v>32</v>
      </c>
      <c r="B85">
        <v>25</v>
      </c>
      <c r="C85">
        <v>1</v>
      </c>
      <c r="D85" t="s">
        <v>1104</v>
      </c>
      <c r="E85" t="s">
        <v>1058</v>
      </c>
      <c r="F85">
        <v>1</v>
      </c>
      <c r="G85"/>
    </row>
    <row r="86" spans="1:7" x14ac:dyDescent="0.3">
      <c r="A86" t="s">
        <v>32</v>
      </c>
      <c r="B86">
        <v>26</v>
      </c>
      <c r="C86">
        <v>5</v>
      </c>
      <c r="D86" t="s">
        <v>243</v>
      </c>
      <c r="E86" t="s">
        <v>1059</v>
      </c>
      <c r="F86">
        <v>0</v>
      </c>
      <c r="G86" t="s">
        <v>802</v>
      </c>
    </row>
    <row r="87" spans="1:7" x14ac:dyDescent="0.3">
      <c r="A87" t="s">
        <v>32</v>
      </c>
      <c r="B87">
        <v>31</v>
      </c>
      <c r="C87">
        <v>1</v>
      </c>
      <c r="D87" t="s">
        <v>244</v>
      </c>
      <c r="E87" t="s">
        <v>1060</v>
      </c>
      <c r="F87">
        <v>1</v>
      </c>
      <c r="G87"/>
    </row>
    <row r="88" spans="1:7" x14ac:dyDescent="0.3">
      <c r="A88" t="s">
        <v>34</v>
      </c>
      <c r="B88">
        <v>0</v>
      </c>
      <c r="C88">
        <v>24</v>
      </c>
      <c r="D88" t="s">
        <v>254</v>
      </c>
      <c r="E88" t="s">
        <v>1061</v>
      </c>
      <c r="F88">
        <v>1</v>
      </c>
      <c r="G88" t="s">
        <v>17</v>
      </c>
    </row>
    <row r="89" spans="1:7" x14ac:dyDescent="0.3">
      <c r="A89" t="s">
        <v>34</v>
      </c>
      <c r="B89">
        <v>24</v>
      </c>
      <c r="C89">
        <v>5</v>
      </c>
      <c r="D89" t="s">
        <v>255</v>
      </c>
      <c r="E89" t="s">
        <v>1062</v>
      </c>
      <c r="F89">
        <v>1</v>
      </c>
      <c r="G89" t="s">
        <v>17</v>
      </c>
    </row>
    <row r="90" spans="1:7" x14ac:dyDescent="0.3">
      <c r="A90" t="s">
        <v>34</v>
      </c>
      <c r="B90">
        <v>29</v>
      </c>
      <c r="C90">
        <v>2</v>
      </c>
      <c r="D90" t="s">
        <v>256</v>
      </c>
      <c r="E90" t="s">
        <v>1063</v>
      </c>
      <c r="F90">
        <v>1</v>
      </c>
      <c r="G90" t="s">
        <v>17</v>
      </c>
    </row>
    <row r="91" spans="1:7" x14ac:dyDescent="0.3">
      <c r="A91" t="s">
        <v>34</v>
      </c>
      <c r="B91">
        <v>31</v>
      </c>
      <c r="C91">
        <v>1</v>
      </c>
      <c r="D91" t="s">
        <v>257</v>
      </c>
      <c r="E91" t="s">
        <v>1064</v>
      </c>
      <c r="F91">
        <v>1</v>
      </c>
      <c r="G91" t="s">
        <v>17</v>
      </c>
    </row>
    <row r="92" spans="1:7" x14ac:dyDescent="0.3">
      <c r="A92" t="s">
        <v>38</v>
      </c>
      <c r="B92">
        <v>0</v>
      </c>
      <c r="C92">
        <v>16</v>
      </c>
      <c r="D92" t="s">
        <v>262</v>
      </c>
      <c r="E92" t="s">
        <v>51</v>
      </c>
      <c r="F92">
        <v>1</v>
      </c>
      <c r="G92"/>
    </row>
    <row r="93" spans="1:7" x14ac:dyDescent="0.3">
      <c r="A93" t="s">
        <v>38</v>
      </c>
      <c r="B93">
        <v>16</v>
      </c>
      <c r="C93">
        <v>8</v>
      </c>
      <c r="D93" t="s">
        <v>263</v>
      </c>
      <c r="E93" t="s">
        <v>1084</v>
      </c>
      <c r="F93">
        <v>1</v>
      </c>
      <c r="G93"/>
    </row>
    <row r="94" spans="1:7" x14ac:dyDescent="0.3">
      <c r="A94" t="s">
        <v>38</v>
      </c>
      <c r="B94">
        <v>24</v>
      </c>
      <c r="C94">
        <v>4</v>
      </c>
      <c r="D94" t="s">
        <v>264</v>
      </c>
      <c r="E94" t="s">
        <v>1084</v>
      </c>
      <c r="F94">
        <v>1</v>
      </c>
      <c r="G94"/>
    </row>
    <row r="95" spans="1:7" x14ac:dyDescent="0.3">
      <c r="A95" t="s">
        <v>38</v>
      </c>
      <c r="B95">
        <v>28</v>
      </c>
      <c r="C95">
        <v>4</v>
      </c>
      <c r="D95" t="s">
        <v>265</v>
      </c>
      <c r="E95" t="s">
        <v>1085</v>
      </c>
      <c r="F95">
        <v>1</v>
      </c>
      <c r="G95"/>
    </row>
    <row r="96" spans="1:7" x14ac:dyDescent="0.3">
      <c r="A96" t="s">
        <v>52</v>
      </c>
      <c r="B96">
        <v>0</v>
      </c>
      <c r="C96">
        <v>1</v>
      </c>
      <c r="D96" t="s">
        <v>546</v>
      </c>
      <c r="E96" t="s">
        <v>48</v>
      </c>
      <c r="F96">
        <v>1</v>
      </c>
      <c r="G96" t="s">
        <v>17</v>
      </c>
    </row>
    <row r="97" spans="1:7" x14ac:dyDescent="0.3">
      <c r="A97" t="s">
        <v>52</v>
      </c>
      <c r="B97">
        <v>1</v>
      </c>
      <c r="C97">
        <v>1</v>
      </c>
      <c r="D97" t="s">
        <v>547</v>
      </c>
      <c r="E97" t="s">
        <v>48</v>
      </c>
      <c r="F97">
        <v>1</v>
      </c>
      <c r="G97" t="s">
        <v>17</v>
      </c>
    </row>
    <row r="98" spans="1:7" x14ac:dyDescent="0.3">
      <c r="A98" t="s">
        <v>52</v>
      </c>
      <c r="B98">
        <v>2</v>
      </c>
      <c r="C98">
        <v>30</v>
      </c>
      <c r="D98" t="s">
        <v>664</v>
      </c>
      <c r="E98" t="s">
        <v>48</v>
      </c>
      <c r="F98">
        <v>1</v>
      </c>
      <c r="G98" t="s">
        <v>17</v>
      </c>
    </row>
    <row r="99" spans="1:7" x14ac:dyDescent="0.3">
      <c r="A99" t="s">
        <v>353</v>
      </c>
      <c r="B99">
        <v>0</v>
      </c>
      <c r="C99">
        <v>1</v>
      </c>
      <c r="D99" t="s">
        <v>548</v>
      </c>
      <c r="E99" t="s">
        <v>48</v>
      </c>
      <c r="F99">
        <v>1</v>
      </c>
      <c r="G99" t="s">
        <v>17</v>
      </c>
    </row>
    <row r="100" spans="1:7" x14ac:dyDescent="0.3">
      <c r="A100" t="s">
        <v>353</v>
      </c>
      <c r="B100">
        <v>1</v>
      </c>
      <c r="C100">
        <v>31</v>
      </c>
      <c r="D100" t="s">
        <v>663</v>
      </c>
      <c r="E100" t="s">
        <v>48</v>
      </c>
      <c r="F100">
        <v>1</v>
      </c>
      <c r="G100" t="s">
        <v>17</v>
      </c>
    </row>
  </sheetData>
  <dataValidations count="1">
    <dataValidation type="list" allowBlank="1" showInputMessage="1" showErrorMessage="1" sqref="F1" xr:uid="{634FBEF8-0CEC-4457-B94C-8D0B85271D97}">
      <formula1>$N$1:$P$1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Sheet16.CheckGroup1RegRow">
                <anchor moveWithCells="1" sizeWithCells="1">
                  <from>
                    <xdr:col>12</xdr:col>
                    <xdr:colOff>586740</xdr:colOff>
                    <xdr:row>0</xdr:row>
                    <xdr:rowOff>0</xdr:rowOff>
                  </from>
                  <to>
                    <xdr:col>16</xdr:col>
                    <xdr:colOff>601980</xdr:colOff>
                    <xdr:row>1</xdr:row>
                    <xdr:rowOff>76200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02B34-D197-4179-A589-0B1845663591}">
  <sheetPr codeName="Sheet17"/>
  <dimension ref="A1:O46"/>
  <sheetViews>
    <sheetView zoomScaleNormal="100" workbookViewId="0">
      <selection activeCell="D1" sqref="D1"/>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45.44140625" style="15" customWidth="1"/>
    <col min="6" max="6" width="9.5546875" style="15" bestFit="1" customWidth="1"/>
    <col min="7" max="7" width="11.5546875" style="15" bestFit="1" customWidth="1"/>
    <col min="8" max="8" width="13.5546875" style="15" bestFit="1" customWidth="1"/>
    <col min="9" max="9" width="11.33203125" style="15" bestFit="1" customWidth="1"/>
    <col min="10" max="11" width="10.77734375" style="15" bestFit="1"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608</v>
      </c>
      <c r="E1" s="23"/>
    </row>
    <row r="2" spans="1:15" ht="15" thickBot="1" x14ac:dyDescent="0.35">
      <c r="A2" s="166" t="s">
        <v>0</v>
      </c>
      <c r="B2" s="33" t="s">
        <v>1</v>
      </c>
      <c r="C2" s="33" t="s">
        <v>371</v>
      </c>
      <c r="D2" s="33" t="s">
        <v>2</v>
      </c>
      <c r="E2" s="30" t="s">
        <v>423</v>
      </c>
      <c r="F2" s="66" t="s">
        <v>3</v>
      </c>
      <c r="G2" s="67" t="s">
        <v>4</v>
      </c>
      <c r="H2" s="67" t="s">
        <v>5</v>
      </c>
      <c r="I2" s="67" t="s">
        <v>6</v>
      </c>
      <c r="J2" s="67" t="s">
        <v>385</v>
      </c>
      <c r="K2" s="67" t="s">
        <v>386</v>
      </c>
      <c r="L2" s="67" t="s">
        <v>624</v>
      </c>
      <c r="M2" s="67" t="s">
        <v>7</v>
      </c>
      <c r="N2" s="67" t="s">
        <v>8</v>
      </c>
      <c r="O2" s="96" t="s">
        <v>626</v>
      </c>
    </row>
    <row r="3" spans="1:15" ht="15" customHeight="1" x14ac:dyDescent="0.3">
      <c r="A3" s="350" t="s">
        <v>809</v>
      </c>
      <c r="B3" s="43" t="s">
        <v>395</v>
      </c>
      <c r="C3" s="43" t="s">
        <v>395</v>
      </c>
      <c r="D3" s="43" t="s">
        <v>10</v>
      </c>
      <c r="E3" s="164" t="str">
        <f>Config!AD66</f>
        <v>This parameter is used to define Security Key Fuses for the Identity. This parameter shows bit size of HVM fuse. 
Current Security Key Fuse size is 512 bits. When this parameter is set to ‘0’, this HVM fuse is removed.</v>
      </c>
      <c r="F3" s="184"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323" t="s">
        <v>367</v>
      </c>
      <c r="N3" s="326" t="s">
        <v>14</v>
      </c>
      <c r="O3" s="327">
        <f ca="1">($G3+$G4+$G5+$G6+$G7)</f>
        <v>1056</v>
      </c>
    </row>
    <row r="4" spans="1:15" ht="15" customHeight="1" x14ac:dyDescent="0.3">
      <c r="A4" s="350"/>
      <c r="B4" s="35" t="s">
        <v>396</v>
      </c>
      <c r="C4" s="35" t="s">
        <v>396</v>
      </c>
      <c r="D4" s="35" t="s">
        <v>10</v>
      </c>
      <c r="E4" s="177" t="str">
        <f>Config!AD67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324"/>
      <c r="N4" s="324"/>
      <c r="O4" s="328"/>
    </row>
    <row r="5" spans="1:15" ht="15" customHeight="1" x14ac:dyDescent="0.3">
      <c r="A5" s="350"/>
      <c r="B5" s="35" t="s">
        <v>397</v>
      </c>
      <c r="C5" s="35" t="s">
        <v>397</v>
      </c>
      <c r="D5" s="35" t="s">
        <v>15</v>
      </c>
      <c r="E5" s="177" t="str">
        <f>Config!AD68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324"/>
      <c r="N5" s="324"/>
      <c r="O5" s="328"/>
    </row>
    <row r="6" spans="1:15" ht="15" customHeight="1" x14ac:dyDescent="0.3">
      <c r="A6" s="350"/>
      <c r="B6" s="69" t="s">
        <v>398</v>
      </c>
      <c r="C6" s="69" t="s">
        <v>398</v>
      </c>
      <c r="D6" s="35" t="s">
        <v>15</v>
      </c>
      <c r="E6" s="177" t="str">
        <f>Config!AD69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324"/>
      <c r="N6" s="324"/>
      <c r="O6" s="328"/>
    </row>
    <row r="7" spans="1:15" ht="15" customHeight="1" thickBot="1" x14ac:dyDescent="0.35">
      <c r="A7" s="350"/>
      <c r="B7" s="70" t="s">
        <v>421</v>
      </c>
      <c r="C7" s="77" t="s">
        <v>421</v>
      </c>
      <c r="D7" s="74" t="s">
        <v>10</v>
      </c>
      <c r="E7" s="165" t="str">
        <f>Config!AD70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0"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325"/>
      <c r="N7" s="325"/>
      <c r="O7" s="329"/>
    </row>
    <row r="8" spans="1:15" ht="15" customHeight="1" x14ac:dyDescent="0.3">
      <c r="A8" s="351" t="s">
        <v>883</v>
      </c>
      <c r="B8" s="71" t="s">
        <v>16</v>
      </c>
      <c r="C8" s="71" t="s">
        <v>16</v>
      </c>
      <c r="D8" s="34" t="s">
        <v>17</v>
      </c>
      <c r="E8" s="183" t="str">
        <f>Config!AD72</f>
        <v xml:space="preserve">This parameter is used to define iKGF signature for On Die CA. This parameter shows bit size of HVM fuse. 
Current signature size is 768 bits. When this parameter is set to ‘0’, this HVM fuse is removed. </v>
      </c>
      <c r="F8" s="181" t="s">
        <v>18</v>
      </c>
      <c r="G8" s="65">
        <f ca="1">IF($C8="No Param",32,VLOOKUP($C8,INDIRECT(Config!$B$1),HLOOKUP(D$1,INDIRECT(Config!$E$1),2,FALSE),FALSE))</f>
        <v>768</v>
      </c>
      <c r="H8" s="64" t="s">
        <v>558</v>
      </c>
      <c r="I8" s="64" t="s">
        <v>19</v>
      </c>
      <c r="J8" s="64" t="s">
        <v>48</v>
      </c>
      <c r="K8" s="64">
        <v>0</v>
      </c>
      <c r="L8" s="24" t="str">
        <f ca="1">IF(VLOOKUP("EXT_FUSE_PULL_SUPP", INDIRECT(Config!$B$1),HLOOKUP(D$1,INDIRECT(Config!$E$1),2,FALSE),FALSE)=1, IF(G8&gt;0,CONCATENATE(C8,"[",G8-1,":0]"), ""), "")</f>
        <v/>
      </c>
      <c r="M8" s="330" t="s">
        <v>368</v>
      </c>
      <c r="N8" s="333" t="s">
        <v>20</v>
      </c>
      <c r="O8" s="335">
        <f ca="1">($G8+$G9+$G10+$G13)</f>
        <v>960</v>
      </c>
    </row>
    <row r="9" spans="1:15" ht="15" customHeight="1" x14ac:dyDescent="0.3">
      <c r="A9" s="352"/>
      <c r="B9" s="72" t="s">
        <v>399</v>
      </c>
      <c r="C9" s="72" t="s">
        <v>399</v>
      </c>
      <c r="D9" s="35" t="s">
        <v>17</v>
      </c>
      <c r="E9" s="177" t="str">
        <f>Config!AD73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4" t="s">
        <v>48</v>
      </c>
      <c r="K9" s="134">
        <v>0</v>
      </c>
      <c r="L9" s="16" t="str">
        <f ca="1">IF(VLOOKUP("EXT_FUSE_PULL_SUPP", INDIRECT(Config!$B$1),HLOOKUP(D$1,INDIRECT(Config!$E$1),2,FALSE),FALSE)=1, IF(G9&gt;0,CONCATENATE(C9,"[",G9-1,":0]"), ""), "")</f>
        <v/>
      </c>
      <c r="M9" s="331"/>
      <c r="N9" s="324"/>
      <c r="O9" s="328"/>
    </row>
    <row r="10" spans="1:15" ht="15" customHeight="1" x14ac:dyDescent="0.3">
      <c r="A10" s="352"/>
      <c r="B10" s="44" t="s">
        <v>22</v>
      </c>
      <c r="C10" s="44" t="s">
        <v>22</v>
      </c>
      <c r="D10" s="35" t="s">
        <v>17</v>
      </c>
      <c r="E10" s="177" t="str">
        <f>Config!AD74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4" t="s">
        <v>48</v>
      </c>
      <c r="K10" s="134">
        <v>0</v>
      </c>
      <c r="L10" s="16" t="str">
        <f ca="1">IF(VLOOKUP("EXT_FUSE_PULL_SUPP", INDIRECT(Config!$B$1),HLOOKUP(D$1,INDIRECT(Config!$E$1),2,FALSE),FALSE)=1, IF(G10&gt;0,CONCATENATE(C10,"[",G10-1,":0]"), ""), "")</f>
        <v/>
      </c>
      <c r="M10" s="331"/>
      <c r="N10" s="324"/>
      <c r="O10" s="328"/>
    </row>
    <row r="11" spans="1:15" ht="15" customHeight="1" x14ac:dyDescent="0.3">
      <c r="A11" s="352"/>
      <c r="B11" s="168" t="s">
        <v>21</v>
      </c>
      <c r="C11" s="167" t="s">
        <v>21</v>
      </c>
      <c r="D11" s="15" t="s">
        <v>17</v>
      </c>
      <c r="E11" s="78" t="s">
        <v>515</v>
      </c>
      <c r="F11" s="146"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331"/>
      <c r="N11" s="324"/>
      <c r="O11" s="328"/>
    </row>
    <row r="12" spans="1:15" ht="15" customHeight="1" x14ac:dyDescent="0.3">
      <c r="A12" s="352"/>
      <c r="B12" s="72" t="s">
        <v>882</v>
      </c>
      <c r="C12" s="72" t="s">
        <v>882</v>
      </c>
      <c r="D12" s="153" t="s">
        <v>17</v>
      </c>
      <c r="E12" s="187" t="s">
        <v>881</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332"/>
      <c r="N12" s="334"/>
      <c r="O12" s="336"/>
    </row>
    <row r="13" spans="1:15" ht="15" customHeight="1" thickBot="1" x14ac:dyDescent="0.35">
      <c r="A13" s="353"/>
      <c r="B13" s="169" t="s">
        <v>422</v>
      </c>
      <c r="C13" s="169" t="s">
        <v>422</v>
      </c>
      <c r="D13" s="188" t="s">
        <v>17</v>
      </c>
      <c r="E13" s="189" t="s">
        <v>518</v>
      </c>
      <c r="F13" s="190" t="s">
        <v>18</v>
      </c>
      <c r="G13" s="194">
        <f ca="1">IF($C13="No Param",32,VLOOKUP($C13,INDIRECT(Config!$B$1),HLOOKUP(D$1,INDIRECT(Config!$E$1),2,FALSE),FALSE))</f>
        <v>0</v>
      </c>
      <c r="H13" s="192" t="str">
        <f ca="1">IF(G13=0, "N/A", CONCATENATE("0x",DEC2HEX(HEX2DEC(SUBSTITUTE(H8,"0x",""))+(G8+G9+G10+G11+G12)/8)))</f>
        <v>N/A</v>
      </c>
      <c r="I13" s="192" t="str">
        <f ca="1">IF(G13=0, "N/A", CONCATENATE("0x",DEC2HEX(HEX2DEC(SUBSTITUTE(I8,"0x",""))+(G8+G9+G10+G11+G12)/8)))</f>
        <v>N/A</v>
      </c>
      <c r="J13" s="192" t="s">
        <v>48</v>
      </c>
      <c r="K13" s="192">
        <v>0</v>
      </c>
      <c r="L13" s="26" t="str">
        <f ca="1">IF(VLOOKUP("EXT_FUSE_PULL_SUPP", INDIRECT(Config!$B$1),HLOOKUP(D$1,INDIRECT(Config!$E$1),2,FALSE),FALSE)=1, IF(G13&gt;0,CONCATENATE(C13,"[",G13-1,":0]"), ""), "")</f>
        <v/>
      </c>
      <c r="M13" s="332"/>
      <c r="N13" s="334"/>
      <c r="O13" s="336"/>
    </row>
    <row r="14" spans="1:15" ht="15" customHeight="1" x14ac:dyDescent="0.3">
      <c r="A14" s="347" t="s">
        <v>23</v>
      </c>
      <c r="B14" s="34" t="s">
        <v>24</v>
      </c>
      <c r="C14" s="36" t="s">
        <v>612</v>
      </c>
      <c r="D14" s="342" t="s">
        <v>25</v>
      </c>
      <c r="E14" s="121"/>
      <c r="F14" s="111" t="s">
        <v>26</v>
      </c>
      <c r="G14" s="60">
        <f ca="1">IF($C14="No Param",32,VLOOKUP($C14,INDIRECT(Config!$B$1),HLOOKUP(D$1,INDIRECT(Config!$E$1),2,FALSE),FALSE)*32)</f>
        <v>32</v>
      </c>
      <c r="H14" s="24" t="s">
        <v>27</v>
      </c>
      <c r="I14" s="24" t="s">
        <v>28</v>
      </c>
      <c r="J14" s="24" t="s">
        <v>1078</v>
      </c>
      <c r="K14" s="24" t="s">
        <v>1091</v>
      </c>
      <c r="L14" s="236" t="str">
        <f ca="1">IF(VLOOKUP("EXT_FUSE_PULL_SUPP", INDIRECT(Config!$B$1),HLOOKUP(D$1,INDIRECT(Config!$E$1),2,FALSE),FALSE)=1, IF(G14&gt;0,CONCATENATE("CSME_HW_FW_Config_fuses[",G14-1,":0]"), ""), "")</f>
        <v/>
      </c>
      <c r="M14" s="323" t="s">
        <v>369</v>
      </c>
      <c r="N14" s="326" t="s">
        <v>29</v>
      </c>
      <c r="O14" s="327">
        <f ca="1">(4*32+G18+G19+G20+G21+G22+G23)</f>
        <v>160</v>
      </c>
    </row>
    <row r="15" spans="1:15" x14ac:dyDescent="0.3">
      <c r="A15" s="348"/>
      <c r="B15" s="35" t="s">
        <v>30</v>
      </c>
      <c r="C15" s="37" t="s">
        <v>612</v>
      </c>
      <c r="D15" s="343"/>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1079</v>
      </c>
      <c r="K15" s="16" t="s">
        <v>1089</v>
      </c>
      <c r="L15" s="3" t="str">
        <f ca="1">IF(VLOOKUP("EXT_FUSE_PULL_SUPP", INDIRECT(Config!$B$1),HLOOKUP(D$1,INDIRECT(Config!$E$1),2,FALSE),FALSE)=1, IF(G15&gt;0,CONCATENATE("CSME_HW_FW_Config_fuses[",G15-1+G14,":",G14,"]"), ""), "")</f>
        <v/>
      </c>
      <c r="M15" s="344"/>
      <c r="N15" s="324"/>
      <c r="O15" s="328"/>
    </row>
    <row r="16" spans="1:15" x14ac:dyDescent="0.3">
      <c r="A16" s="348"/>
      <c r="B16" s="35" t="s">
        <v>31</v>
      </c>
      <c r="C16" s="37" t="s">
        <v>612</v>
      </c>
      <c r="D16" s="343"/>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1082</v>
      </c>
      <c r="K16" s="16" t="s">
        <v>1102</v>
      </c>
      <c r="L16" s="3" t="str">
        <f ca="1">IF(VLOOKUP("EXT_FUSE_PULL_SUPP", INDIRECT(Config!$B$1),HLOOKUP(D$1,INDIRECT(Config!$E$1),2,FALSE),FALSE)=1, IF(G16&gt;0,CONCATENATE("CSME_HW_FW_Config_fuses[",G16-1+G15+G14,":",G15+G14,"]"), ""), "")</f>
        <v/>
      </c>
      <c r="M16" s="344"/>
      <c r="N16" s="324"/>
      <c r="O16" s="328"/>
    </row>
    <row r="17" spans="1:15" x14ac:dyDescent="0.3">
      <c r="A17" s="348"/>
      <c r="B17" s="35" t="s">
        <v>32</v>
      </c>
      <c r="C17" s="37" t="s">
        <v>612</v>
      </c>
      <c r="D17" s="343"/>
      <c r="E17" s="122"/>
      <c r="F17" s="68" t="s">
        <v>26</v>
      </c>
      <c r="G17" s="39">
        <f ca="1">IF($C17="No Param",32,VLOOKUP($C17,INDIRECT(Config!$B$1),HLOOKUP(D$1,INDIRECT(Config!$E$1),2,FALSE),FALSE)*32)</f>
        <v>32</v>
      </c>
      <c r="H17" s="16" t="str">
        <f ca="1">CONCATENATE("0x",DEC2HEX(HEX2DEC(SUBSTITUTE(H16,"0x",""))+G16/8))</f>
        <v>0x200C</v>
      </c>
      <c r="I17" s="16" t="s">
        <v>33</v>
      </c>
      <c r="J17" s="16" t="s">
        <v>1081</v>
      </c>
      <c r="K17" s="16" t="s">
        <v>1101</v>
      </c>
      <c r="L17" s="3" t="str">
        <f ca="1">IF(VLOOKUP("EXT_FUSE_PULL_SUPP", INDIRECT(Config!$B$1),HLOOKUP(D$1,INDIRECT(Config!$E$1),2,FALSE),FALSE)=1, IF(G17&gt;0,CONCATENATE("CSME_HW_FW_Config_fuses[",G17-1+G16+G15+G14,":",G16+G15+G14,"]"), ""), "")</f>
        <v/>
      </c>
      <c r="M17" s="344"/>
      <c r="N17" s="324"/>
      <c r="O17" s="328"/>
    </row>
    <row r="18" spans="1:15" x14ac:dyDescent="0.3">
      <c r="A18" s="348"/>
      <c r="B18" s="35" t="s">
        <v>34</v>
      </c>
      <c r="C18" s="35" t="s">
        <v>253</v>
      </c>
      <c r="D18" s="343"/>
      <c r="E18" s="122"/>
      <c r="F18" s="68" t="s">
        <v>26</v>
      </c>
      <c r="G18" s="39">
        <f ca="1">IF($C18="No Param",32,VLOOKUP($C18,INDIRECT(Config!$B$1),HLOOKUP(D$1,INDIRECT(Config!$E$1),2,FALSE),FALSE)*32)</f>
        <v>32</v>
      </c>
      <c r="H18" s="16" t="str">
        <f ca="1">IF(G18=0, "N/A", CONCATENATE("0x",DEC2HEX(HEX2DEC(SUBSTITUTE(H17,"0x",""))+G17/8)))</f>
        <v>0x2010</v>
      </c>
      <c r="I18" s="16" t="s">
        <v>35</v>
      </c>
      <c r="J18" s="200" t="s">
        <v>387</v>
      </c>
      <c r="K18" s="200" t="str">
        <f ca="1">IF(G18=0,"N/A","0x00000000")</f>
        <v>0x00000000</v>
      </c>
      <c r="L18" s="3" t="str">
        <f ca="1">IF(VLOOKUP("EXT_FUSE_PULL_SUPP", INDIRECT(Config!$B$1),HLOOKUP(D$1,INDIRECT(Config!$E$1),2,FALSE),FALSE)=1, IF(G18&gt;0,CONCATENATE("CSME_HW_FW_Config_fusess[",G18-1+G17+G16+G15+G14,":",G17+G16+G15+G14,"]"), ""), "")</f>
        <v/>
      </c>
      <c r="M18" s="344"/>
      <c r="N18" s="324"/>
      <c r="O18" s="328"/>
    </row>
    <row r="19" spans="1:15" x14ac:dyDescent="0.3">
      <c r="A19" s="348"/>
      <c r="B19" s="35" t="s">
        <v>36</v>
      </c>
      <c r="C19" s="73" t="s">
        <v>214</v>
      </c>
      <c r="D19" s="343"/>
      <c r="E19" s="122"/>
      <c r="F19" s="68" t="s">
        <v>26</v>
      </c>
      <c r="G19" s="39">
        <f ca="1">IF($C19="No Param",32,VLOOKUP($C19,INDIRECT(Config!$B$1),HLOOKUP(D$1,INDIRECT(Config!$E$1),2,FALSE),FALSE)*32)</f>
        <v>0</v>
      </c>
      <c r="H19" s="16" t="str">
        <f ca="1">IF(G19=0, "N/A", CONCATENATE("0x",DEC2HEX(HEX2DEC(SUBSTITUTE(H18,"0x",""))+G18/8)))</f>
        <v>N/A</v>
      </c>
      <c r="I19" s="16" t="s">
        <v>37</v>
      </c>
      <c r="J19" s="200" t="s">
        <v>387</v>
      </c>
      <c r="K19" s="200" t="s">
        <v>387</v>
      </c>
      <c r="L19" s="3" t="str">
        <f ca="1">IF(VLOOKUP("EXT_FUSE_PULL_SUPP", INDIRECT(Config!$B$1),HLOOKUP(D$1,INDIRECT(Config!$E$1),2,FALSE),FALSE)=1, IF(G19&gt;0,CONCATENATE("CSME_HW_FW_Config_fusess[",G19-1+G18+G17+G16+G15+G14,":",G18+G17+G16+G15+G14,"]"), ""), "")</f>
        <v/>
      </c>
      <c r="M19" s="344"/>
      <c r="N19" s="324"/>
      <c r="O19" s="328"/>
    </row>
    <row r="20" spans="1:15" x14ac:dyDescent="0.3">
      <c r="A20" s="348"/>
      <c r="B20" s="73" t="s">
        <v>246</v>
      </c>
      <c r="C20" s="73" t="s">
        <v>205</v>
      </c>
      <c r="D20" s="343"/>
      <c r="E20" s="122"/>
      <c r="F20" s="68" t="s">
        <v>26</v>
      </c>
      <c r="G20" s="39">
        <f ca="1">IF($C20="No Param",32,VLOOKUP($C20,INDIRECT(Config!$B$1),HLOOKUP(D$1,INDIRECT(Config!$E$1),2,FALSE),FALSE)*32)</f>
        <v>0</v>
      </c>
      <c r="H20" s="16" t="str">
        <f ca="1">IF(G20=0, "N/A", CONCATENATE("0x",DEC2HEX(HEX2DEC(SUBSTITUTE(H18,"0x",""))+(G18+G19)/8)))</f>
        <v>N/A</v>
      </c>
      <c r="I20" s="7" t="s">
        <v>378</v>
      </c>
      <c r="J20" s="201" t="s">
        <v>387</v>
      </c>
      <c r="K20" s="200" t="s">
        <v>387</v>
      </c>
      <c r="L20" s="3" t="str">
        <f ca="1">IF(VLOOKUP("EXT_FUSE_PULL_SUPP", INDIRECT(Config!$B$1),HLOOKUP(D$1,INDIRECT(Config!$E$1),2,FALSE),FALSE)=1, IF(G20&gt;0,CONCATENATE("CSME_HW_FW_Config_fusess[",G20-1+G19+G18+G17+G16+G15+G14,":",G19+G18+G17+G16+G15+G14,"]"), ""), "")</f>
        <v/>
      </c>
      <c r="M20" s="344"/>
      <c r="N20" s="324"/>
      <c r="O20" s="328"/>
    </row>
    <row r="21" spans="1:15" x14ac:dyDescent="0.3">
      <c r="A21" s="348"/>
      <c r="B21" s="73" t="s">
        <v>250</v>
      </c>
      <c r="C21" s="73" t="s">
        <v>390</v>
      </c>
      <c r="D21" s="343"/>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344"/>
      <c r="N21" s="324"/>
      <c r="O21" s="328"/>
    </row>
    <row r="22" spans="1:15" x14ac:dyDescent="0.3">
      <c r="A22" s="348"/>
      <c r="B22" s="73" t="s">
        <v>251</v>
      </c>
      <c r="C22" s="73" t="s">
        <v>390</v>
      </c>
      <c r="D22" s="343"/>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344"/>
      <c r="N22" s="324"/>
      <c r="O22" s="328"/>
    </row>
    <row r="23" spans="1:15" x14ac:dyDescent="0.3">
      <c r="A23" s="348"/>
      <c r="B23" s="73" t="s">
        <v>252</v>
      </c>
      <c r="C23" s="73" t="s">
        <v>390</v>
      </c>
      <c r="D23" s="343"/>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344"/>
      <c r="N23" s="324"/>
      <c r="O23" s="328"/>
    </row>
    <row r="24" spans="1:15" x14ac:dyDescent="0.3">
      <c r="A24" s="348"/>
      <c r="B24" s="35" t="s">
        <v>38</v>
      </c>
      <c r="C24" s="37" t="s">
        <v>612</v>
      </c>
      <c r="D24" s="343"/>
      <c r="E24" s="122"/>
      <c r="F24" s="68" t="s">
        <v>26</v>
      </c>
      <c r="G24" s="39">
        <f ca="1">IF($C24="No Param",32,VLOOKUP($C24,INDIRECT(Config!$B$1),HLOOKUP(D$1,INDIRECT(Config!$E$1),2,FALSE),FALSE)*32)</f>
        <v>32</v>
      </c>
      <c r="H24" s="16" t="s">
        <v>39</v>
      </c>
      <c r="I24" s="16" t="s">
        <v>40</v>
      </c>
      <c r="J24" s="16" t="s">
        <v>48</v>
      </c>
      <c r="K24" s="198" t="s">
        <v>1083</v>
      </c>
      <c r="L24" s="3" t="str">
        <f ca="1">IF(VLOOKUP("EXT_FUSE_PULL_SUPP", INDIRECT(Config!$B$1),HLOOKUP(D$1,INDIRECT(Config!$E$1),2,FALSE),FALSE)=1, IF(G24&gt;0,CONCATENATE("CSME_HW_FW_INT_CHK[",G24-1,":0]"),""), "")</f>
        <v/>
      </c>
      <c r="M24" s="344"/>
      <c r="N24" s="324"/>
      <c r="O24" s="328"/>
    </row>
    <row r="25" spans="1:15" x14ac:dyDescent="0.3">
      <c r="A25" s="347" t="s">
        <v>41</v>
      </c>
      <c r="B25" s="35" t="s">
        <v>42</v>
      </c>
      <c r="C25" s="35" t="s">
        <v>613</v>
      </c>
      <c r="D25" s="343" t="s">
        <v>43</v>
      </c>
      <c r="E25" s="122"/>
      <c r="F25" s="68" t="s">
        <v>44</v>
      </c>
      <c r="G25" s="39">
        <f ca="1">IF($C25="No Param",32,VLOOKUP($C25,INDIRECT(Config!$B$1),HLOOKUP(D$1,INDIRECT(Config!$E$1),2,FALSE),FALSE)*32)</f>
        <v>32</v>
      </c>
      <c r="H25" s="16" t="str">
        <f ca="1">IF(G25=0,"N/A","0x8000")</f>
        <v>0x8000</v>
      </c>
      <c r="I25" s="16" t="s">
        <v>45</v>
      </c>
      <c r="J25" s="16" t="s">
        <v>48</v>
      </c>
      <c r="K25" s="16" t="s">
        <v>387</v>
      </c>
      <c r="L25" s="3"/>
      <c r="M25" s="344" t="s">
        <v>370</v>
      </c>
      <c r="N25" s="324"/>
      <c r="O25" s="328">
        <f ca="1">(G25+G26)</f>
        <v>64</v>
      </c>
    </row>
    <row r="26" spans="1:15" ht="15" thickBot="1" x14ac:dyDescent="0.35">
      <c r="A26" s="349"/>
      <c r="B26" s="74" t="s">
        <v>46</v>
      </c>
      <c r="C26" s="74" t="s">
        <v>614</v>
      </c>
      <c r="D26" s="346"/>
      <c r="E26" s="123"/>
      <c r="F26" s="76" t="s">
        <v>44</v>
      </c>
      <c r="G26" s="75">
        <f ca="1">IF($C26="No Param",32,VLOOKUP($C26,INDIRECT(Config!$B$1),HLOOKUP(D$1,INDIRECT(Config!$E$1),2,FALSE),FALSE)*32)</f>
        <v>32</v>
      </c>
      <c r="H26" s="26" t="str">
        <f ca="1">IF(G26=0,"N/A","0x8004")</f>
        <v>0x8004</v>
      </c>
      <c r="I26" s="26" t="s">
        <v>47</v>
      </c>
      <c r="J26" s="26" t="s">
        <v>48</v>
      </c>
      <c r="K26" s="26" t="s">
        <v>387</v>
      </c>
      <c r="L26" s="237"/>
      <c r="M26" s="325"/>
      <c r="N26" s="325"/>
      <c r="O26" s="329"/>
    </row>
    <row r="27" spans="1:15" ht="15" thickBot="1" x14ac:dyDescent="0.35">
      <c r="A27" s="124"/>
    </row>
    <row r="28" spans="1:15" x14ac:dyDescent="0.3">
      <c r="A28" s="342" t="s">
        <v>49</v>
      </c>
      <c r="B28" s="80" t="s">
        <v>617</v>
      </c>
      <c r="C28" s="80" t="s">
        <v>617</v>
      </c>
      <c r="D28" s="80"/>
      <c r="E28" s="107" t="str">
        <f>Group0!L3</f>
        <v>This field is reserved for FW usage</v>
      </c>
      <c r="F28" s="90" t="s">
        <v>50</v>
      </c>
      <c r="G28" s="91">
        <f ca="1">IF($C28="No Param",32,VLOOKUP($C28,INDIRECT(Config!$B$1),HLOOKUP(D$1,INDIRECT(Config!$E$1),2,FALSE),FALSE))</f>
        <v>512</v>
      </c>
      <c r="H28" s="82" t="s">
        <v>51</v>
      </c>
      <c r="I28" s="112" t="s">
        <v>623</v>
      </c>
      <c r="J28" s="112" t="s">
        <v>387</v>
      </c>
      <c r="K28" s="112" t="s">
        <v>387</v>
      </c>
      <c r="L28" s="112"/>
      <c r="M28" s="113" t="s">
        <v>48</v>
      </c>
      <c r="N28" s="326" t="s">
        <v>48</v>
      </c>
      <c r="O28" s="327">
        <f ca="1">SUM(G28:G42)</f>
        <v>576</v>
      </c>
    </row>
    <row r="29" spans="1:15" ht="15" customHeight="1" x14ac:dyDescent="0.3">
      <c r="A29" s="343"/>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344" t="s">
        <v>369</v>
      </c>
      <c r="N29" s="324"/>
      <c r="O29" s="328"/>
    </row>
    <row r="30" spans="1:15" x14ac:dyDescent="0.3">
      <c r="A30" s="343"/>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344"/>
      <c r="N30" s="324"/>
      <c r="O30" s="328"/>
    </row>
    <row r="31" spans="1:15" x14ac:dyDescent="0.3">
      <c r="A31" s="343"/>
      <c r="B31" s="35" t="s">
        <v>359</v>
      </c>
      <c r="C31" s="16" t="s">
        <v>360</v>
      </c>
      <c r="D31" s="35" t="s">
        <v>550</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344"/>
      <c r="N31" s="324"/>
      <c r="O31" s="328"/>
    </row>
    <row r="32" spans="1:15" x14ac:dyDescent="0.3">
      <c r="A32" s="343"/>
      <c r="B32" s="84" t="s">
        <v>616</v>
      </c>
      <c r="C32" s="84" t="s">
        <v>668</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324"/>
      <c r="O32" s="328"/>
    </row>
    <row r="33" spans="1:15" x14ac:dyDescent="0.3">
      <c r="A33" s="343"/>
      <c r="B33" s="84" t="s">
        <v>618</v>
      </c>
      <c r="C33" s="84" t="s">
        <v>618</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324"/>
      <c r="O33" s="328"/>
    </row>
    <row r="34" spans="1:15" ht="15" customHeight="1" x14ac:dyDescent="0.3">
      <c r="A34" s="343"/>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344" t="s">
        <v>369</v>
      </c>
      <c r="N34" s="324"/>
      <c r="O34" s="328"/>
    </row>
    <row r="35" spans="1:15" x14ac:dyDescent="0.3">
      <c r="A35" s="343"/>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344"/>
      <c r="N35" s="324"/>
      <c r="O35" s="328"/>
    </row>
    <row r="36" spans="1:15" x14ac:dyDescent="0.3">
      <c r="A36" s="343"/>
      <c r="B36" s="35" t="s">
        <v>362</v>
      </c>
      <c r="C36" s="16" t="s">
        <v>363</v>
      </c>
      <c r="D36" s="35" t="s">
        <v>550</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344"/>
      <c r="N36" s="324"/>
      <c r="O36" s="328"/>
    </row>
    <row r="37" spans="1:15" x14ac:dyDescent="0.3">
      <c r="A37" s="343"/>
      <c r="B37" s="84" t="s">
        <v>619</v>
      </c>
      <c r="C37" s="84" t="s">
        <v>668</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324"/>
      <c r="O37" s="328"/>
    </row>
    <row r="38" spans="1:15" x14ac:dyDescent="0.3">
      <c r="A38" s="343"/>
      <c r="B38" s="84" t="s">
        <v>620</v>
      </c>
      <c r="C38" s="84" t="s">
        <v>620</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324"/>
      <c r="O38" s="328"/>
    </row>
    <row r="39" spans="1:15" ht="15" customHeight="1" x14ac:dyDescent="0.3">
      <c r="A39" s="343"/>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344" t="s">
        <v>369</v>
      </c>
      <c r="N39" s="324"/>
      <c r="O39" s="328"/>
    </row>
    <row r="40" spans="1:15" x14ac:dyDescent="0.3">
      <c r="A40" s="343"/>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344"/>
      <c r="N40" s="324"/>
      <c r="O40" s="328"/>
    </row>
    <row r="41" spans="1:15" x14ac:dyDescent="0.3">
      <c r="A41" s="343"/>
      <c r="B41" s="35" t="s">
        <v>365</v>
      </c>
      <c r="C41" s="16" t="s">
        <v>363</v>
      </c>
      <c r="D41" s="35" t="s">
        <v>550</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344"/>
      <c r="N41" s="324"/>
      <c r="O41" s="328"/>
    </row>
    <row r="42" spans="1:15" ht="15" thickBot="1" x14ac:dyDescent="0.35">
      <c r="A42" s="346"/>
      <c r="B42" s="87" t="s">
        <v>621</v>
      </c>
      <c r="C42" s="87" t="s">
        <v>668</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325"/>
      <c r="O42" s="329"/>
    </row>
    <row r="43" spans="1:15" ht="15" customHeight="1" x14ac:dyDescent="0.3"/>
    <row r="44" spans="1:15" ht="15" customHeight="1" x14ac:dyDescent="0.3"/>
    <row r="45" spans="1:15" ht="15" customHeight="1" x14ac:dyDescent="0.3"/>
    <row r="46" spans="1:15" ht="15" customHeight="1" x14ac:dyDescent="0.3"/>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C5">
    <cfRule type="cellIs" dxfId="429" priority="227" operator="equal">
      <formula>0</formula>
    </cfRule>
  </conditionalFormatting>
  <conditionalFormatting sqref="J28">
    <cfRule type="cellIs" dxfId="428" priority="243" operator="equal">
      <formula>0</formula>
    </cfRule>
  </conditionalFormatting>
  <conditionalFormatting sqref="C3">
    <cfRule type="cellIs" dxfId="427" priority="229" operator="equal">
      <formula>0</formula>
    </cfRule>
  </conditionalFormatting>
  <conditionalFormatting sqref="C4">
    <cfRule type="cellIs" dxfId="426" priority="228" operator="equal">
      <formula>0</formula>
    </cfRule>
  </conditionalFormatting>
  <conditionalFormatting sqref="B3 D3 G14:G26">
    <cfRule type="cellIs" dxfId="425" priority="240" operator="equal">
      <formula>0</formula>
    </cfRule>
  </conditionalFormatting>
  <conditionalFormatting sqref="B4 D4">
    <cfRule type="cellIs" dxfId="424" priority="239" operator="equal">
      <formula>0</formula>
    </cfRule>
  </conditionalFormatting>
  <conditionalFormatting sqref="B5 D5">
    <cfRule type="cellIs" dxfId="423" priority="238" operator="equal">
      <formula>0</formula>
    </cfRule>
  </conditionalFormatting>
  <conditionalFormatting sqref="B7">
    <cfRule type="cellIs" dxfId="422" priority="237" operator="equal">
      <formula>0</formula>
    </cfRule>
  </conditionalFormatting>
  <conditionalFormatting sqref="B8 D8">
    <cfRule type="cellIs" priority="236" operator="equal">
      <formula>0</formula>
    </cfRule>
  </conditionalFormatting>
  <conditionalFormatting sqref="B9 D9">
    <cfRule type="cellIs" dxfId="421" priority="235" operator="equal">
      <formula>0</formula>
    </cfRule>
  </conditionalFormatting>
  <conditionalFormatting sqref="B10 D10">
    <cfRule type="cellIs" dxfId="420" priority="233" operator="equal">
      <formula>0</formula>
    </cfRule>
    <cfRule type="cellIs" dxfId="419" priority="234" operator="equal">
      <formula>0</formula>
    </cfRule>
  </conditionalFormatting>
  <conditionalFormatting sqref="B6 D6">
    <cfRule type="cellIs" dxfId="418" priority="231" operator="equal">
      <formula>0</formula>
    </cfRule>
  </conditionalFormatting>
  <conditionalFormatting sqref="D7">
    <cfRule type="cellIs" dxfId="417" priority="230" operator="equal">
      <formula>0</formula>
    </cfRule>
  </conditionalFormatting>
  <conditionalFormatting sqref="C7">
    <cfRule type="cellIs" dxfId="416" priority="226" operator="equal">
      <formula>0</formula>
    </cfRule>
  </conditionalFormatting>
  <conditionalFormatting sqref="C8">
    <cfRule type="cellIs" priority="225" operator="equal">
      <formula>0</formula>
    </cfRule>
  </conditionalFormatting>
  <conditionalFormatting sqref="C9">
    <cfRule type="cellIs" dxfId="415" priority="224" operator="equal">
      <formula>0</formula>
    </cfRule>
  </conditionalFormatting>
  <conditionalFormatting sqref="C10">
    <cfRule type="cellIs" dxfId="414" priority="222" operator="equal">
      <formula>0</formula>
    </cfRule>
    <cfRule type="cellIs" dxfId="413" priority="223" operator="equal">
      <formula>0</formula>
    </cfRule>
  </conditionalFormatting>
  <conditionalFormatting sqref="C6">
    <cfRule type="cellIs" dxfId="412" priority="221" operator="equal">
      <formula>0</formula>
    </cfRule>
  </conditionalFormatting>
  <conditionalFormatting sqref="G40">
    <cfRule type="cellIs" dxfId="411" priority="141" operator="equal">
      <formula>0</formula>
    </cfRule>
  </conditionalFormatting>
  <conditionalFormatting sqref="G37">
    <cfRule type="cellIs" dxfId="410" priority="140" operator="equal">
      <formula>0</formula>
    </cfRule>
  </conditionalFormatting>
  <conditionalFormatting sqref="G42">
    <cfRule type="cellIs" dxfId="409" priority="139" operator="equal">
      <formula>0</formula>
    </cfRule>
  </conditionalFormatting>
  <conditionalFormatting sqref="L32">
    <cfRule type="cellIs" dxfId="408" priority="182" operator="equal">
      <formula>0</formula>
    </cfRule>
  </conditionalFormatting>
  <conditionalFormatting sqref="L31">
    <cfRule type="cellIs" dxfId="407" priority="181" operator="equal">
      <formula>0</formula>
    </cfRule>
  </conditionalFormatting>
  <conditionalFormatting sqref="L30">
    <cfRule type="cellIs" dxfId="406" priority="180" operator="equal">
      <formula>0</formula>
    </cfRule>
  </conditionalFormatting>
  <conditionalFormatting sqref="L36">
    <cfRule type="cellIs" dxfId="405" priority="177" operator="equal">
      <formula>0</formula>
    </cfRule>
  </conditionalFormatting>
  <conditionalFormatting sqref="L29">
    <cfRule type="cellIs" dxfId="404" priority="179" operator="equal">
      <formula>0</formula>
    </cfRule>
  </conditionalFormatting>
  <conditionalFormatting sqref="L37">
    <cfRule type="cellIs" dxfId="403" priority="178" operator="equal">
      <formula>0</formula>
    </cfRule>
  </conditionalFormatting>
  <conditionalFormatting sqref="L35">
    <cfRule type="cellIs" dxfId="402" priority="176" operator="equal">
      <formula>0</formula>
    </cfRule>
  </conditionalFormatting>
  <conditionalFormatting sqref="L34">
    <cfRule type="cellIs" dxfId="401" priority="175" operator="equal">
      <formula>0</formula>
    </cfRule>
  </conditionalFormatting>
  <conditionalFormatting sqref="L42">
    <cfRule type="cellIs" dxfId="400" priority="174" operator="equal">
      <formula>0</formula>
    </cfRule>
  </conditionalFormatting>
  <conditionalFormatting sqref="L41">
    <cfRule type="cellIs" dxfId="399" priority="173" operator="equal">
      <formula>0</formula>
    </cfRule>
  </conditionalFormatting>
  <conditionalFormatting sqref="L40">
    <cfRule type="cellIs" dxfId="398" priority="172" operator="equal">
      <formula>0</formula>
    </cfRule>
  </conditionalFormatting>
  <conditionalFormatting sqref="L39">
    <cfRule type="cellIs" dxfId="397" priority="171" operator="equal">
      <formula>0</formula>
    </cfRule>
  </conditionalFormatting>
  <conditionalFormatting sqref="K25">
    <cfRule type="cellIs" dxfId="396" priority="158" operator="equal">
      <formula>0</formula>
    </cfRule>
  </conditionalFormatting>
  <conditionalFormatting sqref="K26">
    <cfRule type="cellIs" dxfId="395" priority="156" operator="equal">
      <formula>0</formula>
    </cfRule>
  </conditionalFormatting>
  <conditionalFormatting sqref="G34">
    <cfRule type="cellIs" dxfId="394" priority="153" operator="equal">
      <formula>0</formula>
    </cfRule>
  </conditionalFormatting>
  <conditionalFormatting sqref="G36">
    <cfRule type="cellIs" dxfId="393" priority="152" operator="equal">
      <formula>0</formula>
    </cfRule>
  </conditionalFormatting>
  <conditionalFormatting sqref="G29">
    <cfRule type="cellIs" dxfId="392" priority="146" operator="equal">
      <formula>0</formula>
    </cfRule>
  </conditionalFormatting>
  <conditionalFormatting sqref="G32">
    <cfRule type="cellIs" dxfId="391" priority="150" operator="equal">
      <formula>0</formula>
    </cfRule>
  </conditionalFormatting>
  <conditionalFormatting sqref="G33">
    <cfRule type="cellIs" dxfId="390" priority="149" operator="equal">
      <formula>0</formula>
    </cfRule>
  </conditionalFormatting>
  <conditionalFormatting sqref="G28">
    <cfRule type="cellIs" dxfId="389" priority="151" operator="equal">
      <formula>0</formula>
    </cfRule>
  </conditionalFormatting>
  <conditionalFormatting sqref="G38">
    <cfRule type="cellIs" dxfId="388" priority="148" operator="equal">
      <formula>0</formula>
    </cfRule>
  </conditionalFormatting>
  <conditionalFormatting sqref="G35">
    <cfRule type="cellIs" dxfId="387" priority="147" operator="equal">
      <formula>0</formula>
    </cfRule>
  </conditionalFormatting>
  <conditionalFormatting sqref="G31">
    <cfRule type="cellIs" dxfId="386" priority="145" operator="equal">
      <formula>0</formula>
    </cfRule>
  </conditionalFormatting>
  <conditionalFormatting sqref="G30">
    <cfRule type="cellIs" dxfId="385" priority="144" operator="equal">
      <formula>0</formula>
    </cfRule>
  </conditionalFormatting>
  <conditionalFormatting sqref="G39">
    <cfRule type="cellIs" dxfId="384" priority="143" operator="equal">
      <formula>0</formula>
    </cfRule>
  </conditionalFormatting>
  <conditionalFormatting sqref="G41">
    <cfRule type="cellIs" dxfId="383" priority="142" operator="equal">
      <formula>0</formula>
    </cfRule>
  </conditionalFormatting>
  <conditionalFormatting sqref="G3:I3">
    <cfRule type="cellIs" dxfId="382" priority="70" operator="equal">
      <formula>0</formula>
    </cfRule>
  </conditionalFormatting>
  <conditionalFormatting sqref="H4:I4">
    <cfRule type="cellIs" dxfId="381" priority="69" operator="equal">
      <formula>0</formula>
    </cfRule>
  </conditionalFormatting>
  <conditionalFormatting sqref="I6">
    <cfRule type="cellIs" dxfId="380" priority="65" operator="equal">
      <formula>0</formula>
    </cfRule>
  </conditionalFormatting>
  <conditionalFormatting sqref="H5">
    <cfRule type="cellIs" dxfId="379" priority="64" operator="equal">
      <formula>0</formula>
    </cfRule>
  </conditionalFormatting>
  <conditionalFormatting sqref="H6">
    <cfRule type="cellIs" dxfId="378" priority="63" operator="equal">
      <formula>0</formula>
    </cfRule>
  </conditionalFormatting>
  <conditionalFormatting sqref="K3:K4">
    <cfRule type="cellIs" dxfId="377" priority="121" operator="equal">
      <formula>0</formula>
    </cfRule>
  </conditionalFormatting>
  <conditionalFormatting sqref="K5">
    <cfRule type="cellIs" dxfId="376" priority="119" operator="equal">
      <formula>0</formula>
    </cfRule>
  </conditionalFormatting>
  <conditionalFormatting sqref="K6">
    <cfRule type="cellIs" dxfId="375" priority="117" operator="equal">
      <formula>0</formula>
    </cfRule>
  </conditionalFormatting>
  <conditionalFormatting sqref="K9">
    <cfRule type="cellIs" dxfId="374" priority="115" operator="equal">
      <formula>0</formula>
    </cfRule>
  </conditionalFormatting>
  <conditionalFormatting sqref="K10">
    <cfRule type="cellIs" dxfId="373" priority="113" operator="equal">
      <formula>0</formula>
    </cfRule>
  </conditionalFormatting>
  <conditionalFormatting sqref="K7">
    <cfRule type="cellIs" dxfId="372" priority="109" operator="equal">
      <formula>0</formula>
    </cfRule>
  </conditionalFormatting>
  <conditionalFormatting sqref="K8">
    <cfRule type="cellIs" dxfId="371" priority="107" operator="equal">
      <formula>0</formula>
    </cfRule>
  </conditionalFormatting>
  <conditionalFormatting sqref="E10">
    <cfRule type="cellIs" priority="89" operator="equal">
      <formula>0</formula>
    </cfRule>
  </conditionalFormatting>
  <conditionalFormatting sqref="E3">
    <cfRule type="cellIs" dxfId="370" priority="104" operator="equal">
      <formula>0</formula>
    </cfRule>
  </conditionalFormatting>
  <conditionalFormatting sqref="E3">
    <cfRule type="cellIs" priority="103" operator="equal">
      <formula>0</formula>
    </cfRule>
  </conditionalFormatting>
  <conditionalFormatting sqref="E5">
    <cfRule type="cellIs" dxfId="369" priority="100" operator="equal">
      <formula>0</formula>
    </cfRule>
  </conditionalFormatting>
  <conditionalFormatting sqref="E5">
    <cfRule type="cellIs" priority="99" operator="equal">
      <formula>0</formula>
    </cfRule>
  </conditionalFormatting>
  <conditionalFormatting sqref="E7">
    <cfRule type="cellIs" dxfId="368" priority="96" operator="equal">
      <formula>0</formula>
    </cfRule>
  </conditionalFormatting>
  <conditionalFormatting sqref="E7">
    <cfRule type="cellIs" priority="95" operator="equal">
      <formula>0</formula>
    </cfRule>
  </conditionalFormatting>
  <conditionalFormatting sqref="E9">
    <cfRule type="cellIs" dxfId="367" priority="92" operator="equal">
      <formula>0</formula>
    </cfRule>
  </conditionalFormatting>
  <conditionalFormatting sqref="E9">
    <cfRule type="cellIs" priority="91" operator="equal">
      <formula>0</formula>
    </cfRule>
  </conditionalFormatting>
  <conditionalFormatting sqref="E4">
    <cfRule type="cellIs" dxfId="366" priority="102" operator="equal">
      <formula>0</formula>
    </cfRule>
  </conditionalFormatting>
  <conditionalFormatting sqref="E4">
    <cfRule type="cellIs" priority="101" operator="equal">
      <formula>0</formula>
    </cfRule>
  </conditionalFormatting>
  <conditionalFormatting sqref="E6">
    <cfRule type="cellIs" dxfId="365" priority="98" operator="equal">
      <formula>0</formula>
    </cfRule>
  </conditionalFormatting>
  <conditionalFormatting sqref="E6">
    <cfRule type="cellIs" priority="97" operator="equal">
      <formula>0</formula>
    </cfRule>
  </conditionalFormatting>
  <conditionalFormatting sqref="E8">
    <cfRule type="cellIs" dxfId="364" priority="94" operator="equal">
      <formula>0</formula>
    </cfRule>
  </conditionalFormatting>
  <conditionalFormatting sqref="E8">
    <cfRule type="cellIs" priority="93" operator="equal">
      <formula>0</formula>
    </cfRule>
  </conditionalFormatting>
  <conditionalFormatting sqref="E10">
    <cfRule type="cellIs" dxfId="363" priority="90" operator="equal">
      <formula>0</formula>
    </cfRule>
  </conditionalFormatting>
  <conditionalFormatting sqref="G4:G10">
    <cfRule type="cellIs" dxfId="362" priority="80" operator="equal">
      <formula>0</formula>
    </cfRule>
  </conditionalFormatting>
  <conditionalFormatting sqref="F6">
    <cfRule type="cellIs" dxfId="361" priority="71" operator="equal">
      <formula>0</formula>
    </cfRule>
  </conditionalFormatting>
  <conditionalFormatting sqref="F3">
    <cfRule type="cellIs" dxfId="360" priority="79" operator="equal">
      <formula>0</formula>
    </cfRule>
  </conditionalFormatting>
  <conditionalFormatting sqref="F4">
    <cfRule type="cellIs" dxfId="359" priority="78" operator="equal">
      <formula>0</formula>
    </cfRule>
  </conditionalFormatting>
  <conditionalFormatting sqref="F5">
    <cfRule type="cellIs" dxfId="358" priority="77" operator="equal">
      <formula>0</formula>
    </cfRule>
  </conditionalFormatting>
  <conditionalFormatting sqref="F7">
    <cfRule type="cellIs" dxfId="357" priority="76" operator="equal">
      <formula>0</formula>
    </cfRule>
  </conditionalFormatting>
  <conditionalFormatting sqref="F9">
    <cfRule type="cellIs" dxfId="356" priority="74" operator="equal">
      <formula>0</formula>
    </cfRule>
  </conditionalFormatting>
  <conditionalFormatting sqref="F8 H9:H10">
    <cfRule type="cellIs" priority="75" operator="equal">
      <formula>0</formula>
    </cfRule>
  </conditionalFormatting>
  <conditionalFormatting sqref="F10">
    <cfRule type="cellIs" dxfId="355" priority="72" operator="equal">
      <formula>0</formula>
    </cfRule>
    <cfRule type="cellIs" dxfId="354" priority="73" operator="equal">
      <formula>0</formula>
    </cfRule>
  </conditionalFormatting>
  <conditionalFormatting sqref="H7">
    <cfRule type="cellIs" dxfId="353" priority="62" operator="equal">
      <formula>0</formula>
    </cfRule>
  </conditionalFormatting>
  <conditionalFormatting sqref="I5">
    <cfRule type="cellIs" dxfId="352" priority="68" operator="equal">
      <formula>0</formula>
    </cfRule>
  </conditionalFormatting>
  <conditionalFormatting sqref="I7">
    <cfRule type="cellIs" dxfId="351" priority="67" operator="equal">
      <formula>0</formula>
    </cfRule>
  </conditionalFormatting>
  <conditionalFormatting sqref="H8:I8">
    <cfRule type="cellIs" priority="66" operator="equal">
      <formula>0</formula>
    </cfRule>
  </conditionalFormatting>
  <conditionalFormatting sqref="I9:I10">
    <cfRule type="cellIs" priority="59" operator="equal">
      <formula>0</formula>
    </cfRule>
  </conditionalFormatting>
  <conditionalFormatting sqref="K11 E11 G11">
    <cfRule type="cellIs" dxfId="350" priority="46" operator="equal">
      <formula>0</formula>
    </cfRule>
  </conditionalFormatting>
  <conditionalFormatting sqref="I11">
    <cfRule type="cellIs" priority="45" operator="equal">
      <formula>0</formula>
    </cfRule>
  </conditionalFormatting>
  <conditionalFormatting sqref="K13 E13 G13">
    <cfRule type="cellIs" dxfId="349" priority="44" operator="equal">
      <formula>0</formula>
    </cfRule>
  </conditionalFormatting>
  <conditionalFormatting sqref="H13">
    <cfRule type="cellIs" priority="42" operator="equal">
      <formula>0</formula>
    </cfRule>
  </conditionalFormatting>
  <conditionalFormatting sqref="I13">
    <cfRule type="cellIs" priority="41" operator="equal">
      <formula>0</formula>
    </cfRule>
  </conditionalFormatting>
  <conditionalFormatting sqref="E12 K12">
    <cfRule type="cellIs" dxfId="348" priority="40" operator="equal">
      <formula>0</formula>
    </cfRule>
  </conditionalFormatting>
  <conditionalFormatting sqref="B12 D12:F12">
    <cfRule type="cellIs" priority="38" operator="equal">
      <formula>0</formula>
    </cfRule>
  </conditionalFormatting>
  <conditionalFormatting sqref="C12">
    <cfRule type="cellIs" priority="37" operator="equal">
      <formula>0</formula>
    </cfRule>
  </conditionalFormatting>
  <conditionalFormatting sqref="I12">
    <cfRule type="cellIs" priority="36" operator="equal">
      <formula>0</formula>
    </cfRule>
  </conditionalFormatting>
  <conditionalFormatting sqref="G12">
    <cfRule type="cellIs" dxfId="347" priority="35" operator="equal">
      <formula>0</formula>
    </cfRule>
  </conditionalFormatting>
  <conditionalFormatting sqref="H12">
    <cfRule type="cellIs" priority="34" operator="equal">
      <formula>0</formula>
    </cfRule>
  </conditionalFormatting>
  <conditionalFormatting sqref="H11">
    <cfRule type="cellIs" priority="33" operator="equal">
      <formula>0</formula>
    </cfRule>
  </conditionalFormatting>
  <conditionalFormatting sqref="J3:J4">
    <cfRule type="cellIs" dxfId="346" priority="32" operator="equal">
      <formula>0</formula>
    </cfRule>
  </conditionalFormatting>
  <conditionalFormatting sqref="J5">
    <cfRule type="cellIs" dxfId="345" priority="31" operator="equal">
      <formula>0</formula>
    </cfRule>
  </conditionalFormatting>
  <conditionalFormatting sqref="J6">
    <cfRule type="cellIs" dxfId="344" priority="30" operator="equal">
      <formula>0</formula>
    </cfRule>
  </conditionalFormatting>
  <conditionalFormatting sqref="J9">
    <cfRule type="cellIs" dxfId="343" priority="29" operator="equal">
      <formula>0</formula>
    </cfRule>
  </conditionalFormatting>
  <conditionalFormatting sqref="J10">
    <cfRule type="cellIs" dxfId="342" priority="28" operator="equal">
      <formula>0</formula>
    </cfRule>
  </conditionalFormatting>
  <conditionalFormatting sqref="J7">
    <cfRule type="cellIs" dxfId="341" priority="27" operator="equal">
      <formula>0</formula>
    </cfRule>
  </conditionalFormatting>
  <conditionalFormatting sqref="J8">
    <cfRule type="cellIs" dxfId="340" priority="26" operator="equal">
      <formula>0</formula>
    </cfRule>
  </conditionalFormatting>
  <conditionalFormatting sqref="J11">
    <cfRule type="cellIs" dxfId="339" priority="25" operator="equal">
      <formula>0</formula>
    </cfRule>
  </conditionalFormatting>
  <conditionalFormatting sqref="J13">
    <cfRule type="cellIs" dxfId="338" priority="24" operator="equal">
      <formula>0</formula>
    </cfRule>
  </conditionalFormatting>
  <conditionalFormatting sqref="J12">
    <cfRule type="cellIs" dxfId="337" priority="23" operator="equal">
      <formula>0</formula>
    </cfRule>
  </conditionalFormatting>
  <conditionalFormatting sqref="J25">
    <cfRule type="cellIs" dxfId="336" priority="22" operator="equal">
      <formula>0</formula>
    </cfRule>
  </conditionalFormatting>
  <conditionalFormatting sqref="J26">
    <cfRule type="cellIs" dxfId="335" priority="21" operator="equal">
      <formula>0</formula>
    </cfRule>
  </conditionalFormatting>
  <conditionalFormatting sqref="L3:L4">
    <cfRule type="cellIs" dxfId="334" priority="20" operator="equal">
      <formula>0</formula>
    </cfRule>
  </conditionalFormatting>
  <conditionalFormatting sqref="L5">
    <cfRule type="cellIs" dxfId="333" priority="19" operator="equal">
      <formula>0</formula>
    </cfRule>
  </conditionalFormatting>
  <conditionalFormatting sqref="L6">
    <cfRule type="cellIs" dxfId="332" priority="18" operator="equal">
      <formula>0</formula>
    </cfRule>
  </conditionalFormatting>
  <conditionalFormatting sqref="L7">
    <cfRule type="cellIs" dxfId="331" priority="17" operator="equal">
      <formula>0</formula>
    </cfRule>
  </conditionalFormatting>
  <conditionalFormatting sqref="L8:L9">
    <cfRule type="cellIs" dxfId="330" priority="16" operator="equal">
      <formula>0</formula>
    </cfRule>
  </conditionalFormatting>
  <conditionalFormatting sqref="L14">
    <cfRule type="cellIs" dxfId="329" priority="15" operator="equal">
      <formula>0</formula>
    </cfRule>
  </conditionalFormatting>
  <conditionalFormatting sqref="L15">
    <cfRule type="cellIs" dxfId="328" priority="14" operator="equal">
      <formula>0</formula>
    </cfRule>
  </conditionalFormatting>
  <conditionalFormatting sqref="L16">
    <cfRule type="cellIs" dxfId="327" priority="13" operator="equal">
      <formula>0</formula>
    </cfRule>
  </conditionalFormatting>
  <conditionalFormatting sqref="L17">
    <cfRule type="cellIs" dxfId="326" priority="12" operator="equal">
      <formula>0</formula>
    </cfRule>
  </conditionalFormatting>
  <conditionalFormatting sqref="L18">
    <cfRule type="cellIs" dxfId="325" priority="11" operator="equal">
      <formula>0</formula>
    </cfRule>
  </conditionalFormatting>
  <conditionalFormatting sqref="L19">
    <cfRule type="cellIs" dxfId="324" priority="10" operator="equal">
      <formula>0</formula>
    </cfRule>
  </conditionalFormatting>
  <conditionalFormatting sqref="L20">
    <cfRule type="cellIs" dxfId="323" priority="9" operator="equal">
      <formula>0</formula>
    </cfRule>
  </conditionalFormatting>
  <conditionalFormatting sqref="L21">
    <cfRule type="cellIs" dxfId="322" priority="8" operator="equal">
      <formula>0</formula>
    </cfRule>
  </conditionalFormatting>
  <conditionalFormatting sqref="L22">
    <cfRule type="cellIs" dxfId="321" priority="7" operator="equal">
      <formula>0</formula>
    </cfRule>
  </conditionalFormatting>
  <conditionalFormatting sqref="L23">
    <cfRule type="cellIs" dxfId="320" priority="6" operator="equal">
      <formula>0</formula>
    </cfRule>
  </conditionalFormatting>
  <conditionalFormatting sqref="L24">
    <cfRule type="cellIs" dxfId="319" priority="5" operator="equal">
      <formula>0</formula>
    </cfRule>
  </conditionalFormatting>
  <conditionalFormatting sqref="L10">
    <cfRule type="cellIs" dxfId="318" priority="4" operator="equal">
      <formula>0</formula>
    </cfRule>
  </conditionalFormatting>
  <conditionalFormatting sqref="L11">
    <cfRule type="cellIs" dxfId="317" priority="3" operator="equal">
      <formula>0</formula>
    </cfRule>
  </conditionalFormatting>
  <conditionalFormatting sqref="L12">
    <cfRule type="cellIs" dxfId="316" priority="2" operator="equal">
      <formula>0</formula>
    </cfRule>
  </conditionalFormatting>
  <conditionalFormatting sqref="L13">
    <cfRule type="cellIs" dxfId="315"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E680EA95-6AB2-45F3-8605-4DAAAD39B264}">
          <x14:formula1>
            <xm:f>Config!$B$3:$O$3</xm:f>
          </x14:formula1>
          <xm:sqref>D1:E1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F82D8-A283-4E41-B499-A4F8236995E9}">
  <sheetPr codeName="Sheet18"/>
  <dimension ref="A1:O46"/>
  <sheetViews>
    <sheetView topLeftCell="A19" zoomScaleNormal="100" workbookViewId="0">
      <selection activeCell="E28" sqref="E28"/>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21875" style="15" customWidth="1"/>
    <col min="6" max="6" width="9.5546875" style="15" bestFit="1" customWidth="1"/>
    <col min="7" max="7" width="11.5546875" style="15" bestFit="1" customWidth="1"/>
    <col min="8" max="8" width="13.5546875" style="15" bestFit="1" customWidth="1"/>
    <col min="9" max="9" width="11.33203125" style="15" bestFit="1" customWidth="1"/>
    <col min="10" max="11" width="10.77734375" style="15" bestFit="1"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609</v>
      </c>
      <c r="E1" s="23"/>
    </row>
    <row r="2" spans="1:15" ht="15" thickBot="1" x14ac:dyDescent="0.35">
      <c r="A2" s="29" t="s">
        <v>0</v>
      </c>
      <c r="B2" s="33" t="s">
        <v>1</v>
      </c>
      <c r="C2" s="33" t="s">
        <v>371</v>
      </c>
      <c r="D2" s="33" t="s">
        <v>2</v>
      </c>
      <c r="E2" s="30" t="s">
        <v>423</v>
      </c>
      <c r="F2" s="66" t="s">
        <v>3</v>
      </c>
      <c r="G2" s="67" t="s">
        <v>4</v>
      </c>
      <c r="H2" s="67" t="s">
        <v>5</v>
      </c>
      <c r="I2" s="67" t="s">
        <v>6</v>
      </c>
      <c r="J2" s="67" t="s">
        <v>385</v>
      </c>
      <c r="K2" s="67" t="s">
        <v>386</v>
      </c>
      <c r="L2" s="67" t="s">
        <v>624</v>
      </c>
      <c r="M2" s="67" t="s">
        <v>7</v>
      </c>
      <c r="N2" s="67" t="s">
        <v>8</v>
      </c>
      <c r="O2" s="96" t="s">
        <v>626</v>
      </c>
    </row>
    <row r="3" spans="1:15" ht="15" customHeight="1" x14ac:dyDescent="0.3">
      <c r="A3" s="322" t="s">
        <v>809</v>
      </c>
      <c r="B3" s="43" t="s">
        <v>395</v>
      </c>
      <c r="C3" s="43" t="s">
        <v>395</v>
      </c>
      <c r="D3" s="43" t="s">
        <v>10</v>
      </c>
      <c r="E3" s="164" t="str">
        <f>Config!AD66</f>
        <v>This parameter is used to define Security Key Fuses for the Identity. This parameter shows bit size of HVM fuse. 
Current Security Key Fuse size is 512 bits. When this parameter is set to ‘0’, this HVM fuse is removed.</v>
      </c>
      <c r="F3" s="184"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323" t="s">
        <v>367</v>
      </c>
      <c r="N3" s="326" t="s">
        <v>14</v>
      </c>
      <c r="O3" s="327">
        <f ca="1">($G3+$G4+$G5+$G6+$G7)</f>
        <v>1056</v>
      </c>
    </row>
    <row r="4" spans="1:15" ht="15" customHeight="1" x14ac:dyDescent="0.3">
      <c r="A4" s="322"/>
      <c r="B4" s="35" t="s">
        <v>396</v>
      </c>
      <c r="C4" s="35" t="s">
        <v>396</v>
      </c>
      <c r="D4" s="35" t="s">
        <v>10</v>
      </c>
      <c r="E4" s="177" t="str">
        <f>Config!AD67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324"/>
      <c r="N4" s="324"/>
      <c r="O4" s="328"/>
    </row>
    <row r="5" spans="1:15" ht="15" customHeight="1" x14ac:dyDescent="0.3">
      <c r="A5" s="322"/>
      <c r="B5" s="35" t="s">
        <v>397</v>
      </c>
      <c r="C5" s="35" t="s">
        <v>397</v>
      </c>
      <c r="D5" s="35" t="s">
        <v>15</v>
      </c>
      <c r="E5" s="177" t="str">
        <f>Config!AD68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324"/>
      <c r="N5" s="324"/>
      <c r="O5" s="328"/>
    </row>
    <row r="6" spans="1:15" ht="15" customHeight="1" x14ac:dyDescent="0.3">
      <c r="A6" s="322"/>
      <c r="B6" s="69" t="s">
        <v>398</v>
      </c>
      <c r="C6" s="69" t="s">
        <v>398</v>
      </c>
      <c r="D6" s="35" t="s">
        <v>15</v>
      </c>
      <c r="E6" s="177" t="str">
        <f>Config!AD69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324"/>
      <c r="N6" s="324"/>
      <c r="O6" s="328"/>
    </row>
    <row r="7" spans="1:15" ht="15" customHeight="1" thickBot="1" x14ac:dyDescent="0.35">
      <c r="A7" s="322"/>
      <c r="B7" s="70" t="s">
        <v>421</v>
      </c>
      <c r="C7" s="77" t="s">
        <v>421</v>
      </c>
      <c r="D7" s="74" t="s">
        <v>10</v>
      </c>
      <c r="E7" s="165" t="str">
        <f>Config!AD70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0"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325"/>
      <c r="N7" s="325"/>
      <c r="O7" s="329"/>
    </row>
    <row r="8" spans="1:15" ht="14.55" customHeight="1" x14ac:dyDescent="0.3">
      <c r="A8" s="337" t="s">
        <v>883</v>
      </c>
      <c r="B8" s="71" t="s">
        <v>16</v>
      </c>
      <c r="C8" s="71" t="s">
        <v>16</v>
      </c>
      <c r="D8" s="34" t="s">
        <v>17</v>
      </c>
      <c r="E8" s="183" t="str">
        <f>Config!AD72</f>
        <v xml:space="preserve">This parameter is used to define iKGF signature for On Die CA. This parameter shows bit size of HVM fuse. 
Current signature size is 768 bits. When this parameter is set to ‘0’, this HVM fuse is removed. </v>
      </c>
      <c r="F8" s="181" t="s">
        <v>18</v>
      </c>
      <c r="G8" s="65">
        <f ca="1">IF($C8="No Param",32,VLOOKUP($C8,INDIRECT(Config!$B$1),HLOOKUP(D$1,INDIRECT(Config!$E$1),2,FALSE),FALSE))</f>
        <v>768</v>
      </c>
      <c r="H8" s="64" t="s">
        <v>558</v>
      </c>
      <c r="I8" s="64" t="s">
        <v>19</v>
      </c>
      <c r="J8" s="64" t="s">
        <v>48</v>
      </c>
      <c r="K8" s="64">
        <v>0</v>
      </c>
      <c r="L8" s="24" t="str">
        <f ca="1">IF(VLOOKUP("EXT_FUSE_PULL_SUPP", INDIRECT(Config!$B$1),HLOOKUP(D$1,INDIRECT(Config!$E$1),2,FALSE),FALSE)=1, IF(G8&gt;0,CONCATENATE(C8,"[",G8-1,":0]"), ""), "")</f>
        <v/>
      </c>
      <c r="M8" s="330" t="s">
        <v>368</v>
      </c>
      <c r="N8" s="333" t="s">
        <v>20</v>
      </c>
      <c r="O8" s="335">
        <f ca="1">($G8+$G9+$G10+$G13)</f>
        <v>960</v>
      </c>
    </row>
    <row r="9" spans="1:15" ht="14.55" customHeight="1" x14ac:dyDescent="0.3">
      <c r="A9" s="338"/>
      <c r="B9" s="72" t="s">
        <v>399</v>
      </c>
      <c r="C9" s="72" t="s">
        <v>399</v>
      </c>
      <c r="D9" s="35" t="s">
        <v>17</v>
      </c>
      <c r="E9" s="177" t="str">
        <f>Config!AD73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4" t="s">
        <v>48</v>
      </c>
      <c r="K9" s="134">
        <v>0</v>
      </c>
      <c r="L9" s="16" t="str">
        <f ca="1">IF(VLOOKUP("EXT_FUSE_PULL_SUPP", INDIRECT(Config!$B$1),HLOOKUP(D$1,INDIRECT(Config!$E$1),2,FALSE),FALSE)=1, IF(G9&gt;0,CONCATENATE(C9,"[",G9-1,":0]"), ""), "")</f>
        <v/>
      </c>
      <c r="M9" s="331"/>
      <c r="N9" s="324"/>
      <c r="O9" s="328"/>
    </row>
    <row r="10" spans="1:15" ht="14.55" customHeight="1" x14ac:dyDescent="0.3">
      <c r="A10" s="338"/>
      <c r="B10" s="44" t="s">
        <v>22</v>
      </c>
      <c r="C10" s="44" t="s">
        <v>22</v>
      </c>
      <c r="D10" s="35" t="s">
        <v>17</v>
      </c>
      <c r="E10" s="177" t="str">
        <f>Config!AD74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4" t="s">
        <v>48</v>
      </c>
      <c r="K10" s="134">
        <v>0</v>
      </c>
      <c r="L10" s="16" t="str">
        <f ca="1">IF(VLOOKUP("EXT_FUSE_PULL_SUPP", INDIRECT(Config!$B$1),HLOOKUP(D$1,INDIRECT(Config!$E$1),2,FALSE),FALSE)=1, IF(G10&gt;0,CONCATENATE(C10,"[",G10-1,":0]"), ""), "")</f>
        <v/>
      </c>
      <c r="M10" s="331"/>
      <c r="N10" s="324"/>
      <c r="O10" s="328"/>
    </row>
    <row r="11" spans="1:15" ht="14.55" customHeight="1" x14ac:dyDescent="0.3">
      <c r="A11" s="338"/>
      <c r="B11" s="168" t="s">
        <v>21</v>
      </c>
      <c r="C11" s="167" t="s">
        <v>21</v>
      </c>
      <c r="D11" s="15" t="s">
        <v>17</v>
      </c>
      <c r="E11" s="78" t="s">
        <v>515</v>
      </c>
      <c r="F11" s="146"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331"/>
      <c r="N11" s="324"/>
      <c r="O11" s="328"/>
    </row>
    <row r="12" spans="1:15" ht="14.55" customHeight="1" x14ac:dyDescent="0.3">
      <c r="A12" s="338"/>
      <c r="B12" s="72" t="s">
        <v>882</v>
      </c>
      <c r="C12" s="72" t="s">
        <v>882</v>
      </c>
      <c r="D12" s="153" t="s">
        <v>17</v>
      </c>
      <c r="E12" s="187" t="s">
        <v>881</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332"/>
      <c r="N12" s="334"/>
      <c r="O12" s="336"/>
    </row>
    <row r="13" spans="1:15" ht="14.55" customHeight="1" thickBot="1" x14ac:dyDescent="0.35">
      <c r="A13" s="339"/>
      <c r="B13" s="169" t="s">
        <v>422</v>
      </c>
      <c r="C13" s="169" t="s">
        <v>422</v>
      </c>
      <c r="D13" s="188" t="s">
        <v>17</v>
      </c>
      <c r="E13" s="189" t="s">
        <v>518</v>
      </c>
      <c r="F13" s="190" t="s">
        <v>18</v>
      </c>
      <c r="G13" s="194">
        <f ca="1">IF($C13="No Param",32,VLOOKUP($C13,INDIRECT(Config!$B$1),HLOOKUP(D$1,INDIRECT(Config!$E$1),2,FALSE),FALSE))</f>
        <v>0</v>
      </c>
      <c r="H13" s="192" t="str">
        <f ca="1">IF(G13=0, "N/A", CONCATENATE("0x",DEC2HEX(HEX2DEC(SUBSTITUTE(H8,"0x",""))+(G8+G9+G10+G11+G12)/8)))</f>
        <v>N/A</v>
      </c>
      <c r="I13" s="192" t="str">
        <f ca="1">IF(G13=0, "N/A", CONCATENATE("0x",DEC2HEX(HEX2DEC(SUBSTITUTE(I8,"0x",""))+(G8+G9+G10+G11+G12)/8)))</f>
        <v>N/A</v>
      </c>
      <c r="J13" s="192" t="s">
        <v>48</v>
      </c>
      <c r="K13" s="192">
        <v>0</v>
      </c>
      <c r="L13" s="26" t="str">
        <f ca="1">IF(VLOOKUP("EXT_FUSE_PULL_SUPP", INDIRECT(Config!$B$1),HLOOKUP(D$1,INDIRECT(Config!$E$1),2,FALSE),FALSE)=1, IF(G13&gt;0,CONCATENATE(C13,"[",G13-1,":0]"), ""), "")</f>
        <v/>
      </c>
      <c r="M13" s="332"/>
      <c r="N13" s="334"/>
      <c r="O13" s="336"/>
    </row>
    <row r="14" spans="1:15" ht="14.55" customHeight="1" x14ac:dyDescent="0.3">
      <c r="A14" s="340" t="s">
        <v>23</v>
      </c>
      <c r="B14" s="34" t="s">
        <v>24</v>
      </c>
      <c r="C14" s="36" t="s">
        <v>612</v>
      </c>
      <c r="D14" s="342" t="s">
        <v>25</v>
      </c>
      <c r="E14" s="121"/>
      <c r="F14" s="111" t="s">
        <v>26</v>
      </c>
      <c r="G14" s="60">
        <f ca="1">IF($C14="No Param",32,VLOOKUP($C14,INDIRECT(Config!$B$1),HLOOKUP(D$1,INDIRECT(Config!$E$1),2,FALSE),FALSE)*32)</f>
        <v>32</v>
      </c>
      <c r="H14" s="24" t="s">
        <v>27</v>
      </c>
      <c r="I14" s="24" t="s">
        <v>28</v>
      </c>
      <c r="J14" s="24" t="s">
        <v>1078</v>
      </c>
      <c r="K14" s="24" t="s">
        <v>1090</v>
      </c>
      <c r="L14" s="236" t="str">
        <f ca="1">IF(VLOOKUP("EXT_FUSE_PULL_SUPP", INDIRECT(Config!$B$1),HLOOKUP(D$1,INDIRECT(Config!$E$1),2,FALSE),FALSE)=1, IF(G14&gt;0,CONCATENATE("CSME_HW_FW_Config_fuses[",G14-1,":0]"), ""), "")</f>
        <v/>
      </c>
      <c r="M14" s="323" t="s">
        <v>369</v>
      </c>
      <c r="N14" s="326" t="s">
        <v>29</v>
      </c>
      <c r="O14" s="327">
        <f ca="1">(4*32+G18+G19+G20+G21+G22+G23)</f>
        <v>160</v>
      </c>
    </row>
    <row r="15" spans="1:15" ht="14.55" customHeight="1" x14ac:dyDescent="0.3">
      <c r="A15" s="341"/>
      <c r="B15" s="35" t="s">
        <v>30</v>
      </c>
      <c r="C15" s="37" t="s">
        <v>612</v>
      </c>
      <c r="D15" s="343"/>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1079</v>
      </c>
      <c r="K15" s="16" t="s">
        <v>1093</v>
      </c>
      <c r="L15" s="3" t="str">
        <f ca="1">IF(VLOOKUP("EXT_FUSE_PULL_SUPP", INDIRECT(Config!$B$1),HLOOKUP(D$1,INDIRECT(Config!$E$1),2,FALSE),FALSE)=1, IF(G15&gt;0,CONCATENATE("CSME_HW_FW_Config_fuses[",G15-1+G14,":",G14,"]"), ""), "")</f>
        <v/>
      </c>
      <c r="M15" s="344"/>
      <c r="N15" s="324"/>
      <c r="O15" s="328"/>
    </row>
    <row r="16" spans="1:15" ht="14.55" customHeight="1" x14ac:dyDescent="0.3">
      <c r="A16" s="341"/>
      <c r="B16" s="35" t="s">
        <v>31</v>
      </c>
      <c r="C16" s="37" t="s">
        <v>612</v>
      </c>
      <c r="D16" s="343"/>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1148</v>
      </c>
      <c r="K16" s="16" t="s">
        <v>1148</v>
      </c>
      <c r="L16" s="3" t="str">
        <f ca="1">IF(VLOOKUP("EXT_FUSE_PULL_SUPP", INDIRECT(Config!$B$1),HLOOKUP(D$1,INDIRECT(Config!$E$1),2,FALSE),FALSE)=1, IF(G16&gt;0,CONCATENATE("CSME_HW_FW_Config_fuses[",G16-1+G15+G14,":",G15+G14,"]"), ""), "")</f>
        <v/>
      </c>
      <c r="M16" s="344"/>
      <c r="N16" s="324"/>
      <c r="O16" s="328"/>
    </row>
    <row r="17" spans="1:15" x14ac:dyDescent="0.3">
      <c r="A17" s="341"/>
      <c r="B17" s="35" t="s">
        <v>32</v>
      </c>
      <c r="C17" s="37" t="s">
        <v>612</v>
      </c>
      <c r="D17" s="343"/>
      <c r="E17" s="122"/>
      <c r="F17" s="68" t="s">
        <v>26</v>
      </c>
      <c r="G17" s="39">
        <f ca="1">IF($C17="No Param",32,VLOOKUP($C17,INDIRECT(Config!$B$1),HLOOKUP(D$1,INDIRECT(Config!$E$1),2,FALSE),FALSE)*32)</f>
        <v>32</v>
      </c>
      <c r="H17" s="16" t="str">
        <f ca="1">CONCATENATE("0x",DEC2HEX(HEX2DEC(SUBSTITUTE(H16,"0x",""))+G16/8))</f>
        <v>0x200C</v>
      </c>
      <c r="I17" s="16" t="s">
        <v>33</v>
      </c>
      <c r="J17" s="16" t="s">
        <v>1081</v>
      </c>
      <c r="K17" s="16" t="s">
        <v>1100</v>
      </c>
      <c r="L17" s="3" t="str">
        <f ca="1">IF(VLOOKUP("EXT_FUSE_PULL_SUPP", INDIRECT(Config!$B$1),HLOOKUP(D$1,INDIRECT(Config!$E$1),2,FALSE),FALSE)=1, IF(G17&gt;0,CONCATENATE("CSME_HW_FW_Config_fuses[",G17-1+G16+G15+G14,":",G16+G15+G14,"]"), ""), "")</f>
        <v/>
      </c>
      <c r="M17" s="344"/>
      <c r="N17" s="324"/>
      <c r="O17" s="328"/>
    </row>
    <row r="18" spans="1:15" x14ac:dyDescent="0.3">
      <c r="A18" s="341"/>
      <c r="B18" s="35" t="s">
        <v>34</v>
      </c>
      <c r="C18" s="35" t="s">
        <v>253</v>
      </c>
      <c r="D18" s="343"/>
      <c r="E18" s="122"/>
      <c r="F18" s="68" t="s">
        <v>26</v>
      </c>
      <c r="G18" s="39">
        <f ca="1">IF($C18="No Param",32,VLOOKUP($C18,INDIRECT(Config!$B$1),HLOOKUP(D$1,INDIRECT(Config!$E$1),2,FALSE),FALSE)*32)</f>
        <v>32</v>
      </c>
      <c r="H18" s="16" t="str">
        <f ca="1">IF(G18=0, "N/A", CONCATENATE("0x",DEC2HEX(HEX2DEC(SUBSTITUTE(H17,"0x",""))+G17/8)))</f>
        <v>0x2010</v>
      </c>
      <c r="I18" s="16" t="s">
        <v>35</v>
      </c>
      <c r="J18" s="200" t="s">
        <v>387</v>
      </c>
      <c r="K18" s="200" t="str">
        <f ca="1">IF(G18=0,"N/A","0x00000000")</f>
        <v>0x00000000</v>
      </c>
      <c r="L18" s="3" t="str">
        <f ca="1">IF(VLOOKUP("EXT_FUSE_PULL_SUPP", INDIRECT(Config!$B$1),HLOOKUP(D$1,INDIRECT(Config!$E$1),2,FALSE),FALSE)=1, IF(G18&gt;0,CONCATENATE("CSME_HW_FW_Config_fusess[",G18-1+G17+G16+G15+G14,":",G17+G16+G15+G14,"]"), ""), "")</f>
        <v/>
      </c>
      <c r="M18" s="344"/>
      <c r="N18" s="324"/>
      <c r="O18" s="328"/>
    </row>
    <row r="19" spans="1:15" x14ac:dyDescent="0.3">
      <c r="A19" s="341"/>
      <c r="B19" s="35" t="s">
        <v>36</v>
      </c>
      <c r="C19" s="73" t="s">
        <v>214</v>
      </c>
      <c r="D19" s="343"/>
      <c r="E19" s="122"/>
      <c r="F19" s="68" t="s">
        <v>26</v>
      </c>
      <c r="G19" s="39">
        <f ca="1">IF($C19="No Param",32,VLOOKUP($C19,INDIRECT(Config!$B$1),HLOOKUP(D$1,INDIRECT(Config!$E$1),2,FALSE),FALSE)*32)</f>
        <v>0</v>
      </c>
      <c r="H19" s="16" t="str">
        <f ca="1">IF(G19=0, "N/A", CONCATENATE("0x",DEC2HEX(HEX2DEC(SUBSTITUTE(H18,"0x",""))+G18/8)))</f>
        <v>N/A</v>
      </c>
      <c r="I19" s="16" t="s">
        <v>37</v>
      </c>
      <c r="J19" s="200" t="s">
        <v>387</v>
      </c>
      <c r="K19" s="200" t="s">
        <v>387</v>
      </c>
      <c r="L19" s="3" t="str">
        <f ca="1">IF(VLOOKUP("EXT_FUSE_PULL_SUPP", INDIRECT(Config!$B$1),HLOOKUP(D$1,INDIRECT(Config!$E$1),2,FALSE),FALSE)=1, IF(G19&gt;0,CONCATENATE("CSME_HW_FW_Config_fusess[",G19-1+G18+G17+G16+G15+G14,":",G18+G17+G16+G15+G14,"]"), ""), "")</f>
        <v/>
      </c>
      <c r="M19" s="344"/>
      <c r="N19" s="324"/>
      <c r="O19" s="328"/>
    </row>
    <row r="20" spans="1:15" x14ac:dyDescent="0.3">
      <c r="A20" s="341"/>
      <c r="B20" s="73" t="s">
        <v>246</v>
      </c>
      <c r="C20" s="73" t="s">
        <v>205</v>
      </c>
      <c r="D20" s="343"/>
      <c r="E20" s="122"/>
      <c r="F20" s="68" t="s">
        <v>26</v>
      </c>
      <c r="G20" s="39">
        <f ca="1">IF($C20="No Param",32,VLOOKUP($C20,INDIRECT(Config!$B$1),HLOOKUP(D$1,INDIRECT(Config!$E$1),2,FALSE),FALSE)*32)</f>
        <v>0</v>
      </c>
      <c r="H20" s="16" t="str">
        <f ca="1">IF(G20=0, "N/A", CONCATENATE("0x",DEC2HEX(HEX2DEC(SUBSTITUTE(H18,"0x",""))+(G18+G19)/8)))</f>
        <v>N/A</v>
      </c>
      <c r="I20" s="7" t="s">
        <v>378</v>
      </c>
      <c r="J20" s="201" t="s">
        <v>387</v>
      </c>
      <c r="K20" s="200" t="s">
        <v>387</v>
      </c>
      <c r="L20" s="3" t="str">
        <f ca="1">IF(VLOOKUP("EXT_FUSE_PULL_SUPP", INDIRECT(Config!$B$1),HLOOKUP(D$1,INDIRECT(Config!$E$1),2,FALSE),FALSE)=1, IF(G20&gt;0,CONCATENATE("CSME_HW_FW_Config_fusess[",G20-1+G19+G18+G17+G16+G15+G14,":",G19+G18+G17+G16+G15+G14,"]"), ""), "")</f>
        <v/>
      </c>
      <c r="M20" s="344"/>
      <c r="N20" s="324"/>
      <c r="O20" s="328"/>
    </row>
    <row r="21" spans="1:15" x14ac:dyDescent="0.3">
      <c r="A21" s="341"/>
      <c r="B21" s="73" t="s">
        <v>250</v>
      </c>
      <c r="C21" s="73" t="s">
        <v>390</v>
      </c>
      <c r="D21" s="343"/>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344"/>
      <c r="N21" s="324"/>
      <c r="O21" s="328"/>
    </row>
    <row r="22" spans="1:15" x14ac:dyDescent="0.3">
      <c r="A22" s="341"/>
      <c r="B22" s="73" t="s">
        <v>251</v>
      </c>
      <c r="C22" s="73" t="s">
        <v>390</v>
      </c>
      <c r="D22" s="343"/>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344"/>
      <c r="N22" s="324"/>
      <c r="O22" s="328"/>
    </row>
    <row r="23" spans="1:15" x14ac:dyDescent="0.3">
      <c r="A23" s="341"/>
      <c r="B23" s="73" t="s">
        <v>252</v>
      </c>
      <c r="C23" s="73" t="s">
        <v>390</v>
      </c>
      <c r="D23" s="343"/>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344"/>
      <c r="N23" s="324"/>
      <c r="O23" s="328"/>
    </row>
    <row r="24" spans="1:15" x14ac:dyDescent="0.3">
      <c r="A24" s="341"/>
      <c r="B24" s="35" t="s">
        <v>38</v>
      </c>
      <c r="C24" s="37" t="s">
        <v>612</v>
      </c>
      <c r="D24" s="343"/>
      <c r="E24" s="122"/>
      <c r="F24" s="68" t="s">
        <v>26</v>
      </c>
      <c r="G24" s="39">
        <f ca="1">IF($C24="No Param",32,VLOOKUP($C24,INDIRECT(Config!$B$1),HLOOKUP(D$1,INDIRECT(Config!$E$1),2,FALSE),FALSE)*32)</f>
        <v>32</v>
      </c>
      <c r="H24" s="16" t="s">
        <v>39</v>
      </c>
      <c r="I24" s="16" t="s">
        <v>40</v>
      </c>
      <c r="J24" s="16" t="s">
        <v>48</v>
      </c>
      <c r="K24" s="198" t="s">
        <v>1083</v>
      </c>
      <c r="L24" s="3" t="str">
        <f ca="1">IF(VLOOKUP("EXT_FUSE_PULL_SUPP", INDIRECT(Config!$B$1),HLOOKUP(D$1,INDIRECT(Config!$E$1),2,FALSE),FALSE)=1, IF(G24&gt;0,CONCATENATE("CSME_HW_FW_INT_CHK[",G24-1,":0]"),""), "")</f>
        <v/>
      </c>
      <c r="M24" s="344"/>
      <c r="N24" s="324"/>
      <c r="O24" s="328"/>
    </row>
    <row r="25" spans="1:15" x14ac:dyDescent="0.3">
      <c r="A25" s="340" t="s">
        <v>41</v>
      </c>
      <c r="B25" s="35" t="s">
        <v>42</v>
      </c>
      <c r="C25" s="35" t="s">
        <v>613</v>
      </c>
      <c r="D25" s="343" t="s">
        <v>43</v>
      </c>
      <c r="E25" s="122"/>
      <c r="F25" s="68" t="s">
        <v>44</v>
      </c>
      <c r="G25" s="39">
        <f ca="1">IF($C25="No Param",32,VLOOKUP($C25,INDIRECT(Config!$B$1),HLOOKUP(D$1,INDIRECT(Config!$E$1),2,FALSE),FALSE)*32)</f>
        <v>32</v>
      </c>
      <c r="H25" s="16" t="str">
        <f ca="1">IF(G25=0,"N/A","0x8000")</f>
        <v>0x8000</v>
      </c>
      <c r="I25" s="16" t="s">
        <v>45</v>
      </c>
      <c r="J25" s="16" t="s">
        <v>48</v>
      </c>
      <c r="K25" s="16" t="s">
        <v>387</v>
      </c>
      <c r="L25" s="3"/>
      <c r="M25" s="344" t="s">
        <v>370</v>
      </c>
      <c r="N25" s="324"/>
      <c r="O25" s="328">
        <f ca="1">(G25+G26)</f>
        <v>64</v>
      </c>
    </row>
    <row r="26" spans="1:15" ht="15" thickBot="1" x14ac:dyDescent="0.35">
      <c r="A26" s="345"/>
      <c r="B26" s="74" t="s">
        <v>46</v>
      </c>
      <c r="C26" s="74" t="s">
        <v>614</v>
      </c>
      <c r="D26" s="346"/>
      <c r="E26" s="123"/>
      <c r="F26" s="76" t="s">
        <v>44</v>
      </c>
      <c r="G26" s="75">
        <f ca="1">IF($C26="No Param",32,VLOOKUP($C26,INDIRECT(Config!$B$1),HLOOKUP(D$1,INDIRECT(Config!$E$1),2,FALSE),FALSE)*32)</f>
        <v>32</v>
      </c>
      <c r="H26" s="26" t="str">
        <f ca="1">IF(G26=0,"N/A","0x8004")</f>
        <v>0x8004</v>
      </c>
      <c r="I26" s="26" t="s">
        <v>47</v>
      </c>
      <c r="J26" s="26" t="s">
        <v>48</v>
      </c>
      <c r="K26" s="26" t="s">
        <v>387</v>
      </c>
      <c r="L26" s="237"/>
      <c r="M26" s="325"/>
      <c r="N26" s="325"/>
      <c r="O26" s="329"/>
    </row>
    <row r="27" spans="1:15" ht="15" thickBot="1" x14ac:dyDescent="0.35">
      <c r="A27" s="124"/>
    </row>
    <row r="28" spans="1:15" x14ac:dyDescent="0.3">
      <c r="A28" s="342" t="s">
        <v>49</v>
      </c>
      <c r="B28" s="80" t="s">
        <v>617</v>
      </c>
      <c r="C28" s="80" t="s">
        <v>617</v>
      </c>
      <c r="D28" s="80"/>
      <c r="E28" s="107" t="str">
        <f>Group0!L3</f>
        <v>This field is reserved for FW usage</v>
      </c>
      <c r="F28" s="90" t="s">
        <v>50</v>
      </c>
      <c r="G28" s="91">
        <f ca="1">IF($C28="No Param",32,VLOOKUP($C28,INDIRECT(Config!$B$1),HLOOKUP(D$1,INDIRECT(Config!$E$1),2,FALSE),FALSE))</f>
        <v>512</v>
      </c>
      <c r="H28" s="82" t="s">
        <v>51</v>
      </c>
      <c r="I28" s="112" t="s">
        <v>623</v>
      </c>
      <c r="J28" s="112" t="s">
        <v>387</v>
      </c>
      <c r="K28" s="112" t="s">
        <v>387</v>
      </c>
      <c r="L28" s="112"/>
      <c r="M28" s="113" t="s">
        <v>48</v>
      </c>
      <c r="N28" s="326" t="s">
        <v>48</v>
      </c>
      <c r="O28" s="327">
        <f ca="1">SUM(G28:G42)</f>
        <v>576</v>
      </c>
    </row>
    <row r="29" spans="1:15" ht="15" customHeight="1" x14ac:dyDescent="0.3">
      <c r="A29" s="343"/>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344" t="s">
        <v>369</v>
      </c>
      <c r="N29" s="324"/>
      <c r="O29" s="328"/>
    </row>
    <row r="30" spans="1:15" x14ac:dyDescent="0.3">
      <c r="A30" s="343"/>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344"/>
      <c r="N30" s="324"/>
      <c r="O30" s="328"/>
    </row>
    <row r="31" spans="1:15" x14ac:dyDescent="0.3">
      <c r="A31" s="343"/>
      <c r="B31" s="35" t="s">
        <v>359</v>
      </c>
      <c r="C31" s="16" t="s">
        <v>360</v>
      </c>
      <c r="D31" s="35" t="s">
        <v>550</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344"/>
      <c r="N31" s="324"/>
      <c r="O31" s="328"/>
    </row>
    <row r="32" spans="1:15" x14ac:dyDescent="0.3">
      <c r="A32" s="343"/>
      <c r="B32" s="84" t="s">
        <v>616</v>
      </c>
      <c r="C32" s="84" t="s">
        <v>668</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324"/>
      <c r="O32" s="328"/>
    </row>
    <row r="33" spans="1:15" x14ac:dyDescent="0.3">
      <c r="A33" s="343"/>
      <c r="B33" s="84" t="s">
        <v>618</v>
      </c>
      <c r="C33" s="84" t="s">
        <v>618</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324"/>
      <c r="O33" s="328"/>
    </row>
    <row r="34" spans="1:15" ht="15" customHeight="1" x14ac:dyDescent="0.3">
      <c r="A34" s="343"/>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344" t="s">
        <v>369</v>
      </c>
      <c r="N34" s="324"/>
      <c r="O34" s="328"/>
    </row>
    <row r="35" spans="1:15" x14ac:dyDescent="0.3">
      <c r="A35" s="343"/>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344"/>
      <c r="N35" s="324"/>
      <c r="O35" s="328"/>
    </row>
    <row r="36" spans="1:15" x14ac:dyDescent="0.3">
      <c r="A36" s="343"/>
      <c r="B36" s="35" t="s">
        <v>362</v>
      </c>
      <c r="C36" s="16" t="s">
        <v>363</v>
      </c>
      <c r="D36" s="35" t="s">
        <v>550</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344"/>
      <c r="N36" s="324"/>
      <c r="O36" s="328"/>
    </row>
    <row r="37" spans="1:15" x14ac:dyDescent="0.3">
      <c r="A37" s="343"/>
      <c r="B37" s="84" t="s">
        <v>619</v>
      </c>
      <c r="C37" s="84" t="s">
        <v>668</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324"/>
      <c r="O37" s="328"/>
    </row>
    <row r="38" spans="1:15" x14ac:dyDescent="0.3">
      <c r="A38" s="343"/>
      <c r="B38" s="84" t="s">
        <v>620</v>
      </c>
      <c r="C38" s="84" t="s">
        <v>620</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324"/>
      <c r="O38" s="328"/>
    </row>
    <row r="39" spans="1:15" ht="15" customHeight="1" x14ac:dyDescent="0.3">
      <c r="A39" s="343"/>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344" t="s">
        <v>369</v>
      </c>
      <c r="N39" s="324"/>
      <c r="O39" s="328"/>
    </row>
    <row r="40" spans="1:15" x14ac:dyDescent="0.3">
      <c r="A40" s="343"/>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344"/>
      <c r="N40" s="324"/>
      <c r="O40" s="328"/>
    </row>
    <row r="41" spans="1:15" x14ac:dyDescent="0.3">
      <c r="A41" s="343"/>
      <c r="B41" s="35" t="s">
        <v>365</v>
      </c>
      <c r="C41" s="16" t="s">
        <v>363</v>
      </c>
      <c r="D41" s="35" t="s">
        <v>550</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344"/>
      <c r="N41" s="324"/>
      <c r="O41" s="328"/>
    </row>
    <row r="42" spans="1:15" ht="15" thickBot="1" x14ac:dyDescent="0.35">
      <c r="A42" s="346"/>
      <c r="B42" s="87" t="s">
        <v>621</v>
      </c>
      <c r="C42" s="87" t="s">
        <v>668</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325"/>
      <c r="O42" s="329"/>
    </row>
    <row r="43" spans="1:15" ht="15" customHeight="1" x14ac:dyDescent="0.3"/>
    <row r="44" spans="1:15" ht="15" customHeight="1" x14ac:dyDescent="0.3"/>
    <row r="45" spans="1:15" ht="15" customHeight="1" x14ac:dyDescent="0.3"/>
    <row r="46" spans="1:15" ht="15" customHeight="1" x14ac:dyDescent="0.3"/>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C5">
    <cfRule type="cellIs" dxfId="314" priority="256" operator="equal">
      <formula>0</formula>
    </cfRule>
  </conditionalFormatting>
  <conditionalFormatting sqref="J28">
    <cfRule type="cellIs" dxfId="313" priority="272" operator="equal">
      <formula>0</formula>
    </cfRule>
  </conditionalFormatting>
  <conditionalFormatting sqref="C3">
    <cfRule type="cellIs" dxfId="312" priority="258" operator="equal">
      <formula>0</formula>
    </cfRule>
  </conditionalFormatting>
  <conditionalFormatting sqref="C4">
    <cfRule type="cellIs" dxfId="311" priority="257" operator="equal">
      <formula>0</formula>
    </cfRule>
  </conditionalFormatting>
  <conditionalFormatting sqref="B3 D3 G14:G26">
    <cfRule type="cellIs" dxfId="310" priority="269" operator="equal">
      <formula>0</formula>
    </cfRule>
  </conditionalFormatting>
  <conditionalFormatting sqref="B4 D4">
    <cfRule type="cellIs" dxfId="309" priority="268" operator="equal">
      <formula>0</formula>
    </cfRule>
  </conditionalFormatting>
  <conditionalFormatting sqref="B5 D5">
    <cfRule type="cellIs" dxfId="308" priority="267" operator="equal">
      <formula>0</formula>
    </cfRule>
  </conditionalFormatting>
  <conditionalFormatting sqref="B7">
    <cfRule type="cellIs" dxfId="307" priority="266" operator="equal">
      <formula>0</formula>
    </cfRule>
  </conditionalFormatting>
  <conditionalFormatting sqref="B8 D8">
    <cfRule type="cellIs" priority="265" operator="equal">
      <formula>0</formula>
    </cfRule>
  </conditionalFormatting>
  <conditionalFormatting sqref="B9 D9">
    <cfRule type="cellIs" dxfId="306" priority="264" operator="equal">
      <formula>0</formula>
    </cfRule>
  </conditionalFormatting>
  <conditionalFormatting sqref="B10 D10">
    <cfRule type="cellIs" dxfId="305" priority="262" operator="equal">
      <formula>0</formula>
    </cfRule>
    <cfRule type="cellIs" dxfId="304" priority="263" operator="equal">
      <formula>0</formula>
    </cfRule>
  </conditionalFormatting>
  <conditionalFormatting sqref="B6 D6">
    <cfRule type="cellIs" dxfId="303" priority="260" operator="equal">
      <formula>0</formula>
    </cfRule>
  </conditionalFormatting>
  <conditionalFormatting sqref="D7">
    <cfRule type="cellIs" dxfId="302" priority="259" operator="equal">
      <formula>0</formula>
    </cfRule>
  </conditionalFormatting>
  <conditionalFormatting sqref="C7">
    <cfRule type="cellIs" dxfId="301" priority="255" operator="equal">
      <formula>0</formula>
    </cfRule>
  </conditionalFormatting>
  <conditionalFormatting sqref="C8">
    <cfRule type="cellIs" priority="254" operator="equal">
      <formula>0</formula>
    </cfRule>
  </conditionalFormatting>
  <conditionalFormatting sqref="C9">
    <cfRule type="cellIs" dxfId="300" priority="253" operator="equal">
      <formula>0</formula>
    </cfRule>
  </conditionalFormatting>
  <conditionalFormatting sqref="C10">
    <cfRule type="cellIs" dxfId="299" priority="251" operator="equal">
      <formula>0</formula>
    </cfRule>
    <cfRule type="cellIs" dxfId="298" priority="252" operator="equal">
      <formula>0</formula>
    </cfRule>
  </conditionalFormatting>
  <conditionalFormatting sqref="C6">
    <cfRule type="cellIs" dxfId="297" priority="250" operator="equal">
      <formula>0</formula>
    </cfRule>
  </conditionalFormatting>
  <conditionalFormatting sqref="G40">
    <cfRule type="cellIs" dxfId="296" priority="170" operator="equal">
      <formula>0</formula>
    </cfRule>
  </conditionalFormatting>
  <conditionalFormatting sqref="G37">
    <cfRule type="cellIs" dxfId="295" priority="169" operator="equal">
      <formula>0</formula>
    </cfRule>
  </conditionalFormatting>
  <conditionalFormatting sqref="G42">
    <cfRule type="cellIs" dxfId="294" priority="168" operator="equal">
      <formula>0</formula>
    </cfRule>
  </conditionalFormatting>
  <conditionalFormatting sqref="L32">
    <cfRule type="cellIs" dxfId="293" priority="211" operator="equal">
      <formula>0</formula>
    </cfRule>
  </conditionalFormatting>
  <conditionalFormatting sqref="L31">
    <cfRule type="cellIs" dxfId="292" priority="210" operator="equal">
      <formula>0</formula>
    </cfRule>
  </conditionalFormatting>
  <conditionalFormatting sqref="L30">
    <cfRule type="cellIs" dxfId="291" priority="209" operator="equal">
      <formula>0</formula>
    </cfRule>
  </conditionalFormatting>
  <conditionalFormatting sqref="L29">
    <cfRule type="cellIs" dxfId="290" priority="208" operator="equal">
      <formula>0</formula>
    </cfRule>
  </conditionalFormatting>
  <conditionalFormatting sqref="L37">
    <cfRule type="cellIs" dxfId="289" priority="207" operator="equal">
      <formula>0</formula>
    </cfRule>
  </conditionalFormatting>
  <conditionalFormatting sqref="L36">
    <cfRule type="cellIs" dxfId="288" priority="206" operator="equal">
      <formula>0</formula>
    </cfRule>
  </conditionalFormatting>
  <conditionalFormatting sqref="L35">
    <cfRule type="cellIs" dxfId="287" priority="205" operator="equal">
      <formula>0</formula>
    </cfRule>
  </conditionalFormatting>
  <conditionalFormatting sqref="L34">
    <cfRule type="cellIs" dxfId="286" priority="204" operator="equal">
      <formula>0</formula>
    </cfRule>
  </conditionalFormatting>
  <conditionalFormatting sqref="L42">
    <cfRule type="cellIs" dxfId="285" priority="203" operator="equal">
      <formula>0</formula>
    </cfRule>
  </conditionalFormatting>
  <conditionalFormatting sqref="L41">
    <cfRule type="cellIs" dxfId="284" priority="202" operator="equal">
      <formula>0</formula>
    </cfRule>
  </conditionalFormatting>
  <conditionalFormatting sqref="L40">
    <cfRule type="cellIs" dxfId="283" priority="201" operator="equal">
      <formula>0</formula>
    </cfRule>
  </conditionalFormatting>
  <conditionalFormatting sqref="L39">
    <cfRule type="cellIs" dxfId="282" priority="200" operator="equal">
      <formula>0</formula>
    </cfRule>
  </conditionalFormatting>
  <conditionalFormatting sqref="G34">
    <cfRule type="cellIs" dxfId="281" priority="182" operator="equal">
      <formula>0</formula>
    </cfRule>
  </conditionalFormatting>
  <conditionalFormatting sqref="G36">
    <cfRule type="cellIs" dxfId="280" priority="181" operator="equal">
      <formula>0</formula>
    </cfRule>
  </conditionalFormatting>
  <conditionalFormatting sqref="G29">
    <cfRule type="cellIs" dxfId="279" priority="175" operator="equal">
      <formula>0</formula>
    </cfRule>
  </conditionalFormatting>
  <conditionalFormatting sqref="G32">
    <cfRule type="cellIs" dxfId="278" priority="179" operator="equal">
      <formula>0</formula>
    </cfRule>
  </conditionalFormatting>
  <conditionalFormatting sqref="G33">
    <cfRule type="cellIs" dxfId="277" priority="178" operator="equal">
      <formula>0</formula>
    </cfRule>
  </conditionalFormatting>
  <conditionalFormatting sqref="G28">
    <cfRule type="cellIs" dxfId="276" priority="180" operator="equal">
      <formula>0</formula>
    </cfRule>
  </conditionalFormatting>
  <conditionalFormatting sqref="G38">
    <cfRule type="cellIs" dxfId="275" priority="177" operator="equal">
      <formula>0</formula>
    </cfRule>
  </conditionalFormatting>
  <conditionalFormatting sqref="G35">
    <cfRule type="cellIs" dxfId="274" priority="176" operator="equal">
      <formula>0</formula>
    </cfRule>
  </conditionalFormatting>
  <conditionalFormatting sqref="G31">
    <cfRule type="cellIs" dxfId="273" priority="174" operator="equal">
      <formula>0</formula>
    </cfRule>
  </conditionalFormatting>
  <conditionalFormatting sqref="G30">
    <cfRule type="cellIs" dxfId="272" priority="173" operator="equal">
      <formula>0</formula>
    </cfRule>
  </conditionalFormatting>
  <conditionalFormatting sqref="G39">
    <cfRule type="cellIs" dxfId="271" priority="172" operator="equal">
      <formula>0</formula>
    </cfRule>
  </conditionalFormatting>
  <conditionalFormatting sqref="G41">
    <cfRule type="cellIs" dxfId="270" priority="171" operator="equal">
      <formula>0</formula>
    </cfRule>
  </conditionalFormatting>
  <conditionalFormatting sqref="E10">
    <cfRule type="cellIs" priority="131" operator="equal">
      <formula>0</formula>
    </cfRule>
  </conditionalFormatting>
  <conditionalFormatting sqref="E3">
    <cfRule type="cellIs" dxfId="269" priority="146" operator="equal">
      <formula>0</formula>
    </cfRule>
  </conditionalFormatting>
  <conditionalFormatting sqref="E3">
    <cfRule type="cellIs" priority="145" operator="equal">
      <formula>0</formula>
    </cfRule>
  </conditionalFormatting>
  <conditionalFormatting sqref="E5">
    <cfRule type="cellIs" dxfId="268" priority="142" operator="equal">
      <formula>0</formula>
    </cfRule>
  </conditionalFormatting>
  <conditionalFormatting sqref="E5">
    <cfRule type="cellIs" priority="141" operator="equal">
      <formula>0</formula>
    </cfRule>
  </conditionalFormatting>
  <conditionalFormatting sqref="E7">
    <cfRule type="cellIs" dxfId="267" priority="138" operator="equal">
      <formula>0</formula>
    </cfRule>
  </conditionalFormatting>
  <conditionalFormatting sqref="E7">
    <cfRule type="cellIs" priority="137" operator="equal">
      <formula>0</formula>
    </cfRule>
  </conditionalFormatting>
  <conditionalFormatting sqref="E9">
    <cfRule type="cellIs" dxfId="266" priority="134" operator="equal">
      <formula>0</formula>
    </cfRule>
  </conditionalFormatting>
  <conditionalFormatting sqref="E9">
    <cfRule type="cellIs" priority="133" operator="equal">
      <formula>0</formula>
    </cfRule>
  </conditionalFormatting>
  <conditionalFormatting sqref="E4">
    <cfRule type="cellIs" dxfId="265" priority="144" operator="equal">
      <formula>0</formula>
    </cfRule>
  </conditionalFormatting>
  <conditionalFormatting sqref="E4">
    <cfRule type="cellIs" priority="143" operator="equal">
      <formula>0</formula>
    </cfRule>
  </conditionalFormatting>
  <conditionalFormatting sqref="E6">
    <cfRule type="cellIs" dxfId="264" priority="140" operator="equal">
      <formula>0</formula>
    </cfRule>
  </conditionalFormatting>
  <conditionalFormatting sqref="E6">
    <cfRule type="cellIs" priority="139" operator="equal">
      <formula>0</formula>
    </cfRule>
  </conditionalFormatting>
  <conditionalFormatting sqref="E8">
    <cfRule type="cellIs" dxfId="263" priority="136" operator="equal">
      <formula>0</formula>
    </cfRule>
  </conditionalFormatting>
  <conditionalFormatting sqref="E8">
    <cfRule type="cellIs" priority="135" operator="equal">
      <formula>0</formula>
    </cfRule>
  </conditionalFormatting>
  <conditionalFormatting sqref="E10">
    <cfRule type="cellIs" dxfId="262" priority="132" operator="equal">
      <formula>0</formula>
    </cfRule>
  </conditionalFormatting>
  <conditionalFormatting sqref="G4:G10">
    <cfRule type="cellIs" dxfId="261" priority="122" operator="equal">
      <formula>0</formula>
    </cfRule>
  </conditionalFormatting>
  <conditionalFormatting sqref="F6">
    <cfRule type="cellIs" dxfId="260" priority="113" operator="equal">
      <formula>0</formula>
    </cfRule>
  </conditionalFormatting>
  <conditionalFormatting sqref="F3">
    <cfRule type="cellIs" dxfId="259" priority="121" operator="equal">
      <formula>0</formula>
    </cfRule>
  </conditionalFormatting>
  <conditionalFormatting sqref="F4">
    <cfRule type="cellIs" dxfId="258" priority="120" operator="equal">
      <formula>0</formula>
    </cfRule>
  </conditionalFormatting>
  <conditionalFormatting sqref="F5">
    <cfRule type="cellIs" dxfId="257" priority="119" operator="equal">
      <formula>0</formula>
    </cfRule>
  </conditionalFormatting>
  <conditionalFormatting sqref="F7">
    <cfRule type="cellIs" dxfId="256" priority="118" operator="equal">
      <formula>0</formula>
    </cfRule>
  </conditionalFormatting>
  <conditionalFormatting sqref="F9">
    <cfRule type="cellIs" dxfId="255" priority="116" operator="equal">
      <formula>0</formula>
    </cfRule>
  </conditionalFormatting>
  <conditionalFormatting sqref="G3:I3">
    <cfRule type="cellIs" dxfId="254" priority="112" operator="equal">
      <formula>0</formula>
    </cfRule>
  </conditionalFormatting>
  <conditionalFormatting sqref="F8 H9:H10">
    <cfRule type="cellIs" priority="117" operator="equal">
      <formula>0</formula>
    </cfRule>
  </conditionalFormatting>
  <conditionalFormatting sqref="F10">
    <cfRule type="cellIs" dxfId="253" priority="114" operator="equal">
      <formula>0</formula>
    </cfRule>
    <cfRule type="cellIs" dxfId="252" priority="115" operator="equal">
      <formula>0</formula>
    </cfRule>
  </conditionalFormatting>
  <conditionalFormatting sqref="H7">
    <cfRule type="cellIs" dxfId="251" priority="104" operator="equal">
      <formula>0</formula>
    </cfRule>
  </conditionalFormatting>
  <conditionalFormatting sqref="I6">
    <cfRule type="cellIs" dxfId="250" priority="107" operator="equal">
      <formula>0</formula>
    </cfRule>
  </conditionalFormatting>
  <conditionalFormatting sqref="H5">
    <cfRule type="cellIs" dxfId="249" priority="106" operator="equal">
      <formula>0</formula>
    </cfRule>
  </conditionalFormatting>
  <conditionalFormatting sqref="H4:I4">
    <cfRule type="cellIs" dxfId="248" priority="111" operator="equal">
      <formula>0</formula>
    </cfRule>
  </conditionalFormatting>
  <conditionalFormatting sqref="I5">
    <cfRule type="cellIs" dxfId="247" priority="110" operator="equal">
      <formula>0</formula>
    </cfRule>
  </conditionalFormatting>
  <conditionalFormatting sqref="I7">
    <cfRule type="cellIs" dxfId="246" priority="109" operator="equal">
      <formula>0</formula>
    </cfRule>
  </conditionalFormatting>
  <conditionalFormatting sqref="H8:I8">
    <cfRule type="cellIs" priority="108" operator="equal">
      <formula>0</formula>
    </cfRule>
  </conditionalFormatting>
  <conditionalFormatting sqref="H6">
    <cfRule type="cellIs" dxfId="245" priority="105" operator="equal">
      <formula>0</formula>
    </cfRule>
  </conditionalFormatting>
  <conditionalFormatting sqref="I9:I10">
    <cfRule type="cellIs" priority="101" operator="equal">
      <formula>0</formula>
    </cfRule>
  </conditionalFormatting>
  <conditionalFormatting sqref="E11 G11">
    <cfRule type="cellIs" dxfId="244" priority="88" operator="equal">
      <formula>0</formula>
    </cfRule>
  </conditionalFormatting>
  <conditionalFormatting sqref="I11">
    <cfRule type="cellIs" priority="87" operator="equal">
      <formula>0</formula>
    </cfRule>
  </conditionalFormatting>
  <conditionalFormatting sqref="E13 G13">
    <cfRule type="cellIs" dxfId="243" priority="86" operator="equal">
      <formula>0</formula>
    </cfRule>
  </conditionalFormatting>
  <conditionalFormatting sqref="H13">
    <cfRule type="cellIs" priority="84" operator="equal">
      <formula>0</formula>
    </cfRule>
  </conditionalFormatting>
  <conditionalFormatting sqref="I13">
    <cfRule type="cellIs" priority="83" operator="equal">
      <formula>0</formula>
    </cfRule>
  </conditionalFormatting>
  <conditionalFormatting sqref="E12">
    <cfRule type="cellIs" dxfId="242" priority="82" operator="equal">
      <formula>0</formula>
    </cfRule>
  </conditionalFormatting>
  <conditionalFormatting sqref="B12 D12:F12">
    <cfRule type="cellIs" priority="80" operator="equal">
      <formula>0</formula>
    </cfRule>
  </conditionalFormatting>
  <conditionalFormatting sqref="C12">
    <cfRule type="cellIs" priority="79" operator="equal">
      <formula>0</formula>
    </cfRule>
  </conditionalFormatting>
  <conditionalFormatting sqref="I12">
    <cfRule type="cellIs" priority="78" operator="equal">
      <formula>0</formula>
    </cfRule>
  </conditionalFormatting>
  <conditionalFormatting sqref="G12">
    <cfRule type="cellIs" dxfId="241" priority="77" operator="equal">
      <formula>0</formula>
    </cfRule>
  </conditionalFormatting>
  <conditionalFormatting sqref="H12">
    <cfRule type="cellIs" priority="76" operator="equal">
      <formula>0</formula>
    </cfRule>
  </conditionalFormatting>
  <conditionalFormatting sqref="H11">
    <cfRule type="cellIs" priority="75" operator="equal">
      <formula>0</formula>
    </cfRule>
  </conditionalFormatting>
  <conditionalFormatting sqref="K25">
    <cfRule type="cellIs" dxfId="240" priority="44" operator="equal">
      <formula>0</formula>
    </cfRule>
  </conditionalFormatting>
  <conditionalFormatting sqref="K26">
    <cfRule type="cellIs" dxfId="239" priority="43" operator="equal">
      <formula>0</formula>
    </cfRule>
  </conditionalFormatting>
  <conditionalFormatting sqref="J25">
    <cfRule type="cellIs" dxfId="238" priority="42" operator="equal">
      <formula>0</formula>
    </cfRule>
  </conditionalFormatting>
  <conditionalFormatting sqref="J26">
    <cfRule type="cellIs" dxfId="237" priority="41" operator="equal">
      <formula>0</formula>
    </cfRule>
  </conditionalFormatting>
  <conditionalFormatting sqref="K3:K4">
    <cfRule type="cellIs" dxfId="236" priority="40" operator="equal">
      <formula>0</formula>
    </cfRule>
  </conditionalFormatting>
  <conditionalFormatting sqref="K5">
    <cfRule type="cellIs" dxfId="235" priority="39" operator="equal">
      <formula>0</formula>
    </cfRule>
  </conditionalFormatting>
  <conditionalFormatting sqref="K6">
    <cfRule type="cellIs" dxfId="234" priority="38" operator="equal">
      <formula>0</formula>
    </cfRule>
  </conditionalFormatting>
  <conditionalFormatting sqref="K9">
    <cfRule type="cellIs" dxfId="233" priority="37" operator="equal">
      <formula>0</formula>
    </cfRule>
  </conditionalFormatting>
  <conditionalFormatting sqref="K10">
    <cfRule type="cellIs" dxfId="232" priority="36" operator="equal">
      <formula>0</formula>
    </cfRule>
  </conditionalFormatting>
  <conditionalFormatting sqref="K7">
    <cfRule type="cellIs" dxfId="231" priority="35" operator="equal">
      <formula>0</formula>
    </cfRule>
  </conditionalFormatting>
  <conditionalFormatting sqref="K8">
    <cfRule type="cellIs" dxfId="230" priority="34" operator="equal">
      <formula>0</formula>
    </cfRule>
  </conditionalFormatting>
  <conditionalFormatting sqref="K11">
    <cfRule type="cellIs" dxfId="229" priority="33" operator="equal">
      <formula>0</formula>
    </cfRule>
  </conditionalFormatting>
  <conditionalFormatting sqref="K13">
    <cfRule type="cellIs" dxfId="228" priority="32" operator="equal">
      <formula>0</formula>
    </cfRule>
  </conditionalFormatting>
  <conditionalFormatting sqref="K12">
    <cfRule type="cellIs" dxfId="227" priority="31" operator="equal">
      <formula>0</formula>
    </cfRule>
  </conditionalFormatting>
  <conditionalFormatting sqref="J3:J4">
    <cfRule type="cellIs" dxfId="226" priority="30" operator="equal">
      <formula>0</formula>
    </cfRule>
  </conditionalFormatting>
  <conditionalFormatting sqref="J5">
    <cfRule type="cellIs" dxfId="225" priority="29" operator="equal">
      <formula>0</formula>
    </cfRule>
  </conditionalFormatting>
  <conditionalFormatting sqref="J6">
    <cfRule type="cellIs" dxfId="224" priority="28" operator="equal">
      <formula>0</formula>
    </cfRule>
  </conditionalFormatting>
  <conditionalFormatting sqref="J9">
    <cfRule type="cellIs" dxfId="223" priority="27" operator="equal">
      <formula>0</formula>
    </cfRule>
  </conditionalFormatting>
  <conditionalFormatting sqref="J10">
    <cfRule type="cellIs" dxfId="222" priority="26" operator="equal">
      <formula>0</formula>
    </cfRule>
  </conditionalFormatting>
  <conditionalFormatting sqref="J7">
    <cfRule type="cellIs" dxfId="221" priority="25" operator="equal">
      <formula>0</formula>
    </cfRule>
  </conditionalFormatting>
  <conditionalFormatting sqref="J8">
    <cfRule type="cellIs" dxfId="220" priority="24" operator="equal">
      <formula>0</formula>
    </cfRule>
  </conditionalFormatting>
  <conditionalFormatting sqref="J11">
    <cfRule type="cellIs" dxfId="219" priority="23" operator="equal">
      <formula>0</formula>
    </cfRule>
  </conditionalFormatting>
  <conditionalFormatting sqref="J13">
    <cfRule type="cellIs" dxfId="218" priority="22" operator="equal">
      <formula>0</formula>
    </cfRule>
  </conditionalFormatting>
  <conditionalFormatting sqref="J12">
    <cfRule type="cellIs" dxfId="217" priority="21" operator="equal">
      <formula>0</formula>
    </cfRule>
  </conditionalFormatting>
  <conditionalFormatting sqref="L3:L4">
    <cfRule type="cellIs" dxfId="216" priority="20" operator="equal">
      <formula>0</formula>
    </cfRule>
  </conditionalFormatting>
  <conditionalFormatting sqref="L5">
    <cfRule type="cellIs" dxfId="215" priority="19" operator="equal">
      <formula>0</formula>
    </cfRule>
  </conditionalFormatting>
  <conditionalFormatting sqref="L6">
    <cfRule type="cellIs" dxfId="214" priority="18" operator="equal">
      <formula>0</formula>
    </cfRule>
  </conditionalFormatting>
  <conditionalFormatting sqref="L7">
    <cfRule type="cellIs" dxfId="213" priority="17" operator="equal">
      <formula>0</formula>
    </cfRule>
  </conditionalFormatting>
  <conditionalFormatting sqref="L8:L9">
    <cfRule type="cellIs" dxfId="212" priority="16" operator="equal">
      <formula>0</formula>
    </cfRule>
  </conditionalFormatting>
  <conditionalFormatting sqref="L14">
    <cfRule type="cellIs" dxfId="211" priority="15" operator="equal">
      <formula>0</formula>
    </cfRule>
  </conditionalFormatting>
  <conditionalFormatting sqref="L15">
    <cfRule type="cellIs" dxfId="210" priority="14" operator="equal">
      <formula>0</formula>
    </cfRule>
  </conditionalFormatting>
  <conditionalFormatting sqref="L16">
    <cfRule type="cellIs" dxfId="209" priority="13" operator="equal">
      <formula>0</formula>
    </cfRule>
  </conditionalFormatting>
  <conditionalFormatting sqref="L17">
    <cfRule type="cellIs" dxfId="208" priority="12" operator="equal">
      <formula>0</formula>
    </cfRule>
  </conditionalFormatting>
  <conditionalFormatting sqref="L18">
    <cfRule type="cellIs" dxfId="207" priority="11" operator="equal">
      <formula>0</formula>
    </cfRule>
  </conditionalFormatting>
  <conditionalFormatting sqref="L19">
    <cfRule type="cellIs" dxfId="206" priority="10" operator="equal">
      <formula>0</formula>
    </cfRule>
  </conditionalFormatting>
  <conditionalFormatting sqref="L20">
    <cfRule type="cellIs" dxfId="205" priority="9" operator="equal">
      <formula>0</formula>
    </cfRule>
  </conditionalFormatting>
  <conditionalFormatting sqref="L21">
    <cfRule type="cellIs" dxfId="204" priority="8" operator="equal">
      <formula>0</formula>
    </cfRule>
  </conditionalFormatting>
  <conditionalFormatting sqref="L22">
    <cfRule type="cellIs" dxfId="203" priority="7" operator="equal">
      <formula>0</formula>
    </cfRule>
  </conditionalFormatting>
  <conditionalFormatting sqref="L23">
    <cfRule type="cellIs" dxfId="202" priority="6" operator="equal">
      <formula>0</formula>
    </cfRule>
  </conditionalFormatting>
  <conditionalFormatting sqref="L24">
    <cfRule type="cellIs" dxfId="201" priority="5" operator="equal">
      <formula>0</formula>
    </cfRule>
  </conditionalFormatting>
  <conditionalFormatting sqref="L10">
    <cfRule type="cellIs" dxfId="200" priority="4" operator="equal">
      <formula>0</formula>
    </cfRule>
  </conditionalFormatting>
  <conditionalFormatting sqref="L11">
    <cfRule type="cellIs" dxfId="199" priority="3" operator="equal">
      <formula>0</formula>
    </cfRule>
  </conditionalFormatting>
  <conditionalFormatting sqref="L12">
    <cfRule type="cellIs" dxfId="198" priority="2" operator="equal">
      <formula>0</formula>
    </cfRule>
  </conditionalFormatting>
  <conditionalFormatting sqref="L13">
    <cfRule type="cellIs" dxfId="197"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1">
        <x14:dataValidation type="list" showInputMessage="1" showErrorMessage="1" xr:uid="{01002C27-04D3-49C9-A4C5-C43EBB72CA66}">
          <x14:formula1>
            <xm:f>Config!$B$3:$O$3</xm:f>
          </x14:formula1>
          <xm:sqref>D1:E1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BCE2D-9DC3-4D4A-8620-4E142172877F}">
  <sheetPr codeName="Sheet19"/>
  <dimension ref="A1:O46"/>
  <sheetViews>
    <sheetView zoomScaleNormal="100" workbookViewId="0">
      <selection activeCell="F18" sqref="F18"/>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21875" style="15" customWidth="1"/>
    <col min="6" max="6" width="9.5546875" style="15" bestFit="1" customWidth="1"/>
    <col min="7" max="7" width="11.5546875" style="15" bestFit="1" customWidth="1"/>
    <col min="8" max="8" width="13.5546875" style="15" customWidth="1"/>
    <col min="9" max="9" width="11.33203125" style="15" customWidth="1"/>
    <col min="10" max="11" width="10.77734375" style="15" bestFit="1" customWidth="1"/>
    <col min="12" max="12" width="34.21875" style="15"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610</v>
      </c>
      <c r="E1" s="23"/>
    </row>
    <row r="2" spans="1:15" ht="15" thickBot="1" x14ac:dyDescent="0.35">
      <c r="A2" s="29" t="s">
        <v>0</v>
      </c>
      <c r="B2" s="33" t="s">
        <v>1</v>
      </c>
      <c r="C2" s="33" t="s">
        <v>371</v>
      </c>
      <c r="D2" s="33" t="s">
        <v>2</v>
      </c>
      <c r="E2" s="30" t="s">
        <v>423</v>
      </c>
      <c r="F2" s="66" t="s">
        <v>3</v>
      </c>
      <c r="G2" s="67" t="s">
        <v>4</v>
      </c>
      <c r="H2" s="67" t="s">
        <v>5</v>
      </c>
      <c r="I2" s="67" t="s">
        <v>6</v>
      </c>
      <c r="J2" s="67" t="s">
        <v>385</v>
      </c>
      <c r="K2" s="67" t="s">
        <v>386</v>
      </c>
      <c r="L2" s="67" t="s">
        <v>624</v>
      </c>
      <c r="M2" s="67" t="s">
        <v>7</v>
      </c>
      <c r="N2" s="67" t="s">
        <v>8</v>
      </c>
      <c r="O2" s="96" t="s">
        <v>626</v>
      </c>
    </row>
    <row r="3" spans="1:15" ht="15" customHeight="1" x14ac:dyDescent="0.3">
      <c r="A3" s="322" t="s">
        <v>809</v>
      </c>
      <c r="B3" s="34" t="s">
        <v>395</v>
      </c>
      <c r="C3" s="34" t="s">
        <v>395</v>
      </c>
      <c r="D3" s="152" t="s">
        <v>10</v>
      </c>
      <c r="E3" s="164" t="str">
        <f>Config!AD66</f>
        <v>This parameter is used to define Security Key Fuses for the Identity. This parameter shows bit size of HVM fuse. 
Current Security Key Fuse size is 512 bits. When this parameter is set to ‘0’, this HVM fuse is removed.</v>
      </c>
      <c r="F3" s="184" t="s">
        <v>1162</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Security_Keys[511:0]</v>
      </c>
      <c r="M3" s="323" t="s">
        <v>367</v>
      </c>
      <c r="N3" s="326" t="s">
        <v>14</v>
      </c>
      <c r="O3" s="327">
        <f ca="1">($G3+$G4+$G5+$G6+$G7)</f>
        <v>801</v>
      </c>
    </row>
    <row r="4" spans="1:15" ht="15" customHeight="1" x14ac:dyDescent="0.3">
      <c r="A4" s="322"/>
      <c r="B4" s="35" t="s">
        <v>396</v>
      </c>
      <c r="C4" s="35" t="s">
        <v>396</v>
      </c>
      <c r="D4" s="153" t="s">
        <v>10</v>
      </c>
      <c r="E4" s="177" t="str">
        <f>Config!AD67</f>
        <v>This parameter is used to define the Hash of the Security Key Fuses wrapped with GKEY1. This parameter shows bit size of HVM fuse. 
Current Security Key Fuse size is 32 bits. When this parameter is set to ‘0’, this HVM fuse is removed.</v>
      </c>
      <c r="F4" s="25" t="s">
        <v>1162</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Security_Keys_fuse_Check_Hash[31:0]</v>
      </c>
      <c r="M4" s="324"/>
      <c r="N4" s="324"/>
      <c r="O4" s="328"/>
    </row>
    <row r="5" spans="1:15" ht="15" customHeight="1" x14ac:dyDescent="0.3">
      <c r="A5" s="322"/>
      <c r="B5" s="35" t="s">
        <v>397</v>
      </c>
      <c r="C5" s="35" t="s">
        <v>397</v>
      </c>
      <c r="D5" s="153" t="s">
        <v>15</v>
      </c>
      <c r="E5" s="177" t="str">
        <f>Config!AD68</f>
        <v>This parameter is used to define Debug Enabled Security Key Fuses. This parameter shows bit size of HVM fuse. 
Current Debug Enabled Security Key Fuse size is 256 bits. When this parameter is set to ‘0’, this HVM fuse is removed.</v>
      </c>
      <c r="F5" s="25" t="s">
        <v>1162</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Debug_Enabled_Security_Key[255:0]</v>
      </c>
      <c r="M5" s="324"/>
      <c r="N5" s="324"/>
      <c r="O5" s="328"/>
    </row>
    <row r="6" spans="1:15" ht="15" customHeight="1" thickBot="1" x14ac:dyDescent="0.35">
      <c r="A6" s="322"/>
      <c r="B6" s="69" t="s">
        <v>398</v>
      </c>
      <c r="C6" s="69" t="s">
        <v>398</v>
      </c>
      <c r="D6" s="153" t="s">
        <v>15</v>
      </c>
      <c r="E6" s="177" t="str">
        <f>Config!AD69</f>
        <v>This parameter is used to define HVM Globa Key Fuses. This parameter shows bit size of HVM fuse. 
Current HVM Global Key Fuse size is 256 bits. When this parameter is set to ‘0’, this HVM fuse is removed.</v>
      </c>
      <c r="F6" s="25" t="s">
        <v>1162</v>
      </c>
      <c r="G6" s="39">
        <f ca="1">IF($C6="No Param",32,VLOOKUP($C6,INDIRECT(Config!$B$1),HLOOKUP(D$1,INDIRECT(Config!$E$1),2,FALSE),FALSE))</f>
        <v>0</v>
      </c>
      <c r="H6" s="16" t="str">
        <f ca="1">IF(G6=0, "N/A", CONCATENATE("0x",DEC2HEX(HEX2DEC(SUBSTITUTE(H3,"0x",""))+(G3+G4+G5)/8)))</f>
        <v>N/A</v>
      </c>
      <c r="I6" s="16" t="str">
        <f ca="1">IF(G6=0, "N/A",CONCATENATE("0x",DEC2HEX(HEX2DEC(SUBSTITUTE(I3,"0x",""))+(G3+G4+G5)/8)))</f>
        <v>N/A</v>
      </c>
      <c r="J6" s="16" t="s">
        <v>48</v>
      </c>
      <c r="K6" s="16">
        <v>0</v>
      </c>
      <c r="L6" s="16" t="str">
        <f ca="1">IF(VLOOKUP("EXT_FUSE_PULL_SUPP", INDIRECT(Config!$B$1),HLOOKUP(D$1,INDIRECT(Config!$E$1),2,FALSE),FALSE)=1, IF(G6&gt;0,CONCATENATE(C6,"[",G6-1,":0]"),""), "")</f>
        <v/>
      </c>
      <c r="M6" s="324"/>
      <c r="N6" s="324"/>
      <c r="O6" s="328"/>
    </row>
    <row r="7" spans="1:15" ht="15" customHeight="1" thickBot="1" x14ac:dyDescent="0.35">
      <c r="A7" s="322"/>
      <c r="B7" s="70" t="s">
        <v>421</v>
      </c>
      <c r="C7" s="77" t="s">
        <v>421</v>
      </c>
      <c r="D7" s="155" t="s">
        <v>10</v>
      </c>
      <c r="E7" s="165" t="str">
        <f>Config!AD70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4" t="s">
        <v>1162</v>
      </c>
      <c r="G7" s="235">
        <f ca="1">IF($C7="No Param",32,VLOOKUP($C7,INDIRECT(Config!$B$1),HLOOKUP(D$1,INDIRECT(Config!$E$1),2,FALSE),FALSE))</f>
        <v>1</v>
      </c>
      <c r="H7" s="79" t="str">
        <f ca="1">IF(G7=0, "N/A", CONCATENATE("0x",DEC2HEX(HEX2DEC(SUBSTITUTE(H3,"0x",""))+(G3+G4+G5+G6)/8)))</f>
        <v>0x6064</v>
      </c>
      <c r="I7" s="79" t="str">
        <f ca="1">IF(G7=0, "N/A",CONCATENATE("0x",DEC2HEX(HEX2DEC(SUBSTITUTE(I3,"0x",""))+(G3+G4+G5+G6)/8)))</f>
        <v>0xF00B0064</v>
      </c>
      <c r="J7" s="79" t="s">
        <v>48</v>
      </c>
      <c r="K7" s="79">
        <v>0</v>
      </c>
      <c r="L7" s="79" t="str">
        <f ca="1">IF(VLOOKUP("EXT_FUSE_PULL_SUPP", INDIRECT(Config!$B$1),HLOOKUP(D$1,INDIRECT(Config!$E$1),2,FALSE),FALSE)=1, IF(G7&gt;0,CONCATENATE(C7,"[",G7-1,":0]"),""), "")</f>
        <v>Security_Fuses_Valid[0:0]</v>
      </c>
      <c r="M7" s="334"/>
      <c r="N7" s="334"/>
      <c r="O7" s="336"/>
    </row>
    <row r="8" spans="1:15" ht="14.55" customHeight="1" x14ac:dyDescent="0.3">
      <c r="A8" s="361" t="s">
        <v>883</v>
      </c>
      <c r="B8" s="71" t="s">
        <v>16</v>
      </c>
      <c r="C8" s="71" t="s">
        <v>16</v>
      </c>
      <c r="D8" s="152" t="s">
        <v>17</v>
      </c>
      <c r="E8" s="231" t="str">
        <f>Config!AD72</f>
        <v xml:space="preserve">This parameter is used to define iKGF signature for On Die CA. This parameter shows bit size of HVM fuse. 
Current signature size is 768 bits. When this parameter is set to ‘0’, this HVM fuse is removed. </v>
      </c>
      <c r="F8" s="25" t="s">
        <v>1162</v>
      </c>
      <c r="G8" s="60">
        <f ca="1">IF($C8="No Param",32,VLOOKUP($C8,INDIRECT(Config!$B$1),HLOOKUP(D$1,INDIRECT(Config!$E$1),2,FALSE),FALSE))</f>
        <v>768</v>
      </c>
      <c r="H8" s="24" t="s">
        <v>558</v>
      </c>
      <c r="I8" s="24" t="s">
        <v>19</v>
      </c>
      <c r="J8" s="24" t="s">
        <v>48</v>
      </c>
      <c r="K8" s="24">
        <v>0</v>
      </c>
      <c r="L8" s="24" t="str">
        <f ca="1">IF(VLOOKUP("EXT_FUSE_PULL_SUPP", INDIRECT(Config!$B$1),HLOOKUP(D$1,INDIRECT(Config!$E$1),2,FALSE),FALSE)=1, IF(G8&gt;0,CONCATENATE(C8,"[",G8-1,":0]"), ""), "")</f>
        <v>ECC_P384_ONDIE_ROM_CERT[767:0]</v>
      </c>
      <c r="M8" s="359" t="s">
        <v>368</v>
      </c>
      <c r="N8" s="326" t="s">
        <v>20</v>
      </c>
      <c r="O8" s="327">
        <f ca="1">($G8+$G9+$G10+$G13)</f>
        <v>992</v>
      </c>
    </row>
    <row r="9" spans="1:15" s="133" customFormat="1" ht="14.55" customHeight="1" x14ac:dyDescent="0.3">
      <c r="A9" s="362"/>
      <c r="B9" s="132" t="s">
        <v>399</v>
      </c>
      <c r="C9" s="132" t="s">
        <v>399</v>
      </c>
      <c r="D9" s="178" t="s">
        <v>1159</v>
      </c>
      <c r="E9" s="232" t="str">
        <f>Config!AD73</f>
        <v>This parameter is used to define bit size of FW configuration fuses. Each bit allocation will be defined by FW spec. When this parameter is set to ‘0’, this HVM fuse is removed.</v>
      </c>
      <c r="F9" s="25" t="s">
        <v>1162</v>
      </c>
      <c r="G9" s="39">
        <f ca="1">IF($C9="No Param",32,VLOOKUP($C9,INDIRECT(Config!$B$1),HLOOKUP(D$1,INDIRECT(Config!$E$1),2,FALSE),FALSE))</f>
        <v>192</v>
      </c>
      <c r="H9" s="16" t="str">
        <f ca="1">IF(G9=0, "N/A", CONCATENATE("0x",DEC2HEX(HEX2DEC(SUBSTITUTE(H8,"0x",""))+G8/8)))</f>
        <v>0x6860</v>
      </c>
      <c r="I9" s="16" t="str">
        <f ca="1">IF(G9=0, "N/A", CONCATENATE("0x",DEC2HEX(HEX2DEC(SUBSTITUTE(I8,"0x",""))+G8/8)))</f>
        <v>0xF00B0460</v>
      </c>
      <c r="J9" s="134" t="s">
        <v>48</v>
      </c>
      <c r="K9" s="134">
        <v>0</v>
      </c>
      <c r="L9" s="16" t="str">
        <f ca="1">IF(VLOOKUP("EXT_FUSE_PULL_SUPP", INDIRECT(Config!$B$1),HLOOKUP(D$1,INDIRECT(Config!$E$1),2,FALSE),FALSE)=1, IF(G9&gt;0,CONCATENATE(C9,"[",G9-1,":0]"), ""), "")</f>
        <v>FW_CONFIG_FUSES[191:0]</v>
      </c>
      <c r="M9" s="331"/>
      <c r="N9" s="324"/>
      <c r="O9" s="328"/>
    </row>
    <row r="10" spans="1:15" ht="14.55" customHeight="1" thickBot="1" x14ac:dyDescent="0.35">
      <c r="A10" s="362"/>
      <c r="B10" s="135" t="s">
        <v>22</v>
      </c>
      <c r="C10" s="135" t="s">
        <v>22</v>
      </c>
      <c r="D10" s="179" t="s">
        <v>1155</v>
      </c>
      <c r="E10" s="232" t="str">
        <f>Config!AD74</f>
        <v>This parameter is used to define bit size of PUF Helper data. When this parameter is set to ‘0’, this HVM fuse is removed.</v>
      </c>
      <c r="F10" s="25" t="s">
        <v>1162</v>
      </c>
      <c r="G10" s="39">
        <f ca="1">IF($C10="No Param",32,VLOOKUP($C10,INDIRECT(Config!$B$1),HLOOKUP(D$1,INDIRECT(Config!$E$1),2,FALSE),FALSE))</f>
        <v>32</v>
      </c>
      <c r="H10" s="16" t="str">
        <f ca="1">IF(G10=0, "N/A", CONCATENATE("0x",DEC2HEX(HEX2DEC(SUBSTITUTE(H8,"0x",""))+(G8+G9)/8)))</f>
        <v>0x6878</v>
      </c>
      <c r="I10" s="16" t="str">
        <f ca="1">IF(G10=0, "N/A", CONCATENATE("0x",DEC2HEX(HEX2DEC(SUBSTITUTE(I8,"0x",""))+(G8+G9)/8)))</f>
        <v>0xF00B0478</v>
      </c>
      <c r="J10" s="134" t="s">
        <v>48</v>
      </c>
      <c r="K10" s="134">
        <v>0</v>
      </c>
      <c r="L10" s="16" t="str">
        <f ca="1">IF(VLOOKUP("EXT_FUSE_PULL_SUPP", INDIRECT(Config!$B$1),HLOOKUP(D$1,INDIRECT(Config!$E$1),2,FALSE),FALSE)=1, IF(G10&gt;0,CONCATENATE(C10,"[",G10-1,":0]"), ""), "")</f>
        <v>GENERAL_FW_FUSES_CHECK[31:0]</v>
      </c>
      <c r="M10" s="331"/>
      <c r="N10" s="324"/>
      <c r="O10" s="328"/>
    </row>
    <row r="11" spans="1:15" ht="15" customHeight="1" x14ac:dyDescent="0.3">
      <c r="A11" s="362"/>
      <c r="B11" s="168" t="s">
        <v>21</v>
      </c>
      <c r="C11" s="167" t="s">
        <v>21</v>
      </c>
      <c r="D11" s="15" t="s">
        <v>17</v>
      </c>
      <c r="E11" s="233" t="s">
        <v>515</v>
      </c>
      <c r="F11" s="184" t="s">
        <v>1162</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331"/>
      <c r="N11" s="324"/>
      <c r="O11" s="328"/>
    </row>
    <row r="12" spans="1:15" ht="39.6" customHeight="1" x14ac:dyDescent="0.3">
      <c r="A12" s="362"/>
      <c r="B12" s="72" t="s">
        <v>882</v>
      </c>
      <c r="C12" s="72" t="s">
        <v>882</v>
      </c>
      <c r="D12" s="153" t="s">
        <v>17</v>
      </c>
      <c r="E12" s="234" t="s">
        <v>881</v>
      </c>
      <c r="F12" s="25" t="s">
        <v>1162</v>
      </c>
      <c r="G12" s="39">
        <f ca="1">IF($C12="No Param",32,VLOOKUP($C12,INDIRECT(Config!$B$1),HLOOKUP(D$1,INDIRECT(Config!$E$1),2,FALSE),FALSE))</f>
        <v>0</v>
      </c>
      <c r="H12" s="16" t="str">
        <f ca="1">IF(G12=0, "N/A", CONCATENATE("0x",DEC2HEX(HEX2DEC(SUBSTITUTE(H8,"0x",""))+(G8+G9+G10+G11)/8)))</f>
        <v>N/A</v>
      </c>
      <c r="I12" s="16" t="str">
        <f ca="1">IF(G12=0, "N/A", CONCATENATE("0x",DEC2HEX(HEX2DEC(SUBSTITUTE(I8,"0x",""))+(G8+G9+G10+G11)/8)))</f>
        <v>N/A</v>
      </c>
      <c r="J12" s="16" t="s">
        <v>48</v>
      </c>
      <c r="K12" s="16">
        <v>0</v>
      </c>
      <c r="L12" s="16" t="str">
        <f ca="1">IF(VLOOKUP("EXT_FUSE_PULL_SUPP", INDIRECT(Config!$B$1),HLOOKUP(D$1,INDIRECT(Config!$E$1),2,FALSE),FALSE)=1, IF(G12&gt;0,CONCATENATE(C12,"[",G12-1,":0]"), ""), "")</f>
        <v/>
      </c>
      <c r="M12" s="331"/>
      <c r="N12" s="324"/>
      <c r="O12" s="328"/>
    </row>
    <row r="13" spans="1:15" ht="15" customHeight="1" thickBot="1" x14ac:dyDescent="0.35">
      <c r="A13" s="363"/>
      <c r="B13" s="169" t="s">
        <v>422</v>
      </c>
      <c r="C13" s="169" t="s">
        <v>422</v>
      </c>
      <c r="D13" s="188" t="s">
        <v>17</v>
      </c>
      <c r="E13" s="190" t="s">
        <v>518</v>
      </c>
      <c r="F13" s="25" t="s">
        <v>1162</v>
      </c>
      <c r="G13" s="75">
        <f ca="1">IF($C13="No Param",32,VLOOKUP($C13,INDIRECT(Config!$B$1),HLOOKUP(D$1,INDIRECT(Config!$E$1),2,FALSE),FALSE))</f>
        <v>0</v>
      </c>
      <c r="H13" s="26" t="str">
        <f ca="1">IF(G13=0, "N/A", CONCATENATE("0x",DEC2HEX(HEX2DEC(SUBSTITUTE(H8,"0x",""))+(G8+G9+G10+G11+G12)/8)))</f>
        <v>N/A</v>
      </c>
      <c r="I13" s="26" t="str">
        <f ca="1">IF(G13=0, "N/A", CONCATENATE("0x",DEC2HEX(HEX2DEC(SUBSTITUTE(I8,"0x",""))+(G8+G9+G10+G11+G12)/8)))</f>
        <v>N/A</v>
      </c>
      <c r="J13" s="26" t="s">
        <v>48</v>
      </c>
      <c r="K13" s="26">
        <v>0</v>
      </c>
      <c r="L13" s="26" t="str">
        <f ca="1">IF(VLOOKUP("EXT_FUSE_PULL_SUPP", INDIRECT(Config!$B$1),HLOOKUP(D$1,INDIRECT(Config!$E$1),2,FALSE),FALSE)=1, IF(G13&gt;0,CONCATENATE(C13,"[",G13-1,":0]"), ""), "")</f>
        <v/>
      </c>
      <c r="M13" s="360"/>
      <c r="N13" s="325"/>
      <c r="O13" s="329"/>
    </row>
    <row r="14" spans="1:15" ht="15" customHeight="1" thickBot="1" x14ac:dyDescent="0.35">
      <c r="A14" s="340" t="s">
        <v>23</v>
      </c>
      <c r="B14" s="43" t="s">
        <v>24</v>
      </c>
      <c r="C14" s="174" t="s">
        <v>612</v>
      </c>
      <c r="D14" s="355" t="s">
        <v>25</v>
      </c>
      <c r="E14" s="175"/>
      <c r="F14" s="25" t="s">
        <v>1162</v>
      </c>
      <c r="G14" s="65">
        <f ca="1">IF($C14="No Param",32,VLOOKUP($C14,INDIRECT(Config!$B$1),HLOOKUP(D$1,INDIRECT(Config!$E$1),2,FALSE),FALSE)*32)</f>
        <v>32</v>
      </c>
      <c r="H14" s="64" t="s">
        <v>27</v>
      </c>
      <c r="I14" s="64" t="s">
        <v>28</v>
      </c>
      <c r="J14" s="64" t="s">
        <v>1078</v>
      </c>
      <c r="K14" s="64" t="s">
        <v>1092</v>
      </c>
      <c r="L14" s="176" t="str">
        <f ca="1">IF(VLOOKUP("EXT_FUSE_PULL_SUPP", INDIRECT(Config!$B$1),HLOOKUP(D$1,INDIRECT(Config!$E$1),2,FALSE),FALSE)=1, IF(G14&gt;0,CONCATENATE("CSME_HW_FW_Config_fuses[",G14-1,":0]"), ""), "")</f>
        <v>CSME_HW_FW_Config_fuses[31:0]</v>
      </c>
      <c r="M14" s="357" t="s">
        <v>369</v>
      </c>
      <c r="N14" s="333" t="s">
        <v>29</v>
      </c>
      <c r="O14" s="335">
        <f ca="1">(4*32+G18+G19+G20+G21+G22+G23)</f>
        <v>128</v>
      </c>
    </row>
    <row r="15" spans="1:15" x14ac:dyDescent="0.3">
      <c r="A15" s="341"/>
      <c r="B15" s="35" t="s">
        <v>30</v>
      </c>
      <c r="C15" s="37" t="s">
        <v>612</v>
      </c>
      <c r="D15" s="356"/>
      <c r="E15" s="122"/>
      <c r="F15" s="184" t="s">
        <v>1162</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1079</v>
      </c>
      <c r="K15" s="16" t="s">
        <v>1094</v>
      </c>
      <c r="L15" s="63" t="str">
        <f ca="1">IF(VLOOKUP("EXT_FUSE_PULL_SUPP", INDIRECT(Config!$B$1),HLOOKUP(D$1,INDIRECT(Config!$E$1),2,FALSE),FALSE)=1, IF(G15&gt;0,CONCATENATE("CSME_HW_FW_Config_fuses[",G15-1+G14,":",G14,"]"), ""), "")</f>
        <v>CSME_HW_FW_Config_fuses[63:32]</v>
      </c>
      <c r="M15" s="344"/>
      <c r="N15" s="324"/>
      <c r="O15" s="328"/>
    </row>
    <row r="16" spans="1:15" x14ac:dyDescent="0.3">
      <c r="A16" s="341"/>
      <c r="B16" s="35" t="s">
        <v>31</v>
      </c>
      <c r="C16" s="37" t="s">
        <v>612</v>
      </c>
      <c r="D16" s="356"/>
      <c r="E16" s="122"/>
      <c r="F16" s="25" t="s">
        <v>1162</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1080</v>
      </c>
      <c r="K16" s="16" t="s">
        <v>1080</v>
      </c>
      <c r="L16" s="63" t="str">
        <f ca="1">IF(VLOOKUP("EXT_FUSE_PULL_SUPP", INDIRECT(Config!$B$1),HLOOKUP(D$1,INDIRECT(Config!$E$1),2,FALSE),FALSE)=1, IF(G16&gt;0,CONCATENATE("CSME_HW_FW_Config_fuses[",G16-1+G15+G14,":",G15+G14,"]"), ""), "")</f>
        <v>CSME_HW_FW_Config_fuses[95:64]</v>
      </c>
      <c r="M16" s="344"/>
      <c r="N16" s="324"/>
      <c r="O16" s="328"/>
    </row>
    <row r="17" spans="1:15" x14ac:dyDescent="0.3">
      <c r="A17" s="341"/>
      <c r="B17" s="35" t="s">
        <v>32</v>
      </c>
      <c r="C17" s="37" t="s">
        <v>612</v>
      </c>
      <c r="D17" s="356"/>
      <c r="E17" s="122"/>
      <c r="F17" s="25" t="s">
        <v>1162</v>
      </c>
      <c r="G17" s="39">
        <f ca="1">IF($C17="No Param",32,VLOOKUP($C17,INDIRECT(Config!$B$1),HLOOKUP(D$1,INDIRECT(Config!$E$1),2,FALSE),FALSE)*32)</f>
        <v>32</v>
      </c>
      <c r="H17" s="16" t="str">
        <f ca="1">CONCATENATE("0x",DEC2HEX(HEX2DEC(SUBSTITUTE(H16,"0x",""))+G16/8))</f>
        <v>0x200C</v>
      </c>
      <c r="I17" s="16" t="s">
        <v>33</v>
      </c>
      <c r="J17" s="16" t="s">
        <v>1081</v>
      </c>
      <c r="K17" s="16" t="s">
        <v>1099</v>
      </c>
      <c r="L17" s="63" t="str">
        <f ca="1">IF(VLOOKUP("EXT_FUSE_PULL_SUPP", INDIRECT(Config!$B$1),HLOOKUP(D$1,INDIRECT(Config!$E$1),2,FALSE),FALSE)=1, IF(G17&gt;0,CONCATENATE("CSME_HW_FW_Config_fuses[",G17-1+G16+G15+G14,":",G16+G15+G14,"]"), ""), "")</f>
        <v>CSME_HW_FW_Config_fuses[127:96]</v>
      </c>
      <c r="M17" s="344"/>
      <c r="N17" s="324"/>
      <c r="O17" s="328"/>
    </row>
    <row r="18" spans="1:15" ht="15" thickBot="1" x14ac:dyDescent="0.35">
      <c r="A18" s="341"/>
      <c r="B18" s="35" t="s">
        <v>34</v>
      </c>
      <c r="C18" s="35" t="s">
        <v>253</v>
      </c>
      <c r="D18" s="356"/>
      <c r="E18" s="122"/>
      <c r="F18" s="25" t="s">
        <v>1162</v>
      </c>
      <c r="G18" s="39">
        <f ca="1">IF($C18="No Param",32,VLOOKUP($C18,INDIRECT(Config!$B$1),HLOOKUP(D$1,INDIRECT(Config!$E$1),2,FALSE),FALSE)*32)</f>
        <v>0</v>
      </c>
      <c r="H18" s="16" t="str">
        <f ca="1">IF(G18=0, "N/A", CONCATENATE("0x",DEC2HEX(HEX2DEC(SUBSTITUTE(H17,"0x",""))+G17/8)))</f>
        <v>N/A</v>
      </c>
      <c r="I18" s="16" t="s">
        <v>35</v>
      </c>
      <c r="J18" s="200" t="s">
        <v>387</v>
      </c>
      <c r="K18" s="200" t="str">
        <f ca="1">IF(G18=0,"N/A","0x00000000")</f>
        <v>N/A</v>
      </c>
      <c r="L18" s="16" t="str">
        <f ca="1">IF(VLOOKUP("EXT_FUSE_PULL_SUPP", INDIRECT(Config!$B$1),HLOOKUP(D$1,INDIRECT(Config!$E$1),2,FALSE),FALSE)=1, IF(G18&gt;0,CONCATENATE("CSME_HW_FW_Config_fusess[",G18-1+G17+G16+G15+G14,":",G17+G16+G15+G14,"]"), ""), "")</f>
        <v/>
      </c>
      <c r="M18" s="344"/>
      <c r="N18" s="324"/>
      <c r="O18" s="328"/>
    </row>
    <row r="19" spans="1:15" x14ac:dyDescent="0.3">
      <c r="A19" s="341"/>
      <c r="B19" s="35" t="s">
        <v>36</v>
      </c>
      <c r="C19" s="73" t="s">
        <v>214</v>
      </c>
      <c r="D19" s="356"/>
      <c r="E19" s="122"/>
      <c r="F19" s="184" t="s">
        <v>1162</v>
      </c>
      <c r="G19" s="39">
        <f ca="1">IF($C19="No Param",32,VLOOKUP($C19,INDIRECT(Config!$B$1),HLOOKUP(D$1,INDIRECT(Config!$E$1),2,FALSE),FALSE)*32)</f>
        <v>0</v>
      </c>
      <c r="H19" s="16" t="str">
        <f ca="1">IF(G19=0, "N/A", CONCATENATE("0x",DEC2HEX(HEX2DEC(SUBSTITUTE(H18,"0x",""))+G18/8)))</f>
        <v>N/A</v>
      </c>
      <c r="I19" s="16" t="s">
        <v>37</v>
      </c>
      <c r="J19" s="200" t="s">
        <v>387</v>
      </c>
      <c r="K19" s="200" t="s">
        <v>387</v>
      </c>
      <c r="L19" s="16" t="str">
        <f ca="1">IF(VLOOKUP("EXT_FUSE_PULL_SUPP", INDIRECT(Config!$B$1),HLOOKUP(D$1,INDIRECT(Config!$E$1),2,FALSE),FALSE)=1, IF(G19&gt;0,CONCATENATE("CSME_HW_FW_Config_fusess[",G19-1+G18+G17+G16+G15+G14,":",G18+G17+G16+G15+G14,"]"), ""), "")</f>
        <v/>
      </c>
      <c r="M19" s="344"/>
      <c r="N19" s="324"/>
      <c r="O19" s="328"/>
    </row>
    <row r="20" spans="1:15" x14ac:dyDescent="0.3">
      <c r="A20" s="341"/>
      <c r="B20" s="73" t="s">
        <v>246</v>
      </c>
      <c r="C20" s="73" t="s">
        <v>205</v>
      </c>
      <c r="D20" s="356"/>
      <c r="E20" s="122"/>
      <c r="F20" s="25" t="s">
        <v>1162</v>
      </c>
      <c r="G20" s="39">
        <f ca="1">IF($C20="No Param",32,VLOOKUP($C20,INDIRECT(Config!$B$1),HLOOKUP(D$1,INDIRECT(Config!$E$1),2,FALSE),FALSE)*32)</f>
        <v>0</v>
      </c>
      <c r="H20" s="16" t="str">
        <f ca="1">IF(G20=0, "N/A", CONCATENATE("0x",DEC2HEX(HEX2DEC(SUBSTITUTE(H18,"0x",""))+(G18+G19)/8)))</f>
        <v>N/A</v>
      </c>
      <c r="I20" s="7" t="s">
        <v>378</v>
      </c>
      <c r="J20" s="201" t="s">
        <v>387</v>
      </c>
      <c r="K20" s="200" t="s">
        <v>387</v>
      </c>
      <c r="L20" s="16" t="str">
        <f ca="1">IF(VLOOKUP("EXT_FUSE_PULL_SUPP", INDIRECT(Config!$B$1),HLOOKUP(D$1,INDIRECT(Config!$E$1),2,FALSE),FALSE)=1, IF(G20&gt;0,CONCATENATE("CSME_HW_FW_Config_fusess[",G20-1+G19+G18+G17+G16+G15+G14,":",G19+G18+G17+G16+G15+G14,"]"), ""), "")</f>
        <v/>
      </c>
      <c r="M20" s="344"/>
      <c r="N20" s="324"/>
      <c r="O20" s="328"/>
    </row>
    <row r="21" spans="1:15" x14ac:dyDescent="0.3">
      <c r="A21" s="341"/>
      <c r="B21" s="73" t="s">
        <v>250</v>
      </c>
      <c r="C21" s="73" t="s">
        <v>390</v>
      </c>
      <c r="D21" s="356"/>
      <c r="E21" s="122"/>
      <c r="F21" s="25" t="s">
        <v>1162</v>
      </c>
      <c r="G21" s="39">
        <f ca="1">IF($C21="No Param",32,VLOOKUP($C21,INDIRECT(Config!$B$1),HLOOKUP(D$1,INDIRECT(Config!$E$1),2,FALSE),FALSE)*32)</f>
        <v>0</v>
      </c>
      <c r="H21" s="16" t="str">
        <f ca="1">IF(G21=0, "N/A", CONCATENATE("0x",DEC2HEX(HEX2DEC(SUBSTITUTE(H18,"0x",""))+(G18+G19+G20)/8)))</f>
        <v>N/A</v>
      </c>
      <c r="I21" s="7" t="s">
        <v>379</v>
      </c>
      <c r="J21" s="7" t="s">
        <v>48</v>
      </c>
      <c r="K21" s="16" t="s">
        <v>387</v>
      </c>
      <c r="L21" s="16" t="str">
        <f ca="1">IF(VLOOKUP("EXT_FUSE_PULL_SUPP", INDIRECT(Config!$B$1),HLOOKUP(D$1,INDIRECT(Config!$E$1),2,FALSE),FALSE)=1, IF(G21&gt;0,CONCATENATE("CSME_HW_FW_Config_fusess[",G21-1+G20+G19+G18+G17+G16+G15+G14,":",G20+G19+G18+G17+G16+G15+G14,"]"), ""), "")</f>
        <v/>
      </c>
      <c r="M21" s="344"/>
      <c r="N21" s="324"/>
      <c r="O21" s="328"/>
    </row>
    <row r="22" spans="1:15" ht="15" thickBot="1" x14ac:dyDescent="0.35">
      <c r="A22" s="341"/>
      <c r="B22" s="73" t="s">
        <v>251</v>
      </c>
      <c r="C22" s="73" t="s">
        <v>390</v>
      </c>
      <c r="D22" s="356"/>
      <c r="E22" s="122"/>
      <c r="F22" s="25" t="s">
        <v>1162</v>
      </c>
      <c r="G22" s="39">
        <f ca="1">IF($C22="No Param",32,VLOOKUP($C22,INDIRECT(Config!$B$1),HLOOKUP(D$1,INDIRECT(Config!$E$1),2,FALSE),FALSE)*32)</f>
        <v>0</v>
      </c>
      <c r="H22" s="16" t="str">
        <f ca="1">IF(G22=0, "N/A", CONCATENATE("0x",DEC2HEX(HEX2DEC(SUBSTITUTE(H18,"0x",""))+(G18+G19+G20+G21)/8)))</f>
        <v>N/A</v>
      </c>
      <c r="I22" s="7" t="s">
        <v>380</v>
      </c>
      <c r="J22" s="7" t="s">
        <v>48</v>
      </c>
      <c r="K22" s="16" t="s">
        <v>387</v>
      </c>
      <c r="L22" s="16" t="str">
        <f ca="1">IF(VLOOKUP("EXT_FUSE_PULL_SUPP", INDIRECT(Config!$B$1),HLOOKUP(D$1,INDIRECT(Config!$E$1),2,FALSE),FALSE)=1, IF(G22&gt;0,CONCATENATE("CSME_HW_FW_Config_fusess[",G22-1+G21+G20+G19+G18+G17+G16+G15+G14,":",G21+G20+G19+G18+G17+G16+G15+G14,"]"), ""), "")</f>
        <v/>
      </c>
      <c r="M22" s="344"/>
      <c r="N22" s="324"/>
      <c r="O22" s="328"/>
    </row>
    <row r="23" spans="1:15" x14ac:dyDescent="0.3">
      <c r="A23" s="341"/>
      <c r="B23" s="73" t="s">
        <v>252</v>
      </c>
      <c r="C23" s="73" t="s">
        <v>390</v>
      </c>
      <c r="D23" s="356"/>
      <c r="E23" s="122"/>
      <c r="F23" s="184" t="s">
        <v>1162</v>
      </c>
      <c r="G23" s="39">
        <f ca="1">IF($C23="No Param",32,VLOOKUP($C23,INDIRECT(Config!$B$1),HLOOKUP(D$1,INDIRECT(Config!$E$1),2,FALSE),FALSE)*32)</f>
        <v>0</v>
      </c>
      <c r="H23" s="16" t="str">
        <f ca="1">IF(G23=0, "N/A", CONCATENATE("0x",DEC2HEX(HEX2DEC(SUBSTITUTE(H18,"0x",""))+(G18+G19+G20+G21+G22)/8)))</f>
        <v>N/A</v>
      </c>
      <c r="I23" s="7" t="s">
        <v>381</v>
      </c>
      <c r="J23" s="7" t="s">
        <v>48</v>
      </c>
      <c r="K23" s="16" t="s">
        <v>387</v>
      </c>
      <c r="L23" s="16" t="str">
        <f ca="1">IF(VLOOKUP("EXT_FUSE_PULL_SUPP", INDIRECT(Config!$B$1),HLOOKUP(D$1,INDIRECT(Config!$E$1),2,FALSE),FALSE)=1, IF(G23&gt;0,CONCATENATE("CSME_HW_FW_Config_fusess[",G23-1+G22+G21+G20+G19+G18+G17+G16+G15+G14,":",G22+G21+G20+G19+G18+G17+G16+G15+G14,"]"), ""), "")</f>
        <v/>
      </c>
      <c r="M23" s="344"/>
      <c r="N23" s="324"/>
      <c r="O23" s="328"/>
    </row>
    <row r="24" spans="1:15" x14ac:dyDescent="0.3">
      <c r="A24" s="354"/>
      <c r="B24" s="35" t="s">
        <v>38</v>
      </c>
      <c r="C24" s="37" t="s">
        <v>612</v>
      </c>
      <c r="D24" s="356"/>
      <c r="E24" s="122"/>
      <c r="F24" s="25" t="s">
        <v>1162</v>
      </c>
      <c r="G24" s="39">
        <f ca="1">IF($C24="No Param",32,VLOOKUP($C24,INDIRECT(Config!$B$1),HLOOKUP(D$1,INDIRECT(Config!$E$1),2,FALSE),FALSE)*32)</f>
        <v>32</v>
      </c>
      <c r="H24" s="16" t="s">
        <v>39</v>
      </c>
      <c r="I24" s="16" t="s">
        <v>40</v>
      </c>
      <c r="J24" s="16" t="s">
        <v>48</v>
      </c>
      <c r="K24" s="198" t="s">
        <v>1083</v>
      </c>
      <c r="L24" s="139" t="str">
        <f ca="1">IF(VLOOKUP("EXT_FUSE_PULL_SUPP", INDIRECT(Config!$B$1),HLOOKUP(D$1,INDIRECT(Config!$E$1),2,FALSE),FALSE)=1, IF(G24&gt;0,CONCATENATE("CSME_HW_FW_INT_CHK[",G24-1,":0]"),""), "")</f>
        <v>CSME_HW_FW_INT_CHK[31:0]</v>
      </c>
      <c r="M24" s="344"/>
      <c r="N24" s="324"/>
      <c r="O24" s="328"/>
    </row>
    <row r="25" spans="1:15" x14ac:dyDescent="0.3">
      <c r="A25" s="340" t="s">
        <v>41</v>
      </c>
      <c r="B25" s="35" t="s">
        <v>42</v>
      </c>
      <c r="C25" s="35" t="s">
        <v>613</v>
      </c>
      <c r="D25" s="356" t="s">
        <v>43</v>
      </c>
      <c r="E25" s="122"/>
      <c r="F25" s="25" t="s">
        <v>44</v>
      </c>
      <c r="G25" s="39">
        <f ca="1">IF($C25="No Param",32,VLOOKUP($C25,INDIRECT(Config!$B$1),HLOOKUP(D$1,INDIRECT(Config!$E$1),2,FALSE),FALSE)*32)</f>
        <v>0</v>
      </c>
      <c r="H25" s="16" t="str">
        <f ca="1">IF(G25=0,"N/A","0x8000")</f>
        <v>N/A</v>
      </c>
      <c r="I25" s="16" t="s">
        <v>45</v>
      </c>
      <c r="J25" s="16" t="s">
        <v>48</v>
      </c>
      <c r="K25" s="16" t="s">
        <v>387</v>
      </c>
      <c r="L25" s="16"/>
      <c r="M25" s="344" t="s">
        <v>370</v>
      </c>
      <c r="N25" s="324"/>
      <c r="O25" s="328">
        <f ca="1">(G25+G26)</f>
        <v>0</v>
      </c>
    </row>
    <row r="26" spans="1:15" ht="15" thickBot="1" x14ac:dyDescent="0.35">
      <c r="A26" s="345"/>
      <c r="B26" s="74" t="s">
        <v>46</v>
      </c>
      <c r="C26" s="74" t="s">
        <v>614</v>
      </c>
      <c r="D26" s="358"/>
      <c r="E26" s="123"/>
      <c r="F26" s="180" t="s">
        <v>44</v>
      </c>
      <c r="G26" s="75">
        <f ca="1">IF($C26="No Param",32,VLOOKUP($C26,INDIRECT(Config!$B$1),HLOOKUP(D$1,INDIRECT(Config!$E$1),2,FALSE),FALSE)*32)</f>
        <v>0</v>
      </c>
      <c r="H26" s="26" t="str">
        <f ca="1">IF(G26=0,"N/A","0x8004")</f>
        <v>N/A</v>
      </c>
      <c r="I26" s="26" t="s">
        <v>47</v>
      </c>
      <c r="J26" s="26" t="s">
        <v>48</v>
      </c>
      <c r="K26" s="26" t="s">
        <v>387</v>
      </c>
      <c r="L26" s="26"/>
      <c r="M26" s="325"/>
      <c r="N26" s="325"/>
      <c r="O26" s="329"/>
    </row>
    <row r="27" spans="1:15" ht="15" thickBot="1" x14ac:dyDescent="0.35">
      <c r="A27" s="124"/>
    </row>
    <row r="28" spans="1:15" x14ac:dyDescent="0.3">
      <c r="A28" s="342" t="s">
        <v>49</v>
      </c>
      <c r="B28" s="80" t="s">
        <v>617</v>
      </c>
      <c r="C28" s="80" t="s">
        <v>617</v>
      </c>
      <c r="D28" s="80"/>
      <c r="E28" s="107" t="str">
        <f>Group0!L3</f>
        <v>This field is reserved for FW usage</v>
      </c>
      <c r="F28" s="90" t="s">
        <v>50</v>
      </c>
      <c r="G28" s="91">
        <f ca="1">IF($C28="No Param",32,VLOOKUP($C28,INDIRECT(Config!$B$1),HLOOKUP(D$1,INDIRECT(Config!$E$1),2,FALSE),FALSE))</f>
        <v>0</v>
      </c>
      <c r="H28" s="82" t="s">
        <v>51</v>
      </c>
      <c r="I28" s="112" t="s">
        <v>623</v>
      </c>
      <c r="J28" s="112" t="s">
        <v>387</v>
      </c>
      <c r="K28" s="112" t="s">
        <v>387</v>
      </c>
      <c r="L28" s="112"/>
      <c r="M28" s="113" t="s">
        <v>48</v>
      </c>
      <c r="N28" s="326" t="s">
        <v>48</v>
      </c>
      <c r="O28" s="327">
        <f ca="1">SUM(G28:G42)</f>
        <v>0</v>
      </c>
    </row>
    <row r="29" spans="1:15" ht="15" customHeight="1" x14ac:dyDescent="0.3">
      <c r="A29" s="343"/>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0</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344" t="s">
        <v>369</v>
      </c>
      <c r="N29" s="324"/>
      <c r="O29" s="328"/>
    </row>
    <row r="30" spans="1:15" x14ac:dyDescent="0.3">
      <c r="A30" s="343"/>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0</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344"/>
      <c r="N30" s="324"/>
      <c r="O30" s="328"/>
    </row>
    <row r="31" spans="1:15" x14ac:dyDescent="0.3">
      <c r="A31" s="343"/>
      <c r="B31" s="35" t="s">
        <v>359</v>
      </c>
      <c r="C31" s="16" t="s">
        <v>360</v>
      </c>
      <c r="D31" s="35" t="s">
        <v>550</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344"/>
      <c r="N31" s="324"/>
      <c r="O31" s="328"/>
    </row>
    <row r="32" spans="1:15" x14ac:dyDescent="0.3">
      <c r="A32" s="343"/>
      <c r="B32" s="84" t="s">
        <v>616</v>
      </c>
      <c r="C32" s="84" t="s">
        <v>668</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324"/>
      <c r="O32" s="328"/>
    </row>
    <row r="33" spans="1:15" x14ac:dyDescent="0.3">
      <c r="A33" s="343"/>
      <c r="B33" s="84" t="s">
        <v>618</v>
      </c>
      <c r="C33" s="84" t="s">
        <v>618</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324"/>
      <c r="O33" s="328"/>
    </row>
    <row r="34" spans="1:15" ht="15" customHeight="1" x14ac:dyDescent="0.3">
      <c r="A34" s="343"/>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344" t="s">
        <v>369</v>
      </c>
      <c r="N34" s="324"/>
      <c r="O34" s="328"/>
    </row>
    <row r="35" spans="1:15" x14ac:dyDescent="0.3">
      <c r="A35" s="343"/>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344"/>
      <c r="N35" s="324"/>
      <c r="O35" s="328"/>
    </row>
    <row r="36" spans="1:15" x14ac:dyDescent="0.3">
      <c r="A36" s="343"/>
      <c r="B36" s="35" t="s">
        <v>362</v>
      </c>
      <c r="C36" s="16" t="s">
        <v>363</v>
      </c>
      <c r="D36" s="35" t="s">
        <v>550</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344"/>
      <c r="N36" s="324"/>
      <c r="O36" s="328"/>
    </row>
    <row r="37" spans="1:15" x14ac:dyDescent="0.3">
      <c r="A37" s="343"/>
      <c r="B37" s="84" t="s">
        <v>619</v>
      </c>
      <c r="C37" s="84" t="s">
        <v>668</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324"/>
      <c r="O37" s="328"/>
    </row>
    <row r="38" spans="1:15" x14ac:dyDescent="0.3">
      <c r="A38" s="343"/>
      <c r="B38" s="84" t="s">
        <v>620</v>
      </c>
      <c r="C38" s="84" t="s">
        <v>620</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324"/>
      <c r="O38" s="328"/>
    </row>
    <row r="39" spans="1:15" ht="15" customHeight="1" x14ac:dyDescent="0.3">
      <c r="A39" s="343"/>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344" t="s">
        <v>369</v>
      </c>
      <c r="N39" s="324"/>
      <c r="O39" s="328"/>
    </row>
    <row r="40" spans="1:15" x14ac:dyDescent="0.3">
      <c r="A40" s="343"/>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344"/>
      <c r="N40" s="324"/>
      <c r="O40" s="328"/>
    </row>
    <row r="41" spans="1:15" x14ac:dyDescent="0.3">
      <c r="A41" s="343"/>
      <c r="B41" s="35" t="s">
        <v>365</v>
      </c>
      <c r="C41" s="16" t="s">
        <v>363</v>
      </c>
      <c r="D41" s="35" t="s">
        <v>550</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344"/>
      <c r="N41" s="324"/>
      <c r="O41" s="328"/>
    </row>
    <row r="42" spans="1:15" ht="15" thickBot="1" x14ac:dyDescent="0.35">
      <c r="A42" s="346"/>
      <c r="B42" s="87" t="s">
        <v>621</v>
      </c>
      <c r="C42" s="87" t="s">
        <v>668</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325"/>
      <c r="O42" s="329"/>
    </row>
    <row r="43" spans="1:15" ht="15" customHeight="1" x14ac:dyDescent="0.3"/>
    <row r="44" spans="1:15" ht="15" customHeight="1" x14ac:dyDescent="0.3"/>
    <row r="45" spans="1:15" ht="15" customHeight="1" x14ac:dyDescent="0.3"/>
    <row r="46" spans="1:15" ht="15" customHeight="1" x14ac:dyDescent="0.3"/>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phoneticPr fontId="17" type="noConversion"/>
  <conditionalFormatting sqref="C5">
    <cfRule type="cellIs" dxfId="196" priority="286" operator="equal">
      <formula>0</formula>
    </cfRule>
  </conditionalFormatting>
  <conditionalFormatting sqref="J28">
    <cfRule type="cellIs" dxfId="195" priority="302" operator="equal">
      <formula>0</formula>
    </cfRule>
  </conditionalFormatting>
  <conditionalFormatting sqref="C3">
    <cfRule type="cellIs" dxfId="194" priority="288" operator="equal">
      <formula>0</formula>
    </cfRule>
  </conditionalFormatting>
  <conditionalFormatting sqref="C4">
    <cfRule type="cellIs" dxfId="193" priority="287" operator="equal">
      <formula>0</formula>
    </cfRule>
  </conditionalFormatting>
  <conditionalFormatting sqref="B3 D3 G14:G26">
    <cfRule type="cellIs" dxfId="192" priority="299" operator="equal">
      <formula>0</formula>
    </cfRule>
  </conditionalFormatting>
  <conditionalFormatting sqref="B4 D4">
    <cfRule type="cellIs" dxfId="191" priority="298" operator="equal">
      <formula>0</formula>
    </cfRule>
  </conditionalFormatting>
  <conditionalFormatting sqref="B5 D5">
    <cfRule type="cellIs" dxfId="190" priority="297" operator="equal">
      <formula>0</formula>
    </cfRule>
  </conditionalFormatting>
  <conditionalFormatting sqref="B7">
    <cfRule type="cellIs" dxfId="189" priority="296" operator="equal">
      <formula>0</formula>
    </cfRule>
  </conditionalFormatting>
  <conditionalFormatting sqref="B8 D8">
    <cfRule type="cellIs" priority="295" operator="equal">
      <formula>0</formula>
    </cfRule>
  </conditionalFormatting>
  <conditionalFormatting sqref="B9 D9">
    <cfRule type="cellIs" dxfId="188" priority="294" operator="equal">
      <formula>0</formula>
    </cfRule>
  </conditionalFormatting>
  <conditionalFormatting sqref="B10 D10">
    <cfRule type="cellIs" dxfId="187" priority="292" operator="equal">
      <formula>0</formula>
    </cfRule>
    <cfRule type="cellIs" dxfId="186" priority="293" operator="equal">
      <formula>0</formula>
    </cfRule>
  </conditionalFormatting>
  <conditionalFormatting sqref="L3:L4">
    <cfRule type="cellIs" dxfId="185" priority="291" operator="equal">
      <formula>0</formula>
    </cfRule>
  </conditionalFormatting>
  <conditionalFormatting sqref="B6 D6">
    <cfRule type="cellIs" dxfId="184" priority="290" operator="equal">
      <formula>0</formula>
    </cfRule>
  </conditionalFormatting>
  <conditionalFormatting sqref="D7">
    <cfRule type="cellIs" dxfId="183" priority="289" operator="equal">
      <formula>0</formula>
    </cfRule>
  </conditionalFormatting>
  <conditionalFormatting sqref="C7">
    <cfRule type="cellIs" dxfId="182" priority="285" operator="equal">
      <formula>0</formula>
    </cfRule>
  </conditionalFormatting>
  <conditionalFormatting sqref="C8">
    <cfRule type="cellIs" priority="284" operator="equal">
      <formula>0</formula>
    </cfRule>
  </conditionalFormatting>
  <conditionalFormatting sqref="C9">
    <cfRule type="cellIs" dxfId="181" priority="283" operator="equal">
      <formula>0</formula>
    </cfRule>
  </conditionalFormatting>
  <conditionalFormatting sqref="C10">
    <cfRule type="cellIs" dxfId="180" priority="281" operator="equal">
      <formula>0</formula>
    </cfRule>
    <cfRule type="cellIs" dxfId="179" priority="282" operator="equal">
      <formula>0</formula>
    </cfRule>
  </conditionalFormatting>
  <conditionalFormatting sqref="C6">
    <cfRule type="cellIs" dxfId="178" priority="280" operator="equal">
      <formula>0</formula>
    </cfRule>
  </conditionalFormatting>
  <conditionalFormatting sqref="G31">
    <cfRule type="cellIs" dxfId="177" priority="204" operator="equal">
      <formula>0</formula>
    </cfRule>
  </conditionalFormatting>
  <conditionalFormatting sqref="G30">
    <cfRule type="cellIs" dxfId="176" priority="203" operator="equal">
      <formula>0</formula>
    </cfRule>
  </conditionalFormatting>
  <conditionalFormatting sqref="G39">
    <cfRule type="cellIs" dxfId="175" priority="202" operator="equal">
      <formula>0</formula>
    </cfRule>
  </conditionalFormatting>
  <conditionalFormatting sqref="G32">
    <cfRule type="cellIs" dxfId="174" priority="209" operator="equal">
      <formula>0</formula>
    </cfRule>
  </conditionalFormatting>
  <conditionalFormatting sqref="G41">
    <cfRule type="cellIs" dxfId="173" priority="201" operator="equal">
      <formula>0</formula>
    </cfRule>
  </conditionalFormatting>
  <conditionalFormatting sqref="G40">
    <cfRule type="cellIs" dxfId="172" priority="200" operator="equal">
      <formula>0</formula>
    </cfRule>
  </conditionalFormatting>
  <conditionalFormatting sqref="L5">
    <cfRule type="cellIs" dxfId="171" priority="248" operator="equal">
      <formula>0</formula>
    </cfRule>
  </conditionalFormatting>
  <conditionalFormatting sqref="L6">
    <cfRule type="cellIs" dxfId="170" priority="247" operator="equal">
      <formula>0</formula>
    </cfRule>
  </conditionalFormatting>
  <conditionalFormatting sqref="L7">
    <cfRule type="cellIs" dxfId="169" priority="246" operator="equal">
      <formula>0</formula>
    </cfRule>
  </conditionalFormatting>
  <conditionalFormatting sqref="L8:L9">
    <cfRule type="cellIs" dxfId="168" priority="245" operator="equal">
      <formula>0</formula>
    </cfRule>
  </conditionalFormatting>
  <conditionalFormatting sqref="L32">
    <cfRule type="cellIs" dxfId="167" priority="241" operator="equal">
      <formula>0</formula>
    </cfRule>
  </conditionalFormatting>
  <conditionalFormatting sqref="L31">
    <cfRule type="cellIs" dxfId="166" priority="240" operator="equal">
      <formula>0</formula>
    </cfRule>
  </conditionalFormatting>
  <conditionalFormatting sqref="L30">
    <cfRule type="cellIs" dxfId="165" priority="239" operator="equal">
      <formula>0</formula>
    </cfRule>
  </conditionalFormatting>
  <conditionalFormatting sqref="L29">
    <cfRule type="cellIs" dxfId="164" priority="238" operator="equal">
      <formula>0</formula>
    </cfRule>
  </conditionalFormatting>
  <conditionalFormatting sqref="L37">
    <cfRule type="cellIs" dxfId="163" priority="237" operator="equal">
      <formula>0</formula>
    </cfRule>
  </conditionalFormatting>
  <conditionalFormatting sqref="L36">
    <cfRule type="cellIs" dxfId="162" priority="236" operator="equal">
      <formula>0</formula>
    </cfRule>
  </conditionalFormatting>
  <conditionalFormatting sqref="L35">
    <cfRule type="cellIs" dxfId="161" priority="235" operator="equal">
      <formula>0</formula>
    </cfRule>
  </conditionalFormatting>
  <conditionalFormatting sqref="L34">
    <cfRule type="cellIs" dxfId="160" priority="234" operator="equal">
      <formula>0</formula>
    </cfRule>
  </conditionalFormatting>
  <conditionalFormatting sqref="L42">
    <cfRule type="cellIs" dxfId="159" priority="233" operator="equal">
      <formula>0</formula>
    </cfRule>
  </conditionalFormatting>
  <conditionalFormatting sqref="L41">
    <cfRule type="cellIs" dxfId="158" priority="232" operator="equal">
      <formula>0</formula>
    </cfRule>
  </conditionalFormatting>
  <conditionalFormatting sqref="L40">
    <cfRule type="cellIs" dxfId="157" priority="231" operator="equal">
      <formula>0</formula>
    </cfRule>
  </conditionalFormatting>
  <conditionalFormatting sqref="L39">
    <cfRule type="cellIs" dxfId="156" priority="230" operator="equal">
      <formula>0</formula>
    </cfRule>
  </conditionalFormatting>
  <conditionalFormatting sqref="L14">
    <cfRule type="cellIs" dxfId="155" priority="229" operator="equal">
      <formula>0</formula>
    </cfRule>
  </conditionalFormatting>
  <conditionalFormatting sqref="L15">
    <cfRule type="cellIs" dxfId="154" priority="228" operator="equal">
      <formula>0</formula>
    </cfRule>
  </conditionalFormatting>
  <conditionalFormatting sqref="L16">
    <cfRule type="cellIs" dxfId="153" priority="227" operator="equal">
      <formula>0</formula>
    </cfRule>
  </conditionalFormatting>
  <conditionalFormatting sqref="L17">
    <cfRule type="cellIs" dxfId="152" priority="226" operator="equal">
      <formula>0</formula>
    </cfRule>
  </conditionalFormatting>
  <conditionalFormatting sqref="L18">
    <cfRule type="cellIs" dxfId="151" priority="225" operator="equal">
      <formula>0</formula>
    </cfRule>
  </conditionalFormatting>
  <conditionalFormatting sqref="L19">
    <cfRule type="cellIs" dxfId="150" priority="224" operator="equal">
      <formula>0</formula>
    </cfRule>
  </conditionalFormatting>
  <conditionalFormatting sqref="L20">
    <cfRule type="cellIs" dxfId="149" priority="223" operator="equal">
      <formula>0</formula>
    </cfRule>
  </conditionalFormatting>
  <conditionalFormatting sqref="L21">
    <cfRule type="cellIs" dxfId="148" priority="222" operator="equal">
      <formula>0</formula>
    </cfRule>
  </conditionalFormatting>
  <conditionalFormatting sqref="L22">
    <cfRule type="cellIs" dxfId="147" priority="221" operator="equal">
      <formula>0</formula>
    </cfRule>
  </conditionalFormatting>
  <conditionalFormatting sqref="L23">
    <cfRule type="cellIs" dxfId="146" priority="220" operator="equal">
      <formula>0</formula>
    </cfRule>
  </conditionalFormatting>
  <conditionalFormatting sqref="L24">
    <cfRule type="cellIs" dxfId="145" priority="219" operator="equal">
      <formula>0</formula>
    </cfRule>
  </conditionalFormatting>
  <conditionalFormatting sqref="G34">
    <cfRule type="cellIs" dxfId="144" priority="212" operator="equal">
      <formula>0</formula>
    </cfRule>
  </conditionalFormatting>
  <conditionalFormatting sqref="G36">
    <cfRule type="cellIs" dxfId="143" priority="211" operator="equal">
      <formula>0</formula>
    </cfRule>
  </conditionalFormatting>
  <conditionalFormatting sqref="G29">
    <cfRule type="cellIs" dxfId="142" priority="205" operator="equal">
      <formula>0</formula>
    </cfRule>
  </conditionalFormatting>
  <conditionalFormatting sqref="G33">
    <cfRule type="cellIs" dxfId="141" priority="208" operator="equal">
      <formula>0</formula>
    </cfRule>
  </conditionalFormatting>
  <conditionalFormatting sqref="G28">
    <cfRule type="cellIs" dxfId="140" priority="210" operator="equal">
      <formula>0</formula>
    </cfRule>
  </conditionalFormatting>
  <conditionalFormatting sqref="G38">
    <cfRule type="cellIs" dxfId="139" priority="207" operator="equal">
      <formula>0</formula>
    </cfRule>
  </conditionalFormatting>
  <conditionalFormatting sqref="G35">
    <cfRule type="cellIs" dxfId="138" priority="206" operator="equal">
      <formula>0</formula>
    </cfRule>
  </conditionalFormatting>
  <conditionalFormatting sqref="G37">
    <cfRule type="cellIs" dxfId="137" priority="199" operator="equal">
      <formula>0</formula>
    </cfRule>
  </conditionalFormatting>
  <conditionalFormatting sqref="G42">
    <cfRule type="cellIs" dxfId="136" priority="198" operator="equal">
      <formula>0</formula>
    </cfRule>
  </conditionalFormatting>
  <conditionalFormatting sqref="E10">
    <cfRule type="cellIs" priority="155" operator="equal">
      <formula>0</formula>
    </cfRule>
  </conditionalFormatting>
  <conditionalFormatting sqref="E4">
    <cfRule type="cellIs" dxfId="135" priority="168" operator="equal">
      <formula>0</formula>
    </cfRule>
  </conditionalFormatting>
  <conditionalFormatting sqref="E3">
    <cfRule type="cellIs" dxfId="134" priority="170" operator="equal">
      <formula>0</formula>
    </cfRule>
  </conditionalFormatting>
  <conditionalFormatting sqref="E3">
    <cfRule type="cellIs" priority="169" operator="equal">
      <formula>0</formula>
    </cfRule>
  </conditionalFormatting>
  <conditionalFormatting sqref="E5">
    <cfRule type="cellIs" dxfId="133" priority="166" operator="equal">
      <formula>0</formula>
    </cfRule>
  </conditionalFormatting>
  <conditionalFormatting sqref="E5">
    <cfRule type="cellIs" priority="165" operator="equal">
      <formula>0</formula>
    </cfRule>
  </conditionalFormatting>
  <conditionalFormatting sqref="E7">
    <cfRule type="cellIs" dxfId="132" priority="162" operator="equal">
      <formula>0</formula>
    </cfRule>
  </conditionalFormatting>
  <conditionalFormatting sqref="E7">
    <cfRule type="cellIs" priority="161" operator="equal">
      <formula>0</formula>
    </cfRule>
  </conditionalFormatting>
  <conditionalFormatting sqref="E9">
    <cfRule type="cellIs" dxfId="131" priority="158" operator="equal">
      <formula>0</formula>
    </cfRule>
  </conditionalFormatting>
  <conditionalFormatting sqref="E9">
    <cfRule type="cellIs" priority="157" operator="equal">
      <formula>0</formula>
    </cfRule>
  </conditionalFormatting>
  <conditionalFormatting sqref="E4">
    <cfRule type="cellIs" priority="167" operator="equal">
      <formula>0</formula>
    </cfRule>
  </conditionalFormatting>
  <conditionalFormatting sqref="E6">
    <cfRule type="cellIs" dxfId="130" priority="164" operator="equal">
      <formula>0</formula>
    </cfRule>
  </conditionalFormatting>
  <conditionalFormatting sqref="E6">
    <cfRule type="cellIs" priority="163" operator="equal">
      <formula>0</formula>
    </cfRule>
  </conditionalFormatting>
  <conditionalFormatting sqref="E8">
    <cfRule type="cellIs" dxfId="129" priority="160" operator="equal">
      <formula>0</formula>
    </cfRule>
  </conditionalFormatting>
  <conditionalFormatting sqref="E8">
    <cfRule type="cellIs" priority="159" operator="equal">
      <formula>0</formula>
    </cfRule>
  </conditionalFormatting>
  <conditionalFormatting sqref="E10">
    <cfRule type="cellIs" dxfId="128" priority="156" operator="equal">
      <formula>0</formula>
    </cfRule>
  </conditionalFormatting>
  <conditionalFormatting sqref="G4:G10">
    <cfRule type="cellIs" dxfId="127" priority="122" operator="equal">
      <formula>0</formula>
    </cfRule>
  </conditionalFormatting>
  <conditionalFormatting sqref="F3 F7 F11 F15 F19 F23">
    <cfRule type="cellIs" dxfId="126" priority="121" operator="equal">
      <formula>0</formula>
    </cfRule>
  </conditionalFormatting>
  <conditionalFormatting sqref="F4 F8 F12 F16 F20 F24">
    <cfRule type="cellIs" dxfId="125" priority="120" operator="equal">
      <formula>0</formula>
    </cfRule>
  </conditionalFormatting>
  <conditionalFormatting sqref="H5">
    <cfRule type="cellIs" dxfId="124" priority="106" operator="equal">
      <formula>0</formula>
    </cfRule>
  </conditionalFormatting>
  <conditionalFormatting sqref="I7">
    <cfRule type="cellIs" dxfId="123" priority="109" operator="equal">
      <formula>0</formula>
    </cfRule>
  </conditionalFormatting>
  <conditionalFormatting sqref="F6 F10 F14 F18 F22">
    <cfRule type="cellIs" dxfId="122" priority="113" operator="equal">
      <formula>0</formula>
    </cfRule>
  </conditionalFormatting>
  <conditionalFormatting sqref="G3:I3">
    <cfRule type="cellIs" dxfId="121" priority="112" operator="equal">
      <formula>0</formula>
    </cfRule>
  </conditionalFormatting>
  <conditionalFormatting sqref="H4:I4">
    <cfRule type="cellIs" dxfId="120" priority="111" operator="equal">
      <formula>0</formula>
    </cfRule>
  </conditionalFormatting>
  <conditionalFormatting sqref="I6">
    <cfRule type="cellIs" dxfId="119" priority="107" operator="equal">
      <formula>0</formula>
    </cfRule>
  </conditionalFormatting>
  <conditionalFormatting sqref="H6">
    <cfRule type="cellIs" dxfId="118" priority="105" operator="equal">
      <formula>0</formula>
    </cfRule>
  </conditionalFormatting>
  <conditionalFormatting sqref="I9:I10">
    <cfRule type="cellIs" priority="101" operator="equal">
      <formula>0</formula>
    </cfRule>
  </conditionalFormatting>
  <conditionalFormatting sqref="F5 F9 F13 F17 F21">
    <cfRule type="cellIs" dxfId="117" priority="119" operator="equal">
      <formula>0</formula>
    </cfRule>
  </conditionalFormatting>
  <conditionalFormatting sqref="H9:H10">
    <cfRule type="cellIs" priority="117" operator="equal">
      <formula>0</formula>
    </cfRule>
  </conditionalFormatting>
  <conditionalFormatting sqref="H7">
    <cfRule type="cellIs" dxfId="116" priority="104" operator="equal">
      <formula>0</formula>
    </cfRule>
  </conditionalFormatting>
  <conditionalFormatting sqref="I5">
    <cfRule type="cellIs" dxfId="115" priority="110" operator="equal">
      <formula>0</formula>
    </cfRule>
  </conditionalFormatting>
  <conditionalFormatting sqref="H8:I8">
    <cfRule type="cellIs" priority="108" operator="equal">
      <formula>0</formula>
    </cfRule>
  </conditionalFormatting>
  <conditionalFormatting sqref="E11 G11">
    <cfRule type="cellIs" dxfId="114" priority="84" operator="equal">
      <formula>0</formula>
    </cfRule>
  </conditionalFormatting>
  <conditionalFormatting sqref="I11">
    <cfRule type="cellIs" priority="83" operator="equal">
      <formula>0</formula>
    </cfRule>
  </conditionalFormatting>
  <conditionalFormatting sqref="E13 G13">
    <cfRule type="cellIs" dxfId="113" priority="82" operator="equal">
      <formula>0</formula>
    </cfRule>
  </conditionalFormatting>
  <conditionalFormatting sqref="H13">
    <cfRule type="cellIs" priority="80" operator="equal">
      <formula>0</formula>
    </cfRule>
  </conditionalFormatting>
  <conditionalFormatting sqref="I13">
    <cfRule type="cellIs" priority="79" operator="equal">
      <formula>0</formula>
    </cfRule>
  </conditionalFormatting>
  <conditionalFormatting sqref="E12">
    <cfRule type="cellIs" dxfId="112" priority="78" operator="equal">
      <formula>0</formula>
    </cfRule>
  </conditionalFormatting>
  <conditionalFormatting sqref="B12 D12:E12">
    <cfRule type="cellIs" priority="76" operator="equal">
      <formula>0</formula>
    </cfRule>
  </conditionalFormatting>
  <conditionalFormatting sqref="C12">
    <cfRule type="cellIs" priority="75" operator="equal">
      <formula>0</formula>
    </cfRule>
  </conditionalFormatting>
  <conditionalFormatting sqref="I12">
    <cfRule type="cellIs" priority="74" operator="equal">
      <formula>0</formula>
    </cfRule>
  </conditionalFormatting>
  <conditionalFormatting sqref="G12">
    <cfRule type="cellIs" dxfId="111" priority="73" operator="equal">
      <formula>0</formula>
    </cfRule>
  </conditionalFormatting>
  <conditionalFormatting sqref="H12">
    <cfRule type="cellIs" priority="72" operator="equal">
      <formula>0</formula>
    </cfRule>
  </conditionalFormatting>
  <conditionalFormatting sqref="H11">
    <cfRule type="cellIs" priority="71" operator="equal">
      <formula>0</formula>
    </cfRule>
  </conditionalFormatting>
  <conditionalFormatting sqref="K25">
    <cfRule type="cellIs" dxfId="110" priority="28" operator="equal">
      <formula>0</formula>
    </cfRule>
  </conditionalFormatting>
  <conditionalFormatting sqref="K26">
    <cfRule type="cellIs" dxfId="109" priority="27" operator="equal">
      <formula>0</formula>
    </cfRule>
  </conditionalFormatting>
  <conditionalFormatting sqref="J25">
    <cfRule type="cellIs" dxfId="108" priority="26" operator="equal">
      <formula>0</formula>
    </cfRule>
  </conditionalFormatting>
  <conditionalFormatting sqref="J26">
    <cfRule type="cellIs" dxfId="107" priority="25" operator="equal">
      <formula>0</formula>
    </cfRule>
  </conditionalFormatting>
  <conditionalFormatting sqref="K3:K4">
    <cfRule type="cellIs" dxfId="106" priority="24" operator="equal">
      <formula>0</formula>
    </cfRule>
  </conditionalFormatting>
  <conditionalFormatting sqref="K5">
    <cfRule type="cellIs" dxfId="105" priority="23" operator="equal">
      <formula>0</formula>
    </cfRule>
  </conditionalFormatting>
  <conditionalFormatting sqref="K6">
    <cfRule type="cellIs" dxfId="104" priority="22" operator="equal">
      <formula>0</formula>
    </cfRule>
  </conditionalFormatting>
  <conditionalFormatting sqref="K9">
    <cfRule type="cellIs" dxfId="103" priority="21" operator="equal">
      <formula>0</formula>
    </cfRule>
  </conditionalFormatting>
  <conditionalFormatting sqref="K10">
    <cfRule type="cellIs" dxfId="102" priority="20" operator="equal">
      <formula>0</formula>
    </cfRule>
  </conditionalFormatting>
  <conditionalFormatting sqref="K7">
    <cfRule type="cellIs" dxfId="101" priority="19" operator="equal">
      <formula>0</formula>
    </cfRule>
  </conditionalFormatting>
  <conditionalFormatting sqref="K8">
    <cfRule type="cellIs" dxfId="100" priority="18" operator="equal">
      <formula>0</formula>
    </cfRule>
  </conditionalFormatting>
  <conditionalFormatting sqref="K11">
    <cfRule type="cellIs" dxfId="99" priority="17" operator="equal">
      <formula>0</formula>
    </cfRule>
  </conditionalFormatting>
  <conditionalFormatting sqref="K13">
    <cfRule type="cellIs" dxfId="98" priority="16" operator="equal">
      <formula>0</formula>
    </cfRule>
  </conditionalFormatting>
  <conditionalFormatting sqref="K12">
    <cfRule type="cellIs" dxfId="97" priority="15" operator="equal">
      <formula>0</formula>
    </cfRule>
  </conditionalFormatting>
  <conditionalFormatting sqref="J3:J4">
    <cfRule type="cellIs" dxfId="96" priority="14" operator="equal">
      <formula>0</formula>
    </cfRule>
  </conditionalFormatting>
  <conditionalFormatting sqref="J5">
    <cfRule type="cellIs" dxfId="95" priority="13" operator="equal">
      <formula>0</formula>
    </cfRule>
  </conditionalFormatting>
  <conditionalFormatting sqref="J6">
    <cfRule type="cellIs" dxfId="94" priority="12" operator="equal">
      <formula>0</formula>
    </cfRule>
  </conditionalFormatting>
  <conditionalFormatting sqref="J9">
    <cfRule type="cellIs" dxfId="93" priority="11" operator="equal">
      <formula>0</formula>
    </cfRule>
  </conditionalFormatting>
  <conditionalFormatting sqref="J10">
    <cfRule type="cellIs" dxfId="92" priority="10" operator="equal">
      <formula>0</formula>
    </cfRule>
  </conditionalFormatting>
  <conditionalFormatting sqref="J7">
    <cfRule type="cellIs" dxfId="91" priority="9" operator="equal">
      <formula>0</formula>
    </cfRule>
  </conditionalFormatting>
  <conditionalFormatting sqref="J8">
    <cfRule type="cellIs" dxfId="90" priority="8" operator="equal">
      <formula>0</formula>
    </cfRule>
  </conditionalFormatting>
  <conditionalFormatting sqref="J11">
    <cfRule type="cellIs" dxfId="89" priority="7" operator="equal">
      <formula>0</formula>
    </cfRule>
  </conditionalFormatting>
  <conditionalFormatting sqref="J13">
    <cfRule type="cellIs" dxfId="88" priority="6" operator="equal">
      <formula>0</formula>
    </cfRule>
  </conditionalFormatting>
  <conditionalFormatting sqref="J12">
    <cfRule type="cellIs" dxfId="87" priority="5" operator="equal">
      <formula>0</formula>
    </cfRule>
  </conditionalFormatting>
  <conditionalFormatting sqref="L10">
    <cfRule type="cellIs" dxfId="86" priority="4" operator="equal">
      <formula>0</formula>
    </cfRule>
  </conditionalFormatting>
  <conditionalFormatting sqref="L11">
    <cfRule type="cellIs" dxfId="85" priority="3" operator="equal">
      <formula>0</formula>
    </cfRule>
  </conditionalFormatting>
  <conditionalFormatting sqref="L12">
    <cfRule type="cellIs" dxfId="84" priority="2" operator="equal">
      <formula>0</formula>
    </cfRule>
  </conditionalFormatting>
  <conditionalFormatting sqref="L13">
    <cfRule type="cellIs" dxfId="83"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8BEE0FD0-7C35-4FEB-8D59-9136C43A2CEB}">
          <x14:formula1>
            <xm:f>Config!$B$3:$O$3</xm:f>
          </x14:formula1>
          <xm:sqref>D1:E1</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AED8B-90A3-4FAB-A872-377FA3848A73}">
  <sheetPr codeName="Sheet7"/>
  <dimension ref="A1:O21"/>
  <sheetViews>
    <sheetView zoomScale="85" zoomScaleNormal="85" workbookViewId="0">
      <selection activeCell="B6" sqref="B6"/>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hidden="1" customWidth="1"/>
    <col min="5" max="5" width="9.5546875" style="15" hidden="1" customWidth="1"/>
    <col min="6" max="6" width="8.6640625" style="15" hidden="1" customWidth="1"/>
    <col min="7" max="7" width="13.5546875" style="15" hidden="1" customWidth="1"/>
    <col min="8" max="10" width="11.33203125" style="15" hidden="1" customWidth="1"/>
    <col min="11" max="11" width="41.109375" style="15" hidden="1" customWidth="1"/>
    <col min="12" max="12" width="40.33203125" style="15" customWidth="1"/>
    <col min="13" max="13" width="31.6640625" style="15" bestFit="1" customWidth="1"/>
    <col min="14" max="14" width="11.33203125" style="15" bestFit="1" customWidth="1"/>
    <col min="15" max="15" width="4.6640625" style="15" bestFit="1" customWidth="1"/>
    <col min="16" max="16384" width="9.109375" style="15"/>
  </cols>
  <sheetData>
    <row r="1" spans="1:15" ht="24" thickBot="1" x14ac:dyDescent="0.5">
      <c r="B1" s="22" t="s">
        <v>400</v>
      </c>
      <c r="C1" s="23" t="s">
        <v>608</v>
      </c>
    </row>
    <row r="2" spans="1:15" ht="15" customHeight="1" thickBot="1" x14ac:dyDescent="0.35">
      <c r="A2" s="29" t="s">
        <v>0</v>
      </c>
      <c r="B2" s="33" t="s">
        <v>1</v>
      </c>
      <c r="C2" s="33" t="s">
        <v>371</v>
      </c>
      <c r="D2" s="33" t="s">
        <v>2</v>
      </c>
      <c r="E2" s="66" t="s">
        <v>3</v>
      </c>
      <c r="F2" s="67" t="s">
        <v>4</v>
      </c>
      <c r="G2" s="67" t="s">
        <v>5</v>
      </c>
      <c r="H2" s="67" t="s">
        <v>6</v>
      </c>
      <c r="I2" s="67" t="s">
        <v>385</v>
      </c>
      <c r="J2" s="67" t="s">
        <v>386</v>
      </c>
      <c r="K2" s="67" t="s">
        <v>624</v>
      </c>
      <c r="L2" s="28" t="s">
        <v>423</v>
      </c>
      <c r="M2" s="67" t="s">
        <v>7</v>
      </c>
      <c r="N2" s="67" t="s">
        <v>8</v>
      </c>
      <c r="O2" s="96" t="s">
        <v>626</v>
      </c>
    </row>
    <row r="3" spans="1:15" ht="15.45" customHeight="1" x14ac:dyDescent="0.3">
      <c r="A3" s="342" t="s">
        <v>49</v>
      </c>
      <c r="B3" s="80" t="s">
        <v>617</v>
      </c>
      <c r="C3" s="80" t="s">
        <v>617</v>
      </c>
      <c r="D3" s="80"/>
      <c r="E3" s="90" t="s">
        <v>50</v>
      </c>
      <c r="F3" s="91">
        <f ca="1">IF($C3="No Param",32,VLOOKUP($C3,INDIRECT(Config!$B$1),HLOOKUP(C$1,INDIRECT(Config!$E$1),2,FALSE),FALSE))</f>
        <v>512</v>
      </c>
      <c r="G3" s="82" t="s">
        <v>51</v>
      </c>
      <c r="H3" s="82" t="s">
        <v>623</v>
      </c>
      <c r="I3" s="82" t="s">
        <v>387</v>
      </c>
      <c r="J3" s="82" t="s">
        <v>387</v>
      </c>
      <c r="K3" s="82"/>
      <c r="L3" s="46" t="s">
        <v>653</v>
      </c>
      <c r="M3" s="83" t="s">
        <v>48</v>
      </c>
      <c r="N3" s="326" t="s">
        <v>48</v>
      </c>
      <c r="O3" s="327">
        <f ca="1">SUM(F3:F17)</f>
        <v>576</v>
      </c>
    </row>
    <row r="4" spans="1:15" ht="15.45" customHeight="1" x14ac:dyDescent="0.3">
      <c r="A4" s="343"/>
      <c r="B4" s="35" t="s">
        <v>52</v>
      </c>
      <c r="C4" s="35" t="s">
        <v>253</v>
      </c>
      <c r="D4" s="35" t="s">
        <v>17</v>
      </c>
      <c r="E4" s="25" t="s">
        <v>50</v>
      </c>
      <c r="F4" s="39">
        <f ca="1">VLOOKUP("TRC_PRESENT", INDIRECT(Config!$B$1), HLOOKUP(C$1, INDIRECT(Config!$E$1), 2, FALSE),FALSE)*32</f>
        <v>32</v>
      </c>
      <c r="G4" s="16" t="s">
        <v>53</v>
      </c>
      <c r="H4" s="16" t="str">
        <f>CONCATENATE("0x",DEC2HEX(HEX2DEC(SUBSTITUTE(H3,"0x",""))+HEX2DEC(SUBSTITUTE(G4,"0x",""))))</f>
        <v>0xF00B0840</v>
      </c>
      <c r="I4" s="16" t="s">
        <v>387</v>
      </c>
      <c r="J4" s="16" t="s">
        <v>387</v>
      </c>
      <c r="K4" s="64" t="str">
        <f ca="1">IF(VLOOKUP("EXT_FUSE_PULL_SUPP", INDIRECT(Config!$B$1),HLOOKUP(C$1,INDIRECT(Config!$E$1),2,FALSE),FALSE)=1, IF(F4&gt;0,CONCATENATE("GSK_OEM_IFP_CONFIG[",F4-1,":0]"),""), "")</f>
        <v/>
      </c>
      <c r="L4" s="130" t="s">
        <v>875</v>
      </c>
      <c r="M4" s="344" t="s">
        <v>369</v>
      </c>
      <c r="N4" s="324"/>
      <c r="O4" s="328"/>
    </row>
    <row r="5" spans="1:15" ht="15.45" customHeight="1" x14ac:dyDescent="0.3">
      <c r="A5" s="343"/>
      <c r="B5" s="35" t="s">
        <v>54</v>
      </c>
      <c r="C5" s="35" t="s">
        <v>253</v>
      </c>
      <c r="D5" s="35" t="s">
        <v>17</v>
      </c>
      <c r="E5" s="25" t="s">
        <v>50</v>
      </c>
      <c r="F5" s="39">
        <f ca="1">VLOOKUP("TRC_PRESENT", INDIRECT(Config!$B$1), HLOOKUP(C$1, INDIRECT(Config!$E$1), 2, FALSE),FALSE)*32</f>
        <v>32</v>
      </c>
      <c r="G5" s="16" t="s">
        <v>55</v>
      </c>
      <c r="H5" s="16" t="str">
        <f>CONCATENATE("0x",DEC2HEX(HEX2DEC(SUBSTITUTE(H3,"0x",""))+HEX2DEC(SUBSTITUTE(G5,"0x",""))))</f>
        <v>0xF00B0844</v>
      </c>
      <c r="I5" s="16" t="s">
        <v>387</v>
      </c>
      <c r="J5" s="16" t="s">
        <v>387</v>
      </c>
      <c r="K5" s="64" t="str">
        <f ca="1">IF(VLOOKUP("EXT_FUSE_PULL_SUPP", INDIRECT(Config!$B$1),HLOOKUP(C$1,INDIRECT(Config!$E$1),2,FALSE),FALSE)=1, IF(F5&gt;0,CONCATENATE("GSK_TRC_DIS[",F5-1,":0]"),""), "")</f>
        <v/>
      </c>
      <c r="L5" s="130" t="s">
        <v>877</v>
      </c>
      <c r="M5" s="344"/>
      <c r="N5" s="324"/>
      <c r="O5" s="328"/>
    </row>
    <row r="6" spans="1:15" ht="15.45" customHeight="1" x14ac:dyDescent="0.3">
      <c r="A6" s="343"/>
      <c r="B6" s="35" t="s">
        <v>359</v>
      </c>
      <c r="C6" s="16" t="s">
        <v>360</v>
      </c>
      <c r="D6" s="35" t="s">
        <v>550</v>
      </c>
      <c r="E6" s="25" t="s">
        <v>50</v>
      </c>
      <c r="F6" s="39">
        <f ca="1">VLOOKUP("OEM_SECRET_KEY_FUSES_LIMIT", INDIRECT(Config!$B$1), HLOOKUP(C$1, INDIRECT(Config!$E$1), 2, FALSE),FALSE)*32</f>
        <v>0</v>
      </c>
      <c r="G6" s="16" t="s">
        <v>405</v>
      </c>
      <c r="H6" s="16" t="str">
        <f>CONCATENATE("0x",DEC2HEX(HEX2DEC(SUBSTITUTE(H3,"0x",""))+HEX2DEC(SUBSTITUTE(G6,"0x",""))))</f>
        <v>0xF00B0880</v>
      </c>
      <c r="I6" s="16" t="s">
        <v>387</v>
      </c>
      <c r="J6" s="16" t="s">
        <v>387</v>
      </c>
      <c r="K6" s="64" t="str">
        <f ca="1">IF(VLOOKUP("EXT_FUSE_PULL_SUPP", INDIRECT(Config!$B$1),HLOOKUP(C$1,INDIRECT(Config!$E$1),2,FALSE),FALSE)=1, IF(F6&gt;0,CONCATENATE("GSK_OEM_SECRET_KEYS_DWn[",F6-1,":0]"),""), "")</f>
        <v/>
      </c>
      <c r="L6" s="3" t="s">
        <v>654</v>
      </c>
      <c r="M6" s="344"/>
      <c r="N6" s="324"/>
      <c r="O6" s="328"/>
    </row>
    <row r="7" spans="1:15" ht="15.45" customHeight="1" x14ac:dyDescent="0.3">
      <c r="A7" s="343"/>
      <c r="B7" s="84" t="s">
        <v>616</v>
      </c>
      <c r="C7" s="84" t="s">
        <v>668</v>
      </c>
      <c r="D7" s="84"/>
      <c r="E7" s="92" t="s">
        <v>50</v>
      </c>
      <c r="F7" s="81">
        <f ca="1">IF($C7="No Param",32,
IF("FW_IFP_GENERAL"=$C7,
IF(VLOOKUP($C7,INDIRECT(Config!$B$1),HLOOKUP(C$1,INDIRECT(Config!$E$1),2,FALSE),FALSE)*32&gt;2048,2048,
MOD(VLOOKUP($C7,INDIRECT(Config!$B$1),HLOOKUP(C$1,INDIRECT(Config!$E$1),2,FALSE),FALSE)*32,2048)),
VLOOKUP($C7,INDIRECT(Config!$B$1),HLOOKUP(C$1,INDIRECT(Config!$E$1),2,FALSE),FALSE)*32))</f>
        <v>0</v>
      </c>
      <c r="G7" s="85" t="s">
        <v>56</v>
      </c>
      <c r="H7" s="85" t="str">
        <f>CONCATENATE("0x",DEC2HEX(HEX2DEC(SUBSTITUTE(H3,"0x",""))+HEX2DEC(SUBSTITUTE(G7,"0x",""))))</f>
        <v>0xF00B0900</v>
      </c>
      <c r="I7" s="86" t="s">
        <v>387</v>
      </c>
      <c r="J7" s="86" t="s">
        <v>387</v>
      </c>
      <c r="K7" s="94" t="str">
        <f ca="1">IF(VLOOKUP("EXT_FUSE_PULL_SUPP", INDIRECT(Config!$B$1),HLOOKUP(C$1,INDIRECT(Config!$E$1),2,FALSE),FALSE)=1, IF(F7&gt;0,CONCATENATE("CSME_HW_IFP_FUSES[",F7-1,":0]"),""), "")</f>
        <v/>
      </c>
      <c r="L7" s="63" t="s">
        <v>656</v>
      </c>
      <c r="M7" s="86" t="s">
        <v>48</v>
      </c>
      <c r="N7" s="324"/>
      <c r="O7" s="328"/>
    </row>
    <row r="8" spans="1:15" ht="15.45" customHeight="1" x14ac:dyDescent="0.3">
      <c r="A8" s="343"/>
      <c r="B8" s="84" t="s">
        <v>618</v>
      </c>
      <c r="C8" s="84" t="s">
        <v>618</v>
      </c>
      <c r="D8" s="84"/>
      <c r="E8" s="92" t="s">
        <v>403</v>
      </c>
      <c r="F8" s="81">
        <f ca="1">IF($C8="No Param",32,VLOOKUP($C8,INDIRECT(Config!$B$1),HLOOKUP(C$1,INDIRECT(Config!$E$1),2,FALSE),FALSE))</f>
        <v>0</v>
      </c>
      <c r="G8" s="85" t="s">
        <v>413</v>
      </c>
      <c r="H8" s="85" t="str">
        <f>CONCATENATE("0x",DEC2HEX(HEX2DEC(SUBSTITUTE(H3,"0x",""))+HEX2DEC(SUBSTITUTE(G8,"0x",""))))</f>
        <v>0xF00B0A00</v>
      </c>
      <c r="I8" s="86" t="s">
        <v>387</v>
      </c>
      <c r="J8" s="86" t="s">
        <v>387</v>
      </c>
      <c r="K8" s="86"/>
      <c r="L8" s="7" t="s">
        <v>653</v>
      </c>
      <c r="M8" s="86" t="s">
        <v>48</v>
      </c>
      <c r="N8" s="324"/>
      <c r="O8" s="328"/>
    </row>
    <row r="9" spans="1:15" ht="15.45" customHeight="1" x14ac:dyDescent="0.3">
      <c r="A9" s="343"/>
      <c r="B9" s="35" t="s">
        <v>354</v>
      </c>
      <c r="C9" s="16" t="s">
        <v>355</v>
      </c>
      <c r="D9" s="35" t="s">
        <v>17</v>
      </c>
      <c r="E9" s="25" t="s">
        <v>403</v>
      </c>
      <c r="F9" s="39">
        <f ca="1">IF(VLOOKUP("PARAM_INT_IFP_TRIPLE_RDD_DIS", INDIRECT(Config!$B$1), HLOOKUP(C$1, INDIRECT(Config!$E$1), 2, FALSE),FALSE)=0, VLOOKUP("TRC_PRESENT", INDIRECT(Config!$B$1), HLOOKUP(C$1, INDIRECT(Config!$E$1), 2, FALSE),FALSE)*32, 0)</f>
        <v>0</v>
      </c>
      <c r="G9" s="16" t="s">
        <v>408</v>
      </c>
      <c r="H9" s="16" t="str">
        <f>CONCATENATE("0x",DEC2HEX(HEX2DEC(SUBSTITUTE(H3,"0x",""))+HEX2DEC(SUBSTITUTE(G9,"0x",""))))</f>
        <v>0xF00B0A40</v>
      </c>
      <c r="I9" s="16" t="s">
        <v>387</v>
      </c>
      <c r="J9" s="16" t="s">
        <v>387</v>
      </c>
      <c r="K9" s="64" t="str">
        <f ca="1">IF(VLOOKUP("EXT_FUSE_PULL_SUPP", INDIRECT(Config!$B$1),HLOOKUP(C$1,INDIRECT(Config!$E$1),2,FALSE),FALSE)=1, IF(F9&gt;0,CONCATENATE("GSK_OEM_IFP_CONFIG_COPY1[",F9-1,":0]"),""), "")</f>
        <v/>
      </c>
      <c r="L9" s="130" t="s">
        <v>874</v>
      </c>
      <c r="M9" s="344" t="s">
        <v>369</v>
      </c>
      <c r="N9" s="324"/>
      <c r="O9" s="328"/>
    </row>
    <row r="10" spans="1:15" ht="15.45" customHeight="1" x14ac:dyDescent="0.3">
      <c r="A10" s="343"/>
      <c r="B10" s="35" t="s">
        <v>401</v>
      </c>
      <c r="C10" s="16" t="s">
        <v>355</v>
      </c>
      <c r="D10" s="35" t="s">
        <v>17</v>
      </c>
      <c r="E10" s="25" t="s">
        <v>403</v>
      </c>
      <c r="F10" s="39">
        <f ca="1">IF(VLOOKUP("PARAM_INT_IFP_TRIPLE_RDD_DIS", INDIRECT(Config!$B$1), HLOOKUP(C$1, INDIRECT(Config!$E$1), 2, FALSE),FALSE)=0, VLOOKUP("TRC_PRESENT", INDIRECT(Config!$B$1), HLOOKUP(C$1, INDIRECT(Config!$E$1), 2, FALSE),FALSE)*32, 0)</f>
        <v>0</v>
      </c>
      <c r="G10" s="16" t="s">
        <v>411</v>
      </c>
      <c r="H10" s="16" t="str">
        <f>CONCATENATE("0x",DEC2HEX(HEX2DEC(SUBSTITUTE(H3,"0x",""))+HEX2DEC(SUBSTITUTE(G10,"0x",""))))</f>
        <v>0xF00B0A44</v>
      </c>
      <c r="I10" s="16" t="s">
        <v>387</v>
      </c>
      <c r="J10" s="16" t="s">
        <v>387</v>
      </c>
      <c r="K10" s="64" t="str">
        <f ca="1">IF(VLOOKUP("EXT_FUSE_PULL_SUPP", INDIRECT(Config!$B$1),HLOOKUP(C$1,INDIRECT(Config!$E$1),2,FALSE),FALSE)=1, IF(F10&gt;0,CONCATENATE("GSK_TRC_DIS_COPY1[",F10-1,":0]"),""), "")</f>
        <v/>
      </c>
      <c r="L10" s="130" t="s">
        <v>879</v>
      </c>
      <c r="M10" s="344"/>
      <c r="N10" s="324"/>
      <c r="O10" s="328"/>
    </row>
    <row r="11" spans="1:15" ht="15.45" customHeight="1" x14ac:dyDescent="0.3">
      <c r="A11" s="343"/>
      <c r="B11" s="35" t="s">
        <v>362</v>
      </c>
      <c r="C11" s="16" t="s">
        <v>363</v>
      </c>
      <c r="D11" s="35" t="s">
        <v>550</v>
      </c>
      <c r="E11" s="25" t="s">
        <v>403</v>
      </c>
      <c r="F11" s="39">
        <f ca="1">IF(VLOOKUP("PARAM_INT_IFP_TRIPLE_RDD_DIS", INDIRECT(Config!$B$1), HLOOKUP(C$1, INDIRECT(Config!$E$1), 2, FALSE),FALSE)=0, VLOOKUP("OEM_SECRET_KEY_FUSES_LIMIT", INDIRECT(Config!$B$1), HLOOKUP(C$1, INDIRECT(Config!$E$1), 2, FALSE),FALSE)*32, 0)</f>
        <v>0</v>
      </c>
      <c r="G11" s="16" t="s">
        <v>406</v>
      </c>
      <c r="H11" s="16" t="str">
        <f>CONCATENATE("0x",DEC2HEX(HEX2DEC(SUBSTITUTE(H3,"0x",""))+HEX2DEC(SUBSTITUTE(G11,"0x",""))))</f>
        <v>0xF00B0A80</v>
      </c>
      <c r="I11" s="16" t="s">
        <v>387</v>
      </c>
      <c r="J11" s="16" t="s">
        <v>387</v>
      </c>
      <c r="K11" s="64" t="str">
        <f ca="1">IF(VLOOKUP("EXT_FUSE_PULL_SUPP", INDIRECT(Config!$B$1),HLOOKUP(C$1,INDIRECT(Config!$E$1),2,FALSE),FALSE)=1, IF(F11&gt;0,CONCATENATE("GSK_OEM_SECRET_KEYS_DWn_COPY1[",F11-1,":0]"),""), "")</f>
        <v/>
      </c>
      <c r="L11" s="3" t="s">
        <v>654</v>
      </c>
      <c r="M11" s="344"/>
      <c r="N11" s="324"/>
      <c r="O11" s="328"/>
    </row>
    <row r="12" spans="1:15" ht="15.45" customHeight="1" x14ac:dyDescent="0.3">
      <c r="A12" s="343"/>
      <c r="B12" s="84" t="s">
        <v>619</v>
      </c>
      <c r="C12" s="84" t="s">
        <v>668</v>
      </c>
      <c r="D12" s="84"/>
      <c r="E12" s="92" t="s">
        <v>403</v>
      </c>
      <c r="F12" s="81">
        <f ca="1">IF($C12="No Param",32,
IF("FW_IFP_GENERAL"=$C12,
IF(VLOOKUP($C12,INDIRECT(Config!$B$1),HLOOKUP(C$1,INDIRECT(Config!$E$1),2,FALSE),FALSE)*32-2048&gt;=2048/32,2048,
IF(VLOOKUP($C12,INDIRECT(Config!$B$1),HLOOKUP(C$1,INDIRECT(Config!$E$1),2,FALSE),FALSE)*32-2048&gt;0,
MOD(VLOOKUP($C12,INDIRECT(Config!$B$1),HLOOKUP(C$1,INDIRECT(Config!$E$1),2,FALSE),FALSE)*32-2048,2048),0)),
VLOOKUP($C12,INDIRECT(Config!$B$1),HLOOKUP(C$1,INDIRECT(Config!$E$1),2,FALSE),FALSE)*32))</f>
        <v>0</v>
      </c>
      <c r="G12" s="85" t="s">
        <v>412</v>
      </c>
      <c r="H12" s="85" t="str">
        <f>CONCATENATE("0x",DEC2HEX(HEX2DEC(SUBSTITUTE(H3,"0x",""))+HEX2DEC(SUBSTITUTE(G12,"0x",""))))</f>
        <v>0xF00B0B00</v>
      </c>
      <c r="I12" s="86" t="s">
        <v>387</v>
      </c>
      <c r="J12" s="86" t="s">
        <v>387</v>
      </c>
      <c r="K12" s="94" t="str">
        <f ca="1">IF(VLOOKUP("EXT_FUSE_PULL_SUPP", INDIRECT(Config!$B$1),HLOOKUP(C$1,INDIRECT(Config!$E$1),2,FALSE),FALSE)=1, IF(F12&gt;0,CONCATENATE("CSME_HW_IFP_FUSES_COPY1[",F12-1,":0]"),""), "")</f>
        <v/>
      </c>
      <c r="L12" s="63" t="s">
        <v>657</v>
      </c>
      <c r="M12" s="86" t="s">
        <v>48</v>
      </c>
      <c r="N12" s="324"/>
      <c r="O12" s="328"/>
    </row>
    <row r="13" spans="1:15" ht="15.45" customHeight="1" x14ac:dyDescent="0.3">
      <c r="A13" s="343"/>
      <c r="B13" s="84" t="s">
        <v>620</v>
      </c>
      <c r="C13" s="84" t="s">
        <v>620</v>
      </c>
      <c r="D13" s="84"/>
      <c r="E13" s="92" t="s">
        <v>404</v>
      </c>
      <c r="F13" s="81">
        <f ca="1">IF($C13="No Param",32,VLOOKUP($C13,INDIRECT(Config!$B$1),HLOOKUP(C$1,INDIRECT(Config!$E$1),2,FALSE),FALSE))</f>
        <v>0</v>
      </c>
      <c r="G13" s="85" t="s">
        <v>414</v>
      </c>
      <c r="H13" s="85" t="str">
        <f>CONCATENATE("0x",DEC2HEX(HEX2DEC(SUBSTITUTE(H3,"0x",""))+HEX2DEC(SUBSTITUTE(G13,"0x",""))))</f>
        <v>0xF00B0C00</v>
      </c>
      <c r="I13" s="86" t="s">
        <v>387</v>
      </c>
      <c r="J13" s="86" t="s">
        <v>387</v>
      </c>
      <c r="K13" s="86"/>
      <c r="L13" s="7" t="s">
        <v>653</v>
      </c>
      <c r="M13" s="86" t="s">
        <v>48</v>
      </c>
      <c r="N13" s="324"/>
      <c r="O13" s="328"/>
    </row>
    <row r="14" spans="1:15" ht="15.45" customHeight="1" x14ac:dyDescent="0.3">
      <c r="A14" s="343"/>
      <c r="B14" s="35" t="s">
        <v>357</v>
      </c>
      <c r="C14" s="16" t="s">
        <v>355</v>
      </c>
      <c r="D14" s="35" t="s">
        <v>17</v>
      </c>
      <c r="E14" s="25" t="s">
        <v>404</v>
      </c>
      <c r="F14" s="39">
        <f ca="1">IF(VLOOKUP("PARAM_INT_IFP_TRIPLE_RDD_DIS", INDIRECT(Config!$B$1), HLOOKUP(C$1, INDIRECT(Config!$E$1), 2, FALSE),FALSE)=0, VLOOKUP("TRC_PRESENT", INDIRECT(Config!$B$1), HLOOKUP(C$1, INDIRECT(Config!$E$1), 2, FALSE),FALSE)*32, 0)</f>
        <v>0</v>
      </c>
      <c r="G14" s="16" t="s">
        <v>410</v>
      </c>
      <c r="H14" s="16" t="str">
        <f>CONCATENATE("0x",DEC2HEX(HEX2DEC(SUBSTITUTE(H3,"0x",""))+HEX2DEC(SUBSTITUTE(G14,"0x",""))))</f>
        <v>0xF00B0C40</v>
      </c>
      <c r="I14" s="16" t="s">
        <v>387</v>
      </c>
      <c r="J14" s="16" t="s">
        <v>387</v>
      </c>
      <c r="K14" s="64" t="str">
        <f ca="1">IF(VLOOKUP("EXT_FUSE_PULL_SUPP", INDIRECT(Config!$B$1),HLOOKUP(C$1,INDIRECT(Config!$E$1),2,FALSE),FALSE)=1, IF(F14&gt;0,CONCATENATE("GSK_OEM_IFP_CONFIG_COPY2[",F14-1,":0]"),""), "")</f>
        <v/>
      </c>
      <c r="L14" s="130" t="s">
        <v>876</v>
      </c>
      <c r="M14" s="344" t="s">
        <v>369</v>
      </c>
      <c r="N14" s="324"/>
      <c r="O14" s="328"/>
    </row>
    <row r="15" spans="1:15" ht="15.45" customHeight="1" x14ac:dyDescent="0.3">
      <c r="A15" s="343"/>
      <c r="B15" s="35" t="s">
        <v>402</v>
      </c>
      <c r="C15" s="16" t="s">
        <v>355</v>
      </c>
      <c r="D15" s="35" t="s">
        <v>17</v>
      </c>
      <c r="E15" s="25" t="s">
        <v>404</v>
      </c>
      <c r="F15" s="39">
        <f ca="1">IF(VLOOKUP("PARAM_INT_IFP_TRIPLE_RDD_DIS", INDIRECT(Config!$B$1), HLOOKUP(C$1, INDIRECT(Config!$E$1), 2, FALSE),FALSE)=0, VLOOKUP("TRC_PRESENT", INDIRECT(Config!$B$1), HLOOKUP(C$1, INDIRECT(Config!$E$1), 2, FALSE),FALSE)*32, 0)</f>
        <v>0</v>
      </c>
      <c r="G15" s="16" t="s">
        <v>409</v>
      </c>
      <c r="H15" s="16" t="str">
        <f>CONCATENATE("0x",DEC2HEX(HEX2DEC(SUBSTITUTE(H3,"0x",""))+HEX2DEC(SUBSTITUTE(G15,"0x",""))))</f>
        <v>0xF00B0C44</v>
      </c>
      <c r="I15" s="16" t="s">
        <v>387</v>
      </c>
      <c r="J15" s="16" t="s">
        <v>387</v>
      </c>
      <c r="K15" s="64" t="str">
        <f ca="1">IF(VLOOKUP("EXT_FUSE_PULL_SUPP", INDIRECT(Config!$B$1),HLOOKUP(C$1,INDIRECT(Config!$E$1),2,FALSE),FALSE)=1, IF(F15&gt;0,CONCATENATE("GSK_TRC_DIS_COPY2[",F15-1,":0]"),""), "")</f>
        <v/>
      </c>
      <c r="L15" s="130" t="s">
        <v>878</v>
      </c>
      <c r="M15" s="344"/>
      <c r="N15" s="324"/>
      <c r="O15" s="328"/>
    </row>
    <row r="16" spans="1:15" ht="15.45" customHeight="1" x14ac:dyDescent="0.3">
      <c r="A16" s="343"/>
      <c r="B16" s="35" t="s">
        <v>365</v>
      </c>
      <c r="C16" s="16" t="s">
        <v>363</v>
      </c>
      <c r="D16" s="35" t="s">
        <v>550</v>
      </c>
      <c r="E16" s="25" t="s">
        <v>404</v>
      </c>
      <c r="F16" s="39">
        <f ca="1">IF(VLOOKUP("PARAM_INT_IFP_TRIPLE_RDD_DIS", INDIRECT(Config!$B$1), HLOOKUP(C$1, INDIRECT(Config!$E$1), 2, FALSE),FALSE)=0, VLOOKUP("OEM_SECRET_KEY_FUSES_LIMIT", INDIRECT(Config!$B$1), HLOOKUP(C$1, INDIRECT(Config!$E$1), 2, FALSE),FALSE)*32, 0)</f>
        <v>0</v>
      </c>
      <c r="G16" s="16" t="s">
        <v>407</v>
      </c>
      <c r="H16" s="16" t="str">
        <f>CONCATENATE("0x",DEC2HEX(HEX2DEC(SUBSTITUTE(H3,"0x",""))+HEX2DEC(SUBSTITUTE(G16,"0x",""))))</f>
        <v>0xF00B0C80</v>
      </c>
      <c r="I16" s="16" t="s">
        <v>387</v>
      </c>
      <c r="J16" s="16" t="s">
        <v>387</v>
      </c>
      <c r="K16" s="64" t="str">
        <f ca="1">IF(VLOOKUP("EXT_FUSE_PULL_SUPP", INDIRECT(Config!$B$1),HLOOKUP(C$1,INDIRECT(Config!$E$1),2,FALSE),FALSE)=1, IF(F16&gt;0,CONCATENATE("GSK_OEM_SECRET_KEYS_DWn_COPY2[",F16-1,":0]"),""), "")</f>
        <v/>
      </c>
      <c r="L16" s="3" t="s">
        <v>654</v>
      </c>
      <c r="M16" s="344"/>
      <c r="N16" s="324"/>
      <c r="O16" s="328"/>
    </row>
    <row r="17" spans="1:15" ht="15.45" customHeight="1" thickBot="1" x14ac:dyDescent="0.35">
      <c r="A17" s="346"/>
      <c r="B17" s="87" t="s">
        <v>621</v>
      </c>
      <c r="C17" s="87" t="s">
        <v>668</v>
      </c>
      <c r="D17" s="87"/>
      <c r="E17" s="93" t="s">
        <v>404</v>
      </c>
      <c r="F17" s="126">
        <f ca="1">IF($C17="No Param",32,
IF("FW_IFP_GENERAL"=$C17,
IF(VLOOKUP($C17,INDIRECT(Config!$B$1),HLOOKUP(C$1,INDIRECT(Config!$E$1),2,FALSE),FALSE)*32-2048*2&gt;=2048,2048,
IF(VLOOKUP($C17,INDIRECT(Config!$B$1),HLOOKUP(C$1,INDIRECT(Config!$E$1),2,FALSE),FALSE)*32-2048*2&gt;0,
MOD(VLOOKUP($C17,INDIRECT(Config!$B$1),HLOOKUP(C$1,INDIRECT(Config!$E$1),2,FALSE),FALSE)*32-2048*2,2048),0)),
VLOOKUP($C17,INDIRECT(Config!$B$1),HLOOKUP(C$1,INDIRECT(Config!$E$1),2,FALSE),FALSE)*32))</f>
        <v>0</v>
      </c>
      <c r="G17" s="88" t="s">
        <v>415</v>
      </c>
      <c r="H17" s="88" t="str">
        <f>CONCATENATE("0x",DEC2HEX(HEX2DEC(SUBSTITUTE(H3,"0x",""))+HEX2DEC(SUBSTITUTE(G17,"0x",""))))</f>
        <v>0xF00B0D00</v>
      </c>
      <c r="I17" s="89" t="s">
        <v>387</v>
      </c>
      <c r="J17" s="88" t="s">
        <v>387</v>
      </c>
      <c r="K17" s="88" t="str">
        <f ca="1">IF(VLOOKUP("EXT_FUSE_PULL_SUPP", INDIRECT(Config!$B$1),HLOOKUP(C$1,INDIRECT(Config!$E$1),2,FALSE),FALSE)=1, IF(F17&gt;0,CONCATENATE("CSME_HW_IFP_FUSES_COPY2[",F17-1,":0]"),""), "")</f>
        <v/>
      </c>
      <c r="L17" s="26" t="s">
        <v>655</v>
      </c>
      <c r="M17" s="89" t="s">
        <v>48</v>
      </c>
      <c r="N17" s="325"/>
      <c r="O17" s="329"/>
    </row>
    <row r="18" spans="1:15" ht="15" customHeight="1" x14ac:dyDescent="0.3"/>
    <row r="19" spans="1:15" ht="15" customHeight="1" x14ac:dyDescent="0.3"/>
    <row r="20" spans="1:15" ht="15" customHeight="1" x14ac:dyDescent="0.3"/>
    <row r="21" spans="1:15" ht="15" customHeight="1" x14ac:dyDescent="0.3"/>
  </sheetData>
  <mergeCells count="6">
    <mergeCell ref="M14:M16"/>
    <mergeCell ref="A3:A17"/>
    <mergeCell ref="N3:N17"/>
    <mergeCell ref="O3:O17"/>
    <mergeCell ref="M4:M6"/>
    <mergeCell ref="M9:M11"/>
  </mergeCells>
  <conditionalFormatting sqref="I3">
    <cfRule type="cellIs" dxfId="82" priority="138" operator="equal">
      <formula>0</formula>
    </cfRule>
  </conditionalFormatting>
  <conditionalFormatting sqref="K7">
    <cfRule type="cellIs" dxfId="81" priority="75" operator="equal">
      <formula>0</formula>
    </cfRule>
  </conditionalFormatting>
  <conditionalFormatting sqref="K6">
    <cfRule type="cellIs" dxfId="80" priority="74" operator="equal">
      <formula>0</formula>
    </cfRule>
  </conditionalFormatting>
  <conditionalFormatting sqref="K5">
    <cfRule type="cellIs" dxfId="79" priority="73" operator="equal">
      <formula>0</formula>
    </cfRule>
  </conditionalFormatting>
  <conditionalFormatting sqref="K4">
    <cfRule type="cellIs" dxfId="78" priority="72" operator="equal">
      <formula>0</formula>
    </cfRule>
  </conditionalFormatting>
  <conditionalFormatting sqref="K12">
    <cfRule type="cellIs" dxfId="77" priority="71" operator="equal">
      <formula>0</formula>
    </cfRule>
  </conditionalFormatting>
  <conditionalFormatting sqref="K11">
    <cfRule type="cellIs" dxfId="76" priority="70" operator="equal">
      <formula>0</formula>
    </cfRule>
  </conditionalFormatting>
  <conditionalFormatting sqref="K10">
    <cfRule type="cellIs" dxfId="75" priority="69" operator="equal">
      <formula>0</formula>
    </cfRule>
  </conditionalFormatting>
  <conditionalFormatting sqref="K9">
    <cfRule type="cellIs" dxfId="74" priority="68" operator="equal">
      <formula>0</formula>
    </cfRule>
  </conditionalFormatting>
  <conditionalFormatting sqref="K17">
    <cfRule type="cellIs" dxfId="73" priority="67" operator="equal">
      <formula>0</formula>
    </cfRule>
  </conditionalFormatting>
  <conditionalFormatting sqref="K16">
    <cfRule type="cellIs" dxfId="72" priority="66" operator="equal">
      <formula>0</formula>
    </cfRule>
  </conditionalFormatting>
  <conditionalFormatting sqref="K15">
    <cfRule type="cellIs" dxfId="71" priority="65" operator="equal">
      <formula>0</formula>
    </cfRule>
  </conditionalFormatting>
  <conditionalFormatting sqref="K14">
    <cfRule type="cellIs" dxfId="70" priority="64" operator="equal">
      <formula>0</formula>
    </cfRule>
  </conditionalFormatting>
  <conditionalFormatting sqref="L7:L8 L12 L3:L5">
    <cfRule type="cellIs" dxfId="69" priority="42" operator="equal">
      <formula>0</formula>
    </cfRule>
  </conditionalFormatting>
  <conditionalFormatting sqref="L6">
    <cfRule type="cellIs" dxfId="68" priority="41" operator="equal">
      <formula>0</formula>
    </cfRule>
  </conditionalFormatting>
  <conditionalFormatting sqref="L13">
    <cfRule type="cellIs" dxfId="67" priority="34" operator="equal">
      <formula>0</formula>
    </cfRule>
  </conditionalFormatting>
  <conditionalFormatting sqref="L9">
    <cfRule type="cellIs" dxfId="66" priority="39" operator="equal">
      <formula>0</formula>
    </cfRule>
  </conditionalFormatting>
  <conditionalFormatting sqref="L11">
    <cfRule type="cellIs" dxfId="65" priority="38" operator="equal">
      <formula>0</formula>
    </cfRule>
  </conditionalFormatting>
  <conditionalFormatting sqref="L16">
    <cfRule type="cellIs" dxfId="64" priority="36" operator="equal">
      <formula>0</formula>
    </cfRule>
  </conditionalFormatting>
  <conditionalFormatting sqref="F9">
    <cfRule type="cellIs" dxfId="63" priority="18" operator="equal">
      <formula>0</formula>
    </cfRule>
  </conditionalFormatting>
  <conditionalFormatting sqref="F11">
    <cfRule type="cellIs" dxfId="62" priority="17" operator="equal">
      <formula>0</formula>
    </cfRule>
  </conditionalFormatting>
  <conditionalFormatting sqref="F4">
    <cfRule type="cellIs" dxfId="61" priority="11" operator="equal">
      <formula>0</formula>
    </cfRule>
  </conditionalFormatting>
  <conditionalFormatting sqref="F7">
    <cfRule type="cellIs" dxfId="60" priority="15" operator="equal">
      <formula>0</formula>
    </cfRule>
  </conditionalFormatting>
  <conditionalFormatting sqref="F8">
    <cfRule type="cellIs" dxfId="59" priority="14" operator="equal">
      <formula>0</formula>
    </cfRule>
  </conditionalFormatting>
  <conditionalFormatting sqref="F3">
    <cfRule type="cellIs" dxfId="58" priority="16" operator="equal">
      <formula>0</formula>
    </cfRule>
  </conditionalFormatting>
  <conditionalFormatting sqref="F13">
    <cfRule type="cellIs" dxfId="57" priority="13" operator="equal">
      <formula>0</formula>
    </cfRule>
  </conditionalFormatting>
  <conditionalFormatting sqref="F10">
    <cfRule type="cellIs" dxfId="56" priority="12" operator="equal">
      <formula>0</formula>
    </cfRule>
  </conditionalFormatting>
  <conditionalFormatting sqref="F6">
    <cfRule type="cellIs" dxfId="55" priority="10" operator="equal">
      <formula>0</formula>
    </cfRule>
  </conditionalFormatting>
  <conditionalFormatting sqref="F5">
    <cfRule type="cellIs" dxfId="54" priority="9" operator="equal">
      <formula>0</formula>
    </cfRule>
  </conditionalFormatting>
  <conditionalFormatting sqref="F14">
    <cfRule type="cellIs" dxfId="53" priority="8" operator="equal">
      <formula>0</formula>
    </cfRule>
  </conditionalFormatting>
  <conditionalFormatting sqref="F16">
    <cfRule type="cellIs" dxfId="52" priority="7" operator="equal">
      <formula>0</formula>
    </cfRule>
  </conditionalFormatting>
  <conditionalFormatting sqref="F15">
    <cfRule type="cellIs" dxfId="51" priority="6" operator="equal">
      <formula>0</formula>
    </cfRule>
  </conditionalFormatting>
  <conditionalFormatting sqref="F12">
    <cfRule type="cellIs" dxfId="50" priority="5" operator="equal">
      <formula>0</formula>
    </cfRule>
  </conditionalFormatting>
  <conditionalFormatting sqref="F17">
    <cfRule type="cellIs" dxfId="49" priority="4" operator="equal">
      <formula>0</formula>
    </cfRule>
  </conditionalFormatting>
  <conditionalFormatting sqref="L14">
    <cfRule type="cellIs" dxfId="48" priority="3" operator="equal">
      <formula>0</formula>
    </cfRule>
  </conditionalFormatting>
  <conditionalFormatting sqref="L10">
    <cfRule type="cellIs" dxfId="47" priority="2" operator="equal">
      <formula>0</formula>
    </cfRule>
  </conditionalFormatting>
  <conditionalFormatting sqref="L15">
    <cfRule type="cellIs" dxfId="46"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207647D9-49E1-434A-B8E3-C23DF863A8C2}">
          <x14:formula1>
            <xm:f>Config!$B$3:$O$3</xm:f>
          </x14:formula1>
          <xm:sqref>C1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4B2788-4662-4A0A-8444-9AD340F5FC4E}">
  <sheetPr codeName="Sheet10"/>
  <dimension ref="A1:R129"/>
  <sheetViews>
    <sheetView topLeftCell="C94" zoomScale="85" zoomScaleNormal="85" workbookViewId="0">
      <selection activeCell="F108" sqref="F108"/>
    </sheetView>
  </sheetViews>
  <sheetFormatPr defaultColWidth="9.109375" defaultRowHeight="14.4" x14ac:dyDescent="0.3"/>
  <cols>
    <col min="1" max="1" width="16.44140625" style="15" customWidth="1"/>
    <col min="2" max="2" width="84.6640625" style="15" customWidth="1"/>
    <col min="3" max="3" width="14" style="15" customWidth="1"/>
    <col min="4" max="4" width="12.6640625" style="15" customWidth="1"/>
    <col min="5" max="5" width="21.44140625" style="249" customWidth="1"/>
    <col min="6" max="6" width="28.109375" style="15" customWidth="1"/>
    <col min="7" max="7" width="17.5546875" style="15" customWidth="1"/>
    <col min="8" max="8" width="34.6640625" style="196" customWidth="1"/>
    <col min="9" max="9" width="10" style="196" customWidth="1"/>
    <col min="10" max="10" width="12.21875" style="197" customWidth="1"/>
    <col min="11" max="11" width="4.44140625" style="197" customWidth="1"/>
    <col min="12" max="12" width="18.88671875" style="15" customWidth="1"/>
    <col min="13" max="13" width="9.21875" style="15" customWidth="1"/>
    <col min="14" max="14" width="7.21875" style="15" customWidth="1"/>
    <col min="15" max="15" width="44.5546875" style="15" customWidth="1"/>
    <col min="16" max="18" width="9" style="15" bestFit="1" customWidth="1"/>
    <col min="19" max="19" width="20" style="15" customWidth="1"/>
    <col min="20" max="16384" width="9.109375" style="15"/>
  </cols>
  <sheetData>
    <row r="1" spans="1:18" ht="20.25" customHeight="1" x14ac:dyDescent="0.3">
      <c r="A1" s="1" t="s">
        <v>57</v>
      </c>
      <c r="B1" s="1" t="s">
        <v>58</v>
      </c>
      <c r="C1" s="204" t="s">
        <v>382</v>
      </c>
      <c r="D1" s="204" t="s">
        <v>383</v>
      </c>
      <c r="E1" s="204" t="s">
        <v>1160</v>
      </c>
      <c r="F1" s="204" t="s">
        <v>59</v>
      </c>
      <c r="G1" s="204" t="s">
        <v>60</v>
      </c>
      <c r="H1" s="205" t="s">
        <v>1125</v>
      </c>
      <c r="I1" s="205" t="s">
        <v>1126</v>
      </c>
      <c r="J1" s="205" t="s">
        <v>372</v>
      </c>
      <c r="K1" s="205" t="s">
        <v>386</v>
      </c>
      <c r="L1" s="204" t="s">
        <v>61</v>
      </c>
      <c r="M1" s="204" t="s">
        <v>62</v>
      </c>
      <c r="N1" s="204" t="s">
        <v>675</v>
      </c>
      <c r="O1" s="204" t="s">
        <v>423</v>
      </c>
      <c r="P1" s="204" t="s">
        <v>608</v>
      </c>
      <c r="Q1" s="204" t="s">
        <v>609</v>
      </c>
      <c r="R1" s="204" t="s">
        <v>610</v>
      </c>
    </row>
    <row r="2" spans="1:18" ht="14.55" customHeight="1" x14ac:dyDescent="0.3">
      <c r="A2" s="368" t="s">
        <v>63</v>
      </c>
      <c r="B2" s="4" t="s">
        <v>612</v>
      </c>
      <c r="C2" s="206">
        <v>0</v>
      </c>
      <c r="D2" s="206">
        <v>1</v>
      </c>
      <c r="E2" s="207" t="s">
        <v>64</v>
      </c>
      <c r="F2" s="207" t="s">
        <v>64</v>
      </c>
      <c r="G2" s="208" t="s">
        <v>65</v>
      </c>
      <c r="H2" s="209" t="s">
        <v>889</v>
      </c>
      <c r="I2" s="209">
        <v>0</v>
      </c>
      <c r="J2" s="209" t="s">
        <v>978</v>
      </c>
      <c r="K2" s="209">
        <v>1</v>
      </c>
      <c r="L2" s="210" t="s">
        <v>17</v>
      </c>
      <c r="M2" s="207" t="s">
        <v>66</v>
      </c>
      <c r="N2" s="207" t="s">
        <v>676</v>
      </c>
      <c r="O2" s="228" t="s">
        <v>424</v>
      </c>
      <c r="P2" s="211">
        <f t="shared" ref="P2:R3" si="0">IF($B2="N/A", "N/A", 1)</f>
        <v>1</v>
      </c>
      <c r="Q2" s="211">
        <f t="shared" si="0"/>
        <v>1</v>
      </c>
      <c r="R2" s="211">
        <f t="shared" si="0"/>
        <v>1</v>
      </c>
    </row>
    <row r="3" spans="1:18" ht="14.55" customHeight="1" x14ac:dyDescent="0.3">
      <c r="A3" s="368"/>
      <c r="B3" s="4" t="s">
        <v>612</v>
      </c>
      <c r="C3" s="206">
        <v>1</v>
      </c>
      <c r="D3" s="206">
        <v>1</v>
      </c>
      <c r="E3" s="207" t="s">
        <v>67</v>
      </c>
      <c r="F3" s="207" t="s">
        <v>67</v>
      </c>
      <c r="G3" s="208" t="s">
        <v>68</v>
      </c>
      <c r="H3" s="209" t="s">
        <v>890</v>
      </c>
      <c r="I3" s="209">
        <v>0</v>
      </c>
      <c r="J3" s="209" t="s">
        <v>979</v>
      </c>
      <c r="K3" s="209">
        <v>1</v>
      </c>
      <c r="L3" s="210" t="s">
        <v>17</v>
      </c>
      <c r="M3" s="207" t="s">
        <v>69</v>
      </c>
      <c r="N3" s="207" t="s">
        <v>677</v>
      </c>
      <c r="O3" s="228" t="s">
        <v>425</v>
      </c>
      <c r="P3" s="211">
        <f t="shared" si="0"/>
        <v>1</v>
      </c>
      <c r="Q3" s="211">
        <f t="shared" si="0"/>
        <v>1</v>
      </c>
      <c r="R3" s="211">
        <f t="shared" si="0"/>
        <v>1</v>
      </c>
    </row>
    <row r="4" spans="1:18" ht="14.55" customHeight="1" x14ac:dyDescent="0.3">
      <c r="A4" s="368"/>
      <c r="B4" s="16" t="s">
        <v>70</v>
      </c>
      <c r="C4" s="206">
        <v>2</v>
      </c>
      <c r="D4" s="206">
        <v>1</v>
      </c>
      <c r="E4" s="207" t="s">
        <v>71</v>
      </c>
      <c r="F4" s="207" t="s">
        <v>71</v>
      </c>
      <c r="G4" s="207" t="s">
        <v>72</v>
      </c>
      <c r="H4" s="209" t="s">
        <v>891</v>
      </c>
      <c r="I4" s="209">
        <v>0</v>
      </c>
      <c r="J4" s="209" t="s">
        <v>980</v>
      </c>
      <c r="K4" s="209">
        <v>0</v>
      </c>
      <c r="L4" s="210" t="s">
        <v>17</v>
      </c>
      <c r="M4" s="207" t="s">
        <v>66</v>
      </c>
      <c r="N4" s="207" t="s">
        <v>678</v>
      </c>
      <c r="O4" s="207" t="s">
        <v>426</v>
      </c>
      <c r="P4" s="210">
        <f ca="1">IF($B4="N/A","N/A",IF(0=VLOOKUP($B4,INDIRECT(Config!$B$1),HLOOKUP(P$1,INDIRECT(Config!$E$1),2,FALSE),FALSE),1,0))</f>
        <v>1</v>
      </c>
      <c r="Q4" s="210">
        <f ca="1">IF($B4="N/A","N/A",IF(0=VLOOKUP($B4,INDIRECT(Config!$B$1),HLOOKUP(Q$1,INDIRECT(Config!$E$1),2,FALSE),FALSE),1,0))</f>
        <v>0</v>
      </c>
      <c r="R4" s="210">
        <f ca="1">IF($B4="N/A","N/A",IF(0=VLOOKUP($B4,INDIRECT(Config!$B$1),HLOOKUP(R$1,INDIRECT(Config!$E$1),2,FALSE),FALSE),1,0))</f>
        <v>1</v>
      </c>
    </row>
    <row r="5" spans="1:18" ht="14.55" customHeight="1" x14ac:dyDescent="0.3">
      <c r="A5" s="368"/>
      <c r="B5" s="4" t="s">
        <v>612</v>
      </c>
      <c r="C5" s="206">
        <v>3</v>
      </c>
      <c r="D5" s="206">
        <v>1</v>
      </c>
      <c r="E5" s="207" t="s">
        <v>73</v>
      </c>
      <c r="F5" s="207" t="s">
        <v>73</v>
      </c>
      <c r="G5" s="208" t="s">
        <v>74</v>
      </c>
      <c r="H5" s="209" t="s">
        <v>892</v>
      </c>
      <c r="I5" s="209">
        <v>0</v>
      </c>
      <c r="J5" s="209" t="s">
        <v>981</v>
      </c>
      <c r="K5" s="209">
        <v>0</v>
      </c>
      <c r="L5" s="210" t="s">
        <v>17</v>
      </c>
      <c r="M5" s="207" t="s">
        <v>66</v>
      </c>
      <c r="N5" s="207" t="s">
        <v>679</v>
      </c>
      <c r="O5" s="207" t="s">
        <v>427</v>
      </c>
      <c r="P5" s="211">
        <f>IF($B5="N/A", "N/A", 1)</f>
        <v>1</v>
      </c>
      <c r="Q5" s="211">
        <f>IF($B5="N/A", "N/A", 1)</f>
        <v>1</v>
      </c>
      <c r="R5" s="211">
        <f>IF($B5="N/A", "N/A", 1)</f>
        <v>1</v>
      </c>
    </row>
    <row r="6" spans="1:18" ht="14.55" customHeight="1" x14ac:dyDescent="0.3">
      <c r="A6" s="368"/>
      <c r="B6" s="7" t="s">
        <v>75</v>
      </c>
      <c r="C6" s="206">
        <v>4</v>
      </c>
      <c r="D6" s="206">
        <v>1</v>
      </c>
      <c r="E6" s="207" t="s">
        <v>77</v>
      </c>
      <c r="F6" s="206" t="s">
        <v>76</v>
      </c>
      <c r="G6" s="207" t="s">
        <v>77</v>
      </c>
      <c r="H6" s="209" t="s">
        <v>893</v>
      </c>
      <c r="I6" s="209">
        <v>0</v>
      </c>
      <c r="J6" s="209" t="s">
        <v>982</v>
      </c>
      <c r="K6" s="209">
        <v>0</v>
      </c>
      <c r="L6" s="210" t="s">
        <v>17</v>
      </c>
      <c r="M6" s="207" t="s">
        <v>78</v>
      </c>
      <c r="N6" s="207" t="s">
        <v>680</v>
      </c>
      <c r="O6" s="207" t="s">
        <v>428</v>
      </c>
      <c r="P6" s="210">
        <f ca="1">IF($B6="N/A", "N/A", VLOOKUP($B6, INDIRECT(Config!$B$1), HLOOKUP(P$1, INDIRECT(Config!$E$1), 2, FALSE),FALSE))</f>
        <v>1</v>
      </c>
      <c r="Q6" s="210">
        <f ca="1">IF($B6="N/A", "N/A", VLOOKUP($B6, INDIRECT(Config!$B$1), HLOOKUP(Q$1, INDIRECT(Config!$E$1), 2, FALSE),FALSE))</f>
        <v>0</v>
      </c>
      <c r="R6" s="210">
        <f ca="1">IF($B6="N/A", "N/A", VLOOKUP($B6, INDIRECT(Config!$B$1), HLOOKUP(R$1, INDIRECT(Config!$E$1), 2, FALSE),FALSE))</f>
        <v>0</v>
      </c>
    </row>
    <row r="7" spans="1:18" ht="14.55" customHeight="1" x14ac:dyDescent="0.3">
      <c r="A7" s="368"/>
      <c r="B7" s="7" t="s">
        <v>75</v>
      </c>
      <c r="C7" s="206">
        <v>5</v>
      </c>
      <c r="D7" s="206">
        <v>1</v>
      </c>
      <c r="E7" s="207" t="s">
        <v>80</v>
      </c>
      <c r="F7" s="206" t="s">
        <v>79</v>
      </c>
      <c r="G7" s="207" t="s">
        <v>80</v>
      </c>
      <c r="H7" s="209" t="s">
        <v>894</v>
      </c>
      <c r="I7" s="209">
        <v>0</v>
      </c>
      <c r="J7" s="209" t="s">
        <v>983</v>
      </c>
      <c r="K7" s="209">
        <v>0</v>
      </c>
      <c r="L7" s="210" t="s">
        <v>17</v>
      </c>
      <c r="M7" s="207" t="s">
        <v>78</v>
      </c>
      <c r="N7" s="207" t="s">
        <v>681</v>
      </c>
      <c r="O7" s="207" t="s">
        <v>429</v>
      </c>
      <c r="P7" s="210">
        <f ca="1">IF($B7="N/A", "N/A", VLOOKUP($B7, INDIRECT(Config!$B$1), HLOOKUP(P$1, INDIRECT(Config!$E$1), 2, FALSE),FALSE))</f>
        <v>1</v>
      </c>
      <c r="Q7" s="210">
        <f ca="1">IF($B7="N/A", "N/A", VLOOKUP($B7, INDIRECT(Config!$B$1), HLOOKUP(Q$1, INDIRECT(Config!$E$1), 2, FALSE),FALSE))</f>
        <v>0</v>
      </c>
      <c r="R7" s="210">
        <f ca="1">IF($B7="N/A", "N/A", VLOOKUP($B7, INDIRECT(Config!$B$1), HLOOKUP(R$1, INDIRECT(Config!$E$1), 2, FALSE),FALSE))</f>
        <v>0</v>
      </c>
    </row>
    <row r="8" spans="1:18" ht="14.55" customHeight="1" x14ac:dyDescent="0.3">
      <c r="A8" s="368"/>
      <c r="B8" s="4" t="s">
        <v>612</v>
      </c>
      <c r="C8" s="206">
        <v>6</v>
      </c>
      <c r="D8" s="206">
        <v>1</v>
      </c>
      <c r="E8" s="207" t="s">
        <v>81</v>
      </c>
      <c r="F8" s="207" t="s">
        <v>81</v>
      </c>
      <c r="G8" s="208" t="s">
        <v>82</v>
      </c>
      <c r="H8" s="209" t="s">
        <v>895</v>
      </c>
      <c r="I8" s="209">
        <v>0</v>
      </c>
      <c r="J8" s="209" t="s">
        <v>984</v>
      </c>
      <c r="K8" s="209">
        <v>0</v>
      </c>
      <c r="L8" s="210" t="s">
        <v>17</v>
      </c>
      <c r="M8" s="207" t="s">
        <v>66</v>
      </c>
      <c r="N8" s="207" t="s">
        <v>682</v>
      </c>
      <c r="O8" s="207" t="s">
        <v>430</v>
      </c>
      <c r="P8" s="211">
        <f t="shared" ref="P8:R10" si="1">IF($B8="N/A", "N/A", 1)</f>
        <v>1</v>
      </c>
      <c r="Q8" s="211">
        <f t="shared" si="1"/>
        <v>1</v>
      </c>
      <c r="R8" s="211">
        <f t="shared" si="1"/>
        <v>1</v>
      </c>
    </row>
    <row r="9" spans="1:18" ht="14.55" customHeight="1" x14ac:dyDescent="0.3">
      <c r="A9" s="368"/>
      <c r="B9" s="4" t="s">
        <v>612</v>
      </c>
      <c r="C9" s="206">
        <v>7</v>
      </c>
      <c r="D9" s="206">
        <v>1</v>
      </c>
      <c r="E9" s="207" t="s">
        <v>83</v>
      </c>
      <c r="F9" s="207" t="s">
        <v>83</v>
      </c>
      <c r="G9" s="208" t="s">
        <v>84</v>
      </c>
      <c r="H9" s="209" t="s">
        <v>896</v>
      </c>
      <c r="I9" s="209">
        <v>1</v>
      </c>
      <c r="J9" s="209" t="s">
        <v>985</v>
      </c>
      <c r="K9" s="209">
        <v>1</v>
      </c>
      <c r="L9" s="210" t="s">
        <v>17</v>
      </c>
      <c r="M9" s="207" t="s">
        <v>66</v>
      </c>
      <c r="N9" s="207" t="s">
        <v>683</v>
      </c>
      <c r="O9" s="207" t="s">
        <v>431</v>
      </c>
      <c r="P9" s="211">
        <f t="shared" si="1"/>
        <v>1</v>
      </c>
      <c r="Q9" s="211">
        <f t="shared" si="1"/>
        <v>1</v>
      </c>
      <c r="R9" s="211">
        <f t="shared" si="1"/>
        <v>1</v>
      </c>
    </row>
    <row r="10" spans="1:18" ht="14.55" customHeight="1" x14ac:dyDescent="0.3">
      <c r="A10" s="368"/>
      <c r="B10" s="4" t="s">
        <v>612</v>
      </c>
      <c r="C10" s="206">
        <v>8</v>
      </c>
      <c r="D10" s="206">
        <v>1</v>
      </c>
      <c r="E10" s="207" t="s">
        <v>85</v>
      </c>
      <c r="F10" s="207" t="s">
        <v>85</v>
      </c>
      <c r="G10" s="208" t="s">
        <v>86</v>
      </c>
      <c r="H10" s="209" t="s">
        <v>897</v>
      </c>
      <c r="I10" s="209">
        <v>0</v>
      </c>
      <c r="J10" s="209" t="s">
        <v>986</v>
      </c>
      <c r="K10" s="209">
        <v>0</v>
      </c>
      <c r="L10" s="212" t="s">
        <v>17</v>
      </c>
      <c r="M10" s="207" t="s">
        <v>87</v>
      </c>
      <c r="N10" s="207" t="s">
        <v>684</v>
      </c>
      <c r="O10" s="207" t="s">
        <v>432</v>
      </c>
      <c r="P10" s="211">
        <f t="shared" si="1"/>
        <v>1</v>
      </c>
      <c r="Q10" s="211">
        <f t="shared" si="1"/>
        <v>1</v>
      </c>
      <c r="R10" s="211">
        <f t="shared" si="1"/>
        <v>1</v>
      </c>
    </row>
    <row r="11" spans="1:18" ht="14.55" customHeight="1" x14ac:dyDescent="0.3">
      <c r="A11" s="368"/>
      <c r="B11" s="3" t="s">
        <v>808</v>
      </c>
      <c r="C11" s="210">
        <v>9</v>
      </c>
      <c r="D11" s="210">
        <v>1</v>
      </c>
      <c r="E11" s="207" t="s">
        <v>88</v>
      </c>
      <c r="F11" s="210" t="s">
        <v>810</v>
      </c>
      <c r="G11" s="210" t="s">
        <v>88</v>
      </c>
      <c r="H11" s="209" t="s">
        <v>898</v>
      </c>
      <c r="I11" s="209">
        <v>0</v>
      </c>
      <c r="J11" s="209" t="s">
        <v>987</v>
      </c>
      <c r="K11" s="209">
        <v>0</v>
      </c>
      <c r="L11" s="212" t="s">
        <v>17</v>
      </c>
      <c r="M11" s="207" t="s">
        <v>87</v>
      </c>
      <c r="N11" s="213" t="s">
        <v>812</v>
      </c>
      <c r="O11" s="213" t="s">
        <v>811</v>
      </c>
      <c r="P11" s="210">
        <f ca="1">IF($B11="N/A", "N/A", VLOOKUP($B11, INDIRECT(Config!$B$1), HLOOKUP(P$1, INDIRECT(Config!$E$1), 2, FALSE),FALSE))</f>
        <v>1</v>
      </c>
      <c r="Q11" s="210">
        <f ca="1">IF($B11="N/A", "N/A", VLOOKUP($B11, INDIRECT(Config!$B$1), HLOOKUP(Q$1, INDIRECT(Config!$E$1), 2, FALSE),FALSE))</f>
        <v>1</v>
      </c>
      <c r="R11" s="210">
        <f ca="1">IF($B11="N/A", "N/A", VLOOKUP($B11, INDIRECT(Config!$B$1), HLOOKUP(R$1, INDIRECT(Config!$E$1), 2, FALSE),FALSE))</f>
        <v>0</v>
      </c>
    </row>
    <row r="12" spans="1:18" ht="14.55" customHeight="1" x14ac:dyDescent="0.3">
      <c r="A12" s="368"/>
      <c r="B12" s="16" t="s">
        <v>646</v>
      </c>
      <c r="C12" s="206">
        <v>10</v>
      </c>
      <c r="D12" s="206">
        <v>1</v>
      </c>
      <c r="E12" s="207" t="s">
        <v>90</v>
      </c>
      <c r="F12" s="207" t="s">
        <v>89</v>
      </c>
      <c r="G12" s="207" t="s">
        <v>90</v>
      </c>
      <c r="H12" s="209" t="s">
        <v>899</v>
      </c>
      <c r="I12" s="209">
        <v>1</v>
      </c>
      <c r="J12" s="209" t="s">
        <v>988</v>
      </c>
      <c r="K12" s="209">
        <v>0</v>
      </c>
      <c r="L12" s="212" t="s">
        <v>17</v>
      </c>
      <c r="M12" s="207" t="s">
        <v>87</v>
      </c>
      <c r="N12" s="207" t="s">
        <v>685</v>
      </c>
      <c r="O12" s="207" t="s">
        <v>433</v>
      </c>
      <c r="P12" s="210">
        <f ca="1">IF($B12="N/A", "N/A", VLOOKUP($B12, INDIRECT(Config!$B$1), HLOOKUP(P$1, INDIRECT(Config!$E$1), 2, FALSE),FALSE))</f>
        <v>1</v>
      </c>
      <c r="Q12" s="210">
        <f ca="1">IF($B12="N/A", "N/A", VLOOKUP($B12, INDIRECT(Config!$B$1), HLOOKUP(Q$1, INDIRECT(Config!$E$1), 2, FALSE),FALSE))</f>
        <v>0</v>
      </c>
      <c r="R12" s="210">
        <f ca="1">IF($B12="N/A", "N/A", VLOOKUP($B12, INDIRECT(Config!$B$1), HLOOKUP(R$1, INDIRECT(Config!$E$1), 2, FALSE),FALSE))</f>
        <v>0</v>
      </c>
    </row>
    <row r="13" spans="1:18" ht="14.55" customHeight="1" x14ac:dyDescent="0.3">
      <c r="A13" s="368"/>
      <c r="B13" s="16" t="s">
        <v>91</v>
      </c>
      <c r="C13" s="206">
        <v>11</v>
      </c>
      <c r="D13" s="206">
        <v>1</v>
      </c>
      <c r="E13" s="207" t="s">
        <v>93</v>
      </c>
      <c r="F13" s="207" t="s">
        <v>92</v>
      </c>
      <c r="G13" s="207" t="s">
        <v>93</v>
      </c>
      <c r="H13" s="209" t="s">
        <v>900</v>
      </c>
      <c r="I13" s="209">
        <v>0</v>
      </c>
      <c r="J13" s="209" t="s">
        <v>989</v>
      </c>
      <c r="K13" s="209">
        <v>0</v>
      </c>
      <c r="L13" s="212" t="s">
        <v>17</v>
      </c>
      <c r="M13" s="207" t="s">
        <v>87</v>
      </c>
      <c r="N13" s="207" t="s">
        <v>686</v>
      </c>
      <c r="O13" s="207" t="s">
        <v>434</v>
      </c>
      <c r="P13" s="210">
        <f ca="1">IF($B13="N/A", "N/A", VLOOKUP($B13, INDIRECT(Config!$B$1), HLOOKUP(P$1, INDIRECT(Config!$E$1), 2, FALSE),FALSE))</f>
        <v>0</v>
      </c>
      <c r="Q13" s="210">
        <f ca="1">IF($B13="N/A", "N/A", VLOOKUP($B13, INDIRECT(Config!$B$1), HLOOKUP(Q$1, INDIRECT(Config!$E$1), 2, FALSE),FALSE))</f>
        <v>0</v>
      </c>
      <c r="R13" s="210">
        <f ca="1">IF($B13="N/A", "N/A", VLOOKUP($B13, INDIRECT(Config!$B$1), HLOOKUP(R$1, INDIRECT(Config!$E$1), 2, FALSE),FALSE))</f>
        <v>0</v>
      </c>
    </row>
    <row r="14" spans="1:18" ht="14.55" customHeight="1" x14ac:dyDescent="0.3">
      <c r="A14" s="368"/>
      <c r="B14" s="16" t="s">
        <v>648</v>
      </c>
      <c r="C14" s="206">
        <v>12</v>
      </c>
      <c r="D14" s="206">
        <v>1</v>
      </c>
      <c r="E14" s="207" t="s">
        <v>95</v>
      </c>
      <c r="F14" s="207" t="s">
        <v>94</v>
      </c>
      <c r="G14" s="207" t="s">
        <v>95</v>
      </c>
      <c r="H14" s="209" t="s">
        <v>901</v>
      </c>
      <c r="I14" s="209">
        <v>1</v>
      </c>
      <c r="J14" s="209" t="s">
        <v>990</v>
      </c>
      <c r="K14" s="209">
        <v>1</v>
      </c>
      <c r="L14" s="212" t="s">
        <v>17</v>
      </c>
      <c r="M14" s="207" t="s">
        <v>87</v>
      </c>
      <c r="N14" s="207" t="s">
        <v>687</v>
      </c>
      <c r="O14" s="207" t="s">
        <v>435</v>
      </c>
      <c r="P14" s="210">
        <f ca="1">IF($B14="N/A", "N/A", VLOOKUP($B14, INDIRECT(Config!$B$1), HLOOKUP(P$1, INDIRECT(Config!$E$1), 2, FALSE),FALSE))</f>
        <v>1</v>
      </c>
      <c r="Q14" s="210">
        <f ca="1">IF($B14="N/A", "N/A", VLOOKUP($B14, INDIRECT(Config!$B$1), HLOOKUP(Q$1, INDIRECT(Config!$E$1), 2, FALSE),FALSE))</f>
        <v>0</v>
      </c>
      <c r="R14" s="210">
        <f ca="1">IF($B14="N/A", "N/A", VLOOKUP($B14, INDIRECT(Config!$B$1), HLOOKUP(R$1, INDIRECT(Config!$E$1), 2, FALSE),FALSE))</f>
        <v>0</v>
      </c>
    </row>
    <row r="15" spans="1:18" ht="14.55" customHeight="1" x14ac:dyDescent="0.3">
      <c r="A15" s="368"/>
      <c r="B15" s="16" t="s">
        <v>172</v>
      </c>
      <c r="C15" s="206">
        <v>13</v>
      </c>
      <c r="D15" s="206">
        <v>1</v>
      </c>
      <c r="E15" s="207" t="s">
        <v>97</v>
      </c>
      <c r="F15" s="207" t="s">
        <v>96</v>
      </c>
      <c r="G15" s="207" t="s">
        <v>97</v>
      </c>
      <c r="H15" s="209" t="s">
        <v>902</v>
      </c>
      <c r="I15" s="209">
        <v>0</v>
      </c>
      <c r="J15" s="209" t="s">
        <v>991</v>
      </c>
      <c r="K15" s="209">
        <v>1</v>
      </c>
      <c r="L15" s="212" t="s">
        <v>17</v>
      </c>
      <c r="M15" s="207" t="s">
        <v>87</v>
      </c>
      <c r="N15" s="207" t="s">
        <v>688</v>
      </c>
      <c r="O15" s="207" t="s">
        <v>436</v>
      </c>
      <c r="P15" s="210">
        <f ca="1">IF($B15="N/A", "N/A", VLOOKUP($B15, INDIRECT(Config!$B$1), HLOOKUP(P$1, INDIRECT(Config!$E$1), 2, FALSE),FALSE))</f>
        <v>1</v>
      </c>
      <c r="Q15" s="210">
        <f ca="1">IF($B15="N/A", "N/A", VLOOKUP($B15, INDIRECT(Config!$B$1), HLOOKUP(Q$1, INDIRECT(Config!$E$1), 2, FALSE),FALSE))</f>
        <v>0</v>
      </c>
      <c r="R15" s="210">
        <f ca="1">IF($B15="N/A", "N/A", VLOOKUP($B15, INDIRECT(Config!$B$1), HLOOKUP(R$1, INDIRECT(Config!$E$1), 2, FALSE),FALSE))</f>
        <v>0</v>
      </c>
    </row>
    <row r="16" spans="1:18" ht="14.55" customHeight="1" x14ac:dyDescent="0.3">
      <c r="A16" s="368"/>
      <c r="B16" s="4" t="s">
        <v>612</v>
      </c>
      <c r="C16" s="206">
        <v>14</v>
      </c>
      <c r="D16" s="206">
        <v>1</v>
      </c>
      <c r="E16" s="207" t="s">
        <v>98</v>
      </c>
      <c r="F16" s="207" t="s">
        <v>98</v>
      </c>
      <c r="G16" s="208" t="s">
        <v>99</v>
      </c>
      <c r="H16" s="209" t="s">
        <v>903</v>
      </c>
      <c r="I16" s="209">
        <v>1</v>
      </c>
      <c r="J16" s="209" t="s">
        <v>992</v>
      </c>
      <c r="K16" s="209">
        <v>1</v>
      </c>
      <c r="L16" s="212" t="s">
        <v>17</v>
      </c>
      <c r="M16" s="206" t="s">
        <v>69</v>
      </c>
      <c r="N16" s="206" t="s">
        <v>689</v>
      </c>
      <c r="O16" s="206" t="s">
        <v>437</v>
      </c>
      <c r="P16" s="211">
        <f>IF($B16="N/A", "N/A", 1)</f>
        <v>1</v>
      </c>
      <c r="Q16" s="211">
        <f>IF($B16="N/A", "N/A", 1)</f>
        <v>1</v>
      </c>
      <c r="R16" s="211">
        <f>IF($B16="N/A", "N/A", 1)</f>
        <v>1</v>
      </c>
    </row>
    <row r="17" spans="1:18" ht="14.55" customHeight="1" x14ac:dyDescent="0.3">
      <c r="A17" s="368"/>
      <c r="B17" s="2" t="s">
        <v>100</v>
      </c>
      <c r="C17" s="208">
        <v>15</v>
      </c>
      <c r="D17" s="208">
        <v>1</v>
      </c>
      <c r="E17" s="207" t="s">
        <v>102</v>
      </c>
      <c r="F17" s="208" t="s">
        <v>101</v>
      </c>
      <c r="G17" s="207" t="s">
        <v>102</v>
      </c>
      <c r="H17" s="209" t="s">
        <v>904</v>
      </c>
      <c r="I17" s="209">
        <v>0</v>
      </c>
      <c r="J17" s="209" t="s">
        <v>993</v>
      </c>
      <c r="K17" s="209">
        <v>0</v>
      </c>
      <c r="L17" s="212" t="s">
        <v>17</v>
      </c>
      <c r="M17" s="206" t="s">
        <v>66</v>
      </c>
      <c r="N17" s="206" t="s">
        <v>690</v>
      </c>
      <c r="O17" s="206" t="s">
        <v>438</v>
      </c>
      <c r="P17" s="210">
        <f ca="1">IF($B17="N/A", "N/A", VLOOKUP($B17, INDIRECT(Config!$B$1), HLOOKUP(P$1, INDIRECT(Config!$E$1), 2, FALSE),FALSE))</f>
        <v>0</v>
      </c>
      <c r="Q17" s="210">
        <f ca="1">IF($B17="N/A", "N/A", VLOOKUP($B17, INDIRECT(Config!$B$1), HLOOKUP(Q$1, INDIRECT(Config!$E$1), 2, FALSE),FALSE))</f>
        <v>0</v>
      </c>
      <c r="R17" s="210">
        <f ca="1">IF($B17="N/A", "N/A", VLOOKUP($B17, INDIRECT(Config!$B$1), HLOOKUP(R$1, INDIRECT(Config!$E$1), 2, FALSE),FALSE))</f>
        <v>0</v>
      </c>
    </row>
    <row r="18" spans="1:18" ht="14.55" customHeight="1" x14ac:dyDescent="0.3">
      <c r="A18" s="368"/>
      <c r="B18" s="4" t="s">
        <v>612</v>
      </c>
      <c r="C18" s="206">
        <v>16</v>
      </c>
      <c r="D18" s="206">
        <v>1</v>
      </c>
      <c r="E18" s="207" t="s">
        <v>103</v>
      </c>
      <c r="F18" s="207" t="s">
        <v>103</v>
      </c>
      <c r="G18" s="208" t="s">
        <v>104</v>
      </c>
      <c r="H18" s="209" t="s">
        <v>905</v>
      </c>
      <c r="I18" s="209">
        <v>1</v>
      </c>
      <c r="J18" s="209" t="s">
        <v>994</v>
      </c>
      <c r="K18" s="209">
        <v>1</v>
      </c>
      <c r="L18" s="210"/>
      <c r="M18" s="206" t="s">
        <v>87</v>
      </c>
      <c r="N18" s="206" t="s">
        <v>691</v>
      </c>
      <c r="O18" s="206" t="s">
        <v>439</v>
      </c>
      <c r="P18" s="211">
        <f t="shared" ref="P18:R19" si="2">IF($B18="N/A", "N/A", 1)</f>
        <v>1</v>
      </c>
      <c r="Q18" s="211">
        <f t="shared" si="2"/>
        <v>1</v>
      </c>
      <c r="R18" s="211">
        <f t="shared" si="2"/>
        <v>1</v>
      </c>
    </row>
    <row r="19" spans="1:18" ht="14.55" customHeight="1" x14ac:dyDescent="0.3">
      <c r="A19" s="368"/>
      <c r="B19" s="4" t="s">
        <v>612</v>
      </c>
      <c r="C19" s="206">
        <v>17</v>
      </c>
      <c r="D19" s="206">
        <v>1</v>
      </c>
      <c r="E19" s="207" t="s">
        <v>105</v>
      </c>
      <c r="F19" s="207" t="s">
        <v>105</v>
      </c>
      <c r="G19" s="208" t="s">
        <v>106</v>
      </c>
      <c r="H19" s="209" t="s">
        <v>906</v>
      </c>
      <c r="I19" s="209">
        <v>1</v>
      </c>
      <c r="J19" s="209" t="s">
        <v>995</v>
      </c>
      <c r="K19" s="209">
        <v>1</v>
      </c>
      <c r="L19" s="210"/>
      <c r="M19" s="206" t="s">
        <v>87</v>
      </c>
      <c r="N19" s="206" t="s">
        <v>692</v>
      </c>
      <c r="O19" s="206" t="s">
        <v>440</v>
      </c>
      <c r="P19" s="211">
        <f t="shared" si="2"/>
        <v>1</v>
      </c>
      <c r="Q19" s="211">
        <f t="shared" si="2"/>
        <v>1</v>
      </c>
      <c r="R19" s="211">
        <f t="shared" si="2"/>
        <v>1</v>
      </c>
    </row>
    <row r="20" spans="1:18" ht="14.55" customHeight="1" x14ac:dyDescent="0.3">
      <c r="A20" s="368"/>
      <c r="B20" s="2" t="s">
        <v>100</v>
      </c>
      <c r="C20" s="208">
        <v>18</v>
      </c>
      <c r="D20" s="208">
        <v>5</v>
      </c>
      <c r="F20" s="250" t="s">
        <v>107</v>
      </c>
      <c r="G20" s="207" t="s">
        <v>1121</v>
      </c>
      <c r="H20" s="214" t="s">
        <v>1122</v>
      </c>
      <c r="I20" s="214">
        <v>3</v>
      </c>
      <c r="J20" s="214" t="s">
        <v>1123</v>
      </c>
      <c r="K20" s="214">
        <v>0</v>
      </c>
      <c r="L20" s="210"/>
      <c r="M20" s="206" t="s">
        <v>66</v>
      </c>
      <c r="N20" s="206" t="s">
        <v>693</v>
      </c>
      <c r="O20" s="206" t="s">
        <v>441</v>
      </c>
      <c r="P20" s="210">
        <f ca="1">IF($B20="N/A", "N/A", VLOOKUP($B20, INDIRECT(Config!$B$1), HLOOKUP(P$1, INDIRECT(Config!$E$1), 2, FALSE),FALSE))</f>
        <v>0</v>
      </c>
      <c r="Q20" s="210">
        <f ca="1">IF($B20="N/A", "N/A", VLOOKUP($B20, INDIRECT(Config!$B$1), HLOOKUP(Q$1, INDIRECT(Config!$E$1), 2, FALSE),FALSE))</f>
        <v>0</v>
      </c>
      <c r="R20" s="210">
        <f ca="1">IF($B20="N/A", "N/A", VLOOKUP($B20, INDIRECT(Config!$B$1), HLOOKUP(R$1, INDIRECT(Config!$E$1), 2, FALSE),FALSE))</f>
        <v>0</v>
      </c>
    </row>
    <row r="21" spans="1:18" ht="14.55" customHeight="1" x14ac:dyDescent="0.3">
      <c r="A21" s="368"/>
      <c r="B21" s="2" t="s">
        <v>108</v>
      </c>
      <c r="C21" s="208">
        <v>18</v>
      </c>
      <c r="D21" s="208">
        <v>1</v>
      </c>
      <c r="E21" s="207" t="s">
        <v>110</v>
      </c>
      <c r="F21" s="208" t="s">
        <v>109</v>
      </c>
      <c r="G21" s="207" t="s">
        <v>110</v>
      </c>
      <c r="H21" s="214" t="s">
        <v>907</v>
      </c>
      <c r="I21" s="214">
        <v>0</v>
      </c>
      <c r="J21" s="214" t="s">
        <v>996</v>
      </c>
      <c r="K21" s="214">
        <v>0</v>
      </c>
      <c r="L21" s="210"/>
      <c r="M21" s="206" t="s">
        <v>87</v>
      </c>
      <c r="N21" s="206" t="s">
        <v>773</v>
      </c>
      <c r="O21" s="206" t="s">
        <v>520</v>
      </c>
      <c r="P21" s="210">
        <f ca="1">IF(VLOOKUP("SAMSUNG_PUF_CONFIG_EN",  INDIRECT(Config!$B$1), HLOOKUP(P$1, INDIRECT(Config!$E$1), 2, FALSE),FALSE)=0, VLOOKUP("IFWI_LAYOUT_1_5_EN",  INDIRECT(Config!$B$1), HLOOKUP(P$1,  INDIRECT(Config!$E$1), 2, FALSE),FALSE), 0)</f>
        <v>0</v>
      </c>
      <c r="Q21" s="210">
        <f ca="1">IF(VLOOKUP("SAMSUNG_PUF_CONFIG_EN",  INDIRECT(Config!$B$1), HLOOKUP(Q$1, INDIRECT(Config!$E$1), 2, FALSE),FALSE)=0, VLOOKUP("IFWI_LAYOUT_1_5_EN",  INDIRECT(Config!$B$1), HLOOKUP(Q$1,  INDIRECT(Config!$E$1), 2, FALSE),FALSE), 0)</f>
        <v>0</v>
      </c>
      <c r="R21" s="210">
        <f ca="1">IF(VLOOKUP("SAMSUNG_PUF_CONFIG_EN",  INDIRECT(Config!$B$1), HLOOKUP(R$1, INDIRECT(Config!$E$1), 2, FALSE),FALSE)=0, VLOOKUP("IFWI_LAYOUT_1_5_EN",  INDIRECT(Config!$B$1), HLOOKUP(R$1,  INDIRECT(Config!$E$1), 2, FALSE),FALSE), 0)</f>
        <v>0</v>
      </c>
    </row>
    <row r="22" spans="1:18" ht="14.55" customHeight="1" x14ac:dyDescent="0.3">
      <c r="A22" s="368"/>
      <c r="B22" s="2" t="s">
        <v>108</v>
      </c>
      <c r="C22" s="208">
        <v>19</v>
      </c>
      <c r="D22" s="208">
        <v>1</v>
      </c>
      <c r="E22" s="207" t="s">
        <v>112</v>
      </c>
      <c r="F22" s="208" t="s">
        <v>111</v>
      </c>
      <c r="G22" s="207" t="s">
        <v>112</v>
      </c>
      <c r="H22" s="214" t="s">
        <v>908</v>
      </c>
      <c r="I22" s="214">
        <v>0</v>
      </c>
      <c r="J22" s="214" t="s">
        <v>997</v>
      </c>
      <c r="K22" s="214">
        <v>0</v>
      </c>
      <c r="L22" s="210"/>
      <c r="M22" s="206" t="s">
        <v>87</v>
      </c>
      <c r="N22" s="206" t="s">
        <v>774</v>
      </c>
      <c r="O22" s="206" t="s">
        <v>520</v>
      </c>
      <c r="P22" s="210">
        <f ca="1">IF(VLOOKUP("SAMSUNG_PUF_CONFIG_EN",  INDIRECT(Config!$B$1), HLOOKUP(P$1, INDIRECT(Config!$E$1), 2, FALSE),FALSE)=0, VLOOKUP("IFWI_LAYOUT_1_5_EN",  INDIRECT(Config!$B$1), HLOOKUP(P$1,  INDIRECT(Config!$E$1), 2, FALSE),FALSE), 0)</f>
        <v>0</v>
      </c>
      <c r="Q22" s="210">
        <f ca="1">IF(VLOOKUP("SAMSUNG_PUF_CONFIG_EN",  INDIRECT(Config!$B$1), HLOOKUP(Q$1, INDIRECT(Config!$E$1), 2, FALSE),FALSE)=0, VLOOKUP("IFWI_LAYOUT_1_5_EN",  INDIRECT(Config!$B$1), HLOOKUP(Q$1,  INDIRECT(Config!$E$1), 2, FALSE),FALSE), 0)</f>
        <v>0</v>
      </c>
      <c r="R22" s="210">
        <f ca="1">IF(VLOOKUP("SAMSUNG_PUF_CONFIG_EN",  INDIRECT(Config!$B$1), HLOOKUP(R$1, INDIRECT(Config!$E$1), 2, FALSE),FALSE)=0, VLOOKUP("IFWI_LAYOUT_1_5_EN",  INDIRECT(Config!$B$1), HLOOKUP(R$1,  INDIRECT(Config!$E$1), 2, FALSE),FALSE), 0)</f>
        <v>0</v>
      </c>
    </row>
    <row r="23" spans="1:18" ht="14.55" customHeight="1" x14ac:dyDescent="0.3">
      <c r="A23" s="368"/>
      <c r="B23" s="2" t="s">
        <v>108</v>
      </c>
      <c r="C23" s="208">
        <v>20</v>
      </c>
      <c r="D23" s="208">
        <v>1</v>
      </c>
      <c r="E23" s="207" t="s">
        <v>114</v>
      </c>
      <c r="F23" s="208" t="s">
        <v>113</v>
      </c>
      <c r="G23" s="207" t="s">
        <v>114</v>
      </c>
      <c r="H23" s="214" t="s">
        <v>909</v>
      </c>
      <c r="I23" s="214">
        <v>0</v>
      </c>
      <c r="J23" s="214" t="s">
        <v>998</v>
      </c>
      <c r="K23" s="214">
        <v>0</v>
      </c>
      <c r="L23" s="210"/>
      <c r="M23" s="206" t="s">
        <v>87</v>
      </c>
      <c r="N23" s="206" t="s">
        <v>775</v>
      </c>
      <c r="O23" s="206" t="s">
        <v>520</v>
      </c>
      <c r="P23" s="210">
        <f ca="1">IF(VLOOKUP("SAMSUNG_PUF_CONFIG_EN",  INDIRECT(Config!$B$1), HLOOKUP(P$1, INDIRECT(Config!$E$1), 2, FALSE),FALSE)=0, VLOOKUP("IFWI_LAYOUT_1_5_EN",  INDIRECT(Config!$B$1), HLOOKUP(P$1,  INDIRECT(Config!$E$1), 2, FALSE),FALSE), 0)</f>
        <v>0</v>
      </c>
      <c r="Q23" s="210">
        <f ca="1">IF(VLOOKUP("SAMSUNG_PUF_CONFIG_EN",  INDIRECT(Config!$B$1), HLOOKUP(Q$1, INDIRECT(Config!$E$1), 2, FALSE),FALSE)=0, VLOOKUP("IFWI_LAYOUT_1_5_EN",  INDIRECT(Config!$B$1), HLOOKUP(Q$1,  INDIRECT(Config!$E$1), 2, FALSE),FALSE), 0)</f>
        <v>0</v>
      </c>
      <c r="R23" s="210">
        <f ca="1">IF(VLOOKUP("SAMSUNG_PUF_CONFIG_EN",  INDIRECT(Config!$B$1), HLOOKUP(R$1, INDIRECT(Config!$E$1), 2, FALSE),FALSE)=0, VLOOKUP("IFWI_LAYOUT_1_5_EN",  INDIRECT(Config!$B$1), HLOOKUP(R$1,  INDIRECT(Config!$E$1), 2, FALSE),FALSE), 0)</f>
        <v>0</v>
      </c>
    </row>
    <row r="24" spans="1:18" ht="14.55" customHeight="1" x14ac:dyDescent="0.3">
      <c r="A24" s="368"/>
      <c r="B24" s="2" t="s">
        <v>108</v>
      </c>
      <c r="C24" s="208">
        <v>21</v>
      </c>
      <c r="D24" s="208">
        <v>1</v>
      </c>
      <c r="E24" s="207" t="s">
        <v>116</v>
      </c>
      <c r="F24" s="208" t="s">
        <v>115</v>
      </c>
      <c r="G24" s="207" t="s">
        <v>116</v>
      </c>
      <c r="H24" s="214" t="s">
        <v>910</v>
      </c>
      <c r="I24" s="214">
        <v>0</v>
      </c>
      <c r="J24" s="214" t="s">
        <v>999</v>
      </c>
      <c r="K24" s="214">
        <v>0</v>
      </c>
      <c r="L24" s="210"/>
      <c r="M24" s="206" t="s">
        <v>87</v>
      </c>
      <c r="N24" s="206" t="s">
        <v>776</v>
      </c>
      <c r="O24" s="206" t="s">
        <v>520</v>
      </c>
      <c r="P24" s="210">
        <f ca="1">IF(VLOOKUP("SAMSUNG_PUF_CONFIG_EN",  INDIRECT(Config!$B$1), HLOOKUP(P$1, INDIRECT(Config!$E$1), 2, FALSE),FALSE)=0, VLOOKUP("IFWI_LAYOUT_1_5_EN",  INDIRECT(Config!$B$1), HLOOKUP(P$1,  INDIRECT(Config!$E$1), 2, FALSE),FALSE), 0)</f>
        <v>0</v>
      </c>
      <c r="Q24" s="210">
        <f ca="1">IF(VLOOKUP("SAMSUNG_PUF_CONFIG_EN",  INDIRECT(Config!$B$1), HLOOKUP(Q$1, INDIRECT(Config!$E$1), 2, FALSE),FALSE)=0, VLOOKUP("IFWI_LAYOUT_1_5_EN",  INDIRECT(Config!$B$1), HLOOKUP(Q$1,  INDIRECT(Config!$E$1), 2, FALSE),FALSE), 0)</f>
        <v>0</v>
      </c>
      <c r="R24" s="210">
        <f ca="1">IF(VLOOKUP("SAMSUNG_PUF_CONFIG_EN",  INDIRECT(Config!$B$1), HLOOKUP(R$1, INDIRECT(Config!$E$1), 2, FALSE),FALSE)=0, VLOOKUP("IFWI_LAYOUT_1_5_EN",  INDIRECT(Config!$B$1), HLOOKUP(R$1,  INDIRECT(Config!$E$1), 2, FALSE),FALSE), 0)</f>
        <v>0</v>
      </c>
    </row>
    <row r="25" spans="1:18" ht="14.55" customHeight="1" x14ac:dyDescent="0.3">
      <c r="A25" s="368"/>
      <c r="B25" s="2" t="s">
        <v>108</v>
      </c>
      <c r="C25" s="208">
        <v>22</v>
      </c>
      <c r="D25" s="208">
        <v>1</v>
      </c>
      <c r="E25" s="207" t="s">
        <v>118</v>
      </c>
      <c r="F25" s="208" t="s">
        <v>117</v>
      </c>
      <c r="G25" s="207" t="s">
        <v>118</v>
      </c>
      <c r="H25" s="214" t="s">
        <v>911</v>
      </c>
      <c r="I25" s="214">
        <v>0</v>
      </c>
      <c r="J25" s="214" t="s">
        <v>1000</v>
      </c>
      <c r="K25" s="214">
        <v>0</v>
      </c>
      <c r="L25" s="210"/>
      <c r="M25" s="206" t="s">
        <v>87</v>
      </c>
      <c r="N25" s="206" t="s">
        <v>777</v>
      </c>
      <c r="O25" s="206" t="s">
        <v>520</v>
      </c>
      <c r="P25" s="210">
        <f ca="1">IF(VLOOKUP("SAMSUNG_PUF_CONFIG_EN",  INDIRECT(Config!$B$1), HLOOKUP(P$1, INDIRECT(Config!$E$1), 2, FALSE),FALSE)=0, VLOOKUP("IFWI_LAYOUT_1_5_EN",  INDIRECT(Config!$B$1), HLOOKUP(P$1,  INDIRECT(Config!$E$1), 2, FALSE),FALSE), 0)</f>
        <v>0</v>
      </c>
      <c r="Q25" s="210">
        <f ca="1">IF(VLOOKUP("SAMSUNG_PUF_CONFIG_EN",  INDIRECT(Config!$B$1), HLOOKUP(Q$1, INDIRECT(Config!$E$1), 2, FALSE),FALSE)=0, VLOOKUP("IFWI_LAYOUT_1_5_EN",  INDIRECT(Config!$B$1), HLOOKUP(Q$1,  INDIRECT(Config!$E$1), 2, FALSE),FALSE), 0)</f>
        <v>0</v>
      </c>
      <c r="R25" s="210">
        <f ca="1">IF(VLOOKUP("SAMSUNG_PUF_CONFIG_EN",  INDIRECT(Config!$B$1), HLOOKUP(R$1, INDIRECT(Config!$E$1), 2, FALSE),FALSE)=0, VLOOKUP("IFWI_LAYOUT_1_5_EN",  INDIRECT(Config!$B$1), HLOOKUP(R$1,  INDIRECT(Config!$E$1), 2, FALSE),FALSE), 0)</f>
        <v>0</v>
      </c>
    </row>
    <row r="26" spans="1:18" ht="14.55" customHeight="1" x14ac:dyDescent="0.3">
      <c r="A26" s="368"/>
      <c r="B26" s="7" t="s">
        <v>119</v>
      </c>
      <c r="C26" s="206">
        <v>23</v>
      </c>
      <c r="D26" s="206">
        <v>1</v>
      </c>
      <c r="E26" s="207" t="s">
        <v>121</v>
      </c>
      <c r="F26" s="206" t="s">
        <v>120</v>
      </c>
      <c r="G26" s="207" t="s">
        <v>121</v>
      </c>
      <c r="H26" s="214" t="s">
        <v>912</v>
      </c>
      <c r="I26" s="214">
        <v>0</v>
      </c>
      <c r="J26" s="214" t="s">
        <v>1001</v>
      </c>
      <c r="K26" s="214">
        <v>0</v>
      </c>
      <c r="L26" s="210"/>
      <c r="M26" s="206" t="s">
        <v>87</v>
      </c>
      <c r="N26" s="206" t="s">
        <v>778</v>
      </c>
      <c r="O26" s="206" t="s">
        <v>520</v>
      </c>
      <c r="P26" s="210">
        <f ca="1">IF($B26="N/A", "N/A", VLOOKUP($B26, INDIRECT(Config!$B$1), HLOOKUP(P$1, INDIRECT(Config!$E$1), 2, FALSE),FALSE))</f>
        <v>1</v>
      </c>
      <c r="Q26" s="210">
        <f ca="1">IF($B26="N/A", "N/A", VLOOKUP($B26, INDIRECT(Config!$B$1), HLOOKUP(Q$1, INDIRECT(Config!$E$1), 2, FALSE),FALSE))</f>
        <v>1</v>
      </c>
      <c r="R26" s="210">
        <f ca="1">IF($B26="N/A", "N/A", VLOOKUP($B26, INDIRECT(Config!$B$1), HLOOKUP(R$1, INDIRECT(Config!$E$1), 2, FALSE),FALSE))</f>
        <v>0</v>
      </c>
    </row>
    <row r="27" spans="1:18" ht="14.55" customHeight="1" x14ac:dyDescent="0.3">
      <c r="A27" s="368"/>
      <c r="B27" s="7" t="s">
        <v>122</v>
      </c>
      <c r="C27" s="206">
        <v>24</v>
      </c>
      <c r="D27" s="206">
        <v>1</v>
      </c>
      <c r="E27" s="207" t="s">
        <v>124</v>
      </c>
      <c r="F27" s="206" t="s">
        <v>123</v>
      </c>
      <c r="G27" s="207" t="s">
        <v>124</v>
      </c>
      <c r="H27" s="214" t="s">
        <v>913</v>
      </c>
      <c r="I27" s="214">
        <v>1</v>
      </c>
      <c r="J27" s="214" t="s">
        <v>1002</v>
      </c>
      <c r="K27" s="214">
        <v>0</v>
      </c>
      <c r="L27" s="216" t="s">
        <v>1107</v>
      </c>
      <c r="M27" s="206" t="s">
        <v>87</v>
      </c>
      <c r="N27" s="206" t="s">
        <v>779</v>
      </c>
      <c r="O27" s="206" t="s">
        <v>520</v>
      </c>
      <c r="P27" s="210">
        <f ca="1">IF($B27="N/A", "N/A", VLOOKUP($B27, INDIRECT(Config!$B$1), HLOOKUP(P$1, INDIRECT(Config!$E$1), 2, FALSE),FALSE))</f>
        <v>1</v>
      </c>
      <c r="Q27" s="210">
        <f ca="1">IF($B27="N/A", "N/A", VLOOKUP($B27, INDIRECT(Config!$B$1), HLOOKUP(Q$1, INDIRECT(Config!$E$1), 2, FALSE),FALSE))</f>
        <v>1</v>
      </c>
      <c r="R27" s="210">
        <f ca="1">IF($B27="N/A", "N/A", VLOOKUP($B27, INDIRECT(Config!$B$1), HLOOKUP(R$1, INDIRECT(Config!$E$1), 2, FALSE),FALSE))</f>
        <v>0</v>
      </c>
    </row>
    <row r="28" spans="1:18" ht="14.55" customHeight="1" x14ac:dyDescent="0.3">
      <c r="A28" s="368"/>
      <c r="B28" s="16" t="s">
        <v>125</v>
      </c>
      <c r="C28" s="206">
        <v>25</v>
      </c>
      <c r="D28" s="206">
        <v>1</v>
      </c>
      <c r="E28" s="207" t="s">
        <v>127</v>
      </c>
      <c r="F28" s="207" t="s">
        <v>126</v>
      </c>
      <c r="G28" s="207" t="s">
        <v>127</v>
      </c>
      <c r="H28" s="214" t="s">
        <v>914</v>
      </c>
      <c r="I28" s="214">
        <v>1</v>
      </c>
      <c r="J28" s="214" t="s">
        <v>1003</v>
      </c>
      <c r="K28" s="214">
        <v>1</v>
      </c>
      <c r="L28" s="216" t="s">
        <v>1107</v>
      </c>
      <c r="M28" s="206" t="s">
        <v>128</v>
      </c>
      <c r="N28" s="206" t="s">
        <v>694</v>
      </c>
      <c r="O28" s="206" t="s">
        <v>741</v>
      </c>
      <c r="P28" s="210">
        <f ca="1">IF($B28="N/A", "N/A", VLOOKUP($B28, INDIRECT(Config!$B$1), HLOOKUP(P$1, INDIRECT(Config!$E$1), 2, FALSE),FALSE))</f>
        <v>1</v>
      </c>
      <c r="Q28" s="210">
        <f ca="1">IF($B28="N/A", "N/A", VLOOKUP($B28, INDIRECT(Config!$B$1), HLOOKUP(Q$1, INDIRECT(Config!$E$1), 2, FALSE),FALSE))</f>
        <v>0</v>
      </c>
      <c r="R28" s="210">
        <f ca="1">IF($B28="N/A", "N/A", VLOOKUP($B28, INDIRECT(Config!$B$1), HLOOKUP(R$1, INDIRECT(Config!$E$1), 2, FALSE),FALSE))</f>
        <v>0</v>
      </c>
    </row>
    <row r="29" spans="1:18" ht="14.55" customHeight="1" x14ac:dyDescent="0.3">
      <c r="A29" s="368"/>
      <c r="B29" s="2" t="s">
        <v>100</v>
      </c>
      <c r="C29" s="208">
        <v>26</v>
      </c>
      <c r="D29" s="208">
        <v>3</v>
      </c>
      <c r="F29" s="250" t="s">
        <v>129</v>
      </c>
      <c r="G29" s="207" t="s">
        <v>130</v>
      </c>
      <c r="H29" s="214" t="s">
        <v>963</v>
      </c>
      <c r="I29" s="214">
        <v>0</v>
      </c>
      <c r="J29" s="214" t="s">
        <v>1004</v>
      </c>
      <c r="K29" s="214">
        <v>0</v>
      </c>
      <c r="L29" s="216" t="s">
        <v>1107</v>
      </c>
      <c r="M29" s="206" t="s">
        <v>66</v>
      </c>
      <c r="N29" s="206" t="s">
        <v>695</v>
      </c>
      <c r="O29" s="206" t="s">
        <v>742</v>
      </c>
      <c r="P29" s="210">
        <f ca="1">IF($B29="N/A", "N/A", VLOOKUP($B29, INDIRECT(Config!$B$1), HLOOKUP(P$1, INDIRECT(Config!$E$1), 2, FALSE),FALSE))</f>
        <v>0</v>
      </c>
      <c r="Q29" s="210">
        <f ca="1">IF($B29="N/A", "N/A", VLOOKUP($B29, INDIRECT(Config!$B$1), HLOOKUP(Q$1, INDIRECT(Config!$E$1), 2, FALSE),FALSE))</f>
        <v>0</v>
      </c>
      <c r="R29" s="210">
        <f ca="1">IF($B29="N/A", "N/A", VLOOKUP($B29, INDIRECT(Config!$B$1), HLOOKUP(R$1, INDIRECT(Config!$E$1), 2, FALSE),FALSE))</f>
        <v>0</v>
      </c>
    </row>
    <row r="30" spans="1:18" ht="14.55" customHeight="1" x14ac:dyDescent="0.3">
      <c r="A30" s="368"/>
      <c r="B30" s="2" t="s">
        <v>108</v>
      </c>
      <c r="C30" s="208">
        <v>26</v>
      </c>
      <c r="D30" s="208">
        <v>1</v>
      </c>
      <c r="E30" s="207" t="s">
        <v>132</v>
      </c>
      <c r="F30" s="208" t="s">
        <v>131</v>
      </c>
      <c r="G30" s="207" t="s">
        <v>132</v>
      </c>
      <c r="H30" s="214" t="s">
        <v>915</v>
      </c>
      <c r="I30" s="214">
        <v>0</v>
      </c>
      <c r="J30" s="214" t="s">
        <v>1005</v>
      </c>
      <c r="K30" s="214">
        <v>0</v>
      </c>
      <c r="L30" s="216" t="s">
        <v>1107</v>
      </c>
      <c r="M30" s="206" t="s">
        <v>128</v>
      </c>
      <c r="N30" s="206" t="s">
        <v>780</v>
      </c>
      <c r="O30" s="206" t="s">
        <v>521</v>
      </c>
      <c r="P30" s="206">
        <f ca="1">IF(VLOOKUP("SAMSUNG_PUF_CONFIG_EN",  INDIRECT(Config!$B$1), HLOOKUP(P$1, INDIRECT(Config!$E$1), 2, FALSE),FALSE)=0, VLOOKUP("IFWI_LAYOUT_1_5_EN",  INDIRECT(Config!$B$1), HLOOKUP(P$1,  INDIRECT(Config!$E$1), 2, FALSE),FALSE), 0)</f>
        <v>0</v>
      </c>
      <c r="Q30" s="206">
        <f ca="1">IF(VLOOKUP("SAMSUNG_PUF_CONFIG_EN",  INDIRECT(Config!$B$1), HLOOKUP(Q$1, INDIRECT(Config!$E$1), 2, FALSE),FALSE)=0, VLOOKUP("IFWI_LAYOUT_1_5_EN",  INDIRECT(Config!$B$1), HLOOKUP(Q$1,  INDIRECT(Config!$E$1), 2, FALSE),FALSE), 0)</f>
        <v>0</v>
      </c>
      <c r="R30" s="206">
        <f ca="1">IF(VLOOKUP("SAMSUNG_PUF_CONFIG_EN",  INDIRECT(Config!$B$1), HLOOKUP(R$1, INDIRECT(Config!$E$1), 2, FALSE),FALSE)=0, VLOOKUP("IFWI_LAYOUT_1_5_EN",  INDIRECT(Config!$B$1), HLOOKUP(R$1,  INDIRECT(Config!$E$1), 2, FALSE),FALSE), 0)</f>
        <v>0</v>
      </c>
    </row>
    <row r="31" spans="1:18" ht="14.55" customHeight="1" x14ac:dyDescent="0.3">
      <c r="A31" s="368"/>
      <c r="B31" s="2" t="s">
        <v>48</v>
      </c>
      <c r="C31" s="208">
        <v>27</v>
      </c>
      <c r="D31" s="208">
        <v>1</v>
      </c>
      <c r="E31" s="207" t="s">
        <v>374</v>
      </c>
      <c r="F31" s="208"/>
      <c r="G31" s="206" t="s">
        <v>374</v>
      </c>
      <c r="H31" s="215" t="s">
        <v>916</v>
      </c>
      <c r="I31" s="215">
        <v>0</v>
      </c>
      <c r="J31" s="215" t="s">
        <v>1006</v>
      </c>
      <c r="K31" s="215">
        <v>0</v>
      </c>
      <c r="L31" s="216" t="s">
        <v>1107</v>
      </c>
      <c r="M31" s="206"/>
      <c r="N31" s="206" t="s">
        <v>781</v>
      </c>
      <c r="O31" s="206" t="s">
        <v>459</v>
      </c>
      <c r="P31" s="211" t="str">
        <f ca="1">IF($B31="N/A", "N/A", VLOOKUP($B31, INDIRECT(Config!$B$1), HLOOKUP(P$1, INDIRECT(Config!$E$1), 2, FALSE),FALSE))</f>
        <v>N/A</v>
      </c>
      <c r="Q31" s="211" t="str">
        <f ca="1">IF($B31="N/A", "N/A", VLOOKUP($B31, INDIRECT(Config!$B$1), HLOOKUP(Q$1, INDIRECT(Config!$E$1), 2, FALSE),FALSE))</f>
        <v>N/A</v>
      </c>
      <c r="R31" s="211" t="str">
        <f ca="1">IF($B31="N/A", "N/A", VLOOKUP($B31, INDIRECT(Config!$B$1), HLOOKUP(R$1, INDIRECT(Config!$E$1), 2, FALSE),FALSE))</f>
        <v>N/A</v>
      </c>
    </row>
    <row r="32" spans="1:18" ht="14.55" customHeight="1" x14ac:dyDescent="0.3">
      <c r="A32" s="368"/>
      <c r="B32" s="2" t="s">
        <v>1146</v>
      </c>
      <c r="C32" s="208">
        <v>28</v>
      </c>
      <c r="D32" s="208">
        <v>1</v>
      </c>
      <c r="E32" s="207" t="s">
        <v>375</v>
      </c>
      <c r="F32" s="208" t="s">
        <v>376</v>
      </c>
      <c r="G32" s="206" t="s">
        <v>375</v>
      </c>
      <c r="H32" s="214" t="s">
        <v>917</v>
      </c>
      <c r="I32" s="214">
        <v>1</v>
      </c>
      <c r="J32" s="209" t="s">
        <v>1007</v>
      </c>
      <c r="K32" s="209">
        <v>0</v>
      </c>
      <c r="L32" s="216" t="s">
        <v>1107</v>
      </c>
      <c r="M32" s="206" t="s">
        <v>128</v>
      </c>
      <c r="N32" s="206" t="s">
        <v>782</v>
      </c>
      <c r="O32" s="206" t="s">
        <v>524</v>
      </c>
      <c r="P32" s="210" t="e">
        <f ca="1">IF($B32="N/A", "N/A", VLOOKUP($B32, INDIRECT(Config!$B$1), HLOOKUP(P$1, INDIRECT(Config!$E$1), 2, FALSE),FALSE))</f>
        <v>#N/A</v>
      </c>
      <c r="Q32" s="210" t="e">
        <f ca="1">IF($B32="N/A", "N/A", VLOOKUP($B32, INDIRECT(Config!$B$1), HLOOKUP(Q$1, INDIRECT(Config!$E$1), 2, FALSE),FALSE))</f>
        <v>#N/A</v>
      </c>
      <c r="R32" s="210" t="e">
        <f ca="1">IF($B32="N/A", "N/A", VLOOKUP($B32, INDIRECT(Config!$B$1), HLOOKUP(R$1, INDIRECT(Config!$E$1), 2, FALSE),FALSE))</f>
        <v>#N/A</v>
      </c>
    </row>
    <row r="33" spans="1:18" ht="14.55" customHeight="1" x14ac:dyDescent="0.3">
      <c r="A33" s="368"/>
      <c r="B33" s="3" t="s">
        <v>133</v>
      </c>
      <c r="C33" s="206">
        <v>29</v>
      </c>
      <c r="D33" s="206">
        <v>1</v>
      </c>
      <c r="E33" s="207" t="s">
        <v>135</v>
      </c>
      <c r="F33" s="210" t="s">
        <v>134</v>
      </c>
      <c r="G33" s="207" t="s">
        <v>135</v>
      </c>
      <c r="H33" s="209" t="s">
        <v>918</v>
      </c>
      <c r="I33" s="209">
        <v>1</v>
      </c>
      <c r="J33" s="214" t="s">
        <v>1008</v>
      </c>
      <c r="K33" s="214">
        <v>0</v>
      </c>
      <c r="L33" s="216" t="s">
        <v>1107</v>
      </c>
      <c r="M33" s="206" t="s">
        <v>87</v>
      </c>
      <c r="N33" s="206" t="s">
        <v>783</v>
      </c>
      <c r="O33" s="206" t="s">
        <v>525</v>
      </c>
      <c r="P33" s="210">
        <f ca="1">IF($B33="N/A", "N/A", VLOOKUP($B33, INDIRECT(Config!$B$1), HLOOKUP(P$1, INDIRECT(Config!$E$1), 2, FALSE),FALSE))</f>
        <v>0</v>
      </c>
      <c r="Q33" s="210">
        <f ca="1">IF($B33="N/A", "N/A", VLOOKUP($B33, INDIRECT(Config!$B$1), HLOOKUP(Q$1, INDIRECT(Config!$E$1), 2, FALSE),FALSE))</f>
        <v>0</v>
      </c>
      <c r="R33" s="210">
        <f ca="1">IF($B33="N/A", "N/A", VLOOKUP($B33, INDIRECT(Config!$B$1), HLOOKUP(R$1, INDIRECT(Config!$E$1), 2, FALSE),FALSE))</f>
        <v>0</v>
      </c>
    </row>
    <row r="34" spans="1:18" ht="14.55" customHeight="1" x14ac:dyDescent="0.3">
      <c r="A34" s="368"/>
      <c r="B34" s="16" t="s">
        <v>125</v>
      </c>
      <c r="C34" s="206">
        <v>30</v>
      </c>
      <c r="D34" s="206">
        <v>1</v>
      </c>
      <c r="E34" s="207" t="s">
        <v>137</v>
      </c>
      <c r="F34" s="206" t="s">
        <v>136</v>
      </c>
      <c r="G34" s="207" t="s">
        <v>137</v>
      </c>
      <c r="H34" s="209" t="s">
        <v>919</v>
      </c>
      <c r="I34" s="209">
        <v>1</v>
      </c>
      <c r="J34" s="214" t="s">
        <v>1009</v>
      </c>
      <c r="K34" s="214">
        <v>0</v>
      </c>
      <c r="L34" s="216" t="s">
        <v>1107</v>
      </c>
      <c r="M34" s="206" t="s">
        <v>128</v>
      </c>
      <c r="N34" s="206" t="s">
        <v>784</v>
      </c>
      <c r="O34" s="206" t="s">
        <v>521</v>
      </c>
      <c r="P34" s="210">
        <f ca="1">IF($B34="N/A", "N/A", VLOOKUP($B34, INDIRECT(Config!$B$1), HLOOKUP(P$1, INDIRECT(Config!$E$1), 2, FALSE),FALSE))</f>
        <v>1</v>
      </c>
      <c r="Q34" s="210">
        <f ca="1">IF($B34="N/A", "N/A", VLOOKUP($B34, INDIRECT(Config!$B$1), HLOOKUP(Q$1, INDIRECT(Config!$E$1), 2, FALSE),FALSE))</f>
        <v>0</v>
      </c>
      <c r="R34" s="210">
        <f ca="1">IF($B34="N/A", "N/A", VLOOKUP($B34, INDIRECT(Config!$B$1), HLOOKUP(R$1, INDIRECT(Config!$E$1), 2, FALSE),FALSE))</f>
        <v>0</v>
      </c>
    </row>
    <row r="35" spans="1:18" ht="14.55" customHeight="1" x14ac:dyDescent="0.3">
      <c r="A35" s="368"/>
      <c r="B35" s="4" t="s">
        <v>612</v>
      </c>
      <c r="C35" s="206">
        <v>31</v>
      </c>
      <c r="D35" s="206">
        <v>1</v>
      </c>
      <c r="E35" s="207" t="s">
        <v>138</v>
      </c>
      <c r="F35" s="207" t="s">
        <v>138</v>
      </c>
      <c r="G35" s="208" t="s">
        <v>139</v>
      </c>
      <c r="H35" s="214" t="s">
        <v>920</v>
      </c>
      <c r="I35" s="214">
        <v>0</v>
      </c>
      <c r="J35" s="209" t="s">
        <v>1010</v>
      </c>
      <c r="K35" s="209">
        <v>0</v>
      </c>
      <c r="L35" s="216" t="s">
        <v>667</v>
      </c>
      <c r="M35" s="206" t="s">
        <v>140</v>
      </c>
      <c r="N35" s="206" t="s">
        <v>696</v>
      </c>
      <c r="O35" s="206" t="s">
        <v>743</v>
      </c>
      <c r="P35" s="211">
        <f>IF($B35="N/A", "N/A", 1)</f>
        <v>1</v>
      </c>
      <c r="Q35" s="211">
        <f>IF($B35="N/A", "N/A", 1)</f>
        <v>1</v>
      </c>
      <c r="R35" s="211">
        <f>IF($B35="N/A", "N/A", 1)</f>
        <v>1</v>
      </c>
    </row>
    <row r="36" spans="1:18" ht="14.55" customHeight="1" x14ac:dyDescent="0.3">
      <c r="A36" s="324" t="s">
        <v>141</v>
      </c>
      <c r="B36" s="16" t="s">
        <v>639</v>
      </c>
      <c r="C36" s="206">
        <v>0</v>
      </c>
      <c r="D36" s="206">
        <v>1</v>
      </c>
      <c r="E36" s="207" t="s">
        <v>143</v>
      </c>
      <c r="F36" s="207" t="s">
        <v>142</v>
      </c>
      <c r="G36" s="207" t="s">
        <v>143</v>
      </c>
      <c r="H36" s="214" t="s">
        <v>921</v>
      </c>
      <c r="I36" s="214">
        <v>0</v>
      </c>
      <c r="J36" s="214" t="s">
        <v>1011</v>
      </c>
      <c r="K36" s="214">
        <v>0</v>
      </c>
      <c r="L36" s="210"/>
      <c r="M36" s="206" t="s">
        <v>87</v>
      </c>
      <c r="N36" s="206" t="s">
        <v>697</v>
      </c>
      <c r="O36" s="206" t="s">
        <v>521</v>
      </c>
      <c r="P36" s="210">
        <f ca="1">IF($B36="N/A", "N/A", VLOOKUP($B36, INDIRECT(Config!$B$1), HLOOKUP(P$1, INDIRECT(Config!$E$1), 2, FALSE),FALSE))</f>
        <v>0</v>
      </c>
      <c r="Q36" s="210">
        <f ca="1">IF($B36="N/A", "N/A", VLOOKUP($B36, INDIRECT(Config!$B$1), HLOOKUP(Q$1, INDIRECT(Config!$E$1), 2, FALSE),FALSE))</f>
        <v>0</v>
      </c>
      <c r="R36" s="210">
        <f ca="1">IF($B36="N/A", "N/A", VLOOKUP($B36, INDIRECT(Config!$B$1), HLOOKUP(R$1, INDIRECT(Config!$E$1), 2, FALSE),FALSE))</f>
        <v>0</v>
      </c>
    </row>
    <row r="37" spans="1:18" ht="14.55" customHeight="1" x14ac:dyDescent="0.3">
      <c r="A37" s="324"/>
      <c r="B37" s="16" t="s">
        <v>144</v>
      </c>
      <c r="C37" s="206">
        <v>1</v>
      </c>
      <c r="D37" s="206">
        <v>1</v>
      </c>
      <c r="E37" s="207" t="s">
        <v>146</v>
      </c>
      <c r="F37" s="207" t="s">
        <v>145</v>
      </c>
      <c r="G37" s="207" t="s">
        <v>146</v>
      </c>
      <c r="H37" s="214" t="s">
        <v>922</v>
      </c>
      <c r="I37" s="214">
        <v>0</v>
      </c>
      <c r="J37" s="214" t="s">
        <v>1012</v>
      </c>
      <c r="K37" s="214">
        <v>0</v>
      </c>
      <c r="L37" s="210"/>
      <c r="M37" s="206" t="s">
        <v>87</v>
      </c>
      <c r="N37" s="206" t="s">
        <v>698</v>
      </c>
      <c r="O37" s="206" t="s">
        <v>442</v>
      </c>
      <c r="P37" s="210">
        <f ca="1">IF($B37="N/A", "N/A", VLOOKUP($B37, INDIRECT(Config!$B$1), HLOOKUP(P$1, INDIRECT(Config!$E$1), 2, FALSE),FALSE))</f>
        <v>1</v>
      </c>
      <c r="Q37" s="210">
        <f ca="1">IF($B37="N/A", "N/A", VLOOKUP($B37, INDIRECT(Config!$B$1), HLOOKUP(Q$1, INDIRECT(Config!$E$1), 2, FALSE),FALSE))</f>
        <v>0</v>
      </c>
      <c r="R37" s="210">
        <f ca="1">IF($B37="N/A", "N/A", VLOOKUP($B37, INDIRECT(Config!$B$1), HLOOKUP(R$1, INDIRECT(Config!$E$1), 2, FALSE),FALSE))</f>
        <v>0</v>
      </c>
    </row>
    <row r="38" spans="1:18" ht="14.55" customHeight="1" x14ac:dyDescent="0.3">
      <c r="A38" s="324"/>
      <c r="B38" s="16" t="s">
        <v>147</v>
      </c>
      <c r="C38" s="206">
        <v>2</v>
      </c>
      <c r="D38" s="206">
        <v>1</v>
      </c>
      <c r="E38" s="207" t="s">
        <v>149</v>
      </c>
      <c r="F38" s="207" t="s">
        <v>148</v>
      </c>
      <c r="G38" s="207" t="s">
        <v>149</v>
      </c>
      <c r="H38" s="214" t="s">
        <v>923</v>
      </c>
      <c r="I38" s="214">
        <v>1</v>
      </c>
      <c r="J38" s="214" t="s">
        <v>1013</v>
      </c>
      <c r="K38" s="214">
        <v>0</v>
      </c>
      <c r="L38" s="210"/>
      <c r="M38" s="206" t="s">
        <v>87</v>
      </c>
      <c r="N38" s="206" t="s">
        <v>699</v>
      </c>
      <c r="O38" s="206" t="s">
        <v>443</v>
      </c>
      <c r="P38" s="210">
        <f ca="1">IF($B38="N/A", "N/A", VLOOKUP($B38, INDIRECT(Config!$B$1), HLOOKUP(P$1, INDIRECT(Config!$E$1), 2, FALSE),FALSE))</f>
        <v>1</v>
      </c>
      <c r="Q38" s="210">
        <f ca="1">IF($B38="N/A", "N/A", VLOOKUP($B38, INDIRECT(Config!$B$1), HLOOKUP(Q$1, INDIRECT(Config!$E$1), 2, FALSE),FALSE))</f>
        <v>0</v>
      </c>
      <c r="R38" s="210">
        <f ca="1">IF($B38="N/A", "N/A", VLOOKUP($B38, INDIRECT(Config!$B$1), HLOOKUP(R$1, INDIRECT(Config!$E$1), 2, FALSE),FALSE))</f>
        <v>0</v>
      </c>
    </row>
    <row r="39" spans="1:18" ht="14.55" customHeight="1" x14ac:dyDescent="0.3">
      <c r="A39" s="324"/>
      <c r="B39" s="4" t="s">
        <v>612</v>
      </c>
      <c r="C39" s="206">
        <v>3</v>
      </c>
      <c r="D39" s="206">
        <v>1</v>
      </c>
      <c r="E39" s="247" t="s">
        <v>150</v>
      </c>
      <c r="F39" s="207" t="s">
        <v>150</v>
      </c>
      <c r="G39" s="208" t="s">
        <v>151</v>
      </c>
      <c r="H39" s="214" t="s">
        <v>924</v>
      </c>
      <c r="I39" s="214">
        <v>0</v>
      </c>
      <c r="J39" s="209" t="s">
        <v>1014</v>
      </c>
      <c r="K39" s="209">
        <v>1</v>
      </c>
      <c r="L39" s="210"/>
      <c r="M39" s="206" t="s">
        <v>152</v>
      </c>
      <c r="N39" s="217" t="s">
        <v>1127</v>
      </c>
      <c r="O39" s="206" t="s">
        <v>520</v>
      </c>
      <c r="P39" s="211">
        <f>IF($B39="N/A", "N/A", 1)</f>
        <v>1</v>
      </c>
      <c r="Q39" s="211">
        <f>IF($B39="N/A", "N/A", 1)</f>
        <v>1</v>
      </c>
      <c r="R39" s="211">
        <f>IF($B39="N/A", "N/A", 1)</f>
        <v>1</v>
      </c>
    </row>
    <row r="40" spans="1:18" ht="14.55" customHeight="1" x14ac:dyDescent="0.3">
      <c r="A40" s="324"/>
      <c r="B40" s="16" t="s">
        <v>642</v>
      </c>
      <c r="C40" s="206">
        <v>4</v>
      </c>
      <c r="D40" s="206">
        <v>1</v>
      </c>
      <c r="E40" s="207" t="s">
        <v>154</v>
      </c>
      <c r="F40" s="207" t="s">
        <v>153</v>
      </c>
      <c r="G40" s="207" t="s">
        <v>154</v>
      </c>
      <c r="H40" s="214" t="s">
        <v>925</v>
      </c>
      <c r="I40" s="214">
        <v>1</v>
      </c>
      <c r="J40" s="214" t="s">
        <v>1015</v>
      </c>
      <c r="K40" s="214">
        <v>1</v>
      </c>
      <c r="L40" s="210"/>
      <c r="M40" s="206" t="s">
        <v>87</v>
      </c>
      <c r="N40" s="206" t="s">
        <v>700</v>
      </c>
      <c r="O40" s="206" t="s">
        <v>744</v>
      </c>
      <c r="P40" s="210">
        <f ca="1">IF($B40="N/A", "N/A", VLOOKUP($B40, INDIRECT(Config!$B$1), HLOOKUP(P$1, INDIRECT(Config!$E$1), 2, FALSE),FALSE))</f>
        <v>1</v>
      </c>
      <c r="Q40" s="210">
        <f ca="1">IF($B40="N/A", "N/A", VLOOKUP($B40, INDIRECT(Config!$B$1), HLOOKUP(Q$1, INDIRECT(Config!$E$1), 2, FALSE),FALSE))</f>
        <v>0</v>
      </c>
      <c r="R40" s="210">
        <f ca="1">IF($B40="N/A", "N/A", VLOOKUP($B40, INDIRECT(Config!$B$1), HLOOKUP(R$1, INDIRECT(Config!$E$1), 2, FALSE),FALSE))</f>
        <v>0</v>
      </c>
    </row>
    <row r="41" spans="1:18" ht="14.55" customHeight="1" x14ac:dyDescent="0.3">
      <c r="A41" s="324"/>
      <c r="B41" s="2" t="s">
        <v>635</v>
      </c>
      <c r="C41" s="208">
        <v>5</v>
      </c>
      <c r="D41" s="208">
        <v>1</v>
      </c>
      <c r="E41" s="207" t="s">
        <v>156</v>
      </c>
      <c r="F41" s="208" t="s">
        <v>155</v>
      </c>
      <c r="G41" s="207" t="s">
        <v>156</v>
      </c>
      <c r="H41" s="209" t="s">
        <v>926</v>
      </c>
      <c r="I41" s="209">
        <v>1</v>
      </c>
      <c r="J41" s="209" t="s">
        <v>1016</v>
      </c>
      <c r="K41" s="209">
        <v>0</v>
      </c>
      <c r="L41" s="210"/>
      <c r="M41" s="206" t="s">
        <v>87</v>
      </c>
      <c r="N41" s="206" t="s">
        <v>785</v>
      </c>
      <c r="O41" s="206" t="s">
        <v>520</v>
      </c>
      <c r="P41" s="210">
        <f ca="1">IF($B41="N/A", "N/A", VLOOKUP($B41, INDIRECT(Config!$B$1), HLOOKUP(P$1, INDIRECT(Config!$E$1), 2, FALSE),FALSE))</f>
        <v>0</v>
      </c>
      <c r="Q41" s="210">
        <f ca="1">IF($B41="N/A", "N/A", VLOOKUP($B41, INDIRECT(Config!$B$1), HLOOKUP(Q$1, INDIRECT(Config!$E$1), 2, FALSE),FALSE))</f>
        <v>0</v>
      </c>
      <c r="R41" s="210">
        <f ca="1">IF($B41="N/A", "N/A", VLOOKUP($B41, INDIRECT(Config!$B$1), HLOOKUP(R$1, INDIRECT(Config!$E$1), 2, FALSE),FALSE))</f>
        <v>0</v>
      </c>
    </row>
    <row r="42" spans="1:18" ht="14.55" customHeight="1" x14ac:dyDescent="0.3">
      <c r="A42" s="324"/>
      <c r="B42" s="4" t="s">
        <v>612</v>
      </c>
      <c r="C42" s="206">
        <v>6</v>
      </c>
      <c r="D42" s="206">
        <v>1</v>
      </c>
      <c r="E42" s="207" t="s">
        <v>157</v>
      </c>
      <c r="F42" s="207" t="s">
        <v>157</v>
      </c>
      <c r="G42" s="208" t="s">
        <v>158</v>
      </c>
      <c r="H42" s="209" t="s">
        <v>927</v>
      </c>
      <c r="I42" s="209">
        <v>0</v>
      </c>
      <c r="J42" s="209" t="s">
        <v>1017</v>
      </c>
      <c r="K42" s="209">
        <v>0</v>
      </c>
      <c r="L42" s="210"/>
      <c r="M42" s="206" t="s">
        <v>87</v>
      </c>
      <c r="N42" s="206" t="s">
        <v>701</v>
      </c>
      <c r="O42" s="206" t="s">
        <v>745</v>
      </c>
      <c r="P42" s="211">
        <f>IF($B42="N/A", "N/A", 1)</f>
        <v>1</v>
      </c>
      <c r="Q42" s="211">
        <f>IF($B42="N/A", "N/A", 1)</f>
        <v>1</v>
      </c>
      <c r="R42" s="211">
        <f>IF($B42="N/A", "N/A", 1)</f>
        <v>1</v>
      </c>
    </row>
    <row r="43" spans="1:18" ht="14.55" customHeight="1" x14ac:dyDescent="0.3">
      <c r="A43" s="324"/>
      <c r="B43" s="16" t="s">
        <v>644</v>
      </c>
      <c r="C43" s="206">
        <v>7</v>
      </c>
      <c r="D43" s="206">
        <v>1</v>
      </c>
      <c r="E43" s="207" t="s">
        <v>159</v>
      </c>
      <c r="F43" s="207" t="s">
        <v>159</v>
      </c>
      <c r="G43" s="207" t="s">
        <v>160</v>
      </c>
      <c r="H43" s="214" t="s">
        <v>928</v>
      </c>
      <c r="I43" s="214">
        <v>0</v>
      </c>
      <c r="J43" s="214" t="s">
        <v>1018</v>
      </c>
      <c r="K43" s="214">
        <v>1</v>
      </c>
      <c r="L43" s="210"/>
      <c r="M43" s="206" t="s">
        <v>87</v>
      </c>
      <c r="N43" s="206" t="s">
        <v>702</v>
      </c>
      <c r="O43" s="206" t="s">
        <v>746</v>
      </c>
      <c r="P43" s="210">
        <f ca="1">IF($B43="N/A", "N/A", VLOOKUP($B43, INDIRECT(Config!$B$1), HLOOKUP(P$1, INDIRECT(Config!$E$1), 2, FALSE),FALSE))</f>
        <v>1</v>
      </c>
      <c r="Q43" s="210">
        <f ca="1">IF($B43="N/A", "N/A", VLOOKUP($B43, INDIRECT(Config!$B$1), HLOOKUP(Q$1, INDIRECT(Config!$E$1), 2, FALSE),FALSE))</f>
        <v>0</v>
      </c>
      <c r="R43" s="210">
        <f ca="1">IF($B43="N/A", "N/A", VLOOKUP($B43, INDIRECT(Config!$B$1), HLOOKUP(R$1, INDIRECT(Config!$E$1), 2, FALSE),FALSE))</f>
        <v>1</v>
      </c>
    </row>
    <row r="44" spans="1:18" ht="14.55" customHeight="1" x14ac:dyDescent="0.3">
      <c r="A44" s="324"/>
      <c r="B44" s="2" t="s">
        <v>640</v>
      </c>
      <c r="C44" s="208">
        <v>8</v>
      </c>
      <c r="D44" s="208">
        <v>1</v>
      </c>
      <c r="E44" s="207" t="s">
        <v>162</v>
      </c>
      <c r="F44" s="208" t="s">
        <v>161</v>
      </c>
      <c r="G44" s="207" t="s">
        <v>162</v>
      </c>
      <c r="H44" s="209" t="s">
        <v>929</v>
      </c>
      <c r="I44" s="209">
        <v>0</v>
      </c>
      <c r="J44" s="209" t="s">
        <v>1019</v>
      </c>
      <c r="K44" s="209">
        <v>0</v>
      </c>
      <c r="L44" s="210"/>
      <c r="M44" s="206" t="s">
        <v>87</v>
      </c>
      <c r="N44" s="206" t="s">
        <v>703</v>
      </c>
      <c r="O44" s="206" t="s">
        <v>520</v>
      </c>
      <c r="P44" s="210">
        <f ca="1">IF($B44="N/A", "N/A", VLOOKUP($B44, INDIRECT(Config!$B$1), HLOOKUP(P$1, INDIRECT(Config!$E$1), 2, FALSE),FALSE))</f>
        <v>1</v>
      </c>
      <c r="Q44" s="210">
        <f ca="1">IF($B44="N/A", "N/A", VLOOKUP($B44, INDIRECT(Config!$B$1), HLOOKUP(Q$1, INDIRECT(Config!$E$1), 2, FALSE),FALSE))</f>
        <v>0</v>
      </c>
      <c r="R44" s="210">
        <f ca="1">IF($B44="N/A", "N/A", VLOOKUP($B44, INDIRECT(Config!$B$1), HLOOKUP(R$1, INDIRECT(Config!$E$1), 2, FALSE),FALSE))</f>
        <v>0</v>
      </c>
    </row>
    <row r="45" spans="1:18" ht="14.55" customHeight="1" x14ac:dyDescent="0.3">
      <c r="A45" s="324"/>
      <c r="B45" s="4" t="s">
        <v>612</v>
      </c>
      <c r="C45" s="206">
        <v>9</v>
      </c>
      <c r="D45" s="206">
        <v>3</v>
      </c>
      <c r="E45" s="207" t="s">
        <v>163</v>
      </c>
      <c r="F45" s="207" t="s">
        <v>163</v>
      </c>
      <c r="G45" s="208" t="s">
        <v>164</v>
      </c>
      <c r="H45" s="209" t="s">
        <v>964</v>
      </c>
      <c r="I45" s="209">
        <v>4</v>
      </c>
      <c r="J45" s="209" t="s">
        <v>1020</v>
      </c>
      <c r="K45" s="209">
        <v>0</v>
      </c>
      <c r="L45" s="210"/>
      <c r="M45" s="206" t="s">
        <v>128</v>
      </c>
      <c r="N45" s="206" t="s">
        <v>704</v>
      </c>
      <c r="O45" s="206" t="s">
        <v>747</v>
      </c>
      <c r="P45" s="211">
        <f>IF($B45="N/A", "N/A", 1)</f>
        <v>1</v>
      </c>
      <c r="Q45" s="211">
        <f>IF($B45="N/A", "N/A", 1)</f>
        <v>1</v>
      </c>
      <c r="R45" s="211">
        <f>IF($B45="N/A", "N/A", 1)</f>
        <v>1</v>
      </c>
    </row>
    <row r="46" spans="1:18" ht="14.55" customHeight="1" x14ac:dyDescent="0.3">
      <c r="A46" s="324"/>
      <c r="B46" s="2" t="s">
        <v>641</v>
      </c>
      <c r="C46" s="208">
        <v>12</v>
      </c>
      <c r="D46" s="208">
        <v>1</v>
      </c>
      <c r="E46" s="207" t="s">
        <v>166</v>
      </c>
      <c r="F46" s="208" t="s">
        <v>165</v>
      </c>
      <c r="G46" s="207" t="s">
        <v>166</v>
      </c>
      <c r="H46" s="214" t="s">
        <v>930</v>
      </c>
      <c r="I46" s="214">
        <v>0</v>
      </c>
      <c r="J46" s="214" t="s">
        <v>1021</v>
      </c>
      <c r="K46" s="214">
        <v>0</v>
      </c>
      <c r="L46" s="210"/>
      <c r="M46" s="206" t="s">
        <v>87</v>
      </c>
      <c r="N46" s="206" t="s">
        <v>705</v>
      </c>
      <c r="O46" s="206" t="s">
        <v>521</v>
      </c>
      <c r="P46" s="210">
        <f ca="1">IF($B46="N/A", "N/A", VLOOKUP($B46, INDIRECT(Config!$B$1), HLOOKUP(P$1, INDIRECT(Config!$E$1), 2, FALSE),FALSE))</f>
        <v>0</v>
      </c>
      <c r="Q46" s="210">
        <f ca="1">IF($B46="N/A", "N/A", VLOOKUP($B46, INDIRECT(Config!$B$1), HLOOKUP(Q$1, INDIRECT(Config!$E$1), 2, FALSE),FALSE))</f>
        <v>0</v>
      </c>
      <c r="R46" s="210">
        <f ca="1">IF($B46="N/A", "N/A", VLOOKUP($B46, INDIRECT(Config!$B$1), HLOOKUP(R$1, INDIRECT(Config!$E$1), 2, FALSE),FALSE))</f>
        <v>0</v>
      </c>
    </row>
    <row r="47" spans="1:18" ht="14.55" customHeight="1" x14ac:dyDescent="0.3">
      <c r="A47" s="324"/>
      <c r="B47" s="16" t="s">
        <v>650</v>
      </c>
      <c r="C47" s="206">
        <v>13</v>
      </c>
      <c r="D47" s="206">
        <v>1</v>
      </c>
      <c r="E47" s="207" t="s">
        <v>167</v>
      </c>
      <c r="F47" s="207" t="s">
        <v>167</v>
      </c>
      <c r="G47" s="207" t="s">
        <v>168</v>
      </c>
      <c r="H47" s="214" t="s">
        <v>931</v>
      </c>
      <c r="I47" s="214">
        <v>0</v>
      </c>
      <c r="J47" s="214" t="s">
        <v>1022</v>
      </c>
      <c r="K47" s="214">
        <v>1</v>
      </c>
      <c r="L47" s="210"/>
      <c r="M47" s="206" t="s">
        <v>128</v>
      </c>
      <c r="N47" s="206" t="s">
        <v>706</v>
      </c>
      <c r="O47" s="206" t="s">
        <v>521</v>
      </c>
      <c r="P47" s="210">
        <f ca="1">IF($B47="N/A", "N/A", VLOOKUP($B47, INDIRECT(Config!$B$1), HLOOKUP(P$1, INDIRECT(Config!$E$1), 2, FALSE),FALSE))</f>
        <v>1</v>
      </c>
      <c r="Q47" s="210">
        <f ca="1">IF($B47="N/A", "N/A", VLOOKUP($B47, INDIRECT(Config!$B$1), HLOOKUP(Q$1, INDIRECT(Config!$E$1), 2, FALSE),FALSE))</f>
        <v>0</v>
      </c>
      <c r="R47" s="210">
        <f ca="1">IF($B47="N/A", "N/A", VLOOKUP($B47, INDIRECT(Config!$B$1), HLOOKUP(R$1, INDIRECT(Config!$E$1), 2, FALSE),FALSE))</f>
        <v>1</v>
      </c>
    </row>
    <row r="48" spans="1:18" ht="14.55" customHeight="1" x14ac:dyDescent="0.3">
      <c r="A48" s="324"/>
      <c r="B48" s="2" t="s">
        <v>638</v>
      </c>
      <c r="C48" s="208">
        <v>14</v>
      </c>
      <c r="D48" s="208">
        <v>1</v>
      </c>
      <c r="E48" s="207" t="s">
        <v>170</v>
      </c>
      <c r="F48" s="208" t="s">
        <v>169</v>
      </c>
      <c r="G48" s="207" t="s">
        <v>170</v>
      </c>
      <c r="H48" s="214" t="s">
        <v>932</v>
      </c>
      <c r="I48" s="214">
        <v>1</v>
      </c>
      <c r="J48" s="214" t="s">
        <v>1023</v>
      </c>
      <c r="K48" s="214">
        <v>0</v>
      </c>
      <c r="L48" s="210"/>
      <c r="M48" s="206" t="s">
        <v>87</v>
      </c>
      <c r="N48" s="206" t="s">
        <v>707</v>
      </c>
      <c r="O48" s="206" t="s">
        <v>521</v>
      </c>
      <c r="P48" s="210">
        <f ca="1">IF($B48="N/A", "N/A", VLOOKUP($B48, INDIRECT(Config!$B$1), HLOOKUP(P$1, INDIRECT(Config!$E$1), 2, FALSE),FALSE))</f>
        <v>0</v>
      </c>
      <c r="Q48" s="210">
        <f ca="1">IF($B48="N/A", "N/A", VLOOKUP($B48, INDIRECT(Config!$B$1), HLOOKUP(Q$1, INDIRECT(Config!$E$1), 2, FALSE),FALSE))</f>
        <v>0</v>
      </c>
      <c r="R48" s="210">
        <f ca="1">IF($B48="N/A", "N/A", VLOOKUP($B48, INDIRECT(Config!$B$1), HLOOKUP(R$1, INDIRECT(Config!$E$1), 2, FALSE),FALSE))</f>
        <v>0</v>
      </c>
    </row>
    <row r="49" spans="1:18" ht="14.55" customHeight="1" x14ac:dyDescent="0.3">
      <c r="A49" s="324"/>
      <c r="B49" s="16" t="s">
        <v>636</v>
      </c>
      <c r="C49" s="206">
        <v>15</v>
      </c>
      <c r="D49" s="206">
        <v>1</v>
      </c>
      <c r="E49" s="207" t="s">
        <v>672</v>
      </c>
      <c r="F49" s="207" t="s">
        <v>672</v>
      </c>
      <c r="G49" s="207" t="s">
        <v>171</v>
      </c>
      <c r="H49" s="214" t="s">
        <v>933</v>
      </c>
      <c r="I49" s="214">
        <v>0</v>
      </c>
      <c r="J49" s="214" t="s">
        <v>1024</v>
      </c>
      <c r="K49" s="214">
        <v>1</v>
      </c>
      <c r="L49" s="210"/>
      <c r="M49" s="206" t="s">
        <v>128</v>
      </c>
      <c r="N49" s="206" t="s">
        <v>708</v>
      </c>
      <c r="O49" s="206" t="s">
        <v>521</v>
      </c>
      <c r="P49" s="210">
        <f ca="1">IF($B49="N/A", "N/A", VLOOKUP($B49, INDIRECT(Config!$B$1), HLOOKUP(P$1, INDIRECT(Config!$E$1), 2, FALSE),FALSE))</f>
        <v>1</v>
      </c>
      <c r="Q49" s="210">
        <f ca="1">IF($B49="N/A", "N/A", VLOOKUP($B49, INDIRECT(Config!$B$1), HLOOKUP(Q$1, INDIRECT(Config!$E$1), 2, FALSE),FALSE))</f>
        <v>0</v>
      </c>
      <c r="R49" s="210">
        <f ca="1">IF($B49="N/A", "N/A", VLOOKUP($B49, INDIRECT(Config!$B$1), HLOOKUP(R$1, INDIRECT(Config!$E$1), 2, FALSE),FALSE))</f>
        <v>1</v>
      </c>
    </row>
    <row r="50" spans="1:18" ht="14.55" customHeight="1" x14ac:dyDescent="0.3">
      <c r="A50" s="324"/>
      <c r="B50" s="16" t="s">
        <v>172</v>
      </c>
      <c r="C50" s="206">
        <v>16</v>
      </c>
      <c r="D50" s="206">
        <v>1</v>
      </c>
      <c r="E50" s="207" t="s">
        <v>174</v>
      </c>
      <c r="F50" s="207" t="s">
        <v>173</v>
      </c>
      <c r="G50" s="207" t="s">
        <v>174</v>
      </c>
      <c r="H50" s="214" t="s">
        <v>934</v>
      </c>
      <c r="I50" s="214">
        <v>1</v>
      </c>
      <c r="J50" s="214" t="s">
        <v>1025</v>
      </c>
      <c r="K50" s="214">
        <v>1</v>
      </c>
      <c r="L50" s="210"/>
      <c r="M50" s="206" t="s">
        <v>175</v>
      </c>
      <c r="N50" s="206" t="s">
        <v>709</v>
      </c>
      <c r="O50" s="206" t="s">
        <v>444</v>
      </c>
      <c r="P50" s="210">
        <f ca="1">IF($B50="N/A", "N/A", VLOOKUP($B50, INDIRECT(Config!$B$1), HLOOKUP(P$1, INDIRECT(Config!$E$1), 2, FALSE),FALSE))</f>
        <v>1</v>
      </c>
      <c r="Q50" s="210">
        <f ca="1">IF($B50="N/A", "N/A", VLOOKUP($B50, INDIRECT(Config!$B$1), HLOOKUP(Q$1, INDIRECT(Config!$E$1), 2, FALSE),FALSE))</f>
        <v>0</v>
      </c>
      <c r="R50" s="210">
        <f ca="1">IF($B50="N/A", "N/A", VLOOKUP($B50, INDIRECT(Config!$B$1), HLOOKUP(R$1, INDIRECT(Config!$E$1), 2, FALSE),FALSE))</f>
        <v>0</v>
      </c>
    </row>
    <row r="51" spans="1:18" ht="14.55" customHeight="1" x14ac:dyDescent="0.3">
      <c r="A51" s="324"/>
      <c r="B51" s="16" t="s">
        <v>172</v>
      </c>
      <c r="C51" s="206">
        <v>17</v>
      </c>
      <c r="D51" s="206">
        <v>1</v>
      </c>
      <c r="E51" s="207" t="s">
        <v>177</v>
      </c>
      <c r="F51" s="207" t="s">
        <v>176</v>
      </c>
      <c r="G51" s="207" t="s">
        <v>177</v>
      </c>
      <c r="H51" s="214" t="s">
        <v>935</v>
      </c>
      <c r="I51" s="214">
        <v>0</v>
      </c>
      <c r="J51" s="214" t="s">
        <v>1026</v>
      </c>
      <c r="K51" s="214">
        <v>0</v>
      </c>
      <c r="L51" s="210"/>
      <c r="M51" s="206" t="s">
        <v>175</v>
      </c>
      <c r="N51" s="206" t="s">
        <v>710</v>
      </c>
      <c r="O51" s="206" t="s">
        <v>445</v>
      </c>
      <c r="P51" s="210">
        <f ca="1">IF($B51="N/A", "N/A", VLOOKUP($B51, INDIRECT(Config!$B$1), HLOOKUP(P$1, INDIRECT(Config!$E$1), 2, FALSE),FALSE))</f>
        <v>1</v>
      </c>
      <c r="Q51" s="210">
        <f ca="1">IF($B51="N/A", "N/A", VLOOKUP($B51, INDIRECT(Config!$B$1), HLOOKUP(Q$1, INDIRECT(Config!$E$1), 2, FALSE),FALSE))</f>
        <v>0</v>
      </c>
      <c r="R51" s="210">
        <f ca="1">IF($B51="N/A", "N/A", VLOOKUP($B51, INDIRECT(Config!$B$1), HLOOKUP(R$1, INDIRECT(Config!$E$1), 2, FALSE),FALSE))</f>
        <v>0</v>
      </c>
    </row>
    <row r="52" spans="1:18" ht="14.55" customHeight="1" x14ac:dyDescent="0.3">
      <c r="A52" s="324"/>
      <c r="B52" s="16" t="s">
        <v>172</v>
      </c>
      <c r="C52" s="206">
        <v>18</v>
      </c>
      <c r="D52" s="206">
        <v>1</v>
      </c>
      <c r="E52" s="207" t="s">
        <v>179</v>
      </c>
      <c r="F52" s="207" t="s">
        <v>178</v>
      </c>
      <c r="G52" s="207" t="s">
        <v>179</v>
      </c>
      <c r="H52" s="214" t="s">
        <v>936</v>
      </c>
      <c r="I52" s="214">
        <v>0</v>
      </c>
      <c r="J52" s="214" t="s">
        <v>1027</v>
      </c>
      <c r="K52" s="214">
        <v>0</v>
      </c>
      <c r="L52" s="210"/>
      <c r="M52" s="206" t="s">
        <v>175</v>
      </c>
      <c r="N52" s="206" t="s">
        <v>711</v>
      </c>
      <c r="O52" s="206" t="s">
        <v>446</v>
      </c>
      <c r="P52" s="210">
        <f ca="1">IF($B52="N/A", "N/A", VLOOKUP($B52, INDIRECT(Config!$B$1), HLOOKUP(P$1, INDIRECT(Config!$E$1), 2, FALSE),FALSE))</f>
        <v>1</v>
      </c>
      <c r="Q52" s="210">
        <f ca="1">IF($B52="N/A", "N/A", VLOOKUP($B52, INDIRECT(Config!$B$1), HLOOKUP(Q$1, INDIRECT(Config!$E$1), 2, FALSE),FALSE))</f>
        <v>0</v>
      </c>
      <c r="R52" s="210">
        <f ca="1">IF($B52="N/A", "N/A", VLOOKUP($B52, INDIRECT(Config!$B$1), HLOOKUP(R$1, INDIRECT(Config!$E$1), 2, FALSE),FALSE))</f>
        <v>0</v>
      </c>
    </row>
    <row r="53" spans="1:18" ht="14.55" customHeight="1" x14ac:dyDescent="0.3">
      <c r="A53" s="324"/>
      <c r="B53" s="16" t="s">
        <v>637</v>
      </c>
      <c r="C53" s="206">
        <v>19</v>
      </c>
      <c r="D53" s="206">
        <v>1</v>
      </c>
      <c r="E53" s="207" t="s">
        <v>181</v>
      </c>
      <c r="F53" s="207" t="s">
        <v>180</v>
      </c>
      <c r="G53" s="207" t="s">
        <v>181</v>
      </c>
      <c r="H53" s="214" t="s">
        <v>937</v>
      </c>
      <c r="I53" s="214">
        <v>0</v>
      </c>
      <c r="J53" s="214" t="s">
        <v>1028</v>
      </c>
      <c r="K53" s="214">
        <v>1</v>
      </c>
      <c r="L53" s="210"/>
      <c r="M53" s="206" t="s">
        <v>87</v>
      </c>
      <c r="N53" s="206" t="s">
        <v>712</v>
      </c>
      <c r="O53" s="206" t="s">
        <v>522</v>
      </c>
      <c r="P53" s="210">
        <f ca="1">IF($B53="N/A", "N/A", VLOOKUP($B53, INDIRECT(Config!$B$1), HLOOKUP(P$1, INDIRECT(Config!$E$1), 2, FALSE),FALSE))</f>
        <v>1</v>
      </c>
      <c r="Q53" s="210">
        <f ca="1">IF($B53="N/A", "N/A", VLOOKUP($B53, INDIRECT(Config!$B$1), HLOOKUP(Q$1, INDIRECT(Config!$E$1), 2, FALSE),FALSE))</f>
        <v>0</v>
      </c>
      <c r="R53" s="210">
        <f ca="1">IF($B53="N/A", "N/A", VLOOKUP($B53, INDIRECT(Config!$B$1), HLOOKUP(R$1, INDIRECT(Config!$E$1), 2, FALSE),FALSE))</f>
        <v>0</v>
      </c>
    </row>
    <row r="54" spans="1:18" ht="14.55" customHeight="1" x14ac:dyDescent="0.3">
      <c r="A54" s="324"/>
      <c r="B54" s="16" t="s">
        <v>634</v>
      </c>
      <c r="C54" s="206">
        <v>20</v>
      </c>
      <c r="D54" s="206">
        <v>1</v>
      </c>
      <c r="E54" s="207" t="s">
        <v>183</v>
      </c>
      <c r="F54" s="207" t="s">
        <v>182</v>
      </c>
      <c r="G54" s="207" t="s">
        <v>183</v>
      </c>
      <c r="H54" s="214" t="s">
        <v>938</v>
      </c>
      <c r="I54" s="214">
        <v>0</v>
      </c>
      <c r="J54" s="214" t="s">
        <v>1029</v>
      </c>
      <c r="K54" s="214">
        <v>1</v>
      </c>
      <c r="L54" s="210"/>
      <c r="M54" s="206" t="s">
        <v>87</v>
      </c>
      <c r="N54" s="206" t="s">
        <v>713</v>
      </c>
      <c r="O54" s="206" t="s">
        <v>523</v>
      </c>
      <c r="P54" s="210">
        <f ca="1">IF($B54="N/A", "N/A", VLOOKUP($B54, INDIRECT(Config!$B$1), HLOOKUP(P$1, INDIRECT(Config!$E$1), 2, FALSE),FALSE))</f>
        <v>1</v>
      </c>
      <c r="Q54" s="210">
        <f ca="1">IF($B54="N/A", "N/A", VLOOKUP($B54, INDIRECT(Config!$B$1), HLOOKUP(Q$1, INDIRECT(Config!$E$1), 2, FALSE),FALSE))</f>
        <v>0</v>
      </c>
      <c r="R54" s="210">
        <f ca="1">IF($B54="N/A", "N/A", VLOOKUP($B54, INDIRECT(Config!$B$1), HLOOKUP(R$1, INDIRECT(Config!$E$1), 2, FALSE),FALSE))</f>
        <v>0</v>
      </c>
    </row>
    <row r="55" spans="1:18" ht="14.55" customHeight="1" x14ac:dyDescent="0.3">
      <c r="A55" s="324"/>
      <c r="B55" s="16" t="s">
        <v>643</v>
      </c>
      <c r="C55" s="206">
        <v>21</v>
      </c>
      <c r="D55" s="206">
        <v>1</v>
      </c>
      <c r="E55" s="207" t="s">
        <v>185</v>
      </c>
      <c r="F55" s="207" t="s">
        <v>184</v>
      </c>
      <c r="G55" s="207" t="s">
        <v>185</v>
      </c>
      <c r="H55" s="214" t="s">
        <v>939</v>
      </c>
      <c r="I55" s="214">
        <v>0</v>
      </c>
      <c r="J55" s="214" t="s">
        <v>1030</v>
      </c>
      <c r="K55" s="214">
        <v>1</v>
      </c>
      <c r="L55" s="210"/>
      <c r="M55" s="206" t="s">
        <v>87</v>
      </c>
      <c r="N55" s="206" t="s">
        <v>714</v>
      </c>
      <c r="O55" s="206" t="s">
        <v>447</v>
      </c>
      <c r="P55" s="210">
        <f ca="1">IF($B55="N/A", "N/A", VLOOKUP($B55, INDIRECT(Config!$B$1), HLOOKUP(P$1, INDIRECT(Config!$E$1), 2, FALSE),FALSE))</f>
        <v>1</v>
      </c>
      <c r="Q55" s="210">
        <f ca="1">IF($B55="N/A", "N/A", VLOOKUP($B55, INDIRECT(Config!$B$1), HLOOKUP(Q$1, INDIRECT(Config!$E$1), 2, FALSE),FALSE))</f>
        <v>0</v>
      </c>
      <c r="R55" s="210">
        <f ca="1">IF($B55="N/A", "N/A", VLOOKUP($B55, INDIRECT(Config!$B$1), HLOOKUP(R$1, INDIRECT(Config!$E$1), 2, FALSE),FALSE))</f>
        <v>0</v>
      </c>
    </row>
    <row r="56" spans="1:18" ht="14.55" customHeight="1" x14ac:dyDescent="0.3">
      <c r="A56" s="324"/>
      <c r="B56" s="16" t="s">
        <v>186</v>
      </c>
      <c r="C56" s="206">
        <v>22</v>
      </c>
      <c r="D56" s="206">
        <v>2</v>
      </c>
      <c r="E56" s="207" t="s">
        <v>188</v>
      </c>
      <c r="F56" s="207" t="s">
        <v>187</v>
      </c>
      <c r="G56" s="207" t="s">
        <v>188</v>
      </c>
      <c r="H56" s="209" t="s">
        <v>965</v>
      </c>
      <c r="I56" s="209">
        <v>2</v>
      </c>
      <c r="J56" s="209" t="s">
        <v>1031</v>
      </c>
      <c r="K56" s="209">
        <v>0</v>
      </c>
      <c r="L56" s="210"/>
      <c r="M56" s="206" t="s">
        <v>87</v>
      </c>
      <c r="N56" s="206" t="s">
        <v>715</v>
      </c>
      <c r="O56" s="206" t="s">
        <v>448</v>
      </c>
      <c r="P56" s="210">
        <f ca="1">IF($B56="N/A", "N/A", VLOOKUP($B56, INDIRECT(Config!$B$1), HLOOKUP(P$1, INDIRECT(Config!$E$1), 2, FALSE),FALSE))</f>
        <v>1</v>
      </c>
      <c r="Q56" s="210">
        <f ca="1">IF($B56="N/A", "N/A", VLOOKUP($B56, INDIRECT(Config!$B$1), HLOOKUP(Q$1, INDIRECT(Config!$E$1), 2, FALSE),FALSE))</f>
        <v>0</v>
      </c>
      <c r="R56" s="210">
        <f ca="1">IF($B56="N/A", "N/A", VLOOKUP($B56, INDIRECT(Config!$B$1), HLOOKUP(R$1, INDIRECT(Config!$E$1), 2, FALSE),FALSE))</f>
        <v>0</v>
      </c>
    </row>
    <row r="57" spans="1:18" ht="14.55" customHeight="1" x14ac:dyDescent="0.3">
      <c r="A57" s="324"/>
      <c r="B57" s="4" t="s">
        <v>612</v>
      </c>
      <c r="C57" s="206">
        <v>24</v>
      </c>
      <c r="D57" s="206">
        <v>8</v>
      </c>
      <c r="E57" s="207" t="s">
        <v>189</v>
      </c>
      <c r="F57" s="207" t="s">
        <v>189</v>
      </c>
      <c r="G57" s="208" t="s">
        <v>190</v>
      </c>
      <c r="H57" s="209" t="s">
        <v>1087</v>
      </c>
      <c r="I57" s="209">
        <v>0</v>
      </c>
      <c r="J57" s="209" t="s">
        <v>1086</v>
      </c>
      <c r="K57" s="209">
        <v>0</v>
      </c>
      <c r="L57" s="210" t="s">
        <v>17</v>
      </c>
      <c r="M57" s="206" t="s">
        <v>87</v>
      </c>
      <c r="N57" s="206" t="s">
        <v>716</v>
      </c>
      <c r="O57" s="206" t="s">
        <v>449</v>
      </c>
      <c r="P57" s="211">
        <f>IF($B57="N/A", "N/A", 1)</f>
        <v>1</v>
      </c>
      <c r="Q57" s="211">
        <f>IF($B57="N/A", "N/A", 1)</f>
        <v>1</v>
      </c>
      <c r="R57" s="211">
        <f>IF($B57="N/A", "N/A", 1)</f>
        <v>1</v>
      </c>
    </row>
    <row r="58" spans="1:18" ht="14.55" customHeight="1" x14ac:dyDescent="0.3">
      <c r="A58" s="324" t="s">
        <v>191</v>
      </c>
      <c r="B58" s="16" t="s">
        <v>394</v>
      </c>
      <c r="C58" s="206">
        <v>0</v>
      </c>
      <c r="D58" s="206">
        <v>15</v>
      </c>
      <c r="E58" s="207" t="s">
        <v>192</v>
      </c>
      <c r="F58" s="207" t="s">
        <v>192</v>
      </c>
      <c r="G58" s="208" t="s">
        <v>193</v>
      </c>
      <c r="H58" s="209" t="s">
        <v>966</v>
      </c>
      <c r="I58" s="209" t="s">
        <v>1143</v>
      </c>
      <c r="J58" s="209" t="s">
        <v>1032</v>
      </c>
      <c r="K58" s="209" t="s">
        <v>1143</v>
      </c>
      <c r="L58" s="216" t="s">
        <v>667</v>
      </c>
      <c r="M58" s="206" t="s">
        <v>87</v>
      </c>
      <c r="N58" s="206" t="s">
        <v>717</v>
      </c>
      <c r="O58" s="206" t="s">
        <v>450</v>
      </c>
      <c r="P58" s="210">
        <f ca="1">IF($B58="N/A", "N/A", VLOOKUP($B58, INDIRECT(Config!$B$1), HLOOKUP(P$1, INDIRECT(Config!$E$1), 2, FALSE),FALSE))</f>
        <v>13</v>
      </c>
      <c r="Q58" s="210">
        <f ca="1">IF($B58="N/A", "N/A", VLOOKUP($B58, INDIRECT(Config!$B$1), HLOOKUP(Q$1, INDIRECT(Config!$E$1), 2, FALSE),FALSE))</f>
        <v>4</v>
      </c>
      <c r="R58" s="210">
        <f ca="1">IF($B58="N/A", "N/A", VLOOKUP($B58, INDIRECT(Config!$B$1), HLOOKUP(R$1, INDIRECT(Config!$E$1), 2, FALSE),FALSE))</f>
        <v>5</v>
      </c>
    </row>
    <row r="59" spans="1:18" ht="14.55" customHeight="1" x14ac:dyDescent="0.3">
      <c r="A59" s="324"/>
      <c r="B59" s="16" t="s">
        <v>645</v>
      </c>
      <c r="C59" s="206">
        <v>15</v>
      </c>
      <c r="D59" s="206">
        <v>1</v>
      </c>
      <c r="E59" s="207" t="s">
        <v>195</v>
      </c>
      <c r="F59" s="207" t="s">
        <v>194</v>
      </c>
      <c r="G59" s="207" t="s">
        <v>195</v>
      </c>
      <c r="H59" s="209" t="s">
        <v>940</v>
      </c>
      <c r="I59" s="209">
        <v>0</v>
      </c>
      <c r="J59" s="209" t="s">
        <v>1033</v>
      </c>
      <c r="K59" s="209">
        <v>1</v>
      </c>
      <c r="L59" s="216" t="s">
        <v>1107</v>
      </c>
      <c r="M59" s="206" t="s">
        <v>87</v>
      </c>
      <c r="N59" s="206" t="s">
        <v>718</v>
      </c>
      <c r="O59" s="206" t="s">
        <v>451</v>
      </c>
      <c r="P59" s="210">
        <f ca="1">IF($B59="N/A", "N/A", VLOOKUP($B59, INDIRECT(Config!$B$1), HLOOKUP(P$1, INDIRECT(Config!$E$1), 2, FALSE),FALSE))</f>
        <v>1</v>
      </c>
      <c r="Q59" s="210">
        <f ca="1">IF($B59="N/A", "N/A", VLOOKUP($B59, INDIRECT(Config!$B$1), HLOOKUP(Q$1, INDIRECT(Config!$E$1), 2, FALSE),FALSE))</f>
        <v>0</v>
      </c>
      <c r="R59" s="210">
        <f ca="1">IF($B59="N/A", "N/A", VLOOKUP($B59, INDIRECT(Config!$B$1), HLOOKUP(R$1, INDIRECT(Config!$E$1), 2, FALSE),FALSE))</f>
        <v>0</v>
      </c>
    </row>
    <row r="60" spans="1:18" ht="14.55" customHeight="1" x14ac:dyDescent="0.3">
      <c r="A60" s="324"/>
      <c r="B60" s="16" t="s">
        <v>649</v>
      </c>
      <c r="C60" s="206">
        <v>16</v>
      </c>
      <c r="D60" s="206">
        <v>1</v>
      </c>
      <c r="E60" s="207" t="s">
        <v>197</v>
      </c>
      <c r="F60" s="207" t="s">
        <v>196</v>
      </c>
      <c r="G60" s="207" t="s">
        <v>197</v>
      </c>
      <c r="H60" s="209" t="s">
        <v>941</v>
      </c>
      <c r="I60" s="209">
        <v>0</v>
      </c>
      <c r="J60" s="209" t="s">
        <v>1034</v>
      </c>
      <c r="K60" s="209">
        <v>0</v>
      </c>
      <c r="L60" s="216" t="s">
        <v>1107</v>
      </c>
      <c r="M60" s="206" t="s">
        <v>87</v>
      </c>
      <c r="N60" s="206" t="s">
        <v>719</v>
      </c>
      <c r="O60" s="206" t="s">
        <v>452</v>
      </c>
      <c r="P60" s="210">
        <f ca="1">IF($B60="N/A", "N/A", VLOOKUP($B60, INDIRECT(Config!$B$1), HLOOKUP(P$1, INDIRECT(Config!$E$1), 2, FALSE),FALSE))</f>
        <v>1</v>
      </c>
      <c r="Q60" s="210">
        <f ca="1">IF($B60="N/A", "N/A", VLOOKUP($B60, INDIRECT(Config!$B$1), HLOOKUP(Q$1, INDIRECT(Config!$E$1), 2, FALSE),FALSE))</f>
        <v>0</v>
      </c>
      <c r="R60" s="210">
        <f ca="1">IF($B60="N/A", "N/A", VLOOKUP($B60, INDIRECT(Config!$B$1), HLOOKUP(R$1, INDIRECT(Config!$E$1), 2, FALSE),FALSE))</f>
        <v>0</v>
      </c>
    </row>
    <row r="61" spans="1:18" ht="14.55" customHeight="1" x14ac:dyDescent="0.3">
      <c r="A61" s="324"/>
      <c r="B61" s="7" t="s">
        <v>535</v>
      </c>
      <c r="C61" s="206">
        <v>17</v>
      </c>
      <c r="D61" s="206">
        <v>1</v>
      </c>
      <c r="E61" s="247" t="s">
        <v>237</v>
      </c>
      <c r="F61" s="218" t="s">
        <v>237</v>
      </c>
      <c r="G61" s="206" t="s">
        <v>198</v>
      </c>
      <c r="H61" s="209" t="s">
        <v>942</v>
      </c>
      <c r="I61" s="209">
        <v>0</v>
      </c>
      <c r="J61" s="209" t="s">
        <v>1035</v>
      </c>
      <c r="K61" s="209">
        <v>0</v>
      </c>
      <c r="L61" s="216" t="s">
        <v>667</v>
      </c>
      <c r="M61" s="206" t="s">
        <v>87</v>
      </c>
      <c r="N61" s="206" t="s">
        <v>805</v>
      </c>
      <c r="O61" s="206" t="s">
        <v>543</v>
      </c>
      <c r="P61" s="210">
        <f ca="1">IF($B61="N/A", "N/A", VLOOKUP($B61, INDIRECT(Config!$B$1), HLOOKUP(P$1, INDIRECT(Config!$E$1), 2, FALSE),FALSE))</f>
        <v>0</v>
      </c>
      <c r="Q61" s="210">
        <f ca="1">IF($B61="N/A", "N/A", VLOOKUP($B61, INDIRECT(Config!$B$1), HLOOKUP(Q$1, INDIRECT(Config!$E$1), 2, FALSE),FALSE))</f>
        <v>0</v>
      </c>
      <c r="R61" s="210">
        <f ca="1">IF($B61="N/A", "N/A", VLOOKUP($B61, INDIRECT(Config!$B$1), HLOOKUP(R$1, INDIRECT(Config!$E$1), 2, FALSE),FALSE))</f>
        <v>1</v>
      </c>
    </row>
    <row r="62" spans="1:18" ht="14.55" customHeight="1" x14ac:dyDescent="0.3">
      <c r="A62" s="324"/>
      <c r="B62" s="4" t="s">
        <v>612</v>
      </c>
      <c r="C62" s="206">
        <v>18</v>
      </c>
      <c r="D62" s="206">
        <v>3</v>
      </c>
      <c r="E62" s="207" t="s">
        <v>199</v>
      </c>
      <c r="F62" s="207" t="s">
        <v>199</v>
      </c>
      <c r="G62" s="208" t="s">
        <v>200</v>
      </c>
      <c r="H62" s="209" t="s">
        <v>968</v>
      </c>
      <c r="I62" s="209">
        <v>0</v>
      </c>
      <c r="J62" s="209" t="s">
        <v>1036</v>
      </c>
      <c r="K62" s="209">
        <v>0</v>
      </c>
      <c r="L62" s="216" t="s">
        <v>1107</v>
      </c>
      <c r="M62" s="206" t="s">
        <v>87</v>
      </c>
      <c r="N62" s="206" t="s">
        <v>721</v>
      </c>
      <c r="O62" s="206" t="s">
        <v>453</v>
      </c>
      <c r="P62" s="211">
        <f>IF($B62="N/A", "N/A", 1)</f>
        <v>1</v>
      </c>
      <c r="Q62" s="211">
        <f>IF($B62="N/A", "N/A", 1)</f>
        <v>1</v>
      </c>
      <c r="R62" s="211">
        <f>IF($B62="N/A", "N/A", 1)</f>
        <v>1</v>
      </c>
    </row>
    <row r="63" spans="1:18" ht="14.55" customHeight="1" x14ac:dyDescent="0.3">
      <c r="A63" s="324"/>
      <c r="B63" s="2" t="s">
        <v>48</v>
      </c>
      <c r="C63" s="208">
        <v>21</v>
      </c>
      <c r="D63" s="208">
        <v>1</v>
      </c>
      <c r="E63" s="207" t="s">
        <v>1156</v>
      </c>
      <c r="F63" s="208"/>
      <c r="G63" s="206" t="s">
        <v>1131</v>
      </c>
      <c r="H63" s="215" t="s">
        <v>1132</v>
      </c>
      <c r="I63" s="215">
        <v>0</v>
      </c>
      <c r="J63" s="215" t="s">
        <v>1133</v>
      </c>
      <c r="K63" s="215">
        <v>0</v>
      </c>
      <c r="L63" s="216" t="s">
        <v>1107</v>
      </c>
      <c r="M63" s="206"/>
      <c r="N63" s="206" t="s">
        <v>1134</v>
      </c>
      <c r="O63" s="206" t="s">
        <v>459</v>
      </c>
      <c r="P63" s="211" t="str">
        <f ca="1">IF($B63="N/A", "N/A", VLOOKUP($B63, INDIRECT(Config!$B$1), HLOOKUP(P$1, INDIRECT(Config!$E$1), 2, FALSE),FALSE))</f>
        <v>N/A</v>
      </c>
      <c r="Q63" s="211" t="str">
        <f ca="1">IF($B63="N/A", "N/A", VLOOKUP($B63, INDIRECT(Config!$B$1), HLOOKUP(Q$1, INDIRECT(Config!$E$1), 2, FALSE),FALSE))</f>
        <v>N/A</v>
      </c>
      <c r="R63" s="211" t="str">
        <f ca="1">IF($B63="N/A", "N/A", VLOOKUP($B63, INDIRECT(Config!$B$1), HLOOKUP(R$1, INDIRECT(Config!$E$1), 2, FALSE),FALSE))</f>
        <v>N/A</v>
      </c>
    </row>
    <row r="64" spans="1:18" ht="14.55" customHeight="1" x14ac:dyDescent="0.3">
      <c r="A64" s="324"/>
      <c r="B64" s="2" t="s">
        <v>48</v>
      </c>
      <c r="C64" s="208">
        <v>22</v>
      </c>
      <c r="D64" s="208">
        <v>1</v>
      </c>
      <c r="E64" s="15"/>
      <c r="F64" s="208"/>
      <c r="G64" s="206" t="s">
        <v>1135</v>
      </c>
      <c r="H64" s="215" t="s">
        <v>1137</v>
      </c>
      <c r="I64" s="215">
        <v>0</v>
      </c>
      <c r="J64" s="215" t="s">
        <v>1139</v>
      </c>
      <c r="K64" s="215">
        <v>0</v>
      </c>
      <c r="L64" s="216" t="s">
        <v>1107</v>
      </c>
      <c r="M64" s="206"/>
      <c r="N64" s="206" t="s">
        <v>1141</v>
      </c>
      <c r="O64" s="206" t="s">
        <v>459</v>
      </c>
      <c r="P64" s="211" t="str">
        <f ca="1">IF($B64="N/A", "N/A", VLOOKUP($B64, INDIRECT(Config!$B$1), HLOOKUP(P$1, INDIRECT(Config!$E$1), 2, FALSE),FALSE))</f>
        <v>N/A</v>
      </c>
      <c r="Q64" s="211" t="str">
        <f ca="1">IF($B64="N/A", "N/A", VLOOKUP($B64, INDIRECT(Config!$B$1), HLOOKUP(Q$1, INDIRECT(Config!$E$1), 2, FALSE),FALSE))</f>
        <v>N/A</v>
      </c>
      <c r="R64" s="211" t="str">
        <f ca="1">IF($B64="N/A", "N/A", VLOOKUP($B64, INDIRECT(Config!$B$1), HLOOKUP(R$1, INDIRECT(Config!$E$1), 2, FALSE),FALSE))</f>
        <v>N/A</v>
      </c>
    </row>
    <row r="65" spans="1:18" ht="14.55" customHeight="1" x14ac:dyDescent="0.3">
      <c r="A65" s="324"/>
      <c r="B65" s="2" t="s">
        <v>48</v>
      </c>
      <c r="C65" s="208">
        <v>23</v>
      </c>
      <c r="D65" s="208">
        <v>1</v>
      </c>
      <c r="E65" s="15"/>
      <c r="F65" s="208"/>
      <c r="G65" s="206" t="s">
        <v>1136</v>
      </c>
      <c r="H65" s="215" t="s">
        <v>1138</v>
      </c>
      <c r="I65" s="215">
        <v>0</v>
      </c>
      <c r="J65" s="215" t="s">
        <v>1140</v>
      </c>
      <c r="K65" s="215">
        <v>0</v>
      </c>
      <c r="L65" s="216" t="s">
        <v>1107</v>
      </c>
      <c r="M65" s="206"/>
      <c r="N65" s="206" t="s">
        <v>1142</v>
      </c>
      <c r="O65" s="206" t="s">
        <v>459</v>
      </c>
      <c r="P65" s="211" t="str">
        <f ca="1">IF($B65="N/A", "N/A", VLOOKUP($B65, INDIRECT(Config!$B$1), HLOOKUP(P$1, INDIRECT(Config!$E$1), 2, FALSE),FALSE))</f>
        <v>N/A</v>
      </c>
      <c r="Q65" s="211" t="str">
        <f ca="1">IF($B65="N/A", "N/A", VLOOKUP($B65, INDIRECT(Config!$B$1), HLOOKUP(Q$1, INDIRECT(Config!$E$1), 2, FALSE),FALSE))</f>
        <v>N/A</v>
      </c>
      <c r="R65" s="211" t="str">
        <f ca="1">IF($B65="N/A", "N/A", VLOOKUP($B65, INDIRECT(Config!$B$1), HLOOKUP(R$1, INDIRECT(Config!$E$1), 2, FALSE),FALSE))</f>
        <v>N/A</v>
      </c>
    </row>
    <row r="66" spans="1:18" ht="14.55" customHeight="1" x14ac:dyDescent="0.3">
      <c r="A66" s="324"/>
      <c r="B66" s="4" t="s">
        <v>612</v>
      </c>
      <c r="C66" s="206">
        <v>24</v>
      </c>
      <c r="D66" s="206">
        <v>4</v>
      </c>
      <c r="E66" s="207" t="s">
        <v>201</v>
      </c>
      <c r="F66" s="207" t="s">
        <v>201</v>
      </c>
      <c r="G66" s="208" t="s">
        <v>202</v>
      </c>
      <c r="H66" s="209" t="s">
        <v>969</v>
      </c>
      <c r="I66" s="209">
        <v>0</v>
      </c>
      <c r="J66" s="209" t="s">
        <v>1037</v>
      </c>
      <c r="K66" s="209">
        <v>0</v>
      </c>
      <c r="L66" s="210"/>
      <c r="M66" s="206" t="s">
        <v>87</v>
      </c>
      <c r="N66" s="206" t="s">
        <v>725</v>
      </c>
      <c r="O66" s="206" t="s">
        <v>453</v>
      </c>
      <c r="P66" s="211">
        <f t="shared" ref="P66:R72" si="3">IF($B66="N/A", "N/A", 1)</f>
        <v>1</v>
      </c>
      <c r="Q66" s="211">
        <f t="shared" si="3"/>
        <v>1</v>
      </c>
      <c r="R66" s="211">
        <f t="shared" si="3"/>
        <v>1</v>
      </c>
    </row>
    <row r="67" spans="1:18" ht="14.55" customHeight="1" x14ac:dyDescent="0.3">
      <c r="A67" s="324"/>
      <c r="B67" s="4" t="s">
        <v>612</v>
      </c>
      <c r="C67" s="206">
        <v>28</v>
      </c>
      <c r="D67" s="206">
        <v>4</v>
      </c>
      <c r="E67" s="207" t="s">
        <v>203</v>
      </c>
      <c r="F67" s="207" t="s">
        <v>203</v>
      </c>
      <c r="G67" s="208" t="s">
        <v>204</v>
      </c>
      <c r="H67" s="209" t="s">
        <v>970</v>
      </c>
      <c r="I67" s="209">
        <v>0</v>
      </c>
      <c r="J67" s="209" t="s">
        <v>1038</v>
      </c>
      <c r="K67" s="209">
        <v>0</v>
      </c>
      <c r="L67" s="210"/>
      <c r="M67" s="206" t="s">
        <v>87</v>
      </c>
      <c r="N67" s="206" t="s">
        <v>726</v>
      </c>
      <c r="O67" s="206" t="s">
        <v>453</v>
      </c>
      <c r="P67" s="211">
        <f t="shared" si="3"/>
        <v>1</v>
      </c>
      <c r="Q67" s="211">
        <f t="shared" si="3"/>
        <v>1</v>
      </c>
      <c r="R67" s="211">
        <f t="shared" si="3"/>
        <v>1</v>
      </c>
    </row>
    <row r="68" spans="1:18" ht="14.55" customHeight="1" x14ac:dyDescent="0.3">
      <c r="A68" s="324" t="s">
        <v>32</v>
      </c>
      <c r="B68" s="4" t="s">
        <v>612</v>
      </c>
      <c r="C68" s="206">
        <v>0</v>
      </c>
      <c r="D68" s="206">
        <v>1</v>
      </c>
      <c r="E68" s="207" t="s">
        <v>206</v>
      </c>
      <c r="F68" s="252" t="s">
        <v>1128</v>
      </c>
      <c r="G68" s="207" t="s">
        <v>206</v>
      </c>
      <c r="H68" s="209" t="s">
        <v>943</v>
      </c>
      <c r="I68" s="209">
        <v>0</v>
      </c>
      <c r="J68" s="209" t="s">
        <v>1039</v>
      </c>
      <c r="K68" s="209">
        <v>1</v>
      </c>
      <c r="L68" s="216" t="s">
        <v>1107</v>
      </c>
      <c r="M68" s="206" t="s">
        <v>66</v>
      </c>
      <c r="N68" s="206" t="s">
        <v>727</v>
      </c>
      <c r="O68" s="217" t="s">
        <v>454</v>
      </c>
      <c r="P68" s="211">
        <f t="shared" si="3"/>
        <v>1</v>
      </c>
      <c r="Q68" s="211">
        <f t="shared" si="3"/>
        <v>1</v>
      </c>
      <c r="R68" s="211">
        <v>0</v>
      </c>
    </row>
    <row r="69" spans="1:18" ht="14.55" customHeight="1" x14ac:dyDescent="0.3">
      <c r="A69" s="324"/>
      <c r="B69" s="4" t="s">
        <v>612</v>
      </c>
      <c r="C69" s="206">
        <v>1</v>
      </c>
      <c r="D69" s="206">
        <v>1</v>
      </c>
      <c r="E69" s="207" t="s">
        <v>207</v>
      </c>
      <c r="F69" s="252" t="s">
        <v>1129</v>
      </c>
      <c r="G69" s="207" t="s">
        <v>207</v>
      </c>
      <c r="H69" s="209" t="s">
        <v>944</v>
      </c>
      <c r="I69" s="209">
        <v>0</v>
      </c>
      <c r="J69" s="209" t="s">
        <v>1040</v>
      </c>
      <c r="K69" s="209">
        <v>0</v>
      </c>
      <c r="L69" s="216" t="s">
        <v>1107</v>
      </c>
      <c r="M69" s="206" t="s">
        <v>66</v>
      </c>
      <c r="N69" s="206" t="s">
        <v>728</v>
      </c>
      <c r="O69" s="206" t="s">
        <v>455</v>
      </c>
      <c r="P69" s="211">
        <f t="shared" si="3"/>
        <v>1</v>
      </c>
      <c r="Q69" s="211">
        <f t="shared" si="3"/>
        <v>1</v>
      </c>
      <c r="R69" s="211">
        <v>0</v>
      </c>
    </row>
    <row r="70" spans="1:18" ht="14.55" customHeight="1" x14ac:dyDescent="0.3">
      <c r="A70" s="324"/>
      <c r="B70" s="4" t="s">
        <v>612</v>
      </c>
      <c r="C70" s="206">
        <v>2</v>
      </c>
      <c r="D70" s="206">
        <v>1</v>
      </c>
      <c r="E70" s="207" t="s">
        <v>208</v>
      </c>
      <c r="F70" s="252" t="s">
        <v>1130</v>
      </c>
      <c r="G70" s="207" t="s">
        <v>208</v>
      </c>
      <c r="H70" s="209" t="s">
        <v>945</v>
      </c>
      <c r="I70" s="209">
        <v>0</v>
      </c>
      <c r="J70" s="209" t="s">
        <v>1041</v>
      </c>
      <c r="K70" s="209">
        <v>0</v>
      </c>
      <c r="L70" s="216" t="s">
        <v>1107</v>
      </c>
      <c r="M70" s="206" t="s">
        <v>66</v>
      </c>
      <c r="N70" s="206" t="s">
        <v>729</v>
      </c>
      <c r="O70" s="217" t="s">
        <v>456</v>
      </c>
      <c r="P70" s="211">
        <f t="shared" si="3"/>
        <v>1</v>
      </c>
      <c r="Q70" s="211">
        <f t="shared" si="3"/>
        <v>1</v>
      </c>
      <c r="R70" s="211">
        <v>0</v>
      </c>
    </row>
    <row r="71" spans="1:18" ht="14.55" customHeight="1" x14ac:dyDescent="0.3">
      <c r="A71" s="324"/>
      <c r="B71" s="4" t="s">
        <v>612</v>
      </c>
      <c r="C71" s="206">
        <v>3</v>
      </c>
      <c r="D71" s="206">
        <v>1</v>
      </c>
      <c r="E71" s="207" t="s">
        <v>209</v>
      </c>
      <c r="F71" s="207" t="s">
        <v>209</v>
      </c>
      <c r="G71" s="208" t="s">
        <v>210</v>
      </c>
      <c r="H71" s="209" t="s">
        <v>946</v>
      </c>
      <c r="I71" s="209">
        <v>0</v>
      </c>
      <c r="J71" s="209" t="s">
        <v>1042</v>
      </c>
      <c r="K71" s="209">
        <v>1</v>
      </c>
      <c r="L71" s="216" t="s">
        <v>667</v>
      </c>
      <c r="M71" s="206" t="s">
        <v>69</v>
      </c>
      <c r="N71" s="206" t="s">
        <v>730</v>
      </c>
      <c r="O71" s="206" t="s">
        <v>526</v>
      </c>
      <c r="P71" s="211">
        <f t="shared" si="3"/>
        <v>1</v>
      </c>
      <c r="Q71" s="211">
        <f t="shared" si="3"/>
        <v>1</v>
      </c>
      <c r="R71" s="211">
        <v>1</v>
      </c>
    </row>
    <row r="72" spans="1:18" ht="14.55" customHeight="1" x14ac:dyDescent="0.3">
      <c r="A72" s="324"/>
      <c r="B72" s="4" t="s">
        <v>612</v>
      </c>
      <c r="C72" s="206">
        <v>4</v>
      </c>
      <c r="D72" s="206">
        <v>1</v>
      </c>
      <c r="E72" s="207" t="s">
        <v>211</v>
      </c>
      <c r="F72" s="207" t="s">
        <v>211</v>
      </c>
      <c r="G72" s="208" t="s">
        <v>212</v>
      </c>
      <c r="H72" s="209" t="s">
        <v>947</v>
      </c>
      <c r="I72" s="209">
        <v>0</v>
      </c>
      <c r="J72" s="209" t="s">
        <v>1043</v>
      </c>
      <c r="K72" s="209">
        <v>0</v>
      </c>
      <c r="L72" s="216" t="s">
        <v>1107</v>
      </c>
      <c r="M72" s="206" t="s">
        <v>69</v>
      </c>
      <c r="N72" s="206" t="s">
        <v>731</v>
      </c>
      <c r="O72" s="206" t="s">
        <v>527</v>
      </c>
      <c r="P72" s="211">
        <f t="shared" si="3"/>
        <v>1</v>
      </c>
      <c r="Q72" s="211">
        <f t="shared" si="3"/>
        <v>1</v>
      </c>
      <c r="R72" s="211">
        <f t="shared" si="3"/>
        <v>1</v>
      </c>
    </row>
    <row r="73" spans="1:18" ht="14.55" customHeight="1" x14ac:dyDescent="0.3">
      <c r="A73" s="324"/>
      <c r="B73" s="2" t="s">
        <v>48</v>
      </c>
      <c r="C73" s="208">
        <v>5</v>
      </c>
      <c r="D73" s="208">
        <v>1</v>
      </c>
      <c r="E73" s="207" t="s">
        <v>213</v>
      </c>
      <c r="F73" s="208"/>
      <c r="G73" s="206" t="s">
        <v>213</v>
      </c>
      <c r="H73" s="215" t="s">
        <v>948</v>
      </c>
      <c r="I73" s="215">
        <v>0</v>
      </c>
      <c r="J73" s="215" t="s">
        <v>1044</v>
      </c>
      <c r="K73" s="215">
        <v>0</v>
      </c>
      <c r="L73" s="216" t="s">
        <v>1107</v>
      </c>
      <c r="M73" s="206"/>
      <c r="N73" s="206" t="s">
        <v>787</v>
      </c>
      <c r="O73" s="206" t="s">
        <v>459</v>
      </c>
      <c r="P73" s="211" t="str">
        <f ca="1">IF($B73="N/A", "N/A", VLOOKUP($B73, INDIRECT(Config!$B$1), HLOOKUP(P$1, INDIRECT(Config!$E$1), 2, FALSE),FALSE))</f>
        <v>N/A</v>
      </c>
      <c r="Q73" s="211" t="str">
        <f ca="1">IF($B73="N/A", "N/A", VLOOKUP($B73, INDIRECT(Config!$B$1), HLOOKUP(Q$1, INDIRECT(Config!$E$1), 2, FALSE),FALSE))</f>
        <v>N/A</v>
      </c>
      <c r="R73" s="211" t="str">
        <f ca="1">IF($B73="N/A", "N/A", VLOOKUP($B73, INDIRECT(Config!$B$1), HLOOKUP(R$1, INDIRECT(Config!$E$1), 2, FALSE),FALSE))</f>
        <v>N/A</v>
      </c>
    </row>
    <row r="74" spans="1:18" ht="14.55" customHeight="1" x14ac:dyDescent="0.3">
      <c r="A74" s="324"/>
      <c r="B74" s="2" t="s">
        <v>214</v>
      </c>
      <c r="C74" s="208">
        <v>6</v>
      </c>
      <c r="D74" s="208">
        <v>1</v>
      </c>
      <c r="E74" s="207" t="s">
        <v>216</v>
      </c>
      <c r="F74" s="208" t="s">
        <v>215</v>
      </c>
      <c r="G74" s="207" t="s">
        <v>216</v>
      </c>
      <c r="H74" s="209" t="s">
        <v>949</v>
      </c>
      <c r="I74" s="209">
        <v>1</v>
      </c>
      <c r="J74" s="209" t="s">
        <v>1045</v>
      </c>
      <c r="K74" s="209">
        <v>0</v>
      </c>
      <c r="L74" s="216" t="s">
        <v>1107</v>
      </c>
      <c r="M74" s="206" t="s">
        <v>66</v>
      </c>
      <c r="N74" s="206" t="s">
        <v>732</v>
      </c>
      <c r="O74" s="206" t="s">
        <v>528</v>
      </c>
      <c r="P74" s="210">
        <f ca="1">IF($B74="N/A", "N/A", VLOOKUP($B74, INDIRECT(Config!$B$1), HLOOKUP(P$1, INDIRECT(Config!$E$1), 2, FALSE),FALSE))</f>
        <v>0</v>
      </c>
      <c r="Q74" s="210">
        <f ca="1">IF($B74="N/A", "N/A", VLOOKUP($B74, INDIRECT(Config!$B$1), HLOOKUP(Q$1, INDIRECT(Config!$E$1), 2, FALSE),FALSE))</f>
        <v>0</v>
      </c>
      <c r="R74" s="210">
        <f ca="1">IF($B74="N/A", "N/A", VLOOKUP($B74, INDIRECT(Config!$B$1), HLOOKUP(R$1, INDIRECT(Config!$E$1), 2, FALSE),FALSE))</f>
        <v>0</v>
      </c>
    </row>
    <row r="75" spans="1:18" ht="14.55" customHeight="1" x14ac:dyDescent="0.3">
      <c r="A75" s="324"/>
      <c r="B75" s="2" t="s">
        <v>214</v>
      </c>
      <c r="C75" s="208">
        <v>7</v>
      </c>
      <c r="D75" s="208">
        <v>1</v>
      </c>
      <c r="E75" s="207" t="s">
        <v>218</v>
      </c>
      <c r="F75" s="208" t="s">
        <v>217</v>
      </c>
      <c r="G75" s="206" t="s">
        <v>218</v>
      </c>
      <c r="H75" s="209" t="s">
        <v>950</v>
      </c>
      <c r="I75" s="209">
        <v>1</v>
      </c>
      <c r="J75" s="209" t="s">
        <v>1046</v>
      </c>
      <c r="K75" s="209">
        <v>0</v>
      </c>
      <c r="L75" s="216" t="s">
        <v>1107</v>
      </c>
      <c r="M75" s="206" t="s">
        <v>66</v>
      </c>
      <c r="N75" s="206" t="s">
        <v>733</v>
      </c>
      <c r="O75" s="206" t="s">
        <v>529</v>
      </c>
      <c r="P75" s="210">
        <f ca="1">IF($B75="N/A", "N/A", VLOOKUP($B75, INDIRECT(Config!$B$1), HLOOKUP(P$1, INDIRECT(Config!$E$1), 2, FALSE),FALSE))</f>
        <v>0</v>
      </c>
      <c r="Q75" s="210">
        <f ca="1">IF($B75="N/A", "N/A", VLOOKUP($B75, INDIRECT(Config!$B$1), HLOOKUP(Q$1, INDIRECT(Config!$E$1), 2, FALSE),FALSE))</f>
        <v>0</v>
      </c>
      <c r="R75" s="210">
        <f ca="1">IF($B75="N/A", "N/A", VLOOKUP($B75, INDIRECT(Config!$B$1), HLOOKUP(R$1, INDIRECT(Config!$E$1), 2, FALSE),FALSE))</f>
        <v>0</v>
      </c>
    </row>
    <row r="76" spans="1:18" ht="14.55" customHeight="1" x14ac:dyDescent="0.3">
      <c r="A76" s="324"/>
      <c r="B76" s="4" t="s">
        <v>612</v>
      </c>
      <c r="C76" s="206">
        <v>8</v>
      </c>
      <c r="D76" s="206">
        <v>1</v>
      </c>
      <c r="E76" s="207" t="s">
        <v>219</v>
      </c>
      <c r="F76" s="207" t="s">
        <v>219</v>
      </c>
      <c r="G76" s="208" t="s">
        <v>220</v>
      </c>
      <c r="H76" s="209" t="s">
        <v>951</v>
      </c>
      <c r="I76" s="209">
        <v>0</v>
      </c>
      <c r="J76" s="209" t="s">
        <v>1047</v>
      </c>
      <c r="K76" s="209">
        <v>0</v>
      </c>
      <c r="L76" s="216" t="s">
        <v>667</v>
      </c>
      <c r="M76" s="206" t="s">
        <v>69</v>
      </c>
      <c r="N76" s="206" t="s">
        <v>734</v>
      </c>
      <c r="O76" s="206" t="s">
        <v>530</v>
      </c>
      <c r="P76" s="211">
        <f>IF($B76="N/A", "N/A", 1)</f>
        <v>1</v>
      </c>
      <c r="Q76" s="211">
        <f>IF($B76="N/A", "N/A", 1)</f>
        <v>1</v>
      </c>
      <c r="R76" s="211">
        <f>IF($B76="N/A", "N/A", 1)</f>
        <v>1</v>
      </c>
    </row>
    <row r="77" spans="1:18" ht="14.55" customHeight="1" x14ac:dyDescent="0.3">
      <c r="A77" s="324"/>
      <c r="B77" s="16" t="s">
        <v>221</v>
      </c>
      <c r="C77" s="206">
        <v>9</v>
      </c>
      <c r="D77" s="206">
        <v>7</v>
      </c>
      <c r="E77" s="207" t="s">
        <v>223</v>
      </c>
      <c r="F77" s="207" t="s">
        <v>222</v>
      </c>
      <c r="G77" s="207" t="s">
        <v>223</v>
      </c>
      <c r="H77" s="209" t="s">
        <v>967</v>
      </c>
      <c r="I77" s="209">
        <v>0</v>
      </c>
      <c r="J77" s="209" t="s">
        <v>1048</v>
      </c>
      <c r="K77" s="209">
        <v>0</v>
      </c>
      <c r="L77" s="216" t="s">
        <v>1107</v>
      </c>
      <c r="M77" s="206" t="s">
        <v>87</v>
      </c>
      <c r="N77" s="206" t="s">
        <v>735</v>
      </c>
      <c r="O77" s="206" t="s">
        <v>531</v>
      </c>
      <c r="P77" s="210">
        <f ca="1">IF($B77="N/A", "N/A", VLOOKUP($B77, INDIRECT(Config!$B$1), HLOOKUP(P$1, INDIRECT(Config!$E$1), 2, FALSE),FALSE))</f>
        <v>0</v>
      </c>
      <c r="Q77" s="210">
        <f ca="1">IF($B77="N/A", "N/A", VLOOKUP($B77, INDIRECT(Config!$B$1), HLOOKUP(Q$1, INDIRECT(Config!$E$1), 2, FALSE),FALSE))</f>
        <v>0</v>
      </c>
      <c r="R77" s="210">
        <f ca="1">IF($B77="N/A", "N/A", VLOOKUP($B77, INDIRECT(Config!$B$1), HLOOKUP(R$1, INDIRECT(Config!$E$1), 2, FALSE),FALSE))</f>
        <v>0</v>
      </c>
    </row>
    <row r="78" spans="1:18" ht="14.55" customHeight="1" x14ac:dyDescent="0.3">
      <c r="A78" s="324"/>
      <c r="B78" s="16" t="s">
        <v>224</v>
      </c>
      <c r="C78" s="206">
        <v>16</v>
      </c>
      <c r="D78" s="206">
        <v>1</v>
      </c>
      <c r="E78" s="207" t="s">
        <v>226</v>
      </c>
      <c r="F78" s="207" t="s">
        <v>225</v>
      </c>
      <c r="G78" s="207" t="s">
        <v>226</v>
      </c>
      <c r="H78" s="209" t="s">
        <v>952</v>
      </c>
      <c r="I78" s="209">
        <v>0</v>
      </c>
      <c r="J78" s="209" t="s">
        <v>1049</v>
      </c>
      <c r="K78" s="209">
        <v>0</v>
      </c>
      <c r="L78" s="210" t="s">
        <v>17</v>
      </c>
      <c r="M78" s="206" t="s">
        <v>87</v>
      </c>
      <c r="N78" s="206" t="s">
        <v>736</v>
      </c>
      <c r="O78" s="206" t="s">
        <v>532</v>
      </c>
      <c r="P78" s="210">
        <f ca="1">IF($B78="N/A","N/A",IF(0=VLOOKUP($B78,INDIRECT(Config!$B$1),HLOOKUP(P$1,INDIRECT(Config!$E$1),2,FALSE),FALSE),0,1))</f>
        <v>1</v>
      </c>
      <c r="Q78" s="210">
        <f ca="1">IF($B78="N/A","N/A",IF(0=VLOOKUP($B78,INDIRECT(Config!$B$1),HLOOKUP(Q$1,INDIRECT(Config!$E$1),2,FALSE),FALSE),0,1))</f>
        <v>0</v>
      </c>
      <c r="R78" s="210">
        <f ca="1">IF($B78="N/A","N/A",IF(0=VLOOKUP($B78,INDIRECT(Config!$B$1),HLOOKUP(R$1,INDIRECT(Config!$E$1),2,FALSE),FALSE),0,1))</f>
        <v>0</v>
      </c>
    </row>
    <row r="79" spans="1:18" ht="14.55" customHeight="1" x14ac:dyDescent="0.3">
      <c r="A79" s="324"/>
      <c r="B79" s="4" t="s">
        <v>612</v>
      </c>
      <c r="C79" s="206">
        <v>17</v>
      </c>
      <c r="D79" s="206">
        <v>1</v>
      </c>
      <c r="E79" s="247" t="s">
        <v>673</v>
      </c>
      <c r="F79" s="207" t="s">
        <v>673</v>
      </c>
      <c r="G79" s="208" t="s">
        <v>227</v>
      </c>
      <c r="H79" s="209" t="s">
        <v>953</v>
      </c>
      <c r="I79" s="209">
        <v>0</v>
      </c>
      <c r="J79" s="209" t="s">
        <v>1050</v>
      </c>
      <c r="K79" s="209">
        <v>1</v>
      </c>
      <c r="L79" s="210" t="s">
        <v>17</v>
      </c>
      <c r="M79" s="206" t="s">
        <v>87</v>
      </c>
      <c r="N79" s="206" t="s">
        <v>804</v>
      </c>
      <c r="O79" s="206" t="s">
        <v>674</v>
      </c>
      <c r="P79" s="211">
        <f>IF($B79="N/A", "N/A", 1)</f>
        <v>1</v>
      </c>
      <c r="Q79" s="211">
        <f>IF($B79="N/A", "N/A", 1)</f>
        <v>1</v>
      </c>
      <c r="R79" s="211">
        <f>IF($B79="N/A", "N/A", 1)</f>
        <v>1</v>
      </c>
    </row>
    <row r="80" spans="1:18" ht="14.55" customHeight="1" x14ac:dyDescent="0.3">
      <c r="A80" s="324"/>
      <c r="B80" s="2" t="s">
        <v>100</v>
      </c>
      <c r="C80" s="208">
        <v>18</v>
      </c>
      <c r="D80" s="208">
        <v>1</v>
      </c>
      <c r="E80" s="207" t="s">
        <v>229</v>
      </c>
      <c r="F80" s="208" t="s">
        <v>228</v>
      </c>
      <c r="G80" s="207" t="s">
        <v>229</v>
      </c>
      <c r="H80" s="209" t="s">
        <v>954</v>
      </c>
      <c r="I80" s="209">
        <v>0</v>
      </c>
      <c r="J80" s="209" t="s">
        <v>1051</v>
      </c>
      <c r="K80" s="209">
        <v>0</v>
      </c>
      <c r="L80" s="210" t="s">
        <v>17</v>
      </c>
      <c r="M80" s="206" t="s">
        <v>66</v>
      </c>
      <c r="N80" s="206" t="s">
        <v>737</v>
      </c>
      <c r="O80" s="206" t="s">
        <v>536</v>
      </c>
      <c r="P80" s="210">
        <f ca="1">IF($B80="N/A", "N/A", VLOOKUP($B80, INDIRECT(Config!$B$1), HLOOKUP(P$1, INDIRECT(Config!$E$1), 2, FALSE),FALSE))</f>
        <v>0</v>
      </c>
      <c r="Q80" s="210">
        <f ca="1">IF($B80="N/A", "N/A", VLOOKUP($B80, INDIRECT(Config!$B$1), HLOOKUP(Q$1, INDIRECT(Config!$E$1), 2, FALSE),FALSE))</f>
        <v>0</v>
      </c>
      <c r="R80" s="210">
        <f ca="1">IF($B80="N/A", "N/A", VLOOKUP($B80, INDIRECT(Config!$B$1), HLOOKUP(R$1, INDIRECT(Config!$E$1), 2, FALSE),FALSE))</f>
        <v>0</v>
      </c>
    </row>
    <row r="81" spans="1:18" ht="14.55" customHeight="1" x14ac:dyDescent="0.3">
      <c r="A81" s="324"/>
      <c r="B81" s="2" t="s">
        <v>100</v>
      </c>
      <c r="C81" s="208">
        <v>19</v>
      </c>
      <c r="D81" s="208">
        <v>1</v>
      </c>
      <c r="E81" s="207" t="s">
        <v>231</v>
      </c>
      <c r="F81" s="208" t="s">
        <v>230</v>
      </c>
      <c r="G81" s="207" t="s">
        <v>231</v>
      </c>
      <c r="H81" s="209" t="s">
        <v>955</v>
      </c>
      <c r="I81" s="209">
        <v>0</v>
      </c>
      <c r="J81" s="209" t="s">
        <v>1052</v>
      </c>
      <c r="K81" s="209">
        <v>0</v>
      </c>
      <c r="L81" s="210" t="s">
        <v>17</v>
      </c>
      <c r="M81" s="206" t="s">
        <v>66</v>
      </c>
      <c r="N81" s="206" t="s">
        <v>738</v>
      </c>
      <c r="O81" s="206" t="s">
        <v>537</v>
      </c>
      <c r="P81" s="210">
        <f ca="1">IF($B81="N/A", "N/A", VLOOKUP($B81, INDIRECT(Config!$B$1), HLOOKUP(P$1, INDIRECT(Config!$E$1), 2, FALSE),FALSE))</f>
        <v>0</v>
      </c>
      <c r="Q81" s="210">
        <f ca="1">IF($B81="N/A", "N/A", VLOOKUP($B81, INDIRECT(Config!$B$1), HLOOKUP(Q$1, INDIRECT(Config!$E$1), 2, FALSE),FALSE))</f>
        <v>0</v>
      </c>
      <c r="R81" s="210">
        <f ca="1">IF($B81="N/A", "N/A", VLOOKUP($B81, INDIRECT(Config!$B$1), HLOOKUP(R$1, INDIRECT(Config!$E$1), 2, FALSE),FALSE))</f>
        <v>0</v>
      </c>
    </row>
    <row r="82" spans="1:18" ht="14.55" customHeight="1" x14ac:dyDescent="0.3">
      <c r="A82" s="324"/>
      <c r="B82" s="2" t="s">
        <v>100</v>
      </c>
      <c r="C82" s="208">
        <v>20</v>
      </c>
      <c r="D82" s="208">
        <v>1</v>
      </c>
      <c r="E82" s="207" t="s">
        <v>233</v>
      </c>
      <c r="F82" s="208" t="s">
        <v>232</v>
      </c>
      <c r="G82" s="207" t="s">
        <v>233</v>
      </c>
      <c r="H82" s="209" t="s">
        <v>956</v>
      </c>
      <c r="I82" s="209">
        <v>0</v>
      </c>
      <c r="J82" s="209" t="s">
        <v>1053</v>
      </c>
      <c r="K82" s="209">
        <v>0</v>
      </c>
      <c r="L82" s="210" t="s">
        <v>17</v>
      </c>
      <c r="M82" s="206" t="s">
        <v>66</v>
      </c>
      <c r="N82" s="206" t="s">
        <v>739</v>
      </c>
      <c r="O82" s="206" t="s">
        <v>538</v>
      </c>
      <c r="P82" s="210">
        <f ca="1">IF($B82="N/A", "N/A", VLOOKUP($B82, INDIRECT(Config!$B$1), HLOOKUP(P$1, INDIRECT(Config!$E$1), 2, FALSE),FALSE))</f>
        <v>0</v>
      </c>
      <c r="Q82" s="210">
        <f ca="1">IF($B82="N/A", "N/A", VLOOKUP($B82, INDIRECT(Config!$B$1), HLOOKUP(Q$1, INDIRECT(Config!$E$1), 2, FALSE),FALSE))</f>
        <v>0</v>
      </c>
      <c r="R82" s="210">
        <f ca="1">IF($B82="N/A", "N/A", VLOOKUP($B82, INDIRECT(Config!$B$1), HLOOKUP(R$1, INDIRECT(Config!$E$1), 2, FALSE),FALSE))</f>
        <v>0</v>
      </c>
    </row>
    <row r="83" spans="1:18" ht="14.55" customHeight="1" x14ac:dyDescent="0.3">
      <c r="A83" s="324"/>
      <c r="B83" s="3" t="s">
        <v>234</v>
      </c>
      <c r="C83" s="206">
        <v>21</v>
      </c>
      <c r="D83" s="206">
        <v>1</v>
      </c>
      <c r="E83" s="207" t="s">
        <v>236</v>
      </c>
      <c r="F83" s="210" t="s">
        <v>235</v>
      </c>
      <c r="G83" s="210" t="s">
        <v>236</v>
      </c>
      <c r="H83" s="209" t="s">
        <v>957</v>
      </c>
      <c r="I83" s="209">
        <v>0</v>
      </c>
      <c r="J83" s="209" t="s">
        <v>1054</v>
      </c>
      <c r="K83" s="209">
        <v>1</v>
      </c>
      <c r="L83" s="210" t="s">
        <v>17</v>
      </c>
      <c r="M83" s="206" t="s">
        <v>87</v>
      </c>
      <c r="N83" s="206" t="s">
        <v>740</v>
      </c>
      <c r="O83" s="217" t="s">
        <v>539</v>
      </c>
      <c r="P83" s="210">
        <f ca="1">IF($B83="N/A", "N/A", VLOOKUP($B83, INDIRECT(Config!$B$1), HLOOKUP(P$1, INDIRECT(Config!$E$1), 2, FALSE),FALSE))</f>
        <v>1</v>
      </c>
      <c r="Q83" s="210">
        <f ca="1">IF($B83="N/A", "N/A", VLOOKUP($B83, INDIRECT(Config!$B$1), HLOOKUP(Q$1, INDIRECT(Config!$E$1), 2, FALSE),FALSE))</f>
        <v>1</v>
      </c>
      <c r="R83" s="210">
        <f ca="1">IF($B83="N/A", "N/A", VLOOKUP($B83, INDIRECT(Config!$B$1), HLOOKUP(R$1, INDIRECT(Config!$E$1), 2, FALSE),FALSE))</f>
        <v>0</v>
      </c>
    </row>
    <row r="84" spans="1:18" ht="14.55" customHeight="1" x14ac:dyDescent="0.3">
      <c r="A84" s="324"/>
      <c r="B84" s="2" t="s">
        <v>48</v>
      </c>
      <c r="C84" s="206">
        <v>22</v>
      </c>
      <c r="D84" s="206">
        <v>1</v>
      </c>
      <c r="E84" s="207" t="s">
        <v>1157</v>
      </c>
      <c r="F84" s="219" t="s">
        <v>1105</v>
      </c>
      <c r="G84" s="210" t="s">
        <v>886</v>
      </c>
      <c r="H84" s="215" t="s">
        <v>958</v>
      </c>
      <c r="I84" s="215">
        <v>0</v>
      </c>
      <c r="J84" s="215" t="s">
        <v>1055</v>
      </c>
      <c r="K84" s="215">
        <v>0</v>
      </c>
      <c r="L84" s="210" t="s">
        <v>17</v>
      </c>
      <c r="M84" s="206" t="s">
        <v>87</v>
      </c>
      <c r="N84" s="217" t="s">
        <v>1106</v>
      </c>
      <c r="O84" s="206" t="s">
        <v>888</v>
      </c>
      <c r="P84" s="211" t="str">
        <f ca="1">IF($B84="N/A", "N/A", VLOOKUP($B84, INDIRECT(Config!$B$1), HLOOKUP(P$1, INDIRECT(Config!$E$1), 2, FALSE),FALSE))</f>
        <v>N/A</v>
      </c>
      <c r="Q84" s="211" t="str">
        <f ca="1">IF($B84="N/A", "N/A", VLOOKUP($B84, INDIRECT(Config!$B$1), HLOOKUP(Q$1, INDIRECT(Config!$E$1), 2, FALSE),FALSE))</f>
        <v>N/A</v>
      </c>
      <c r="R84" s="211" t="str">
        <f ca="1">IF($B84="N/A", "N/A", VLOOKUP($B84, INDIRECT(Config!$B$1), HLOOKUP(R$1, INDIRECT(Config!$E$1), 2, FALSE),FALSE))</f>
        <v>N/A</v>
      </c>
    </row>
    <row r="85" spans="1:18" ht="14.55" customHeight="1" x14ac:dyDescent="0.3">
      <c r="A85" s="324"/>
      <c r="B85" s="2" t="s">
        <v>48</v>
      </c>
      <c r="C85" s="206">
        <v>23</v>
      </c>
      <c r="D85" s="206">
        <v>1</v>
      </c>
      <c r="F85" s="208"/>
      <c r="G85" s="210" t="s">
        <v>887</v>
      </c>
      <c r="H85" s="215" t="s">
        <v>959</v>
      </c>
      <c r="I85" s="215">
        <v>0</v>
      </c>
      <c r="J85" s="215" t="s">
        <v>1056</v>
      </c>
      <c r="K85" s="215">
        <v>0</v>
      </c>
      <c r="L85" s="210" t="s">
        <v>17</v>
      </c>
      <c r="M85" s="206"/>
      <c r="N85" s="206" t="s">
        <v>788</v>
      </c>
      <c r="O85" s="206" t="s">
        <v>459</v>
      </c>
      <c r="P85" s="211" t="str">
        <f ca="1">IF($B85="N/A", "N/A", VLOOKUP($B85, INDIRECT(Config!$B$1), HLOOKUP(P$1, INDIRECT(Config!$E$1), 2, FALSE),FALSE))</f>
        <v>N/A</v>
      </c>
      <c r="Q85" s="211" t="str">
        <f ca="1">IF($B85="N/A", "N/A", VLOOKUP($B85, INDIRECT(Config!$B$1), HLOOKUP(Q$1, INDIRECT(Config!$E$1), 2, FALSE),FALSE))</f>
        <v>N/A</v>
      </c>
      <c r="R85" s="211" t="str">
        <f ca="1">IF($B85="N/A", "N/A", VLOOKUP($B85, INDIRECT(Config!$B$1), HLOOKUP(R$1, INDIRECT(Config!$E$1), 2, FALSE),FALSE))</f>
        <v>N/A</v>
      </c>
    </row>
    <row r="86" spans="1:18" ht="14.55" customHeight="1" x14ac:dyDescent="0.3">
      <c r="A86" s="324"/>
      <c r="B86" s="4" t="s">
        <v>612</v>
      </c>
      <c r="C86" s="206">
        <v>24</v>
      </c>
      <c r="D86" s="206">
        <v>1</v>
      </c>
      <c r="E86" s="207" t="s">
        <v>238</v>
      </c>
      <c r="F86" s="220" t="s">
        <v>238</v>
      </c>
      <c r="G86" s="208" t="s">
        <v>239</v>
      </c>
      <c r="H86" s="209" t="s">
        <v>960</v>
      </c>
      <c r="I86" s="209">
        <v>0</v>
      </c>
      <c r="J86" s="209" t="s">
        <v>1057</v>
      </c>
      <c r="K86" s="209">
        <v>1</v>
      </c>
      <c r="L86" s="210"/>
      <c r="M86" s="207" t="s">
        <v>87</v>
      </c>
      <c r="N86" s="207" t="s">
        <v>722</v>
      </c>
      <c r="O86" s="207" t="s">
        <v>540</v>
      </c>
      <c r="P86" s="211">
        <f t="shared" ref="P86:R87" si="4">IF($B86="N/A", "N/A", 1)</f>
        <v>1</v>
      </c>
      <c r="Q86" s="211">
        <f t="shared" si="4"/>
        <v>1</v>
      </c>
      <c r="R86" s="211">
        <f t="shared" si="4"/>
        <v>1</v>
      </c>
    </row>
    <row r="87" spans="1:18" ht="35.4" customHeight="1" x14ac:dyDescent="0.3">
      <c r="A87" s="324"/>
      <c r="B87" s="4" t="s">
        <v>612</v>
      </c>
      <c r="C87" s="206">
        <v>25</v>
      </c>
      <c r="D87" s="206">
        <v>1</v>
      </c>
      <c r="E87" s="248" t="s">
        <v>1158</v>
      </c>
      <c r="F87" s="253" t="s">
        <v>1161</v>
      </c>
      <c r="G87" s="208" t="s">
        <v>240</v>
      </c>
      <c r="H87" s="209" t="s">
        <v>961</v>
      </c>
      <c r="I87" s="209">
        <v>0</v>
      </c>
      <c r="J87" s="209" t="s">
        <v>1058</v>
      </c>
      <c r="K87" s="209">
        <v>1</v>
      </c>
      <c r="L87" s="210"/>
      <c r="M87" s="207" t="s">
        <v>87</v>
      </c>
      <c r="N87" s="207" t="s">
        <v>723</v>
      </c>
      <c r="O87" s="207" t="s">
        <v>541</v>
      </c>
      <c r="P87" s="211">
        <f t="shared" si="4"/>
        <v>1</v>
      </c>
      <c r="Q87" s="211">
        <f t="shared" si="4"/>
        <v>1</v>
      </c>
      <c r="R87" s="211">
        <f t="shared" si="4"/>
        <v>1</v>
      </c>
    </row>
    <row r="88" spans="1:18" ht="14.55" customHeight="1" x14ac:dyDescent="0.3">
      <c r="A88" s="324"/>
      <c r="B88" s="16" t="s">
        <v>241</v>
      </c>
      <c r="C88" s="206">
        <v>26</v>
      </c>
      <c r="D88" s="206">
        <v>5</v>
      </c>
      <c r="E88" s="207" t="s">
        <v>243</v>
      </c>
      <c r="F88" s="207" t="s">
        <v>242</v>
      </c>
      <c r="G88" s="207" t="s">
        <v>243</v>
      </c>
      <c r="H88" s="209" t="s">
        <v>971</v>
      </c>
      <c r="I88" s="209">
        <v>0</v>
      </c>
      <c r="J88" s="209" t="s">
        <v>1059</v>
      </c>
      <c r="K88" s="209">
        <v>0</v>
      </c>
      <c r="L88" s="210"/>
      <c r="M88" s="207" t="s">
        <v>87</v>
      </c>
      <c r="N88" s="207" t="s">
        <v>724</v>
      </c>
      <c r="O88" s="207" t="s">
        <v>542</v>
      </c>
      <c r="P88" s="210">
        <f ca="1">IF($B88="N/A", "N/A", VLOOKUP($B88, INDIRECT(Config!$B$1), HLOOKUP(P$1, INDIRECT(Config!$E$1), 2, FALSE),FALSE))</f>
        <v>0</v>
      </c>
      <c r="Q88" s="210">
        <f ca="1">IF($B88="N/A", "N/A", VLOOKUP($B88, INDIRECT(Config!$B$1), HLOOKUP(Q$1, INDIRECT(Config!$E$1), 2, FALSE),FALSE))</f>
        <v>0</v>
      </c>
      <c r="R88" s="210">
        <f ca="1">IF($B88="N/A", "N/A", VLOOKUP($B88, INDIRECT(Config!$B$1), HLOOKUP(R$1, INDIRECT(Config!$E$1), 2, FALSE),FALSE))</f>
        <v>0</v>
      </c>
    </row>
    <row r="89" spans="1:18" ht="14.55" customHeight="1" x14ac:dyDescent="0.3">
      <c r="A89" s="324"/>
      <c r="B89" s="4" t="s">
        <v>612</v>
      </c>
      <c r="C89" s="206">
        <v>31</v>
      </c>
      <c r="D89" s="206">
        <v>1</v>
      </c>
      <c r="E89" s="247" t="s">
        <v>244</v>
      </c>
      <c r="F89" s="220" t="s">
        <v>244</v>
      </c>
      <c r="G89" s="208" t="s">
        <v>245</v>
      </c>
      <c r="H89" s="209" t="s">
        <v>962</v>
      </c>
      <c r="I89" s="209">
        <v>0</v>
      </c>
      <c r="J89" s="209" t="s">
        <v>1060</v>
      </c>
      <c r="K89" s="209">
        <v>0</v>
      </c>
      <c r="L89" s="210"/>
      <c r="M89" s="207" t="s">
        <v>87</v>
      </c>
      <c r="N89" s="207" t="s">
        <v>803</v>
      </c>
      <c r="O89" s="228" t="s">
        <v>544</v>
      </c>
      <c r="P89" s="211">
        <f>IF($B89="N/A", "N/A", 1)</f>
        <v>1</v>
      </c>
      <c r="Q89" s="211">
        <f>IF($B89="N/A", "N/A", 1)</f>
        <v>1</v>
      </c>
      <c r="R89" s="211">
        <f>IF($B89="N/A", "N/A", 1)</f>
        <v>1</v>
      </c>
    </row>
    <row r="90" spans="1:18" ht="14.55" customHeight="1" x14ac:dyDescent="0.3">
      <c r="A90" s="334" t="s">
        <v>246</v>
      </c>
      <c r="B90" s="7" t="s">
        <v>390</v>
      </c>
      <c r="C90" s="206">
        <v>0</v>
      </c>
      <c r="D90" s="206">
        <v>16</v>
      </c>
      <c r="F90" s="206" t="s">
        <v>247</v>
      </c>
      <c r="G90" s="222" t="s">
        <v>384</v>
      </c>
      <c r="H90" s="223" t="s">
        <v>1096</v>
      </c>
      <c r="I90" s="223"/>
      <c r="J90" s="223" t="s">
        <v>1071</v>
      </c>
      <c r="K90" s="223">
        <v>0</v>
      </c>
      <c r="L90" s="210"/>
      <c r="M90" s="206" t="s">
        <v>66</v>
      </c>
      <c r="N90" s="206" t="s">
        <v>768</v>
      </c>
      <c r="O90" s="206" t="s">
        <v>466</v>
      </c>
      <c r="P90" s="210">
        <f ca="1">IF($B90="N/A", "N/A", VLOOKUP($B90, INDIRECT(Config!$B$1), HLOOKUP(P$1, INDIRECT(Config!$E$1), 2, FALSE),FALSE))</f>
        <v>0</v>
      </c>
      <c r="Q90" s="210">
        <f ca="1">IF($B90="N/A", "N/A", VLOOKUP($B90, INDIRECT(Config!$B$1), HLOOKUP(Q$1, INDIRECT(Config!$E$1), 2, FALSE),FALSE))</f>
        <v>0</v>
      </c>
      <c r="R90" s="210">
        <f ca="1">IF($B90="N/A", "N/A", VLOOKUP($B90, INDIRECT(Config!$B$1), HLOOKUP(R$1, INDIRECT(Config!$E$1), 2, FALSE),FALSE))</f>
        <v>0</v>
      </c>
    </row>
    <row r="91" spans="1:18" ht="14.55" customHeight="1" x14ac:dyDescent="0.3">
      <c r="A91" s="364"/>
      <c r="B91" s="7" t="s">
        <v>390</v>
      </c>
      <c r="C91" s="206">
        <v>16</v>
      </c>
      <c r="D91" s="206">
        <v>8</v>
      </c>
      <c r="F91" s="206" t="s">
        <v>248</v>
      </c>
      <c r="G91" s="222" t="s">
        <v>384</v>
      </c>
      <c r="H91" s="223" t="s">
        <v>972</v>
      </c>
      <c r="I91" s="223"/>
      <c r="J91" s="223" t="s">
        <v>1065</v>
      </c>
      <c r="K91" s="223">
        <v>0</v>
      </c>
      <c r="L91" s="210"/>
      <c r="M91" s="206" t="s">
        <v>66</v>
      </c>
      <c r="N91" s="206" t="s">
        <v>760</v>
      </c>
      <c r="O91" s="206" t="s">
        <v>466</v>
      </c>
      <c r="P91" s="210">
        <f ca="1">IF($B91="N/A", "N/A", VLOOKUP($B91, INDIRECT(Config!$B$1), HLOOKUP(P$1, INDIRECT(Config!$E$1), 2, FALSE),FALSE))</f>
        <v>0</v>
      </c>
      <c r="Q91" s="210">
        <f ca="1">IF($B91="N/A", "N/A", VLOOKUP($B91, INDIRECT(Config!$B$1), HLOOKUP(Q$1, INDIRECT(Config!$E$1), 2, FALSE),FALSE))</f>
        <v>0</v>
      </c>
      <c r="R91" s="210">
        <f ca="1">IF($B91="N/A", "N/A", VLOOKUP($B91, INDIRECT(Config!$B$1), HLOOKUP(R$1, INDIRECT(Config!$E$1), 2, FALSE),FALSE))</f>
        <v>0</v>
      </c>
    </row>
    <row r="92" spans="1:18" ht="14.55" customHeight="1" x14ac:dyDescent="0.3">
      <c r="A92" s="333"/>
      <c r="B92" s="15" t="s">
        <v>205</v>
      </c>
      <c r="C92" s="206">
        <v>24</v>
      </c>
      <c r="D92" s="206">
        <v>8</v>
      </c>
      <c r="F92" s="206" t="s">
        <v>249</v>
      </c>
      <c r="G92" s="222" t="s">
        <v>384</v>
      </c>
      <c r="H92" s="223" t="s">
        <v>973</v>
      </c>
      <c r="I92" s="223"/>
      <c r="J92" s="223" t="s">
        <v>1066</v>
      </c>
      <c r="K92" s="223">
        <v>0</v>
      </c>
      <c r="L92" s="210"/>
      <c r="M92" s="206" t="s">
        <v>66</v>
      </c>
      <c r="N92" s="206" t="s">
        <v>769</v>
      </c>
      <c r="O92" s="206" t="s">
        <v>467</v>
      </c>
      <c r="P92" s="210">
        <f ca="1">IF($B92="N/A", "N/A", VLOOKUP($B92, INDIRECT(Config!$B$1), HLOOKUP(P$1, INDIRECT(Config!$E$1), 2, FALSE),FALSE))</f>
        <v>0</v>
      </c>
      <c r="Q92" s="210">
        <f ca="1">IF($B92="N/A", "N/A", VLOOKUP($B92, INDIRECT(Config!$B$1), HLOOKUP(Q$1, INDIRECT(Config!$E$1), 2, FALSE),FALSE))</f>
        <v>0</v>
      </c>
      <c r="R92" s="210">
        <f ca="1">IF($B92="N/A", "N/A", VLOOKUP($B92, INDIRECT(Config!$B$1), HLOOKUP(R$1, INDIRECT(Config!$E$1), 2, FALSE),FALSE))</f>
        <v>0</v>
      </c>
    </row>
    <row r="93" spans="1:18" ht="14.55" customHeight="1" x14ac:dyDescent="0.3">
      <c r="A93" s="246" t="s">
        <v>250</v>
      </c>
      <c r="B93" s="7" t="s">
        <v>390</v>
      </c>
      <c r="C93" s="206">
        <v>0</v>
      </c>
      <c r="D93" s="206">
        <v>32</v>
      </c>
      <c r="F93" s="206" t="s">
        <v>250</v>
      </c>
      <c r="G93" s="222" t="s">
        <v>384</v>
      </c>
      <c r="H93" s="224" t="s">
        <v>48</v>
      </c>
      <c r="I93" s="229"/>
      <c r="J93" s="223" t="s">
        <v>1074</v>
      </c>
      <c r="K93" s="223">
        <v>0</v>
      </c>
      <c r="L93" s="210"/>
      <c r="M93" s="206" t="s">
        <v>66</v>
      </c>
      <c r="N93" s="206" t="s">
        <v>770</v>
      </c>
      <c r="O93" s="206" t="s">
        <v>468</v>
      </c>
      <c r="P93" s="210">
        <f ca="1">IF($B93="N/A", "N/A", VLOOKUP($B93, INDIRECT(Config!$B$1), HLOOKUP(P$1, INDIRECT(Config!$E$1), 2, FALSE),FALSE))</f>
        <v>0</v>
      </c>
      <c r="Q93" s="210">
        <f ca="1">IF($B93="N/A", "N/A", VLOOKUP($B93, INDIRECT(Config!$B$1), HLOOKUP(Q$1, INDIRECT(Config!$E$1), 2, FALSE),FALSE))</f>
        <v>0</v>
      </c>
      <c r="R93" s="210">
        <f ca="1">IF($B93="N/A", "N/A", VLOOKUP($B93, INDIRECT(Config!$B$1), HLOOKUP(R$1, INDIRECT(Config!$E$1), 2, FALSE),FALSE))</f>
        <v>0</v>
      </c>
    </row>
    <row r="94" spans="1:18" ht="14.55" customHeight="1" x14ac:dyDescent="0.3">
      <c r="A94" s="246" t="s">
        <v>251</v>
      </c>
      <c r="B94" s="7" t="s">
        <v>390</v>
      </c>
      <c r="C94" s="206">
        <v>0</v>
      </c>
      <c r="D94" s="206">
        <v>32</v>
      </c>
      <c r="E94" s="206"/>
      <c r="F94" s="206" t="s">
        <v>251</v>
      </c>
      <c r="G94" s="222" t="s">
        <v>384</v>
      </c>
      <c r="H94" s="223" t="s">
        <v>48</v>
      </c>
      <c r="I94" s="229"/>
      <c r="J94" s="223" t="s">
        <v>1075</v>
      </c>
      <c r="K94" s="223">
        <v>0</v>
      </c>
      <c r="L94" s="210"/>
      <c r="M94" s="206" t="s">
        <v>66</v>
      </c>
      <c r="N94" s="206" t="s">
        <v>771</v>
      </c>
      <c r="O94" s="206" t="s">
        <v>469</v>
      </c>
      <c r="P94" s="210">
        <f ca="1">IF($B94="N/A", "N/A", VLOOKUP($B94, INDIRECT(Config!$B$1), HLOOKUP(P$1, INDIRECT(Config!$E$1), 2, FALSE),FALSE))</f>
        <v>0</v>
      </c>
      <c r="Q94" s="210">
        <f ca="1">IF($B94="N/A", "N/A", VLOOKUP($B94, INDIRECT(Config!$B$1), HLOOKUP(Q$1, INDIRECT(Config!$E$1), 2, FALSE),FALSE))</f>
        <v>0</v>
      </c>
      <c r="R94" s="210">
        <f ca="1">IF($B94="N/A", "N/A", VLOOKUP($B94, INDIRECT(Config!$B$1), HLOOKUP(R$1, INDIRECT(Config!$E$1), 2, FALSE),FALSE))</f>
        <v>0</v>
      </c>
    </row>
    <row r="95" spans="1:18" ht="14.55" customHeight="1" x14ac:dyDescent="0.3">
      <c r="A95" s="246" t="s">
        <v>252</v>
      </c>
      <c r="B95" s="7" t="s">
        <v>390</v>
      </c>
      <c r="C95" s="206">
        <v>0</v>
      </c>
      <c r="D95" s="206">
        <v>32</v>
      </c>
      <c r="E95" s="206"/>
      <c r="F95" s="206" t="s">
        <v>252</v>
      </c>
      <c r="G95" s="222" t="s">
        <v>384</v>
      </c>
      <c r="H95" s="223" t="s">
        <v>48</v>
      </c>
      <c r="I95" s="229"/>
      <c r="J95" s="223" t="s">
        <v>1076</v>
      </c>
      <c r="K95" s="223">
        <v>0</v>
      </c>
      <c r="L95" s="210"/>
      <c r="M95" s="206" t="s">
        <v>66</v>
      </c>
      <c r="N95" s="206" t="s">
        <v>772</v>
      </c>
      <c r="O95" s="206" t="s">
        <v>470</v>
      </c>
      <c r="P95" s="210">
        <f ca="1">IF($B95="N/A", "N/A", VLOOKUP($B95, INDIRECT(Config!$B$1), HLOOKUP(P$1, INDIRECT(Config!$E$1), 2, FALSE),FALSE))</f>
        <v>0</v>
      </c>
      <c r="Q95" s="210">
        <f ca="1">IF($B95="N/A", "N/A", VLOOKUP($B95, INDIRECT(Config!$B$1), HLOOKUP(Q$1, INDIRECT(Config!$E$1), 2, FALSE),FALSE))</f>
        <v>0</v>
      </c>
      <c r="R95" s="210">
        <f ca="1">IF($B95="N/A", "N/A", VLOOKUP($B95, INDIRECT(Config!$B$1), HLOOKUP(R$1, INDIRECT(Config!$E$1), 2, FALSE),FALSE))</f>
        <v>0</v>
      </c>
    </row>
    <row r="96" spans="1:18" ht="14.55" customHeight="1" x14ac:dyDescent="0.3">
      <c r="A96" s="334" t="s">
        <v>34</v>
      </c>
      <c r="B96" s="7" t="s">
        <v>253</v>
      </c>
      <c r="C96" s="206">
        <v>0</v>
      </c>
      <c r="D96" s="206">
        <v>24</v>
      </c>
      <c r="E96" s="206"/>
      <c r="F96" s="206" t="s">
        <v>254</v>
      </c>
      <c r="G96" s="222" t="s">
        <v>384</v>
      </c>
      <c r="H96" s="224" t="s">
        <v>974</v>
      </c>
      <c r="I96" s="224"/>
      <c r="J96" s="223" t="s">
        <v>1061</v>
      </c>
      <c r="K96" s="223">
        <v>0</v>
      </c>
      <c r="L96" s="210" t="s">
        <v>17</v>
      </c>
      <c r="M96" s="206" t="s">
        <v>66</v>
      </c>
      <c r="N96" s="206" t="s">
        <v>763</v>
      </c>
      <c r="O96" s="206" t="s">
        <v>457</v>
      </c>
      <c r="P96" s="210">
        <f ca="1">IF($B96="N/A", "N/A", VLOOKUP($B96, INDIRECT(Config!$B$1), HLOOKUP(P$1, INDIRECT(Config!$E$1), 2, FALSE),FALSE))</f>
        <v>1</v>
      </c>
      <c r="Q96" s="210">
        <f ca="1">IF($B96="N/A", "N/A", VLOOKUP($B96, INDIRECT(Config!$B$1), HLOOKUP(Q$1, INDIRECT(Config!$E$1), 2, FALSE),FALSE))</f>
        <v>1</v>
      </c>
      <c r="R96" s="210">
        <f ca="1">IF($B96="N/A", "N/A", VLOOKUP($B96, INDIRECT(Config!$B$1), HLOOKUP(R$1, INDIRECT(Config!$E$1), 2, FALSE),FALSE))</f>
        <v>0</v>
      </c>
    </row>
    <row r="97" spans="1:18" ht="14.55" customHeight="1" x14ac:dyDescent="0.3">
      <c r="A97" s="364"/>
      <c r="B97" s="7" t="s">
        <v>253</v>
      </c>
      <c r="C97" s="206">
        <v>24</v>
      </c>
      <c r="D97" s="206">
        <v>5</v>
      </c>
      <c r="E97" s="206"/>
      <c r="F97" s="206" t="s">
        <v>255</v>
      </c>
      <c r="G97" s="222" t="s">
        <v>384</v>
      </c>
      <c r="H97" s="224" t="s">
        <v>975</v>
      </c>
      <c r="I97" s="224"/>
      <c r="J97" s="223" t="s">
        <v>1062</v>
      </c>
      <c r="K97" s="223">
        <v>0</v>
      </c>
      <c r="L97" s="210" t="s">
        <v>17</v>
      </c>
      <c r="M97" s="206" t="s">
        <v>66</v>
      </c>
      <c r="N97" s="206" t="s">
        <v>764</v>
      </c>
      <c r="O97" s="206" t="s">
        <v>458</v>
      </c>
      <c r="P97" s="210">
        <f ca="1">IF($B97="N/A", "N/A", VLOOKUP($B97, INDIRECT(Config!$B$1), HLOOKUP(P$1, INDIRECT(Config!$E$1), 2, FALSE),FALSE))</f>
        <v>1</v>
      </c>
      <c r="Q97" s="210">
        <f ca="1">IF($B97="N/A", "N/A", VLOOKUP($B97, INDIRECT(Config!$B$1), HLOOKUP(Q$1, INDIRECT(Config!$E$1), 2, FALSE),FALSE))</f>
        <v>1</v>
      </c>
      <c r="R97" s="210">
        <f ca="1">IF($B97="N/A", "N/A", VLOOKUP($B97, INDIRECT(Config!$B$1), HLOOKUP(R$1, INDIRECT(Config!$E$1), 2, FALSE),FALSE))</f>
        <v>0</v>
      </c>
    </row>
    <row r="98" spans="1:18" ht="14.55" customHeight="1" x14ac:dyDescent="0.3">
      <c r="A98" s="364"/>
      <c r="B98" s="7" t="s">
        <v>253</v>
      </c>
      <c r="C98" s="206">
        <v>29</v>
      </c>
      <c r="D98" s="206">
        <v>2</v>
      </c>
      <c r="E98" s="206"/>
      <c r="F98" s="206" t="s">
        <v>256</v>
      </c>
      <c r="G98" s="222" t="s">
        <v>384</v>
      </c>
      <c r="H98" s="224" t="s">
        <v>976</v>
      </c>
      <c r="I98" s="224"/>
      <c r="J98" s="223" t="s">
        <v>1063</v>
      </c>
      <c r="K98" s="223">
        <v>0</v>
      </c>
      <c r="L98" s="210" t="s">
        <v>17</v>
      </c>
      <c r="M98" s="206" t="s">
        <v>66</v>
      </c>
      <c r="N98" s="206" t="s">
        <v>765</v>
      </c>
      <c r="O98" s="206" t="s">
        <v>461</v>
      </c>
      <c r="P98" s="210">
        <f ca="1">IF($B98="N/A", "N/A", VLOOKUP($B98, INDIRECT(Config!$B$1), HLOOKUP(P$1, INDIRECT(Config!$E$1), 2, FALSE),FALSE))</f>
        <v>1</v>
      </c>
      <c r="Q98" s="210">
        <f ca="1">IF($B98="N/A", "N/A", VLOOKUP($B98, INDIRECT(Config!$B$1), HLOOKUP(Q$1, INDIRECT(Config!$E$1), 2, FALSE),FALSE))</f>
        <v>1</v>
      </c>
      <c r="R98" s="210">
        <f ca="1">IF($B98="N/A", "N/A", VLOOKUP($B98, INDIRECT(Config!$B$1), HLOOKUP(R$1, INDIRECT(Config!$E$1), 2, FALSE),FALSE))</f>
        <v>0</v>
      </c>
    </row>
    <row r="99" spans="1:18" ht="14.55" customHeight="1" x14ac:dyDescent="0.3">
      <c r="A99" s="333"/>
      <c r="B99" s="7" t="s">
        <v>253</v>
      </c>
      <c r="C99" s="206">
        <v>31</v>
      </c>
      <c r="D99" s="206">
        <v>1</v>
      </c>
      <c r="E99" s="206"/>
      <c r="F99" s="206" t="s">
        <v>257</v>
      </c>
      <c r="G99" s="222" t="s">
        <v>384</v>
      </c>
      <c r="H99" s="224" t="s">
        <v>977</v>
      </c>
      <c r="I99" s="224"/>
      <c r="J99" s="223" t="s">
        <v>1064</v>
      </c>
      <c r="K99" s="223">
        <v>0</v>
      </c>
      <c r="L99" s="210" t="s">
        <v>17</v>
      </c>
      <c r="M99" s="206" t="s">
        <v>66</v>
      </c>
      <c r="N99" s="206" t="s">
        <v>766</v>
      </c>
      <c r="O99" s="206" t="s">
        <v>460</v>
      </c>
      <c r="P99" s="210">
        <f ca="1">IF($B99="N/A", "N/A", VLOOKUP($B99, INDIRECT(Config!$B$1), HLOOKUP(P$1, INDIRECT(Config!$E$1), 2, FALSE),FALSE))</f>
        <v>1</v>
      </c>
      <c r="Q99" s="210">
        <f ca="1">IF($B99="N/A", "N/A", VLOOKUP($B99, INDIRECT(Config!$B$1), HLOOKUP(Q$1, INDIRECT(Config!$E$1), 2, FALSE),FALSE))</f>
        <v>1</v>
      </c>
      <c r="R99" s="210">
        <f ca="1">IF($B99="N/A", "N/A", VLOOKUP($B99, INDIRECT(Config!$B$1), HLOOKUP(R$1, INDIRECT(Config!$E$1), 2, FALSE),FALSE))</f>
        <v>0</v>
      </c>
    </row>
    <row r="100" spans="1:18" ht="14.55" customHeight="1" x14ac:dyDescent="0.3">
      <c r="A100" s="324" t="s">
        <v>36</v>
      </c>
      <c r="B100" s="7" t="s">
        <v>214</v>
      </c>
      <c r="C100" s="206">
        <v>0</v>
      </c>
      <c r="D100" s="206">
        <v>8</v>
      </c>
      <c r="E100" s="206"/>
      <c r="F100" s="206" t="s">
        <v>258</v>
      </c>
      <c r="G100" s="222" t="s">
        <v>384</v>
      </c>
      <c r="H100" s="223" t="s">
        <v>1097</v>
      </c>
      <c r="I100" s="223"/>
      <c r="J100" s="223" t="s">
        <v>1067</v>
      </c>
      <c r="K100" s="223">
        <v>0</v>
      </c>
      <c r="L100" s="210"/>
      <c r="M100" s="206" t="s">
        <v>128</v>
      </c>
      <c r="N100" s="206" t="s">
        <v>767</v>
      </c>
      <c r="O100" s="206" t="s">
        <v>462</v>
      </c>
      <c r="P100" s="210">
        <f ca="1">IF($B100="N/A", "N/A", VLOOKUP($B100, INDIRECT(Config!$B$1), HLOOKUP(P$1, INDIRECT(Config!$E$1), 2, FALSE),FALSE))</f>
        <v>0</v>
      </c>
      <c r="Q100" s="210">
        <f ca="1">IF($B100="N/A", "N/A", VLOOKUP($B100, INDIRECT(Config!$B$1), HLOOKUP(Q$1, INDIRECT(Config!$E$1), 2, FALSE),FALSE))</f>
        <v>0</v>
      </c>
      <c r="R100" s="210">
        <f ca="1">IF($B100="N/A", "N/A", VLOOKUP($B100, INDIRECT(Config!$B$1), HLOOKUP(R$1, INDIRECT(Config!$E$1), 2, FALSE),FALSE))</f>
        <v>0</v>
      </c>
    </row>
    <row r="101" spans="1:18" ht="14.55" customHeight="1" x14ac:dyDescent="0.3">
      <c r="A101" s="324"/>
      <c r="B101" s="7" t="s">
        <v>214</v>
      </c>
      <c r="C101" s="206">
        <v>8</v>
      </c>
      <c r="D101" s="206">
        <v>8</v>
      </c>
      <c r="E101" s="206"/>
      <c r="F101" s="206" t="s">
        <v>259</v>
      </c>
      <c r="G101" s="222" t="s">
        <v>384</v>
      </c>
      <c r="H101" s="223" t="s">
        <v>1098</v>
      </c>
      <c r="I101" s="223"/>
      <c r="J101" s="223" t="s">
        <v>1068</v>
      </c>
      <c r="K101" s="223">
        <v>0</v>
      </c>
      <c r="L101" s="210"/>
      <c r="M101" s="206" t="s">
        <v>128</v>
      </c>
      <c r="N101" s="206" t="s">
        <v>767</v>
      </c>
      <c r="O101" s="206" t="s">
        <v>463</v>
      </c>
      <c r="P101" s="210">
        <f ca="1">IF($B101="N/A", "N/A", VLOOKUP($B101, INDIRECT(Config!$B$1), HLOOKUP(P$1, INDIRECT(Config!$E$1), 2, FALSE),FALSE))</f>
        <v>0</v>
      </c>
      <c r="Q101" s="210">
        <f ca="1">IF($B101="N/A", "N/A", VLOOKUP($B101, INDIRECT(Config!$B$1), HLOOKUP(Q$1, INDIRECT(Config!$E$1), 2, FALSE),FALSE))</f>
        <v>0</v>
      </c>
      <c r="R101" s="210">
        <f ca="1">IF($B101="N/A", "N/A", VLOOKUP($B101, INDIRECT(Config!$B$1), HLOOKUP(R$1, INDIRECT(Config!$E$1), 2, FALSE),FALSE))</f>
        <v>0</v>
      </c>
    </row>
    <row r="102" spans="1:18" ht="14.55" customHeight="1" x14ac:dyDescent="0.3">
      <c r="A102" s="364"/>
      <c r="B102" s="5" t="s">
        <v>214</v>
      </c>
      <c r="C102" s="225">
        <v>16</v>
      </c>
      <c r="D102" s="225">
        <v>8</v>
      </c>
      <c r="E102" s="225"/>
      <c r="F102" s="225" t="s">
        <v>260</v>
      </c>
      <c r="G102" s="222" t="s">
        <v>384</v>
      </c>
      <c r="H102" s="223" t="s">
        <v>1072</v>
      </c>
      <c r="I102" s="223"/>
      <c r="J102" s="223" t="s">
        <v>1069</v>
      </c>
      <c r="K102" s="227">
        <v>0</v>
      </c>
      <c r="L102" s="226"/>
      <c r="M102" s="225" t="s">
        <v>66</v>
      </c>
      <c r="N102" s="225" t="s">
        <v>767</v>
      </c>
      <c r="O102" s="225" t="s">
        <v>464</v>
      </c>
      <c r="P102" s="210">
        <f ca="1">IF($B102="N/A", "N/A", VLOOKUP($B102, INDIRECT(Config!$B$1), HLOOKUP(P$1, INDIRECT(Config!$E$1), 2, FALSE),FALSE))</f>
        <v>0</v>
      </c>
      <c r="Q102" s="210">
        <f ca="1">IF($B102="N/A", "N/A", VLOOKUP($B102, INDIRECT(Config!$B$1), HLOOKUP(Q$1, INDIRECT(Config!$E$1), 2, FALSE),FALSE))</f>
        <v>0</v>
      </c>
      <c r="R102" s="210">
        <f ca="1">IF($B102="N/A", "N/A", VLOOKUP($B102, INDIRECT(Config!$B$1), HLOOKUP(R$1, INDIRECT(Config!$E$1), 2, FALSE),FALSE))</f>
        <v>0</v>
      </c>
    </row>
    <row r="103" spans="1:18" ht="14.55" customHeight="1" x14ac:dyDescent="0.3">
      <c r="A103" s="333"/>
      <c r="B103" s="7" t="s">
        <v>214</v>
      </c>
      <c r="C103" s="206">
        <v>24</v>
      </c>
      <c r="D103" s="206">
        <v>8</v>
      </c>
      <c r="E103" s="206"/>
      <c r="F103" s="206" t="s">
        <v>261</v>
      </c>
      <c r="G103" s="222" t="s">
        <v>384</v>
      </c>
      <c r="H103" s="223" t="s">
        <v>1073</v>
      </c>
      <c r="I103" s="223"/>
      <c r="J103" s="223" t="s">
        <v>1070</v>
      </c>
      <c r="K103" s="223">
        <v>0</v>
      </c>
      <c r="L103" s="210"/>
      <c r="M103" s="206" t="s">
        <v>66</v>
      </c>
      <c r="N103" s="206" t="s">
        <v>767</v>
      </c>
      <c r="O103" s="206" t="s">
        <v>465</v>
      </c>
      <c r="P103" s="210">
        <f ca="1">IF($B103="N/A", "N/A", VLOOKUP($B103, INDIRECT(Config!$B$1), HLOOKUP(P$1, INDIRECT(Config!$E$1), 2, FALSE),FALSE))</f>
        <v>0</v>
      </c>
      <c r="Q103" s="210">
        <f ca="1">IF($B103="N/A", "N/A", VLOOKUP($B103, INDIRECT(Config!$B$1), HLOOKUP(Q$1, INDIRECT(Config!$E$1), 2, FALSE),FALSE))</f>
        <v>0</v>
      </c>
      <c r="R103" s="210">
        <f ca="1">IF($B103="N/A", "N/A", VLOOKUP($B103, INDIRECT(Config!$B$1), HLOOKUP(R$1, INDIRECT(Config!$E$1), 2, FALSE),FALSE))</f>
        <v>0</v>
      </c>
    </row>
    <row r="104" spans="1:18" ht="14.55" customHeight="1" x14ac:dyDescent="0.3">
      <c r="A104" s="334" t="s">
        <v>38</v>
      </c>
      <c r="B104" s="4" t="s">
        <v>612</v>
      </c>
      <c r="C104" s="206">
        <v>0</v>
      </c>
      <c r="D104" s="206">
        <v>16</v>
      </c>
      <c r="E104" s="248" t="s">
        <v>262</v>
      </c>
      <c r="F104" s="206" t="s">
        <v>262</v>
      </c>
      <c r="G104" s="365"/>
      <c r="H104" s="209" t="s">
        <v>48</v>
      </c>
      <c r="I104" s="230"/>
      <c r="J104" s="209" t="s">
        <v>51</v>
      </c>
      <c r="K104" s="209" t="s">
        <v>51</v>
      </c>
      <c r="L104" s="216"/>
      <c r="M104" s="206" t="s">
        <v>66</v>
      </c>
      <c r="N104" s="206" t="s">
        <v>759</v>
      </c>
      <c r="O104" s="206" t="s">
        <v>471</v>
      </c>
      <c r="P104" s="211">
        <f t="shared" ref="P104:R107" si="5">IF($B104="N/A", "N/A", 1)</f>
        <v>1</v>
      </c>
      <c r="Q104" s="211">
        <f t="shared" si="5"/>
        <v>1</v>
      </c>
      <c r="R104" s="211">
        <f t="shared" si="5"/>
        <v>1</v>
      </c>
    </row>
    <row r="105" spans="1:18" ht="14.55" customHeight="1" x14ac:dyDescent="0.3">
      <c r="A105" s="364"/>
      <c r="B105" s="4" t="s">
        <v>612</v>
      </c>
      <c r="C105" s="206">
        <v>16</v>
      </c>
      <c r="D105" s="206">
        <v>8</v>
      </c>
      <c r="E105" s="248" t="s">
        <v>263</v>
      </c>
      <c r="F105" s="206" t="s">
        <v>263</v>
      </c>
      <c r="G105" s="366"/>
      <c r="H105" s="209" t="s">
        <v>48</v>
      </c>
      <c r="I105" s="230"/>
      <c r="J105" s="209" t="s">
        <v>1084</v>
      </c>
      <c r="K105" s="209" t="s">
        <v>1084</v>
      </c>
      <c r="L105" s="216"/>
      <c r="M105" s="206" t="s">
        <v>66</v>
      </c>
      <c r="N105" s="206" t="s">
        <v>760</v>
      </c>
      <c r="O105" s="206" t="s">
        <v>472</v>
      </c>
      <c r="P105" s="211">
        <f t="shared" si="5"/>
        <v>1</v>
      </c>
      <c r="Q105" s="211">
        <f t="shared" si="5"/>
        <v>1</v>
      </c>
      <c r="R105" s="211">
        <f t="shared" si="5"/>
        <v>1</v>
      </c>
    </row>
    <row r="106" spans="1:18" ht="14.55" customHeight="1" x14ac:dyDescent="0.3">
      <c r="A106" s="364"/>
      <c r="B106" s="4" t="s">
        <v>612</v>
      </c>
      <c r="C106" s="206">
        <v>24</v>
      </c>
      <c r="D106" s="206">
        <v>4</v>
      </c>
      <c r="E106" s="248" t="s">
        <v>264</v>
      </c>
      <c r="F106" s="206" t="s">
        <v>264</v>
      </c>
      <c r="G106" s="366"/>
      <c r="H106" s="209" t="s">
        <v>48</v>
      </c>
      <c r="I106" s="230"/>
      <c r="J106" s="209" t="s">
        <v>1084</v>
      </c>
      <c r="K106" s="209" t="s">
        <v>1084</v>
      </c>
      <c r="L106" s="216"/>
      <c r="M106" s="206" t="s">
        <v>66</v>
      </c>
      <c r="N106" s="206" t="s">
        <v>761</v>
      </c>
      <c r="O106" s="206" t="s">
        <v>473</v>
      </c>
      <c r="P106" s="211">
        <f t="shared" si="5"/>
        <v>1</v>
      </c>
      <c r="Q106" s="211">
        <f t="shared" si="5"/>
        <v>1</v>
      </c>
      <c r="R106" s="211">
        <f t="shared" si="5"/>
        <v>1</v>
      </c>
    </row>
    <row r="107" spans="1:18" ht="14.55" customHeight="1" x14ac:dyDescent="0.3">
      <c r="A107" s="333"/>
      <c r="B107" s="4" t="s">
        <v>612</v>
      </c>
      <c r="C107" s="206">
        <v>28</v>
      </c>
      <c r="D107" s="206">
        <v>4</v>
      </c>
      <c r="E107" s="248" t="s">
        <v>265</v>
      </c>
      <c r="F107" s="206" t="s">
        <v>265</v>
      </c>
      <c r="G107" s="367"/>
      <c r="H107" s="209" t="s">
        <v>48</v>
      </c>
      <c r="I107" s="230"/>
      <c r="J107" s="209" t="s">
        <v>1085</v>
      </c>
      <c r="K107" s="209" t="s">
        <v>1085</v>
      </c>
      <c r="L107" s="216"/>
      <c r="M107" s="206" t="s">
        <v>66</v>
      </c>
      <c r="N107" s="206" t="s">
        <v>762</v>
      </c>
      <c r="O107" s="206" t="s">
        <v>472</v>
      </c>
      <c r="P107" s="211">
        <f t="shared" si="5"/>
        <v>1</v>
      </c>
      <c r="Q107" s="211">
        <f t="shared" si="5"/>
        <v>1</v>
      </c>
      <c r="R107" s="211">
        <f t="shared" si="5"/>
        <v>1</v>
      </c>
    </row>
    <row r="108" spans="1:18" ht="14.55" customHeight="1" x14ac:dyDescent="0.3">
      <c r="A108" s="334" t="s">
        <v>52</v>
      </c>
      <c r="B108" s="16" t="s">
        <v>253</v>
      </c>
      <c r="C108" s="207">
        <v>0</v>
      </c>
      <c r="D108" s="207">
        <v>1</v>
      </c>
      <c r="E108" s="207"/>
      <c r="F108" s="207" t="s">
        <v>546</v>
      </c>
      <c r="G108" s="222" t="s">
        <v>384</v>
      </c>
      <c r="H108" s="214" t="s">
        <v>48</v>
      </c>
      <c r="I108" s="230"/>
      <c r="J108" s="214" t="s">
        <v>48</v>
      </c>
      <c r="K108" s="230"/>
      <c r="L108" s="210" t="s">
        <v>17</v>
      </c>
      <c r="M108" s="206" t="s">
        <v>66</v>
      </c>
      <c r="N108" s="206" t="s">
        <v>748</v>
      </c>
      <c r="O108" s="206" t="s">
        <v>533</v>
      </c>
      <c r="P108" s="210">
        <f ca="1">IF($B108="N/A", "N/A", VLOOKUP($B108, INDIRECT(Config!$B$1), HLOOKUP(P$1, INDIRECT(Config!$E$1), 2, FALSE),FALSE))</f>
        <v>1</v>
      </c>
      <c r="Q108" s="210">
        <f ca="1">IF($B108="N/A", "N/A", VLOOKUP($B108, INDIRECT(Config!$B$1), HLOOKUP(Q$1, INDIRECT(Config!$E$1), 2, FALSE),FALSE))</f>
        <v>1</v>
      </c>
      <c r="R108" s="210">
        <f ca="1">IF($B108="N/A", "N/A", VLOOKUP($B108, INDIRECT(Config!$B$1), HLOOKUP(R$1, INDIRECT(Config!$E$1), 2, FALSE),FALSE))</f>
        <v>0</v>
      </c>
    </row>
    <row r="109" spans="1:18" ht="14.55" customHeight="1" x14ac:dyDescent="0.3">
      <c r="A109" s="364"/>
      <c r="B109" s="16" t="s">
        <v>253</v>
      </c>
      <c r="C109" s="207">
        <v>1</v>
      </c>
      <c r="D109" s="207">
        <v>1</v>
      </c>
      <c r="E109" s="207"/>
      <c r="F109" s="207" t="s">
        <v>547</v>
      </c>
      <c r="G109" s="222" t="s">
        <v>384</v>
      </c>
      <c r="H109" s="214" t="s">
        <v>48</v>
      </c>
      <c r="I109" s="230"/>
      <c r="J109" s="214" t="s">
        <v>48</v>
      </c>
      <c r="K109" s="230" t="s">
        <v>1144</v>
      </c>
      <c r="L109" s="210" t="s">
        <v>17</v>
      </c>
      <c r="M109" s="206" t="s">
        <v>66</v>
      </c>
      <c r="N109" s="206" t="s">
        <v>749</v>
      </c>
      <c r="O109" s="206" t="s">
        <v>534</v>
      </c>
      <c r="P109" s="210">
        <f ca="1">IF($B109="N/A", "N/A", VLOOKUP($B109, INDIRECT(Config!$B$1), HLOOKUP(P$1, INDIRECT(Config!$E$1), 2, FALSE),FALSE))</f>
        <v>1</v>
      </c>
      <c r="Q109" s="210">
        <f ca="1">IF($B109="N/A", "N/A", VLOOKUP($B109, INDIRECT(Config!$B$1), HLOOKUP(Q$1, INDIRECT(Config!$E$1), 2, FALSE),FALSE))</f>
        <v>1</v>
      </c>
      <c r="R109" s="210">
        <f ca="1">IF($B109="N/A", "N/A", VLOOKUP($B109, INDIRECT(Config!$B$1), HLOOKUP(R$1, INDIRECT(Config!$E$1), 2, FALSE),FALSE))</f>
        <v>0</v>
      </c>
    </row>
    <row r="110" spans="1:18" ht="14.55" customHeight="1" x14ac:dyDescent="0.3">
      <c r="A110" s="333"/>
      <c r="B110" s="16" t="s">
        <v>253</v>
      </c>
      <c r="C110" s="207">
        <v>2</v>
      </c>
      <c r="D110" s="207">
        <v>30</v>
      </c>
      <c r="E110" s="207"/>
      <c r="F110" s="207" t="s">
        <v>664</v>
      </c>
      <c r="G110" s="222" t="s">
        <v>384</v>
      </c>
      <c r="H110" s="214" t="s">
        <v>48</v>
      </c>
      <c r="I110" s="230"/>
      <c r="J110" s="214" t="s">
        <v>48</v>
      </c>
      <c r="K110" s="230"/>
      <c r="L110" s="210" t="s">
        <v>17</v>
      </c>
      <c r="M110" s="206" t="s">
        <v>66</v>
      </c>
      <c r="N110" s="206" t="s">
        <v>750</v>
      </c>
      <c r="O110" s="206" t="s">
        <v>534</v>
      </c>
      <c r="P110" s="210">
        <f ca="1">IF($B110="N/A", "N/A", VLOOKUP($B110, INDIRECT(Config!$B$1), HLOOKUP(P$1, INDIRECT(Config!$E$1), 2, FALSE),FALSE))</f>
        <v>1</v>
      </c>
      <c r="Q110" s="210">
        <f ca="1">IF($B110="N/A", "N/A", VLOOKUP($B110, INDIRECT(Config!$B$1), HLOOKUP(Q$1, INDIRECT(Config!$E$1), 2, FALSE),FALSE))</f>
        <v>1</v>
      </c>
      <c r="R110" s="210">
        <f ca="1">IF($B110="N/A", "N/A", VLOOKUP($B110, INDIRECT(Config!$B$1), HLOOKUP(R$1, INDIRECT(Config!$E$1), 2, FALSE),FALSE))</f>
        <v>0</v>
      </c>
    </row>
    <row r="111" spans="1:18" ht="14.55" customHeight="1" x14ac:dyDescent="0.3">
      <c r="A111" s="334" t="s">
        <v>353</v>
      </c>
      <c r="B111" s="16" t="s">
        <v>253</v>
      </c>
      <c r="C111" s="207">
        <v>0</v>
      </c>
      <c r="D111" s="207">
        <v>1</v>
      </c>
      <c r="E111" s="207"/>
      <c r="F111" s="207" t="s">
        <v>548</v>
      </c>
      <c r="G111" s="222" t="s">
        <v>384</v>
      </c>
      <c r="H111" s="214" t="s">
        <v>48</v>
      </c>
      <c r="I111" s="230"/>
      <c r="J111" s="214" t="s">
        <v>48</v>
      </c>
      <c r="K111" s="230"/>
      <c r="L111" s="210" t="s">
        <v>17</v>
      </c>
      <c r="M111" s="206" t="s">
        <v>66</v>
      </c>
      <c r="N111" s="206" t="s">
        <v>751</v>
      </c>
      <c r="O111" s="206" t="s">
        <v>545</v>
      </c>
      <c r="P111" s="210">
        <f ca="1">IF($B111="N/A", "N/A", VLOOKUP($B111, INDIRECT(Config!$B$1), HLOOKUP(P$1, INDIRECT(Config!$E$1), 2, FALSE),FALSE))</f>
        <v>1</v>
      </c>
      <c r="Q111" s="210">
        <f ca="1">IF($B111="N/A", "N/A", VLOOKUP($B111, INDIRECT(Config!$B$1), HLOOKUP(Q$1, INDIRECT(Config!$E$1), 2, FALSE),FALSE))</f>
        <v>1</v>
      </c>
      <c r="R111" s="210">
        <f ca="1">IF($B111="N/A", "N/A", VLOOKUP($B111, INDIRECT(Config!$B$1), HLOOKUP(R$1, INDIRECT(Config!$E$1), 2, FALSE),FALSE))</f>
        <v>0</v>
      </c>
    </row>
    <row r="112" spans="1:18" ht="14.55" customHeight="1" x14ac:dyDescent="0.3">
      <c r="A112" s="333"/>
      <c r="B112" s="16" t="s">
        <v>253</v>
      </c>
      <c r="C112" s="207">
        <v>1</v>
      </c>
      <c r="D112" s="207">
        <v>31</v>
      </c>
      <c r="E112" s="207"/>
      <c r="F112" s="207" t="s">
        <v>663</v>
      </c>
      <c r="G112" s="222" t="s">
        <v>384</v>
      </c>
      <c r="H112" s="214" t="s">
        <v>48</v>
      </c>
      <c r="I112" s="230"/>
      <c r="J112" s="214" t="s">
        <v>48</v>
      </c>
      <c r="K112" s="230"/>
      <c r="L112" s="210" t="s">
        <v>17</v>
      </c>
      <c r="M112" s="206" t="s">
        <v>66</v>
      </c>
      <c r="N112" s="206" t="s">
        <v>752</v>
      </c>
      <c r="O112" s="206" t="s">
        <v>545</v>
      </c>
      <c r="P112" s="210">
        <f ca="1">IF($B112="N/A", "N/A", VLOOKUP($B112, INDIRECT(Config!$B$1), HLOOKUP(P$1, INDIRECT(Config!$E$1), 2, FALSE),FALSE))</f>
        <v>1</v>
      </c>
      <c r="Q112" s="210">
        <f ca="1">IF($B112="N/A", "N/A", VLOOKUP($B112, INDIRECT(Config!$B$1), HLOOKUP(Q$1, INDIRECT(Config!$E$1), 2, FALSE),FALSE))</f>
        <v>1</v>
      </c>
      <c r="R112" s="210">
        <f ca="1">IF($B112="N/A", "N/A", VLOOKUP($B112, INDIRECT(Config!$B$1), HLOOKUP(R$1, INDIRECT(Config!$E$1), 2, FALSE),FALSE))</f>
        <v>0</v>
      </c>
    </row>
    <row r="113" spans="1:18" ht="14.55" customHeight="1" x14ac:dyDescent="0.3">
      <c r="A113" s="334" t="s">
        <v>354</v>
      </c>
      <c r="B113" s="16" t="s">
        <v>355</v>
      </c>
      <c r="C113" s="207">
        <v>0</v>
      </c>
      <c r="D113" s="207">
        <v>1</v>
      </c>
      <c r="E113" s="207"/>
      <c r="F113" s="207" t="s">
        <v>546</v>
      </c>
      <c r="G113" s="222" t="s">
        <v>384</v>
      </c>
      <c r="H113" s="214" t="s">
        <v>48</v>
      </c>
      <c r="I113" s="230"/>
      <c r="J113" s="214" t="s">
        <v>48</v>
      </c>
      <c r="K113" s="230"/>
      <c r="L113" s="210" t="s">
        <v>17</v>
      </c>
      <c r="M113" s="206" t="s">
        <v>66</v>
      </c>
      <c r="N113" s="206" t="s">
        <v>753</v>
      </c>
      <c r="O113" s="206" t="s">
        <v>533</v>
      </c>
      <c r="P113" s="210">
        <f ca="1">IF(VLOOKUP("PARAM_INT_IFP_TRIPLE_RDD_DIS", INDIRECT(Config!$B$1), HLOOKUP(P$1, INDIRECT(Config!$E$1), 2, FALSE),FALSE)=0, VLOOKUP("TRC_PRESENT", INDIRECT(Config!$B$1), HLOOKUP(P$1, INDIRECT(Config!$E$1), 2, FALSE),FALSE), 0)</f>
        <v>0</v>
      </c>
      <c r="Q113" s="210">
        <f ca="1">IF(VLOOKUP("PARAM_INT_IFP_TRIPLE_RDD_DIS", INDIRECT(Config!$B$1), HLOOKUP(Q$1, INDIRECT(Config!$E$1), 2, FALSE),FALSE)=0, VLOOKUP("TRC_PRESENT", INDIRECT(Config!$B$1), HLOOKUP(Q$1, INDIRECT(Config!$E$1), 2, FALSE),FALSE), 0)</f>
        <v>0</v>
      </c>
      <c r="R113" s="210">
        <f ca="1">IF(VLOOKUP("PARAM_INT_IFP_TRIPLE_RDD_DIS", INDIRECT(Config!$B$1), HLOOKUP(R$1, INDIRECT(Config!$E$1), 2, FALSE),FALSE)=0, VLOOKUP("TRC_PRESENT", INDIRECT(Config!$B$1), HLOOKUP(R$1, INDIRECT(Config!$E$1), 2, FALSE),FALSE), 0)</f>
        <v>0</v>
      </c>
    </row>
    <row r="114" spans="1:18" ht="14.55" customHeight="1" x14ac:dyDescent="0.3">
      <c r="A114" s="364"/>
      <c r="B114" s="16" t="s">
        <v>355</v>
      </c>
      <c r="C114" s="207">
        <v>1</v>
      </c>
      <c r="D114" s="207">
        <v>1</v>
      </c>
      <c r="E114" s="207"/>
      <c r="F114" s="207" t="s">
        <v>547</v>
      </c>
      <c r="G114" s="222" t="s">
        <v>384</v>
      </c>
      <c r="H114" s="214" t="s">
        <v>48</v>
      </c>
      <c r="I114" s="230"/>
      <c r="J114" s="214" t="s">
        <v>48</v>
      </c>
      <c r="K114" s="230"/>
      <c r="L114" s="210" t="s">
        <v>17</v>
      </c>
      <c r="M114" s="206" t="s">
        <v>66</v>
      </c>
      <c r="N114" s="206" t="s">
        <v>754</v>
      </c>
      <c r="O114" s="206" t="s">
        <v>534</v>
      </c>
      <c r="P114" s="210">
        <f ca="1">IF(VLOOKUP("PARAM_INT_IFP_TRIPLE_RDD_DIS", INDIRECT(Config!$B$1), HLOOKUP(P$1, INDIRECT(Config!$E$1), 2, FALSE),FALSE)=0, VLOOKUP("TRC_PRESENT", INDIRECT(Config!$B$1), HLOOKUP(P$1, INDIRECT(Config!$E$1), 2, FALSE),FALSE), 0)</f>
        <v>0</v>
      </c>
      <c r="Q114" s="210">
        <f ca="1">IF(VLOOKUP("PARAM_INT_IFP_TRIPLE_RDD_DIS", INDIRECT(Config!$B$1), HLOOKUP(Q$1, INDIRECT(Config!$E$1), 2, FALSE),FALSE)=0, VLOOKUP("TRC_PRESENT", INDIRECT(Config!$B$1), HLOOKUP(Q$1, INDIRECT(Config!$E$1), 2, FALSE),FALSE), 0)</f>
        <v>0</v>
      </c>
      <c r="R114" s="210">
        <f ca="1">IF(VLOOKUP("PARAM_INT_IFP_TRIPLE_RDD_DIS", INDIRECT(Config!$B$1), HLOOKUP(R$1, INDIRECT(Config!$E$1), 2, FALSE),FALSE)=0, VLOOKUP("TRC_PRESENT", INDIRECT(Config!$B$1), HLOOKUP(R$1, INDIRECT(Config!$E$1), 2, FALSE),FALSE), 0)</f>
        <v>0</v>
      </c>
    </row>
    <row r="115" spans="1:18" ht="14.55" customHeight="1" x14ac:dyDescent="0.3">
      <c r="A115" s="333"/>
      <c r="B115" s="16" t="s">
        <v>355</v>
      </c>
      <c r="C115" s="207">
        <v>2</v>
      </c>
      <c r="D115" s="207">
        <v>30</v>
      </c>
      <c r="E115" s="207"/>
      <c r="F115" s="207" t="s">
        <v>664</v>
      </c>
      <c r="G115" s="222" t="s">
        <v>384</v>
      </c>
      <c r="H115" s="214" t="s">
        <v>48</v>
      </c>
      <c r="I115" s="230"/>
      <c r="J115" s="214" t="s">
        <v>48</v>
      </c>
      <c r="K115" s="230"/>
      <c r="L115" s="210" t="s">
        <v>17</v>
      </c>
      <c r="M115" s="206" t="s">
        <v>66</v>
      </c>
      <c r="N115" s="206" t="s">
        <v>750</v>
      </c>
      <c r="O115" s="206" t="s">
        <v>534</v>
      </c>
      <c r="P115" s="210">
        <f ca="1">IF(VLOOKUP("PARAM_INT_IFP_TRIPLE_RDD_DIS", INDIRECT(Config!$B$1), HLOOKUP(P$1, INDIRECT(Config!$E$1), 2, FALSE),FALSE)=0, VLOOKUP("TRC_PRESENT", INDIRECT(Config!$B$1), HLOOKUP(P$1, INDIRECT(Config!$E$1), 2, FALSE),FALSE), 0)</f>
        <v>0</v>
      </c>
      <c r="Q115" s="210">
        <f ca="1">IF(VLOOKUP("PARAM_INT_IFP_TRIPLE_RDD_DIS", INDIRECT(Config!$B$1), HLOOKUP(Q$1, INDIRECT(Config!$E$1), 2, FALSE),FALSE)=0, VLOOKUP("TRC_PRESENT", INDIRECT(Config!$B$1), HLOOKUP(Q$1, INDIRECT(Config!$E$1), 2, FALSE),FALSE), 0)</f>
        <v>0</v>
      </c>
      <c r="R115" s="210">
        <f ca="1">IF(VLOOKUP("PARAM_INT_IFP_TRIPLE_RDD_DIS", INDIRECT(Config!$B$1), HLOOKUP(R$1, INDIRECT(Config!$E$1), 2, FALSE),FALSE)=0, VLOOKUP("TRC_PRESENT", INDIRECT(Config!$B$1), HLOOKUP(R$1, INDIRECT(Config!$E$1), 2, FALSE),FALSE), 0)</f>
        <v>0</v>
      </c>
    </row>
    <row r="116" spans="1:18" ht="14.55" customHeight="1" x14ac:dyDescent="0.3">
      <c r="A116" s="334" t="s">
        <v>356</v>
      </c>
      <c r="B116" s="16" t="s">
        <v>355</v>
      </c>
      <c r="C116" s="207">
        <v>0</v>
      </c>
      <c r="D116" s="207">
        <v>1</v>
      </c>
      <c r="E116" s="207"/>
      <c r="F116" s="207" t="s">
        <v>548</v>
      </c>
      <c r="G116" s="222" t="s">
        <v>384</v>
      </c>
      <c r="H116" s="214" t="s">
        <v>48</v>
      </c>
      <c r="I116" s="230"/>
      <c r="J116" s="214" t="s">
        <v>48</v>
      </c>
      <c r="K116" s="230"/>
      <c r="L116" s="210" t="s">
        <v>17</v>
      </c>
      <c r="M116" s="206" t="s">
        <v>66</v>
      </c>
      <c r="N116" s="206" t="s">
        <v>755</v>
      </c>
      <c r="O116" s="206" t="s">
        <v>545</v>
      </c>
      <c r="P116" s="210">
        <f ca="1">IF(VLOOKUP("PARAM_INT_IFP_TRIPLE_RDD_DIS", INDIRECT(Config!$B$1), HLOOKUP(P$1, INDIRECT(Config!$E$1), 2, FALSE),FALSE)=0, VLOOKUP("TRC_PRESENT", INDIRECT(Config!$B$1), HLOOKUP(P$1, INDIRECT(Config!$E$1), 2, FALSE),FALSE), 0)</f>
        <v>0</v>
      </c>
      <c r="Q116" s="210">
        <f ca="1">IF(VLOOKUP("PARAM_INT_IFP_TRIPLE_RDD_DIS", INDIRECT(Config!$B$1), HLOOKUP(Q$1, INDIRECT(Config!$E$1), 2, FALSE),FALSE)=0, VLOOKUP("TRC_PRESENT", INDIRECT(Config!$B$1), HLOOKUP(Q$1, INDIRECT(Config!$E$1), 2, FALSE),FALSE), 0)</f>
        <v>0</v>
      </c>
      <c r="R116" s="210">
        <f ca="1">IF(VLOOKUP("PARAM_INT_IFP_TRIPLE_RDD_DIS", INDIRECT(Config!$B$1), HLOOKUP(R$1, INDIRECT(Config!$E$1), 2, FALSE),FALSE)=0, VLOOKUP("TRC_PRESENT", INDIRECT(Config!$B$1), HLOOKUP(R$1, INDIRECT(Config!$E$1), 2, FALSE),FALSE), 0)</f>
        <v>0</v>
      </c>
    </row>
    <row r="117" spans="1:18" ht="14.55" customHeight="1" x14ac:dyDescent="0.3">
      <c r="A117" s="333"/>
      <c r="B117" s="16" t="s">
        <v>355</v>
      </c>
      <c r="C117" s="207">
        <v>1</v>
      </c>
      <c r="D117" s="207">
        <v>31</v>
      </c>
      <c r="E117" s="207"/>
      <c r="F117" s="207" t="s">
        <v>663</v>
      </c>
      <c r="G117" s="222" t="s">
        <v>384</v>
      </c>
      <c r="H117" s="214" t="s">
        <v>48</v>
      </c>
      <c r="I117" s="230"/>
      <c r="J117" s="214" t="s">
        <v>48</v>
      </c>
      <c r="K117" s="230"/>
      <c r="L117" s="210" t="s">
        <v>17</v>
      </c>
      <c r="M117" s="206" t="s">
        <v>66</v>
      </c>
      <c r="N117" s="206" t="s">
        <v>752</v>
      </c>
      <c r="O117" s="206" t="s">
        <v>545</v>
      </c>
      <c r="P117" s="210">
        <f ca="1">IF(VLOOKUP("PARAM_INT_IFP_TRIPLE_RDD_DIS", INDIRECT(Config!$B$1), HLOOKUP(P$1, INDIRECT(Config!$E$1), 2, FALSE),FALSE)=0, VLOOKUP("TRC_PRESENT", INDIRECT(Config!$B$1), HLOOKUP(P$1, INDIRECT(Config!$E$1), 2, FALSE),FALSE), 0)</f>
        <v>0</v>
      </c>
      <c r="Q117" s="210">
        <f ca="1">IF(VLOOKUP("PARAM_INT_IFP_TRIPLE_RDD_DIS", INDIRECT(Config!$B$1), HLOOKUP(Q$1, INDIRECT(Config!$E$1), 2, FALSE),FALSE)=0, VLOOKUP("TRC_PRESENT", INDIRECT(Config!$B$1), HLOOKUP(Q$1, INDIRECT(Config!$E$1), 2, FALSE),FALSE), 0)</f>
        <v>0</v>
      </c>
      <c r="R117" s="210">
        <f ca="1">IF(VLOOKUP("PARAM_INT_IFP_TRIPLE_RDD_DIS", INDIRECT(Config!$B$1), HLOOKUP(R$1, INDIRECT(Config!$E$1), 2, FALSE),FALSE)=0, VLOOKUP("TRC_PRESENT", INDIRECT(Config!$B$1), HLOOKUP(R$1, INDIRECT(Config!$E$1), 2, FALSE),FALSE), 0)</f>
        <v>0</v>
      </c>
    </row>
    <row r="118" spans="1:18" ht="14.55" customHeight="1" x14ac:dyDescent="0.3">
      <c r="A118" s="334" t="s">
        <v>357</v>
      </c>
      <c r="B118" s="16" t="s">
        <v>355</v>
      </c>
      <c r="C118" s="207">
        <v>0</v>
      </c>
      <c r="D118" s="207">
        <v>1</v>
      </c>
      <c r="E118" s="207"/>
      <c r="F118" s="207" t="s">
        <v>546</v>
      </c>
      <c r="G118" s="222" t="s">
        <v>384</v>
      </c>
      <c r="H118" s="214" t="s">
        <v>48</v>
      </c>
      <c r="I118" s="230"/>
      <c r="J118" s="214" t="s">
        <v>48</v>
      </c>
      <c r="K118" s="230"/>
      <c r="L118" s="210" t="s">
        <v>17</v>
      </c>
      <c r="M118" s="206" t="s">
        <v>66</v>
      </c>
      <c r="N118" s="206" t="s">
        <v>756</v>
      </c>
      <c r="O118" s="206" t="s">
        <v>533</v>
      </c>
      <c r="P118" s="210">
        <f ca="1">IF(VLOOKUP("PARAM_INT_IFP_TRIPLE_RDD_DIS", INDIRECT(Config!$B$1), HLOOKUP(P$1, INDIRECT(Config!$E$1), 2, FALSE),FALSE)=0, VLOOKUP("TRC_PRESENT", INDIRECT(Config!$B$1), HLOOKUP(P$1, INDIRECT(Config!$E$1), 2, FALSE),FALSE), 0)</f>
        <v>0</v>
      </c>
      <c r="Q118" s="210">
        <f ca="1">IF(VLOOKUP("PARAM_INT_IFP_TRIPLE_RDD_DIS", INDIRECT(Config!$B$1), HLOOKUP(Q$1, INDIRECT(Config!$E$1), 2, FALSE),FALSE)=0, VLOOKUP("TRC_PRESENT", INDIRECT(Config!$B$1), HLOOKUP(Q$1, INDIRECT(Config!$E$1), 2, FALSE),FALSE), 0)</f>
        <v>0</v>
      </c>
      <c r="R118" s="210">
        <f ca="1">IF(VLOOKUP("PARAM_INT_IFP_TRIPLE_RDD_DIS", INDIRECT(Config!$B$1), HLOOKUP(R$1, INDIRECT(Config!$E$1), 2, FALSE),FALSE)=0, VLOOKUP("TRC_PRESENT", INDIRECT(Config!$B$1), HLOOKUP(R$1, INDIRECT(Config!$E$1), 2, FALSE),FALSE), 0)</f>
        <v>0</v>
      </c>
    </row>
    <row r="119" spans="1:18" ht="14.55" customHeight="1" x14ac:dyDescent="0.3">
      <c r="A119" s="364"/>
      <c r="B119" s="16" t="s">
        <v>355</v>
      </c>
      <c r="C119" s="207">
        <v>1</v>
      </c>
      <c r="D119" s="207">
        <v>1</v>
      </c>
      <c r="E119" s="207"/>
      <c r="F119" s="207" t="s">
        <v>547</v>
      </c>
      <c r="G119" s="222" t="s">
        <v>384</v>
      </c>
      <c r="H119" s="214" t="s">
        <v>48</v>
      </c>
      <c r="I119" s="230"/>
      <c r="J119" s="214" t="s">
        <v>48</v>
      </c>
      <c r="K119" s="230"/>
      <c r="L119" s="210" t="s">
        <v>17</v>
      </c>
      <c r="M119" s="206" t="s">
        <v>66</v>
      </c>
      <c r="N119" s="206" t="s">
        <v>757</v>
      </c>
      <c r="O119" s="206" t="s">
        <v>534</v>
      </c>
      <c r="P119" s="210">
        <f ca="1">IF(VLOOKUP("PARAM_INT_IFP_TRIPLE_RDD_DIS", INDIRECT(Config!$B$1), HLOOKUP(P$1, INDIRECT(Config!$E$1), 2, FALSE),FALSE)=0, VLOOKUP("TRC_PRESENT", INDIRECT(Config!$B$1), HLOOKUP(P$1, INDIRECT(Config!$E$1), 2, FALSE),FALSE), 0)</f>
        <v>0</v>
      </c>
      <c r="Q119" s="210">
        <f ca="1">IF(VLOOKUP("PARAM_INT_IFP_TRIPLE_RDD_DIS", INDIRECT(Config!$B$1), HLOOKUP(Q$1, INDIRECT(Config!$E$1), 2, FALSE),FALSE)=0, VLOOKUP("TRC_PRESENT", INDIRECT(Config!$B$1), HLOOKUP(Q$1, INDIRECT(Config!$E$1), 2, FALSE),FALSE), 0)</f>
        <v>0</v>
      </c>
      <c r="R119" s="210">
        <f ca="1">IF(VLOOKUP("PARAM_INT_IFP_TRIPLE_RDD_DIS", INDIRECT(Config!$B$1), HLOOKUP(R$1, INDIRECT(Config!$E$1), 2, FALSE),FALSE)=0, VLOOKUP("TRC_PRESENT", INDIRECT(Config!$B$1), HLOOKUP(R$1, INDIRECT(Config!$E$1), 2, FALSE),FALSE), 0)</f>
        <v>0</v>
      </c>
    </row>
    <row r="120" spans="1:18" ht="14.55" customHeight="1" x14ac:dyDescent="0.3">
      <c r="A120" s="333"/>
      <c r="B120" s="16" t="s">
        <v>355</v>
      </c>
      <c r="C120" s="207">
        <v>2</v>
      </c>
      <c r="D120" s="207">
        <v>30</v>
      </c>
      <c r="E120" s="207"/>
      <c r="F120" s="207" t="s">
        <v>664</v>
      </c>
      <c r="G120" s="222" t="s">
        <v>384</v>
      </c>
      <c r="H120" s="214" t="s">
        <v>48</v>
      </c>
      <c r="I120" s="230"/>
      <c r="J120" s="214" t="s">
        <v>48</v>
      </c>
      <c r="K120" s="230"/>
      <c r="L120" s="210" t="s">
        <v>17</v>
      </c>
      <c r="M120" s="206" t="s">
        <v>66</v>
      </c>
      <c r="N120" s="206" t="s">
        <v>750</v>
      </c>
      <c r="O120" s="206" t="s">
        <v>534</v>
      </c>
      <c r="P120" s="210">
        <f ca="1">IF(VLOOKUP("PARAM_INT_IFP_TRIPLE_RDD_DIS", INDIRECT(Config!$B$1), HLOOKUP(P$1, INDIRECT(Config!$E$1), 2, FALSE),FALSE)=0, VLOOKUP("TRC_PRESENT", INDIRECT(Config!$B$1), HLOOKUP(P$1, INDIRECT(Config!$E$1), 2, FALSE),FALSE), 0)</f>
        <v>0</v>
      </c>
      <c r="Q120" s="210">
        <f ca="1">IF(VLOOKUP("PARAM_INT_IFP_TRIPLE_RDD_DIS", INDIRECT(Config!$B$1), HLOOKUP(Q$1, INDIRECT(Config!$E$1), 2, FALSE),FALSE)=0, VLOOKUP("TRC_PRESENT", INDIRECT(Config!$B$1), HLOOKUP(Q$1, INDIRECT(Config!$E$1), 2, FALSE),FALSE), 0)</f>
        <v>0</v>
      </c>
      <c r="R120" s="210">
        <f ca="1">IF(VLOOKUP("PARAM_INT_IFP_TRIPLE_RDD_DIS", INDIRECT(Config!$B$1), HLOOKUP(R$1, INDIRECT(Config!$E$1), 2, FALSE),FALSE)=0, VLOOKUP("TRC_PRESENT", INDIRECT(Config!$B$1), HLOOKUP(R$1, INDIRECT(Config!$E$1), 2, FALSE),FALSE), 0)</f>
        <v>0</v>
      </c>
    </row>
    <row r="121" spans="1:18" ht="14.55" customHeight="1" x14ac:dyDescent="0.3">
      <c r="A121" s="334" t="s">
        <v>358</v>
      </c>
      <c r="B121" s="16" t="s">
        <v>355</v>
      </c>
      <c r="C121" s="207">
        <v>0</v>
      </c>
      <c r="D121" s="207">
        <v>1</v>
      </c>
      <c r="E121" s="207"/>
      <c r="F121" s="207" t="s">
        <v>548</v>
      </c>
      <c r="G121" s="222" t="s">
        <v>384</v>
      </c>
      <c r="H121" s="214" t="s">
        <v>48</v>
      </c>
      <c r="I121" s="230"/>
      <c r="J121" s="214" t="s">
        <v>48</v>
      </c>
      <c r="K121" s="230"/>
      <c r="L121" s="210" t="s">
        <v>17</v>
      </c>
      <c r="M121" s="206" t="s">
        <v>66</v>
      </c>
      <c r="N121" s="206" t="s">
        <v>758</v>
      </c>
      <c r="O121" s="206" t="s">
        <v>545</v>
      </c>
      <c r="P121" s="210">
        <f ca="1">IF(VLOOKUP("PARAM_INT_IFP_TRIPLE_RDD_DIS", INDIRECT(Config!$B$1), HLOOKUP(P$1, INDIRECT(Config!$E$1), 2, FALSE),FALSE)=0, VLOOKUP("TRC_PRESENT", INDIRECT(Config!$B$1), HLOOKUP(P$1, INDIRECT(Config!$E$1), 2, FALSE),FALSE), 0)</f>
        <v>0</v>
      </c>
      <c r="Q121" s="210">
        <f ca="1">IF(VLOOKUP("PARAM_INT_IFP_TRIPLE_RDD_DIS", INDIRECT(Config!$B$1), HLOOKUP(Q$1, INDIRECT(Config!$E$1), 2, FALSE),FALSE)=0, VLOOKUP("TRC_PRESENT", INDIRECT(Config!$B$1), HLOOKUP(Q$1, INDIRECT(Config!$E$1), 2, FALSE),FALSE), 0)</f>
        <v>0</v>
      </c>
      <c r="R121" s="210">
        <f ca="1">IF(VLOOKUP("PARAM_INT_IFP_TRIPLE_RDD_DIS", INDIRECT(Config!$B$1), HLOOKUP(R$1, INDIRECT(Config!$E$1), 2, FALSE),FALSE)=0, VLOOKUP("TRC_PRESENT", INDIRECT(Config!$B$1), HLOOKUP(R$1, INDIRECT(Config!$E$1), 2, FALSE),FALSE), 0)</f>
        <v>0</v>
      </c>
    </row>
    <row r="122" spans="1:18" ht="14.55" customHeight="1" x14ac:dyDescent="0.3">
      <c r="A122" s="333"/>
      <c r="B122" s="16" t="s">
        <v>355</v>
      </c>
      <c r="C122" s="207">
        <v>1</v>
      </c>
      <c r="D122" s="207">
        <v>31</v>
      </c>
      <c r="E122" s="207"/>
      <c r="F122" s="207" t="s">
        <v>663</v>
      </c>
      <c r="G122" s="222" t="s">
        <v>384</v>
      </c>
      <c r="H122" s="214" t="s">
        <v>48</v>
      </c>
      <c r="I122" s="230"/>
      <c r="J122" s="214" t="s">
        <v>48</v>
      </c>
      <c r="K122" s="230"/>
      <c r="L122" s="210" t="s">
        <v>17</v>
      </c>
      <c r="M122" s="206" t="s">
        <v>66</v>
      </c>
      <c r="N122" s="206" t="s">
        <v>752</v>
      </c>
      <c r="O122" s="206" t="s">
        <v>545</v>
      </c>
      <c r="P122" s="210">
        <f ca="1">IF(VLOOKUP("PARAM_INT_IFP_TRIPLE_RDD_DIS", INDIRECT(Config!$B$1), HLOOKUP(P$1, INDIRECT(Config!$E$1), 2, FALSE),FALSE)=0, VLOOKUP("TRC_PRESENT", INDIRECT(Config!$B$1), HLOOKUP(P$1, INDIRECT(Config!$E$1), 2, FALSE),FALSE), 0)</f>
        <v>0</v>
      </c>
      <c r="Q122" s="210">
        <f ca="1">IF(VLOOKUP("PARAM_INT_IFP_TRIPLE_RDD_DIS", INDIRECT(Config!$B$1), HLOOKUP(Q$1, INDIRECT(Config!$E$1), 2, FALSE),FALSE)=0, VLOOKUP("TRC_PRESENT", INDIRECT(Config!$B$1), HLOOKUP(Q$1, INDIRECT(Config!$E$1), 2, FALSE),FALSE), 0)</f>
        <v>0</v>
      </c>
      <c r="R122" s="210">
        <f ca="1">IF(VLOOKUP("PARAM_INT_IFP_TRIPLE_RDD_DIS", INDIRECT(Config!$B$1), HLOOKUP(R$1, INDIRECT(Config!$E$1), 2, FALSE),FALSE)=0, VLOOKUP("TRC_PRESENT", INDIRECT(Config!$B$1), HLOOKUP(R$1, INDIRECT(Config!$E$1), 2, FALSE),FALSE), 0)</f>
        <v>0</v>
      </c>
    </row>
    <row r="123" spans="1:18" ht="14.55" customHeight="1" x14ac:dyDescent="0.3">
      <c r="A123" s="16" t="s">
        <v>359</v>
      </c>
      <c r="B123" s="16" t="s">
        <v>360</v>
      </c>
      <c r="C123" s="207">
        <v>0</v>
      </c>
      <c r="D123" s="207">
        <f>32*8</f>
        <v>256</v>
      </c>
      <c r="E123" s="207"/>
      <c r="F123" s="207" t="s">
        <v>361</v>
      </c>
      <c r="G123" s="222" t="s">
        <v>384</v>
      </c>
      <c r="H123" s="214" t="s">
        <v>48</v>
      </c>
      <c r="I123" s="230"/>
      <c r="J123" s="214" t="s">
        <v>48</v>
      </c>
      <c r="K123" s="230"/>
      <c r="L123" s="207" t="s">
        <v>550</v>
      </c>
      <c r="M123" s="207" t="s">
        <v>128</v>
      </c>
      <c r="N123" s="207" t="s">
        <v>786</v>
      </c>
      <c r="O123" s="207" t="s">
        <v>549</v>
      </c>
      <c r="P123" s="210">
        <f ca="1">IF($B123="N/A", "N/A", VLOOKUP($B123, INDIRECT(Config!$B$1), HLOOKUP(P$1, INDIRECT(Config!$E$1), 2, FALSE),FALSE))</f>
        <v>0</v>
      </c>
      <c r="Q123" s="210">
        <f ca="1">IF($B123="N/A", "N/A", VLOOKUP($B123, INDIRECT(Config!$B$1), HLOOKUP(Q$1, INDIRECT(Config!$E$1), 2, FALSE),FALSE))</f>
        <v>0</v>
      </c>
      <c r="R123" s="210">
        <f ca="1">IF($B123="N/A", "N/A", VLOOKUP($B123, INDIRECT(Config!$B$1), HLOOKUP(R$1, INDIRECT(Config!$E$1), 2, FALSE),FALSE))</f>
        <v>0</v>
      </c>
    </row>
    <row r="124" spans="1:18" ht="14.55" customHeight="1" x14ac:dyDescent="0.3">
      <c r="A124" s="16" t="s">
        <v>362</v>
      </c>
      <c r="B124" s="16" t="s">
        <v>363</v>
      </c>
      <c r="C124" s="207">
        <v>0</v>
      </c>
      <c r="D124" s="207">
        <f>32*8</f>
        <v>256</v>
      </c>
      <c r="E124" s="207"/>
      <c r="F124" s="207" t="s">
        <v>364</v>
      </c>
      <c r="G124" s="222" t="s">
        <v>384</v>
      </c>
      <c r="H124" s="214" t="s">
        <v>48</v>
      </c>
      <c r="I124" s="230"/>
      <c r="J124" s="214" t="s">
        <v>48</v>
      </c>
      <c r="K124" s="230"/>
      <c r="L124" s="207" t="s">
        <v>550</v>
      </c>
      <c r="M124" s="207" t="s">
        <v>128</v>
      </c>
      <c r="N124" s="207" t="s">
        <v>786</v>
      </c>
      <c r="O124" s="207" t="s">
        <v>549</v>
      </c>
      <c r="P124" s="210">
        <f ca="1">IF(VLOOKUP("PARAM_INT_IFP_TRIPLE_RDD_DIS", INDIRECT(Config!$B$1), HLOOKUP(P$1, INDIRECT(Config!$E$1), 2, FALSE),FALSE)=0, VLOOKUP("OEM_SECRET_KEY_FUSES_LIMIT", INDIRECT(Config!$B$1), HLOOKUP(P$1, INDIRECT(Config!$E$1), 2, FALSE),FALSE), 0)</f>
        <v>0</v>
      </c>
      <c r="Q124" s="210">
        <f ca="1">IF(VLOOKUP("PARAM_INT_IFP_TRIPLE_RDD_DIS", INDIRECT(Config!$B$1), HLOOKUP(Q$1, INDIRECT(Config!$E$1), 2, FALSE),FALSE)=0, VLOOKUP("OEM_SECRET_KEY_FUSES_LIMIT", INDIRECT(Config!$B$1), HLOOKUP(Q$1, INDIRECT(Config!$E$1), 2, FALSE),FALSE), 0)</f>
        <v>0</v>
      </c>
      <c r="R124" s="210">
        <f ca="1">IF(VLOOKUP("PARAM_INT_IFP_TRIPLE_RDD_DIS", INDIRECT(Config!$B$1), HLOOKUP(R$1, INDIRECT(Config!$E$1), 2, FALSE),FALSE)=0, VLOOKUP("OEM_SECRET_KEY_FUSES_LIMIT", INDIRECT(Config!$B$1), HLOOKUP(R$1, INDIRECT(Config!$E$1), 2, FALSE),FALSE), 0)</f>
        <v>0</v>
      </c>
    </row>
    <row r="125" spans="1:18" ht="14.55" customHeight="1" x14ac:dyDescent="0.3">
      <c r="A125" s="16" t="s">
        <v>365</v>
      </c>
      <c r="B125" s="16" t="s">
        <v>363</v>
      </c>
      <c r="C125" s="207">
        <v>0</v>
      </c>
      <c r="D125" s="207">
        <f>32*8</f>
        <v>256</v>
      </c>
      <c r="E125" s="207"/>
      <c r="F125" s="207" t="s">
        <v>366</v>
      </c>
      <c r="G125" s="222" t="s">
        <v>384</v>
      </c>
      <c r="H125" s="214" t="s">
        <v>48</v>
      </c>
      <c r="I125" s="230"/>
      <c r="J125" s="214" t="s">
        <v>48</v>
      </c>
      <c r="K125" s="230"/>
      <c r="L125" s="207" t="s">
        <v>550</v>
      </c>
      <c r="M125" s="207" t="s">
        <v>128</v>
      </c>
      <c r="N125" s="207" t="s">
        <v>786</v>
      </c>
      <c r="O125" s="207" t="s">
        <v>549</v>
      </c>
      <c r="P125" s="210">
        <f ca="1">IF(VLOOKUP("PARAM_INT_IFP_TRIPLE_RDD_DIS", INDIRECT(Config!$B$1), HLOOKUP(P$1, INDIRECT(Config!$E$1), 2, FALSE),FALSE)=0, VLOOKUP("OEM_SECRET_KEY_FUSES_LIMIT", INDIRECT(Config!$B$1), HLOOKUP(P$1, INDIRECT(Config!$E$1), 2, FALSE),FALSE), 0)</f>
        <v>0</v>
      </c>
      <c r="Q125" s="210">
        <f ca="1">IF(VLOOKUP("PARAM_INT_IFP_TRIPLE_RDD_DIS", INDIRECT(Config!$B$1), HLOOKUP(Q$1, INDIRECT(Config!$E$1), 2, FALSE),FALSE)=0, VLOOKUP("OEM_SECRET_KEY_FUSES_LIMIT", INDIRECT(Config!$B$1), HLOOKUP(Q$1, INDIRECT(Config!$E$1), 2, FALSE),FALSE), 0)</f>
        <v>0</v>
      </c>
      <c r="R125" s="210">
        <f ca="1">IF(VLOOKUP("PARAM_INT_IFP_TRIPLE_RDD_DIS", INDIRECT(Config!$B$1), HLOOKUP(R$1, INDIRECT(Config!$E$1), 2, FALSE),FALSE)=0, VLOOKUP("OEM_SECRET_KEY_FUSES_LIMIT", INDIRECT(Config!$B$1), HLOOKUP(R$1, INDIRECT(Config!$E$1), 2, FALSE),FALSE), 0)</f>
        <v>0</v>
      </c>
    </row>
    <row r="128" spans="1:18" x14ac:dyDescent="0.3">
      <c r="L128" s="3" t="s">
        <v>17</v>
      </c>
    </row>
    <row r="129" spans="12:12" x14ac:dyDescent="0.3">
      <c r="L129" s="120" t="s">
        <v>17</v>
      </c>
    </row>
  </sheetData>
  <autoFilter ref="A1:R107" xr:uid="{BD3C40ED-A0C8-4381-ACF6-12E781319295}"/>
  <mergeCells count="15">
    <mergeCell ref="G104:G107"/>
    <mergeCell ref="A108:A110"/>
    <mergeCell ref="A111:A112"/>
    <mergeCell ref="A113:A115"/>
    <mergeCell ref="A2:A35"/>
    <mergeCell ref="A36:A57"/>
    <mergeCell ref="A58:A67"/>
    <mergeCell ref="A68:A89"/>
    <mergeCell ref="A90:A92"/>
    <mergeCell ref="A96:A99"/>
    <mergeCell ref="A116:A117"/>
    <mergeCell ref="A118:A120"/>
    <mergeCell ref="A121:A122"/>
    <mergeCell ref="A100:A103"/>
    <mergeCell ref="A104:A107"/>
  </mergeCells>
  <conditionalFormatting sqref="P120:R120 P122:R125 P2:R63 P85:R118 P66:R83">
    <cfRule type="cellIs" dxfId="45" priority="6" operator="equal">
      <formula>"N/A"</formula>
    </cfRule>
  </conditionalFormatting>
  <conditionalFormatting sqref="P119:R119">
    <cfRule type="cellIs" dxfId="44" priority="5" operator="equal">
      <formula>"N/A"</formula>
    </cfRule>
  </conditionalFormatting>
  <conditionalFormatting sqref="P121:R121">
    <cfRule type="cellIs" dxfId="43" priority="4" operator="equal">
      <formula>"N/A"</formula>
    </cfRule>
  </conditionalFormatting>
  <conditionalFormatting sqref="P84:R84">
    <cfRule type="cellIs" dxfId="42" priority="3" operator="equal">
      <formula>"N/A"</formula>
    </cfRule>
  </conditionalFormatting>
  <conditionalFormatting sqref="P64:R64">
    <cfRule type="cellIs" dxfId="41" priority="2" operator="equal">
      <formula>"N/A"</formula>
    </cfRule>
  </conditionalFormatting>
  <conditionalFormatting sqref="P65:R65">
    <cfRule type="cellIs" dxfId="40" priority="1" operator="equal">
      <formula>"N/A"</formula>
    </cfRule>
  </conditionalFormatting>
  <pageMargins left="0.7" right="0.7" top="0.75" bottom="0.75" header="0.3" footer="0.3"/>
  <pageSetup orientation="portrait"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95BF2-A7FC-4CC3-BD79-BCF5E068961A}">
  <sheetPr codeName="Sheet8"/>
  <dimension ref="A1:Q129"/>
  <sheetViews>
    <sheetView topLeftCell="B100" zoomScale="85" zoomScaleNormal="85" workbookViewId="0">
      <selection activeCell="A123" sqref="A123"/>
    </sheetView>
  </sheetViews>
  <sheetFormatPr defaultColWidth="9.109375" defaultRowHeight="14.4" x14ac:dyDescent="0.3"/>
  <cols>
    <col min="1" max="1" width="29.77734375" style="6" customWidth="1"/>
    <col min="2" max="2" width="84.6640625" style="6" customWidth="1"/>
    <col min="3" max="3" width="7.33203125" style="15" customWidth="1"/>
    <col min="4" max="4" width="13.6640625" style="15" customWidth="1"/>
    <col min="5" max="5" width="28.109375" style="6" customWidth="1"/>
    <col min="6" max="6" width="17.5546875" style="6" customWidth="1"/>
    <col min="7" max="7" width="25.44140625" style="196" customWidth="1"/>
    <col min="8" max="8" width="3.44140625" style="196" customWidth="1"/>
    <col min="9" max="9" width="27.88671875" style="197" customWidth="1"/>
    <col min="10" max="10" width="4.44140625" style="197" customWidth="1"/>
    <col min="11" max="11" width="18.88671875" style="6" customWidth="1"/>
    <col min="12" max="12" width="9.21875" style="6" customWidth="1"/>
    <col min="13" max="13" width="44.6640625" style="15" customWidth="1"/>
    <col min="14" max="14" width="51.21875" style="15" customWidth="1"/>
    <col min="15" max="17" width="9" style="6" bestFit="1" customWidth="1"/>
    <col min="18" max="18" width="20" style="6" customWidth="1"/>
    <col min="19" max="16384" width="9.109375" style="6"/>
  </cols>
  <sheetData>
    <row r="1" spans="1:17" ht="20.25" customHeight="1" x14ac:dyDescent="0.3">
      <c r="A1" s="1" t="s">
        <v>57</v>
      </c>
      <c r="B1" s="1" t="s">
        <v>58</v>
      </c>
      <c r="C1" s="204" t="s">
        <v>382</v>
      </c>
      <c r="D1" s="204" t="s">
        <v>383</v>
      </c>
      <c r="E1" s="204" t="s">
        <v>59</v>
      </c>
      <c r="F1" s="204" t="s">
        <v>60</v>
      </c>
      <c r="G1" s="205" t="s">
        <v>1125</v>
      </c>
      <c r="H1" s="205" t="s">
        <v>1126</v>
      </c>
      <c r="I1" s="205" t="s">
        <v>372</v>
      </c>
      <c r="J1" s="205" t="s">
        <v>386</v>
      </c>
      <c r="K1" s="204" t="s">
        <v>61</v>
      </c>
      <c r="L1" s="204" t="s">
        <v>62</v>
      </c>
      <c r="M1" s="204" t="s">
        <v>675</v>
      </c>
      <c r="N1" s="204" t="s">
        <v>423</v>
      </c>
      <c r="O1" s="204" t="s">
        <v>608</v>
      </c>
      <c r="P1" s="204" t="s">
        <v>609</v>
      </c>
      <c r="Q1" s="204" t="s">
        <v>610</v>
      </c>
    </row>
    <row r="2" spans="1:17" ht="14.55" customHeight="1" x14ac:dyDescent="0.3">
      <c r="A2" s="368" t="s">
        <v>63</v>
      </c>
      <c r="B2" s="4" t="s">
        <v>612</v>
      </c>
      <c r="C2" s="206">
        <v>0</v>
      </c>
      <c r="D2" s="206">
        <v>1</v>
      </c>
      <c r="E2" s="207" t="s">
        <v>64</v>
      </c>
      <c r="F2" s="208" t="s">
        <v>65</v>
      </c>
      <c r="G2" s="209" t="s">
        <v>889</v>
      </c>
      <c r="H2" s="209">
        <v>0</v>
      </c>
      <c r="I2" s="209" t="s">
        <v>978</v>
      </c>
      <c r="J2" s="209">
        <v>1</v>
      </c>
      <c r="K2" s="210" t="s">
        <v>17</v>
      </c>
      <c r="L2" s="207" t="s">
        <v>66</v>
      </c>
      <c r="M2" s="207" t="s">
        <v>676</v>
      </c>
      <c r="N2" s="228" t="s">
        <v>424</v>
      </c>
      <c r="O2" s="211">
        <f t="shared" ref="O2:Q3" si="0">IF($B2="N/A", "N/A", 1)</f>
        <v>1</v>
      </c>
      <c r="P2" s="211">
        <f t="shared" si="0"/>
        <v>1</v>
      </c>
      <c r="Q2" s="211">
        <f t="shared" si="0"/>
        <v>1</v>
      </c>
    </row>
    <row r="3" spans="1:17" ht="14.55" customHeight="1" x14ac:dyDescent="0.3">
      <c r="A3" s="368"/>
      <c r="B3" s="4" t="s">
        <v>612</v>
      </c>
      <c r="C3" s="206">
        <v>1</v>
      </c>
      <c r="D3" s="206">
        <v>1</v>
      </c>
      <c r="E3" s="207" t="s">
        <v>67</v>
      </c>
      <c r="F3" s="208" t="s">
        <v>68</v>
      </c>
      <c r="G3" s="209" t="s">
        <v>890</v>
      </c>
      <c r="H3" s="209">
        <v>0</v>
      </c>
      <c r="I3" s="209" t="s">
        <v>979</v>
      </c>
      <c r="J3" s="209">
        <v>1</v>
      </c>
      <c r="K3" s="210" t="s">
        <v>17</v>
      </c>
      <c r="L3" s="207" t="s">
        <v>69</v>
      </c>
      <c r="M3" s="207" t="s">
        <v>677</v>
      </c>
      <c r="N3" s="228" t="s">
        <v>425</v>
      </c>
      <c r="O3" s="211">
        <f t="shared" si="0"/>
        <v>1</v>
      </c>
      <c r="P3" s="211">
        <f t="shared" si="0"/>
        <v>1</v>
      </c>
      <c r="Q3" s="211">
        <f t="shared" si="0"/>
        <v>1</v>
      </c>
    </row>
    <row r="4" spans="1:17" ht="14.55" customHeight="1" x14ac:dyDescent="0.3">
      <c r="A4" s="368"/>
      <c r="B4" s="16" t="s">
        <v>70</v>
      </c>
      <c r="C4" s="206">
        <v>2</v>
      </c>
      <c r="D4" s="206">
        <v>1</v>
      </c>
      <c r="E4" s="207" t="s">
        <v>71</v>
      </c>
      <c r="F4" s="207" t="s">
        <v>72</v>
      </c>
      <c r="G4" s="209" t="s">
        <v>891</v>
      </c>
      <c r="H4" s="209">
        <v>0</v>
      </c>
      <c r="I4" s="209" t="s">
        <v>980</v>
      </c>
      <c r="J4" s="209">
        <v>0</v>
      </c>
      <c r="K4" s="210" t="s">
        <v>17</v>
      </c>
      <c r="L4" s="207" t="s">
        <v>66</v>
      </c>
      <c r="M4" s="207" t="s">
        <v>678</v>
      </c>
      <c r="N4" s="207" t="s">
        <v>426</v>
      </c>
      <c r="O4" s="210">
        <f ca="1">IF($B4="N/A","N/A",IF(0=VLOOKUP($B4,INDIRECT(Config!$B$1),HLOOKUP(O$1,INDIRECT(Config!$E$1),2,FALSE),FALSE),1,0))</f>
        <v>1</v>
      </c>
      <c r="P4" s="210">
        <f ca="1">IF($B4="N/A","N/A",IF(0=VLOOKUP($B4,INDIRECT(Config!$B$1),HLOOKUP(P$1,INDIRECT(Config!$E$1),2,FALSE),FALSE),1,0))</f>
        <v>0</v>
      </c>
      <c r="Q4" s="210">
        <f ca="1">IF($B4="N/A","N/A",IF(0=VLOOKUP($B4,INDIRECT(Config!$B$1),HLOOKUP(Q$1,INDIRECT(Config!$E$1),2,FALSE),FALSE),1,0))</f>
        <v>1</v>
      </c>
    </row>
    <row r="5" spans="1:17" ht="14.55" customHeight="1" x14ac:dyDescent="0.3">
      <c r="A5" s="368"/>
      <c r="B5" s="4" t="s">
        <v>612</v>
      </c>
      <c r="C5" s="206">
        <v>3</v>
      </c>
      <c r="D5" s="206">
        <v>1</v>
      </c>
      <c r="E5" s="207" t="s">
        <v>73</v>
      </c>
      <c r="F5" s="208" t="s">
        <v>74</v>
      </c>
      <c r="G5" s="209" t="s">
        <v>892</v>
      </c>
      <c r="H5" s="209">
        <v>0</v>
      </c>
      <c r="I5" s="209" t="s">
        <v>981</v>
      </c>
      <c r="J5" s="209">
        <v>0</v>
      </c>
      <c r="K5" s="210" t="s">
        <v>17</v>
      </c>
      <c r="L5" s="207" t="s">
        <v>66</v>
      </c>
      <c r="M5" s="207" t="s">
        <v>679</v>
      </c>
      <c r="N5" s="207" t="s">
        <v>427</v>
      </c>
      <c r="O5" s="211">
        <f>IF($B5="N/A", "N/A", 1)</f>
        <v>1</v>
      </c>
      <c r="P5" s="211">
        <f>IF($B5="N/A", "N/A", 1)</f>
        <v>1</v>
      </c>
      <c r="Q5" s="211">
        <f>IF($B5="N/A", "N/A", 1)</f>
        <v>1</v>
      </c>
    </row>
    <row r="6" spans="1:17" ht="14.55" customHeight="1" x14ac:dyDescent="0.3">
      <c r="A6" s="368"/>
      <c r="B6" s="7" t="s">
        <v>75</v>
      </c>
      <c r="C6" s="206">
        <v>4</v>
      </c>
      <c r="D6" s="206">
        <v>1</v>
      </c>
      <c r="E6" s="206" t="s">
        <v>76</v>
      </c>
      <c r="F6" s="207" t="s">
        <v>77</v>
      </c>
      <c r="G6" s="209" t="s">
        <v>893</v>
      </c>
      <c r="H6" s="209">
        <v>0</v>
      </c>
      <c r="I6" s="209" t="s">
        <v>982</v>
      </c>
      <c r="J6" s="209">
        <v>0</v>
      </c>
      <c r="K6" s="210" t="s">
        <v>17</v>
      </c>
      <c r="L6" s="207" t="s">
        <v>78</v>
      </c>
      <c r="M6" s="207" t="s">
        <v>680</v>
      </c>
      <c r="N6" s="207" t="s">
        <v>428</v>
      </c>
      <c r="O6" s="210">
        <f ca="1">IF($B6="N/A", "N/A", VLOOKUP($B6, INDIRECT(Config!$B$1), HLOOKUP(O$1, INDIRECT(Config!$E$1), 2, FALSE),FALSE))</f>
        <v>1</v>
      </c>
      <c r="P6" s="210">
        <f ca="1">IF($B6="N/A", "N/A", VLOOKUP($B6, INDIRECT(Config!$B$1), HLOOKUP(P$1, INDIRECT(Config!$E$1), 2, FALSE),FALSE))</f>
        <v>0</v>
      </c>
      <c r="Q6" s="210">
        <f ca="1">IF($B6="N/A", "N/A", VLOOKUP($B6, INDIRECT(Config!$B$1), HLOOKUP(Q$1, INDIRECT(Config!$E$1), 2, FALSE),FALSE))</f>
        <v>0</v>
      </c>
    </row>
    <row r="7" spans="1:17" ht="14.55" customHeight="1" x14ac:dyDescent="0.3">
      <c r="A7" s="368"/>
      <c r="B7" s="7" t="s">
        <v>75</v>
      </c>
      <c r="C7" s="206">
        <v>5</v>
      </c>
      <c r="D7" s="206">
        <v>1</v>
      </c>
      <c r="E7" s="206" t="s">
        <v>79</v>
      </c>
      <c r="F7" s="207" t="s">
        <v>80</v>
      </c>
      <c r="G7" s="209" t="s">
        <v>894</v>
      </c>
      <c r="H7" s="209">
        <v>0</v>
      </c>
      <c r="I7" s="209" t="s">
        <v>983</v>
      </c>
      <c r="J7" s="209">
        <v>0</v>
      </c>
      <c r="K7" s="210" t="s">
        <v>17</v>
      </c>
      <c r="L7" s="207" t="s">
        <v>78</v>
      </c>
      <c r="M7" s="207" t="s">
        <v>681</v>
      </c>
      <c r="N7" s="207" t="s">
        <v>429</v>
      </c>
      <c r="O7" s="210">
        <f ca="1">IF($B7="N/A", "N/A", VLOOKUP($B7, INDIRECT(Config!$B$1), HLOOKUP(O$1, INDIRECT(Config!$E$1), 2, FALSE),FALSE))</f>
        <v>1</v>
      </c>
      <c r="P7" s="210">
        <f ca="1">IF($B7="N/A", "N/A", VLOOKUP($B7, INDIRECT(Config!$B$1), HLOOKUP(P$1, INDIRECT(Config!$E$1), 2, FALSE),FALSE))</f>
        <v>0</v>
      </c>
      <c r="Q7" s="210">
        <f ca="1">IF($B7="N/A", "N/A", VLOOKUP($B7, INDIRECT(Config!$B$1), HLOOKUP(Q$1, INDIRECT(Config!$E$1), 2, FALSE),FALSE))</f>
        <v>0</v>
      </c>
    </row>
    <row r="8" spans="1:17" ht="14.55" customHeight="1" x14ac:dyDescent="0.3">
      <c r="A8" s="368"/>
      <c r="B8" s="4" t="s">
        <v>612</v>
      </c>
      <c r="C8" s="206">
        <v>6</v>
      </c>
      <c r="D8" s="206">
        <v>1</v>
      </c>
      <c r="E8" s="207" t="s">
        <v>81</v>
      </c>
      <c r="F8" s="208" t="s">
        <v>82</v>
      </c>
      <c r="G8" s="209" t="s">
        <v>895</v>
      </c>
      <c r="H8" s="209">
        <v>0</v>
      </c>
      <c r="I8" s="209" t="s">
        <v>984</v>
      </c>
      <c r="J8" s="209">
        <v>0</v>
      </c>
      <c r="K8" s="210" t="s">
        <v>17</v>
      </c>
      <c r="L8" s="207" t="s">
        <v>66</v>
      </c>
      <c r="M8" s="207" t="s">
        <v>682</v>
      </c>
      <c r="N8" s="207" t="s">
        <v>430</v>
      </c>
      <c r="O8" s="211">
        <f t="shared" ref="O8:Q10" si="1">IF($B8="N/A", "N/A", 1)</f>
        <v>1</v>
      </c>
      <c r="P8" s="211">
        <f t="shared" si="1"/>
        <v>1</v>
      </c>
      <c r="Q8" s="211">
        <f t="shared" si="1"/>
        <v>1</v>
      </c>
    </row>
    <row r="9" spans="1:17" ht="14.55" customHeight="1" x14ac:dyDescent="0.3">
      <c r="A9" s="368"/>
      <c r="B9" s="4" t="s">
        <v>612</v>
      </c>
      <c r="C9" s="206">
        <v>7</v>
      </c>
      <c r="D9" s="206">
        <v>1</v>
      </c>
      <c r="E9" s="207" t="s">
        <v>83</v>
      </c>
      <c r="F9" s="208" t="s">
        <v>84</v>
      </c>
      <c r="G9" s="209" t="s">
        <v>896</v>
      </c>
      <c r="H9" s="209">
        <v>1</v>
      </c>
      <c r="I9" s="209" t="s">
        <v>985</v>
      </c>
      <c r="J9" s="209">
        <v>1</v>
      </c>
      <c r="K9" s="210" t="s">
        <v>17</v>
      </c>
      <c r="L9" s="207" t="s">
        <v>66</v>
      </c>
      <c r="M9" s="207" t="s">
        <v>683</v>
      </c>
      <c r="N9" s="207" t="s">
        <v>431</v>
      </c>
      <c r="O9" s="211">
        <f t="shared" si="1"/>
        <v>1</v>
      </c>
      <c r="P9" s="211">
        <f t="shared" si="1"/>
        <v>1</v>
      </c>
      <c r="Q9" s="211">
        <f t="shared" si="1"/>
        <v>1</v>
      </c>
    </row>
    <row r="10" spans="1:17" ht="14.55" customHeight="1" x14ac:dyDescent="0.3">
      <c r="A10" s="368"/>
      <c r="B10" s="4" t="s">
        <v>612</v>
      </c>
      <c r="C10" s="206">
        <v>8</v>
      </c>
      <c r="D10" s="206">
        <v>1</v>
      </c>
      <c r="E10" s="207" t="s">
        <v>85</v>
      </c>
      <c r="F10" s="208" t="s">
        <v>86</v>
      </c>
      <c r="G10" s="209" t="s">
        <v>897</v>
      </c>
      <c r="H10" s="209">
        <v>0</v>
      </c>
      <c r="I10" s="209" t="s">
        <v>986</v>
      </c>
      <c r="J10" s="209">
        <v>0</v>
      </c>
      <c r="K10" s="212" t="s">
        <v>17</v>
      </c>
      <c r="L10" s="207" t="s">
        <v>87</v>
      </c>
      <c r="M10" s="207" t="s">
        <v>684</v>
      </c>
      <c r="N10" s="207" t="s">
        <v>432</v>
      </c>
      <c r="O10" s="211">
        <f t="shared" si="1"/>
        <v>1</v>
      </c>
      <c r="P10" s="211">
        <f t="shared" si="1"/>
        <v>1</v>
      </c>
      <c r="Q10" s="211">
        <f t="shared" si="1"/>
        <v>1</v>
      </c>
    </row>
    <row r="11" spans="1:17" ht="14.55" customHeight="1" x14ac:dyDescent="0.3">
      <c r="A11" s="368"/>
      <c r="B11" s="3" t="s">
        <v>808</v>
      </c>
      <c r="C11" s="210">
        <v>9</v>
      </c>
      <c r="D11" s="210">
        <v>1</v>
      </c>
      <c r="E11" s="210" t="s">
        <v>810</v>
      </c>
      <c r="F11" s="210" t="s">
        <v>88</v>
      </c>
      <c r="G11" s="209" t="s">
        <v>898</v>
      </c>
      <c r="H11" s="209">
        <v>0</v>
      </c>
      <c r="I11" s="209" t="s">
        <v>987</v>
      </c>
      <c r="J11" s="209">
        <v>0</v>
      </c>
      <c r="K11" s="212" t="s">
        <v>17</v>
      </c>
      <c r="L11" s="207" t="s">
        <v>87</v>
      </c>
      <c r="M11" s="213" t="s">
        <v>812</v>
      </c>
      <c r="N11" s="213" t="s">
        <v>811</v>
      </c>
      <c r="O11" s="210">
        <f ca="1">IF($B11="N/A", "N/A", VLOOKUP($B11, INDIRECT(Config!$B$1), HLOOKUP(O$1, INDIRECT(Config!$E$1), 2, FALSE),FALSE))</f>
        <v>1</v>
      </c>
      <c r="P11" s="210">
        <f ca="1">IF($B11="N/A", "N/A", VLOOKUP($B11, INDIRECT(Config!$B$1), HLOOKUP(P$1, INDIRECT(Config!$E$1), 2, FALSE),FALSE))</f>
        <v>1</v>
      </c>
      <c r="Q11" s="210">
        <f ca="1">IF($B11="N/A", "N/A", VLOOKUP($B11, INDIRECT(Config!$B$1), HLOOKUP(Q$1, INDIRECT(Config!$E$1), 2, FALSE),FALSE))</f>
        <v>0</v>
      </c>
    </row>
    <row r="12" spans="1:17" ht="14.55" customHeight="1" x14ac:dyDescent="0.3">
      <c r="A12" s="368"/>
      <c r="B12" s="16" t="s">
        <v>646</v>
      </c>
      <c r="C12" s="206">
        <v>10</v>
      </c>
      <c r="D12" s="206">
        <v>1</v>
      </c>
      <c r="E12" s="207" t="s">
        <v>89</v>
      </c>
      <c r="F12" s="207" t="s">
        <v>90</v>
      </c>
      <c r="G12" s="209" t="s">
        <v>899</v>
      </c>
      <c r="H12" s="209">
        <v>1</v>
      </c>
      <c r="I12" s="209" t="s">
        <v>988</v>
      </c>
      <c r="J12" s="209">
        <v>0</v>
      </c>
      <c r="K12" s="212" t="s">
        <v>17</v>
      </c>
      <c r="L12" s="207" t="s">
        <v>87</v>
      </c>
      <c r="M12" s="207" t="s">
        <v>685</v>
      </c>
      <c r="N12" s="207" t="s">
        <v>433</v>
      </c>
      <c r="O12" s="210">
        <f ca="1">IF($B12="N/A", "N/A", VLOOKUP($B12, INDIRECT(Config!$B$1), HLOOKUP(O$1, INDIRECT(Config!$E$1), 2, FALSE),FALSE))</f>
        <v>1</v>
      </c>
      <c r="P12" s="210">
        <f ca="1">IF($B12="N/A", "N/A", VLOOKUP($B12, INDIRECT(Config!$B$1), HLOOKUP(P$1, INDIRECT(Config!$E$1), 2, FALSE),FALSE))</f>
        <v>0</v>
      </c>
      <c r="Q12" s="210">
        <f ca="1">IF($B12="N/A", "N/A", VLOOKUP($B12, INDIRECT(Config!$B$1), HLOOKUP(Q$1, INDIRECT(Config!$E$1), 2, FALSE),FALSE))</f>
        <v>0</v>
      </c>
    </row>
    <row r="13" spans="1:17" ht="14.55" customHeight="1" x14ac:dyDescent="0.3">
      <c r="A13" s="368"/>
      <c r="B13" s="16" t="s">
        <v>91</v>
      </c>
      <c r="C13" s="206">
        <v>11</v>
      </c>
      <c r="D13" s="206">
        <v>1</v>
      </c>
      <c r="E13" s="207" t="s">
        <v>92</v>
      </c>
      <c r="F13" s="207" t="s">
        <v>93</v>
      </c>
      <c r="G13" s="209" t="s">
        <v>900</v>
      </c>
      <c r="H13" s="209">
        <v>0</v>
      </c>
      <c r="I13" s="209" t="s">
        <v>989</v>
      </c>
      <c r="J13" s="209">
        <v>0</v>
      </c>
      <c r="K13" s="212" t="s">
        <v>17</v>
      </c>
      <c r="L13" s="207" t="s">
        <v>87</v>
      </c>
      <c r="M13" s="207" t="s">
        <v>686</v>
      </c>
      <c r="N13" s="207" t="s">
        <v>434</v>
      </c>
      <c r="O13" s="210">
        <f ca="1">IF($B13="N/A", "N/A", VLOOKUP($B13, INDIRECT(Config!$B$1), HLOOKUP(O$1, INDIRECT(Config!$E$1), 2, FALSE),FALSE))</f>
        <v>0</v>
      </c>
      <c r="P13" s="210">
        <f ca="1">IF($B13="N/A", "N/A", VLOOKUP($B13, INDIRECT(Config!$B$1), HLOOKUP(P$1, INDIRECT(Config!$E$1), 2, FALSE),FALSE))</f>
        <v>0</v>
      </c>
      <c r="Q13" s="210">
        <f ca="1">IF($B13="N/A", "N/A", VLOOKUP($B13, INDIRECT(Config!$B$1), HLOOKUP(Q$1, INDIRECT(Config!$E$1), 2, FALSE),FALSE))</f>
        <v>0</v>
      </c>
    </row>
    <row r="14" spans="1:17" ht="14.55" customHeight="1" x14ac:dyDescent="0.3">
      <c r="A14" s="368"/>
      <c r="B14" s="16" t="s">
        <v>648</v>
      </c>
      <c r="C14" s="206">
        <v>12</v>
      </c>
      <c r="D14" s="206">
        <v>1</v>
      </c>
      <c r="E14" s="207" t="s">
        <v>94</v>
      </c>
      <c r="F14" s="207" t="s">
        <v>95</v>
      </c>
      <c r="G14" s="209" t="s">
        <v>901</v>
      </c>
      <c r="H14" s="209">
        <v>1</v>
      </c>
      <c r="I14" s="209" t="s">
        <v>990</v>
      </c>
      <c r="J14" s="209">
        <v>1</v>
      </c>
      <c r="K14" s="212" t="s">
        <v>17</v>
      </c>
      <c r="L14" s="207" t="s">
        <v>87</v>
      </c>
      <c r="M14" s="207" t="s">
        <v>687</v>
      </c>
      <c r="N14" s="207" t="s">
        <v>435</v>
      </c>
      <c r="O14" s="210">
        <f ca="1">IF($B14="N/A", "N/A", VLOOKUP($B14, INDIRECT(Config!$B$1), HLOOKUP(O$1, INDIRECT(Config!$E$1), 2, FALSE),FALSE))</f>
        <v>1</v>
      </c>
      <c r="P14" s="210">
        <f ca="1">IF($B14="N/A", "N/A", VLOOKUP($B14, INDIRECT(Config!$B$1), HLOOKUP(P$1, INDIRECT(Config!$E$1), 2, FALSE),FALSE))</f>
        <v>0</v>
      </c>
      <c r="Q14" s="210">
        <f ca="1">IF($B14="N/A", "N/A", VLOOKUP($B14, INDIRECT(Config!$B$1), HLOOKUP(Q$1, INDIRECT(Config!$E$1), 2, FALSE),FALSE))</f>
        <v>0</v>
      </c>
    </row>
    <row r="15" spans="1:17" ht="14.55" customHeight="1" x14ac:dyDescent="0.3">
      <c r="A15" s="368"/>
      <c r="B15" s="16" t="s">
        <v>172</v>
      </c>
      <c r="C15" s="206">
        <v>13</v>
      </c>
      <c r="D15" s="206">
        <v>1</v>
      </c>
      <c r="E15" s="207" t="s">
        <v>96</v>
      </c>
      <c r="F15" s="207" t="s">
        <v>97</v>
      </c>
      <c r="G15" s="209" t="s">
        <v>902</v>
      </c>
      <c r="H15" s="209">
        <v>0</v>
      </c>
      <c r="I15" s="209" t="s">
        <v>991</v>
      </c>
      <c r="J15" s="209">
        <v>1</v>
      </c>
      <c r="K15" s="212" t="s">
        <v>17</v>
      </c>
      <c r="L15" s="207" t="s">
        <v>87</v>
      </c>
      <c r="M15" s="207" t="s">
        <v>688</v>
      </c>
      <c r="N15" s="207" t="s">
        <v>436</v>
      </c>
      <c r="O15" s="210">
        <f ca="1">IF($B15="N/A", "N/A", VLOOKUP($B15, INDIRECT(Config!$B$1), HLOOKUP(O$1, INDIRECT(Config!$E$1), 2, FALSE),FALSE))</f>
        <v>1</v>
      </c>
      <c r="P15" s="210">
        <f ca="1">IF($B15="N/A", "N/A", VLOOKUP($B15, INDIRECT(Config!$B$1), HLOOKUP(P$1, INDIRECT(Config!$E$1), 2, FALSE),FALSE))</f>
        <v>0</v>
      </c>
      <c r="Q15" s="210">
        <f ca="1">IF($B15="N/A", "N/A", VLOOKUP($B15, INDIRECT(Config!$B$1), HLOOKUP(Q$1, INDIRECT(Config!$E$1), 2, FALSE),FALSE))</f>
        <v>0</v>
      </c>
    </row>
    <row r="16" spans="1:17" ht="14.55" customHeight="1" x14ac:dyDescent="0.3">
      <c r="A16" s="368"/>
      <c r="B16" s="4" t="s">
        <v>612</v>
      </c>
      <c r="C16" s="206">
        <v>14</v>
      </c>
      <c r="D16" s="206">
        <v>1</v>
      </c>
      <c r="E16" s="207" t="s">
        <v>98</v>
      </c>
      <c r="F16" s="208" t="s">
        <v>99</v>
      </c>
      <c r="G16" s="209" t="s">
        <v>903</v>
      </c>
      <c r="H16" s="209">
        <v>1</v>
      </c>
      <c r="I16" s="209" t="s">
        <v>992</v>
      </c>
      <c r="J16" s="209">
        <v>1</v>
      </c>
      <c r="K16" s="212" t="s">
        <v>17</v>
      </c>
      <c r="L16" s="206" t="s">
        <v>69</v>
      </c>
      <c r="M16" s="206" t="s">
        <v>689</v>
      </c>
      <c r="N16" s="206" t="s">
        <v>437</v>
      </c>
      <c r="O16" s="211">
        <f>IF($B16="N/A", "N/A", 1)</f>
        <v>1</v>
      </c>
      <c r="P16" s="211">
        <f>IF($B16="N/A", "N/A", 1)</f>
        <v>1</v>
      </c>
      <c r="Q16" s="211">
        <f>IF($B16="N/A", "N/A", 1)</f>
        <v>1</v>
      </c>
    </row>
    <row r="17" spans="1:17" ht="14.55" customHeight="1" x14ac:dyDescent="0.3">
      <c r="A17" s="368"/>
      <c r="B17" s="2" t="s">
        <v>100</v>
      </c>
      <c r="C17" s="208">
        <v>15</v>
      </c>
      <c r="D17" s="208">
        <v>1</v>
      </c>
      <c r="E17" s="208" t="s">
        <v>101</v>
      </c>
      <c r="F17" s="207" t="s">
        <v>102</v>
      </c>
      <c r="G17" s="209" t="s">
        <v>904</v>
      </c>
      <c r="H17" s="209">
        <v>0</v>
      </c>
      <c r="I17" s="209" t="s">
        <v>993</v>
      </c>
      <c r="J17" s="209">
        <v>0</v>
      </c>
      <c r="K17" s="212" t="s">
        <v>17</v>
      </c>
      <c r="L17" s="206" t="s">
        <v>66</v>
      </c>
      <c r="M17" s="206" t="s">
        <v>690</v>
      </c>
      <c r="N17" s="206" t="s">
        <v>438</v>
      </c>
      <c r="O17" s="210">
        <f ca="1">IF($B17="N/A", "N/A", VLOOKUP($B17, INDIRECT(Config!$B$1), HLOOKUP(O$1, INDIRECT(Config!$E$1), 2, FALSE),FALSE))</f>
        <v>0</v>
      </c>
      <c r="P17" s="210">
        <f ca="1">IF($B17="N/A", "N/A", VLOOKUP($B17, INDIRECT(Config!$B$1), HLOOKUP(P$1, INDIRECT(Config!$E$1), 2, FALSE),FALSE))</f>
        <v>0</v>
      </c>
      <c r="Q17" s="210">
        <f ca="1">IF($B17="N/A", "N/A", VLOOKUP($B17, INDIRECT(Config!$B$1), HLOOKUP(Q$1, INDIRECT(Config!$E$1), 2, FALSE),FALSE))</f>
        <v>0</v>
      </c>
    </row>
    <row r="18" spans="1:17" ht="14.55" customHeight="1" x14ac:dyDescent="0.3">
      <c r="A18" s="368"/>
      <c r="B18" s="4" t="s">
        <v>612</v>
      </c>
      <c r="C18" s="206">
        <v>16</v>
      </c>
      <c r="D18" s="206">
        <v>1</v>
      </c>
      <c r="E18" s="207" t="s">
        <v>103</v>
      </c>
      <c r="F18" s="208" t="s">
        <v>104</v>
      </c>
      <c r="G18" s="209" t="s">
        <v>905</v>
      </c>
      <c r="H18" s="209">
        <v>1</v>
      </c>
      <c r="I18" s="209" t="s">
        <v>994</v>
      </c>
      <c r="J18" s="209">
        <v>1</v>
      </c>
      <c r="K18" s="210"/>
      <c r="L18" s="206" t="s">
        <v>87</v>
      </c>
      <c r="M18" s="206" t="s">
        <v>691</v>
      </c>
      <c r="N18" s="206" t="s">
        <v>439</v>
      </c>
      <c r="O18" s="211">
        <f t="shared" ref="O18:Q19" si="2">IF($B18="N/A", "N/A", 1)</f>
        <v>1</v>
      </c>
      <c r="P18" s="211">
        <f t="shared" si="2"/>
        <v>1</v>
      </c>
      <c r="Q18" s="211">
        <f t="shared" si="2"/>
        <v>1</v>
      </c>
    </row>
    <row r="19" spans="1:17" ht="14.55" customHeight="1" x14ac:dyDescent="0.3">
      <c r="A19" s="368"/>
      <c r="B19" s="4" t="s">
        <v>612</v>
      </c>
      <c r="C19" s="206">
        <v>17</v>
      </c>
      <c r="D19" s="206">
        <v>1</v>
      </c>
      <c r="E19" s="207" t="s">
        <v>105</v>
      </c>
      <c r="F19" s="208" t="s">
        <v>106</v>
      </c>
      <c r="G19" s="209" t="s">
        <v>906</v>
      </c>
      <c r="H19" s="209">
        <v>1</v>
      </c>
      <c r="I19" s="209" t="s">
        <v>995</v>
      </c>
      <c r="J19" s="209">
        <v>1</v>
      </c>
      <c r="K19" s="210"/>
      <c r="L19" s="206" t="s">
        <v>87</v>
      </c>
      <c r="M19" s="206" t="s">
        <v>692</v>
      </c>
      <c r="N19" s="206" t="s">
        <v>440</v>
      </c>
      <c r="O19" s="211">
        <f t="shared" si="2"/>
        <v>1</v>
      </c>
      <c r="P19" s="211">
        <f t="shared" si="2"/>
        <v>1</v>
      </c>
      <c r="Q19" s="211">
        <f t="shared" si="2"/>
        <v>1</v>
      </c>
    </row>
    <row r="20" spans="1:17" ht="14.55" customHeight="1" x14ac:dyDescent="0.3">
      <c r="A20" s="368"/>
      <c r="B20" s="2" t="s">
        <v>100</v>
      </c>
      <c r="C20" s="208">
        <v>18</v>
      </c>
      <c r="D20" s="208">
        <v>5</v>
      </c>
      <c r="E20" s="208" t="s">
        <v>107</v>
      </c>
      <c r="F20" s="207" t="s">
        <v>1121</v>
      </c>
      <c r="G20" s="214" t="s">
        <v>1122</v>
      </c>
      <c r="H20" s="214">
        <v>3</v>
      </c>
      <c r="I20" s="214" t="s">
        <v>1123</v>
      </c>
      <c r="J20" s="214">
        <v>0</v>
      </c>
      <c r="K20" s="210"/>
      <c r="L20" s="206" t="s">
        <v>66</v>
      </c>
      <c r="M20" s="206" t="s">
        <v>693</v>
      </c>
      <c r="N20" s="206" t="s">
        <v>441</v>
      </c>
      <c r="O20" s="210">
        <f ca="1">IF($B20="N/A", "N/A", VLOOKUP($B20, INDIRECT(Config!$B$1), HLOOKUP(O$1, INDIRECT(Config!$E$1), 2, FALSE),FALSE))</f>
        <v>0</v>
      </c>
      <c r="P20" s="210">
        <f ca="1">IF($B20="N/A", "N/A", VLOOKUP($B20, INDIRECT(Config!$B$1), HLOOKUP(P$1, INDIRECT(Config!$E$1), 2, FALSE),FALSE))</f>
        <v>0</v>
      </c>
      <c r="Q20" s="210">
        <f ca="1">IF($B20="N/A", "N/A", VLOOKUP($B20, INDIRECT(Config!$B$1), HLOOKUP(Q$1, INDIRECT(Config!$E$1), 2, FALSE),FALSE))</f>
        <v>0</v>
      </c>
    </row>
    <row r="21" spans="1:17" ht="14.55" customHeight="1" x14ac:dyDescent="0.3">
      <c r="A21" s="368"/>
      <c r="B21" s="2" t="s">
        <v>108</v>
      </c>
      <c r="C21" s="208">
        <v>18</v>
      </c>
      <c r="D21" s="208">
        <v>1</v>
      </c>
      <c r="E21" s="208" t="s">
        <v>109</v>
      </c>
      <c r="F21" s="207" t="s">
        <v>110</v>
      </c>
      <c r="G21" s="214" t="s">
        <v>907</v>
      </c>
      <c r="H21" s="214">
        <v>0</v>
      </c>
      <c r="I21" s="214" t="s">
        <v>996</v>
      </c>
      <c r="J21" s="214">
        <v>0</v>
      </c>
      <c r="K21" s="210"/>
      <c r="L21" s="206" t="s">
        <v>87</v>
      </c>
      <c r="M21" s="206" t="s">
        <v>773</v>
      </c>
      <c r="N21" s="206" t="s">
        <v>520</v>
      </c>
      <c r="O21" s="210">
        <f ca="1">IF(VLOOKUP("SAMSUNG_PUF_CONFIG_EN",  INDIRECT(Config!$B$1), HLOOKUP(O$1, INDIRECT(Config!$E$1), 2, FALSE),FALSE)=0, VLOOKUP("IFWI_LAYOUT_1_5_EN",  INDIRECT(Config!$B$1), HLOOKUP(O$1,  INDIRECT(Config!$E$1), 2, FALSE),FALSE), 0)</f>
        <v>0</v>
      </c>
      <c r="P21" s="210">
        <f ca="1">IF(VLOOKUP("SAMSUNG_PUF_CONFIG_EN",  INDIRECT(Config!$B$1), HLOOKUP(P$1, INDIRECT(Config!$E$1), 2, FALSE),FALSE)=0, VLOOKUP("IFWI_LAYOUT_1_5_EN",  INDIRECT(Config!$B$1), HLOOKUP(P$1,  INDIRECT(Config!$E$1), 2, FALSE),FALSE), 0)</f>
        <v>0</v>
      </c>
      <c r="Q21" s="210">
        <f ca="1">IF(VLOOKUP("SAMSUNG_PUF_CONFIG_EN",  INDIRECT(Config!$B$1), HLOOKUP(Q$1, INDIRECT(Config!$E$1), 2, FALSE),FALSE)=0, VLOOKUP("IFWI_LAYOUT_1_5_EN",  INDIRECT(Config!$B$1), HLOOKUP(Q$1,  INDIRECT(Config!$E$1), 2, FALSE),FALSE), 0)</f>
        <v>0</v>
      </c>
    </row>
    <row r="22" spans="1:17" ht="14.55" customHeight="1" x14ac:dyDescent="0.3">
      <c r="A22" s="368"/>
      <c r="B22" s="2" t="s">
        <v>108</v>
      </c>
      <c r="C22" s="208">
        <v>19</v>
      </c>
      <c r="D22" s="208">
        <v>1</v>
      </c>
      <c r="E22" s="208" t="s">
        <v>111</v>
      </c>
      <c r="F22" s="207" t="s">
        <v>112</v>
      </c>
      <c r="G22" s="214" t="s">
        <v>908</v>
      </c>
      <c r="H22" s="214">
        <v>0</v>
      </c>
      <c r="I22" s="214" t="s">
        <v>997</v>
      </c>
      <c r="J22" s="214">
        <v>0</v>
      </c>
      <c r="K22" s="210"/>
      <c r="L22" s="206" t="s">
        <v>87</v>
      </c>
      <c r="M22" s="206" t="s">
        <v>774</v>
      </c>
      <c r="N22" s="206" t="s">
        <v>520</v>
      </c>
      <c r="O22" s="210">
        <f ca="1">IF(VLOOKUP("SAMSUNG_PUF_CONFIG_EN",  INDIRECT(Config!$B$1), HLOOKUP(O$1, INDIRECT(Config!$E$1), 2, FALSE),FALSE)=0, VLOOKUP("IFWI_LAYOUT_1_5_EN",  INDIRECT(Config!$B$1), HLOOKUP(O$1,  INDIRECT(Config!$E$1), 2, FALSE),FALSE), 0)</f>
        <v>0</v>
      </c>
      <c r="P22" s="210">
        <f ca="1">IF(VLOOKUP("SAMSUNG_PUF_CONFIG_EN",  INDIRECT(Config!$B$1), HLOOKUP(P$1, INDIRECT(Config!$E$1), 2, FALSE),FALSE)=0, VLOOKUP("IFWI_LAYOUT_1_5_EN",  INDIRECT(Config!$B$1), HLOOKUP(P$1,  INDIRECT(Config!$E$1), 2, FALSE),FALSE), 0)</f>
        <v>0</v>
      </c>
      <c r="Q22" s="210">
        <f ca="1">IF(VLOOKUP("SAMSUNG_PUF_CONFIG_EN",  INDIRECT(Config!$B$1), HLOOKUP(Q$1, INDIRECT(Config!$E$1), 2, FALSE),FALSE)=0, VLOOKUP("IFWI_LAYOUT_1_5_EN",  INDIRECT(Config!$B$1), HLOOKUP(Q$1,  INDIRECT(Config!$E$1), 2, FALSE),FALSE), 0)</f>
        <v>0</v>
      </c>
    </row>
    <row r="23" spans="1:17" ht="14.55" customHeight="1" x14ac:dyDescent="0.3">
      <c r="A23" s="368"/>
      <c r="B23" s="2" t="s">
        <v>108</v>
      </c>
      <c r="C23" s="208">
        <v>20</v>
      </c>
      <c r="D23" s="208">
        <v>1</v>
      </c>
      <c r="E23" s="208" t="s">
        <v>113</v>
      </c>
      <c r="F23" s="207" t="s">
        <v>114</v>
      </c>
      <c r="G23" s="214" t="s">
        <v>909</v>
      </c>
      <c r="H23" s="214">
        <v>0</v>
      </c>
      <c r="I23" s="214" t="s">
        <v>998</v>
      </c>
      <c r="J23" s="214">
        <v>0</v>
      </c>
      <c r="K23" s="210"/>
      <c r="L23" s="206" t="s">
        <v>87</v>
      </c>
      <c r="M23" s="206" t="s">
        <v>775</v>
      </c>
      <c r="N23" s="206" t="s">
        <v>520</v>
      </c>
      <c r="O23" s="210">
        <f ca="1">IF(VLOOKUP("SAMSUNG_PUF_CONFIG_EN",  INDIRECT(Config!$B$1), HLOOKUP(O$1, INDIRECT(Config!$E$1), 2, FALSE),FALSE)=0, VLOOKUP("IFWI_LAYOUT_1_5_EN",  INDIRECT(Config!$B$1), HLOOKUP(O$1,  INDIRECT(Config!$E$1), 2, FALSE),FALSE), 0)</f>
        <v>0</v>
      </c>
      <c r="P23" s="210">
        <f ca="1">IF(VLOOKUP("SAMSUNG_PUF_CONFIG_EN",  INDIRECT(Config!$B$1), HLOOKUP(P$1, INDIRECT(Config!$E$1), 2, FALSE),FALSE)=0, VLOOKUP("IFWI_LAYOUT_1_5_EN",  INDIRECT(Config!$B$1), HLOOKUP(P$1,  INDIRECT(Config!$E$1), 2, FALSE),FALSE), 0)</f>
        <v>0</v>
      </c>
      <c r="Q23" s="210">
        <f ca="1">IF(VLOOKUP("SAMSUNG_PUF_CONFIG_EN",  INDIRECT(Config!$B$1), HLOOKUP(Q$1, INDIRECT(Config!$E$1), 2, FALSE),FALSE)=0, VLOOKUP("IFWI_LAYOUT_1_5_EN",  INDIRECT(Config!$B$1), HLOOKUP(Q$1,  INDIRECT(Config!$E$1), 2, FALSE),FALSE), 0)</f>
        <v>0</v>
      </c>
    </row>
    <row r="24" spans="1:17" ht="14.55" customHeight="1" x14ac:dyDescent="0.3">
      <c r="A24" s="368"/>
      <c r="B24" s="2" t="s">
        <v>108</v>
      </c>
      <c r="C24" s="208">
        <v>21</v>
      </c>
      <c r="D24" s="208">
        <v>1</v>
      </c>
      <c r="E24" s="208" t="s">
        <v>115</v>
      </c>
      <c r="F24" s="207" t="s">
        <v>116</v>
      </c>
      <c r="G24" s="214" t="s">
        <v>910</v>
      </c>
      <c r="H24" s="214">
        <v>0</v>
      </c>
      <c r="I24" s="214" t="s">
        <v>999</v>
      </c>
      <c r="J24" s="214">
        <v>0</v>
      </c>
      <c r="K24" s="210"/>
      <c r="L24" s="206" t="s">
        <v>87</v>
      </c>
      <c r="M24" s="206" t="s">
        <v>776</v>
      </c>
      <c r="N24" s="206" t="s">
        <v>520</v>
      </c>
      <c r="O24" s="210">
        <f ca="1">IF(VLOOKUP("SAMSUNG_PUF_CONFIG_EN",  INDIRECT(Config!$B$1), HLOOKUP(O$1, INDIRECT(Config!$E$1), 2, FALSE),FALSE)=0, VLOOKUP("IFWI_LAYOUT_1_5_EN",  INDIRECT(Config!$B$1), HLOOKUP(O$1,  INDIRECT(Config!$E$1), 2, FALSE),FALSE), 0)</f>
        <v>0</v>
      </c>
      <c r="P24" s="210">
        <f ca="1">IF(VLOOKUP("SAMSUNG_PUF_CONFIG_EN",  INDIRECT(Config!$B$1), HLOOKUP(P$1, INDIRECT(Config!$E$1), 2, FALSE),FALSE)=0, VLOOKUP("IFWI_LAYOUT_1_5_EN",  INDIRECT(Config!$B$1), HLOOKUP(P$1,  INDIRECT(Config!$E$1), 2, FALSE),FALSE), 0)</f>
        <v>0</v>
      </c>
      <c r="Q24" s="210">
        <f ca="1">IF(VLOOKUP("SAMSUNG_PUF_CONFIG_EN",  INDIRECT(Config!$B$1), HLOOKUP(Q$1, INDIRECT(Config!$E$1), 2, FALSE),FALSE)=0, VLOOKUP("IFWI_LAYOUT_1_5_EN",  INDIRECT(Config!$B$1), HLOOKUP(Q$1,  INDIRECT(Config!$E$1), 2, FALSE),FALSE), 0)</f>
        <v>0</v>
      </c>
    </row>
    <row r="25" spans="1:17" ht="14.55" customHeight="1" x14ac:dyDescent="0.3">
      <c r="A25" s="368"/>
      <c r="B25" s="2" t="s">
        <v>108</v>
      </c>
      <c r="C25" s="208">
        <v>22</v>
      </c>
      <c r="D25" s="208">
        <v>1</v>
      </c>
      <c r="E25" s="208" t="s">
        <v>117</v>
      </c>
      <c r="F25" s="207" t="s">
        <v>118</v>
      </c>
      <c r="G25" s="214" t="s">
        <v>911</v>
      </c>
      <c r="H25" s="214">
        <v>0</v>
      </c>
      <c r="I25" s="214" t="s">
        <v>1000</v>
      </c>
      <c r="J25" s="214">
        <v>0</v>
      </c>
      <c r="K25" s="210"/>
      <c r="L25" s="206" t="s">
        <v>87</v>
      </c>
      <c r="M25" s="206" t="s">
        <v>777</v>
      </c>
      <c r="N25" s="206" t="s">
        <v>520</v>
      </c>
      <c r="O25" s="210">
        <f ca="1">IF(VLOOKUP("SAMSUNG_PUF_CONFIG_EN",  INDIRECT(Config!$B$1), HLOOKUP(O$1, INDIRECT(Config!$E$1), 2, FALSE),FALSE)=0, VLOOKUP("IFWI_LAYOUT_1_5_EN",  INDIRECT(Config!$B$1), HLOOKUP(O$1,  INDIRECT(Config!$E$1), 2, FALSE),FALSE), 0)</f>
        <v>0</v>
      </c>
      <c r="P25" s="210">
        <f ca="1">IF(VLOOKUP("SAMSUNG_PUF_CONFIG_EN",  INDIRECT(Config!$B$1), HLOOKUP(P$1, INDIRECT(Config!$E$1), 2, FALSE),FALSE)=0, VLOOKUP("IFWI_LAYOUT_1_5_EN",  INDIRECT(Config!$B$1), HLOOKUP(P$1,  INDIRECT(Config!$E$1), 2, FALSE),FALSE), 0)</f>
        <v>0</v>
      </c>
      <c r="Q25" s="210">
        <f ca="1">IF(VLOOKUP("SAMSUNG_PUF_CONFIG_EN",  INDIRECT(Config!$B$1), HLOOKUP(Q$1, INDIRECT(Config!$E$1), 2, FALSE),FALSE)=0, VLOOKUP("IFWI_LAYOUT_1_5_EN",  INDIRECT(Config!$B$1), HLOOKUP(Q$1,  INDIRECT(Config!$E$1), 2, FALSE),FALSE), 0)</f>
        <v>0</v>
      </c>
    </row>
    <row r="26" spans="1:17" ht="14.55" customHeight="1" x14ac:dyDescent="0.3">
      <c r="A26" s="368"/>
      <c r="B26" s="7" t="s">
        <v>119</v>
      </c>
      <c r="C26" s="206">
        <v>23</v>
      </c>
      <c r="D26" s="206">
        <v>1</v>
      </c>
      <c r="E26" s="206" t="s">
        <v>120</v>
      </c>
      <c r="F26" s="207" t="s">
        <v>121</v>
      </c>
      <c r="G26" s="214" t="s">
        <v>912</v>
      </c>
      <c r="H26" s="214">
        <v>0</v>
      </c>
      <c r="I26" s="214" t="s">
        <v>1001</v>
      </c>
      <c r="J26" s="214">
        <v>0</v>
      </c>
      <c r="K26" s="210"/>
      <c r="L26" s="206" t="s">
        <v>87</v>
      </c>
      <c r="M26" s="206" t="s">
        <v>778</v>
      </c>
      <c r="N26" s="206" t="s">
        <v>520</v>
      </c>
      <c r="O26" s="210">
        <f ca="1">IF($B26="N/A", "N/A", VLOOKUP($B26, INDIRECT(Config!$B$1), HLOOKUP(O$1, INDIRECT(Config!$E$1), 2, FALSE),FALSE))</f>
        <v>1</v>
      </c>
      <c r="P26" s="210">
        <f ca="1">IF($B26="N/A", "N/A", VLOOKUP($B26, INDIRECT(Config!$B$1), HLOOKUP(P$1, INDIRECT(Config!$E$1), 2, FALSE),FALSE))</f>
        <v>1</v>
      </c>
      <c r="Q26" s="210">
        <f ca="1">IF($B26="N/A", "N/A", VLOOKUP($B26, INDIRECT(Config!$B$1), HLOOKUP(Q$1, INDIRECT(Config!$E$1), 2, FALSE),FALSE))</f>
        <v>0</v>
      </c>
    </row>
    <row r="27" spans="1:17" ht="14.55" customHeight="1" x14ac:dyDescent="0.3">
      <c r="A27" s="368"/>
      <c r="B27" s="7" t="s">
        <v>122</v>
      </c>
      <c r="C27" s="206">
        <v>24</v>
      </c>
      <c r="D27" s="206">
        <v>1</v>
      </c>
      <c r="E27" s="206" t="s">
        <v>123</v>
      </c>
      <c r="F27" s="207" t="s">
        <v>124</v>
      </c>
      <c r="G27" s="214" t="s">
        <v>913</v>
      </c>
      <c r="H27" s="214">
        <v>1</v>
      </c>
      <c r="I27" s="214" t="s">
        <v>1002</v>
      </c>
      <c r="J27" s="214">
        <v>0</v>
      </c>
      <c r="K27" s="216" t="s">
        <v>1107</v>
      </c>
      <c r="L27" s="206" t="s">
        <v>87</v>
      </c>
      <c r="M27" s="206" t="s">
        <v>779</v>
      </c>
      <c r="N27" s="206" t="s">
        <v>520</v>
      </c>
      <c r="O27" s="210">
        <f ca="1">IF($B27="N/A", "N/A", VLOOKUP($B27, INDIRECT(Config!$B$1), HLOOKUP(O$1, INDIRECT(Config!$E$1), 2, FALSE),FALSE))</f>
        <v>1</v>
      </c>
      <c r="P27" s="210">
        <f ca="1">IF($B27="N/A", "N/A", VLOOKUP($B27, INDIRECT(Config!$B$1), HLOOKUP(P$1, INDIRECT(Config!$E$1), 2, FALSE),FALSE))</f>
        <v>1</v>
      </c>
      <c r="Q27" s="210">
        <f ca="1">IF($B27="N/A", "N/A", VLOOKUP($B27, INDIRECT(Config!$B$1), HLOOKUP(Q$1, INDIRECT(Config!$E$1), 2, FALSE),FALSE))</f>
        <v>0</v>
      </c>
    </row>
    <row r="28" spans="1:17" ht="14.55" customHeight="1" x14ac:dyDescent="0.3">
      <c r="A28" s="368"/>
      <c r="B28" s="16" t="s">
        <v>125</v>
      </c>
      <c r="C28" s="206">
        <v>25</v>
      </c>
      <c r="D28" s="206">
        <v>1</v>
      </c>
      <c r="E28" s="207" t="s">
        <v>126</v>
      </c>
      <c r="F28" s="207" t="s">
        <v>127</v>
      </c>
      <c r="G28" s="214" t="s">
        <v>914</v>
      </c>
      <c r="H28" s="214">
        <v>1</v>
      </c>
      <c r="I28" s="214" t="s">
        <v>1003</v>
      </c>
      <c r="J28" s="214">
        <v>1</v>
      </c>
      <c r="K28" s="216" t="s">
        <v>1107</v>
      </c>
      <c r="L28" s="206" t="s">
        <v>128</v>
      </c>
      <c r="M28" s="206" t="s">
        <v>694</v>
      </c>
      <c r="N28" s="206" t="s">
        <v>741</v>
      </c>
      <c r="O28" s="210">
        <f ca="1">IF($B28="N/A", "N/A", VLOOKUP($B28, INDIRECT(Config!$B$1), HLOOKUP(O$1, INDIRECT(Config!$E$1), 2, FALSE),FALSE))</f>
        <v>1</v>
      </c>
      <c r="P28" s="210">
        <f ca="1">IF($B28="N/A", "N/A", VLOOKUP($B28, INDIRECT(Config!$B$1), HLOOKUP(P$1, INDIRECT(Config!$E$1), 2, FALSE),FALSE))</f>
        <v>0</v>
      </c>
      <c r="Q28" s="210">
        <f ca="1">IF($B28="N/A", "N/A", VLOOKUP($B28, INDIRECT(Config!$B$1), HLOOKUP(Q$1, INDIRECT(Config!$E$1), 2, FALSE),FALSE))</f>
        <v>0</v>
      </c>
    </row>
    <row r="29" spans="1:17" ht="14.55" customHeight="1" x14ac:dyDescent="0.3">
      <c r="A29" s="368"/>
      <c r="B29" s="2" t="s">
        <v>100</v>
      </c>
      <c r="C29" s="208">
        <v>26</v>
      </c>
      <c r="D29" s="208">
        <v>3</v>
      </c>
      <c r="E29" s="208" t="s">
        <v>129</v>
      </c>
      <c r="F29" s="207" t="s">
        <v>130</v>
      </c>
      <c r="G29" s="214" t="s">
        <v>963</v>
      </c>
      <c r="H29" s="214">
        <v>0</v>
      </c>
      <c r="I29" s="214" t="s">
        <v>1004</v>
      </c>
      <c r="J29" s="214">
        <v>0</v>
      </c>
      <c r="K29" s="216" t="s">
        <v>1107</v>
      </c>
      <c r="L29" s="206" t="s">
        <v>66</v>
      </c>
      <c r="M29" s="206" t="s">
        <v>695</v>
      </c>
      <c r="N29" s="206" t="s">
        <v>742</v>
      </c>
      <c r="O29" s="210">
        <f ca="1">IF($B29="N/A", "N/A", VLOOKUP($B29, INDIRECT(Config!$B$1), HLOOKUP(O$1, INDIRECT(Config!$E$1), 2, FALSE),FALSE))</f>
        <v>0</v>
      </c>
      <c r="P29" s="210">
        <f ca="1">IF($B29="N/A", "N/A", VLOOKUP($B29, INDIRECT(Config!$B$1), HLOOKUP(P$1, INDIRECT(Config!$E$1), 2, FALSE),FALSE))</f>
        <v>0</v>
      </c>
      <c r="Q29" s="210">
        <f ca="1">IF($B29="N/A", "N/A", VLOOKUP($B29, INDIRECT(Config!$B$1), HLOOKUP(Q$1, INDIRECT(Config!$E$1), 2, FALSE),FALSE))</f>
        <v>0</v>
      </c>
    </row>
    <row r="30" spans="1:17" ht="14.55" customHeight="1" x14ac:dyDescent="0.3">
      <c r="A30" s="368"/>
      <c r="B30" s="2" t="s">
        <v>108</v>
      </c>
      <c r="C30" s="208">
        <v>26</v>
      </c>
      <c r="D30" s="208">
        <v>1</v>
      </c>
      <c r="E30" s="208" t="s">
        <v>131</v>
      </c>
      <c r="F30" s="207" t="s">
        <v>132</v>
      </c>
      <c r="G30" s="214" t="s">
        <v>915</v>
      </c>
      <c r="H30" s="214">
        <v>0</v>
      </c>
      <c r="I30" s="214" t="s">
        <v>1005</v>
      </c>
      <c r="J30" s="214">
        <v>0</v>
      </c>
      <c r="K30" s="216" t="s">
        <v>1107</v>
      </c>
      <c r="L30" s="206" t="s">
        <v>128</v>
      </c>
      <c r="M30" s="206" t="s">
        <v>780</v>
      </c>
      <c r="N30" s="206" t="s">
        <v>521</v>
      </c>
      <c r="O30" s="206">
        <f ca="1">IF(VLOOKUP("SAMSUNG_PUF_CONFIG_EN",  INDIRECT(Config!$B$1), HLOOKUP(O$1, INDIRECT(Config!$E$1), 2, FALSE),FALSE)=0, VLOOKUP("IFWI_LAYOUT_1_5_EN",  INDIRECT(Config!$B$1), HLOOKUP(O$1,  INDIRECT(Config!$E$1), 2, FALSE),FALSE), 0)</f>
        <v>0</v>
      </c>
      <c r="P30" s="206">
        <f ca="1">IF(VLOOKUP("SAMSUNG_PUF_CONFIG_EN",  INDIRECT(Config!$B$1), HLOOKUP(P$1, INDIRECT(Config!$E$1), 2, FALSE),FALSE)=0, VLOOKUP("IFWI_LAYOUT_1_5_EN",  INDIRECT(Config!$B$1), HLOOKUP(P$1,  INDIRECT(Config!$E$1), 2, FALSE),FALSE), 0)</f>
        <v>0</v>
      </c>
      <c r="Q30" s="206">
        <f ca="1">IF(VLOOKUP("SAMSUNG_PUF_CONFIG_EN",  INDIRECT(Config!$B$1), HLOOKUP(Q$1, INDIRECT(Config!$E$1), 2, FALSE),FALSE)=0, VLOOKUP("IFWI_LAYOUT_1_5_EN",  INDIRECT(Config!$B$1), HLOOKUP(Q$1,  INDIRECT(Config!$E$1), 2, FALSE),FALSE), 0)</f>
        <v>0</v>
      </c>
    </row>
    <row r="31" spans="1:17" s="15" customFormat="1" ht="14.55" customHeight="1" x14ac:dyDescent="0.3">
      <c r="A31" s="368"/>
      <c r="B31" s="2" t="s">
        <v>48</v>
      </c>
      <c r="C31" s="208">
        <v>27</v>
      </c>
      <c r="D31" s="208">
        <v>1</v>
      </c>
      <c r="E31" s="208"/>
      <c r="F31" s="206" t="s">
        <v>374</v>
      </c>
      <c r="G31" s="215" t="s">
        <v>916</v>
      </c>
      <c r="H31" s="215">
        <v>0</v>
      </c>
      <c r="I31" s="215" t="s">
        <v>1006</v>
      </c>
      <c r="J31" s="215">
        <v>0</v>
      </c>
      <c r="K31" s="216" t="s">
        <v>1107</v>
      </c>
      <c r="L31" s="206"/>
      <c r="M31" s="206" t="s">
        <v>781</v>
      </c>
      <c r="N31" s="206" t="s">
        <v>459</v>
      </c>
      <c r="O31" s="211" t="str">
        <f ca="1">IF($B31="N/A", "N/A", VLOOKUP($B31, INDIRECT(Config!$B$1), HLOOKUP(O$1, INDIRECT(Config!$E$1), 2, FALSE),FALSE))</f>
        <v>N/A</v>
      </c>
      <c r="P31" s="211" t="str">
        <f ca="1">IF($B31="N/A", "N/A", VLOOKUP($B31, INDIRECT(Config!$B$1), HLOOKUP(P$1, INDIRECT(Config!$E$1), 2, FALSE),FALSE))</f>
        <v>N/A</v>
      </c>
      <c r="Q31" s="211" t="str">
        <f ca="1">IF($B31="N/A", "N/A", VLOOKUP($B31, INDIRECT(Config!$B$1), HLOOKUP(Q$1, INDIRECT(Config!$E$1), 2, FALSE),FALSE))</f>
        <v>N/A</v>
      </c>
    </row>
    <row r="32" spans="1:17" ht="14.55" customHeight="1" x14ac:dyDescent="0.3">
      <c r="A32" s="368"/>
      <c r="B32" s="2" t="s">
        <v>1146</v>
      </c>
      <c r="C32" s="208">
        <v>28</v>
      </c>
      <c r="D32" s="208">
        <v>1</v>
      </c>
      <c r="E32" s="208" t="s">
        <v>376</v>
      </c>
      <c r="F32" s="206" t="s">
        <v>375</v>
      </c>
      <c r="G32" s="214" t="s">
        <v>917</v>
      </c>
      <c r="H32" s="214">
        <v>1</v>
      </c>
      <c r="I32" s="209" t="s">
        <v>1007</v>
      </c>
      <c r="J32" s="209">
        <v>0</v>
      </c>
      <c r="K32" s="216" t="s">
        <v>1107</v>
      </c>
      <c r="L32" s="206" t="s">
        <v>128</v>
      </c>
      <c r="M32" s="206" t="s">
        <v>782</v>
      </c>
      <c r="N32" s="206" t="s">
        <v>524</v>
      </c>
      <c r="O32" s="210" t="e">
        <f ca="1">IF($B32="N/A", "N/A", VLOOKUP($B32, INDIRECT(Config!$B$1), HLOOKUP(O$1, INDIRECT(Config!$E$1), 2, FALSE),FALSE))</f>
        <v>#N/A</v>
      </c>
      <c r="P32" s="210" t="e">
        <f ca="1">IF($B32="N/A", "N/A", VLOOKUP($B32, INDIRECT(Config!$B$1), HLOOKUP(P$1, INDIRECT(Config!$E$1), 2, FALSE),FALSE))</f>
        <v>#N/A</v>
      </c>
      <c r="Q32" s="210" t="e">
        <f ca="1">IF($B32="N/A", "N/A", VLOOKUP($B32, INDIRECT(Config!$B$1), HLOOKUP(Q$1, INDIRECT(Config!$E$1), 2, FALSE),FALSE))</f>
        <v>#N/A</v>
      </c>
    </row>
    <row r="33" spans="1:17" ht="14.55" customHeight="1" x14ac:dyDescent="0.3">
      <c r="A33" s="368"/>
      <c r="B33" s="3" t="s">
        <v>133</v>
      </c>
      <c r="C33" s="206">
        <v>29</v>
      </c>
      <c r="D33" s="206">
        <v>1</v>
      </c>
      <c r="E33" s="210" t="s">
        <v>134</v>
      </c>
      <c r="F33" s="207" t="s">
        <v>135</v>
      </c>
      <c r="G33" s="209" t="s">
        <v>918</v>
      </c>
      <c r="H33" s="209">
        <v>1</v>
      </c>
      <c r="I33" s="214" t="s">
        <v>1008</v>
      </c>
      <c r="J33" s="214">
        <v>0</v>
      </c>
      <c r="K33" s="216" t="s">
        <v>1107</v>
      </c>
      <c r="L33" s="206" t="s">
        <v>87</v>
      </c>
      <c r="M33" s="206" t="s">
        <v>783</v>
      </c>
      <c r="N33" s="206" t="s">
        <v>525</v>
      </c>
      <c r="O33" s="210">
        <f ca="1">IF($B33="N/A", "N/A", VLOOKUP($B33, INDIRECT(Config!$B$1), HLOOKUP(O$1, INDIRECT(Config!$E$1), 2, FALSE),FALSE))</f>
        <v>0</v>
      </c>
      <c r="P33" s="210">
        <f ca="1">IF($B33="N/A", "N/A", VLOOKUP($B33, INDIRECT(Config!$B$1), HLOOKUP(P$1, INDIRECT(Config!$E$1), 2, FALSE),FALSE))</f>
        <v>0</v>
      </c>
      <c r="Q33" s="210">
        <f ca="1">IF($B33="N/A", "N/A", VLOOKUP($B33, INDIRECT(Config!$B$1), HLOOKUP(Q$1, INDIRECT(Config!$E$1), 2, FALSE),FALSE))</f>
        <v>0</v>
      </c>
    </row>
    <row r="34" spans="1:17" ht="14.55" customHeight="1" x14ac:dyDescent="0.3">
      <c r="A34" s="368"/>
      <c r="B34" s="16" t="s">
        <v>125</v>
      </c>
      <c r="C34" s="206">
        <v>30</v>
      </c>
      <c r="D34" s="206">
        <v>1</v>
      </c>
      <c r="E34" s="206" t="s">
        <v>136</v>
      </c>
      <c r="F34" s="207" t="s">
        <v>137</v>
      </c>
      <c r="G34" s="209" t="s">
        <v>919</v>
      </c>
      <c r="H34" s="209">
        <v>1</v>
      </c>
      <c r="I34" s="214" t="s">
        <v>1009</v>
      </c>
      <c r="J34" s="214">
        <v>0</v>
      </c>
      <c r="K34" s="216" t="s">
        <v>1107</v>
      </c>
      <c r="L34" s="206" t="s">
        <v>128</v>
      </c>
      <c r="M34" s="206" t="s">
        <v>784</v>
      </c>
      <c r="N34" s="206" t="s">
        <v>521</v>
      </c>
      <c r="O34" s="210">
        <f ca="1">IF($B34="N/A", "N/A", VLOOKUP($B34, INDIRECT(Config!$B$1), HLOOKUP(O$1, INDIRECT(Config!$E$1), 2, FALSE),FALSE))</f>
        <v>1</v>
      </c>
      <c r="P34" s="210">
        <f ca="1">IF($B34="N/A", "N/A", VLOOKUP($B34, INDIRECT(Config!$B$1), HLOOKUP(P$1, INDIRECT(Config!$E$1), 2, FALSE),FALSE))</f>
        <v>0</v>
      </c>
      <c r="Q34" s="210">
        <f ca="1">IF($B34="N/A", "N/A", VLOOKUP($B34, INDIRECT(Config!$B$1), HLOOKUP(Q$1, INDIRECT(Config!$E$1), 2, FALSE),FALSE))</f>
        <v>0</v>
      </c>
    </row>
    <row r="35" spans="1:17" ht="14.55" customHeight="1" x14ac:dyDescent="0.3">
      <c r="A35" s="368"/>
      <c r="B35" s="4" t="s">
        <v>612</v>
      </c>
      <c r="C35" s="206">
        <v>31</v>
      </c>
      <c r="D35" s="206">
        <v>1</v>
      </c>
      <c r="E35" s="207" t="s">
        <v>138</v>
      </c>
      <c r="F35" s="208" t="s">
        <v>139</v>
      </c>
      <c r="G35" s="214" t="s">
        <v>920</v>
      </c>
      <c r="H35" s="214">
        <v>0</v>
      </c>
      <c r="I35" s="209" t="s">
        <v>1010</v>
      </c>
      <c r="J35" s="209">
        <v>0</v>
      </c>
      <c r="K35" s="216" t="s">
        <v>667</v>
      </c>
      <c r="L35" s="206" t="s">
        <v>140</v>
      </c>
      <c r="M35" s="206" t="s">
        <v>696</v>
      </c>
      <c r="N35" s="206" t="s">
        <v>743</v>
      </c>
      <c r="O35" s="211">
        <f>IF($B35="N/A", "N/A", 1)</f>
        <v>1</v>
      </c>
      <c r="P35" s="211">
        <f>IF($B35="N/A", "N/A", 1)</f>
        <v>1</v>
      </c>
      <c r="Q35" s="211">
        <f>IF($B35="N/A", "N/A", 1)</f>
        <v>1</v>
      </c>
    </row>
    <row r="36" spans="1:17" ht="14.55" customHeight="1" x14ac:dyDescent="0.3">
      <c r="A36" s="324" t="s">
        <v>141</v>
      </c>
      <c r="B36" s="16" t="s">
        <v>639</v>
      </c>
      <c r="C36" s="206">
        <v>0</v>
      </c>
      <c r="D36" s="206">
        <v>1</v>
      </c>
      <c r="E36" s="207" t="s">
        <v>142</v>
      </c>
      <c r="F36" s="207" t="s">
        <v>143</v>
      </c>
      <c r="G36" s="214" t="s">
        <v>921</v>
      </c>
      <c r="H36" s="214">
        <v>0</v>
      </c>
      <c r="I36" s="214" t="s">
        <v>1011</v>
      </c>
      <c r="J36" s="214">
        <v>0</v>
      </c>
      <c r="K36" s="210"/>
      <c r="L36" s="206" t="s">
        <v>87</v>
      </c>
      <c r="M36" s="206" t="s">
        <v>697</v>
      </c>
      <c r="N36" s="206" t="s">
        <v>521</v>
      </c>
      <c r="O36" s="210">
        <f ca="1">IF($B36="N/A", "N/A", VLOOKUP($B36, INDIRECT(Config!$B$1), HLOOKUP(O$1, INDIRECT(Config!$E$1), 2, FALSE),FALSE))</f>
        <v>0</v>
      </c>
      <c r="P36" s="210">
        <f ca="1">IF($B36="N/A", "N/A", VLOOKUP($B36, INDIRECT(Config!$B$1), HLOOKUP(P$1, INDIRECT(Config!$E$1), 2, FALSE),FALSE))</f>
        <v>0</v>
      </c>
      <c r="Q36" s="210">
        <f ca="1">IF($B36="N/A", "N/A", VLOOKUP($B36, INDIRECT(Config!$B$1), HLOOKUP(Q$1, INDIRECT(Config!$E$1), 2, FALSE),FALSE))</f>
        <v>0</v>
      </c>
    </row>
    <row r="37" spans="1:17" ht="14.55" customHeight="1" x14ac:dyDescent="0.3">
      <c r="A37" s="324"/>
      <c r="B37" s="16" t="s">
        <v>144</v>
      </c>
      <c r="C37" s="206">
        <v>1</v>
      </c>
      <c r="D37" s="206">
        <v>1</v>
      </c>
      <c r="E37" s="207" t="s">
        <v>145</v>
      </c>
      <c r="F37" s="207" t="s">
        <v>146</v>
      </c>
      <c r="G37" s="214" t="s">
        <v>922</v>
      </c>
      <c r="H37" s="214">
        <v>0</v>
      </c>
      <c r="I37" s="214" t="s">
        <v>1012</v>
      </c>
      <c r="J37" s="214">
        <v>0</v>
      </c>
      <c r="K37" s="210"/>
      <c r="L37" s="206" t="s">
        <v>87</v>
      </c>
      <c r="M37" s="206" t="s">
        <v>698</v>
      </c>
      <c r="N37" s="206" t="s">
        <v>442</v>
      </c>
      <c r="O37" s="210">
        <f ca="1">IF($B37="N/A", "N/A", VLOOKUP($B37, INDIRECT(Config!$B$1), HLOOKUP(O$1, INDIRECT(Config!$E$1), 2, FALSE),FALSE))</f>
        <v>1</v>
      </c>
      <c r="P37" s="210">
        <f ca="1">IF($B37="N/A", "N/A", VLOOKUP($B37, INDIRECT(Config!$B$1), HLOOKUP(P$1, INDIRECT(Config!$E$1), 2, FALSE),FALSE))</f>
        <v>0</v>
      </c>
      <c r="Q37" s="210">
        <f ca="1">IF($B37="N/A", "N/A", VLOOKUP($B37, INDIRECT(Config!$B$1), HLOOKUP(Q$1, INDIRECT(Config!$E$1), 2, FALSE),FALSE))</f>
        <v>0</v>
      </c>
    </row>
    <row r="38" spans="1:17" ht="14.55" customHeight="1" x14ac:dyDescent="0.3">
      <c r="A38" s="324"/>
      <c r="B38" s="16" t="s">
        <v>147</v>
      </c>
      <c r="C38" s="206">
        <v>2</v>
      </c>
      <c r="D38" s="206">
        <v>1</v>
      </c>
      <c r="E38" s="207" t="s">
        <v>148</v>
      </c>
      <c r="F38" s="207" t="s">
        <v>149</v>
      </c>
      <c r="G38" s="214" t="s">
        <v>923</v>
      </c>
      <c r="H38" s="214">
        <v>1</v>
      </c>
      <c r="I38" s="214" t="s">
        <v>1013</v>
      </c>
      <c r="J38" s="214">
        <v>0</v>
      </c>
      <c r="K38" s="210"/>
      <c r="L38" s="206" t="s">
        <v>87</v>
      </c>
      <c r="M38" s="206" t="s">
        <v>699</v>
      </c>
      <c r="N38" s="206" t="s">
        <v>443</v>
      </c>
      <c r="O38" s="210">
        <f ca="1">IF($B38="N/A", "N/A", VLOOKUP($B38, INDIRECT(Config!$B$1), HLOOKUP(O$1, INDIRECT(Config!$E$1), 2, FALSE),FALSE))</f>
        <v>1</v>
      </c>
      <c r="P38" s="210">
        <f ca="1">IF($B38="N/A", "N/A", VLOOKUP($B38, INDIRECT(Config!$B$1), HLOOKUP(P$1, INDIRECT(Config!$E$1), 2, FALSE),FALSE))</f>
        <v>0</v>
      </c>
      <c r="Q38" s="210">
        <f ca="1">IF($B38="N/A", "N/A", VLOOKUP($B38, INDIRECT(Config!$B$1), HLOOKUP(Q$1, INDIRECT(Config!$E$1), 2, FALSE),FALSE))</f>
        <v>0</v>
      </c>
    </row>
    <row r="39" spans="1:17" ht="14.55" customHeight="1" x14ac:dyDescent="0.3">
      <c r="A39" s="324"/>
      <c r="B39" s="4" t="s">
        <v>612</v>
      </c>
      <c r="C39" s="206">
        <v>3</v>
      </c>
      <c r="D39" s="206">
        <v>1</v>
      </c>
      <c r="E39" s="207" t="s">
        <v>150</v>
      </c>
      <c r="F39" s="208" t="s">
        <v>151</v>
      </c>
      <c r="G39" s="214" t="s">
        <v>924</v>
      </c>
      <c r="H39" s="214">
        <v>0</v>
      </c>
      <c r="I39" s="209" t="s">
        <v>1014</v>
      </c>
      <c r="J39" s="209">
        <v>1</v>
      </c>
      <c r="K39" s="210"/>
      <c r="L39" s="206" t="s">
        <v>152</v>
      </c>
      <c r="M39" s="217" t="s">
        <v>1127</v>
      </c>
      <c r="N39" s="206" t="s">
        <v>520</v>
      </c>
      <c r="O39" s="211">
        <f>IF($B39="N/A", "N/A", 1)</f>
        <v>1</v>
      </c>
      <c r="P39" s="211">
        <f>IF($B39="N/A", "N/A", 1)</f>
        <v>1</v>
      </c>
      <c r="Q39" s="211">
        <f>IF($B39="N/A", "N/A", 1)</f>
        <v>1</v>
      </c>
    </row>
    <row r="40" spans="1:17" ht="14.55" customHeight="1" x14ac:dyDescent="0.3">
      <c r="A40" s="324"/>
      <c r="B40" s="16" t="s">
        <v>642</v>
      </c>
      <c r="C40" s="206">
        <v>4</v>
      </c>
      <c r="D40" s="206">
        <v>1</v>
      </c>
      <c r="E40" s="207" t="s">
        <v>153</v>
      </c>
      <c r="F40" s="207" t="s">
        <v>154</v>
      </c>
      <c r="G40" s="214" t="s">
        <v>925</v>
      </c>
      <c r="H40" s="214">
        <v>1</v>
      </c>
      <c r="I40" s="214" t="s">
        <v>1015</v>
      </c>
      <c r="J40" s="214">
        <v>1</v>
      </c>
      <c r="K40" s="210"/>
      <c r="L40" s="206" t="s">
        <v>87</v>
      </c>
      <c r="M40" s="206" t="s">
        <v>700</v>
      </c>
      <c r="N40" s="206" t="s">
        <v>744</v>
      </c>
      <c r="O40" s="210">
        <f ca="1">IF($B40="N/A", "N/A", VLOOKUP($B40, INDIRECT(Config!$B$1), HLOOKUP(O$1, INDIRECT(Config!$E$1), 2, FALSE),FALSE))</f>
        <v>1</v>
      </c>
      <c r="P40" s="210">
        <f ca="1">IF($B40="N/A", "N/A", VLOOKUP($B40, INDIRECT(Config!$B$1), HLOOKUP(P$1, INDIRECT(Config!$E$1), 2, FALSE),FALSE))</f>
        <v>0</v>
      </c>
      <c r="Q40" s="210">
        <f ca="1">IF($B40="N/A", "N/A", VLOOKUP($B40, INDIRECT(Config!$B$1), HLOOKUP(Q$1, INDIRECT(Config!$E$1), 2, FALSE),FALSE))</f>
        <v>0</v>
      </c>
    </row>
    <row r="41" spans="1:17" ht="14.55" customHeight="1" x14ac:dyDescent="0.3">
      <c r="A41" s="324"/>
      <c r="B41" s="2" t="s">
        <v>635</v>
      </c>
      <c r="C41" s="208">
        <v>5</v>
      </c>
      <c r="D41" s="208">
        <v>1</v>
      </c>
      <c r="E41" s="208" t="s">
        <v>155</v>
      </c>
      <c r="F41" s="207" t="s">
        <v>156</v>
      </c>
      <c r="G41" s="209" t="s">
        <v>926</v>
      </c>
      <c r="H41" s="209">
        <v>1</v>
      </c>
      <c r="I41" s="209" t="s">
        <v>1016</v>
      </c>
      <c r="J41" s="209">
        <v>0</v>
      </c>
      <c r="K41" s="210"/>
      <c r="L41" s="206" t="s">
        <v>87</v>
      </c>
      <c r="M41" s="206" t="s">
        <v>785</v>
      </c>
      <c r="N41" s="206" t="s">
        <v>520</v>
      </c>
      <c r="O41" s="210">
        <f ca="1">IF($B41="N/A", "N/A", VLOOKUP($B41, INDIRECT(Config!$B$1), HLOOKUP(O$1, INDIRECT(Config!$E$1), 2, FALSE),FALSE))</f>
        <v>0</v>
      </c>
      <c r="P41" s="210">
        <f ca="1">IF($B41="N/A", "N/A", VLOOKUP($B41, INDIRECT(Config!$B$1), HLOOKUP(P$1, INDIRECT(Config!$E$1), 2, FALSE),FALSE))</f>
        <v>0</v>
      </c>
      <c r="Q41" s="210">
        <f ca="1">IF($B41="N/A", "N/A", VLOOKUP($B41, INDIRECT(Config!$B$1), HLOOKUP(Q$1, INDIRECT(Config!$E$1), 2, FALSE),FALSE))</f>
        <v>0</v>
      </c>
    </row>
    <row r="42" spans="1:17" ht="14.55" customHeight="1" x14ac:dyDescent="0.3">
      <c r="A42" s="324"/>
      <c r="B42" s="4" t="s">
        <v>612</v>
      </c>
      <c r="C42" s="206">
        <v>6</v>
      </c>
      <c r="D42" s="206">
        <v>1</v>
      </c>
      <c r="E42" s="207" t="s">
        <v>157</v>
      </c>
      <c r="F42" s="208" t="s">
        <v>158</v>
      </c>
      <c r="G42" s="209" t="s">
        <v>927</v>
      </c>
      <c r="H42" s="209">
        <v>0</v>
      </c>
      <c r="I42" s="209" t="s">
        <v>1017</v>
      </c>
      <c r="J42" s="209">
        <v>0</v>
      </c>
      <c r="K42" s="210"/>
      <c r="L42" s="206" t="s">
        <v>87</v>
      </c>
      <c r="M42" s="206" t="s">
        <v>701</v>
      </c>
      <c r="N42" s="206" t="s">
        <v>745</v>
      </c>
      <c r="O42" s="211">
        <f>IF($B42="N/A", "N/A", 1)</f>
        <v>1</v>
      </c>
      <c r="P42" s="211">
        <f>IF($B42="N/A", "N/A", 1)</f>
        <v>1</v>
      </c>
      <c r="Q42" s="211">
        <f>IF($B42="N/A", "N/A", 1)</f>
        <v>1</v>
      </c>
    </row>
    <row r="43" spans="1:17" ht="14.55" customHeight="1" x14ac:dyDescent="0.3">
      <c r="A43" s="324"/>
      <c r="B43" s="16" t="s">
        <v>644</v>
      </c>
      <c r="C43" s="206">
        <v>7</v>
      </c>
      <c r="D43" s="206">
        <v>1</v>
      </c>
      <c r="E43" s="207" t="s">
        <v>159</v>
      </c>
      <c r="F43" s="207" t="s">
        <v>160</v>
      </c>
      <c r="G43" s="214" t="s">
        <v>928</v>
      </c>
      <c r="H43" s="214">
        <v>0</v>
      </c>
      <c r="I43" s="214" t="s">
        <v>1018</v>
      </c>
      <c r="J43" s="214">
        <v>1</v>
      </c>
      <c r="K43" s="210"/>
      <c r="L43" s="206" t="s">
        <v>87</v>
      </c>
      <c r="M43" s="206" t="s">
        <v>702</v>
      </c>
      <c r="N43" s="206" t="s">
        <v>746</v>
      </c>
      <c r="O43" s="210">
        <f ca="1">IF($B43="N/A", "N/A", VLOOKUP($B43, INDIRECT(Config!$B$1), HLOOKUP(O$1, INDIRECT(Config!$E$1), 2, FALSE),FALSE))</f>
        <v>1</v>
      </c>
      <c r="P43" s="210">
        <f ca="1">IF($B43="N/A", "N/A", VLOOKUP($B43, INDIRECT(Config!$B$1), HLOOKUP(P$1, INDIRECT(Config!$E$1), 2, FALSE),FALSE))</f>
        <v>0</v>
      </c>
      <c r="Q43" s="210">
        <f ca="1">IF($B43="N/A", "N/A", VLOOKUP($B43, INDIRECT(Config!$B$1), HLOOKUP(Q$1, INDIRECT(Config!$E$1), 2, FALSE),FALSE))</f>
        <v>1</v>
      </c>
    </row>
    <row r="44" spans="1:17" ht="14.55" customHeight="1" x14ac:dyDescent="0.3">
      <c r="A44" s="324"/>
      <c r="B44" s="2" t="s">
        <v>640</v>
      </c>
      <c r="C44" s="208">
        <v>8</v>
      </c>
      <c r="D44" s="208">
        <v>1</v>
      </c>
      <c r="E44" s="208" t="s">
        <v>161</v>
      </c>
      <c r="F44" s="207" t="s">
        <v>162</v>
      </c>
      <c r="G44" s="209" t="s">
        <v>929</v>
      </c>
      <c r="H44" s="209">
        <v>0</v>
      </c>
      <c r="I44" s="209" t="s">
        <v>1019</v>
      </c>
      <c r="J44" s="209">
        <v>0</v>
      </c>
      <c r="K44" s="210"/>
      <c r="L44" s="206" t="s">
        <v>87</v>
      </c>
      <c r="M44" s="206" t="s">
        <v>703</v>
      </c>
      <c r="N44" s="206" t="s">
        <v>520</v>
      </c>
      <c r="O44" s="210">
        <f ca="1">IF($B44="N/A", "N/A", VLOOKUP($B44, INDIRECT(Config!$B$1), HLOOKUP(O$1, INDIRECT(Config!$E$1), 2, FALSE),FALSE))</f>
        <v>1</v>
      </c>
      <c r="P44" s="210">
        <f ca="1">IF($B44="N/A", "N/A", VLOOKUP($B44, INDIRECT(Config!$B$1), HLOOKUP(P$1, INDIRECT(Config!$E$1), 2, FALSE),FALSE))</f>
        <v>0</v>
      </c>
      <c r="Q44" s="210">
        <f ca="1">IF($B44="N/A", "N/A", VLOOKUP($B44, INDIRECT(Config!$B$1), HLOOKUP(Q$1, INDIRECT(Config!$E$1), 2, FALSE),FALSE))</f>
        <v>0</v>
      </c>
    </row>
    <row r="45" spans="1:17" ht="14.55" customHeight="1" x14ac:dyDescent="0.3">
      <c r="A45" s="324"/>
      <c r="B45" s="4" t="s">
        <v>612</v>
      </c>
      <c r="C45" s="206">
        <v>9</v>
      </c>
      <c r="D45" s="206">
        <v>3</v>
      </c>
      <c r="E45" s="207" t="s">
        <v>163</v>
      </c>
      <c r="F45" s="208" t="s">
        <v>164</v>
      </c>
      <c r="G45" s="209" t="s">
        <v>964</v>
      </c>
      <c r="H45" s="209">
        <v>4</v>
      </c>
      <c r="I45" s="209" t="s">
        <v>1020</v>
      </c>
      <c r="J45" s="209">
        <v>0</v>
      </c>
      <c r="K45" s="210"/>
      <c r="L45" s="206" t="s">
        <v>128</v>
      </c>
      <c r="M45" s="206" t="s">
        <v>704</v>
      </c>
      <c r="N45" s="206" t="s">
        <v>747</v>
      </c>
      <c r="O45" s="211">
        <f>IF($B45="N/A", "N/A", 1)</f>
        <v>1</v>
      </c>
      <c r="P45" s="211">
        <f>IF($B45="N/A", "N/A", 1)</f>
        <v>1</v>
      </c>
      <c r="Q45" s="211">
        <f>IF($B45="N/A", "N/A", 1)</f>
        <v>1</v>
      </c>
    </row>
    <row r="46" spans="1:17" ht="14.55" customHeight="1" x14ac:dyDescent="0.3">
      <c r="A46" s="324"/>
      <c r="B46" s="2" t="s">
        <v>641</v>
      </c>
      <c r="C46" s="208">
        <v>12</v>
      </c>
      <c r="D46" s="208">
        <v>1</v>
      </c>
      <c r="E46" s="208" t="s">
        <v>165</v>
      </c>
      <c r="F46" s="207" t="s">
        <v>166</v>
      </c>
      <c r="G46" s="214" t="s">
        <v>930</v>
      </c>
      <c r="H46" s="214">
        <v>0</v>
      </c>
      <c r="I46" s="214" t="s">
        <v>1021</v>
      </c>
      <c r="J46" s="214">
        <v>0</v>
      </c>
      <c r="K46" s="210"/>
      <c r="L46" s="206" t="s">
        <v>87</v>
      </c>
      <c r="M46" s="206" t="s">
        <v>705</v>
      </c>
      <c r="N46" s="206" t="s">
        <v>521</v>
      </c>
      <c r="O46" s="210">
        <f ca="1">IF($B46="N/A", "N/A", VLOOKUP($B46, INDIRECT(Config!$B$1), HLOOKUP(O$1, INDIRECT(Config!$E$1), 2, FALSE),FALSE))</f>
        <v>0</v>
      </c>
      <c r="P46" s="210">
        <f ca="1">IF($B46="N/A", "N/A", VLOOKUP($B46, INDIRECT(Config!$B$1), HLOOKUP(P$1, INDIRECT(Config!$E$1), 2, FALSE),FALSE))</f>
        <v>0</v>
      </c>
      <c r="Q46" s="210">
        <f ca="1">IF($B46="N/A", "N/A", VLOOKUP($B46, INDIRECT(Config!$B$1), HLOOKUP(Q$1, INDIRECT(Config!$E$1), 2, FALSE),FALSE))</f>
        <v>0</v>
      </c>
    </row>
    <row r="47" spans="1:17" ht="14.55" customHeight="1" x14ac:dyDescent="0.3">
      <c r="A47" s="324"/>
      <c r="B47" s="16" t="s">
        <v>650</v>
      </c>
      <c r="C47" s="206">
        <v>13</v>
      </c>
      <c r="D47" s="206">
        <v>1</v>
      </c>
      <c r="E47" s="207" t="s">
        <v>167</v>
      </c>
      <c r="F47" s="207" t="s">
        <v>168</v>
      </c>
      <c r="G47" s="214" t="s">
        <v>931</v>
      </c>
      <c r="H47" s="214">
        <v>0</v>
      </c>
      <c r="I47" s="214" t="s">
        <v>1022</v>
      </c>
      <c r="J47" s="214">
        <v>1</v>
      </c>
      <c r="K47" s="210"/>
      <c r="L47" s="206" t="s">
        <v>128</v>
      </c>
      <c r="M47" s="206" t="s">
        <v>706</v>
      </c>
      <c r="N47" s="206" t="s">
        <v>521</v>
      </c>
      <c r="O47" s="210">
        <f ca="1">IF($B47="N/A", "N/A", VLOOKUP($B47, INDIRECT(Config!$B$1), HLOOKUP(O$1, INDIRECT(Config!$E$1), 2, FALSE),FALSE))</f>
        <v>1</v>
      </c>
      <c r="P47" s="210">
        <f ca="1">IF($B47="N/A", "N/A", VLOOKUP($B47, INDIRECT(Config!$B$1), HLOOKUP(P$1, INDIRECT(Config!$E$1), 2, FALSE),FALSE))</f>
        <v>0</v>
      </c>
      <c r="Q47" s="210">
        <f ca="1">IF($B47="N/A", "N/A", VLOOKUP($B47, INDIRECT(Config!$B$1), HLOOKUP(Q$1, INDIRECT(Config!$E$1), 2, FALSE),FALSE))</f>
        <v>1</v>
      </c>
    </row>
    <row r="48" spans="1:17" ht="14.55" customHeight="1" x14ac:dyDescent="0.3">
      <c r="A48" s="324"/>
      <c r="B48" s="2" t="s">
        <v>638</v>
      </c>
      <c r="C48" s="208">
        <v>14</v>
      </c>
      <c r="D48" s="208">
        <v>1</v>
      </c>
      <c r="E48" s="208" t="s">
        <v>169</v>
      </c>
      <c r="F48" s="207" t="s">
        <v>170</v>
      </c>
      <c r="G48" s="214" t="s">
        <v>932</v>
      </c>
      <c r="H48" s="214">
        <v>1</v>
      </c>
      <c r="I48" s="214" t="s">
        <v>1023</v>
      </c>
      <c r="J48" s="214">
        <v>0</v>
      </c>
      <c r="K48" s="210"/>
      <c r="L48" s="206" t="s">
        <v>87</v>
      </c>
      <c r="M48" s="206" t="s">
        <v>707</v>
      </c>
      <c r="N48" s="206" t="s">
        <v>521</v>
      </c>
      <c r="O48" s="210">
        <f ca="1">IF($B48="N/A", "N/A", VLOOKUP($B48, INDIRECT(Config!$B$1), HLOOKUP(O$1, INDIRECT(Config!$E$1), 2, FALSE),FALSE))</f>
        <v>0</v>
      </c>
      <c r="P48" s="210">
        <f ca="1">IF($B48="N/A", "N/A", VLOOKUP($B48, INDIRECT(Config!$B$1), HLOOKUP(P$1, INDIRECT(Config!$E$1), 2, FALSE),FALSE))</f>
        <v>0</v>
      </c>
      <c r="Q48" s="210">
        <f ca="1">IF($B48="N/A", "N/A", VLOOKUP($B48, INDIRECT(Config!$B$1), HLOOKUP(Q$1, INDIRECT(Config!$E$1), 2, FALSE),FALSE))</f>
        <v>0</v>
      </c>
    </row>
    <row r="49" spans="1:17" ht="14.55" customHeight="1" x14ac:dyDescent="0.3">
      <c r="A49" s="324"/>
      <c r="B49" s="16" t="s">
        <v>636</v>
      </c>
      <c r="C49" s="206">
        <v>15</v>
      </c>
      <c r="D49" s="206">
        <v>1</v>
      </c>
      <c r="E49" s="207" t="s">
        <v>672</v>
      </c>
      <c r="F49" s="207" t="s">
        <v>171</v>
      </c>
      <c r="G49" s="214" t="s">
        <v>933</v>
      </c>
      <c r="H49" s="214">
        <v>0</v>
      </c>
      <c r="I49" s="214" t="s">
        <v>1024</v>
      </c>
      <c r="J49" s="214">
        <v>1</v>
      </c>
      <c r="K49" s="210"/>
      <c r="L49" s="206" t="s">
        <v>128</v>
      </c>
      <c r="M49" s="206" t="s">
        <v>708</v>
      </c>
      <c r="N49" s="206" t="s">
        <v>521</v>
      </c>
      <c r="O49" s="210">
        <f ca="1">IF($B49="N/A", "N/A", VLOOKUP($B49, INDIRECT(Config!$B$1), HLOOKUP(O$1, INDIRECT(Config!$E$1), 2, FALSE),FALSE))</f>
        <v>1</v>
      </c>
      <c r="P49" s="210">
        <f ca="1">IF($B49="N/A", "N/A", VLOOKUP($B49, INDIRECT(Config!$B$1), HLOOKUP(P$1, INDIRECT(Config!$E$1), 2, FALSE),FALSE))</f>
        <v>0</v>
      </c>
      <c r="Q49" s="210">
        <f ca="1">IF($B49="N/A", "N/A", VLOOKUP($B49, INDIRECT(Config!$B$1), HLOOKUP(Q$1, INDIRECT(Config!$E$1), 2, FALSE),FALSE))</f>
        <v>1</v>
      </c>
    </row>
    <row r="50" spans="1:17" ht="14.55" customHeight="1" x14ac:dyDescent="0.3">
      <c r="A50" s="324"/>
      <c r="B50" s="16" t="s">
        <v>172</v>
      </c>
      <c r="C50" s="206">
        <v>16</v>
      </c>
      <c r="D50" s="206">
        <v>1</v>
      </c>
      <c r="E50" s="207" t="s">
        <v>173</v>
      </c>
      <c r="F50" s="207" t="s">
        <v>174</v>
      </c>
      <c r="G50" s="214" t="s">
        <v>934</v>
      </c>
      <c r="H50" s="214">
        <v>1</v>
      </c>
      <c r="I50" s="214" t="s">
        <v>1025</v>
      </c>
      <c r="J50" s="214">
        <v>1</v>
      </c>
      <c r="K50" s="210"/>
      <c r="L50" s="206" t="s">
        <v>175</v>
      </c>
      <c r="M50" s="206" t="s">
        <v>709</v>
      </c>
      <c r="N50" s="206" t="s">
        <v>444</v>
      </c>
      <c r="O50" s="210">
        <f ca="1">IF($B50="N/A", "N/A", VLOOKUP($B50, INDIRECT(Config!$B$1), HLOOKUP(O$1, INDIRECT(Config!$E$1), 2, FALSE),FALSE))</f>
        <v>1</v>
      </c>
      <c r="P50" s="210">
        <f ca="1">IF($B50="N/A", "N/A", VLOOKUP($B50, INDIRECT(Config!$B$1), HLOOKUP(P$1, INDIRECT(Config!$E$1), 2, FALSE),FALSE))</f>
        <v>0</v>
      </c>
      <c r="Q50" s="210">
        <f ca="1">IF($B50="N/A", "N/A", VLOOKUP($B50, INDIRECT(Config!$B$1), HLOOKUP(Q$1, INDIRECT(Config!$E$1), 2, FALSE),FALSE))</f>
        <v>0</v>
      </c>
    </row>
    <row r="51" spans="1:17" ht="14.55" customHeight="1" x14ac:dyDescent="0.3">
      <c r="A51" s="324"/>
      <c r="B51" s="16" t="s">
        <v>172</v>
      </c>
      <c r="C51" s="206">
        <v>17</v>
      </c>
      <c r="D51" s="206">
        <v>1</v>
      </c>
      <c r="E51" s="207" t="s">
        <v>176</v>
      </c>
      <c r="F51" s="207" t="s">
        <v>177</v>
      </c>
      <c r="G51" s="214" t="s">
        <v>935</v>
      </c>
      <c r="H51" s="214">
        <v>0</v>
      </c>
      <c r="I51" s="214" t="s">
        <v>1026</v>
      </c>
      <c r="J51" s="214">
        <v>0</v>
      </c>
      <c r="K51" s="210"/>
      <c r="L51" s="206" t="s">
        <v>175</v>
      </c>
      <c r="M51" s="206" t="s">
        <v>710</v>
      </c>
      <c r="N51" s="206" t="s">
        <v>445</v>
      </c>
      <c r="O51" s="210">
        <f ca="1">IF($B51="N/A", "N/A", VLOOKUP($B51, INDIRECT(Config!$B$1), HLOOKUP(O$1, INDIRECT(Config!$E$1), 2, FALSE),FALSE))</f>
        <v>1</v>
      </c>
      <c r="P51" s="210">
        <f ca="1">IF($B51="N/A", "N/A", VLOOKUP($B51, INDIRECT(Config!$B$1), HLOOKUP(P$1, INDIRECT(Config!$E$1), 2, FALSE),FALSE))</f>
        <v>0</v>
      </c>
      <c r="Q51" s="210">
        <f ca="1">IF($B51="N/A", "N/A", VLOOKUP($B51, INDIRECT(Config!$B$1), HLOOKUP(Q$1, INDIRECT(Config!$E$1), 2, FALSE),FALSE))</f>
        <v>0</v>
      </c>
    </row>
    <row r="52" spans="1:17" ht="14.55" customHeight="1" x14ac:dyDescent="0.3">
      <c r="A52" s="324"/>
      <c r="B52" s="16" t="s">
        <v>172</v>
      </c>
      <c r="C52" s="206">
        <v>18</v>
      </c>
      <c r="D52" s="206">
        <v>1</v>
      </c>
      <c r="E52" s="207" t="s">
        <v>178</v>
      </c>
      <c r="F52" s="207" t="s">
        <v>179</v>
      </c>
      <c r="G52" s="214" t="s">
        <v>936</v>
      </c>
      <c r="H52" s="214">
        <v>0</v>
      </c>
      <c r="I52" s="214" t="s">
        <v>1027</v>
      </c>
      <c r="J52" s="214">
        <v>0</v>
      </c>
      <c r="K52" s="210"/>
      <c r="L52" s="206" t="s">
        <v>175</v>
      </c>
      <c r="M52" s="206" t="s">
        <v>711</v>
      </c>
      <c r="N52" s="206" t="s">
        <v>446</v>
      </c>
      <c r="O52" s="210">
        <f ca="1">IF($B52="N/A", "N/A", VLOOKUP($B52, INDIRECT(Config!$B$1), HLOOKUP(O$1, INDIRECT(Config!$E$1), 2, FALSE),FALSE))</f>
        <v>1</v>
      </c>
      <c r="P52" s="210">
        <f ca="1">IF($B52="N/A", "N/A", VLOOKUP($B52, INDIRECT(Config!$B$1), HLOOKUP(P$1, INDIRECT(Config!$E$1), 2, FALSE),FALSE))</f>
        <v>0</v>
      </c>
      <c r="Q52" s="210">
        <f ca="1">IF($B52="N/A", "N/A", VLOOKUP($B52, INDIRECT(Config!$B$1), HLOOKUP(Q$1, INDIRECT(Config!$E$1), 2, FALSE),FALSE))</f>
        <v>0</v>
      </c>
    </row>
    <row r="53" spans="1:17" ht="14.55" customHeight="1" x14ac:dyDescent="0.3">
      <c r="A53" s="324"/>
      <c r="B53" s="16" t="s">
        <v>637</v>
      </c>
      <c r="C53" s="206">
        <v>19</v>
      </c>
      <c r="D53" s="206">
        <v>1</v>
      </c>
      <c r="E53" s="207" t="s">
        <v>180</v>
      </c>
      <c r="F53" s="207" t="s">
        <v>181</v>
      </c>
      <c r="G53" s="214" t="s">
        <v>937</v>
      </c>
      <c r="H53" s="214">
        <v>0</v>
      </c>
      <c r="I53" s="214" t="s">
        <v>1028</v>
      </c>
      <c r="J53" s="214">
        <v>1</v>
      </c>
      <c r="K53" s="210"/>
      <c r="L53" s="206" t="s">
        <v>87</v>
      </c>
      <c r="M53" s="206" t="s">
        <v>712</v>
      </c>
      <c r="N53" s="206" t="s">
        <v>522</v>
      </c>
      <c r="O53" s="210">
        <f ca="1">IF($B53="N/A", "N/A", VLOOKUP($B53, INDIRECT(Config!$B$1), HLOOKUP(O$1, INDIRECT(Config!$E$1), 2, FALSE),FALSE))</f>
        <v>1</v>
      </c>
      <c r="P53" s="210">
        <f ca="1">IF($B53="N/A", "N/A", VLOOKUP($B53, INDIRECT(Config!$B$1), HLOOKUP(P$1, INDIRECT(Config!$E$1), 2, FALSE),FALSE))</f>
        <v>0</v>
      </c>
      <c r="Q53" s="210">
        <f ca="1">IF($B53="N/A", "N/A", VLOOKUP($B53, INDIRECT(Config!$B$1), HLOOKUP(Q$1, INDIRECT(Config!$E$1), 2, FALSE),FALSE))</f>
        <v>0</v>
      </c>
    </row>
    <row r="54" spans="1:17" ht="14.55" customHeight="1" x14ac:dyDescent="0.3">
      <c r="A54" s="324"/>
      <c r="B54" s="16" t="s">
        <v>634</v>
      </c>
      <c r="C54" s="206">
        <v>20</v>
      </c>
      <c r="D54" s="206">
        <v>1</v>
      </c>
      <c r="E54" s="207" t="s">
        <v>182</v>
      </c>
      <c r="F54" s="207" t="s">
        <v>183</v>
      </c>
      <c r="G54" s="214" t="s">
        <v>938</v>
      </c>
      <c r="H54" s="214">
        <v>0</v>
      </c>
      <c r="I54" s="214" t="s">
        <v>1029</v>
      </c>
      <c r="J54" s="214">
        <v>1</v>
      </c>
      <c r="K54" s="210"/>
      <c r="L54" s="206" t="s">
        <v>87</v>
      </c>
      <c r="M54" s="206" t="s">
        <v>713</v>
      </c>
      <c r="N54" s="206" t="s">
        <v>523</v>
      </c>
      <c r="O54" s="210">
        <f ca="1">IF($B54="N/A", "N/A", VLOOKUP($B54, INDIRECT(Config!$B$1), HLOOKUP(O$1, INDIRECT(Config!$E$1), 2, FALSE),FALSE))</f>
        <v>1</v>
      </c>
      <c r="P54" s="210">
        <f ca="1">IF($B54="N/A", "N/A", VLOOKUP($B54, INDIRECT(Config!$B$1), HLOOKUP(P$1, INDIRECT(Config!$E$1), 2, FALSE),FALSE))</f>
        <v>0</v>
      </c>
      <c r="Q54" s="210">
        <f ca="1">IF($B54="N/A", "N/A", VLOOKUP($B54, INDIRECT(Config!$B$1), HLOOKUP(Q$1, INDIRECT(Config!$E$1), 2, FALSE),FALSE))</f>
        <v>0</v>
      </c>
    </row>
    <row r="55" spans="1:17" ht="14.55" customHeight="1" x14ac:dyDescent="0.3">
      <c r="A55" s="324"/>
      <c r="B55" s="16" t="s">
        <v>643</v>
      </c>
      <c r="C55" s="206">
        <v>21</v>
      </c>
      <c r="D55" s="206">
        <v>1</v>
      </c>
      <c r="E55" s="207" t="s">
        <v>184</v>
      </c>
      <c r="F55" s="207" t="s">
        <v>185</v>
      </c>
      <c r="G55" s="214" t="s">
        <v>939</v>
      </c>
      <c r="H55" s="214">
        <v>0</v>
      </c>
      <c r="I55" s="214" t="s">
        <v>1030</v>
      </c>
      <c r="J55" s="214">
        <v>1</v>
      </c>
      <c r="K55" s="210"/>
      <c r="L55" s="206" t="s">
        <v>87</v>
      </c>
      <c r="M55" s="206" t="s">
        <v>714</v>
      </c>
      <c r="N55" s="206" t="s">
        <v>447</v>
      </c>
      <c r="O55" s="210">
        <f ca="1">IF($B55="N/A", "N/A", VLOOKUP($B55, INDIRECT(Config!$B$1), HLOOKUP(O$1, INDIRECT(Config!$E$1), 2, FALSE),FALSE))</f>
        <v>1</v>
      </c>
      <c r="P55" s="210">
        <f ca="1">IF($B55="N/A", "N/A", VLOOKUP($B55, INDIRECT(Config!$B$1), HLOOKUP(P$1, INDIRECT(Config!$E$1), 2, FALSE),FALSE))</f>
        <v>0</v>
      </c>
      <c r="Q55" s="210">
        <f ca="1">IF($B55="N/A", "N/A", VLOOKUP($B55, INDIRECT(Config!$B$1), HLOOKUP(Q$1, INDIRECT(Config!$E$1), 2, FALSE),FALSE))</f>
        <v>0</v>
      </c>
    </row>
    <row r="56" spans="1:17" ht="14.55" customHeight="1" x14ac:dyDescent="0.3">
      <c r="A56" s="324"/>
      <c r="B56" s="16" t="s">
        <v>186</v>
      </c>
      <c r="C56" s="206">
        <v>22</v>
      </c>
      <c r="D56" s="206">
        <v>2</v>
      </c>
      <c r="E56" s="207" t="s">
        <v>187</v>
      </c>
      <c r="F56" s="207" t="s">
        <v>188</v>
      </c>
      <c r="G56" s="209" t="s">
        <v>965</v>
      </c>
      <c r="H56" s="209">
        <v>2</v>
      </c>
      <c r="I56" s="209" t="s">
        <v>1031</v>
      </c>
      <c r="J56" s="209">
        <v>0</v>
      </c>
      <c r="K56" s="210"/>
      <c r="L56" s="206" t="s">
        <v>87</v>
      </c>
      <c r="M56" s="206" t="s">
        <v>715</v>
      </c>
      <c r="N56" s="206" t="s">
        <v>448</v>
      </c>
      <c r="O56" s="210">
        <f ca="1">IF($B56="N/A", "N/A", VLOOKUP($B56, INDIRECT(Config!$B$1), HLOOKUP(O$1, INDIRECT(Config!$E$1), 2, FALSE),FALSE))</f>
        <v>1</v>
      </c>
      <c r="P56" s="210">
        <f ca="1">IF($B56="N/A", "N/A", VLOOKUP($B56, INDIRECT(Config!$B$1), HLOOKUP(P$1, INDIRECT(Config!$E$1), 2, FALSE),FALSE))</f>
        <v>0</v>
      </c>
      <c r="Q56" s="210">
        <f ca="1">IF($B56="N/A", "N/A", VLOOKUP($B56, INDIRECT(Config!$B$1), HLOOKUP(Q$1, INDIRECT(Config!$E$1), 2, FALSE),FALSE))</f>
        <v>0</v>
      </c>
    </row>
    <row r="57" spans="1:17" ht="14.55" customHeight="1" x14ac:dyDescent="0.3">
      <c r="A57" s="324"/>
      <c r="B57" s="4" t="s">
        <v>612</v>
      </c>
      <c r="C57" s="206">
        <v>24</v>
      </c>
      <c r="D57" s="206">
        <v>8</v>
      </c>
      <c r="E57" s="207" t="s">
        <v>189</v>
      </c>
      <c r="F57" s="208" t="s">
        <v>190</v>
      </c>
      <c r="G57" s="209" t="s">
        <v>1087</v>
      </c>
      <c r="H57" s="209">
        <v>0</v>
      </c>
      <c r="I57" s="209" t="s">
        <v>1086</v>
      </c>
      <c r="J57" s="209">
        <v>0</v>
      </c>
      <c r="K57" s="210" t="s">
        <v>17</v>
      </c>
      <c r="L57" s="206" t="s">
        <v>87</v>
      </c>
      <c r="M57" s="206" t="s">
        <v>716</v>
      </c>
      <c r="N57" s="206" t="s">
        <v>449</v>
      </c>
      <c r="O57" s="211">
        <f>IF($B57="N/A", "N/A", 1)</f>
        <v>1</v>
      </c>
      <c r="P57" s="211">
        <f>IF($B57="N/A", "N/A", 1)</f>
        <v>1</v>
      </c>
      <c r="Q57" s="211">
        <f>IF($B57="N/A", "N/A", 1)</f>
        <v>1</v>
      </c>
    </row>
    <row r="58" spans="1:17" ht="14.55" customHeight="1" x14ac:dyDescent="0.3">
      <c r="A58" s="324" t="s">
        <v>191</v>
      </c>
      <c r="B58" s="16" t="s">
        <v>394</v>
      </c>
      <c r="C58" s="206">
        <v>0</v>
      </c>
      <c r="D58" s="206">
        <v>15</v>
      </c>
      <c r="E58" s="207" t="s">
        <v>192</v>
      </c>
      <c r="F58" s="208" t="s">
        <v>193</v>
      </c>
      <c r="G58" s="209" t="s">
        <v>966</v>
      </c>
      <c r="H58" s="209" t="s">
        <v>1143</v>
      </c>
      <c r="I58" s="209" t="s">
        <v>1032</v>
      </c>
      <c r="J58" s="209" t="s">
        <v>1143</v>
      </c>
      <c r="K58" s="216" t="s">
        <v>667</v>
      </c>
      <c r="L58" s="206" t="s">
        <v>87</v>
      </c>
      <c r="M58" s="206" t="s">
        <v>717</v>
      </c>
      <c r="N58" s="206" t="s">
        <v>450</v>
      </c>
      <c r="O58" s="210">
        <f ca="1">IF($B58="N/A", "N/A", VLOOKUP($B58, INDIRECT(Config!$B$1), HLOOKUP(O$1, INDIRECT(Config!$E$1), 2, FALSE),FALSE))</f>
        <v>13</v>
      </c>
      <c r="P58" s="210">
        <f ca="1">IF($B58="N/A", "N/A", VLOOKUP($B58, INDIRECT(Config!$B$1), HLOOKUP(P$1, INDIRECT(Config!$E$1), 2, FALSE),FALSE))</f>
        <v>4</v>
      </c>
      <c r="Q58" s="210">
        <f ca="1">IF($B58="N/A", "N/A", VLOOKUP($B58, INDIRECT(Config!$B$1), HLOOKUP(Q$1, INDIRECT(Config!$E$1), 2, FALSE),FALSE))</f>
        <v>5</v>
      </c>
    </row>
    <row r="59" spans="1:17" ht="14.55" customHeight="1" x14ac:dyDescent="0.3">
      <c r="A59" s="324"/>
      <c r="B59" s="16" t="s">
        <v>645</v>
      </c>
      <c r="C59" s="206">
        <v>15</v>
      </c>
      <c r="D59" s="206">
        <v>1</v>
      </c>
      <c r="E59" s="207" t="s">
        <v>194</v>
      </c>
      <c r="F59" s="207" t="s">
        <v>195</v>
      </c>
      <c r="G59" s="209" t="s">
        <v>940</v>
      </c>
      <c r="H59" s="209">
        <v>0</v>
      </c>
      <c r="I59" s="209" t="s">
        <v>1033</v>
      </c>
      <c r="J59" s="209">
        <v>1</v>
      </c>
      <c r="K59" s="216" t="s">
        <v>1107</v>
      </c>
      <c r="L59" s="206" t="s">
        <v>87</v>
      </c>
      <c r="M59" s="206" t="s">
        <v>718</v>
      </c>
      <c r="N59" s="206" t="s">
        <v>451</v>
      </c>
      <c r="O59" s="210">
        <f ca="1">IF($B59="N/A", "N/A", VLOOKUP($B59, INDIRECT(Config!$B$1), HLOOKUP(O$1, INDIRECT(Config!$E$1), 2, FALSE),FALSE))</f>
        <v>1</v>
      </c>
      <c r="P59" s="210">
        <f ca="1">IF($B59="N/A", "N/A", VLOOKUP($B59, INDIRECT(Config!$B$1), HLOOKUP(P$1, INDIRECT(Config!$E$1), 2, FALSE),FALSE))</f>
        <v>0</v>
      </c>
      <c r="Q59" s="210">
        <f ca="1">IF($B59="N/A", "N/A", VLOOKUP($B59, INDIRECT(Config!$B$1), HLOOKUP(Q$1, INDIRECT(Config!$E$1), 2, FALSE),FALSE))</f>
        <v>0</v>
      </c>
    </row>
    <row r="60" spans="1:17" ht="14.55" customHeight="1" x14ac:dyDescent="0.3">
      <c r="A60" s="324"/>
      <c r="B60" s="16" t="s">
        <v>649</v>
      </c>
      <c r="C60" s="206">
        <v>16</v>
      </c>
      <c r="D60" s="206">
        <v>1</v>
      </c>
      <c r="E60" s="207" t="s">
        <v>196</v>
      </c>
      <c r="F60" s="207" t="s">
        <v>197</v>
      </c>
      <c r="G60" s="209" t="s">
        <v>941</v>
      </c>
      <c r="H60" s="209">
        <v>0</v>
      </c>
      <c r="I60" s="209" t="s">
        <v>1034</v>
      </c>
      <c r="J60" s="209">
        <v>0</v>
      </c>
      <c r="K60" s="210"/>
      <c r="L60" s="206" t="s">
        <v>87</v>
      </c>
      <c r="M60" s="206" t="s">
        <v>719</v>
      </c>
      <c r="N60" s="206" t="s">
        <v>452</v>
      </c>
      <c r="O60" s="210">
        <f ca="1">IF($B60="N/A", "N/A", VLOOKUP($B60, INDIRECT(Config!$B$1), HLOOKUP(O$1, INDIRECT(Config!$E$1), 2, FALSE),FALSE))</f>
        <v>1</v>
      </c>
      <c r="P60" s="210">
        <f ca="1">IF($B60="N/A", "N/A", VLOOKUP($B60, INDIRECT(Config!$B$1), HLOOKUP(P$1, INDIRECT(Config!$E$1), 2, FALSE),FALSE))</f>
        <v>0</v>
      </c>
      <c r="Q60" s="210">
        <f ca="1">IF($B60="N/A", "N/A", VLOOKUP($B60, INDIRECT(Config!$B$1), HLOOKUP(Q$1, INDIRECT(Config!$E$1), 2, FALSE),FALSE))</f>
        <v>0</v>
      </c>
    </row>
    <row r="61" spans="1:17" ht="14.55" customHeight="1" x14ac:dyDescent="0.3">
      <c r="A61" s="324"/>
      <c r="B61" s="7" t="s">
        <v>535</v>
      </c>
      <c r="C61" s="206">
        <v>17</v>
      </c>
      <c r="D61" s="206">
        <v>1</v>
      </c>
      <c r="E61" s="218" t="s">
        <v>237</v>
      </c>
      <c r="F61" s="206" t="s">
        <v>198</v>
      </c>
      <c r="G61" s="209" t="s">
        <v>942</v>
      </c>
      <c r="H61" s="209">
        <v>0</v>
      </c>
      <c r="I61" s="209" t="s">
        <v>1035</v>
      </c>
      <c r="J61" s="209">
        <v>0</v>
      </c>
      <c r="K61" s="206"/>
      <c r="L61" s="206" t="s">
        <v>87</v>
      </c>
      <c r="M61" s="206" t="s">
        <v>805</v>
      </c>
      <c r="N61" s="206" t="s">
        <v>543</v>
      </c>
      <c r="O61" s="210">
        <f ca="1">IF($B61="N/A", "N/A", VLOOKUP($B61, INDIRECT(Config!$B$1), HLOOKUP(O$1, INDIRECT(Config!$E$1), 2, FALSE),FALSE))</f>
        <v>0</v>
      </c>
      <c r="P61" s="210">
        <f ca="1">IF($B61="N/A", "N/A", VLOOKUP($B61, INDIRECT(Config!$B$1), HLOOKUP(P$1, INDIRECT(Config!$E$1), 2, FALSE),FALSE))</f>
        <v>0</v>
      </c>
      <c r="Q61" s="210">
        <f ca="1">IF($B61="N/A", "N/A", VLOOKUP($B61, INDIRECT(Config!$B$1), HLOOKUP(Q$1, INDIRECT(Config!$E$1), 2, FALSE),FALSE))</f>
        <v>1</v>
      </c>
    </row>
    <row r="62" spans="1:17" ht="14.55" customHeight="1" x14ac:dyDescent="0.3">
      <c r="A62" s="324"/>
      <c r="B62" s="4" t="s">
        <v>612</v>
      </c>
      <c r="C62" s="206">
        <v>18</v>
      </c>
      <c r="D62" s="206">
        <v>3</v>
      </c>
      <c r="E62" s="207" t="s">
        <v>199</v>
      </c>
      <c r="F62" s="208" t="s">
        <v>200</v>
      </c>
      <c r="G62" s="209" t="s">
        <v>968</v>
      </c>
      <c r="H62" s="209">
        <v>0</v>
      </c>
      <c r="I62" s="209" t="s">
        <v>1036</v>
      </c>
      <c r="J62" s="209">
        <v>0</v>
      </c>
      <c r="K62" s="210"/>
      <c r="L62" s="206" t="s">
        <v>87</v>
      </c>
      <c r="M62" s="206" t="s">
        <v>721</v>
      </c>
      <c r="N62" s="206" t="s">
        <v>453</v>
      </c>
      <c r="O62" s="211">
        <f>IF($B62="N/A", "N/A", 1)</f>
        <v>1</v>
      </c>
      <c r="P62" s="211">
        <f>IF($B62="N/A", "N/A", 1)</f>
        <v>1</v>
      </c>
      <c r="Q62" s="211">
        <f>IF($B62="N/A", "N/A", 1)</f>
        <v>1</v>
      </c>
    </row>
    <row r="63" spans="1:17" ht="14.55" customHeight="1" x14ac:dyDescent="0.3">
      <c r="A63" s="324"/>
      <c r="B63" s="2" t="s">
        <v>48</v>
      </c>
      <c r="C63" s="208">
        <v>21</v>
      </c>
      <c r="D63" s="208">
        <v>1</v>
      </c>
      <c r="E63" s="208"/>
      <c r="F63" s="206" t="s">
        <v>1131</v>
      </c>
      <c r="G63" s="215" t="s">
        <v>1132</v>
      </c>
      <c r="H63" s="215">
        <v>0</v>
      </c>
      <c r="I63" s="215" t="s">
        <v>1133</v>
      </c>
      <c r="J63" s="215">
        <v>0</v>
      </c>
      <c r="K63" s="210"/>
      <c r="L63" s="206"/>
      <c r="M63" s="206" t="s">
        <v>1134</v>
      </c>
      <c r="N63" s="206" t="s">
        <v>459</v>
      </c>
      <c r="O63" s="211" t="str">
        <f ca="1">IF($B63="N/A", "N/A", VLOOKUP($B63, INDIRECT(Config!$B$1), HLOOKUP(O$1, INDIRECT(Config!$E$1), 2, FALSE),FALSE))</f>
        <v>N/A</v>
      </c>
      <c r="P63" s="211" t="str">
        <f ca="1">IF($B63="N/A", "N/A", VLOOKUP($B63, INDIRECT(Config!$B$1), HLOOKUP(P$1, INDIRECT(Config!$E$1), 2, FALSE),FALSE))</f>
        <v>N/A</v>
      </c>
      <c r="Q63" s="211" t="str">
        <f ca="1">IF($B63="N/A", "N/A", VLOOKUP($B63, INDIRECT(Config!$B$1), HLOOKUP(Q$1, INDIRECT(Config!$E$1), 2, FALSE),FALSE))</f>
        <v>N/A</v>
      </c>
    </row>
    <row r="64" spans="1:17" s="15" customFormat="1" ht="14.55" customHeight="1" x14ac:dyDescent="0.3">
      <c r="A64" s="324"/>
      <c r="B64" s="2" t="s">
        <v>48</v>
      </c>
      <c r="C64" s="208">
        <v>22</v>
      </c>
      <c r="D64" s="208">
        <v>1</v>
      </c>
      <c r="E64" s="208"/>
      <c r="F64" s="206" t="s">
        <v>1135</v>
      </c>
      <c r="G64" s="215" t="s">
        <v>1137</v>
      </c>
      <c r="H64" s="215">
        <v>0</v>
      </c>
      <c r="I64" s="215" t="s">
        <v>1139</v>
      </c>
      <c r="J64" s="215">
        <v>0</v>
      </c>
      <c r="K64" s="210"/>
      <c r="L64" s="206"/>
      <c r="M64" s="206" t="s">
        <v>1141</v>
      </c>
      <c r="N64" s="206" t="s">
        <v>459</v>
      </c>
      <c r="O64" s="211" t="str">
        <f ca="1">IF($B64="N/A", "N/A", VLOOKUP($B64, INDIRECT(Config!$B$1), HLOOKUP(O$1, INDIRECT(Config!$E$1), 2, FALSE),FALSE))</f>
        <v>N/A</v>
      </c>
      <c r="P64" s="211" t="str">
        <f ca="1">IF($B64="N/A", "N/A", VLOOKUP($B64, INDIRECT(Config!$B$1), HLOOKUP(P$1, INDIRECT(Config!$E$1), 2, FALSE),FALSE))</f>
        <v>N/A</v>
      </c>
      <c r="Q64" s="211" t="str">
        <f ca="1">IF($B64="N/A", "N/A", VLOOKUP($B64, INDIRECT(Config!$B$1), HLOOKUP(Q$1, INDIRECT(Config!$E$1), 2, FALSE),FALSE))</f>
        <v>N/A</v>
      </c>
    </row>
    <row r="65" spans="1:17" s="15" customFormat="1" ht="14.55" customHeight="1" x14ac:dyDescent="0.3">
      <c r="A65" s="324"/>
      <c r="B65" s="2" t="s">
        <v>48</v>
      </c>
      <c r="C65" s="208">
        <v>23</v>
      </c>
      <c r="D65" s="208">
        <v>1</v>
      </c>
      <c r="E65" s="208"/>
      <c r="F65" s="206" t="s">
        <v>1136</v>
      </c>
      <c r="G65" s="215" t="s">
        <v>1138</v>
      </c>
      <c r="H65" s="215">
        <v>0</v>
      </c>
      <c r="I65" s="215" t="s">
        <v>1140</v>
      </c>
      <c r="J65" s="215">
        <v>0</v>
      </c>
      <c r="K65" s="210"/>
      <c r="L65" s="206"/>
      <c r="M65" s="206" t="s">
        <v>1142</v>
      </c>
      <c r="N65" s="206" t="s">
        <v>459</v>
      </c>
      <c r="O65" s="211" t="str">
        <f ca="1">IF($B65="N/A", "N/A", VLOOKUP($B65, INDIRECT(Config!$B$1), HLOOKUP(O$1, INDIRECT(Config!$E$1), 2, FALSE),FALSE))</f>
        <v>N/A</v>
      </c>
      <c r="P65" s="211" t="str">
        <f ca="1">IF($B65="N/A", "N/A", VLOOKUP($B65, INDIRECT(Config!$B$1), HLOOKUP(P$1, INDIRECT(Config!$E$1), 2, FALSE),FALSE))</f>
        <v>N/A</v>
      </c>
      <c r="Q65" s="211" t="str">
        <f ca="1">IF($B65="N/A", "N/A", VLOOKUP($B65, INDIRECT(Config!$B$1), HLOOKUP(Q$1, INDIRECT(Config!$E$1), 2, FALSE),FALSE))</f>
        <v>N/A</v>
      </c>
    </row>
    <row r="66" spans="1:17" ht="14.55" customHeight="1" x14ac:dyDescent="0.3">
      <c r="A66" s="324"/>
      <c r="B66" s="4" t="s">
        <v>612</v>
      </c>
      <c r="C66" s="206">
        <v>24</v>
      </c>
      <c r="D66" s="206">
        <v>4</v>
      </c>
      <c r="E66" s="207" t="s">
        <v>201</v>
      </c>
      <c r="F66" s="208" t="s">
        <v>202</v>
      </c>
      <c r="G66" s="209" t="s">
        <v>969</v>
      </c>
      <c r="H66" s="209">
        <v>0</v>
      </c>
      <c r="I66" s="209" t="s">
        <v>1037</v>
      </c>
      <c r="J66" s="209">
        <v>0</v>
      </c>
      <c r="K66" s="210"/>
      <c r="L66" s="206" t="s">
        <v>87</v>
      </c>
      <c r="M66" s="206" t="s">
        <v>725</v>
      </c>
      <c r="N66" s="206" t="s">
        <v>453</v>
      </c>
      <c r="O66" s="211">
        <f t="shared" ref="O66:Q67" si="3">IF($B66="N/A", "N/A", 1)</f>
        <v>1</v>
      </c>
      <c r="P66" s="211">
        <f t="shared" si="3"/>
        <v>1</v>
      </c>
      <c r="Q66" s="211">
        <f t="shared" si="3"/>
        <v>1</v>
      </c>
    </row>
    <row r="67" spans="1:17" ht="14.55" customHeight="1" x14ac:dyDescent="0.3">
      <c r="A67" s="324"/>
      <c r="B67" s="4" t="s">
        <v>612</v>
      </c>
      <c r="C67" s="206">
        <v>28</v>
      </c>
      <c r="D67" s="206">
        <v>4</v>
      </c>
      <c r="E67" s="207" t="s">
        <v>203</v>
      </c>
      <c r="F67" s="208" t="s">
        <v>204</v>
      </c>
      <c r="G67" s="209" t="s">
        <v>970</v>
      </c>
      <c r="H67" s="209">
        <v>0</v>
      </c>
      <c r="I67" s="209" t="s">
        <v>1038</v>
      </c>
      <c r="J67" s="209">
        <v>0</v>
      </c>
      <c r="K67" s="210"/>
      <c r="L67" s="206" t="s">
        <v>87</v>
      </c>
      <c r="M67" s="206" t="s">
        <v>726</v>
      </c>
      <c r="N67" s="206" t="s">
        <v>453</v>
      </c>
      <c r="O67" s="211">
        <f t="shared" si="3"/>
        <v>1</v>
      </c>
      <c r="P67" s="211">
        <f t="shared" si="3"/>
        <v>1</v>
      </c>
      <c r="Q67" s="211">
        <f t="shared" si="3"/>
        <v>1</v>
      </c>
    </row>
    <row r="68" spans="1:17" ht="14.55" customHeight="1" x14ac:dyDescent="0.3">
      <c r="A68" s="324" t="s">
        <v>32</v>
      </c>
      <c r="B68" s="4" t="s">
        <v>612</v>
      </c>
      <c r="C68" s="206">
        <v>0</v>
      </c>
      <c r="D68" s="206">
        <v>1</v>
      </c>
      <c r="E68" s="221" t="s">
        <v>1128</v>
      </c>
      <c r="F68" s="207" t="s">
        <v>206</v>
      </c>
      <c r="G68" s="209" t="s">
        <v>943</v>
      </c>
      <c r="H68" s="209">
        <v>0</v>
      </c>
      <c r="I68" s="209" t="s">
        <v>1039</v>
      </c>
      <c r="J68" s="209">
        <v>1</v>
      </c>
      <c r="K68" s="216" t="s">
        <v>1107</v>
      </c>
      <c r="L68" s="206" t="s">
        <v>66</v>
      </c>
      <c r="M68" s="206" t="s">
        <v>727</v>
      </c>
      <c r="N68" s="217" t="s">
        <v>454</v>
      </c>
      <c r="O68" s="211">
        <f t="shared" ref="O68:Q70" si="4">IF($B68="N/A", "N/A", 1)</f>
        <v>1</v>
      </c>
      <c r="P68" s="211">
        <f t="shared" si="4"/>
        <v>1</v>
      </c>
      <c r="Q68" s="211">
        <f t="shared" si="4"/>
        <v>1</v>
      </c>
    </row>
    <row r="69" spans="1:17" ht="14.55" customHeight="1" x14ac:dyDescent="0.3">
      <c r="A69" s="324"/>
      <c r="B69" s="4" t="s">
        <v>612</v>
      </c>
      <c r="C69" s="206">
        <v>1</v>
      </c>
      <c r="D69" s="206">
        <v>1</v>
      </c>
      <c r="E69" s="221" t="s">
        <v>1129</v>
      </c>
      <c r="F69" s="207" t="s">
        <v>207</v>
      </c>
      <c r="G69" s="209" t="s">
        <v>944</v>
      </c>
      <c r="H69" s="209">
        <v>0</v>
      </c>
      <c r="I69" s="209" t="s">
        <v>1040</v>
      </c>
      <c r="J69" s="209">
        <v>0</v>
      </c>
      <c r="K69" s="216" t="s">
        <v>1107</v>
      </c>
      <c r="L69" s="206" t="s">
        <v>66</v>
      </c>
      <c r="M69" s="206" t="s">
        <v>728</v>
      </c>
      <c r="N69" s="206" t="s">
        <v>455</v>
      </c>
      <c r="O69" s="211">
        <f t="shared" si="4"/>
        <v>1</v>
      </c>
      <c r="P69" s="211">
        <f t="shared" si="4"/>
        <v>1</v>
      </c>
      <c r="Q69" s="211">
        <f t="shared" si="4"/>
        <v>1</v>
      </c>
    </row>
    <row r="70" spans="1:17" ht="14.55" customHeight="1" x14ac:dyDescent="0.3">
      <c r="A70" s="324"/>
      <c r="B70" s="4" t="s">
        <v>612</v>
      </c>
      <c r="C70" s="206">
        <v>2</v>
      </c>
      <c r="D70" s="206">
        <v>1</v>
      </c>
      <c r="E70" s="221" t="s">
        <v>1130</v>
      </c>
      <c r="F70" s="207" t="s">
        <v>208</v>
      </c>
      <c r="G70" s="209" t="s">
        <v>945</v>
      </c>
      <c r="H70" s="209">
        <v>0</v>
      </c>
      <c r="I70" s="209" t="s">
        <v>1041</v>
      </c>
      <c r="J70" s="209">
        <v>0</v>
      </c>
      <c r="K70" s="216" t="s">
        <v>1107</v>
      </c>
      <c r="L70" s="206" t="s">
        <v>66</v>
      </c>
      <c r="M70" s="206" t="s">
        <v>729</v>
      </c>
      <c r="N70" s="217" t="s">
        <v>456</v>
      </c>
      <c r="O70" s="211">
        <f t="shared" si="4"/>
        <v>1</v>
      </c>
      <c r="P70" s="211">
        <f t="shared" si="4"/>
        <v>1</v>
      </c>
      <c r="Q70" s="211">
        <f t="shared" si="4"/>
        <v>1</v>
      </c>
    </row>
    <row r="71" spans="1:17" ht="14.55" customHeight="1" x14ac:dyDescent="0.3">
      <c r="A71" s="324"/>
      <c r="B71" s="4" t="s">
        <v>612</v>
      </c>
      <c r="C71" s="206">
        <v>3</v>
      </c>
      <c r="D71" s="206">
        <v>1</v>
      </c>
      <c r="E71" s="207" t="s">
        <v>209</v>
      </c>
      <c r="F71" s="208" t="s">
        <v>210</v>
      </c>
      <c r="G71" s="209" t="s">
        <v>946</v>
      </c>
      <c r="H71" s="209">
        <v>0</v>
      </c>
      <c r="I71" s="209" t="s">
        <v>1042</v>
      </c>
      <c r="J71" s="209">
        <v>1</v>
      </c>
      <c r="K71" s="216" t="s">
        <v>667</v>
      </c>
      <c r="L71" s="206" t="s">
        <v>69</v>
      </c>
      <c r="M71" s="206" t="s">
        <v>730</v>
      </c>
      <c r="N71" s="206" t="s">
        <v>526</v>
      </c>
      <c r="O71" s="211">
        <f t="shared" ref="O71:Q72" si="5">IF($B71="N/A", "N/A", 1)</f>
        <v>1</v>
      </c>
      <c r="P71" s="211">
        <f t="shared" si="5"/>
        <v>1</v>
      </c>
      <c r="Q71" s="211">
        <f t="shared" si="5"/>
        <v>1</v>
      </c>
    </row>
    <row r="72" spans="1:17" ht="14.55" customHeight="1" x14ac:dyDescent="0.3">
      <c r="A72" s="324"/>
      <c r="B72" s="4" t="s">
        <v>612</v>
      </c>
      <c r="C72" s="206">
        <v>4</v>
      </c>
      <c r="D72" s="206">
        <v>1</v>
      </c>
      <c r="E72" s="207" t="s">
        <v>211</v>
      </c>
      <c r="F72" s="208" t="s">
        <v>212</v>
      </c>
      <c r="G72" s="209" t="s">
        <v>947</v>
      </c>
      <c r="H72" s="209">
        <v>0</v>
      </c>
      <c r="I72" s="209" t="s">
        <v>1043</v>
      </c>
      <c r="J72" s="209">
        <v>0</v>
      </c>
      <c r="K72" s="216" t="s">
        <v>1107</v>
      </c>
      <c r="L72" s="206" t="s">
        <v>69</v>
      </c>
      <c r="M72" s="206" t="s">
        <v>731</v>
      </c>
      <c r="N72" s="206" t="s">
        <v>527</v>
      </c>
      <c r="O72" s="211">
        <f t="shared" si="5"/>
        <v>1</v>
      </c>
      <c r="P72" s="211">
        <f t="shared" si="5"/>
        <v>1</v>
      </c>
      <c r="Q72" s="211">
        <f t="shared" si="5"/>
        <v>1</v>
      </c>
    </row>
    <row r="73" spans="1:17" ht="14.55" customHeight="1" x14ac:dyDescent="0.3">
      <c r="A73" s="324"/>
      <c r="B73" s="2" t="s">
        <v>48</v>
      </c>
      <c r="C73" s="208">
        <v>5</v>
      </c>
      <c r="D73" s="208">
        <v>1</v>
      </c>
      <c r="E73" s="208"/>
      <c r="F73" s="206" t="s">
        <v>213</v>
      </c>
      <c r="G73" s="215" t="s">
        <v>948</v>
      </c>
      <c r="H73" s="215">
        <v>0</v>
      </c>
      <c r="I73" s="215" t="s">
        <v>1044</v>
      </c>
      <c r="J73" s="215">
        <v>0</v>
      </c>
      <c r="K73" s="216" t="s">
        <v>1107</v>
      </c>
      <c r="L73" s="206"/>
      <c r="M73" s="206" t="s">
        <v>787</v>
      </c>
      <c r="N73" s="206" t="s">
        <v>459</v>
      </c>
      <c r="O73" s="211" t="str">
        <f ca="1">IF($B73="N/A", "N/A", VLOOKUP($B73, INDIRECT(Config!$B$1), HLOOKUP(O$1, INDIRECT(Config!$E$1), 2, FALSE),FALSE))</f>
        <v>N/A</v>
      </c>
      <c r="P73" s="211" t="str">
        <f ca="1">IF($B73="N/A", "N/A", VLOOKUP($B73, INDIRECT(Config!$B$1), HLOOKUP(P$1, INDIRECT(Config!$E$1), 2, FALSE),FALSE))</f>
        <v>N/A</v>
      </c>
      <c r="Q73" s="211" t="str">
        <f ca="1">IF($B73="N/A", "N/A", VLOOKUP($B73, INDIRECT(Config!$B$1), HLOOKUP(Q$1, INDIRECT(Config!$E$1), 2, FALSE),FALSE))</f>
        <v>N/A</v>
      </c>
    </row>
    <row r="74" spans="1:17" ht="14.55" customHeight="1" x14ac:dyDescent="0.3">
      <c r="A74" s="324"/>
      <c r="B74" s="2" t="s">
        <v>214</v>
      </c>
      <c r="C74" s="208">
        <v>6</v>
      </c>
      <c r="D74" s="208">
        <v>1</v>
      </c>
      <c r="E74" s="208" t="s">
        <v>215</v>
      </c>
      <c r="F74" s="207" t="s">
        <v>216</v>
      </c>
      <c r="G74" s="209" t="s">
        <v>949</v>
      </c>
      <c r="H74" s="209">
        <v>1</v>
      </c>
      <c r="I74" s="209" t="s">
        <v>1045</v>
      </c>
      <c r="J74" s="209">
        <v>0</v>
      </c>
      <c r="K74" s="216" t="s">
        <v>1107</v>
      </c>
      <c r="L74" s="206" t="s">
        <v>66</v>
      </c>
      <c r="M74" s="206" t="s">
        <v>732</v>
      </c>
      <c r="N74" s="206" t="s">
        <v>528</v>
      </c>
      <c r="O74" s="210">
        <f ca="1">IF($B74="N/A", "N/A", VLOOKUP($B74, INDIRECT(Config!$B$1), HLOOKUP(O$1, INDIRECT(Config!$E$1), 2, FALSE),FALSE))</f>
        <v>0</v>
      </c>
      <c r="P74" s="210">
        <f ca="1">IF($B74="N/A", "N/A", VLOOKUP($B74, INDIRECT(Config!$B$1), HLOOKUP(P$1, INDIRECT(Config!$E$1), 2, FALSE),FALSE))</f>
        <v>0</v>
      </c>
      <c r="Q74" s="210">
        <f ca="1">IF($B74="N/A", "N/A", VLOOKUP($B74, INDIRECT(Config!$B$1), HLOOKUP(Q$1, INDIRECT(Config!$E$1), 2, FALSE),FALSE))</f>
        <v>0</v>
      </c>
    </row>
    <row r="75" spans="1:17" ht="14.55" customHeight="1" x14ac:dyDescent="0.3">
      <c r="A75" s="324"/>
      <c r="B75" s="2" t="s">
        <v>214</v>
      </c>
      <c r="C75" s="208">
        <v>7</v>
      </c>
      <c r="D75" s="208">
        <v>1</v>
      </c>
      <c r="E75" s="208" t="s">
        <v>217</v>
      </c>
      <c r="F75" s="206" t="s">
        <v>218</v>
      </c>
      <c r="G75" s="209" t="s">
        <v>950</v>
      </c>
      <c r="H75" s="209">
        <v>1</v>
      </c>
      <c r="I75" s="209" t="s">
        <v>1046</v>
      </c>
      <c r="J75" s="209">
        <v>0</v>
      </c>
      <c r="K75" s="216" t="s">
        <v>1107</v>
      </c>
      <c r="L75" s="206" t="s">
        <v>66</v>
      </c>
      <c r="M75" s="206" t="s">
        <v>733</v>
      </c>
      <c r="N75" s="206" t="s">
        <v>529</v>
      </c>
      <c r="O75" s="210">
        <f ca="1">IF($B75="N/A", "N/A", VLOOKUP($B75, INDIRECT(Config!$B$1), HLOOKUP(O$1, INDIRECT(Config!$E$1), 2, FALSE),FALSE))</f>
        <v>0</v>
      </c>
      <c r="P75" s="210">
        <f ca="1">IF($B75="N/A", "N/A", VLOOKUP($B75, INDIRECT(Config!$B$1), HLOOKUP(P$1, INDIRECT(Config!$E$1), 2, FALSE),FALSE))</f>
        <v>0</v>
      </c>
      <c r="Q75" s="210">
        <f ca="1">IF($B75="N/A", "N/A", VLOOKUP($B75, INDIRECT(Config!$B$1), HLOOKUP(Q$1, INDIRECT(Config!$E$1), 2, FALSE),FALSE))</f>
        <v>0</v>
      </c>
    </row>
    <row r="76" spans="1:17" ht="14.55" customHeight="1" x14ac:dyDescent="0.3">
      <c r="A76" s="324"/>
      <c r="B76" s="4" t="s">
        <v>612</v>
      </c>
      <c r="C76" s="206">
        <v>8</v>
      </c>
      <c r="D76" s="206">
        <v>1</v>
      </c>
      <c r="E76" s="207" t="s">
        <v>219</v>
      </c>
      <c r="F76" s="208" t="s">
        <v>220</v>
      </c>
      <c r="G76" s="209" t="s">
        <v>951</v>
      </c>
      <c r="H76" s="209">
        <v>0</v>
      </c>
      <c r="I76" s="209" t="s">
        <v>1047</v>
      </c>
      <c r="J76" s="209">
        <v>0</v>
      </c>
      <c r="K76" s="216" t="s">
        <v>667</v>
      </c>
      <c r="L76" s="206" t="s">
        <v>69</v>
      </c>
      <c r="M76" s="206" t="s">
        <v>734</v>
      </c>
      <c r="N76" s="206" t="s">
        <v>530</v>
      </c>
      <c r="O76" s="211">
        <f>IF($B76="N/A", "N/A", 1)</f>
        <v>1</v>
      </c>
      <c r="P76" s="211">
        <f>IF($B76="N/A", "N/A", 1)</f>
        <v>1</v>
      </c>
      <c r="Q76" s="211">
        <f>IF($B76="N/A", "N/A", 1)</f>
        <v>1</v>
      </c>
    </row>
    <row r="77" spans="1:17" ht="14.55" customHeight="1" x14ac:dyDescent="0.3">
      <c r="A77" s="324"/>
      <c r="B77" s="16" t="s">
        <v>221</v>
      </c>
      <c r="C77" s="206">
        <v>9</v>
      </c>
      <c r="D77" s="206">
        <v>7</v>
      </c>
      <c r="E77" s="207" t="s">
        <v>222</v>
      </c>
      <c r="F77" s="207" t="s">
        <v>223</v>
      </c>
      <c r="G77" s="209" t="s">
        <v>967</v>
      </c>
      <c r="H77" s="209">
        <v>0</v>
      </c>
      <c r="I77" s="209" t="s">
        <v>1048</v>
      </c>
      <c r="J77" s="209">
        <v>0</v>
      </c>
      <c r="K77" s="216" t="s">
        <v>1107</v>
      </c>
      <c r="L77" s="206" t="s">
        <v>87</v>
      </c>
      <c r="M77" s="206" t="s">
        <v>735</v>
      </c>
      <c r="N77" s="206" t="s">
        <v>531</v>
      </c>
      <c r="O77" s="210">
        <f ca="1">IF($B77="N/A", "N/A", VLOOKUP($B77, INDIRECT(Config!$B$1), HLOOKUP(O$1, INDIRECT(Config!$E$1), 2, FALSE),FALSE))</f>
        <v>0</v>
      </c>
      <c r="P77" s="210">
        <f ca="1">IF($B77="N/A", "N/A", VLOOKUP($B77, INDIRECT(Config!$B$1), HLOOKUP(P$1, INDIRECT(Config!$E$1), 2, FALSE),FALSE))</f>
        <v>0</v>
      </c>
      <c r="Q77" s="210">
        <f ca="1">IF($B77="N/A", "N/A", VLOOKUP($B77, INDIRECT(Config!$B$1), HLOOKUP(Q$1, INDIRECT(Config!$E$1), 2, FALSE),FALSE))</f>
        <v>0</v>
      </c>
    </row>
    <row r="78" spans="1:17" ht="14.55" customHeight="1" x14ac:dyDescent="0.3">
      <c r="A78" s="324"/>
      <c r="B78" s="16" t="s">
        <v>224</v>
      </c>
      <c r="C78" s="206">
        <v>16</v>
      </c>
      <c r="D78" s="206">
        <v>1</v>
      </c>
      <c r="E78" s="207" t="s">
        <v>225</v>
      </c>
      <c r="F78" s="207" t="s">
        <v>226</v>
      </c>
      <c r="G78" s="209" t="s">
        <v>952</v>
      </c>
      <c r="H78" s="209">
        <v>0</v>
      </c>
      <c r="I78" s="209" t="s">
        <v>1049</v>
      </c>
      <c r="J78" s="209">
        <v>0</v>
      </c>
      <c r="K78" s="210" t="s">
        <v>17</v>
      </c>
      <c r="L78" s="206" t="s">
        <v>87</v>
      </c>
      <c r="M78" s="206" t="s">
        <v>736</v>
      </c>
      <c r="N78" s="206" t="s">
        <v>532</v>
      </c>
      <c r="O78" s="210">
        <f ca="1">IF($B78="N/A","N/A",IF(0=VLOOKUP($B78,INDIRECT(Config!$B$1),HLOOKUP(O$1,INDIRECT(Config!$E$1),2,FALSE),FALSE),0,1))</f>
        <v>1</v>
      </c>
      <c r="P78" s="210">
        <f ca="1">IF($B78="N/A","N/A",IF(0=VLOOKUP($B78,INDIRECT(Config!$B$1),HLOOKUP(P$1,INDIRECT(Config!$E$1),2,FALSE),FALSE),0,1))</f>
        <v>0</v>
      </c>
      <c r="Q78" s="210">
        <f ca="1">IF($B78="N/A","N/A",IF(0=VLOOKUP($B78,INDIRECT(Config!$B$1),HLOOKUP(Q$1,INDIRECT(Config!$E$1),2,FALSE),FALSE),0,1))</f>
        <v>0</v>
      </c>
    </row>
    <row r="79" spans="1:17" ht="14.55" customHeight="1" x14ac:dyDescent="0.3">
      <c r="A79" s="324"/>
      <c r="B79" s="4" t="s">
        <v>612</v>
      </c>
      <c r="C79" s="206">
        <v>17</v>
      </c>
      <c r="D79" s="206">
        <v>1</v>
      </c>
      <c r="E79" s="207" t="s">
        <v>673</v>
      </c>
      <c r="F79" s="208" t="s">
        <v>227</v>
      </c>
      <c r="G79" s="209" t="s">
        <v>953</v>
      </c>
      <c r="H79" s="209">
        <v>0</v>
      </c>
      <c r="I79" s="209" t="s">
        <v>1050</v>
      </c>
      <c r="J79" s="209">
        <v>1</v>
      </c>
      <c r="K79" s="210" t="s">
        <v>17</v>
      </c>
      <c r="L79" s="206" t="s">
        <v>87</v>
      </c>
      <c r="M79" s="206" t="s">
        <v>804</v>
      </c>
      <c r="N79" s="206" t="s">
        <v>674</v>
      </c>
      <c r="O79" s="211">
        <f>IF($B79="N/A", "N/A", 1)</f>
        <v>1</v>
      </c>
      <c r="P79" s="211">
        <f>IF($B79="N/A", "N/A", 1)</f>
        <v>1</v>
      </c>
      <c r="Q79" s="211">
        <f>IF($B79="N/A", "N/A", 1)</f>
        <v>1</v>
      </c>
    </row>
    <row r="80" spans="1:17" ht="14.55" customHeight="1" x14ac:dyDescent="0.3">
      <c r="A80" s="324"/>
      <c r="B80" s="2" t="s">
        <v>100</v>
      </c>
      <c r="C80" s="208">
        <v>18</v>
      </c>
      <c r="D80" s="208">
        <v>1</v>
      </c>
      <c r="E80" s="208" t="s">
        <v>228</v>
      </c>
      <c r="F80" s="207" t="s">
        <v>229</v>
      </c>
      <c r="G80" s="209" t="s">
        <v>954</v>
      </c>
      <c r="H80" s="209">
        <v>0</v>
      </c>
      <c r="I80" s="209" t="s">
        <v>1051</v>
      </c>
      <c r="J80" s="209">
        <v>0</v>
      </c>
      <c r="K80" s="210" t="s">
        <v>17</v>
      </c>
      <c r="L80" s="206" t="s">
        <v>66</v>
      </c>
      <c r="M80" s="206" t="s">
        <v>737</v>
      </c>
      <c r="N80" s="206" t="s">
        <v>536</v>
      </c>
      <c r="O80" s="210">
        <f ca="1">IF($B80="N/A", "N/A", VLOOKUP($B80, INDIRECT(Config!$B$1), HLOOKUP(O$1, INDIRECT(Config!$E$1), 2, FALSE),FALSE))</f>
        <v>0</v>
      </c>
      <c r="P80" s="210">
        <f ca="1">IF($B80="N/A", "N/A", VLOOKUP($B80, INDIRECT(Config!$B$1), HLOOKUP(P$1, INDIRECT(Config!$E$1), 2, FALSE),FALSE))</f>
        <v>0</v>
      </c>
      <c r="Q80" s="210">
        <f ca="1">IF($B80="N/A", "N/A", VLOOKUP($B80, INDIRECT(Config!$B$1), HLOOKUP(Q$1, INDIRECT(Config!$E$1), 2, FALSE),FALSE))</f>
        <v>0</v>
      </c>
    </row>
    <row r="81" spans="1:17" ht="14.55" customHeight="1" x14ac:dyDescent="0.3">
      <c r="A81" s="324"/>
      <c r="B81" s="2" t="s">
        <v>100</v>
      </c>
      <c r="C81" s="208">
        <v>19</v>
      </c>
      <c r="D81" s="208">
        <v>1</v>
      </c>
      <c r="E81" s="208" t="s">
        <v>230</v>
      </c>
      <c r="F81" s="207" t="s">
        <v>231</v>
      </c>
      <c r="G81" s="209" t="s">
        <v>955</v>
      </c>
      <c r="H81" s="209">
        <v>0</v>
      </c>
      <c r="I81" s="209" t="s">
        <v>1052</v>
      </c>
      <c r="J81" s="209">
        <v>0</v>
      </c>
      <c r="K81" s="210" t="s">
        <v>17</v>
      </c>
      <c r="L81" s="206" t="s">
        <v>66</v>
      </c>
      <c r="M81" s="206" t="s">
        <v>738</v>
      </c>
      <c r="N81" s="206" t="s">
        <v>537</v>
      </c>
      <c r="O81" s="210">
        <f ca="1">IF($B81="N/A", "N/A", VLOOKUP($B81, INDIRECT(Config!$B$1), HLOOKUP(O$1, INDIRECT(Config!$E$1), 2, FALSE),FALSE))</f>
        <v>0</v>
      </c>
      <c r="P81" s="210">
        <f ca="1">IF($B81="N/A", "N/A", VLOOKUP($B81, INDIRECT(Config!$B$1), HLOOKUP(P$1, INDIRECT(Config!$E$1), 2, FALSE),FALSE))</f>
        <v>0</v>
      </c>
      <c r="Q81" s="210">
        <f ca="1">IF($B81="N/A", "N/A", VLOOKUP($B81, INDIRECT(Config!$B$1), HLOOKUP(Q$1, INDIRECT(Config!$E$1), 2, FALSE),FALSE))</f>
        <v>0</v>
      </c>
    </row>
    <row r="82" spans="1:17" ht="14.55" customHeight="1" x14ac:dyDescent="0.3">
      <c r="A82" s="324"/>
      <c r="B82" s="2" t="s">
        <v>100</v>
      </c>
      <c r="C82" s="208">
        <v>20</v>
      </c>
      <c r="D82" s="208">
        <v>1</v>
      </c>
      <c r="E82" s="208" t="s">
        <v>232</v>
      </c>
      <c r="F82" s="207" t="s">
        <v>233</v>
      </c>
      <c r="G82" s="209" t="s">
        <v>956</v>
      </c>
      <c r="H82" s="209">
        <v>0</v>
      </c>
      <c r="I82" s="209" t="s">
        <v>1053</v>
      </c>
      <c r="J82" s="209">
        <v>0</v>
      </c>
      <c r="K82" s="210" t="s">
        <v>17</v>
      </c>
      <c r="L82" s="206" t="s">
        <v>66</v>
      </c>
      <c r="M82" s="206" t="s">
        <v>739</v>
      </c>
      <c r="N82" s="206" t="s">
        <v>538</v>
      </c>
      <c r="O82" s="210">
        <f ca="1">IF($B82="N/A", "N/A", VLOOKUP($B82, INDIRECT(Config!$B$1), HLOOKUP(O$1, INDIRECT(Config!$E$1), 2, FALSE),FALSE))</f>
        <v>0</v>
      </c>
      <c r="P82" s="210">
        <f ca="1">IF($B82="N/A", "N/A", VLOOKUP($B82, INDIRECT(Config!$B$1), HLOOKUP(P$1, INDIRECT(Config!$E$1), 2, FALSE),FALSE))</f>
        <v>0</v>
      </c>
      <c r="Q82" s="210">
        <f ca="1">IF($B82="N/A", "N/A", VLOOKUP($B82, INDIRECT(Config!$B$1), HLOOKUP(Q$1, INDIRECT(Config!$E$1), 2, FALSE),FALSE))</f>
        <v>0</v>
      </c>
    </row>
    <row r="83" spans="1:17" ht="14.55" customHeight="1" x14ac:dyDescent="0.3">
      <c r="A83" s="324"/>
      <c r="B83" s="3" t="s">
        <v>234</v>
      </c>
      <c r="C83" s="206">
        <v>21</v>
      </c>
      <c r="D83" s="206">
        <v>1</v>
      </c>
      <c r="E83" s="210" t="s">
        <v>235</v>
      </c>
      <c r="F83" s="210" t="s">
        <v>236</v>
      </c>
      <c r="G83" s="209" t="s">
        <v>957</v>
      </c>
      <c r="H83" s="209">
        <v>0</v>
      </c>
      <c r="I83" s="209" t="s">
        <v>1054</v>
      </c>
      <c r="J83" s="209">
        <v>1</v>
      </c>
      <c r="K83" s="210" t="s">
        <v>17</v>
      </c>
      <c r="L83" s="206" t="s">
        <v>87</v>
      </c>
      <c r="M83" s="206" t="s">
        <v>740</v>
      </c>
      <c r="N83" s="217" t="s">
        <v>539</v>
      </c>
      <c r="O83" s="210">
        <f ca="1">IF($B83="N/A", "N/A", VLOOKUP($B83, INDIRECT(Config!$B$1), HLOOKUP(O$1, INDIRECT(Config!$E$1), 2, FALSE),FALSE))</f>
        <v>1</v>
      </c>
      <c r="P83" s="210">
        <f ca="1">IF($B83="N/A", "N/A", VLOOKUP($B83, INDIRECT(Config!$B$1), HLOOKUP(P$1, INDIRECT(Config!$E$1), 2, FALSE),FALSE))</f>
        <v>1</v>
      </c>
      <c r="Q83" s="210">
        <f ca="1">IF($B83="N/A", "N/A", VLOOKUP($B83, INDIRECT(Config!$B$1), HLOOKUP(Q$1, INDIRECT(Config!$E$1), 2, FALSE),FALSE))</f>
        <v>0</v>
      </c>
    </row>
    <row r="84" spans="1:17" s="15" customFormat="1" ht="14.55" customHeight="1" x14ac:dyDescent="0.3">
      <c r="A84" s="324"/>
      <c r="B84" s="2" t="s">
        <v>48</v>
      </c>
      <c r="C84" s="206">
        <v>22</v>
      </c>
      <c r="D84" s="206">
        <v>1</v>
      </c>
      <c r="E84" s="219" t="s">
        <v>1105</v>
      </c>
      <c r="F84" s="210" t="s">
        <v>886</v>
      </c>
      <c r="G84" s="215" t="s">
        <v>958</v>
      </c>
      <c r="H84" s="215">
        <v>0</v>
      </c>
      <c r="I84" s="215" t="s">
        <v>1055</v>
      </c>
      <c r="J84" s="215">
        <v>0</v>
      </c>
      <c r="K84" s="210" t="s">
        <v>17</v>
      </c>
      <c r="L84" s="206" t="s">
        <v>87</v>
      </c>
      <c r="M84" s="217" t="s">
        <v>1106</v>
      </c>
      <c r="N84" s="206" t="s">
        <v>888</v>
      </c>
      <c r="O84" s="211" t="str">
        <f ca="1">IF($B84="N/A", "N/A", VLOOKUP($B84, INDIRECT(Config!$B$1), HLOOKUP(O$1, INDIRECT(Config!$E$1), 2, FALSE),FALSE))</f>
        <v>N/A</v>
      </c>
      <c r="P84" s="211" t="str">
        <f ca="1">IF($B84="N/A", "N/A", VLOOKUP($B84, INDIRECT(Config!$B$1), HLOOKUP(P$1, INDIRECT(Config!$E$1), 2, FALSE),FALSE))</f>
        <v>N/A</v>
      </c>
      <c r="Q84" s="211" t="str">
        <f ca="1">IF($B84="N/A", "N/A", VLOOKUP($B84, INDIRECT(Config!$B$1), HLOOKUP(Q$1, INDIRECT(Config!$E$1), 2, FALSE),FALSE))</f>
        <v>N/A</v>
      </c>
    </row>
    <row r="85" spans="1:17" ht="14.55" customHeight="1" x14ac:dyDescent="0.3">
      <c r="A85" s="324"/>
      <c r="B85" s="2" t="s">
        <v>48</v>
      </c>
      <c r="C85" s="206">
        <v>23</v>
      </c>
      <c r="D85" s="206">
        <v>1</v>
      </c>
      <c r="E85" s="208"/>
      <c r="F85" s="210" t="s">
        <v>887</v>
      </c>
      <c r="G85" s="215" t="s">
        <v>959</v>
      </c>
      <c r="H85" s="215">
        <v>0</v>
      </c>
      <c r="I85" s="215" t="s">
        <v>1056</v>
      </c>
      <c r="J85" s="215">
        <v>0</v>
      </c>
      <c r="K85" s="210" t="s">
        <v>17</v>
      </c>
      <c r="L85" s="206"/>
      <c r="M85" s="206" t="s">
        <v>788</v>
      </c>
      <c r="N85" s="206" t="s">
        <v>459</v>
      </c>
      <c r="O85" s="211" t="str">
        <f ca="1">IF($B85="N/A", "N/A", VLOOKUP($B85, INDIRECT(Config!$B$1), HLOOKUP(O$1, INDIRECT(Config!$E$1), 2, FALSE),FALSE))</f>
        <v>N/A</v>
      </c>
      <c r="P85" s="211" t="str">
        <f ca="1">IF($B85="N/A", "N/A", VLOOKUP($B85, INDIRECT(Config!$B$1), HLOOKUP(P$1, INDIRECT(Config!$E$1), 2, FALSE),FALSE))</f>
        <v>N/A</v>
      </c>
      <c r="Q85" s="211" t="str">
        <f ca="1">IF($B85="N/A", "N/A", VLOOKUP($B85, INDIRECT(Config!$B$1), HLOOKUP(Q$1, INDIRECT(Config!$E$1), 2, FALSE),FALSE))</f>
        <v>N/A</v>
      </c>
    </row>
    <row r="86" spans="1:17" ht="14.55" customHeight="1" x14ac:dyDescent="0.3">
      <c r="A86" s="324"/>
      <c r="B86" s="4" t="s">
        <v>612</v>
      </c>
      <c r="C86" s="206">
        <v>24</v>
      </c>
      <c r="D86" s="206">
        <v>1</v>
      </c>
      <c r="E86" s="220" t="s">
        <v>238</v>
      </c>
      <c r="F86" s="208" t="s">
        <v>239</v>
      </c>
      <c r="G86" s="209" t="s">
        <v>960</v>
      </c>
      <c r="H86" s="209">
        <v>0</v>
      </c>
      <c r="I86" s="209" t="s">
        <v>1057</v>
      </c>
      <c r="J86" s="209">
        <v>1</v>
      </c>
      <c r="K86" s="210"/>
      <c r="L86" s="207" t="s">
        <v>87</v>
      </c>
      <c r="M86" s="207" t="s">
        <v>722</v>
      </c>
      <c r="N86" s="207" t="s">
        <v>540</v>
      </c>
      <c r="O86" s="211">
        <f t="shared" ref="O86:Q87" si="6">IF($B86="N/A", "N/A", 1)</f>
        <v>1</v>
      </c>
      <c r="P86" s="211">
        <f t="shared" si="6"/>
        <v>1</v>
      </c>
      <c r="Q86" s="211">
        <f t="shared" si="6"/>
        <v>1</v>
      </c>
    </row>
    <row r="87" spans="1:17" ht="14.55" customHeight="1" x14ac:dyDescent="0.3">
      <c r="A87" s="324"/>
      <c r="B87" s="4" t="s">
        <v>612</v>
      </c>
      <c r="C87" s="206">
        <v>25</v>
      </c>
      <c r="D87" s="206">
        <v>1</v>
      </c>
      <c r="E87" s="221" t="s">
        <v>1104</v>
      </c>
      <c r="F87" s="208" t="s">
        <v>240</v>
      </c>
      <c r="G87" s="209" t="s">
        <v>961</v>
      </c>
      <c r="H87" s="209">
        <v>0</v>
      </c>
      <c r="I87" s="209" t="s">
        <v>1058</v>
      </c>
      <c r="J87" s="209">
        <v>1</v>
      </c>
      <c r="K87" s="210"/>
      <c r="L87" s="207" t="s">
        <v>87</v>
      </c>
      <c r="M87" s="207" t="s">
        <v>723</v>
      </c>
      <c r="N87" s="207" t="s">
        <v>541</v>
      </c>
      <c r="O87" s="211">
        <f t="shared" si="6"/>
        <v>1</v>
      </c>
      <c r="P87" s="211">
        <f t="shared" si="6"/>
        <v>1</v>
      </c>
      <c r="Q87" s="211">
        <f t="shared" si="6"/>
        <v>1</v>
      </c>
    </row>
    <row r="88" spans="1:17" ht="14.55" customHeight="1" x14ac:dyDescent="0.3">
      <c r="A88" s="324"/>
      <c r="B88" s="16" t="s">
        <v>241</v>
      </c>
      <c r="C88" s="206">
        <v>26</v>
      </c>
      <c r="D88" s="206">
        <v>5</v>
      </c>
      <c r="E88" s="207" t="s">
        <v>242</v>
      </c>
      <c r="F88" s="207" t="s">
        <v>243</v>
      </c>
      <c r="G88" s="209" t="s">
        <v>971</v>
      </c>
      <c r="H88" s="209">
        <v>0</v>
      </c>
      <c r="I88" s="209" t="s">
        <v>1059</v>
      </c>
      <c r="J88" s="209">
        <v>0</v>
      </c>
      <c r="K88" s="210"/>
      <c r="L88" s="207" t="s">
        <v>87</v>
      </c>
      <c r="M88" s="207" t="s">
        <v>724</v>
      </c>
      <c r="N88" s="207" t="s">
        <v>542</v>
      </c>
      <c r="O88" s="210">
        <f ca="1">IF($B88="N/A", "N/A", VLOOKUP($B88, INDIRECT(Config!$B$1), HLOOKUP(O$1, INDIRECT(Config!$E$1), 2, FALSE),FALSE))</f>
        <v>0</v>
      </c>
      <c r="P88" s="210">
        <f ca="1">IF($B88="N/A", "N/A", VLOOKUP($B88, INDIRECT(Config!$B$1), HLOOKUP(P$1, INDIRECT(Config!$E$1), 2, FALSE),FALSE))</f>
        <v>0</v>
      </c>
      <c r="Q88" s="210">
        <f ca="1">IF($B88="N/A", "N/A", VLOOKUP($B88, INDIRECT(Config!$B$1), HLOOKUP(Q$1, INDIRECT(Config!$E$1), 2, FALSE),FALSE))</f>
        <v>0</v>
      </c>
    </row>
    <row r="89" spans="1:17" ht="14.55" customHeight="1" x14ac:dyDescent="0.3">
      <c r="A89" s="324"/>
      <c r="B89" s="4" t="s">
        <v>612</v>
      </c>
      <c r="C89" s="206">
        <v>31</v>
      </c>
      <c r="D89" s="206">
        <v>1</v>
      </c>
      <c r="E89" s="220" t="s">
        <v>244</v>
      </c>
      <c r="F89" s="208" t="s">
        <v>245</v>
      </c>
      <c r="G89" s="209" t="s">
        <v>962</v>
      </c>
      <c r="H89" s="209">
        <v>0</v>
      </c>
      <c r="I89" s="209" t="s">
        <v>1060</v>
      </c>
      <c r="J89" s="209">
        <v>0</v>
      </c>
      <c r="K89" s="210"/>
      <c r="L89" s="207" t="s">
        <v>87</v>
      </c>
      <c r="M89" s="207" t="s">
        <v>803</v>
      </c>
      <c r="N89" s="228" t="s">
        <v>544</v>
      </c>
      <c r="O89" s="211">
        <f>IF($B89="N/A", "N/A", 1)</f>
        <v>1</v>
      </c>
      <c r="P89" s="211">
        <f>IF($B89="N/A", "N/A", 1)</f>
        <v>1</v>
      </c>
      <c r="Q89" s="211">
        <f>IF($B89="N/A", "N/A", 1)</f>
        <v>1</v>
      </c>
    </row>
    <row r="90" spans="1:17" ht="14.55" customHeight="1" x14ac:dyDescent="0.3">
      <c r="A90" s="334" t="s">
        <v>246</v>
      </c>
      <c r="B90" s="7" t="s">
        <v>390</v>
      </c>
      <c r="C90" s="206">
        <v>0</v>
      </c>
      <c r="D90" s="206">
        <v>16</v>
      </c>
      <c r="E90" s="206" t="s">
        <v>247</v>
      </c>
      <c r="F90" s="222" t="s">
        <v>384</v>
      </c>
      <c r="G90" s="223" t="s">
        <v>1096</v>
      </c>
      <c r="H90" s="223"/>
      <c r="I90" s="223" t="s">
        <v>1071</v>
      </c>
      <c r="J90" s="223">
        <v>0</v>
      </c>
      <c r="K90" s="210"/>
      <c r="L90" s="206" t="s">
        <v>66</v>
      </c>
      <c r="M90" s="206" t="s">
        <v>768</v>
      </c>
      <c r="N90" s="206" t="s">
        <v>466</v>
      </c>
      <c r="O90" s="210">
        <f ca="1">IF($B90="N/A", "N/A", VLOOKUP($B90, INDIRECT(Config!$B$1), HLOOKUP(O$1, INDIRECT(Config!$E$1), 2, FALSE),FALSE))</f>
        <v>0</v>
      </c>
      <c r="P90" s="210">
        <f ca="1">IF($B90="N/A", "N/A", VLOOKUP($B90, INDIRECT(Config!$B$1), HLOOKUP(P$1, INDIRECT(Config!$E$1), 2, FALSE),FALSE))</f>
        <v>0</v>
      </c>
      <c r="Q90" s="210">
        <f ca="1">IF($B90="N/A", "N/A", VLOOKUP($B90, INDIRECT(Config!$B$1), HLOOKUP(Q$1, INDIRECT(Config!$E$1), 2, FALSE),FALSE))</f>
        <v>0</v>
      </c>
    </row>
    <row r="91" spans="1:17" ht="14.55" customHeight="1" x14ac:dyDescent="0.3">
      <c r="A91" s="364"/>
      <c r="B91" s="7" t="s">
        <v>390</v>
      </c>
      <c r="C91" s="206">
        <v>16</v>
      </c>
      <c r="D91" s="206">
        <v>8</v>
      </c>
      <c r="E91" s="206" t="s">
        <v>248</v>
      </c>
      <c r="F91" s="222" t="s">
        <v>384</v>
      </c>
      <c r="G91" s="223" t="s">
        <v>972</v>
      </c>
      <c r="H91" s="223"/>
      <c r="I91" s="223" t="s">
        <v>1065</v>
      </c>
      <c r="J91" s="223">
        <v>0</v>
      </c>
      <c r="K91" s="210"/>
      <c r="L91" s="206" t="s">
        <v>66</v>
      </c>
      <c r="M91" s="206" t="s">
        <v>760</v>
      </c>
      <c r="N91" s="206" t="s">
        <v>466</v>
      </c>
      <c r="O91" s="210">
        <f ca="1">IF($B91="N/A", "N/A", VLOOKUP($B91, INDIRECT(Config!$B$1), HLOOKUP(O$1, INDIRECT(Config!$E$1), 2, FALSE),FALSE))</f>
        <v>0</v>
      </c>
      <c r="P91" s="210">
        <f ca="1">IF($B91="N/A", "N/A", VLOOKUP($B91, INDIRECT(Config!$B$1), HLOOKUP(P$1, INDIRECT(Config!$E$1), 2, FALSE),FALSE))</f>
        <v>0</v>
      </c>
      <c r="Q91" s="210">
        <f ca="1">IF($B91="N/A", "N/A", VLOOKUP($B91, INDIRECT(Config!$B$1), HLOOKUP(Q$1, INDIRECT(Config!$E$1), 2, FALSE),FALSE))</f>
        <v>0</v>
      </c>
    </row>
    <row r="92" spans="1:17" ht="14.55" customHeight="1" x14ac:dyDescent="0.3">
      <c r="A92" s="333"/>
      <c r="B92" s="15" t="s">
        <v>205</v>
      </c>
      <c r="C92" s="206">
        <v>24</v>
      </c>
      <c r="D92" s="206">
        <v>8</v>
      </c>
      <c r="E92" s="206" t="s">
        <v>249</v>
      </c>
      <c r="F92" s="222" t="s">
        <v>384</v>
      </c>
      <c r="G92" s="223" t="s">
        <v>973</v>
      </c>
      <c r="H92" s="223"/>
      <c r="I92" s="223" t="s">
        <v>1066</v>
      </c>
      <c r="J92" s="223">
        <v>0</v>
      </c>
      <c r="K92" s="210"/>
      <c r="L92" s="206" t="s">
        <v>66</v>
      </c>
      <c r="M92" s="206" t="s">
        <v>769</v>
      </c>
      <c r="N92" s="206" t="s">
        <v>467</v>
      </c>
      <c r="O92" s="210">
        <f ca="1">IF($B92="N/A", "N/A", VLOOKUP($B92, INDIRECT(Config!$B$1), HLOOKUP(O$1, INDIRECT(Config!$E$1), 2, FALSE),FALSE))</f>
        <v>0</v>
      </c>
      <c r="P92" s="210">
        <f ca="1">IF($B92="N/A", "N/A", VLOOKUP($B92, INDIRECT(Config!$B$1), HLOOKUP(P$1, INDIRECT(Config!$E$1), 2, FALSE),FALSE))</f>
        <v>0</v>
      </c>
      <c r="Q92" s="210">
        <f ca="1">IF($B92="N/A", "N/A", VLOOKUP($B92, INDIRECT(Config!$B$1), HLOOKUP(Q$1, INDIRECT(Config!$E$1), 2, FALSE),FALSE))</f>
        <v>0</v>
      </c>
    </row>
    <row r="93" spans="1:17" ht="14.55" customHeight="1" x14ac:dyDescent="0.3">
      <c r="A93" s="17" t="s">
        <v>250</v>
      </c>
      <c r="B93" s="7" t="s">
        <v>390</v>
      </c>
      <c r="C93" s="206">
        <v>0</v>
      </c>
      <c r="D93" s="206">
        <v>32</v>
      </c>
      <c r="E93" s="206" t="s">
        <v>250</v>
      </c>
      <c r="F93" s="222" t="s">
        <v>384</v>
      </c>
      <c r="G93" s="224" t="s">
        <v>48</v>
      </c>
      <c r="H93" s="229"/>
      <c r="I93" s="223" t="s">
        <v>1074</v>
      </c>
      <c r="J93" s="223">
        <v>0</v>
      </c>
      <c r="K93" s="210"/>
      <c r="L93" s="206" t="s">
        <v>66</v>
      </c>
      <c r="M93" s="206" t="s">
        <v>770</v>
      </c>
      <c r="N93" s="206" t="s">
        <v>468</v>
      </c>
      <c r="O93" s="210">
        <f ca="1">IF($B93="N/A", "N/A", VLOOKUP($B93, INDIRECT(Config!$B$1), HLOOKUP(O$1, INDIRECT(Config!$E$1), 2, FALSE),FALSE))</f>
        <v>0</v>
      </c>
      <c r="P93" s="210">
        <f ca="1">IF($B93="N/A", "N/A", VLOOKUP($B93, INDIRECT(Config!$B$1), HLOOKUP(P$1, INDIRECT(Config!$E$1), 2, FALSE),FALSE))</f>
        <v>0</v>
      </c>
      <c r="Q93" s="210">
        <f ca="1">IF($B93="N/A", "N/A", VLOOKUP($B93, INDIRECT(Config!$B$1), HLOOKUP(Q$1, INDIRECT(Config!$E$1), 2, FALSE),FALSE))</f>
        <v>0</v>
      </c>
    </row>
    <row r="94" spans="1:17" ht="14.55" customHeight="1" x14ac:dyDescent="0.3">
      <c r="A94" s="17" t="s">
        <v>251</v>
      </c>
      <c r="B94" s="7" t="s">
        <v>390</v>
      </c>
      <c r="C94" s="206">
        <v>0</v>
      </c>
      <c r="D94" s="206">
        <v>32</v>
      </c>
      <c r="E94" s="206" t="s">
        <v>251</v>
      </c>
      <c r="F94" s="222" t="s">
        <v>384</v>
      </c>
      <c r="G94" s="223" t="s">
        <v>48</v>
      </c>
      <c r="H94" s="229"/>
      <c r="I94" s="223" t="s">
        <v>1075</v>
      </c>
      <c r="J94" s="223">
        <v>0</v>
      </c>
      <c r="K94" s="210"/>
      <c r="L94" s="206" t="s">
        <v>66</v>
      </c>
      <c r="M94" s="206" t="s">
        <v>771</v>
      </c>
      <c r="N94" s="206" t="s">
        <v>469</v>
      </c>
      <c r="O94" s="210">
        <f ca="1">IF($B94="N/A", "N/A", VLOOKUP($B94, INDIRECT(Config!$B$1), HLOOKUP(O$1, INDIRECT(Config!$E$1), 2, FALSE),FALSE))</f>
        <v>0</v>
      </c>
      <c r="P94" s="210">
        <f ca="1">IF($B94="N/A", "N/A", VLOOKUP($B94, INDIRECT(Config!$B$1), HLOOKUP(P$1, INDIRECT(Config!$E$1), 2, FALSE),FALSE))</f>
        <v>0</v>
      </c>
      <c r="Q94" s="210">
        <f ca="1">IF($B94="N/A", "N/A", VLOOKUP($B94, INDIRECT(Config!$B$1), HLOOKUP(Q$1, INDIRECT(Config!$E$1), 2, FALSE),FALSE))</f>
        <v>0</v>
      </c>
    </row>
    <row r="95" spans="1:17" ht="14.55" customHeight="1" x14ac:dyDescent="0.3">
      <c r="A95" s="17" t="s">
        <v>252</v>
      </c>
      <c r="B95" s="7" t="s">
        <v>390</v>
      </c>
      <c r="C95" s="206">
        <v>0</v>
      </c>
      <c r="D95" s="206">
        <v>32</v>
      </c>
      <c r="E95" s="206" t="s">
        <v>252</v>
      </c>
      <c r="F95" s="222" t="s">
        <v>384</v>
      </c>
      <c r="G95" s="223" t="s">
        <v>48</v>
      </c>
      <c r="H95" s="229"/>
      <c r="I95" s="223" t="s">
        <v>1076</v>
      </c>
      <c r="J95" s="223">
        <v>0</v>
      </c>
      <c r="K95" s="210"/>
      <c r="L95" s="206" t="s">
        <v>66</v>
      </c>
      <c r="M95" s="206" t="s">
        <v>772</v>
      </c>
      <c r="N95" s="206" t="s">
        <v>470</v>
      </c>
      <c r="O95" s="210">
        <f ca="1">IF($B95="N/A", "N/A", VLOOKUP($B95, INDIRECT(Config!$B$1), HLOOKUP(O$1, INDIRECT(Config!$E$1), 2, FALSE),FALSE))</f>
        <v>0</v>
      </c>
      <c r="P95" s="210">
        <f ca="1">IF($B95="N/A", "N/A", VLOOKUP($B95, INDIRECT(Config!$B$1), HLOOKUP(P$1, INDIRECT(Config!$E$1), 2, FALSE),FALSE))</f>
        <v>0</v>
      </c>
      <c r="Q95" s="210">
        <f ca="1">IF($B95="N/A", "N/A", VLOOKUP($B95, INDIRECT(Config!$B$1), HLOOKUP(Q$1, INDIRECT(Config!$E$1), 2, FALSE),FALSE))</f>
        <v>0</v>
      </c>
    </row>
    <row r="96" spans="1:17" ht="14.55" customHeight="1" x14ac:dyDescent="0.3">
      <c r="A96" s="334" t="s">
        <v>34</v>
      </c>
      <c r="B96" s="7" t="s">
        <v>253</v>
      </c>
      <c r="C96" s="206">
        <v>0</v>
      </c>
      <c r="D96" s="206">
        <v>24</v>
      </c>
      <c r="E96" s="206" t="s">
        <v>254</v>
      </c>
      <c r="F96" s="222" t="s">
        <v>384</v>
      </c>
      <c r="G96" s="224" t="s">
        <v>974</v>
      </c>
      <c r="H96" s="224"/>
      <c r="I96" s="223" t="s">
        <v>1061</v>
      </c>
      <c r="J96" s="223">
        <v>0</v>
      </c>
      <c r="K96" s="210" t="s">
        <v>17</v>
      </c>
      <c r="L96" s="206" t="s">
        <v>66</v>
      </c>
      <c r="M96" s="206" t="s">
        <v>763</v>
      </c>
      <c r="N96" s="206" t="s">
        <v>457</v>
      </c>
      <c r="O96" s="210">
        <f ca="1">IF($B96="N/A", "N/A", VLOOKUP($B96, INDIRECT(Config!$B$1), HLOOKUP(O$1, INDIRECT(Config!$E$1), 2, FALSE),FALSE))</f>
        <v>1</v>
      </c>
      <c r="P96" s="210">
        <f ca="1">IF($B96="N/A", "N/A", VLOOKUP($B96, INDIRECT(Config!$B$1), HLOOKUP(P$1, INDIRECT(Config!$E$1), 2, FALSE),FALSE))</f>
        <v>1</v>
      </c>
      <c r="Q96" s="210">
        <f ca="1">IF($B96="N/A", "N/A", VLOOKUP($B96, INDIRECT(Config!$B$1), HLOOKUP(Q$1, INDIRECT(Config!$E$1), 2, FALSE),FALSE))</f>
        <v>0</v>
      </c>
    </row>
    <row r="97" spans="1:17" ht="14.55" customHeight="1" x14ac:dyDescent="0.3">
      <c r="A97" s="364"/>
      <c r="B97" s="7" t="s">
        <v>253</v>
      </c>
      <c r="C97" s="206">
        <v>24</v>
      </c>
      <c r="D97" s="206">
        <v>5</v>
      </c>
      <c r="E97" s="206" t="s">
        <v>255</v>
      </c>
      <c r="F97" s="222" t="s">
        <v>384</v>
      </c>
      <c r="G97" s="224" t="s">
        <v>975</v>
      </c>
      <c r="H97" s="224"/>
      <c r="I97" s="223" t="s">
        <v>1062</v>
      </c>
      <c r="J97" s="223">
        <v>0</v>
      </c>
      <c r="K97" s="210" t="s">
        <v>17</v>
      </c>
      <c r="L97" s="206" t="s">
        <v>66</v>
      </c>
      <c r="M97" s="206" t="s">
        <v>764</v>
      </c>
      <c r="N97" s="206" t="s">
        <v>458</v>
      </c>
      <c r="O97" s="210">
        <f ca="1">IF($B97="N/A", "N/A", VLOOKUP($B97, INDIRECT(Config!$B$1), HLOOKUP(O$1, INDIRECT(Config!$E$1), 2, FALSE),FALSE))</f>
        <v>1</v>
      </c>
      <c r="P97" s="210">
        <f ca="1">IF($B97="N/A", "N/A", VLOOKUP($B97, INDIRECT(Config!$B$1), HLOOKUP(P$1, INDIRECT(Config!$E$1), 2, FALSE),FALSE))</f>
        <v>1</v>
      </c>
      <c r="Q97" s="210">
        <f ca="1">IF($B97="N/A", "N/A", VLOOKUP($B97, INDIRECT(Config!$B$1), HLOOKUP(Q$1, INDIRECT(Config!$E$1), 2, FALSE),FALSE))</f>
        <v>0</v>
      </c>
    </row>
    <row r="98" spans="1:17" ht="14.55" customHeight="1" x14ac:dyDescent="0.3">
      <c r="A98" s="364"/>
      <c r="B98" s="7" t="s">
        <v>253</v>
      </c>
      <c r="C98" s="206">
        <v>29</v>
      </c>
      <c r="D98" s="206">
        <v>2</v>
      </c>
      <c r="E98" s="206" t="s">
        <v>256</v>
      </c>
      <c r="F98" s="222" t="s">
        <v>384</v>
      </c>
      <c r="G98" s="224" t="s">
        <v>976</v>
      </c>
      <c r="H98" s="224"/>
      <c r="I98" s="223" t="s">
        <v>1063</v>
      </c>
      <c r="J98" s="223">
        <v>0</v>
      </c>
      <c r="K98" s="210" t="s">
        <v>17</v>
      </c>
      <c r="L98" s="206" t="s">
        <v>66</v>
      </c>
      <c r="M98" s="206" t="s">
        <v>765</v>
      </c>
      <c r="N98" s="206" t="s">
        <v>461</v>
      </c>
      <c r="O98" s="210">
        <f ca="1">IF($B98="N/A", "N/A", VLOOKUP($B98, INDIRECT(Config!$B$1), HLOOKUP(O$1, INDIRECT(Config!$E$1), 2, FALSE),FALSE))</f>
        <v>1</v>
      </c>
      <c r="P98" s="210">
        <f ca="1">IF($B98="N/A", "N/A", VLOOKUP($B98, INDIRECT(Config!$B$1), HLOOKUP(P$1, INDIRECT(Config!$E$1), 2, FALSE),FALSE))</f>
        <v>1</v>
      </c>
      <c r="Q98" s="210">
        <f ca="1">IF($B98="N/A", "N/A", VLOOKUP($B98, INDIRECT(Config!$B$1), HLOOKUP(Q$1, INDIRECT(Config!$E$1), 2, FALSE),FALSE))</f>
        <v>0</v>
      </c>
    </row>
    <row r="99" spans="1:17" ht="14.55" customHeight="1" x14ac:dyDescent="0.3">
      <c r="A99" s="333"/>
      <c r="B99" s="7" t="s">
        <v>253</v>
      </c>
      <c r="C99" s="206">
        <v>31</v>
      </c>
      <c r="D99" s="206">
        <v>1</v>
      </c>
      <c r="E99" s="206" t="s">
        <v>257</v>
      </c>
      <c r="F99" s="222" t="s">
        <v>384</v>
      </c>
      <c r="G99" s="224" t="s">
        <v>977</v>
      </c>
      <c r="H99" s="224"/>
      <c r="I99" s="223" t="s">
        <v>1064</v>
      </c>
      <c r="J99" s="223">
        <v>0</v>
      </c>
      <c r="K99" s="210" t="s">
        <v>17</v>
      </c>
      <c r="L99" s="206" t="s">
        <v>66</v>
      </c>
      <c r="M99" s="206" t="s">
        <v>766</v>
      </c>
      <c r="N99" s="206" t="s">
        <v>460</v>
      </c>
      <c r="O99" s="210">
        <f ca="1">IF($B99="N/A", "N/A", VLOOKUP($B99, INDIRECT(Config!$B$1), HLOOKUP(O$1, INDIRECT(Config!$E$1), 2, FALSE),FALSE))</f>
        <v>1</v>
      </c>
      <c r="P99" s="210">
        <f ca="1">IF($B99="N/A", "N/A", VLOOKUP($B99, INDIRECT(Config!$B$1), HLOOKUP(P$1, INDIRECT(Config!$E$1), 2, FALSE),FALSE))</f>
        <v>1</v>
      </c>
      <c r="Q99" s="210">
        <f ca="1">IF($B99="N/A", "N/A", VLOOKUP($B99, INDIRECT(Config!$B$1), HLOOKUP(Q$1, INDIRECT(Config!$E$1), 2, FALSE),FALSE))</f>
        <v>0</v>
      </c>
    </row>
    <row r="100" spans="1:17" ht="14.55" customHeight="1" x14ac:dyDescent="0.3">
      <c r="A100" s="324" t="s">
        <v>36</v>
      </c>
      <c r="B100" s="7" t="s">
        <v>214</v>
      </c>
      <c r="C100" s="206">
        <v>0</v>
      </c>
      <c r="D100" s="206">
        <v>8</v>
      </c>
      <c r="E100" s="206" t="s">
        <v>258</v>
      </c>
      <c r="F100" s="222" t="s">
        <v>384</v>
      </c>
      <c r="G100" s="223" t="s">
        <v>1097</v>
      </c>
      <c r="H100" s="223"/>
      <c r="I100" s="223" t="s">
        <v>1067</v>
      </c>
      <c r="J100" s="223">
        <v>0</v>
      </c>
      <c r="K100" s="210"/>
      <c r="L100" s="206" t="s">
        <v>128</v>
      </c>
      <c r="M100" s="206" t="s">
        <v>767</v>
      </c>
      <c r="N100" s="206" t="s">
        <v>462</v>
      </c>
      <c r="O100" s="210">
        <f ca="1">IF($B100="N/A", "N/A", VLOOKUP($B100, INDIRECT(Config!$B$1), HLOOKUP(O$1, INDIRECT(Config!$E$1), 2, FALSE),FALSE))</f>
        <v>0</v>
      </c>
      <c r="P100" s="210">
        <f ca="1">IF($B100="N/A", "N/A", VLOOKUP($B100, INDIRECT(Config!$B$1), HLOOKUP(P$1, INDIRECT(Config!$E$1), 2, FALSE),FALSE))</f>
        <v>0</v>
      </c>
      <c r="Q100" s="210">
        <f ca="1">IF($B100="N/A", "N/A", VLOOKUP($B100, INDIRECT(Config!$B$1), HLOOKUP(Q$1, INDIRECT(Config!$E$1), 2, FALSE),FALSE))</f>
        <v>0</v>
      </c>
    </row>
    <row r="101" spans="1:17" ht="14.55" customHeight="1" x14ac:dyDescent="0.3">
      <c r="A101" s="324"/>
      <c r="B101" s="7" t="s">
        <v>214</v>
      </c>
      <c r="C101" s="206">
        <v>8</v>
      </c>
      <c r="D101" s="206">
        <v>8</v>
      </c>
      <c r="E101" s="206" t="s">
        <v>259</v>
      </c>
      <c r="F101" s="222" t="s">
        <v>384</v>
      </c>
      <c r="G101" s="223" t="s">
        <v>1098</v>
      </c>
      <c r="H101" s="223"/>
      <c r="I101" s="223" t="s">
        <v>1068</v>
      </c>
      <c r="J101" s="223">
        <v>0</v>
      </c>
      <c r="K101" s="210"/>
      <c r="L101" s="206" t="s">
        <v>128</v>
      </c>
      <c r="M101" s="206" t="s">
        <v>767</v>
      </c>
      <c r="N101" s="206" t="s">
        <v>463</v>
      </c>
      <c r="O101" s="210">
        <f ca="1">IF($B101="N/A", "N/A", VLOOKUP($B101, INDIRECT(Config!$B$1), HLOOKUP(O$1, INDIRECT(Config!$E$1), 2, FALSE),FALSE))</f>
        <v>0</v>
      </c>
      <c r="P101" s="210">
        <f ca="1">IF($B101="N/A", "N/A", VLOOKUP($B101, INDIRECT(Config!$B$1), HLOOKUP(P$1, INDIRECT(Config!$E$1), 2, FALSE),FALSE))</f>
        <v>0</v>
      </c>
      <c r="Q101" s="210">
        <f ca="1">IF($B101="N/A", "N/A", VLOOKUP($B101, INDIRECT(Config!$B$1), HLOOKUP(Q$1, INDIRECT(Config!$E$1), 2, FALSE),FALSE))</f>
        <v>0</v>
      </c>
    </row>
    <row r="102" spans="1:17" ht="14.55" customHeight="1" x14ac:dyDescent="0.3">
      <c r="A102" s="364"/>
      <c r="B102" s="5" t="s">
        <v>214</v>
      </c>
      <c r="C102" s="225">
        <v>16</v>
      </c>
      <c r="D102" s="225">
        <v>8</v>
      </c>
      <c r="E102" s="225" t="s">
        <v>260</v>
      </c>
      <c r="F102" s="222" t="s">
        <v>384</v>
      </c>
      <c r="G102" s="223" t="s">
        <v>1072</v>
      </c>
      <c r="H102" s="223"/>
      <c r="I102" s="223" t="s">
        <v>1069</v>
      </c>
      <c r="J102" s="227">
        <v>0</v>
      </c>
      <c r="K102" s="226"/>
      <c r="L102" s="225" t="s">
        <v>66</v>
      </c>
      <c r="M102" s="225" t="s">
        <v>767</v>
      </c>
      <c r="N102" s="225" t="s">
        <v>464</v>
      </c>
      <c r="O102" s="210">
        <f ca="1">IF($B102="N/A", "N/A", VLOOKUP($B102, INDIRECT(Config!$B$1), HLOOKUP(O$1, INDIRECT(Config!$E$1), 2, FALSE),FALSE))</f>
        <v>0</v>
      </c>
      <c r="P102" s="210">
        <f ca="1">IF($B102="N/A", "N/A", VLOOKUP($B102, INDIRECT(Config!$B$1), HLOOKUP(P$1, INDIRECT(Config!$E$1), 2, FALSE),FALSE))</f>
        <v>0</v>
      </c>
      <c r="Q102" s="210">
        <f ca="1">IF($B102="N/A", "N/A", VLOOKUP($B102, INDIRECT(Config!$B$1), HLOOKUP(Q$1, INDIRECT(Config!$E$1), 2, FALSE),FALSE))</f>
        <v>0</v>
      </c>
    </row>
    <row r="103" spans="1:17" ht="14.55" customHeight="1" x14ac:dyDescent="0.3">
      <c r="A103" s="333"/>
      <c r="B103" s="7" t="s">
        <v>214</v>
      </c>
      <c r="C103" s="206">
        <v>24</v>
      </c>
      <c r="D103" s="206">
        <v>8</v>
      </c>
      <c r="E103" s="206" t="s">
        <v>261</v>
      </c>
      <c r="F103" s="222" t="s">
        <v>384</v>
      </c>
      <c r="G103" s="223" t="s">
        <v>1073</v>
      </c>
      <c r="H103" s="223"/>
      <c r="I103" s="223" t="s">
        <v>1070</v>
      </c>
      <c r="J103" s="223">
        <v>0</v>
      </c>
      <c r="K103" s="210"/>
      <c r="L103" s="206" t="s">
        <v>66</v>
      </c>
      <c r="M103" s="206" t="s">
        <v>767</v>
      </c>
      <c r="N103" s="206" t="s">
        <v>465</v>
      </c>
      <c r="O103" s="210">
        <f ca="1">IF($B103="N/A", "N/A", VLOOKUP($B103, INDIRECT(Config!$B$1), HLOOKUP(O$1, INDIRECT(Config!$E$1), 2, FALSE),FALSE))</f>
        <v>0</v>
      </c>
      <c r="P103" s="210">
        <f ca="1">IF($B103="N/A", "N/A", VLOOKUP($B103, INDIRECT(Config!$B$1), HLOOKUP(P$1, INDIRECT(Config!$E$1), 2, FALSE),FALSE))</f>
        <v>0</v>
      </c>
      <c r="Q103" s="210">
        <f ca="1">IF($B103="N/A", "N/A", VLOOKUP($B103, INDIRECT(Config!$B$1), HLOOKUP(Q$1, INDIRECT(Config!$E$1), 2, FALSE),FALSE))</f>
        <v>0</v>
      </c>
    </row>
    <row r="104" spans="1:17" ht="14.55" customHeight="1" x14ac:dyDescent="0.3">
      <c r="A104" s="334" t="s">
        <v>38</v>
      </c>
      <c r="B104" s="4" t="s">
        <v>612</v>
      </c>
      <c r="C104" s="206">
        <v>0</v>
      </c>
      <c r="D104" s="206">
        <v>16</v>
      </c>
      <c r="E104" s="206" t="s">
        <v>262</v>
      </c>
      <c r="F104" s="365"/>
      <c r="G104" s="209" t="s">
        <v>48</v>
      </c>
      <c r="H104" s="230"/>
      <c r="I104" s="209" t="s">
        <v>51</v>
      </c>
      <c r="J104" s="209" t="s">
        <v>51</v>
      </c>
      <c r="K104" s="216"/>
      <c r="L104" s="206" t="s">
        <v>66</v>
      </c>
      <c r="M104" s="206" t="s">
        <v>759</v>
      </c>
      <c r="N104" s="206" t="s">
        <v>471</v>
      </c>
      <c r="O104" s="211">
        <f t="shared" ref="O104:Q107" si="7">IF($B104="N/A", "N/A", 1)</f>
        <v>1</v>
      </c>
      <c r="P104" s="211">
        <f t="shared" si="7"/>
        <v>1</v>
      </c>
      <c r="Q104" s="211">
        <f t="shared" si="7"/>
        <v>1</v>
      </c>
    </row>
    <row r="105" spans="1:17" ht="14.55" customHeight="1" x14ac:dyDescent="0.3">
      <c r="A105" s="364"/>
      <c r="B105" s="4" t="s">
        <v>612</v>
      </c>
      <c r="C105" s="206">
        <v>16</v>
      </c>
      <c r="D105" s="206">
        <v>8</v>
      </c>
      <c r="E105" s="206" t="s">
        <v>263</v>
      </c>
      <c r="F105" s="366"/>
      <c r="G105" s="209" t="s">
        <v>48</v>
      </c>
      <c r="H105" s="230"/>
      <c r="I105" s="209" t="s">
        <v>1084</v>
      </c>
      <c r="J105" s="209" t="s">
        <v>1084</v>
      </c>
      <c r="K105" s="216"/>
      <c r="L105" s="206" t="s">
        <v>66</v>
      </c>
      <c r="M105" s="206" t="s">
        <v>760</v>
      </c>
      <c r="N105" s="206" t="s">
        <v>472</v>
      </c>
      <c r="O105" s="211">
        <f t="shared" si="7"/>
        <v>1</v>
      </c>
      <c r="P105" s="211">
        <f t="shared" si="7"/>
        <v>1</v>
      </c>
      <c r="Q105" s="211">
        <f t="shared" si="7"/>
        <v>1</v>
      </c>
    </row>
    <row r="106" spans="1:17" ht="14.55" customHeight="1" x14ac:dyDescent="0.3">
      <c r="A106" s="364"/>
      <c r="B106" s="4" t="s">
        <v>612</v>
      </c>
      <c r="C106" s="206">
        <v>24</v>
      </c>
      <c r="D106" s="206">
        <v>4</v>
      </c>
      <c r="E106" s="206" t="s">
        <v>264</v>
      </c>
      <c r="F106" s="366"/>
      <c r="G106" s="209" t="s">
        <v>48</v>
      </c>
      <c r="H106" s="230"/>
      <c r="I106" s="209" t="s">
        <v>1084</v>
      </c>
      <c r="J106" s="209" t="s">
        <v>1084</v>
      </c>
      <c r="K106" s="216"/>
      <c r="L106" s="206" t="s">
        <v>66</v>
      </c>
      <c r="M106" s="206" t="s">
        <v>761</v>
      </c>
      <c r="N106" s="206" t="s">
        <v>473</v>
      </c>
      <c r="O106" s="211">
        <f t="shared" si="7"/>
        <v>1</v>
      </c>
      <c r="P106" s="211">
        <f t="shared" si="7"/>
        <v>1</v>
      </c>
      <c r="Q106" s="211">
        <f t="shared" si="7"/>
        <v>1</v>
      </c>
    </row>
    <row r="107" spans="1:17" ht="14.55" customHeight="1" x14ac:dyDescent="0.3">
      <c r="A107" s="333"/>
      <c r="B107" s="4" t="s">
        <v>612</v>
      </c>
      <c r="C107" s="206">
        <v>28</v>
      </c>
      <c r="D107" s="206">
        <v>4</v>
      </c>
      <c r="E107" s="206" t="s">
        <v>265</v>
      </c>
      <c r="F107" s="367"/>
      <c r="G107" s="209" t="s">
        <v>48</v>
      </c>
      <c r="H107" s="230"/>
      <c r="I107" s="209" t="s">
        <v>1085</v>
      </c>
      <c r="J107" s="209" t="s">
        <v>1085</v>
      </c>
      <c r="K107" s="216"/>
      <c r="L107" s="206" t="s">
        <v>66</v>
      </c>
      <c r="M107" s="206" t="s">
        <v>762</v>
      </c>
      <c r="N107" s="206" t="s">
        <v>472</v>
      </c>
      <c r="O107" s="211">
        <f t="shared" si="7"/>
        <v>1</v>
      </c>
      <c r="P107" s="211">
        <f t="shared" si="7"/>
        <v>1</v>
      </c>
      <c r="Q107" s="211">
        <f t="shared" si="7"/>
        <v>1</v>
      </c>
    </row>
    <row r="108" spans="1:17" ht="14.55" customHeight="1" x14ac:dyDescent="0.3">
      <c r="A108" s="334" t="s">
        <v>52</v>
      </c>
      <c r="B108" s="16" t="s">
        <v>253</v>
      </c>
      <c r="C108" s="207">
        <v>0</v>
      </c>
      <c r="D108" s="207">
        <v>1</v>
      </c>
      <c r="E108" s="207" t="s">
        <v>546</v>
      </c>
      <c r="F108" s="222" t="s">
        <v>384</v>
      </c>
      <c r="G108" s="214" t="s">
        <v>48</v>
      </c>
      <c r="H108" s="230"/>
      <c r="I108" s="214" t="s">
        <v>48</v>
      </c>
      <c r="J108" s="230"/>
      <c r="K108" s="210" t="s">
        <v>17</v>
      </c>
      <c r="L108" s="206" t="s">
        <v>66</v>
      </c>
      <c r="M108" s="206" t="s">
        <v>748</v>
      </c>
      <c r="N108" s="206" t="s">
        <v>533</v>
      </c>
      <c r="O108" s="210">
        <f ca="1">IF($B108="N/A", "N/A", VLOOKUP($B108, INDIRECT(Config!$B$1), HLOOKUP(O$1, INDIRECT(Config!$E$1), 2, FALSE),FALSE))</f>
        <v>1</v>
      </c>
      <c r="P108" s="210">
        <f ca="1">IF($B108="N/A", "N/A", VLOOKUP($B108, INDIRECT(Config!$B$1), HLOOKUP(P$1, INDIRECT(Config!$E$1), 2, FALSE),FALSE))</f>
        <v>1</v>
      </c>
      <c r="Q108" s="210">
        <f ca="1">IF($B108="N/A", "N/A", VLOOKUP($B108, INDIRECT(Config!$B$1), HLOOKUP(Q$1, INDIRECT(Config!$E$1), 2, FALSE),FALSE))</f>
        <v>0</v>
      </c>
    </row>
    <row r="109" spans="1:17" s="15" customFormat="1" ht="14.55" customHeight="1" x14ac:dyDescent="0.3">
      <c r="A109" s="364"/>
      <c r="B109" s="16" t="s">
        <v>253</v>
      </c>
      <c r="C109" s="207">
        <v>1</v>
      </c>
      <c r="D109" s="207">
        <v>1</v>
      </c>
      <c r="E109" s="207" t="s">
        <v>547</v>
      </c>
      <c r="F109" s="222" t="s">
        <v>384</v>
      </c>
      <c r="G109" s="214" t="s">
        <v>48</v>
      </c>
      <c r="H109" s="230"/>
      <c r="I109" s="214" t="s">
        <v>48</v>
      </c>
      <c r="J109" s="230" t="s">
        <v>1144</v>
      </c>
      <c r="K109" s="210" t="s">
        <v>17</v>
      </c>
      <c r="L109" s="206" t="s">
        <v>66</v>
      </c>
      <c r="M109" s="206" t="s">
        <v>749</v>
      </c>
      <c r="N109" s="206" t="s">
        <v>534</v>
      </c>
      <c r="O109" s="210">
        <f ca="1">IF($B109="N/A", "N/A", VLOOKUP($B109, INDIRECT(Config!$B$1), HLOOKUP(O$1, INDIRECT(Config!$E$1), 2, FALSE),FALSE))</f>
        <v>1</v>
      </c>
      <c r="P109" s="210">
        <f ca="1">IF($B109="N/A", "N/A", VLOOKUP($B109, INDIRECT(Config!$B$1), HLOOKUP(P$1, INDIRECT(Config!$E$1), 2, FALSE),FALSE))</f>
        <v>1</v>
      </c>
      <c r="Q109" s="210">
        <f ca="1">IF($B109="N/A", "N/A", VLOOKUP($B109, INDIRECT(Config!$B$1), HLOOKUP(Q$1, INDIRECT(Config!$E$1), 2, FALSE),FALSE))</f>
        <v>0</v>
      </c>
    </row>
    <row r="110" spans="1:17" s="15" customFormat="1" ht="14.55" customHeight="1" x14ac:dyDescent="0.3">
      <c r="A110" s="333"/>
      <c r="B110" s="16" t="s">
        <v>253</v>
      </c>
      <c r="C110" s="207">
        <v>2</v>
      </c>
      <c r="D110" s="207">
        <v>30</v>
      </c>
      <c r="E110" s="207" t="s">
        <v>664</v>
      </c>
      <c r="F110" s="222" t="s">
        <v>384</v>
      </c>
      <c r="G110" s="214" t="s">
        <v>48</v>
      </c>
      <c r="H110" s="230"/>
      <c r="I110" s="214" t="s">
        <v>48</v>
      </c>
      <c r="J110" s="230"/>
      <c r="K110" s="210" t="s">
        <v>17</v>
      </c>
      <c r="L110" s="206" t="s">
        <v>66</v>
      </c>
      <c r="M110" s="206" t="s">
        <v>750</v>
      </c>
      <c r="N110" s="206" t="s">
        <v>534</v>
      </c>
      <c r="O110" s="210">
        <f ca="1">IF($B110="N/A", "N/A", VLOOKUP($B110, INDIRECT(Config!$B$1), HLOOKUP(O$1, INDIRECT(Config!$E$1), 2, FALSE),FALSE))</f>
        <v>1</v>
      </c>
      <c r="P110" s="210">
        <f ca="1">IF($B110="N/A", "N/A", VLOOKUP($B110, INDIRECT(Config!$B$1), HLOOKUP(P$1, INDIRECT(Config!$E$1), 2, FALSE),FALSE))</f>
        <v>1</v>
      </c>
      <c r="Q110" s="210">
        <f ca="1">IF($B110="N/A", "N/A", VLOOKUP($B110, INDIRECT(Config!$B$1), HLOOKUP(Q$1, INDIRECT(Config!$E$1), 2, FALSE),FALSE))</f>
        <v>0</v>
      </c>
    </row>
    <row r="111" spans="1:17" s="15" customFormat="1" ht="14.55" customHeight="1" x14ac:dyDescent="0.3">
      <c r="A111" s="334" t="s">
        <v>353</v>
      </c>
      <c r="B111" s="16" t="s">
        <v>253</v>
      </c>
      <c r="C111" s="207">
        <v>0</v>
      </c>
      <c r="D111" s="207">
        <v>1</v>
      </c>
      <c r="E111" s="207" t="s">
        <v>548</v>
      </c>
      <c r="F111" s="222" t="s">
        <v>384</v>
      </c>
      <c r="G111" s="214" t="s">
        <v>48</v>
      </c>
      <c r="H111" s="230"/>
      <c r="I111" s="214" t="s">
        <v>48</v>
      </c>
      <c r="J111" s="230"/>
      <c r="K111" s="210" t="s">
        <v>17</v>
      </c>
      <c r="L111" s="206" t="s">
        <v>66</v>
      </c>
      <c r="M111" s="206" t="s">
        <v>751</v>
      </c>
      <c r="N111" s="206" t="s">
        <v>545</v>
      </c>
      <c r="O111" s="210">
        <f ca="1">IF($B111="N/A", "N/A", VLOOKUP($B111, INDIRECT(Config!$B$1), HLOOKUP(O$1, INDIRECT(Config!$E$1), 2, FALSE),FALSE))</f>
        <v>1</v>
      </c>
      <c r="P111" s="210">
        <f ca="1">IF($B111="N/A", "N/A", VLOOKUP($B111, INDIRECT(Config!$B$1), HLOOKUP(P$1, INDIRECT(Config!$E$1), 2, FALSE),FALSE))</f>
        <v>1</v>
      </c>
      <c r="Q111" s="210">
        <f ca="1">IF($B111="N/A", "N/A", VLOOKUP($B111, INDIRECT(Config!$B$1), HLOOKUP(Q$1, INDIRECT(Config!$E$1), 2, FALSE),FALSE))</f>
        <v>0</v>
      </c>
    </row>
    <row r="112" spans="1:17" ht="14.55" customHeight="1" x14ac:dyDescent="0.3">
      <c r="A112" s="333"/>
      <c r="B112" s="16" t="s">
        <v>253</v>
      </c>
      <c r="C112" s="207">
        <v>1</v>
      </c>
      <c r="D112" s="207">
        <v>31</v>
      </c>
      <c r="E112" s="207" t="s">
        <v>663</v>
      </c>
      <c r="F112" s="222" t="s">
        <v>384</v>
      </c>
      <c r="G112" s="214" t="s">
        <v>48</v>
      </c>
      <c r="H112" s="230"/>
      <c r="I112" s="214" t="s">
        <v>48</v>
      </c>
      <c r="J112" s="230"/>
      <c r="K112" s="210" t="s">
        <v>17</v>
      </c>
      <c r="L112" s="206" t="s">
        <v>66</v>
      </c>
      <c r="M112" s="206" t="s">
        <v>752</v>
      </c>
      <c r="N112" s="206" t="s">
        <v>545</v>
      </c>
      <c r="O112" s="210">
        <f ca="1">IF($B112="N/A", "N/A", VLOOKUP($B112, INDIRECT(Config!$B$1), HLOOKUP(O$1, INDIRECT(Config!$E$1), 2, FALSE),FALSE))</f>
        <v>1</v>
      </c>
      <c r="P112" s="210">
        <f ca="1">IF($B112="N/A", "N/A", VLOOKUP($B112, INDIRECT(Config!$B$1), HLOOKUP(P$1, INDIRECT(Config!$E$1), 2, FALSE),FALSE))</f>
        <v>1</v>
      </c>
      <c r="Q112" s="210">
        <f ca="1">IF($B112="N/A", "N/A", VLOOKUP($B112, INDIRECT(Config!$B$1), HLOOKUP(Q$1, INDIRECT(Config!$E$1), 2, FALSE),FALSE))</f>
        <v>0</v>
      </c>
    </row>
    <row r="113" spans="1:17" ht="14.55" customHeight="1" x14ac:dyDescent="0.3">
      <c r="A113" s="334" t="s">
        <v>354</v>
      </c>
      <c r="B113" s="16" t="s">
        <v>355</v>
      </c>
      <c r="C113" s="207">
        <v>0</v>
      </c>
      <c r="D113" s="207">
        <v>1</v>
      </c>
      <c r="E113" s="207" t="s">
        <v>546</v>
      </c>
      <c r="F113" s="222" t="s">
        <v>384</v>
      </c>
      <c r="G113" s="214" t="s">
        <v>48</v>
      </c>
      <c r="H113" s="230"/>
      <c r="I113" s="214" t="s">
        <v>48</v>
      </c>
      <c r="J113" s="230"/>
      <c r="K113" s="210" t="s">
        <v>17</v>
      </c>
      <c r="L113" s="206" t="s">
        <v>66</v>
      </c>
      <c r="M113" s="206" t="s">
        <v>753</v>
      </c>
      <c r="N113" s="206" t="s">
        <v>533</v>
      </c>
      <c r="O113" s="210">
        <f ca="1">IF(VLOOKUP("PARAM_INT_IFP_TRIPLE_RDD_DIS", INDIRECT(Config!$B$1), HLOOKUP(O$1, INDIRECT(Config!$E$1), 2, FALSE),FALSE)=0, VLOOKUP("TRC_PRESENT", INDIRECT(Config!$B$1), HLOOKUP(O$1, INDIRECT(Config!$E$1), 2, FALSE),FALSE), 0)</f>
        <v>0</v>
      </c>
      <c r="P113" s="210">
        <f ca="1">IF(VLOOKUP("PARAM_INT_IFP_TRIPLE_RDD_DIS", INDIRECT(Config!$B$1), HLOOKUP(P$1, INDIRECT(Config!$E$1), 2, FALSE),FALSE)=0, VLOOKUP("TRC_PRESENT", INDIRECT(Config!$B$1), HLOOKUP(P$1, INDIRECT(Config!$E$1), 2, FALSE),FALSE), 0)</f>
        <v>0</v>
      </c>
      <c r="Q113" s="210">
        <f ca="1">IF(VLOOKUP("PARAM_INT_IFP_TRIPLE_RDD_DIS", INDIRECT(Config!$B$1), HLOOKUP(Q$1, INDIRECT(Config!$E$1), 2, FALSE),FALSE)=0, VLOOKUP("TRC_PRESENT", INDIRECT(Config!$B$1), HLOOKUP(Q$1, INDIRECT(Config!$E$1), 2, FALSE),FALSE), 0)</f>
        <v>0</v>
      </c>
    </row>
    <row r="114" spans="1:17" s="15" customFormat="1" ht="14.55" customHeight="1" x14ac:dyDescent="0.3">
      <c r="A114" s="364"/>
      <c r="B114" s="16" t="s">
        <v>355</v>
      </c>
      <c r="C114" s="207">
        <v>1</v>
      </c>
      <c r="D114" s="207">
        <v>1</v>
      </c>
      <c r="E114" s="207" t="s">
        <v>547</v>
      </c>
      <c r="F114" s="222" t="s">
        <v>384</v>
      </c>
      <c r="G114" s="214" t="s">
        <v>48</v>
      </c>
      <c r="H114" s="230"/>
      <c r="I114" s="214" t="s">
        <v>48</v>
      </c>
      <c r="J114" s="230"/>
      <c r="K114" s="210" t="s">
        <v>17</v>
      </c>
      <c r="L114" s="206" t="s">
        <v>66</v>
      </c>
      <c r="M114" s="206" t="s">
        <v>754</v>
      </c>
      <c r="N114" s="206" t="s">
        <v>534</v>
      </c>
      <c r="O114" s="210">
        <f ca="1">IF(VLOOKUP("PARAM_INT_IFP_TRIPLE_RDD_DIS", INDIRECT(Config!$B$1), HLOOKUP(O$1, INDIRECT(Config!$E$1), 2, FALSE),FALSE)=0, VLOOKUP("TRC_PRESENT", INDIRECT(Config!$B$1), HLOOKUP(O$1, INDIRECT(Config!$E$1), 2, FALSE),FALSE), 0)</f>
        <v>0</v>
      </c>
      <c r="P114" s="210">
        <f ca="1">IF(VLOOKUP("PARAM_INT_IFP_TRIPLE_RDD_DIS", INDIRECT(Config!$B$1), HLOOKUP(P$1, INDIRECT(Config!$E$1), 2, FALSE),FALSE)=0, VLOOKUP("TRC_PRESENT", INDIRECT(Config!$B$1), HLOOKUP(P$1, INDIRECT(Config!$E$1), 2, FALSE),FALSE), 0)</f>
        <v>0</v>
      </c>
      <c r="Q114" s="210">
        <f ca="1">IF(VLOOKUP("PARAM_INT_IFP_TRIPLE_RDD_DIS", INDIRECT(Config!$B$1), HLOOKUP(Q$1, INDIRECT(Config!$E$1), 2, FALSE),FALSE)=0, VLOOKUP("TRC_PRESENT", INDIRECT(Config!$B$1), HLOOKUP(Q$1, INDIRECT(Config!$E$1), 2, FALSE),FALSE), 0)</f>
        <v>0</v>
      </c>
    </row>
    <row r="115" spans="1:17" s="15" customFormat="1" ht="14.55" customHeight="1" x14ac:dyDescent="0.3">
      <c r="A115" s="333"/>
      <c r="B115" s="16" t="s">
        <v>355</v>
      </c>
      <c r="C115" s="207">
        <v>2</v>
      </c>
      <c r="D115" s="207">
        <v>30</v>
      </c>
      <c r="E115" s="207" t="s">
        <v>664</v>
      </c>
      <c r="F115" s="222" t="s">
        <v>384</v>
      </c>
      <c r="G115" s="214" t="s">
        <v>48</v>
      </c>
      <c r="H115" s="230"/>
      <c r="I115" s="214" t="s">
        <v>48</v>
      </c>
      <c r="J115" s="230"/>
      <c r="K115" s="210" t="s">
        <v>17</v>
      </c>
      <c r="L115" s="206" t="s">
        <v>66</v>
      </c>
      <c r="M115" s="206" t="s">
        <v>750</v>
      </c>
      <c r="N115" s="206" t="s">
        <v>534</v>
      </c>
      <c r="O115" s="210">
        <f ca="1">IF(VLOOKUP("PARAM_INT_IFP_TRIPLE_RDD_DIS", INDIRECT(Config!$B$1), HLOOKUP(O$1, INDIRECT(Config!$E$1), 2, FALSE),FALSE)=0, VLOOKUP("TRC_PRESENT", INDIRECT(Config!$B$1), HLOOKUP(O$1, INDIRECT(Config!$E$1), 2, FALSE),FALSE), 0)</f>
        <v>0</v>
      </c>
      <c r="P115" s="210">
        <f ca="1">IF(VLOOKUP("PARAM_INT_IFP_TRIPLE_RDD_DIS", INDIRECT(Config!$B$1), HLOOKUP(P$1, INDIRECT(Config!$E$1), 2, FALSE),FALSE)=0, VLOOKUP("TRC_PRESENT", INDIRECT(Config!$B$1), HLOOKUP(P$1, INDIRECT(Config!$E$1), 2, FALSE),FALSE), 0)</f>
        <v>0</v>
      </c>
      <c r="Q115" s="210">
        <f ca="1">IF(VLOOKUP("PARAM_INT_IFP_TRIPLE_RDD_DIS", INDIRECT(Config!$B$1), HLOOKUP(Q$1, INDIRECT(Config!$E$1), 2, FALSE),FALSE)=0, VLOOKUP("TRC_PRESENT", INDIRECT(Config!$B$1), HLOOKUP(Q$1, INDIRECT(Config!$E$1), 2, FALSE),FALSE), 0)</f>
        <v>0</v>
      </c>
    </row>
    <row r="116" spans="1:17" s="15" customFormat="1" ht="14.55" customHeight="1" x14ac:dyDescent="0.3">
      <c r="A116" s="334" t="s">
        <v>356</v>
      </c>
      <c r="B116" s="16" t="s">
        <v>355</v>
      </c>
      <c r="C116" s="207">
        <v>0</v>
      </c>
      <c r="D116" s="207">
        <v>1</v>
      </c>
      <c r="E116" s="207" t="s">
        <v>548</v>
      </c>
      <c r="F116" s="222" t="s">
        <v>384</v>
      </c>
      <c r="G116" s="214" t="s">
        <v>48</v>
      </c>
      <c r="H116" s="230"/>
      <c r="I116" s="214" t="s">
        <v>48</v>
      </c>
      <c r="J116" s="230"/>
      <c r="K116" s="210" t="s">
        <v>17</v>
      </c>
      <c r="L116" s="206" t="s">
        <v>66</v>
      </c>
      <c r="M116" s="206" t="s">
        <v>755</v>
      </c>
      <c r="N116" s="206" t="s">
        <v>545</v>
      </c>
      <c r="O116" s="210">
        <f ca="1">IF(VLOOKUP("PARAM_INT_IFP_TRIPLE_RDD_DIS", INDIRECT(Config!$B$1), HLOOKUP(O$1, INDIRECT(Config!$E$1), 2, FALSE),FALSE)=0, VLOOKUP("TRC_PRESENT", INDIRECT(Config!$B$1), HLOOKUP(O$1, INDIRECT(Config!$E$1), 2, FALSE),FALSE), 0)</f>
        <v>0</v>
      </c>
      <c r="P116" s="210">
        <f ca="1">IF(VLOOKUP("PARAM_INT_IFP_TRIPLE_RDD_DIS", INDIRECT(Config!$B$1), HLOOKUP(P$1, INDIRECT(Config!$E$1), 2, FALSE),FALSE)=0, VLOOKUP("TRC_PRESENT", INDIRECT(Config!$B$1), HLOOKUP(P$1, INDIRECT(Config!$E$1), 2, FALSE),FALSE), 0)</f>
        <v>0</v>
      </c>
      <c r="Q116" s="210">
        <f ca="1">IF(VLOOKUP("PARAM_INT_IFP_TRIPLE_RDD_DIS", INDIRECT(Config!$B$1), HLOOKUP(Q$1, INDIRECT(Config!$E$1), 2, FALSE),FALSE)=0, VLOOKUP("TRC_PRESENT", INDIRECT(Config!$B$1), HLOOKUP(Q$1, INDIRECT(Config!$E$1), 2, FALSE),FALSE), 0)</f>
        <v>0</v>
      </c>
    </row>
    <row r="117" spans="1:17" ht="14.55" customHeight="1" x14ac:dyDescent="0.3">
      <c r="A117" s="333"/>
      <c r="B117" s="16" t="s">
        <v>355</v>
      </c>
      <c r="C117" s="207">
        <v>1</v>
      </c>
      <c r="D117" s="207">
        <v>31</v>
      </c>
      <c r="E117" s="207" t="s">
        <v>663</v>
      </c>
      <c r="F117" s="222" t="s">
        <v>384</v>
      </c>
      <c r="G117" s="214" t="s">
        <v>48</v>
      </c>
      <c r="H117" s="230"/>
      <c r="I117" s="214" t="s">
        <v>48</v>
      </c>
      <c r="J117" s="230"/>
      <c r="K117" s="210" t="s">
        <v>17</v>
      </c>
      <c r="L117" s="206" t="s">
        <v>66</v>
      </c>
      <c r="M117" s="206" t="s">
        <v>752</v>
      </c>
      <c r="N117" s="206" t="s">
        <v>545</v>
      </c>
      <c r="O117" s="210">
        <f ca="1">IF(VLOOKUP("PARAM_INT_IFP_TRIPLE_RDD_DIS", INDIRECT(Config!$B$1), HLOOKUP(O$1, INDIRECT(Config!$E$1), 2, FALSE),FALSE)=0, VLOOKUP("TRC_PRESENT", INDIRECT(Config!$B$1), HLOOKUP(O$1, INDIRECT(Config!$E$1), 2, FALSE),FALSE), 0)</f>
        <v>0</v>
      </c>
      <c r="P117" s="210">
        <f ca="1">IF(VLOOKUP("PARAM_INT_IFP_TRIPLE_RDD_DIS", INDIRECT(Config!$B$1), HLOOKUP(P$1, INDIRECT(Config!$E$1), 2, FALSE),FALSE)=0, VLOOKUP("TRC_PRESENT", INDIRECT(Config!$B$1), HLOOKUP(P$1, INDIRECT(Config!$E$1), 2, FALSE),FALSE), 0)</f>
        <v>0</v>
      </c>
      <c r="Q117" s="210">
        <f ca="1">IF(VLOOKUP("PARAM_INT_IFP_TRIPLE_RDD_DIS", INDIRECT(Config!$B$1), HLOOKUP(Q$1, INDIRECT(Config!$E$1), 2, FALSE),FALSE)=0, VLOOKUP("TRC_PRESENT", INDIRECT(Config!$B$1), HLOOKUP(Q$1, INDIRECT(Config!$E$1), 2, FALSE),FALSE), 0)</f>
        <v>0</v>
      </c>
    </row>
    <row r="118" spans="1:17" ht="14.55" customHeight="1" x14ac:dyDescent="0.3">
      <c r="A118" s="334" t="s">
        <v>357</v>
      </c>
      <c r="B118" s="16" t="s">
        <v>355</v>
      </c>
      <c r="C118" s="207">
        <v>0</v>
      </c>
      <c r="D118" s="207">
        <v>1</v>
      </c>
      <c r="E118" s="207" t="s">
        <v>546</v>
      </c>
      <c r="F118" s="222" t="s">
        <v>384</v>
      </c>
      <c r="G118" s="214" t="s">
        <v>48</v>
      </c>
      <c r="H118" s="230"/>
      <c r="I118" s="214" t="s">
        <v>48</v>
      </c>
      <c r="J118" s="230"/>
      <c r="K118" s="210" t="s">
        <v>17</v>
      </c>
      <c r="L118" s="206" t="s">
        <v>66</v>
      </c>
      <c r="M118" s="206" t="s">
        <v>756</v>
      </c>
      <c r="N118" s="206" t="s">
        <v>533</v>
      </c>
      <c r="O118" s="210">
        <f ca="1">IF(VLOOKUP("PARAM_INT_IFP_TRIPLE_RDD_DIS", INDIRECT(Config!$B$1), HLOOKUP(O$1, INDIRECT(Config!$E$1), 2, FALSE),FALSE)=0, VLOOKUP("TRC_PRESENT", INDIRECT(Config!$B$1), HLOOKUP(O$1, INDIRECT(Config!$E$1), 2, FALSE),FALSE), 0)</f>
        <v>0</v>
      </c>
      <c r="P118" s="210">
        <f ca="1">IF(VLOOKUP("PARAM_INT_IFP_TRIPLE_RDD_DIS", INDIRECT(Config!$B$1), HLOOKUP(P$1, INDIRECT(Config!$E$1), 2, FALSE),FALSE)=0, VLOOKUP("TRC_PRESENT", INDIRECT(Config!$B$1), HLOOKUP(P$1, INDIRECT(Config!$E$1), 2, FALSE),FALSE), 0)</f>
        <v>0</v>
      </c>
      <c r="Q118" s="210">
        <f ca="1">IF(VLOOKUP("PARAM_INT_IFP_TRIPLE_RDD_DIS", INDIRECT(Config!$B$1), HLOOKUP(Q$1, INDIRECT(Config!$E$1), 2, FALSE),FALSE)=0, VLOOKUP("TRC_PRESENT", INDIRECT(Config!$B$1), HLOOKUP(Q$1, INDIRECT(Config!$E$1), 2, FALSE),FALSE), 0)</f>
        <v>0</v>
      </c>
    </row>
    <row r="119" spans="1:17" s="15" customFormat="1" ht="14.55" customHeight="1" x14ac:dyDescent="0.3">
      <c r="A119" s="364"/>
      <c r="B119" s="16" t="s">
        <v>355</v>
      </c>
      <c r="C119" s="207">
        <v>1</v>
      </c>
      <c r="D119" s="207">
        <v>1</v>
      </c>
      <c r="E119" s="207" t="s">
        <v>547</v>
      </c>
      <c r="F119" s="222" t="s">
        <v>384</v>
      </c>
      <c r="G119" s="214" t="s">
        <v>48</v>
      </c>
      <c r="H119" s="230"/>
      <c r="I119" s="214" t="s">
        <v>48</v>
      </c>
      <c r="J119" s="230"/>
      <c r="K119" s="210" t="s">
        <v>17</v>
      </c>
      <c r="L119" s="206" t="s">
        <v>66</v>
      </c>
      <c r="M119" s="206" t="s">
        <v>757</v>
      </c>
      <c r="N119" s="206" t="s">
        <v>534</v>
      </c>
      <c r="O119" s="210">
        <f ca="1">IF(VLOOKUP("PARAM_INT_IFP_TRIPLE_RDD_DIS", INDIRECT(Config!$B$1), HLOOKUP(O$1, INDIRECT(Config!$E$1), 2, FALSE),FALSE)=0, VLOOKUP("TRC_PRESENT", INDIRECT(Config!$B$1), HLOOKUP(O$1, INDIRECT(Config!$E$1), 2, FALSE),FALSE), 0)</f>
        <v>0</v>
      </c>
      <c r="P119" s="210">
        <f ca="1">IF(VLOOKUP("PARAM_INT_IFP_TRIPLE_RDD_DIS", INDIRECT(Config!$B$1), HLOOKUP(P$1, INDIRECT(Config!$E$1), 2, FALSE),FALSE)=0, VLOOKUP("TRC_PRESENT", INDIRECT(Config!$B$1), HLOOKUP(P$1, INDIRECT(Config!$E$1), 2, FALSE),FALSE), 0)</f>
        <v>0</v>
      </c>
      <c r="Q119" s="210">
        <f ca="1">IF(VLOOKUP("PARAM_INT_IFP_TRIPLE_RDD_DIS", INDIRECT(Config!$B$1), HLOOKUP(Q$1, INDIRECT(Config!$E$1), 2, FALSE),FALSE)=0, VLOOKUP("TRC_PRESENT", INDIRECT(Config!$B$1), HLOOKUP(Q$1, INDIRECT(Config!$E$1), 2, FALSE),FALSE), 0)</f>
        <v>0</v>
      </c>
    </row>
    <row r="120" spans="1:17" s="15" customFormat="1" ht="14.55" customHeight="1" x14ac:dyDescent="0.3">
      <c r="A120" s="333"/>
      <c r="B120" s="16" t="s">
        <v>355</v>
      </c>
      <c r="C120" s="207">
        <v>2</v>
      </c>
      <c r="D120" s="207">
        <v>30</v>
      </c>
      <c r="E120" s="207" t="s">
        <v>664</v>
      </c>
      <c r="F120" s="222" t="s">
        <v>384</v>
      </c>
      <c r="G120" s="214" t="s">
        <v>48</v>
      </c>
      <c r="H120" s="230"/>
      <c r="I120" s="214" t="s">
        <v>48</v>
      </c>
      <c r="J120" s="230"/>
      <c r="K120" s="210" t="s">
        <v>17</v>
      </c>
      <c r="L120" s="206" t="s">
        <v>66</v>
      </c>
      <c r="M120" s="206" t="s">
        <v>750</v>
      </c>
      <c r="N120" s="206" t="s">
        <v>534</v>
      </c>
      <c r="O120" s="210">
        <f ca="1">IF(VLOOKUP("PARAM_INT_IFP_TRIPLE_RDD_DIS", INDIRECT(Config!$B$1), HLOOKUP(O$1, INDIRECT(Config!$E$1), 2, FALSE),FALSE)=0, VLOOKUP("TRC_PRESENT", INDIRECT(Config!$B$1), HLOOKUP(O$1, INDIRECT(Config!$E$1), 2, FALSE),FALSE), 0)</f>
        <v>0</v>
      </c>
      <c r="P120" s="210">
        <f ca="1">IF(VLOOKUP("PARAM_INT_IFP_TRIPLE_RDD_DIS", INDIRECT(Config!$B$1), HLOOKUP(P$1, INDIRECT(Config!$E$1), 2, FALSE),FALSE)=0, VLOOKUP("TRC_PRESENT", INDIRECT(Config!$B$1), HLOOKUP(P$1, INDIRECT(Config!$E$1), 2, FALSE),FALSE), 0)</f>
        <v>0</v>
      </c>
      <c r="Q120" s="210">
        <f ca="1">IF(VLOOKUP("PARAM_INT_IFP_TRIPLE_RDD_DIS", INDIRECT(Config!$B$1), HLOOKUP(Q$1, INDIRECT(Config!$E$1), 2, FALSE),FALSE)=0, VLOOKUP("TRC_PRESENT", INDIRECT(Config!$B$1), HLOOKUP(Q$1, INDIRECT(Config!$E$1), 2, FALSE),FALSE), 0)</f>
        <v>0</v>
      </c>
    </row>
    <row r="121" spans="1:17" s="15" customFormat="1" ht="14.55" customHeight="1" x14ac:dyDescent="0.3">
      <c r="A121" s="334" t="s">
        <v>358</v>
      </c>
      <c r="B121" s="16" t="s">
        <v>355</v>
      </c>
      <c r="C121" s="207">
        <v>0</v>
      </c>
      <c r="D121" s="207">
        <v>1</v>
      </c>
      <c r="E121" s="207" t="s">
        <v>548</v>
      </c>
      <c r="F121" s="222" t="s">
        <v>384</v>
      </c>
      <c r="G121" s="214" t="s">
        <v>48</v>
      </c>
      <c r="H121" s="230"/>
      <c r="I121" s="214" t="s">
        <v>48</v>
      </c>
      <c r="J121" s="230"/>
      <c r="K121" s="210" t="s">
        <v>17</v>
      </c>
      <c r="L121" s="206" t="s">
        <v>66</v>
      </c>
      <c r="M121" s="206" t="s">
        <v>758</v>
      </c>
      <c r="N121" s="206" t="s">
        <v>545</v>
      </c>
      <c r="O121" s="210">
        <f ca="1">IF(VLOOKUP("PARAM_INT_IFP_TRIPLE_RDD_DIS", INDIRECT(Config!$B$1), HLOOKUP(O$1, INDIRECT(Config!$E$1), 2, FALSE),FALSE)=0, VLOOKUP("TRC_PRESENT", INDIRECT(Config!$B$1), HLOOKUP(O$1, INDIRECT(Config!$E$1), 2, FALSE),FALSE), 0)</f>
        <v>0</v>
      </c>
      <c r="P121" s="210">
        <f ca="1">IF(VLOOKUP("PARAM_INT_IFP_TRIPLE_RDD_DIS", INDIRECT(Config!$B$1), HLOOKUP(P$1, INDIRECT(Config!$E$1), 2, FALSE),FALSE)=0, VLOOKUP("TRC_PRESENT", INDIRECT(Config!$B$1), HLOOKUP(P$1, INDIRECT(Config!$E$1), 2, FALSE),FALSE), 0)</f>
        <v>0</v>
      </c>
      <c r="Q121" s="210">
        <f ca="1">IF(VLOOKUP("PARAM_INT_IFP_TRIPLE_RDD_DIS", INDIRECT(Config!$B$1), HLOOKUP(Q$1, INDIRECT(Config!$E$1), 2, FALSE),FALSE)=0, VLOOKUP("TRC_PRESENT", INDIRECT(Config!$B$1), HLOOKUP(Q$1, INDIRECT(Config!$E$1), 2, FALSE),FALSE), 0)</f>
        <v>0</v>
      </c>
    </row>
    <row r="122" spans="1:17" ht="14.55" customHeight="1" x14ac:dyDescent="0.3">
      <c r="A122" s="333"/>
      <c r="B122" s="16" t="s">
        <v>355</v>
      </c>
      <c r="C122" s="207">
        <v>1</v>
      </c>
      <c r="D122" s="207">
        <v>31</v>
      </c>
      <c r="E122" s="207" t="s">
        <v>663</v>
      </c>
      <c r="F122" s="222" t="s">
        <v>384</v>
      </c>
      <c r="G122" s="214" t="s">
        <v>48</v>
      </c>
      <c r="H122" s="230"/>
      <c r="I122" s="214" t="s">
        <v>48</v>
      </c>
      <c r="J122" s="230"/>
      <c r="K122" s="210" t="s">
        <v>17</v>
      </c>
      <c r="L122" s="206" t="s">
        <v>66</v>
      </c>
      <c r="M122" s="206" t="s">
        <v>752</v>
      </c>
      <c r="N122" s="206" t="s">
        <v>545</v>
      </c>
      <c r="O122" s="210">
        <f ca="1">IF(VLOOKUP("PARAM_INT_IFP_TRIPLE_RDD_DIS", INDIRECT(Config!$B$1), HLOOKUP(O$1, INDIRECT(Config!$E$1), 2, FALSE),FALSE)=0, VLOOKUP("TRC_PRESENT", INDIRECT(Config!$B$1), HLOOKUP(O$1, INDIRECT(Config!$E$1), 2, FALSE),FALSE), 0)</f>
        <v>0</v>
      </c>
      <c r="P122" s="210">
        <f ca="1">IF(VLOOKUP("PARAM_INT_IFP_TRIPLE_RDD_DIS", INDIRECT(Config!$B$1), HLOOKUP(P$1, INDIRECT(Config!$E$1), 2, FALSE),FALSE)=0, VLOOKUP("TRC_PRESENT", INDIRECT(Config!$B$1), HLOOKUP(P$1, INDIRECT(Config!$E$1), 2, FALSE),FALSE), 0)</f>
        <v>0</v>
      </c>
      <c r="Q122" s="210">
        <f ca="1">IF(VLOOKUP("PARAM_INT_IFP_TRIPLE_RDD_DIS", INDIRECT(Config!$B$1), HLOOKUP(Q$1, INDIRECT(Config!$E$1), 2, FALSE),FALSE)=0, VLOOKUP("TRC_PRESENT", INDIRECT(Config!$B$1), HLOOKUP(Q$1, INDIRECT(Config!$E$1), 2, FALSE),FALSE), 0)</f>
        <v>0</v>
      </c>
    </row>
    <row r="123" spans="1:17" ht="14.55" customHeight="1" x14ac:dyDescent="0.3">
      <c r="A123" s="16" t="s">
        <v>359</v>
      </c>
      <c r="B123" s="16" t="s">
        <v>360</v>
      </c>
      <c r="C123" s="207">
        <v>0</v>
      </c>
      <c r="D123" s="207">
        <f>32*8</f>
        <v>256</v>
      </c>
      <c r="E123" s="207" t="s">
        <v>361</v>
      </c>
      <c r="F123" s="222" t="s">
        <v>384</v>
      </c>
      <c r="G123" s="214" t="s">
        <v>48</v>
      </c>
      <c r="H123" s="230"/>
      <c r="I123" s="214" t="s">
        <v>48</v>
      </c>
      <c r="J123" s="230"/>
      <c r="K123" s="207" t="s">
        <v>550</v>
      </c>
      <c r="L123" s="207" t="s">
        <v>128</v>
      </c>
      <c r="M123" s="207" t="s">
        <v>786</v>
      </c>
      <c r="N123" s="207" t="s">
        <v>549</v>
      </c>
      <c r="O123" s="210">
        <f ca="1">IF($B123="N/A", "N/A", VLOOKUP($B123, INDIRECT(Config!$B$1), HLOOKUP(O$1, INDIRECT(Config!$E$1), 2, FALSE),FALSE))</f>
        <v>0</v>
      </c>
      <c r="P123" s="210">
        <f ca="1">IF($B123="N/A", "N/A", VLOOKUP($B123, INDIRECT(Config!$B$1), HLOOKUP(P$1, INDIRECT(Config!$E$1), 2, FALSE),FALSE))</f>
        <v>0</v>
      </c>
      <c r="Q123" s="210">
        <f ca="1">IF($B123="N/A", "N/A", VLOOKUP($B123, INDIRECT(Config!$B$1), HLOOKUP(Q$1, INDIRECT(Config!$E$1), 2, FALSE),FALSE))</f>
        <v>0</v>
      </c>
    </row>
    <row r="124" spans="1:17" ht="14.55" customHeight="1" x14ac:dyDescent="0.3">
      <c r="A124" s="16" t="s">
        <v>362</v>
      </c>
      <c r="B124" s="16" t="s">
        <v>363</v>
      </c>
      <c r="C124" s="207">
        <v>0</v>
      </c>
      <c r="D124" s="207">
        <f>32*8</f>
        <v>256</v>
      </c>
      <c r="E124" s="207" t="s">
        <v>364</v>
      </c>
      <c r="F124" s="222" t="s">
        <v>384</v>
      </c>
      <c r="G124" s="214" t="s">
        <v>48</v>
      </c>
      <c r="H124" s="230"/>
      <c r="I124" s="214" t="s">
        <v>48</v>
      </c>
      <c r="J124" s="230"/>
      <c r="K124" s="207" t="s">
        <v>550</v>
      </c>
      <c r="L124" s="207" t="s">
        <v>128</v>
      </c>
      <c r="M124" s="207" t="s">
        <v>786</v>
      </c>
      <c r="N124" s="207" t="s">
        <v>549</v>
      </c>
      <c r="O124" s="210">
        <f ca="1">IF(VLOOKUP("PARAM_INT_IFP_TRIPLE_RDD_DIS", INDIRECT(Config!$B$1), HLOOKUP(O$1, INDIRECT(Config!$E$1), 2, FALSE),FALSE)=0, VLOOKUP("OEM_SECRET_KEY_FUSES_LIMIT", INDIRECT(Config!$B$1), HLOOKUP(O$1, INDIRECT(Config!$E$1), 2, FALSE),FALSE), 0)</f>
        <v>0</v>
      </c>
      <c r="P124" s="210">
        <f ca="1">IF(VLOOKUP("PARAM_INT_IFP_TRIPLE_RDD_DIS", INDIRECT(Config!$B$1), HLOOKUP(P$1, INDIRECT(Config!$E$1), 2, FALSE),FALSE)=0, VLOOKUP("OEM_SECRET_KEY_FUSES_LIMIT", INDIRECT(Config!$B$1), HLOOKUP(P$1, INDIRECT(Config!$E$1), 2, FALSE),FALSE), 0)</f>
        <v>0</v>
      </c>
      <c r="Q124" s="210">
        <f ca="1">IF(VLOOKUP("PARAM_INT_IFP_TRIPLE_RDD_DIS", INDIRECT(Config!$B$1), HLOOKUP(Q$1, INDIRECT(Config!$E$1), 2, FALSE),FALSE)=0, VLOOKUP("OEM_SECRET_KEY_FUSES_LIMIT", INDIRECT(Config!$B$1), HLOOKUP(Q$1, INDIRECT(Config!$E$1), 2, FALSE),FALSE), 0)</f>
        <v>0</v>
      </c>
    </row>
    <row r="125" spans="1:17" ht="14.55" customHeight="1" x14ac:dyDescent="0.3">
      <c r="A125" s="16" t="s">
        <v>365</v>
      </c>
      <c r="B125" s="16" t="s">
        <v>363</v>
      </c>
      <c r="C125" s="207">
        <v>0</v>
      </c>
      <c r="D125" s="207">
        <f>32*8</f>
        <v>256</v>
      </c>
      <c r="E125" s="207" t="s">
        <v>366</v>
      </c>
      <c r="F125" s="222" t="s">
        <v>384</v>
      </c>
      <c r="G125" s="214" t="s">
        <v>48</v>
      </c>
      <c r="H125" s="230"/>
      <c r="I125" s="214" t="s">
        <v>48</v>
      </c>
      <c r="J125" s="230"/>
      <c r="K125" s="207" t="s">
        <v>550</v>
      </c>
      <c r="L125" s="207" t="s">
        <v>128</v>
      </c>
      <c r="M125" s="207" t="s">
        <v>786</v>
      </c>
      <c r="N125" s="207" t="s">
        <v>549</v>
      </c>
      <c r="O125" s="210">
        <f ca="1">IF(VLOOKUP("PARAM_INT_IFP_TRIPLE_RDD_DIS", INDIRECT(Config!$B$1), HLOOKUP(O$1, INDIRECT(Config!$E$1), 2, FALSE),FALSE)=0, VLOOKUP("OEM_SECRET_KEY_FUSES_LIMIT", INDIRECT(Config!$B$1), HLOOKUP(O$1, INDIRECT(Config!$E$1), 2, FALSE),FALSE), 0)</f>
        <v>0</v>
      </c>
      <c r="P125" s="210">
        <f ca="1">IF(VLOOKUP("PARAM_INT_IFP_TRIPLE_RDD_DIS", INDIRECT(Config!$B$1), HLOOKUP(P$1, INDIRECT(Config!$E$1), 2, FALSE),FALSE)=0, VLOOKUP("OEM_SECRET_KEY_FUSES_LIMIT", INDIRECT(Config!$B$1), HLOOKUP(P$1, INDIRECT(Config!$E$1), 2, FALSE),FALSE), 0)</f>
        <v>0</v>
      </c>
      <c r="Q125" s="210">
        <f ca="1">IF(VLOOKUP("PARAM_INT_IFP_TRIPLE_RDD_DIS", INDIRECT(Config!$B$1), HLOOKUP(Q$1, INDIRECT(Config!$E$1), 2, FALSE),FALSE)=0, VLOOKUP("OEM_SECRET_KEY_FUSES_LIMIT", INDIRECT(Config!$B$1), HLOOKUP(Q$1, INDIRECT(Config!$E$1), 2, FALSE),FALSE), 0)</f>
        <v>0</v>
      </c>
    </row>
    <row r="128" spans="1:17" x14ac:dyDescent="0.3">
      <c r="K128" s="3" t="s">
        <v>17</v>
      </c>
    </row>
    <row r="129" spans="11:11" x14ac:dyDescent="0.3">
      <c r="K129" s="120" t="s">
        <v>17</v>
      </c>
    </row>
  </sheetData>
  <autoFilter ref="A1:Q107" xr:uid="{BD3C40ED-A0C8-4381-ACF6-12E781319295}"/>
  <mergeCells count="15">
    <mergeCell ref="A2:A35"/>
    <mergeCell ref="A36:A57"/>
    <mergeCell ref="A58:A67"/>
    <mergeCell ref="A68:A89"/>
    <mergeCell ref="A90:A92"/>
    <mergeCell ref="A121:A122"/>
    <mergeCell ref="A116:A117"/>
    <mergeCell ref="A96:A99"/>
    <mergeCell ref="F104:F107"/>
    <mergeCell ref="A108:A110"/>
    <mergeCell ref="A113:A115"/>
    <mergeCell ref="A118:A120"/>
    <mergeCell ref="A100:A103"/>
    <mergeCell ref="A104:A107"/>
    <mergeCell ref="A111:A112"/>
  </mergeCells>
  <conditionalFormatting sqref="O120:Q120 O122:Q125 O2:Q63 O85:Q118 O66:Q83">
    <cfRule type="cellIs" dxfId="39" priority="6" operator="equal">
      <formula>"N/A"</formula>
    </cfRule>
  </conditionalFormatting>
  <conditionalFormatting sqref="O119:Q119">
    <cfRule type="cellIs" dxfId="38" priority="5" operator="equal">
      <formula>"N/A"</formula>
    </cfRule>
  </conditionalFormatting>
  <conditionalFormatting sqref="O121:Q121">
    <cfRule type="cellIs" dxfId="37" priority="4" operator="equal">
      <formula>"N/A"</formula>
    </cfRule>
  </conditionalFormatting>
  <conditionalFormatting sqref="O84:Q84">
    <cfRule type="cellIs" dxfId="36" priority="3" operator="equal">
      <formula>"N/A"</formula>
    </cfRule>
  </conditionalFormatting>
  <conditionalFormatting sqref="O64:Q64">
    <cfRule type="cellIs" dxfId="35" priority="2" operator="equal">
      <formula>"N/A"</formula>
    </cfRule>
  </conditionalFormatting>
  <conditionalFormatting sqref="O65:Q65">
    <cfRule type="cellIs" dxfId="34" priority="1" operator="equal">
      <formula>"N/A"</formula>
    </cfRule>
  </conditionalFormatting>
  <pageMargins left="0.7" right="0.7" top="0.75" bottom="0.75"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39023-AF95-4C21-B519-1DE6DA47C5FD}">
  <sheetPr codeName="Sheet9"/>
  <dimension ref="A1:M13"/>
  <sheetViews>
    <sheetView workbookViewId="0">
      <selection activeCell="E11" sqref="E11:E13"/>
    </sheetView>
  </sheetViews>
  <sheetFormatPr defaultRowHeight="14.4" x14ac:dyDescent="0.3"/>
  <cols>
    <col min="1" max="1" width="23.33203125" style="15" bestFit="1" customWidth="1"/>
    <col min="2" max="2" width="32.44140625" customWidth="1"/>
    <col min="3" max="3" width="31.88671875" style="15" customWidth="1"/>
    <col min="4" max="4" width="32.88671875" bestFit="1" customWidth="1"/>
    <col min="5" max="5" width="40.33203125" style="15" customWidth="1"/>
    <col min="6" max="6" width="7.6640625" bestFit="1" customWidth="1"/>
    <col min="7" max="7" width="8.44140625" bestFit="1" customWidth="1"/>
    <col min="8" max="8" width="13.33203125" bestFit="1" customWidth="1"/>
    <col min="9" max="9" width="10.88671875" bestFit="1" customWidth="1"/>
    <col min="10" max="10" width="9.88671875" bestFit="1" customWidth="1"/>
    <col min="11" max="11" width="7.33203125" bestFit="1" customWidth="1"/>
    <col min="12" max="12" width="31.6640625" bestFit="1" customWidth="1"/>
    <col min="13" max="13" width="11" bestFit="1" customWidth="1"/>
  </cols>
  <sheetData>
    <row r="1" spans="1:13" s="15" customFormat="1" ht="24" thickBot="1" x14ac:dyDescent="0.5">
      <c r="B1" s="22" t="s">
        <v>400</v>
      </c>
      <c r="C1" s="22"/>
      <c r="D1" s="23" t="s">
        <v>608</v>
      </c>
    </row>
    <row r="2" spans="1:13" ht="15" thickBot="1" x14ac:dyDescent="0.35">
      <c r="A2" s="161" t="s">
        <v>0</v>
      </c>
      <c r="B2" s="33" t="s">
        <v>1</v>
      </c>
      <c r="C2" s="33" t="s">
        <v>371</v>
      </c>
      <c r="D2" s="173" t="s">
        <v>2</v>
      </c>
      <c r="E2" s="161" t="s">
        <v>423</v>
      </c>
      <c r="F2" s="38" t="s">
        <v>3</v>
      </c>
      <c r="G2" s="38" t="s">
        <v>4</v>
      </c>
      <c r="H2" s="27" t="s">
        <v>5</v>
      </c>
      <c r="I2" s="28" t="s">
        <v>6</v>
      </c>
      <c r="J2" s="28" t="s">
        <v>385</v>
      </c>
      <c r="K2" s="157" t="s">
        <v>386</v>
      </c>
      <c r="L2" s="161" t="s">
        <v>7</v>
      </c>
      <c r="M2" s="160" t="s">
        <v>8</v>
      </c>
    </row>
    <row r="3" spans="1:13" x14ac:dyDescent="0.3">
      <c r="A3" s="375" t="s">
        <v>9</v>
      </c>
      <c r="B3" s="34" t="s">
        <v>395</v>
      </c>
      <c r="C3" s="43" t="s">
        <v>395</v>
      </c>
      <c r="D3" s="152" t="s">
        <v>10</v>
      </c>
      <c r="E3" s="162" t="s">
        <v>511</v>
      </c>
      <c r="F3" s="34" t="s">
        <v>11</v>
      </c>
      <c r="G3" s="149">
        <f ca="1">IF($C3="No Param",32,VLOOKUP($C3,INDIRECT(Config!$B$1),HLOOKUP(D$1,INDIRECT(Config!$E$1),2,FALSE),FALSE))</f>
        <v>512</v>
      </c>
      <c r="H3" s="24" t="s">
        <v>12</v>
      </c>
      <c r="I3" s="24" t="s">
        <v>13</v>
      </c>
      <c r="J3" s="24">
        <v>0</v>
      </c>
      <c r="K3" s="147">
        <v>0</v>
      </c>
      <c r="L3" s="369" t="s">
        <v>367</v>
      </c>
      <c r="M3" s="371" t="s">
        <v>14</v>
      </c>
    </row>
    <row r="4" spans="1:13" x14ac:dyDescent="0.3">
      <c r="A4" s="350"/>
      <c r="B4" s="35" t="s">
        <v>396</v>
      </c>
      <c r="C4" s="35" t="s">
        <v>396</v>
      </c>
      <c r="D4" s="153" t="s">
        <v>10</v>
      </c>
      <c r="E4" s="73" t="s">
        <v>512</v>
      </c>
      <c r="F4" s="35" t="s">
        <v>11</v>
      </c>
      <c r="G4" s="150">
        <f ca="1">IF($C4="No Param",32,VLOOKUP($C4,INDIRECT(Config!$B$1),HLOOKUP(D$1,INDIRECT(Config!$E$1),2,FALSE),FALSE))</f>
        <v>32</v>
      </c>
      <c r="H4" s="16" t="str">
        <f ca="1">IF(G4=0, "N/A", CONCATENATE("0x",DEC2HEX(HEX2DEC(SUBSTITUTE(H3,"0x",""))+G3/8)))</f>
        <v>0x6040</v>
      </c>
      <c r="I4" s="16" t="str">
        <f ca="1">IF(G4=0, "N/A",CONCATENATE("0x",DEC2HEX(HEX2DEC(SUBSTITUTE(I3,"0x",""))+G3/8)))</f>
        <v>0xF00B0040</v>
      </c>
      <c r="J4" s="16">
        <v>0</v>
      </c>
      <c r="K4" s="158">
        <v>0</v>
      </c>
      <c r="L4" s="350"/>
      <c r="M4" s="372"/>
    </row>
    <row r="5" spans="1:13" x14ac:dyDescent="0.3">
      <c r="A5" s="350"/>
      <c r="B5" s="35" t="s">
        <v>397</v>
      </c>
      <c r="C5" s="35" t="s">
        <v>397</v>
      </c>
      <c r="D5" s="153" t="s">
        <v>15</v>
      </c>
      <c r="E5" s="73" t="s">
        <v>513</v>
      </c>
      <c r="F5" s="35" t="s">
        <v>11</v>
      </c>
      <c r="G5" s="150">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v>0</v>
      </c>
      <c r="K5" s="158">
        <v>0</v>
      </c>
      <c r="L5" s="350"/>
      <c r="M5" s="372"/>
    </row>
    <row r="6" spans="1:13" s="15" customFormat="1" x14ac:dyDescent="0.3">
      <c r="A6" s="350"/>
      <c r="B6" s="69" t="s">
        <v>398</v>
      </c>
      <c r="C6" s="69" t="s">
        <v>398</v>
      </c>
      <c r="D6" s="153" t="s">
        <v>15</v>
      </c>
      <c r="E6" s="163" t="s">
        <v>516</v>
      </c>
      <c r="F6" s="35" t="s">
        <v>11</v>
      </c>
      <c r="G6" s="150">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v>0</v>
      </c>
      <c r="K6" s="158">
        <v>0</v>
      </c>
      <c r="L6" s="347"/>
      <c r="M6" s="373"/>
    </row>
    <row r="7" spans="1:13" ht="15" thickBot="1" x14ac:dyDescent="0.35">
      <c r="A7" s="370"/>
      <c r="B7" s="143" t="s">
        <v>421</v>
      </c>
      <c r="C7" s="144" t="s">
        <v>421</v>
      </c>
      <c r="D7" s="154" t="s">
        <v>10</v>
      </c>
      <c r="E7" s="144" t="s">
        <v>517</v>
      </c>
      <c r="F7" s="145" t="s">
        <v>11</v>
      </c>
      <c r="G7" s="151">
        <f ca="1">IF($C7="No Param",32,VLOOKUP($C7,INDIRECT(Config!$B$1),HLOOKUP(D$1,INDIRECT(Config!$E$1),2,FALSE),FALSE))</f>
        <v>0</v>
      </c>
      <c r="H7" s="79" t="str">
        <f ca="1">IF(G7=0, "N/A", CONCATENATE("0x",DEC2HEX(HEX2DEC(SUBSTITUTE(H3,"0x",""))+(G3+G4+G5+G6)/8)))</f>
        <v>N/A</v>
      </c>
      <c r="I7" s="79" t="str">
        <f ca="1">IF(G7=0, "N/A",CONCATENATE("0x",DEC2HEX(HEX2DEC(SUBSTITUTE(I3,"0x",""))+(G3+G4+G5+G6)/8)))</f>
        <v>N/A</v>
      </c>
      <c r="J7" s="95">
        <v>0</v>
      </c>
      <c r="K7" s="159">
        <v>0</v>
      </c>
      <c r="L7" s="370"/>
      <c r="M7" s="374"/>
    </row>
    <row r="8" spans="1:13" ht="14.55" customHeight="1" x14ac:dyDescent="0.3">
      <c r="A8" s="352" t="s">
        <v>883</v>
      </c>
      <c r="B8" s="172" t="s">
        <v>16</v>
      </c>
      <c r="C8" s="172" t="s">
        <v>16</v>
      </c>
      <c r="D8" s="152" t="s">
        <v>17</v>
      </c>
      <c r="E8" s="186" t="s">
        <v>833</v>
      </c>
      <c r="F8" s="31" t="s">
        <v>18</v>
      </c>
      <c r="G8" s="97">
        <f ca="1">IF($C8="No Param",32,VLOOKUP($C8,INDIRECT(Config!$B$1),HLOOKUP(D$1,INDIRECT(Config!$E$1),2,FALSE),FALSE))</f>
        <v>768</v>
      </c>
      <c r="H8" s="24" t="s">
        <v>558</v>
      </c>
      <c r="I8" s="24" t="s">
        <v>19</v>
      </c>
      <c r="J8" s="24">
        <v>0</v>
      </c>
      <c r="K8" s="170">
        <v>0</v>
      </c>
      <c r="L8" s="377" t="s">
        <v>368</v>
      </c>
      <c r="M8" s="380" t="s">
        <v>20</v>
      </c>
    </row>
    <row r="9" spans="1:13" x14ac:dyDescent="0.3">
      <c r="A9" s="352"/>
      <c r="B9" s="182" t="s">
        <v>399</v>
      </c>
      <c r="C9" s="182" t="s">
        <v>399</v>
      </c>
      <c r="D9" s="156" t="s">
        <v>17</v>
      </c>
      <c r="E9" s="43" t="s">
        <v>519</v>
      </c>
      <c r="F9" s="148" t="s">
        <v>18</v>
      </c>
      <c r="G9" s="45">
        <f ca="1">IF($C9="No Param",32,VLOOKUP($C9,INDIRECT(Config!$B$1),HLOOKUP(D$1,INDIRECT(Config!$E$1),2,FALSE),FALSE))</f>
        <v>160</v>
      </c>
      <c r="H9" s="16" t="str">
        <f ca="1">IF(G9=0, "N/A", CONCATENATE("0x",DEC2HEX(HEX2DEC(SUBSTITUTE(H8,"0x",""))+G8/8)))</f>
        <v>0x6860</v>
      </c>
      <c r="I9" s="16" t="str">
        <f ca="1">IF(G9=0, "N/A", CONCATENATE("0x",DEC2HEX(HEX2DEC(SUBSTITUTE(I8,"0x",""))+G8/8)))</f>
        <v>0xF00B0460</v>
      </c>
      <c r="J9" s="16">
        <v>0</v>
      </c>
      <c r="K9" s="171">
        <v>0</v>
      </c>
      <c r="L9" s="378"/>
      <c r="M9" s="381"/>
    </row>
    <row r="10" spans="1:13" x14ac:dyDescent="0.3">
      <c r="A10" s="352"/>
      <c r="B10" s="44" t="s">
        <v>22</v>
      </c>
      <c r="C10" s="44" t="s">
        <v>22</v>
      </c>
      <c r="D10" s="153" t="s">
        <v>17</v>
      </c>
      <c r="E10" s="35" t="s">
        <v>514</v>
      </c>
      <c r="F10" s="32" t="s">
        <v>18</v>
      </c>
      <c r="G10" s="45">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6">
        <v>0</v>
      </c>
      <c r="K10" s="171">
        <v>0</v>
      </c>
      <c r="L10" s="378"/>
      <c r="M10" s="381"/>
    </row>
    <row r="11" spans="1:13" s="15" customFormat="1" x14ac:dyDescent="0.3">
      <c r="A11" s="352"/>
      <c r="B11" s="168" t="s">
        <v>21</v>
      </c>
      <c r="C11" s="167" t="s">
        <v>21</v>
      </c>
      <c r="D11" s="15" t="s">
        <v>17</v>
      </c>
      <c r="E11" s="78" t="s">
        <v>515</v>
      </c>
      <c r="F11" s="146" t="s">
        <v>18</v>
      </c>
      <c r="G11" s="45">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v>0</v>
      </c>
      <c r="K11" s="171">
        <v>0</v>
      </c>
      <c r="L11" s="378"/>
      <c r="M11" s="381"/>
    </row>
    <row r="12" spans="1:13" ht="15.45" customHeight="1" x14ac:dyDescent="0.3">
      <c r="A12" s="352"/>
      <c r="B12" s="72" t="s">
        <v>882</v>
      </c>
      <c r="C12" s="72" t="s">
        <v>882</v>
      </c>
      <c r="D12" s="153" t="s">
        <v>17</v>
      </c>
      <c r="E12" s="187" t="s">
        <v>881</v>
      </c>
      <c r="F12" s="32" t="s">
        <v>18</v>
      </c>
      <c r="G12" s="45">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v>0</v>
      </c>
      <c r="K12" s="171">
        <v>0</v>
      </c>
      <c r="L12" s="378"/>
      <c r="M12" s="381"/>
    </row>
    <row r="13" spans="1:13" s="15" customFormat="1" ht="14.55" customHeight="1" thickBot="1" x14ac:dyDescent="0.35">
      <c r="A13" s="376"/>
      <c r="B13" s="169" t="s">
        <v>422</v>
      </c>
      <c r="C13" s="169" t="s">
        <v>422</v>
      </c>
      <c r="D13" s="188" t="s">
        <v>17</v>
      </c>
      <c r="E13" s="189" t="s">
        <v>518</v>
      </c>
      <c r="F13" s="190" t="s">
        <v>18</v>
      </c>
      <c r="G13" s="191">
        <f ca="1">IF($C13="No Param",32,VLOOKUP($C13,INDIRECT(Config!$B$1),HLOOKUP(D$1,INDIRECT(Config!$E$1),2,FALSE),FALSE))</f>
        <v>0</v>
      </c>
      <c r="H13" s="192" t="str">
        <f ca="1">IF(G13=0, "N/A", CONCATENATE("0x",DEC2HEX(HEX2DEC(SUBSTITUTE(H8,"0x",""))+(G8+G9+G10+G11+G12)/8)))</f>
        <v>N/A</v>
      </c>
      <c r="I13" s="192" t="str">
        <f ca="1">IF(G13=0, "N/A", CONCATENATE("0x",DEC2HEX(HEX2DEC(SUBSTITUTE(I8,"0x",""))+(G8+G9+G10+G11+G12)/8)))</f>
        <v>N/A</v>
      </c>
      <c r="J13" s="192">
        <v>0</v>
      </c>
      <c r="K13" s="193">
        <v>0</v>
      </c>
      <c r="L13" s="379"/>
      <c r="M13" s="382"/>
    </row>
  </sheetData>
  <mergeCells count="6">
    <mergeCell ref="L3:L7"/>
    <mergeCell ref="M3:M7"/>
    <mergeCell ref="A3:A7"/>
    <mergeCell ref="A8:A13"/>
    <mergeCell ref="L8:L13"/>
    <mergeCell ref="M8:M13"/>
  </mergeCells>
  <conditionalFormatting sqref="J3:J5 G4:G7 J7:K7 K3:K6 E3:E7">
    <cfRule type="cellIs" dxfId="33" priority="124" operator="equal">
      <formula>0</formula>
    </cfRule>
  </conditionalFormatting>
  <conditionalFormatting sqref="B6 D6:F6">
    <cfRule type="cellIs" dxfId="32" priority="76" operator="equal">
      <formula>0</formula>
    </cfRule>
  </conditionalFormatting>
  <conditionalFormatting sqref="B3 D3:F3">
    <cfRule type="cellIs" dxfId="31" priority="84" operator="equal">
      <formula>0</formula>
    </cfRule>
  </conditionalFormatting>
  <conditionalFormatting sqref="B4 D4:F4">
    <cfRule type="cellIs" dxfId="30" priority="83" operator="equal">
      <formula>0</formula>
    </cfRule>
  </conditionalFormatting>
  <conditionalFormatting sqref="B5 D5:F5">
    <cfRule type="cellIs" dxfId="29" priority="82" operator="equal">
      <formula>0</formula>
    </cfRule>
  </conditionalFormatting>
  <conditionalFormatting sqref="B7 F7">
    <cfRule type="cellIs" dxfId="28" priority="81" operator="equal">
      <formula>0</formula>
    </cfRule>
  </conditionalFormatting>
  <conditionalFormatting sqref="J6">
    <cfRule type="cellIs" dxfId="27" priority="93" operator="equal">
      <formula>0</formula>
    </cfRule>
  </conditionalFormatting>
  <conditionalFormatting sqref="G3:I3">
    <cfRule type="cellIs" dxfId="26" priority="65" operator="equal">
      <formula>0</formula>
    </cfRule>
  </conditionalFormatting>
  <conditionalFormatting sqref="D7:E7">
    <cfRule type="cellIs" dxfId="25" priority="75" operator="equal">
      <formula>0</formula>
    </cfRule>
  </conditionalFormatting>
  <conditionalFormatting sqref="C3">
    <cfRule type="cellIs" dxfId="24" priority="50" operator="equal">
      <formula>0</formula>
    </cfRule>
  </conditionalFormatting>
  <conditionalFormatting sqref="H7">
    <cfRule type="cellIs" dxfId="23" priority="54" operator="equal">
      <formula>0</formula>
    </cfRule>
  </conditionalFormatting>
  <conditionalFormatting sqref="C4">
    <cfRule type="cellIs" dxfId="22" priority="49" operator="equal">
      <formula>0</formula>
    </cfRule>
  </conditionalFormatting>
  <conditionalFormatting sqref="I6">
    <cfRule type="cellIs" dxfId="21" priority="57" operator="equal">
      <formula>0</formula>
    </cfRule>
  </conditionalFormatting>
  <conditionalFormatting sqref="H5">
    <cfRule type="cellIs" dxfId="20" priority="56" operator="equal">
      <formula>0</formula>
    </cfRule>
  </conditionalFormatting>
  <conditionalFormatting sqref="H4:I4">
    <cfRule type="cellIs" dxfId="19" priority="64" operator="equal">
      <formula>0</formula>
    </cfRule>
  </conditionalFormatting>
  <conditionalFormatting sqref="I5">
    <cfRule type="cellIs" dxfId="18" priority="63" operator="equal">
      <formula>0</formula>
    </cfRule>
  </conditionalFormatting>
  <conditionalFormatting sqref="I7">
    <cfRule type="cellIs" dxfId="17" priority="62" operator="equal">
      <formula>0</formula>
    </cfRule>
  </conditionalFormatting>
  <conditionalFormatting sqref="H6">
    <cfRule type="cellIs" dxfId="16" priority="55" operator="equal">
      <formula>0</formula>
    </cfRule>
  </conditionalFormatting>
  <conditionalFormatting sqref="C5">
    <cfRule type="cellIs" dxfId="15" priority="48" operator="equal">
      <formula>0</formula>
    </cfRule>
  </conditionalFormatting>
  <conditionalFormatting sqref="C7">
    <cfRule type="cellIs" dxfId="14" priority="47" operator="equal">
      <formula>0</formula>
    </cfRule>
  </conditionalFormatting>
  <conditionalFormatting sqref="C6">
    <cfRule type="cellIs" dxfId="13" priority="42" operator="equal">
      <formula>0</formula>
    </cfRule>
  </conditionalFormatting>
  <conditionalFormatting sqref="G8:G10 J8:K10 E8:E10">
    <cfRule type="cellIs" dxfId="12" priority="25" operator="equal">
      <formula>0</formula>
    </cfRule>
  </conditionalFormatting>
  <conditionalFormatting sqref="B9 D9:F9">
    <cfRule type="cellIs" dxfId="11" priority="23" operator="equal">
      <formula>0</formula>
    </cfRule>
  </conditionalFormatting>
  <conditionalFormatting sqref="B8 D8:F8 H9:H10">
    <cfRule type="cellIs" priority="24" operator="equal">
      <formula>0</formula>
    </cfRule>
  </conditionalFormatting>
  <conditionalFormatting sqref="B10 D10:F10">
    <cfRule type="cellIs" dxfId="10" priority="21" operator="equal">
      <formula>0</formula>
    </cfRule>
    <cfRule type="cellIs" dxfId="9" priority="22" operator="equal">
      <formula>0</formula>
    </cfRule>
  </conditionalFormatting>
  <conditionalFormatting sqref="C9">
    <cfRule type="cellIs" dxfId="8" priority="18" operator="equal">
      <formula>0</formula>
    </cfRule>
  </conditionalFormatting>
  <conditionalFormatting sqref="C8">
    <cfRule type="cellIs" priority="19" operator="equal">
      <formula>0</formula>
    </cfRule>
  </conditionalFormatting>
  <conditionalFormatting sqref="C10">
    <cfRule type="cellIs" dxfId="7" priority="16" operator="equal">
      <formula>0</formula>
    </cfRule>
    <cfRule type="cellIs" dxfId="6" priority="17" operator="equal">
      <formula>0</formula>
    </cfRule>
  </conditionalFormatting>
  <conditionalFormatting sqref="H8:I8">
    <cfRule type="cellIs" priority="20" operator="equal">
      <formula>0</formula>
    </cfRule>
  </conditionalFormatting>
  <conditionalFormatting sqref="I9:I10">
    <cfRule type="cellIs" priority="15" operator="equal">
      <formula>0</formula>
    </cfRule>
  </conditionalFormatting>
  <conditionalFormatting sqref="J11:K11 E11 G11">
    <cfRule type="cellIs" dxfId="5" priority="14" operator="equal">
      <formula>0</formula>
    </cfRule>
  </conditionalFormatting>
  <conditionalFormatting sqref="I11">
    <cfRule type="cellIs" priority="13" operator="equal">
      <formula>0</formula>
    </cfRule>
  </conditionalFormatting>
  <conditionalFormatting sqref="K13 E13 G13">
    <cfRule type="cellIs" dxfId="4" priority="12" operator="equal">
      <formula>0</formula>
    </cfRule>
  </conditionalFormatting>
  <conditionalFormatting sqref="J13">
    <cfRule type="cellIs" dxfId="3" priority="11" operator="equal">
      <formula>0</formula>
    </cfRule>
  </conditionalFormatting>
  <conditionalFormatting sqref="H13">
    <cfRule type="cellIs" priority="10" operator="equal">
      <formula>0</formula>
    </cfRule>
  </conditionalFormatting>
  <conditionalFormatting sqref="I13">
    <cfRule type="cellIs" priority="9" operator="equal">
      <formula>0</formula>
    </cfRule>
  </conditionalFormatting>
  <conditionalFormatting sqref="E12 K12">
    <cfRule type="cellIs" dxfId="2" priority="8" operator="equal">
      <formula>0</formula>
    </cfRule>
  </conditionalFormatting>
  <conditionalFormatting sqref="J12">
    <cfRule type="cellIs" dxfId="1" priority="7" operator="equal">
      <formula>0</formula>
    </cfRule>
  </conditionalFormatting>
  <conditionalFormatting sqref="B12 D12:F12">
    <cfRule type="cellIs" priority="6" operator="equal">
      <formula>0</formula>
    </cfRule>
  </conditionalFormatting>
  <conditionalFormatting sqref="C12">
    <cfRule type="cellIs" priority="5" operator="equal">
      <formula>0</formula>
    </cfRule>
  </conditionalFormatting>
  <conditionalFormatting sqref="I12">
    <cfRule type="cellIs" priority="4" operator="equal">
      <formula>0</formula>
    </cfRule>
  </conditionalFormatting>
  <conditionalFormatting sqref="G12">
    <cfRule type="cellIs" dxfId="0" priority="3" operator="equal">
      <formula>0</formula>
    </cfRule>
  </conditionalFormatting>
  <conditionalFormatting sqref="H12">
    <cfRule type="cellIs" priority="2" operator="equal">
      <formula>0</formula>
    </cfRule>
  </conditionalFormatting>
  <conditionalFormatting sqref="H11">
    <cfRule type="cellIs"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378CFAE0-B8AE-45F9-B93A-B3C405C9D067}">
          <x14:formula1>
            <xm:f>Config!$B$3:$O$3</xm:f>
          </x14:formula1>
          <xm:sqref>D1:E1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DB514-3E2F-4A32-BEF4-58035F6CA4C0}">
  <sheetPr codeName="Sheet11"/>
  <dimension ref="A1:N65"/>
  <sheetViews>
    <sheetView topLeftCell="B1" zoomScale="85" zoomScaleNormal="85" workbookViewId="0">
      <selection activeCell="I2" sqref="I2"/>
    </sheetView>
  </sheetViews>
  <sheetFormatPr defaultColWidth="9.109375" defaultRowHeight="14.4" x14ac:dyDescent="0.3"/>
  <cols>
    <col min="1" max="1" width="20.33203125" style="6" customWidth="1"/>
    <col min="2" max="2" width="33.44140625" style="6" bestFit="1" customWidth="1"/>
    <col min="3" max="3" width="11.33203125" style="15" bestFit="1" customWidth="1"/>
    <col min="4" max="4" width="12.5546875" style="15" bestFit="1" customWidth="1"/>
    <col min="5" max="5" width="53.109375" style="6" customWidth="1"/>
    <col min="6" max="6" width="24" style="6" bestFit="1" customWidth="1"/>
    <col min="7" max="7" width="7.6640625" style="15" customWidth="1"/>
    <col min="8" max="8" width="7.33203125" style="15" customWidth="1"/>
    <col min="9" max="9" width="13.33203125" style="6" bestFit="1" customWidth="1"/>
    <col min="10" max="10" width="12.5546875" style="6" bestFit="1" customWidth="1"/>
    <col min="11" max="11" width="12.5546875" style="15" customWidth="1"/>
    <col min="12" max="12" width="8.6640625" style="6" bestFit="1" customWidth="1"/>
    <col min="13" max="13" width="6.6640625" style="6" bestFit="1" customWidth="1"/>
    <col min="14" max="14" width="7" style="6" bestFit="1" customWidth="1"/>
    <col min="15" max="15" width="20" style="6" customWidth="1"/>
    <col min="16" max="16384" width="9.109375" style="6"/>
  </cols>
  <sheetData>
    <row r="1" spans="1:14" ht="20.25" customHeight="1" x14ac:dyDescent="0.3">
      <c r="A1" s="1" t="s">
        <v>57</v>
      </c>
      <c r="B1" s="1" t="s">
        <v>58</v>
      </c>
      <c r="C1" s="1" t="s">
        <v>382</v>
      </c>
      <c r="D1" s="1" t="s">
        <v>383</v>
      </c>
      <c r="E1" s="1" t="s">
        <v>59</v>
      </c>
      <c r="F1" s="1" t="s">
        <v>60</v>
      </c>
      <c r="G1" s="1" t="s">
        <v>373</v>
      </c>
      <c r="H1" s="1" t="s">
        <v>372</v>
      </c>
      <c r="I1" s="1" t="s">
        <v>61</v>
      </c>
      <c r="J1" s="1" t="s">
        <v>62</v>
      </c>
      <c r="K1" s="1" t="s">
        <v>423</v>
      </c>
      <c r="L1" s="1" t="s">
        <v>608</v>
      </c>
      <c r="M1" s="1" t="s">
        <v>609</v>
      </c>
      <c r="N1" s="1" t="s">
        <v>610</v>
      </c>
    </row>
    <row r="2" spans="1:14" x14ac:dyDescent="0.3">
      <c r="A2" s="332" t="s">
        <v>42</v>
      </c>
      <c r="B2" s="4" t="s">
        <v>613</v>
      </c>
      <c r="C2" s="7">
        <v>0</v>
      </c>
      <c r="D2" s="7">
        <v>1</v>
      </c>
      <c r="E2" s="9" t="s">
        <v>1124</v>
      </c>
      <c r="F2" s="8" t="s">
        <v>266</v>
      </c>
      <c r="G2" s="8">
        <v>0</v>
      </c>
      <c r="H2" s="8">
        <v>0</v>
      </c>
      <c r="I2" s="8"/>
      <c r="J2" s="7" t="s">
        <v>87</v>
      </c>
      <c r="K2" s="7" t="s">
        <v>474</v>
      </c>
      <c r="L2" s="4">
        <f ca="1">IF($B2="N/A", "N/A",IF(VLOOKUP("SOFTSTRAP0_EN",INDIRECT(Config!$B$1),HLOOKUP(L$1,INDIRECT(Config!$E$1),2,FALSE),FALSE)=0,0,1))</f>
        <v>1</v>
      </c>
      <c r="M2" s="4">
        <f ca="1">IF($B2="N/A", "N/A",IF(VLOOKUP("SOFTSTRAP0_EN",INDIRECT(Config!$B$1),HLOOKUP(M$1,INDIRECT(Config!$E$1),2,FALSE),FALSE)=0,0,1))</f>
        <v>1</v>
      </c>
      <c r="N2" s="4">
        <f ca="1">IF($B2="N/A", "N/A",IF(VLOOKUP("SOFTSTRAP0_EN",INDIRECT(Config!$B$1),HLOOKUP(N$1,INDIRECT(Config!$E$1),2,FALSE),FALSE)=0,0,1))</f>
        <v>0</v>
      </c>
    </row>
    <row r="3" spans="1:14" x14ac:dyDescent="0.3">
      <c r="A3" s="383"/>
      <c r="B3" s="4" t="s">
        <v>613</v>
      </c>
      <c r="C3" s="7">
        <v>1</v>
      </c>
      <c r="D3" s="7">
        <v>1</v>
      </c>
      <c r="E3" s="10" t="s">
        <v>267</v>
      </c>
      <c r="F3" s="8" t="s">
        <v>268</v>
      </c>
      <c r="G3" s="8">
        <v>0</v>
      </c>
      <c r="H3" s="8">
        <v>0</v>
      </c>
      <c r="I3" s="8"/>
      <c r="J3" s="7" t="s">
        <v>87</v>
      </c>
      <c r="K3" s="7" t="s">
        <v>475</v>
      </c>
      <c r="L3" s="4">
        <f ca="1">IF($B3="N/A", "N/A",IF(VLOOKUP("SOFTSTRAP0_EN",INDIRECT(Config!$B$1),HLOOKUP(L$1,INDIRECT(Config!$E$1),2,FALSE),FALSE)=0,0,1))</f>
        <v>1</v>
      </c>
      <c r="M3" s="4">
        <f ca="1">IF($B3="N/A", "N/A",IF(VLOOKUP("SOFTSTRAP0_EN",INDIRECT(Config!$B$1),HLOOKUP(M$1,INDIRECT(Config!$E$1),2,FALSE),FALSE)=0,0,1))</f>
        <v>1</v>
      </c>
      <c r="N3" s="4">
        <f ca="1">IF($B3="N/A", "N/A",IF(VLOOKUP("SOFTSTRAP0_EN",INDIRECT(Config!$B$1),HLOOKUP(N$1,INDIRECT(Config!$E$1),2,FALSE),FALSE)=0,0,1))</f>
        <v>0</v>
      </c>
    </row>
    <row r="4" spans="1:14" x14ac:dyDescent="0.3">
      <c r="A4" s="383"/>
      <c r="B4" s="4" t="s">
        <v>613</v>
      </c>
      <c r="C4" s="7">
        <v>2</v>
      </c>
      <c r="D4" s="7">
        <v>1</v>
      </c>
      <c r="E4" s="10" t="s">
        <v>269</v>
      </c>
      <c r="F4" s="8" t="s">
        <v>270</v>
      </c>
      <c r="G4" s="8">
        <v>0</v>
      </c>
      <c r="H4" s="8">
        <v>0</v>
      </c>
      <c r="I4" s="8"/>
      <c r="J4" s="7" t="s">
        <v>87</v>
      </c>
      <c r="K4" s="7" t="s">
        <v>476</v>
      </c>
      <c r="L4" s="4">
        <f ca="1">IF($B4="N/A", "N/A",IF(VLOOKUP("SOFTSTRAP0_EN",INDIRECT(Config!$B$1),HLOOKUP(L$1,INDIRECT(Config!$E$1),2,FALSE),FALSE)=0,0,1))</f>
        <v>1</v>
      </c>
      <c r="M4" s="4">
        <f ca="1">IF($B4="N/A", "N/A",IF(VLOOKUP("SOFTSTRAP0_EN",INDIRECT(Config!$B$1),HLOOKUP(M$1,INDIRECT(Config!$E$1),2,FALSE),FALSE)=0,0,1))</f>
        <v>1</v>
      </c>
      <c r="N4" s="4">
        <f ca="1">IF($B4="N/A", "N/A",IF(VLOOKUP("SOFTSTRAP0_EN",INDIRECT(Config!$B$1),HLOOKUP(N$1,INDIRECT(Config!$E$1),2,FALSE),FALSE)=0,0,1))</f>
        <v>0</v>
      </c>
    </row>
    <row r="5" spans="1:14" x14ac:dyDescent="0.3">
      <c r="A5" s="383"/>
      <c r="B5" s="2" t="s">
        <v>48</v>
      </c>
      <c r="C5" s="2">
        <v>3</v>
      </c>
      <c r="D5" s="2">
        <v>1</v>
      </c>
      <c r="E5" s="2"/>
      <c r="F5" s="8" t="s">
        <v>271</v>
      </c>
      <c r="G5" s="8">
        <v>0</v>
      </c>
      <c r="H5" s="8">
        <v>0</v>
      </c>
      <c r="I5" s="8"/>
      <c r="J5" s="7"/>
      <c r="K5" s="7" t="s">
        <v>459</v>
      </c>
      <c r="L5" s="4" t="str">
        <f ca="1">IF($B5="N/A", "N/A",IF(VLOOKUP("SOFTSTRAP0_EN",INDIRECT(Config!$B$1),HLOOKUP(L$1,INDIRECT(Config!$E$1),2,FALSE),FALSE)=0,0,1))</f>
        <v>N/A</v>
      </c>
      <c r="M5" s="4" t="str">
        <f ca="1">IF($B5="N/A", "N/A",IF(VLOOKUP("SOFTSTRAP0_EN",INDIRECT(Config!$B$1),HLOOKUP(M$1,INDIRECT(Config!$E$1),2,FALSE),FALSE)=0,0,1))</f>
        <v>N/A</v>
      </c>
      <c r="N5" s="4" t="str">
        <f ca="1">IF($B5="N/A", "N/A",IF(VLOOKUP("SOFTSTRAP0_EN",INDIRECT(Config!$B$1),HLOOKUP(N$1,INDIRECT(Config!$E$1),2,FALSE),FALSE)=0,0,1))</f>
        <v>N/A</v>
      </c>
    </row>
    <row r="6" spans="1:14" x14ac:dyDescent="0.3">
      <c r="A6" s="383"/>
      <c r="B6" s="4" t="s">
        <v>629</v>
      </c>
      <c r="C6" s="7">
        <v>4</v>
      </c>
      <c r="D6" s="7">
        <v>1</v>
      </c>
      <c r="E6" s="10" t="s">
        <v>272</v>
      </c>
      <c r="F6" s="8" t="s">
        <v>273</v>
      </c>
      <c r="G6" s="8">
        <v>0</v>
      </c>
      <c r="H6" s="8">
        <v>0</v>
      </c>
      <c r="I6" s="8"/>
      <c r="J6" s="7" t="s">
        <v>87</v>
      </c>
      <c r="K6" s="7" t="s">
        <v>477</v>
      </c>
      <c r="L6" s="4">
        <f ca="1">IF($B6="N/A", "N/A",IF(VLOOKUP("SOFTSTRAP0_EN",INDIRECT(Config!$B$1),HLOOKUP(L$1,INDIRECT(Config!$E$1),2,FALSE),FALSE)=0,0,VLOOKUP("BOOT_DEV_CTRL_EN",INDIRECT(Config!$B$1),HLOOKUP(L$1,INDIRECT(Config!$E$1),2,FALSE),FALSE)))</f>
        <v>1</v>
      </c>
      <c r="M6" s="4">
        <f ca="1">IF($B6="N/A", "N/A",IF(VLOOKUP("SOFTSTRAP0_EN",INDIRECT(Config!$B$1),HLOOKUP(M$1,INDIRECT(Config!$E$1),2,FALSE),FALSE)=0,0,VLOOKUP("BOOT_DEV_CTRL_EN",INDIRECT(Config!$B$1),HLOOKUP(M$1,INDIRECT(Config!$E$1),2,FALSE),FALSE)))</f>
        <v>0</v>
      </c>
      <c r="N6" s="4">
        <f ca="1">IF($B6="N/A", "N/A",IF(VLOOKUP("SOFTSTRAP0_EN",INDIRECT(Config!$B$1),HLOOKUP(N$1,INDIRECT(Config!$E$1),2,FALSE),FALSE)=0,0,VLOOKUP("BOOT_DEV_CTRL_EN",INDIRECT(Config!$B$1),HLOOKUP(N$1,INDIRECT(Config!$E$1),2,FALSE),FALSE)))</f>
        <v>0</v>
      </c>
    </row>
    <row r="7" spans="1:14" x14ac:dyDescent="0.3">
      <c r="A7" s="383"/>
      <c r="B7" s="4" t="s">
        <v>629</v>
      </c>
      <c r="C7" s="7">
        <v>5</v>
      </c>
      <c r="D7" s="7">
        <v>1</v>
      </c>
      <c r="E7" s="11" t="s">
        <v>274</v>
      </c>
      <c r="F7" s="8" t="s">
        <v>275</v>
      </c>
      <c r="G7" s="8">
        <v>0</v>
      </c>
      <c r="H7" s="8">
        <v>0</v>
      </c>
      <c r="I7" s="8"/>
      <c r="J7" s="7" t="s">
        <v>87</v>
      </c>
      <c r="K7" s="7" t="s">
        <v>478</v>
      </c>
      <c r="L7" s="4">
        <f ca="1">IF($B7="N/A", "N/A",IF(VLOOKUP("SOFTSTRAP0_EN",INDIRECT(Config!$B$1),HLOOKUP(L$1,INDIRECT(Config!$E$1),2,FALSE),FALSE)=0,0,VLOOKUP("BOOT_DEV_CTRL_EN",INDIRECT(Config!$B$1),HLOOKUP(L$1,INDIRECT(Config!$E$1),2,FALSE),FALSE)))</f>
        <v>1</v>
      </c>
      <c r="M7" s="4">
        <f ca="1">IF($B7="N/A", "N/A",IF(VLOOKUP("SOFTSTRAP0_EN",INDIRECT(Config!$B$1),HLOOKUP(M$1,INDIRECT(Config!$E$1),2,FALSE),FALSE)=0,0,VLOOKUP("BOOT_DEV_CTRL_EN",INDIRECT(Config!$B$1),HLOOKUP(M$1,INDIRECT(Config!$E$1),2,FALSE),FALSE)))</f>
        <v>0</v>
      </c>
      <c r="N7" s="4">
        <f ca="1">IF($B7="N/A", "N/A",IF(VLOOKUP("SOFTSTRAP0_EN",INDIRECT(Config!$B$1),HLOOKUP(N$1,INDIRECT(Config!$E$1),2,FALSE),FALSE)=0,0,VLOOKUP("BOOT_DEV_CTRL_EN",INDIRECT(Config!$B$1),HLOOKUP(N$1,INDIRECT(Config!$E$1),2,FALSE),FALSE)))</f>
        <v>0</v>
      </c>
    </row>
    <row r="8" spans="1:14" x14ac:dyDescent="0.3">
      <c r="A8" s="383"/>
      <c r="B8" s="4" t="s">
        <v>629</v>
      </c>
      <c r="C8" s="7">
        <v>6</v>
      </c>
      <c r="D8" s="7">
        <v>1</v>
      </c>
      <c r="E8" s="10" t="s">
        <v>276</v>
      </c>
      <c r="F8" s="8" t="s">
        <v>277</v>
      </c>
      <c r="G8" s="8">
        <v>0</v>
      </c>
      <c r="H8" s="8">
        <v>0</v>
      </c>
      <c r="I8" s="8"/>
      <c r="J8" s="7" t="s">
        <v>87</v>
      </c>
      <c r="K8" s="7" t="s">
        <v>479</v>
      </c>
      <c r="L8" s="4">
        <f ca="1">IF($B8="N/A", "N/A",IF(VLOOKUP("SOFTSTRAP0_EN",INDIRECT(Config!$B$1),HLOOKUP(L$1,INDIRECT(Config!$E$1),2,FALSE),FALSE)=0,0,VLOOKUP("BOOT_DEV_CTRL_EN",INDIRECT(Config!$B$1),HLOOKUP(L$1,INDIRECT(Config!$E$1),2,FALSE),FALSE)))</f>
        <v>1</v>
      </c>
      <c r="M8" s="4">
        <f ca="1">IF($B8="N/A", "N/A",IF(VLOOKUP("SOFTSTRAP0_EN",INDIRECT(Config!$B$1),HLOOKUP(M$1,INDIRECT(Config!$E$1),2,FALSE),FALSE)=0,0,VLOOKUP("BOOT_DEV_CTRL_EN",INDIRECT(Config!$B$1),HLOOKUP(M$1,INDIRECT(Config!$E$1),2,FALSE),FALSE)))</f>
        <v>0</v>
      </c>
      <c r="N8" s="4">
        <f ca="1">IF($B8="N/A", "N/A",IF(VLOOKUP("SOFTSTRAP0_EN",INDIRECT(Config!$B$1),HLOOKUP(N$1,INDIRECT(Config!$E$1),2,FALSE),FALSE)=0,0,VLOOKUP("BOOT_DEV_CTRL_EN",INDIRECT(Config!$B$1),HLOOKUP(N$1,INDIRECT(Config!$E$1),2,FALSE),FALSE)))</f>
        <v>0</v>
      </c>
    </row>
    <row r="9" spans="1:14" x14ac:dyDescent="0.3">
      <c r="A9" s="383"/>
      <c r="B9" s="4" t="s">
        <v>647</v>
      </c>
      <c r="C9" s="7">
        <v>7</v>
      </c>
      <c r="D9" s="7">
        <v>1</v>
      </c>
      <c r="E9" s="10" t="s">
        <v>278</v>
      </c>
      <c r="F9" s="8" t="s">
        <v>279</v>
      </c>
      <c r="G9" s="8">
        <v>0</v>
      </c>
      <c r="H9" s="8">
        <v>0</v>
      </c>
      <c r="I9" s="8"/>
      <c r="J9" s="7" t="s">
        <v>87</v>
      </c>
      <c r="K9" s="7" t="s">
        <v>480</v>
      </c>
      <c r="L9" s="4">
        <f ca="1">IF($B9="N/A", "N/A",IF(VLOOKUP("SOFTSTRAP0_EN",INDIRECT(Config!$B$1),HLOOKUP(L$1,INDIRECT(Config!$E$1),2,FALSE),FALSE)=0,0,VLOOKUP("ROM_DNX_CAP_DIS_CTRL",INDIRECT(Config!$B$1),HLOOKUP(L$1,INDIRECT(Config!$E$1),2,FALSE),FALSE)))</f>
        <v>1</v>
      </c>
      <c r="M9" s="4">
        <f ca="1">IF($B9="N/A", "N/A",IF(VLOOKUP("SOFTSTRAP0_EN",INDIRECT(Config!$B$1),HLOOKUP(M$1,INDIRECT(Config!$E$1),2,FALSE),FALSE)=0,0,VLOOKUP("ROM_DNX_CAP_DIS_CTRL",INDIRECT(Config!$B$1),HLOOKUP(M$1,INDIRECT(Config!$E$1),2,FALSE),FALSE)))</f>
        <v>0</v>
      </c>
      <c r="N9" s="4">
        <f ca="1">IF($B9="N/A", "N/A",IF(VLOOKUP("SOFTSTRAP0_EN",INDIRECT(Config!$B$1),HLOOKUP(N$1,INDIRECT(Config!$E$1),2,FALSE),FALSE)=0,0,VLOOKUP("ROM_DNX_CAP_DIS_CTRL_CTRL",INDIRECT(Config!$B$1),HLOOKUP(N$1,INDIRECT(Config!$E$1),2,FALSE),FALSE)))</f>
        <v>0</v>
      </c>
    </row>
    <row r="10" spans="1:14" x14ac:dyDescent="0.3">
      <c r="A10" s="383"/>
      <c r="B10" s="2" t="s">
        <v>48</v>
      </c>
      <c r="C10" s="2">
        <v>8</v>
      </c>
      <c r="D10" s="2">
        <v>1</v>
      </c>
      <c r="E10" s="14"/>
      <c r="F10" s="16" t="s">
        <v>280</v>
      </c>
      <c r="G10" s="8">
        <v>0</v>
      </c>
      <c r="H10" s="8">
        <v>0</v>
      </c>
      <c r="I10" s="16"/>
      <c r="J10" s="7"/>
      <c r="K10" s="7" t="s">
        <v>459</v>
      </c>
      <c r="L10" s="4" t="str">
        <f ca="1">IF($B10="N/A", "N/A",IF(VLOOKUP("SOFTSTRAP0_EN",INDIRECT(Config!$B$1),HLOOKUP(L$1,INDIRECT(Config!$E$1),2,FALSE),FALSE)=0,0,VLOOKUP("IP_BASE_FEATURE",INDIRECT(Config!$B$1),HLOOKUP(L$1,INDIRECT(Config!$E$1),2,FALSE),FALSE)))</f>
        <v>N/A</v>
      </c>
      <c r="M10" s="4" t="str">
        <f ca="1">IF($B10="N/A", "N/A",IF(VLOOKUP("SOFTSTRAP0_EN",INDIRECT(Config!$B$1),HLOOKUP(M$1,INDIRECT(Config!$E$1),2,FALSE),FALSE)=0,0,VLOOKUP("IP_BASE_FEATURE",INDIRECT(Config!$B$1),HLOOKUP(M$1,INDIRECT(Config!$E$1),2,FALSE),FALSE)))</f>
        <v>N/A</v>
      </c>
      <c r="N10" s="4" t="str">
        <f ca="1">IF($B10="N/A", "N/A",IF(VLOOKUP("SOFTSTRAP0_EN",INDIRECT(Config!$B$1),HLOOKUP(N$1,INDIRECT(Config!$E$1),2,FALSE),FALSE)=0,0,VLOOKUP("IP_BASE_FEATURE",INDIRECT(Config!$B$1),HLOOKUP(N$1,INDIRECT(Config!$E$1),2,FALSE),FALSE)))</f>
        <v>N/A</v>
      </c>
    </row>
    <row r="11" spans="1:14" x14ac:dyDescent="0.3">
      <c r="A11" s="383"/>
      <c r="B11" s="4" t="s">
        <v>613</v>
      </c>
      <c r="C11" s="7">
        <v>9</v>
      </c>
      <c r="D11" s="7">
        <v>1</v>
      </c>
      <c r="E11" s="10" t="s">
        <v>281</v>
      </c>
      <c r="F11" s="16" t="s">
        <v>282</v>
      </c>
      <c r="G11" s="8">
        <v>0</v>
      </c>
      <c r="H11" s="8">
        <v>0</v>
      </c>
      <c r="I11" s="16"/>
      <c r="J11" s="7" t="s">
        <v>87</v>
      </c>
      <c r="K11" s="7" t="s">
        <v>481</v>
      </c>
      <c r="L11" s="4">
        <f ca="1">IF($B11="N/A", "N/A",IF(VLOOKUP("SOFTSTRAP0_EN",INDIRECT(Config!$B$1),HLOOKUP(L$1,INDIRECT(Config!$E$1),2,FALSE),FALSE)=0,0,1))</f>
        <v>1</v>
      </c>
      <c r="M11" s="4">
        <f ca="1">IF($B11="N/A", "N/A",IF(VLOOKUP("SOFTSTRAP0_EN",INDIRECT(Config!$B$1),HLOOKUP(M$1,INDIRECT(Config!$E$1),2,FALSE),FALSE)=0,0,1))</f>
        <v>1</v>
      </c>
      <c r="N11" s="4">
        <f ca="1">IF($B11="N/A", "N/A",IF(VLOOKUP("SOFTSTRAP0_EN",INDIRECT(Config!$B$1),HLOOKUP(N$1,INDIRECT(Config!$E$1),2,FALSE),FALSE)=0,0,1))</f>
        <v>0</v>
      </c>
    </row>
    <row r="12" spans="1:14" x14ac:dyDescent="0.3">
      <c r="A12" s="383"/>
      <c r="B12" s="4" t="s">
        <v>613</v>
      </c>
      <c r="C12" s="7">
        <v>10</v>
      </c>
      <c r="D12" s="7">
        <v>1</v>
      </c>
      <c r="E12" s="10" t="s">
        <v>283</v>
      </c>
      <c r="F12" s="16" t="s">
        <v>284</v>
      </c>
      <c r="G12" s="8">
        <v>0</v>
      </c>
      <c r="H12" s="8">
        <v>0</v>
      </c>
      <c r="I12" s="16"/>
      <c r="J12" s="7" t="s">
        <v>87</v>
      </c>
      <c r="K12" s="7" t="s">
        <v>482</v>
      </c>
      <c r="L12" s="4">
        <f ca="1">IF($B12="N/A", "N/A",IF(VLOOKUP("SOFTSTRAP0_EN",INDIRECT(Config!$B$1),HLOOKUP(L$1,INDIRECT(Config!$E$1),2,FALSE),FALSE)=0,0,1))</f>
        <v>1</v>
      </c>
      <c r="M12" s="4">
        <f ca="1">IF($B12="N/A", "N/A",IF(VLOOKUP("SOFTSTRAP0_EN",INDIRECT(Config!$B$1),HLOOKUP(M$1,INDIRECT(Config!$E$1),2,FALSE),FALSE)=0,0,1))</f>
        <v>1</v>
      </c>
      <c r="N12" s="4">
        <f ca="1">IF($B12="N/A", "N/A",IF(VLOOKUP("SOFTSTRAP0_EN",INDIRECT(Config!$B$1),HLOOKUP(N$1,INDIRECT(Config!$E$1),2,FALSE),FALSE)=0,0,1))</f>
        <v>0</v>
      </c>
    </row>
    <row r="13" spans="1:14" x14ac:dyDescent="0.3">
      <c r="A13" s="383"/>
      <c r="B13" s="4" t="s">
        <v>613</v>
      </c>
      <c r="C13" s="7">
        <v>11</v>
      </c>
      <c r="D13" s="7">
        <v>1</v>
      </c>
      <c r="E13" s="10" t="s">
        <v>285</v>
      </c>
      <c r="F13" s="16" t="s">
        <v>286</v>
      </c>
      <c r="G13" s="8">
        <v>0</v>
      </c>
      <c r="H13" s="8">
        <v>0</v>
      </c>
      <c r="I13" s="16"/>
      <c r="J13" s="7" t="s">
        <v>87</v>
      </c>
      <c r="K13" s="7" t="s">
        <v>483</v>
      </c>
      <c r="L13" s="4">
        <f ca="1">IF($B13="N/A", "N/A",IF(VLOOKUP("SOFTSTRAP0_EN",INDIRECT(Config!$B$1),HLOOKUP(L$1,INDIRECT(Config!$E$1),2,FALSE),FALSE)=0,0,1))</f>
        <v>1</v>
      </c>
      <c r="M13" s="4">
        <f ca="1">IF($B13="N/A", "N/A",IF(VLOOKUP("SOFTSTRAP0_EN",INDIRECT(Config!$B$1),HLOOKUP(M$1,INDIRECT(Config!$E$1),2,FALSE),FALSE)=0,0,1))</f>
        <v>1</v>
      </c>
      <c r="N13" s="4">
        <f ca="1">IF($B13="N/A", "N/A",IF(VLOOKUP("SOFTSTRAP0_EN",INDIRECT(Config!$B$1),HLOOKUP(N$1,INDIRECT(Config!$E$1),2,FALSE),FALSE)=0,0,1))</f>
        <v>0</v>
      </c>
    </row>
    <row r="14" spans="1:14" x14ac:dyDescent="0.3">
      <c r="A14" s="383"/>
      <c r="B14" s="2" t="s">
        <v>48</v>
      </c>
      <c r="C14" s="2">
        <v>12</v>
      </c>
      <c r="D14" s="2">
        <v>1</v>
      </c>
      <c r="E14" s="14"/>
      <c r="F14" s="16" t="s">
        <v>1109</v>
      </c>
      <c r="G14" s="8">
        <v>0</v>
      </c>
      <c r="H14" s="8">
        <v>0</v>
      </c>
      <c r="I14" s="16"/>
      <c r="J14" s="7"/>
      <c r="K14" s="7" t="s">
        <v>459</v>
      </c>
      <c r="L14" s="4" t="str">
        <f ca="1">IF($B14="N/A", "N/A",IF(VLOOKUP("SOFTSTRAP0_EN",INDIRECT(Config!$B$1),HLOOKUP(L$1,INDIRECT(Config!$E$1),2,FALSE),FALSE)=0,0,1))</f>
        <v>N/A</v>
      </c>
      <c r="M14" s="4" t="str">
        <f ca="1">IF($B14="N/A", "N/A",IF(VLOOKUP("SOFTSTRAP0_EN",INDIRECT(Config!$B$1),HLOOKUP(M$1,INDIRECT(Config!$E$1),2,FALSE),FALSE)=0,0,1))</f>
        <v>N/A</v>
      </c>
      <c r="N14" s="4" t="str">
        <f ca="1">IF($B14="N/A", "N/A",IF(VLOOKUP("SOFTSTRAP0_EN",INDIRECT(Config!$B$1),HLOOKUP(N$1,INDIRECT(Config!$E$1),2,FALSE),FALSE)=0,0,1))</f>
        <v>N/A</v>
      </c>
    </row>
    <row r="15" spans="1:14" s="15" customFormat="1" x14ac:dyDescent="0.3">
      <c r="A15" s="383"/>
      <c r="B15" s="2" t="s">
        <v>48</v>
      </c>
      <c r="C15" s="2">
        <v>13</v>
      </c>
      <c r="D15" s="2">
        <v>1</v>
      </c>
      <c r="E15" s="14"/>
      <c r="F15" s="16" t="s">
        <v>1110</v>
      </c>
      <c r="G15" s="8">
        <v>0</v>
      </c>
      <c r="H15" s="8">
        <v>0</v>
      </c>
      <c r="I15" s="16"/>
      <c r="J15" s="7"/>
      <c r="K15" s="7" t="s">
        <v>459</v>
      </c>
      <c r="L15" s="4" t="str">
        <f ca="1">IF($B15="N/A", "N/A",IF(VLOOKUP("SOFTSTRAP0_EN",INDIRECT(Config!$B$1),HLOOKUP(L$1,INDIRECT(Config!$E$1),2,FALSE),FALSE)=0,0,1))</f>
        <v>N/A</v>
      </c>
      <c r="M15" s="4" t="str">
        <f ca="1">IF($B15="N/A", "N/A",IF(VLOOKUP("SOFTSTRAP0_EN",INDIRECT(Config!$B$1),HLOOKUP(M$1,INDIRECT(Config!$E$1),2,FALSE),FALSE)=0,0,1))</f>
        <v>N/A</v>
      </c>
      <c r="N15" s="4" t="str">
        <f ca="1">IF($B15="N/A", "N/A",IF(VLOOKUP("SOFTSTRAP0_EN",INDIRECT(Config!$B$1),HLOOKUP(N$1,INDIRECT(Config!$E$1),2,FALSE),FALSE)=0,0,1))</f>
        <v>N/A</v>
      </c>
    </row>
    <row r="16" spans="1:14" s="15" customFormat="1" x14ac:dyDescent="0.3">
      <c r="A16" s="383"/>
      <c r="B16" s="2" t="s">
        <v>48</v>
      </c>
      <c r="C16" s="2">
        <v>14</v>
      </c>
      <c r="D16" s="2">
        <v>1</v>
      </c>
      <c r="E16" s="14"/>
      <c r="F16" s="16" t="s">
        <v>1111</v>
      </c>
      <c r="G16" s="8">
        <v>0</v>
      </c>
      <c r="H16" s="8">
        <v>0</v>
      </c>
      <c r="I16" s="16"/>
      <c r="J16" s="7"/>
      <c r="K16" s="7" t="s">
        <v>459</v>
      </c>
      <c r="L16" s="4" t="str">
        <f ca="1">IF($B16="N/A", "N/A",IF(VLOOKUP("SOFTSTRAP0_EN",INDIRECT(Config!$B$1),HLOOKUP(L$1,INDIRECT(Config!$E$1),2,FALSE),FALSE)=0,0,1))</f>
        <v>N/A</v>
      </c>
      <c r="M16" s="4" t="str">
        <f ca="1">IF($B16="N/A", "N/A",IF(VLOOKUP("SOFTSTRAP0_EN",INDIRECT(Config!$B$1),HLOOKUP(M$1,INDIRECT(Config!$E$1),2,FALSE),FALSE)=0,0,1))</f>
        <v>N/A</v>
      </c>
      <c r="N16" s="4" t="str">
        <f ca="1">IF($B16="N/A", "N/A",IF(VLOOKUP("SOFTSTRAP0_EN",INDIRECT(Config!$B$1),HLOOKUP(N$1,INDIRECT(Config!$E$1),2,FALSE),FALSE)=0,0,1))</f>
        <v>N/A</v>
      </c>
    </row>
    <row r="17" spans="1:14" s="15" customFormat="1" x14ac:dyDescent="0.3">
      <c r="A17" s="383"/>
      <c r="B17" s="2" t="s">
        <v>48</v>
      </c>
      <c r="C17" s="2">
        <v>15</v>
      </c>
      <c r="D17" s="2">
        <v>1</v>
      </c>
      <c r="E17" s="14"/>
      <c r="F17" s="16" t="s">
        <v>290</v>
      </c>
      <c r="G17" s="8">
        <v>0</v>
      </c>
      <c r="H17" s="8">
        <v>0</v>
      </c>
      <c r="I17" s="16"/>
      <c r="J17" s="7"/>
      <c r="K17" s="7" t="s">
        <v>459</v>
      </c>
      <c r="L17" s="4" t="str">
        <f ca="1">IF($B17="N/A", "N/A",IF(VLOOKUP("SOFTSTRAP0_EN",INDIRECT(Config!$B$1),HLOOKUP(L$1,INDIRECT(Config!$E$1),2,FALSE),FALSE)=0,0,1))</f>
        <v>N/A</v>
      </c>
      <c r="M17" s="4" t="str">
        <f ca="1">IF($B17="N/A", "N/A",IF(VLOOKUP("SOFTSTRAP0_EN",INDIRECT(Config!$B$1),HLOOKUP(M$1,INDIRECT(Config!$E$1),2,FALSE),FALSE)=0,0,1))</f>
        <v>N/A</v>
      </c>
      <c r="N17" s="4" t="str">
        <f ca="1">IF($B17="N/A", "N/A",IF(VLOOKUP("SOFTSTRAP0_EN",INDIRECT(Config!$B$1),HLOOKUP(N$1,INDIRECT(Config!$E$1),2,FALSE),FALSE)=0,0,1))</f>
        <v>N/A</v>
      </c>
    </row>
    <row r="18" spans="1:14" x14ac:dyDescent="0.3">
      <c r="A18" s="383"/>
      <c r="B18" s="4" t="s">
        <v>613</v>
      </c>
      <c r="C18" s="7">
        <v>16</v>
      </c>
      <c r="D18" s="7">
        <v>1</v>
      </c>
      <c r="E18" s="10" t="s">
        <v>287</v>
      </c>
      <c r="F18" s="16" t="s">
        <v>288</v>
      </c>
      <c r="G18" s="8">
        <v>0</v>
      </c>
      <c r="H18" s="8">
        <v>0</v>
      </c>
      <c r="I18" s="16"/>
      <c r="J18" s="7" t="s">
        <v>87</v>
      </c>
      <c r="K18" s="7" t="s">
        <v>484</v>
      </c>
      <c r="L18" s="4">
        <f ca="1">IF($B18="N/A", "N/A",IF(VLOOKUP("SOFTSTRAP0_EN",INDIRECT(Config!$B$1),HLOOKUP(L$1,INDIRECT(Config!$E$1),2,FALSE),FALSE)=0,0,1))</f>
        <v>1</v>
      </c>
      <c r="M18" s="4">
        <f ca="1">IF($B18="N/A", "N/A",IF(VLOOKUP("SOFTSTRAP0_EN",INDIRECT(Config!$B$1),HLOOKUP(M$1,INDIRECT(Config!$E$1),2,FALSE),FALSE)=0,0,1))</f>
        <v>1</v>
      </c>
      <c r="N18" s="4">
        <f ca="1">IF($B18="N/A", "N/A",IF(VLOOKUP("SOFTSTRAP0_EN",INDIRECT(Config!$B$1),HLOOKUP(N$1,INDIRECT(Config!$E$1),2,FALSE),FALSE)=0,0,1))</f>
        <v>0</v>
      </c>
    </row>
    <row r="19" spans="1:14" x14ac:dyDescent="0.3">
      <c r="A19" s="383"/>
      <c r="B19" s="4" t="s">
        <v>613</v>
      </c>
      <c r="C19" s="7">
        <v>17</v>
      </c>
      <c r="D19" s="7">
        <v>1</v>
      </c>
      <c r="E19" s="10" t="s">
        <v>289</v>
      </c>
      <c r="F19" s="16" t="s">
        <v>1108</v>
      </c>
      <c r="G19" s="8">
        <v>0</v>
      </c>
      <c r="H19" s="8">
        <v>0</v>
      </c>
      <c r="I19" s="16"/>
      <c r="J19" s="7" t="s">
        <v>87</v>
      </c>
      <c r="K19" s="7" t="s">
        <v>485</v>
      </c>
      <c r="L19" s="4">
        <f ca="1">IF($B19="N/A", "N/A",IF(VLOOKUP("SOFTSTRAP0_EN",INDIRECT(Config!$B$1),HLOOKUP(L$1,INDIRECT(Config!$E$1),2,FALSE),FALSE)=0,0,1))</f>
        <v>1</v>
      </c>
      <c r="M19" s="4">
        <f ca="1">IF($B19="N/A", "N/A",IF(VLOOKUP("SOFTSTRAP0_EN",INDIRECT(Config!$B$1),HLOOKUP(M$1,INDIRECT(Config!$E$1),2,FALSE),FALSE)=0,0,1))</f>
        <v>1</v>
      </c>
      <c r="N19" s="4">
        <f ca="1">IF($B19="N/A", "N/A",IF(VLOOKUP("SOFTSTRAP0_EN",INDIRECT(Config!$B$1),HLOOKUP(N$1,INDIRECT(Config!$E$1),2,FALSE),FALSE)=0,0,1))</f>
        <v>0</v>
      </c>
    </row>
    <row r="20" spans="1:14" x14ac:dyDescent="0.3">
      <c r="A20" s="383"/>
      <c r="B20" s="2" t="s">
        <v>48</v>
      </c>
      <c r="C20" s="2">
        <v>18</v>
      </c>
      <c r="D20" s="2">
        <v>1</v>
      </c>
      <c r="E20" s="14"/>
      <c r="F20" s="16" t="s">
        <v>1112</v>
      </c>
      <c r="G20" s="8">
        <v>0</v>
      </c>
      <c r="H20" s="8">
        <v>0</v>
      </c>
      <c r="I20" s="16"/>
      <c r="J20" s="7"/>
      <c r="K20" s="7" t="s">
        <v>459</v>
      </c>
      <c r="L20" s="4" t="str">
        <f ca="1">IF($B20="N/A", "N/A",IF(VLOOKUP("SOFTSTRAP0_EN",INDIRECT(Config!$B$1),HLOOKUP(L$1,INDIRECT(Config!$E$1),2,FALSE),FALSE)=0,0,1))</f>
        <v>N/A</v>
      </c>
      <c r="M20" s="4" t="str">
        <f ca="1">IF($B20="N/A", "N/A",IF(VLOOKUP("SOFTSTRAP0_EN",INDIRECT(Config!$B$1),HLOOKUP(M$1,INDIRECT(Config!$E$1),2,FALSE),FALSE)=0,0,1))</f>
        <v>N/A</v>
      </c>
      <c r="N20" s="4" t="str">
        <f ca="1">IF($B20="N/A", "N/A",IF(VLOOKUP("SOFTSTRAP0_EN",INDIRECT(Config!$B$1),HLOOKUP(N$1,INDIRECT(Config!$E$1),2,FALSE),FALSE)=0,0,1))</f>
        <v>N/A</v>
      </c>
    </row>
    <row r="21" spans="1:14" s="15" customFormat="1" x14ac:dyDescent="0.3">
      <c r="A21" s="383"/>
      <c r="B21" s="2" t="s">
        <v>48</v>
      </c>
      <c r="C21" s="2">
        <v>19</v>
      </c>
      <c r="D21" s="2">
        <v>1</v>
      </c>
      <c r="E21" s="14"/>
      <c r="F21" s="16" t="s">
        <v>1113</v>
      </c>
      <c r="G21" s="8">
        <v>0</v>
      </c>
      <c r="H21" s="8">
        <v>0</v>
      </c>
      <c r="I21" s="16"/>
      <c r="J21" s="7"/>
      <c r="K21" s="7" t="s">
        <v>459</v>
      </c>
      <c r="L21" s="4" t="str">
        <f ca="1">IF($B21="N/A", "N/A",IF(VLOOKUP("SOFTSTRAP0_EN",INDIRECT(Config!$B$1),HLOOKUP(L$1,INDIRECT(Config!$E$1),2,FALSE),FALSE)=0,0,1))</f>
        <v>N/A</v>
      </c>
      <c r="M21" s="4" t="str">
        <f ca="1">IF($B21="N/A", "N/A",IF(VLOOKUP("SOFTSTRAP0_EN",INDIRECT(Config!$B$1),HLOOKUP(M$1,INDIRECT(Config!$E$1),2,FALSE),FALSE)=0,0,1))</f>
        <v>N/A</v>
      </c>
      <c r="N21" s="4" t="str">
        <f ca="1">IF($B21="N/A", "N/A",IF(VLOOKUP("SOFTSTRAP0_EN",INDIRECT(Config!$B$1),HLOOKUP(N$1,INDIRECT(Config!$E$1),2,FALSE),FALSE)=0,0,1))</f>
        <v>N/A</v>
      </c>
    </row>
    <row r="22" spans="1:14" x14ac:dyDescent="0.3">
      <c r="A22" s="383"/>
      <c r="B22" s="4" t="s">
        <v>613</v>
      </c>
      <c r="C22" s="7">
        <v>20</v>
      </c>
      <c r="D22" s="7">
        <v>1</v>
      </c>
      <c r="E22" s="10" t="s">
        <v>291</v>
      </c>
      <c r="F22" s="16" t="s">
        <v>292</v>
      </c>
      <c r="G22" s="8">
        <v>0</v>
      </c>
      <c r="H22" s="8">
        <v>0</v>
      </c>
      <c r="I22" s="16"/>
      <c r="J22" s="7" t="s">
        <v>87</v>
      </c>
      <c r="K22" s="7" t="s">
        <v>486</v>
      </c>
      <c r="L22" s="4">
        <f ca="1">IF($B22="N/A", "N/A",IF(VLOOKUP("SOFTSTRAP0_EN",INDIRECT(Config!$B$1),HLOOKUP(L$1,INDIRECT(Config!$E$1),2,FALSE),FALSE)=0,0,1))</f>
        <v>1</v>
      </c>
      <c r="M22" s="4">
        <f ca="1">IF($B22="N/A", "N/A",IF(VLOOKUP("SOFTSTRAP0_EN",INDIRECT(Config!$B$1),HLOOKUP(M$1,INDIRECT(Config!$E$1),2,FALSE),FALSE)=0,0,1))</f>
        <v>1</v>
      </c>
      <c r="N22" s="4">
        <f ca="1">IF($B22="N/A", "N/A",IF(VLOOKUP("SOFTSTRAP0_EN",INDIRECT(Config!$B$1),HLOOKUP(N$1,INDIRECT(Config!$E$1),2,FALSE),FALSE)=0,0,1))</f>
        <v>0</v>
      </c>
    </row>
    <row r="23" spans="1:14" x14ac:dyDescent="0.3">
      <c r="A23" s="383"/>
      <c r="B23" s="4" t="s">
        <v>613</v>
      </c>
      <c r="C23" s="7">
        <v>21</v>
      </c>
      <c r="D23" s="7">
        <v>1</v>
      </c>
      <c r="E23" s="10" t="s">
        <v>293</v>
      </c>
      <c r="F23" s="16" t="s">
        <v>294</v>
      </c>
      <c r="G23" s="8">
        <v>0</v>
      </c>
      <c r="H23" s="8">
        <v>0</v>
      </c>
      <c r="I23" s="16"/>
      <c r="J23" s="7" t="s">
        <v>87</v>
      </c>
      <c r="K23" s="7" t="s">
        <v>487</v>
      </c>
      <c r="L23" s="4">
        <f ca="1">IF($B23="N/A", "N/A",IF(VLOOKUP("SOFTSTRAP0_EN",INDIRECT(Config!$B$1),HLOOKUP(L$1,INDIRECT(Config!$E$1),2,FALSE),FALSE)=0,0,1))</f>
        <v>1</v>
      </c>
      <c r="M23" s="4">
        <f ca="1">IF($B23="N/A", "N/A",IF(VLOOKUP("SOFTSTRAP0_EN",INDIRECT(Config!$B$1),HLOOKUP(M$1,INDIRECT(Config!$E$1),2,FALSE),FALSE)=0,0,1))</f>
        <v>1</v>
      </c>
      <c r="N23" s="4">
        <f ca="1">IF($B23="N/A", "N/A",IF(VLOOKUP("SOFTSTRAP0_EN",INDIRECT(Config!$B$1),HLOOKUP(N$1,INDIRECT(Config!$E$1),2,FALSE),FALSE)=0,0,1))</f>
        <v>0</v>
      </c>
    </row>
    <row r="24" spans="1:14" x14ac:dyDescent="0.3">
      <c r="A24" s="383"/>
      <c r="B24" s="2" t="s">
        <v>48</v>
      </c>
      <c r="C24" s="2">
        <v>22</v>
      </c>
      <c r="D24" s="2">
        <v>1</v>
      </c>
      <c r="E24" s="14"/>
      <c r="F24" s="16" t="s">
        <v>1114</v>
      </c>
      <c r="G24" s="8">
        <v>0</v>
      </c>
      <c r="H24" s="8">
        <v>0</v>
      </c>
      <c r="I24" s="16"/>
      <c r="J24" s="7"/>
      <c r="K24" s="7" t="s">
        <v>459</v>
      </c>
      <c r="L24" s="4" t="str">
        <f ca="1">IF($B24="N/A", "N/A",IF(VLOOKUP("SOFTSTRAP0_EN",INDIRECT(Config!$B$1),HLOOKUP(L$1,INDIRECT(Config!$E$1),2,FALSE),FALSE)=0,0,1))</f>
        <v>N/A</v>
      </c>
      <c r="M24" s="4" t="str">
        <f ca="1">IF($B24="N/A", "N/A",IF(VLOOKUP("SOFTSTRAP0_EN",INDIRECT(Config!$B$1),HLOOKUP(M$1,INDIRECT(Config!$E$1),2,FALSE),FALSE)=0,0,1))</f>
        <v>N/A</v>
      </c>
      <c r="N24" s="4" t="str">
        <f ca="1">IF($B24="N/A", "N/A",IF(VLOOKUP("SOFTSTRAP0_EN",INDIRECT(Config!$B$1),HLOOKUP(N$1,INDIRECT(Config!$E$1),2,FALSE),FALSE)=0,0,1))</f>
        <v>N/A</v>
      </c>
    </row>
    <row r="25" spans="1:14" s="15" customFormat="1" x14ac:dyDescent="0.3">
      <c r="A25" s="383"/>
      <c r="B25" s="2" t="s">
        <v>48</v>
      </c>
      <c r="C25" s="2">
        <v>23</v>
      </c>
      <c r="D25" s="2">
        <v>1</v>
      </c>
      <c r="E25" s="14"/>
      <c r="F25" s="16" t="s">
        <v>1115</v>
      </c>
      <c r="G25" s="8">
        <v>0</v>
      </c>
      <c r="H25" s="8">
        <v>0</v>
      </c>
      <c r="I25" s="16"/>
      <c r="J25" s="7"/>
      <c r="K25" s="7" t="s">
        <v>459</v>
      </c>
      <c r="L25" s="4" t="str">
        <f ca="1">IF($B25="N/A", "N/A",IF(VLOOKUP("SOFTSTRAP0_EN",INDIRECT(Config!$B$1),HLOOKUP(L$1,INDIRECT(Config!$E$1),2,FALSE),FALSE)=0,0,1))</f>
        <v>N/A</v>
      </c>
      <c r="M25" s="4" t="str">
        <f ca="1">IF($B25="N/A", "N/A",IF(VLOOKUP("SOFTSTRAP0_EN",INDIRECT(Config!$B$1),HLOOKUP(M$1,INDIRECT(Config!$E$1),2,FALSE),FALSE)=0,0,1))</f>
        <v>N/A</v>
      </c>
      <c r="N25" s="4" t="str">
        <f ca="1">IF($B25="N/A", "N/A",IF(VLOOKUP("SOFTSTRAP0_EN",INDIRECT(Config!$B$1),HLOOKUP(N$1,INDIRECT(Config!$E$1),2,FALSE),FALSE)=0,0,1))</f>
        <v>N/A</v>
      </c>
    </row>
    <row r="26" spans="1:14" s="15" customFormat="1" x14ac:dyDescent="0.3">
      <c r="A26" s="383"/>
      <c r="B26" s="2" t="s">
        <v>48</v>
      </c>
      <c r="C26" s="2">
        <v>24</v>
      </c>
      <c r="D26" s="2">
        <v>1</v>
      </c>
      <c r="E26" s="14"/>
      <c r="F26" s="16" t="s">
        <v>1116</v>
      </c>
      <c r="G26" s="8">
        <v>0</v>
      </c>
      <c r="H26" s="8">
        <v>0</v>
      </c>
      <c r="I26" s="16"/>
      <c r="J26" s="7"/>
      <c r="K26" s="7" t="s">
        <v>459</v>
      </c>
      <c r="L26" s="4" t="str">
        <f ca="1">IF($B26="N/A", "N/A",IF(VLOOKUP("SOFTSTRAP0_EN",INDIRECT(Config!$B$1),HLOOKUP(L$1,INDIRECT(Config!$E$1),2,FALSE),FALSE)=0,0,1))</f>
        <v>N/A</v>
      </c>
      <c r="M26" s="4" t="str">
        <f ca="1">IF($B26="N/A", "N/A",IF(VLOOKUP("SOFTSTRAP0_EN",INDIRECT(Config!$B$1),HLOOKUP(M$1,INDIRECT(Config!$E$1),2,FALSE),FALSE)=0,0,1))</f>
        <v>N/A</v>
      </c>
      <c r="N26" s="4" t="str">
        <f ca="1">IF($B26="N/A", "N/A",IF(VLOOKUP("SOFTSTRAP0_EN",INDIRECT(Config!$B$1),HLOOKUP(N$1,INDIRECT(Config!$E$1),2,FALSE),FALSE)=0,0,1))</f>
        <v>N/A</v>
      </c>
    </row>
    <row r="27" spans="1:14" s="15" customFormat="1" x14ac:dyDescent="0.3">
      <c r="A27" s="383"/>
      <c r="B27" s="2" t="s">
        <v>48</v>
      </c>
      <c r="C27" s="2">
        <v>25</v>
      </c>
      <c r="D27" s="2">
        <v>1</v>
      </c>
      <c r="E27" s="14"/>
      <c r="F27" s="16" t="s">
        <v>1117</v>
      </c>
      <c r="G27" s="8">
        <v>0</v>
      </c>
      <c r="H27" s="8">
        <v>0</v>
      </c>
      <c r="I27" s="16"/>
      <c r="J27" s="7"/>
      <c r="K27" s="7" t="s">
        <v>459</v>
      </c>
      <c r="L27" s="4" t="str">
        <f ca="1">IF($B27="N/A", "N/A",IF(VLOOKUP("SOFTSTRAP0_EN",INDIRECT(Config!$B$1),HLOOKUP(L$1,INDIRECT(Config!$E$1),2,FALSE),FALSE)=0,0,1))</f>
        <v>N/A</v>
      </c>
      <c r="M27" s="4" t="str">
        <f ca="1">IF($B27="N/A", "N/A",IF(VLOOKUP("SOFTSTRAP0_EN",INDIRECT(Config!$B$1),HLOOKUP(M$1,INDIRECT(Config!$E$1),2,FALSE),FALSE)=0,0,1))</f>
        <v>N/A</v>
      </c>
      <c r="N27" s="4" t="str">
        <f ca="1">IF($B27="N/A", "N/A",IF(VLOOKUP("SOFTSTRAP0_EN",INDIRECT(Config!$B$1),HLOOKUP(N$1,INDIRECT(Config!$E$1),2,FALSE),FALSE)=0,0,1))</f>
        <v>N/A</v>
      </c>
    </row>
    <row r="28" spans="1:14" s="15" customFormat="1" x14ac:dyDescent="0.3">
      <c r="A28" s="383"/>
      <c r="B28" s="2" t="s">
        <v>48</v>
      </c>
      <c r="C28" s="2">
        <v>26</v>
      </c>
      <c r="D28" s="2">
        <v>1</v>
      </c>
      <c r="E28" s="14"/>
      <c r="F28" s="16" t="s">
        <v>1118</v>
      </c>
      <c r="G28" s="8">
        <v>0</v>
      </c>
      <c r="H28" s="8">
        <v>0</v>
      </c>
      <c r="I28" s="16"/>
      <c r="J28" s="7"/>
      <c r="K28" s="7" t="s">
        <v>459</v>
      </c>
      <c r="L28" s="4" t="str">
        <f ca="1">IF($B28="N/A", "N/A",IF(VLOOKUP("SOFTSTRAP0_EN",INDIRECT(Config!$B$1),HLOOKUP(L$1,INDIRECT(Config!$E$1),2,FALSE),FALSE)=0,0,1))</f>
        <v>N/A</v>
      </c>
      <c r="M28" s="4" t="str">
        <f ca="1">IF($B28="N/A", "N/A",IF(VLOOKUP("SOFTSTRAP0_EN",INDIRECT(Config!$B$1),HLOOKUP(M$1,INDIRECT(Config!$E$1),2,FALSE),FALSE)=0,0,1))</f>
        <v>N/A</v>
      </c>
      <c r="N28" s="4" t="str">
        <f ca="1">IF($B28="N/A", "N/A",IF(VLOOKUP("SOFTSTRAP0_EN",INDIRECT(Config!$B$1),HLOOKUP(N$1,INDIRECT(Config!$E$1),2,FALSE),FALSE)=0,0,1))</f>
        <v>N/A</v>
      </c>
    </row>
    <row r="29" spans="1:14" s="15" customFormat="1" x14ac:dyDescent="0.3">
      <c r="A29" s="383"/>
      <c r="B29" s="2" t="s">
        <v>48</v>
      </c>
      <c r="C29" s="2">
        <v>27</v>
      </c>
      <c r="D29" s="2">
        <v>1</v>
      </c>
      <c r="E29" s="14"/>
      <c r="F29" s="16" t="s">
        <v>1119</v>
      </c>
      <c r="G29" s="8">
        <v>0</v>
      </c>
      <c r="H29" s="8">
        <v>0</v>
      </c>
      <c r="I29" s="16"/>
      <c r="J29" s="7"/>
      <c r="K29" s="7" t="s">
        <v>459</v>
      </c>
      <c r="L29" s="4" t="str">
        <f ca="1">IF($B29="N/A", "N/A",IF(VLOOKUP("SOFTSTRAP0_EN",INDIRECT(Config!$B$1),HLOOKUP(L$1,INDIRECT(Config!$E$1),2,FALSE),FALSE)=0,0,1))</f>
        <v>N/A</v>
      </c>
      <c r="M29" s="4" t="str">
        <f ca="1">IF($B29="N/A", "N/A",IF(VLOOKUP("SOFTSTRAP0_EN",INDIRECT(Config!$B$1),HLOOKUP(M$1,INDIRECT(Config!$E$1),2,FALSE),FALSE)=0,0,1))</f>
        <v>N/A</v>
      </c>
      <c r="N29" s="4" t="str">
        <f ca="1">IF($B29="N/A", "N/A",IF(VLOOKUP("SOFTSTRAP0_EN",INDIRECT(Config!$B$1),HLOOKUP(N$1,INDIRECT(Config!$E$1),2,FALSE),FALSE)=0,0,1))</f>
        <v>N/A</v>
      </c>
    </row>
    <row r="30" spans="1:14" s="15" customFormat="1" x14ac:dyDescent="0.3">
      <c r="A30" s="383"/>
      <c r="B30" s="2" t="s">
        <v>48</v>
      </c>
      <c r="C30" s="2">
        <v>28</v>
      </c>
      <c r="D30" s="2">
        <v>1</v>
      </c>
      <c r="E30" s="14"/>
      <c r="F30" s="16" t="s">
        <v>1120</v>
      </c>
      <c r="G30" s="8">
        <v>0</v>
      </c>
      <c r="H30" s="8">
        <v>0</v>
      </c>
      <c r="I30" s="16"/>
      <c r="J30" s="7"/>
      <c r="K30" s="7" t="s">
        <v>459</v>
      </c>
      <c r="L30" s="4" t="str">
        <f ca="1">IF($B30="N/A", "N/A",IF(VLOOKUP("SOFTSTRAP0_EN",INDIRECT(Config!$B$1),HLOOKUP(L$1,INDIRECT(Config!$E$1),2,FALSE),FALSE)=0,0,1))</f>
        <v>N/A</v>
      </c>
      <c r="M30" s="4" t="str">
        <f ca="1">IF($B30="N/A", "N/A",IF(VLOOKUP("SOFTSTRAP0_EN",INDIRECT(Config!$B$1),HLOOKUP(M$1,INDIRECT(Config!$E$1),2,FALSE),FALSE)=0,0,1))</f>
        <v>N/A</v>
      </c>
      <c r="N30" s="4" t="str">
        <f ca="1">IF($B30="N/A", "N/A",IF(VLOOKUP("SOFTSTRAP0_EN",INDIRECT(Config!$B$1),HLOOKUP(N$1,INDIRECT(Config!$E$1),2,FALSE),FALSE)=0,0,1))</f>
        <v>N/A</v>
      </c>
    </row>
    <row r="31" spans="1:14" x14ac:dyDescent="0.3">
      <c r="A31" s="383"/>
      <c r="B31" s="4" t="s">
        <v>613</v>
      </c>
      <c r="C31" s="7">
        <v>29</v>
      </c>
      <c r="D31" s="7">
        <v>1</v>
      </c>
      <c r="E31" s="10" t="s">
        <v>295</v>
      </c>
      <c r="F31" s="16" t="s">
        <v>296</v>
      </c>
      <c r="G31" s="8">
        <v>0</v>
      </c>
      <c r="H31" s="8">
        <v>0</v>
      </c>
      <c r="I31" s="16"/>
      <c r="J31" s="7" t="s">
        <v>87</v>
      </c>
      <c r="K31" s="7" t="s">
        <v>488</v>
      </c>
      <c r="L31" s="4">
        <f ca="1">IF($B31="N/A", "N/A",IF(VLOOKUP("SOFTSTRAP0_EN",INDIRECT(Config!$B$1),HLOOKUP(L$1,INDIRECT(Config!$E$1),2,FALSE),FALSE)=0,0,1))</f>
        <v>1</v>
      </c>
      <c r="M31" s="4">
        <f ca="1">IF($B31="N/A", "N/A",IF(VLOOKUP("SOFTSTRAP0_EN",INDIRECT(Config!$B$1),HLOOKUP(M$1,INDIRECT(Config!$E$1),2,FALSE),FALSE)=0,0,1))</f>
        <v>1</v>
      </c>
      <c r="N31" s="4">
        <f ca="1">IF($B31="N/A", "N/A",IF(VLOOKUP("SOFTSTRAP0_EN",INDIRECT(Config!$B$1),HLOOKUP(N$1,INDIRECT(Config!$E$1),2,FALSE),FALSE)=0,0,1))</f>
        <v>0</v>
      </c>
    </row>
    <row r="32" spans="1:14" x14ac:dyDescent="0.3">
      <c r="A32" s="383"/>
      <c r="B32" s="7" t="s">
        <v>627</v>
      </c>
      <c r="C32" s="7">
        <v>30</v>
      </c>
      <c r="D32" s="7">
        <v>1</v>
      </c>
      <c r="E32" s="10" t="s">
        <v>297</v>
      </c>
      <c r="F32" s="16" t="s">
        <v>298</v>
      </c>
      <c r="G32" s="8">
        <v>0</v>
      </c>
      <c r="H32" s="8">
        <v>0</v>
      </c>
      <c r="I32" s="16"/>
      <c r="J32" s="7" t="s">
        <v>87</v>
      </c>
      <c r="K32" s="7" t="s">
        <v>489</v>
      </c>
      <c r="L32" s="4">
        <f ca="1">IF($B32="N/A", "N/A",IF(VLOOKUP("SOFTSTRAP0_EN",INDIRECT(Config!$B$1),HLOOKUP(L$1,INDIRECT(Config!$E$1),2,FALSE),FALSE)=0,0,VLOOKUP("TRC_PRESENT",INDIRECT(Config!$B$1),HLOOKUP(L$1,INDIRECT(Config!$E$1),2,FALSE),FALSE)))</f>
        <v>1</v>
      </c>
      <c r="M32" s="4">
        <f ca="1">IF($B32="N/A", "N/A",IF(VLOOKUP("SOFTSTRAP0_EN",INDIRECT(Config!$B$1),HLOOKUP(M$1,INDIRECT(Config!$E$1),2,FALSE),FALSE)=0,0,VLOOKUP("TRC_PRESENT",INDIRECT(Config!$B$1),HLOOKUP(M$1,INDIRECT(Config!$E$1),2,FALSE),FALSE)))</f>
        <v>1</v>
      </c>
      <c r="N32" s="4">
        <f ca="1">IF($B32="N/A", "N/A",IF(VLOOKUP("SOFTSTRAP0_EN",INDIRECT(Config!$B$1),HLOOKUP(N$1,INDIRECT(Config!$E$1),2,FALSE),FALSE)=0,0,VLOOKUP("TRC_PRESENT",INDIRECT(Config!$B$1),HLOOKUP(N$1,INDIRECT(Config!$E$1),2,FALSE),FALSE)))</f>
        <v>0</v>
      </c>
    </row>
    <row r="33" spans="1:14" x14ac:dyDescent="0.3">
      <c r="A33" s="384"/>
      <c r="B33" s="7" t="s">
        <v>628</v>
      </c>
      <c r="C33" s="7">
        <v>31</v>
      </c>
      <c r="D33" s="7">
        <v>1</v>
      </c>
      <c r="E33" s="9" t="s">
        <v>299</v>
      </c>
      <c r="F33" s="16" t="s">
        <v>300</v>
      </c>
      <c r="G33" s="8">
        <v>0</v>
      </c>
      <c r="H33" s="8">
        <v>0</v>
      </c>
      <c r="I33" s="16"/>
      <c r="J33" s="7" t="s">
        <v>87</v>
      </c>
      <c r="K33" s="7" t="s">
        <v>490</v>
      </c>
      <c r="L33" s="4">
        <f ca="1">IF($B33="N/A", "N/A",IF(VLOOKUP("SOFTSTRAP0_EN",INDIRECT(Config!$B$1),HLOOKUP(L$1,INDIRECT(Config!$E$1),2,FALSE),FALSE)=0,0,VLOOKUP("INCLUDE_MROM",INDIRECT(Config!$B$1),HLOOKUP(L$1,INDIRECT(Config!$E$1),2,FALSE),FALSE)))</f>
        <v>0</v>
      </c>
      <c r="M33" s="4">
        <f ca="1">IF($B33="N/A", "N/A",IF(VLOOKUP("SOFTSTRAP0_EN",INDIRECT(Config!$B$1),HLOOKUP(M$1,INDIRECT(Config!$E$1),2,FALSE),FALSE)=0,0,VLOOKUP("INCLUDE_MROM",INDIRECT(Config!$B$1),HLOOKUP(M$1,INDIRECT(Config!$E$1),2,FALSE),FALSE)))</f>
        <v>0</v>
      </c>
      <c r="N33" s="4">
        <f ca="1">IF($B33="N/A", "N/A",IF(VLOOKUP("SOFTSTRAP0_EN",INDIRECT(Config!$B$1),HLOOKUP(N$1,INDIRECT(Config!$E$1),2,FALSE),FALSE)=0,0,VLOOKUP("INCLUDE_MROM",INDIRECT(Config!$B$1),HLOOKUP(N$1,INDIRECT(Config!$E$1),2,FALSE),FALSE)))</f>
        <v>0</v>
      </c>
    </row>
    <row r="34" spans="1:14" x14ac:dyDescent="0.3">
      <c r="A34" s="334" t="s">
        <v>46</v>
      </c>
      <c r="B34" s="16" t="s">
        <v>630</v>
      </c>
      <c r="C34" s="7">
        <v>0</v>
      </c>
      <c r="D34" s="7">
        <v>1</v>
      </c>
      <c r="E34" s="9" t="s">
        <v>301</v>
      </c>
      <c r="F34" s="16" t="s">
        <v>302</v>
      </c>
      <c r="G34" s="8">
        <v>0</v>
      </c>
      <c r="H34" s="8">
        <v>0</v>
      </c>
      <c r="I34" s="16"/>
      <c r="J34" s="7" t="s">
        <v>87</v>
      </c>
      <c r="K34" s="7" t="s">
        <v>491</v>
      </c>
      <c r="L34" s="4">
        <f ca="1">IF($B34="N/A", "N/A",IF(VLOOKUP("SOFTSTRAP1_EN",INDIRECT(Config!$B$1),HLOOKUP(L$1,INDIRECT(Config!$E$1),2,FALSE),FALSE)=0,0,VLOOKUP("INCLUDE_CM",INDIRECT(Config!$B$1),HLOOKUP(L$1,INDIRECT(Config!$E$1),2,FALSE),FALSE)))</f>
        <v>1</v>
      </c>
      <c r="M34" s="4">
        <f ca="1">IF($B34="N/A", "N/A",IF(VLOOKUP("SOFTSTRAP1_EN",INDIRECT(Config!$B$1),HLOOKUP(M$1,INDIRECT(Config!$E$1),2,FALSE),FALSE)=0,0,VLOOKUP("INCLUDE_CM",INDIRECT(Config!$B$1),HLOOKUP(M$1,INDIRECT(Config!$E$1),2,FALSE),FALSE)))</f>
        <v>0</v>
      </c>
      <c r="N34" s="4">
        <f ca="1">IF($B34="N/A", "N/A",IF(VLOOKUP("SOFTSTRAP1_EN",INDIRECT(Config!$B$1),HLOOKUP(N$1,INDIRECT(Config!$E$1),2,FALSE),FALSE)=0,0,VLOOKUP("INCLUDE_CM",INDIRECT(Config!$B$1),HLOOKUP(N$1,INDIRECT(Config!$E$1),2,FALSE),FALSE)))</f>
        <v>0</v>
      </c>
    </row>
    <row r="35" spans="1:14" x14ac:dyDescent="0.3">
      <c r="A35" s="364"/>
      <c r="B35" s="16" t="s">
        <v>630</v>
      </c>
      <c r="C35" s="7">
        <v>1</v>
      </c>
      <c r="D35" s="7">
        <v>1</v>
      </c>
      <c r="E35" s="12" t="s">
        <v>303</v>
      </c>
      <c r="F35" s="16" t="s">
        <v>304</v>
      </c>
      <c r="G35" s="8">
        <v>0</v>
      </c>
      <c r="H35" s="8">
        <v>0</v>
      </c>
      <c r="I35" s="16"/>
      <c r="J35" s="7" t="s">
        <v>87</v>
      </c>
      <c r="K35" s="7" t="s">
        <v>492</v>
      </c>
      <c r="L35" s="4">
        <f ca="1">IF($B35="N/A", "N/A",IF(VLOOKUP("SOFTSTRAP1_EN",INDIRECT(Config!$B$1),HLOOKUP(L$1,INDIRECT(Config!$E$1),2,FALSE),FALSE)=0,0,VLOOKUP("INCLUDE_CM",INDIRECT(Config!$B$1),HLOOKUP(L$1,INDIRECT(Config!$E$1),2,FALSE),FALSE)))</f>
        <v>1</v>
      </c>
      <c r="M35" s="4">
        <f ca="1">IF($B35="N/A", "N/A",IF(VLOOKUP("SOFTSTRAP1_EN",INDIRECT(Config!$B$1),HLOOKUP(M$1,INDIRECT(Config!$E$1),2,FALSE),FALSE)=0,0,VLOOKUP("INCLUDE_CM",INDIRECT(Config!$B$1),HLOOKUP(M$1,INDIRECT(Config!$E$1),2,FALSE),FALSE)))</f>
        <v>0</v>
      </c>
      <c r="N35" s="4">
        <f ca="1">IF($B35="N/A", "N/A",IF(VLOOKUP("SOFTSTRAP1_EN",INDIRECT(Config!$B$1),HLOOKUP(N$1,INDIRECT(Config!$E$1),2,FALSE),FALSE)=0,0,VLOOKUP("INCLUDE_CM",INDIRECT(Config!$B$1),HLOOKUP(N$1,INDIRECT(Config!$E$1),2,FALSE),FALSE)))</f>
        <v>0</v>
      </c>
    </row>
    <row r="36" spans="1:14" x14ac:dyDescent="0.3">
      <c r="A36" s="364"/>
      <c r="B36" s="16" t="s">
        <v>630</v>
      </c>
      <c r="C36" s="7">
        <v>2</v>
      </c>
      <c r="D36" s="7">
        <v>1</v>
      </c>
      <c r="E36" s="12" t="s">
        <v>305</v>
      </c>
      <c r="F36" s="16" t="s">
        <v>306</v>
      </c>
      <c r="G36" s="8">
        <v>0</v>
      </c>
      <c r="H36" s="8">
        <v>0</v>
      </c>
      <c r="I36" s="16"/>
      <c r="J36" s="7" t="s">
        <v>87</v>
      </c>
      <c r="K36" s="7" t="s">
        <v>493</v>
      </c>
      <c r="L36" s="4">
        <f ca="1">IF($B36="N/A", "N/A",IF(VLOOKUP("SOFTSTRAP1_EN",INDIRECT(Config!$B$1),HLOOKUP(L$1,INDIRECT(Config!$E$1),2,FALSE),FALSE)=0,0,VLOOKUP("INCLUDE_CM",INDIRECT(Config!$B$1),HLOOKUP(L$1,INDIRECT(Config!$E$1),2,FALSE),FALSE)))</f>
        <v>1</v>
      </c>
      <c r="M36" s="4">
        <f ca="1">IF($B36="N/A", "N/A",IF(VLOOKUP("SOFTSTRAP1_EN",INDIRECT(Config!$B$1),HLOOKUP(M$1,INDIRECT(Config!$E$1),2,FALSE),FALSE)=0,0,VLOOKUP("INCLUDE_CM",INDIRECT(Config!$B$1),HLOOKUP(M$1,INDIRECT(Config!$E$1),2,FALSE),FALSE)))</f>
        <v>0</v>
      </c>
      <c r="N36" s="4">
        <f ca="1">IF($B36="N/A", "N/A",IF(VLOOKUP("SOFTSTRAP1_EN",INDIRECT(Config!$B$1),HLOOKUP(N$1,INDIRECT(Config!$E$1),2,FALSE),FALSE)=0,0,VLOOKUP("INCLUDE_CM",INDIRECT(Config!$B$1),HLOOKUP(N$1,INDIRECT(Config!$E$1),2,FALSE),FALSE)))</f>
        <v>0</v>
      </c>
    </row>
    <row r="37" spans="1:14" x14ac:dyDescent="0.3">
      <c r="A37" s="364"/>
      <c r="B37" s="16" t="s">
        <v>630</v>
      </c>
      <c r="C37" s="7">
        <v>3</v>
      </c>
      <c r="D37" s="7">
        <v>1</v>
      </c>
      <c r="E37" s="12" t="s">
        <v>307</v>
      </c>
      <c r="F37" s="16" t="s">
        <v>308</v>
      </c>
      <c r="G37" s="8">
        <v>0</v>
      </c>
      <c r="H37" s="8">
        <v>0</v>
      </c>
      <c r="I37" s="16"/>
      <c r="J37" s="7" t="s">
        <v>87</v>
      </c>
      <c r="K37" s="7" t="s">
        <v>494</v>
      </c>
      <c r="L37" s="4">
        <f ca="1">IF($B37="N/A", "N/A",IF(VLOOKUP("SOFTSTRAP1_EN",INDIRECT(Config!$B$1),HLOOKUP(L$1,INDIRECT(Config!$E$1),2,FALSE),FALSE)=0,0,VLOOKUP("INCLUDE_CM",INDIRECT(Config!$B$1),HLOOKUP(L$1,INDIRECT(Config!$E$1),2,FALSE),FALSE)))</f>
        <v>1</v>
      </c>
      <c r="M37" s="4">
        <f ca="1">IF($B37="N/A", "N/A",IF(VLOOKUP("SOFTSTRAP1_EN",INDIRECT(Config!$B$1),HLOOKUP(M$1,INDIRECT(Config!$E$1),2,FALSE),FALSE)=0,0,VLOOKUP("INCLUDE_CM",INDIRECT(Config!$B$1),HLOOKUP(M$1,INDIRECT(Config!$E$1),2,FALSE),FALSE)))</f>
        <v>0</v>
      </c>
      <c r="N37" s="4">
        <f ca="1">IF($B37="N/A", "N/A",IF(VLOOKUP("SOFTSTRAP1_EN",INDIRECT(Config!$B$1),HLOOKUP(N$1,INDIRECT(Config!$E$1),2,FALSE),FALSE)=0,0,VLOOKUP("INCLUDE_CM",INDIRECT(Config!$B$1),HLOOKUP(N$1,INDIRECT(Config!$E$1),2,FALSE),FALSE)))</f>
        <v>0</v>
      </c>
    </row>
    <row r="38" spans="1:14" x14ac:dyDescent="0.3">
      <c r="A38" s="364"/>
      <c r="B38" s="16" t="s">
        <v>630</v>
      </c>
      <c r="C38" s="7">
        <v>4</v>
      </c>
      <c r="D38" s="7">
        <v>1</v>
      </c>
      <c r="E38" s="12" t="s">
        <v>309</v>
      </c>
      <c r="F38" s="16" t="s">
        <v>310</v>
      </c>
      <c r="G38" s="8">
        <v>0</v>
      </c>
      <c r="H38" s="8">
        <v>0</v>
      </c>
      <c r="I38" s="16"/>
      <c r="J38" s="7" t="s">
        <v>87</v>
      </c>
      <c r="K38" s="7" t="s">
        <v>495</v>
      </c>
      <c r="L38" s="4">
        <f ca="1">IF($B38="N/A", "N/A",IF(VLOOKUP("SOFTSTRAP1_EN",INDIRECT(Config!$B$1),HLOOKUP(L$1,INDIRECT(Config!$E$1),2,FALSE),FALSE)=0,0,VLOOKUP("INCLUDE_CM",INDIRECT(Config!$B$1),HLOOKUP(L$1,INDIRECT(Config!$E$1),2,FALSE),FALSE)))</f>
        <v>1</v>
      </c>
      <c r="M38" s="4">
        <f ca="1">IF($B38="N/A", "N/A",IF(VLOOKUP("SOFTSTRAP1_EN",INDIRECT(Config!$B$1),HLOOKUP(M$1,INDIRECT(Config!$E$1),2,FALSE),FALSE)=0,0,VLOOKUP("INCLUDE_CM",INDIRECT(Config!$B$1),HLOOKUP(M$1,INDIRECT(Config!$E$1),2,FALSE),FALSE)))</f>
        <v>0</v>
      </c>
      <c r="N38" s="4">
        <f ca="1">IF($B38="N/A", "N/A",IF(VLOOKUP("SOFTSTRAP1_EN",INDIRECT(Config!$B$1),HLOOKUP(N$1,INDIRECT(Config!$E$1),2,FALSE),FALSE)=0,0,VLOOKUP("INCLUDE_CM",INDIRECT(Config!$B$1),HLOOKUP(N$1,INDIRECT(Config!$E$1),2,FALSE),FALSE)))</f>
        <v>0</v>
      </c>
    </row>
    <row r="39" spans="1:14" x14ac:dyDescent="0.3">
      <c r="A39" s="364"/>
      <c r="B39" s="16" t="s">
        <v>630</v>
      </c>
      <c r="C39" s="7">
        <v>5</v>
      </c>
      <c r="D39" s="7">
        <v>1</v>
      </c>
      <c r="E39" s="12" t="s">
        <v>311</v>
      </c>
      <c r="F39" s="16" t="s">
        <v>312</v>
      </c>
      <c r="G39" s="8">
        <v>0</v>
      </c>
      <c r="H39" s="8">
        <v>0</v>
      </c>
      <c r="I39" s="16"/>
      <c r="J39" s="7" t="s">
        <v>87</v>
      </c>
      <c r="K39" s="7" t="s">
        <v>496</v>
      </c>
      <c r="L39" s="4">
        <f ca="1">IF($B39="N/A", "N/A",IF(VLOOKUP("SOFTSTRAP1_EN",INDIRECT(Config!$B$1),HLOOKUP(L$1,INDIRECT(Config!$E$1),2,FALSE),FALSE)=0,0,VLOOKUP("INCLUDE_CM",INDIRECT(Config!$B$1),HLOOKUP(L$1,INDIRECT(Config!$E$1),2,FALSE),FALSE)))</f>
        <v>1</v>
      </c>
      <c r="M39" s="4">
        <f ca="1">IF($B39="N/A", "N/A",IF(VLOOKUP("SOFTSTRAP1_EN",INDIRECT(Config!$B$1),HLOOKUP(M$1,INDIRECT(Config!$E$1),2,FALSE),FALSE)=0,0,VLOOKUP("INCLUDE_CM",INDIRECT(Config!$B$1),HLOOKUP(M$1,INDIRECT(Config!$E$1),2,FALSE),FALSE)))</f>
        <v>0</v>
      </c>
      <c r="N39" s="4">
        <f ca="1">IF($B39="N/A", "N/A",IF(VLOOKUP("SOFTSTRAP1_EN",INDIRECT(Config!$B$1),HLOOKUP(N$1,INDIRECT(Config!$E$1),2,FALSE),FALSE)=0,0,VLOOKUP("INCLUDE_CM",INDIRECT(Config!$B$1),HLOOKUP(N$1,INDIRECT(Config!$E$1),2,FALSE),FALSE)))</f>
        <v>0</v>
      </c>
    </row>
    <row r="40" spans="1:14" x14ac:dyDescent="0.3">
      <c r="A40" s="364"/>
      <c r="B40" s="16" t="s">
        <v>630</v>
      </c>
      <c r="C40" s="7">
        <v>6</v>
      </c>
      <c r="D40" s="7">
        <v>1</v>
      </c>
      <c r="E40" s="12" t="s">
        <v>313</v>
      </c>
      <c r="F40" s="16" t="s">
        <v>314</v>
      </c>
      <c r="G40" s="8">
        <v>0</v>
      </c>
      <c r="H40" s="8">
        <v>0</v>
      </c>
      <c r="I40" s="16"/>
      <c r="J40" s="7" t="s">
        <v>87</v>
      </c>
      <c r="K40" s="7" t="s">
        <v>497</v>
      </c>
      <c r="L40" s="4">
        <f ca="1">IF($B40="N/A", "N/A",IF(VLOOKUP("SOFTSTRAP1_EN",INDIRECT(Config!$B$1),HLOOKUP(L$1,INDIRECT(Config!$E$1),2,FALSE),FALSE)=0,0,VLOOKUP("INCLUDE_CM",INDIRECT(Config!$B$1),HLOOKUP(L$1,INDIRECT(Config!$E$1),2,FALSE),FALSE)))</f>
        <v>1</v>
      </c>
      <c r="M40" s="4">
        <f ca="1">IF($B40="N/A", "N/A",IF(VLOOKUP("SOFTSTRAP1_EN",INDIRECT(Config!$B$1),HLOOKUP(M$1,INDIRECT(Config!$E$1),2,FALSE),FALSE)=0,0,VLOOKUP("INCLUDE_CM",INDIRECT(Config!$B$1),HLOOKUP(M$1,INDIRECT(Config!$E$1),2,FALSE),FALSE)))</f>
        <v>0</v>
      </c>
      <c r="N40" s="4">
        <f ca="1">IF($B40="N/A", "N/A",IF(VLOOKUP("SOFTSTRAP1_EN",INDIRECT(Config!$B$1),HLOOKUP(N$1,INDIRECT(Config!$E$1),2,FALSE),FALSE)=0,0,VLOOKUP("INCLUDE_CM",INDIRECT(Config!$B$1),HLOOKUP(N$1,INDIRECT(Config!$E$1),2,FALSE),FALSE)))</f>
        <v>0</v>
      </c>
    </row>
    <row r="41" spans="1:14" x14ac:dyDescent="0.3">
      <c r="A41" s="364"/>
      <c r="B41" s="16" t="s">
        <v>630</v>
      </c>
      <c r="C41" s="7">
        <v>7</v>
      </c>
      <c r="D41" s="7">
        <v>1</v>
      </c>
      <c r="E41" s="12" t="s">
        <v>315</v>
      </c>
      <c r="F41" s="16" t="s">
        <v>316</v>
      </c>
      <c r="G41" s="8">
        <v>0</v>
      </c>
      <c r="H41" s="8">
        <v>0</v>
      </c>
      <c r="I41" s="16"/>
      <c r="J41" s="7" t="s">
        <v>87</v>
      </c>
      <c r="K41" s="7" t="s">
        <v>498</v>
      </c>
      <c r="L41" s="4">
        <f ca="1">IF($B41="N/A", "N/A",IF(VLOOKUP("SOFTSTRAP1_EN",INDIRECT(Config!$B$1),HLOOKUP(L$1,INDIRECT(Config!$E$1),2,FALSE),FALSE)=0,0,VLOOKUP("INCLUDE_CM",INDIRECT(Config!$B$1),HLOOKUP(L$1,INDIRECT(Config!$E$1),2,FALSE),FALSE)))</f>
        <v>1</v>
      </c>
      <c r="M41" s="4">
        <f ca="1">IF($B41="N/A", "N/A",IF(VLOOKUP("SOFTSTRAP1_EN",INDIRECT(Config!$B$1),HLOOKUP(M$1,INDIRECT(Config!$E$1),2,FALSE),FALSE)=0,0,VLOOKUP("INCLUDE_CM",INDIRECT(Config!$B$1),HLOOKUP(M$1,INDIRECT(Config!$E$1),2,FALSE),FALSE)))</f>
        <v>0</v>
      </c>
      <c r="N41" s="4">
        <f ca="1">IF($B41="N/A", "N/A",IF(VLOOKUP("SOFTSTRAP1_EN",INDIRECT(Config!$B$1),HLOOKUP(N$1,INDIRECT(Config!$E$1),2,FALSE),FALSE)=0,0,VLOOKUP("INCLUDE_CM",INDIRECT(Config!$B$1),HLOOKUP(N$1,INDIRECT(Config!$E$1),2,FALSE),FALSE)))</f>
        <v>0</v>
      </c>
    </row>
    <row r="42" spans="1:14" x14ac:dyDescent="0.3">
      <c r="A42" s="364"/>
      <c r="B42" s="16" t="s">
        <v>630</v>
      </c>
      <c r="C42" s="7">
        <v>8</v>
      </c>
      <c r="D42" s="7">
        <v>1</v>
      </c>
      <c r="E42" s="12" t="s">
        <v>317</v>
      </c>
      <c r="F42" s="16" t="s">
        <v>318</v>
      </c>
      <c r="G42" s="8">
        <v>0</v>
      </c>
      <c r="H42" s="8">
        <v>0</v>
      </c>
      <c r="I42" s="16"/>
      <c r="J42" s="7" t="s">
        <v>87</v>
      </c>
      <c r="K42" s="7" t="s">
        <v>499</v>
      </c>
      <c r="L42" s="4">
        <f ca="1">IF($B42="N/A", "N/A",IF(VLOOKUP("SOFTSTRAP1_EN",INDIRECT(Config!$B$1),HLOOKUP(L$1,INDIRECT(Config!$E$1),2,FALSE),FALSE)=0,0,VLOOKUP("INCLUDE_CM",INDIRECT(Config!$B$1),HLOOKUP(L$1,INDIRECT(Config!$E$1),2,FALSE),FALSE)))</f>
        <v>1</v>
      </c>
      <c r="M42" s="4">
        <f ca="1">IF($B42="N/A", "N/A",IF(VLOOKUP("SOFTSTRAP1_EN",INDIRECT(Config!$B$1),HLOOKUP(M$1,INDIRECT(Config!$E$1),2,FALSE),FALSE)=0,0,VLOOKUP("INCLUDE_CM",INDIRECT(Config!$B$1),HLOOKUP(M$1,INDIRECT(Config!$E$1),2,FALSE),FALSE)))</f>
        <v>0</v>
      </c>
      <c r="N42" s="4">
        <f ca="1">IF($B42="N/A", "N/A",IF(VLOOKUP("SOFTSTRAP1_EN",INDIRECT(Config!$B$1),HLOOKUP(N$1,INDIRECT(Config!$E$1),2,FALSE),FALSE)=0,0,VLOOKUP("INCLUDE_CM",INDIRECT(Config!$B$1),HLOOKUP(N$1,INDIRECT(Config!$E$1),2,FALSE),FALSE)))</f>
        <v>0</v>
      </c>
    </row>
    <row r="43" spans="1:14" x14ac:dyDescent="0.3">
      <c r="A43" s="364"/>
      <c r="B43" s="16" t="s">
        <v>630</v>
      </c>
      <c r="C43" s="7">
        <v>9</v>
      </c>
      <c r="D43" s="7">
        <v>1</v>
      </c>
      <c r="E43" s="12" t="s">
        <v>319</v>
      </c>
      <c r="F43" s="16" t="s">
        <v>320</v>
      </c>
      <c r="G43" s="8">
        <v>0</v>
      </c>
      <c r="H43" s="8">
        <v>0</v>
      </c>
      <c r="I43" s="16"/>
      <c r="J43" s="7" t="s">
        <v>87</v>
      </c>
      <c r="K43" s="7" t="s">
        <v>500</v>
      </c>
      <c r="L43" s="4">
        <f ca="1">IF($B43="N/A", "N/A",IF(VLOOKUP("SOFTSTRAP1_EN",INDIRECT(Config!$B$1),HLOOKUP(L$1,INDIRECT(Config!$E$1),2,FALSE),FALSE)=0,0,VLOOKUP("INCLUDE_CM",INDIRECT(Config!$B$1),HLOOKUP(L$1,INDIRECT(Config!$E$1),2,FALSE),FALSE)))</f>
        <v>1</v>
      </c>
      <c r="M43" s="4">
        <f ca="1">IF($B43="N/A", "N/A",IF(VLOOKUP("SOFTSTRAP1_EN",INDIRECT(Config!$B$1),HLOOKUP(M$1,INDIRECT(Config!$E$1),2,FALSE),FALSE)=0,0,VLOOKUP("INCLUDE_CM",INDIRECT(Config!$B$1),HLOOKUP(M$1,INDIRECT(Config!$E$1),2,FALSE),FALSE)))</f>
        <v>0</v>
      </c>
      <c r="N43" s="4">
        <f ca="1">IF($B43="N/A", "N/A",IF(VLOOKUP("SOFTSTRAP1_EN",INDIRECT(Config!$B$1),HLOOKUP(N$1,INDIRECT(Config!$E$1),2,FALSE),FALSE)=0,0,VLOOKUP("INCLUDE_CM",INDIRECT(Config!$B$1),HLOOKUP(N$1,INDIRECT(Config!$E$1),2,FALSE),FALSE)))</f>
        <v>0</v>
      </c>
    </row>
    <row r="44" spans="1:14" x14ac:dyDescent="0.3">
      <c r="A44" s="364"/>
      <c r="B44" s="2" t="s">
        <v>48</v>
      </c>
      <c r="C44" s="2">
        <v>10</v>
      </c>
      <c r="D44" s="2">
        <v>1</v>
      </c>
      <c r="E44" s="13"/>
      <c r="F44" s="16" t="s">
        <v>321</v>
      </c>
      <c r="G44" s="8">
        <v>0</v>
      </c>
      <c r="H44" s="8">
        <v>0</v>
      </c>
      <c r="I44" s="16"/>
      <c r="J44" s="7"/>
      <c r="K44" s="7" t="s">
        <v>459</v>
      </c>
      <c r="L44" s="4" t="str">
        <f ca="1">IF($B44="N/A", "N/A",IF(VLOOKUP("SOFTSTRAP1_EN",INDIRECT(Config!$B$1),HLOOKUP(L$1,INDIRECT(Config!$E$1),2,FALSE),FALSE)=0,0,1))</f>
        <v>N/A</v>
      </c>
      <c r="M44" s="4" t="str">
        <f ca="1">IF($B44="N/A", "N/A",IF(VLOOKUP("SOFTSTRAP1_EN",INDIRECT(Config!$B$1),HLOOKUP(M$1,INDIRECT(Config!$E$1),2,FALSE),FALSE)=0,0,1))</f>
        <v>N/A</v>
      </c>
      <c r="N44" s="4" t="str">
        <f ca="1">IF($B44="N/A", "N/A",IF(VLOOKUP("SOFTSTRAP1_EN",INDIRECT(Config!$B$1),HLOOKUP(N$1,INDIRECT(Config!$E$1),2,FALSE),FALSE)=0,0,1))</f>
        <v>N/A</v>
      </c>
    </row>
    <row r="45" spans="1:14" x14ac:dyDescent="0.3">
      <c r="A45" s="364"/>
      <c r="B45" s="2" t="s">
        <v>48</v>
      </c>
      <c r="C45" s="2">
        <v>11</v>
      </c>
      <c r="D45" s="2">
        <v>1</v>
      </c>
      <c r="E45" s="13"/>
      <c r="F45" s="16" t="s">
        <v>322</v>
      </c>
      <c r="G45" s="8">
        <v>0</v>
      </c>
      <c r="H45" s="8">
        <v>0</v>
      </c>
      <c r="I45" s="16"/>
      <c r="J45" s="7"/>
      <c r="K45" s="7" t="s">
        <v>459</v>
      </c>
      <c r="L45" s="4" t="str">
        <f ca="1">IF($B45="N/A", "N/A",IF(VLOOKUP("SOFTSTRAP1_EN",INDIRECT(Config!$B$1),HLOOKUP(L$1,INDIRECT(Config!$E$1),2,FALSE),FALSE)=0,0,1))</f>
        <v>N/A</v>
      </c>
      <c r="M45" s="4" t="str">
        <f ca="1">IF($B45="N/A", "N/A",IF(VLOOKUP("SOFTSTRAP1_EN",INDIRECT(Config!$B$1),HLOOKUP(M$1,INDIRECT(Config!$E$1),2,FALSE),FALSE)=0,0,1))</f>
        <v>N/A</v>
      </c>
      <c r="N45" s="4" t="str">
        <f ca="1">IF($B45="N/A", "N/A",IF(VLOOKUP("SOFTSTRAP1_EN",INDIRECT(Config!$B$1),HLOOKUP(N$1,INDIRECT(Config!$E$1),2,FALSE),FALSE)=0,0,1))</f>
        <v>N/A</v>
      </c>
    </row>
    <row r="46" spans="1:14" x14ac:dyDescent="0.3">
      <c r="A46" s="364"/>
      <c r="B46" s="2" t="s">
        <v>48</v>
      </c>
      <c r="C46" s="2">
        <v>12</v>
      </c>
      <c r="D46" s="2">
        <v>1</v>
      </c>
      <c r="E46" s="13"/>
      <c r="F46" s="16" t="s">
        <v>323</v>
      </c>
      <c r="G46" s="8">
        <v>0</v>
      </c>
      <c r="H46" s="8">
        <v>0</v>
      </c>
      <c r="I46" s="16"/>
      <c r="J46" s="7"/>
      <c r="K46" s="7" t="s">
        <v>459</v>
      </c>
      <c r="L46" s="4" t="str">
        <f ca="1">IF($B46="N/A", "N/A",IF(VLOOKUP("SOFTSTRAP1_EN",INDIRECT(Config!$B$1),HLOOKUP(L$1,INDIRECT(Config!$E$1),2,FALSE),FALSE)=0,0,1))</f>
        <v>N/A</v>
      </c>
      <c r="M46" s="4" t="str">
        <f ca="1">IF($B46="N/A", "N/A",IF(VLOOKUP("SOFTSTRAP1_EN",INDIRECT(Config!$B$1),HLOOKUP(M$1,INDIRECT(Config!$E$1),2,FALSE),FALSE)=0,0,1))</f>
        <v>N/A</v>
      </c>
      <c r="N46" s="4" t="str">
        <f ca="1">IF($B46="N/A", "N/A",IF(VLOOKUP("SOFTSTRAP1_EN",INDIRECT(Config!$B$1),HLOOKUP(N$1,INDIRECT(Config!$E$1),2,FALSE),FALSE)=0,0,1))</f>
        <v>N/A</v>
      </c>
    </row>
    <row r="47" spans="1:14" x14ac:dyDescent="0.3">
      <c r="A47" s="364"/>
      <c r="B47" s="2" t="s">
        <v>48</v>
      </c>
      <c r="C47" s="2">
        <v>13</v>
      </c>
      <c r="D47" s="2">
        <v>1</v>
      </c>
      <c r="E47" s="13"/>
      <c r="F47" s="16" t="s">
        <v>324</v>
      </c>
      <c r="G47" s="8">
        <v>0</v>
      </c>
      <c r="H47" s="8">
        <v>0</v>
      </c>
      <c r="I47" s="16"/>
      <c r="J47" s="7"/>
      <c r="K47" s="7" t="s">
        <v>459</v>
      </c>
      <c r="L47" s="4" t="str">
        <f ca="1">IF($B47="N/A", "N/A",IF(VLOOKUP("SOFTSTRAP1_EN",INDIRECT(Config!$B$1),HLOOKUP(L$1,INDIRECT(Config!$E$1),2,FALSE),FALSE)=0,0,1))</f>
        <v>N/A</v>
      </c>
      <c r="M47" s="4" t="str">
        <f ca="1">IF($B47="N/A", "N/A",IF(VLOOKUP("SOFTSTRAP1_EN",INDIRECT(Config!$B$1),HLOOKUP(M$1,INDIRECT(Config!$E$1),2,FALSE),FALSE)=0,0,1))</f>
        <v>N/A</v>
      </c>
      <c r="N47" s="4" t="str">
        <f ca="1">IF($B47="N/A", "N/A",IF(VLOOKUP("SOFTSTRAP1_EN",INDIRECT(Config!$B$1),HLOOKUP(N$1,INDIRECT(Config!$E$1),2,FALSE),FALSE)=0,0,1))</f>
        <v>N/A</v>
      </c>
    </row>
    <row r="48" spans="1:14" x14ac:dyDescent="0.3">
      <c r="A48" s="364"/>
      <c r="B48" s="2" t="s">
        <v>48</v>
      </c>
      <c r="C48" s="2">
        <v>14</v>
      </c>
      <c r="D48" s="2">
        <v>1</v>
      </c>
      <c r="E48" s="13"/>
      <c r="F48" s="16" t="s">
        <v>325</v>
      </c>
      <c r="G48" s="8">
        <v>0</v>
      </c>
      <c r="H48" s="8">
        <v>0</v>
      </c>
      <c r="I48" s="16"/>
      <c r="J48" s="7"/>
      <c r="K48" s="7" t="s">
        <v>459</v>
      </c>
      <c r="L48" s="4" t="str">
        <f ca="1">IF($B48="N/A", "N/A",IF(VLOOKUP("SOFTSTRAP1_EN",INDIRECT(Config!$B$1),HLOOKUP(L$1,INDIRECT(Config!$E$1),2,FALSE),FALSE)=0,0,1))</f>
        <v>N/A</v>
      </c>
      <c r="M48" s="4" t="str">
        <f ca="1">IF($B48="N/A", "N/A",IF(VLOOKUP("SOFTSTRAP1_EN",INDIRECT(Config!$B$1),HLOOKUP(M$1,INDIRECT(Config!$E$1),2,FALSE),FALSE)=0,0,1))</f>
        <v>N/A</v>
      </c>
      <c r="N48" s="4" t="str">
        <f ca="1">IF($B48="N/A", "N/A",IF(VLOOKUP("SOFTSTRAP1_EN",INDIRECT(Config!$B$1),HLOOKUP(N$1,INDIRECT(Config!$E$1),2,FALSE),FALSE)=0,0,1))</f>
        <v>N/A</v>
      </c>
    </row>
    <row r="49" spans="1:14" x14ac:dyDescent="0.3">
      <c r="A49" s="364"/>
      <c r="B49" s="2" t="s">
        <v>48</v>
      </c>
      <c r="C49" s="2">
        <v>15</v>
      </c>
      <c r="D49" s="2">
        <v>1</v>
      </c>
      <c r="E49" s="13"/>
      <c r="F49" s="16" t="s">
        <v>326</v>
      </c>
      <c r="G49" s="8">
        <v>0</v>
      </c>
      <c r="H49" s="8">
        <v>0</v>
      </c>
      <c r="I49" s="16"/>
      <c r="J49" s="7"/>
      <c r="K49" s="7" t="s">
        <v>459</v>
      </c>
      <c r="L49" s="4" t="str">
        <f ca="1">IF($B49="N/A", "N/A",IF(VLOOKUP("SOFTSTRAP1_EN",INDIRECT(Config!$B$1),HLOOKUP(L$1,INDIRECT(Config!$E$1),2,FALSE),FALSE)=0,0,1))</f>
        <v>N/A</v>
      </c>
      <c r="M49" s="4" t="str">
        <f ca="1">IF($B49="N/A", "N/A",IF(VLOOKUP("SOFTSTRAP1_EN",INDIRECT(Config!$B$1),HLOOKUP(M$1,INDIRECT(Config!$E$1),2,FALSE),FALSE)=0,0,1))</f>
        <v>N/A</v>
      </c>
      <c r="N49" s="4" t="str">
        <f ca="1">IF($B49="N/A", "N/A",IF(VLOOKUP("SOFTSTRAP1_EN",INDIRECT(Config!$B$1),HLOOKUP(N$1,INDIRECT(Config!$E$1),2,FALSE),FALSE)=0,0,1))</f>
        <v>N/A</v>
      </c>
    </row>
    <row r="50" spans="1:14" x14ac:dyDescent="0.3">
      <c r="A50" s="364"/>
      <c r="B50" s="16" t="s">
        <v>630</v>
      </c>
      <c r="C50" s="7">
        <v>16</v>
      </c>
      <c r="D50" s="7">
        <v>1</v>
      </c>
      <c r="E50" s="12" t="s">
        <v>327</v>
      </c>
      <c r="F50" s="16" t="s">
        <v>328</v>
      </c>
      <c r="G50" s="8">
        <v>0</v>
      </c>
      <c r="H50" s="8">
        <v>0</v>
      </c>
      <c r="I50" s="16"/>
      <c r="J50" s="7" t="s">
        <v>87</v>
      </c>
      <c r="K50" s="7" t="s">
        <v>501</v>
      </c>
      <c r="L50" s="4">
        <f ca="1">IF($B50="N/A", "N/A",IF(VLOOKUP("SOFTSTRAP1_EN",INDIRECT(Config!$B$1),HLOOKUP(L$1,INDIRECT(Config!$E$1),2,FALSE),FALSE)=0,0,VLOOKUP("INCLUDE_CM",INDIRECT(Config!$B$1),HLOOKUP(L$1,INDIRECT(Config!$E$1),2,FALSE),FALSE)))</f>
        <v>1</v>
      </c>
      <c r="M50" s="4">
        <f ca="1">IF($B50="N/A", "N/A",IF(VLOOKUP("SOFTSTRAP1_EN",INDIRECT(Config!$B$1),HLOOKUP(M$1,INDIRECT(Config!$E$1),2,FALSE),FALSE)=0,0,VLOOKUP("INCLUDE_CM",INDIRECT(Config!$B$1),HLOOKUP(M$1,INDIRECT(Config!$E$1),2,FALSE),FALSE)))</f>
        <v>0</v>
      </c>
      <c r="N50" s="4">
        <f ca="1">IF($B50="N/A", "N/A",IF(VLOOKUP("SOFTSTRAP1_EN",INDIRECT(Config!$B$1),HLOOKUP(N$1,INDIRECT(Config!$E$1),2,FALSE),FALSE)=0,0,VLOOKUP("INCLUDE_CM",INDIRECT(Config!$B$1),HLOOKUP(N$1,INDIRECT(Config!$E$1),2,FALSE),FALSE)))</f>
        <v>0</v>
      </c>
    </row>
    <row r="51" spans="1:14" x14ac:dyDescent="0.3">
      <c r="A51" s="364"/>
      <c r="B51" s="2" t="s">
        <v>48</v>
      </c>
      <c r="C51" s="2">
        <v>17</v>
      </c>
      <c r="D51" s="2">
        <v>1</v>
      </c>
      <c r="E51" s="13"/>
      <c r="F51" s="16" t="s">
        <v>329</v>
      </c>
      <c r="G51" s="8">
        <v>0</v>
      </c>
      <c r="H51" s="8">
        <v>0</v>
      </c>
      <c r="I51" s="16"/>
      <c r="J51" s="7"/>
      <c r="K51" s="7" t="s">
        <v>459</v>
      </c>
      <c r="L51" s="4" t="str">
        <f ca="1">IF($B51="N/A", "N/A",IF(VLOOKUP("SOFTSTRAP1_EN",INDIRECT(Config!$B$1),HLOOKUP(L$1,INDIRECT(Config!$E$1),2,FALSE),FALSE)=0,0,1))</f>
        <v>N/A</v>
      </c>
      <c r="M51" s="4" t="str">
        <f ca="1">IF($B51="N/A", "N/A",IF(VLOOKUP("SOFTSTRAP1_EN",INDIRECT(Config!$B$1),HLOOKUP(M$1,INDIRECT(Config!$E$1),2,FALSE),FALSE)=0,0,1))</f>
        <v>N/A</v>
      </c>
      <c r="N51" s="4" t="str">
        <f ca="1">IF($B51="N/A", "N/A",IF(VLOOKUP("SOFTSTRAP1_EN",INDIRECT(Config!$B$1),HLOOKUP(N$1,INDIRECT(Config!$E$1),2,FALSE),FALSE)=0,0,1))</f>
        <v>N/A</v>
      </c>
    </row>
    <row r="52" spans="1:14" x14ac:dyDescent="0.3">
      <c r="A52" s="364"/>
      <c r="B52" s="2" t="s">
        <v>48</v>
      </c>
      <c r="C52" s="2">
        <v>18</v>
      </c>
      <c r="D52" s="2">
        <v>1</v>
      </c>
      <c r="E52" s="13"/>
      <c r="F52" s="16" t="s">
        <v>330</v>
      </c>
      <c r="G52" s="8">
        <v>0</v>
      </c>
      <c r="H52" s="8">
        <v>0</v>
      </c>
      <c r="I52" s="16"/>
      <c r="J52" s="7"/>
      <c r="K52" s="7" t="s">
        <v>459</v>
      </c>
      <c r="L52" s="4" t="str">
        <f ca="1">IF($B52="N/A", "N/A",IF(VLOOKUP("SOFTSTRAP1_EN",INDIRECT(Config!$B$1),HLOOKUP(L$1,INDIRECT(Config!$E$1),2,FALSE),FALSE)=0,0,1))</f>
        <v>N/A</v>
      </c>
      <c r="M52" s="4" t="str">
        <f ca="1">IF($B52="N/A", "N/A",IF(VLOOKUP("SOFTSTRAP1_EN",INDIRECT(Config!$B$1),HLOOKUP(M$1,INDIRECT(Config!$E$1),2,FALSE),FALSE)=0,0,1))</f>
        <v>N/A</v>
      </c>
      <c r="N52" s="4" t="str">
        <f ca="1">IF($B52="N/A", "N/A",IF(VLOOKUP("SOFTSTRAP1_EN",INDIRECT(Config!$B$1),HLOOKUP(N$1,INDIRECT(Config!$E$1),2,FALSE),FALSE)=0,0,1))</f>
        <v>N/A</v>
      </c>
    </row>
    <row r="53" spans="1:14" x14ac:dyDescent="0.3">
      <c r="A53" s="364"/>
      <c r="B53" s="16" t="s">
        <v>630</v>
      </c>
      <c r="C53" s="7">
        <v>19</v>
      </c>
      <c r="D53" s="7">
        <v>1</v>
      </c>
      <c r="E53" s="12" t="s">
        <v>331</v>
      </c>
      <c r="F53" s="16" t="s">
        <v>332</v>
      </c>
      <c r="G53" s="8">
        <v>0</v>
      </c>
      <c r="H53" s="8">
        <v>0</v>
      </c>
      <c r="I53" s="16"/>
      <c r="J53" s="7" t="s">
        <v>87</v>
      </c>
      <c r="K53" s="7" t="s">
        <v>502</v>
      </c>
      <c r="L53" s="4">
        <f ca="1">IF($B53="N/A", "N/A",IF(VLOOKUP("SOFTSTRAP1_EN",INDIRECT(Config!$B$1),HLOOKUP(L$1,INDIRECT(Config!$E$1),2,FALSE),FALSE)=0,0,VLOOKUP("INCLUDE_CM",INDIRECT(Config!$B$1),HLOOKUP(L$1,INDIRECT(Config!$E$1),2,FALSE),FALSE)))</f>
        <v>1</v>
      </c>
      <c r="M53" s="4">
        <f ca="1">IF($B53="N/A", "N/A",IF(VLOOKUP("SOFTSTRAP1_EN",INDIRECT(Config!$B$1),HLOOKUP(M$1,INDIRECT(Config!$E$1),2,FALSE),FALSE)=0,0,VLOOKUP("INCLUDE_CM",INDIRECT(Config!$B$1),HLOOKUP(M$1,INDIRECT(Config!$E$1),2,FALSE),FALSE)))</f>
        <v>0</v>
      </c>
      <c r="N53" s="4">
        <f ca="1">IF($B53="N/A", "N/A",IF(VLOOKUP("SOFTSTRAP1_EN",INDIRECT(Config!$B$1),HLOOKUP(N$1,INDIRECT(Config!$E$1),2,FALSE),FALSE)=0,0,VLOOKUP("INCLUDE_CM",INDIRECT(Config!$B$1),HLOOKUP(N$1,INDIRECT(Config!$E$1),2,FALSE),FALSE)))</f>
        <v>0</v>
      </c>
    </row>
    <row r="54" spans="1:14" x14ac:dyDescent="0.3">
      <c r="A54" s="364"/>
      <c r="B54" s="2" t="s">
        <v>48</v>
      </c>
      <c r="C54" s="2">
        <v>20</v>
      </c>
      <c r="D54" s="2">
        <v>1</v>
      </c>
      <c r="E54" s="13"/>
      <c r="F54" s="16" t="s">
        <v>333</v>
      </c>
      <c r="G54" s="8">
        <v>0</v>
      </c>
      <c r="H54" s="8">
        <v>0</v>
      </c>
      <c r="I54" s="16"/>
      <c r="J54" s="7"/>
      <c r="K54" s="7" t="s">
        <v>459</v>
      </c>
      <c r="L54" s="4" t="str">
        <f ca="1">IF($B54="N/A", "N/A",IF(VLOOKUP("SOFTSTRAP1_EN",INDIRECT(Config!$B$1),HLOOKUP(L$1,INDIRECT(Config!$E$1),2,FALSE),FALSE)=0,0,1))</f>
        <v>N/A</v>
      </c>
      <c r="M54" s="4" t="str">
        <f ca="1">IF($B54="N/A", "N/A",IF(VLOOKUP("SOFTSTRAP1_EN",INDIRECT(Config!$B$1),HLOOKUP(M$1,INDIRECT(Config!$E$1),2,FALSE),FALSE)=0,0,1))</f>
        <v>N/A</v>
      </c>
      <c r="N54" s="4" t="str">
        <f ca="1">IF($B54="N/A", "N/A",IF(VLOOKUP("SOFTSTRAP1_EN",INDIRECT(Config!$B$1),HLOOKUP(N$1,INDIRECT(Config!$E$1),2,FALSE),FALSE)=0,0,1))</f>
        <v>N/A</v>
      </c>
    </row>
    <row r="55" spans="1:14" x14ac:dyDescent="0.3">
      <c r="A55" s="364"/>
      <c r="B55" s="2" t="s">
        <v>48</v>
      </c>
      <c r="C55" s="2">
        <v>21</v>
      </c>
      <c r="D55" s="2">
        <v>1</v>
      </c>
      <c r="E55" s="13"/>
      <c r="F55" s="16" t="s">
        <v>334</v>
      </c>
      <c r="G55" s="8">
        <v>0</v>
      </c>
      <c r="H55" s="8">
        <v>0</v>
      </c>
      <c r="I55" s="16"/>
      <c r="J55" s="7"/>
      <c r="K55" s="7" t="s">
        <v>459</v>
      </c>
      <c r="L55" s="4" t="str">
        <f ca="1">IF($B55="N/A", "N/A",IF(VLOOKUP("SOFTSTRAP1_EN",INDIRECT(Config!$B$1),HLOOKUP(L$1,INDIRECT(Config!$E$1),2,FALSE),FALSE)=0,0,1))</f>
        <v>N/A</v>
      </c>
      <c r="M55" s="4" t="str">
        <f ca="1">IF($B55="N/A", "N/A",IF(VLOOKUP("SOFTSTRAP1_EN",INDIRECT(Config!$B$1),HLOOKUP(M$1,INDIRECT(Config!$E$1),2,FALSE),FALSE)=0,0,1))</f>
        <v>N/A</v>
      </c>
      <c r="N55" s="4" t="str">
        <f ca="1">IF($B55="N/A", "N/A",IF(VLOOKUP("SOFTSTRAP1_EN",INDIRECT(Config!$B$1),HLOOKUP(N$1,INDIRECT(Config!$E$1),2,FALSE),FALSE)=0,0,1))</f>
        <v>N/A</v>
      </c>
    </row>
    <row r="56" spans="1:14" x14ac:dyDescent="0.3">
      <c r="A56" s="364"/>
      <c r="B56" s="2" t="s">
        <v>48</v>
      </c>
      <c r="C56" s="2">
        <v>22</v>
      </c>
      <c r="D56" s="2">
        <v>1</v>
      </c>
      <c r="E56" s="13"/>
      <c r="F56" s="16" t="s">
        <v>335</v>
      </c>
      <c r="G56" s="8">
        <v>0</v>
      </c>
      <c r="H56" s="8">
        <v>0</v>
      </c>
      <c r="I56" s="16"/>
      <c r="J56" s="7"/>
      <c r="K56" s="7" t="s">
        <v>459</v>
      </c>
      <c r="L56" s="4" t="str">
        <f ca="1">IF($B56="N/A", "N/A",IF(VLOOKUP("SOFTSTRAP1_EN",INDIRECT(Config!$B$1),HLOOKUP(L$1,INDIRECT(Config!$E$1),2,FALSE),FALSE)=0,0,1))</f>
        <v>N/A</v>
      </c>
      <c r="M56" s="4" t="str">
        <f ca="1">IF($B56="N/A", "N/A",IF(VLOOKUP("SOFTSTRAP1_EN",INDIRECT(Config!$B$1),HLOOKUP(M$1,INDIRECT(Config!$E$1),2,FALSE),FALSE)=0,0,1))</f>
        <v>N/A</v>
      </c>
      <c r="N56" s="4" t="str">
        <f ca="1">IF($B56="N/A", "N/A",IF(VLOOKUP("SOFTSTRAP1_EN",INDIRECT(Config!$B$1),HLOOKUP(N$1,INDIRECT(Config!$E$1),2,FALSE),FALSE)=0,0,1))</f>
        <v>N/A</v>
      </c>
    </row>
    <row r="57" spans="1:14" ht="15" customHeight="1" x14ac:dyDescent="0.3">
      <c r="A57" s="364"/>
      <c r="B57" s="57" t="s">
        <v>1151</v>
      </c>
      <c r="C57" s="16">
        <v>23</v>
      </c>
      <c r="D57" s="16">
        <v>1</v>
      </c>
      <c r="E57" s="242" t="s">
        <v>1150</v>
      </c>
      <c r="F57" s="16" t="s">
        <v>336</v>
      </c>
      <c r="G57" s="241">
        <v>0</v>
      </c>
      <c r="H57" s="241">
        <v>0</v>
      </c>
      <c r="I57" s="16"/>
      <c r="J57" s="7" t="s">
        <v>87</v>
      </c>
      <c r="K57" s="243" t="s">
        <v>1152</v>
      </c>
      <c r="L57" s="4">
        <f ca="1">IF($B57="N/A", "N/A",IF(VLOOKUP("SOFTSTRAP1_EN",INDIRECT(Config!$B$1),HLOOKUP(L$1,INDIRECT(Config!$E$1),2,FALSE),FALSE)=0,0,VLOOKUP("EMBED_SYS_RS2_OVERWRITE_EN",INDIRECT(Config!$B$1),HLOOKUP(L$1,INDIRECT(Config!$E$1),2,FALSE),FALSE)))</f>
        <v>1</v>
      </c>
      <c r="M57" s="4">
        <f ca="1">IF($B57="N/A", "N/A",IF(VLOOKUP("SOFTSTRAP1_EN",INDIRECT(Config!$B$1),HLOOKUP(M$1,INDIRECT(Config!$E$1),2,FALSE),FALSE)=0,0,VLOOKUP("EMBED_SYS_RS2_OVERWRITE_EN",INDIRECT(Config!$B$1),HLOOKUP(M$1,INDIRECT(Config!$E$1),2,FALSE),FALSE)))</f>
        <v>0</v>
      </c>
      <c r="N57" s="4">
        <f ca="1">IF($B57="N/A", "N/A",IF(VLOOKUP("SOFTSTRAP1_EN",INDIRECT(Config!$B$1),HLOOKUP(N$1,INDIRECT(Config!$E$1),2,FALSE),FALSE)=0,0,VLOOKUP("EMBED_SYS_RS2_OVERWRITE_EN",INDIRECT(Config!$B$1),HLOOKUP(N$1,INDIRECT(Config!$E$1),2,FALSE),FALSE)))</f>
        <v>0</v>
      </c>
    </row>
    <row r="58" spans="1:14" x14ac:dyDescent="0.3">
      <c r="A58" s="364"/>
      <c r="B58" s="4" t="s">
        <v>614</v>
      </c>
      <c r="C58" s="7">
        <v>24</v>
      </c>
      <c r="D58" s="7">
        <v>1</v>
      </c>
      <c r="E58" s="12" t="s">
        <v>337</v>
      </c>
      <c r="F58" s="16" t="s">
        <v>338</v>
      </c>
      <c r="G58" s="8">
        <v>0</v>
      </c>
      <c r="H58" s="8">
        <v>0</v>
      </c>
      <c r="I58" s="16"/>
      <c r="J58" s="7" t="s">
        <v>87</v>
      </c>
      <c r="K58" s="7" t="s">
        <v>503</v>
      </c>
      <c r="L58" s="4">
        <f ca="1">IF($B58="N/A", "N/A",IF(VLOOKUP("SOFTSTRAP1_EN",INDIRECT(Config!$B$1),HLOOKUP(L$1,INDIRECT(Config!$E$1),2,FALSE),FALSE)=0,0,1))</f>
        <v>1</v>
      </c>
      <c r="M58" s="4">
        <f ca="1">IF($B58="N/A", "N/A",IF(VLOOKUP("SOFTSTRAP1_EN",INDIRECT(Config!$B$1),HLOOKUP(M$1,INDIRECT(Config!$E$1),2,FALSE),FALSE)=0,0,1))</f>
        <v>1</v>
      </c>
      <c r="N58" s="4">
        <f ca="1">IF($B58="N/A", "N/A",IF(VLOOKUP("SOFTSTRAP1_EN",INDIRECT(Config!$B$1),HLOOKUP(N$1,INDIRECT(Config!$E$1),2,FALSE),FALSE)=0,0,1))</f>
        <v>0</v>
      </c>
    </row>
    <row r="59" spans="1:14" x14ac:dyDescent="0.3">
      <c r="A59" s="364"/>
      <c r="B59" s="4" t="s">
        <v>614</v>
      </c>
      <c r="C59" s="7">
        <v>25</v>
      </c>
      <c r="D59" s="7">
        <v>1</v>
      </c>
      <c r="E59" s="12" t="s">
        <v>339</v>
      </c>
      <c r="F59" s="16" t="s">
        <v>340</v>
      </c>
      <c r="G59" s="8">
        <v>0</v>
      </c>
      <c r="H59" s="8">
        <v>0</v>
      </c>
      <c r="I59" s="16"/>
      <c r="J59" s="7" t="s">
        <v>87</v>
      </c>
      <c r="K59" s="7" t="s">
        <v>504</v>
      </c>
      <c r="L59" s="4">
        <f ca="1">IF($B59="N/A", "N/A",IF(VLOOKUP("SOFTSTRAP1_EN",INDIRECT(Config!$B$1),HLOOKUP(L$1,INDIRECT(Config!$E$1),2,FALSE),FALSE)=0,0,1))</f>
        <v>1</v>
      </c>
      <c r="M59" s="4">
        <f ca="1">IF($B59="N/A", "N/A",IF(VLOOKUP("SOFTSTRAP1_EN",INDIRECT(Config!$B$1),HLOOKUP(M$1,INDIRECT(Config!$E$1),2,FALSE),FALSE)=0,0,1))</f>
        <v>1</v>
      </c>
      <c r="N59" s="4">
        <f ca="1">IF($B59="N/A", "N/A",IF(VLOOKUP("SOFTSTRAP1_EN",INDIRECT(Config!$B$1),HLOOKUP(N$1,INDIRECT(Config!$E$1),2,FALSE),FALSE)=0,0,1))</f>
        <v>0</v>
      </c>
    </row>
    <row r="60" spans="1:14" x14ac:dyDescent="0.3">
      <c r="A60" s="364"/>
      <c r="B60" s="4" t="s">
        <v>614</v>
      </c>
      <c r="C60" s="7">
        <v>26</v>
      </c>
      <c r="D60" s="7">
        <v>1</v>
      </c>
      <c r="E60" s="12" t="s">
        <v>341</v>
      </c>
      <c r="F60" s="16" t="s">
        <v>342</v>
      </c>
      <c r="G60" s="8">
        <v>0</v>
      </c>
      <c r="H60" s="8">
        <v>0</v>
      </c>
      <c r="I60" s="16"/>
      <c r="J60" s="7" t="s">
        <v>87</v>
      </c>
      <c r="K60" s="7" t="s">
        <v>505</v>
      </c>
      <c r="L60" s="4">
        <f ca="1">IF($B60="N/A", "N/A",IF(VLOOKUP("SOFTSTRAP1_EN",INDIRECT(Config!$B$1),HLOOKUP(L$1,INDIRECT(Config!$E$1),2,FALSE),FALSE)=0,0,1))</f>
        <v>1</v>
      </c>
      <c r="M60" s="4">
        <f ca="1">IF($B60="N/A", "N/A",IF(VLOOKUP("SOFTSTRAP1_EN",INDIRECT(Config!$B$1),HLOOKUP(M$1,INDIRECT(Config!$E$1),2,FALSE),FALSE)=0,0,1))</f>
        <v>1</v>
      </c>
      <c r="N60" s="4">
        <f ca="1">IF($B60="N/A", "N/A",IF(VLOOKUP("SOFTSTRAP1_EN",INDIRECT(Config!$B$1),HLOOKUP(N$1,INDIRECT(Config!$E$1),2,FALSE),FALSE)=0,0,1))</f>
        <v>0</v>
      </c>
    </row>
    <row r="61" spans="1:14" x14ac:dyDescent="0.3">
      <c r="A61" s="364"/>
      <c r="B61" s="4" t="s">
        <v>614</v>
      </c>
      <c r="C61" s="7">
        <v>27</v>
      </c>
      <c r="D61" s="7">
        <v>1</v>
      </c>
      <c r="E61" s="12" t="s">
        <v>343</v>
      </c>
      <c r="F61" s="16" t="s">
        <v>344</v>
      </c>
      <c r="G61" s="8">
        <v>0</v>
      </c>
      <c r="H61" s="8">
        <v>0</v>
      </c>
      <c r="I61" s="16"/>
      <c r="J61" s="7" t="s">
        <v>87</v>
      </c>
      <c r="K61" s="7" t="s">
        <v>506</v>
      </c>
      <c r="L61" s="4">
        <f ca="1">IF($B61="N/A", "N/A",IF(VLOOKUP("SOFTSTRAP1_EN",INDIRECT(Config!$B$1),HLOOKUP(L$1,INDIRECT(Config!$E$1),2,FALSE),FALSE)=0,0,1))</f>
        <v>1</v>
      </c>
      <c r="M61" s="4">
        <f ca="1">IF($B61="N/A", "N/A",IF(VLOOKUP("SOFTSTRAP1_EN",INDIRECT(Config!$B$1),HLOOKUP(M$1,INDIRECT(Config!$E$1),2,FALSE),FALSE)=0,0,1))</f>
        <v>1</v>
      </c>
      <c r="N61" s="4">
        <f ca="1">IF($B61="N/A", "N/A",IF(VLOOKUP("SOFTSTRAP1_EN",INDIRECT(Config!$B$1),HLOOKUP(N$1,INDIRECT(Config!$E$1),2,FALSE),FALSE)=0,0,1))</f>
        <v>0</v>
      </c>
    </row>
    <row r="62" spans="1:14" x14ac:dyDescent="0.3">
      <c r="A62" s="364"/>
      <c r="B62" s="4" t="s">
        <v>614</v>
      </c>
      <c r="C62" s="7">
        <v>28</v>
      </c>
      <c r="D62" s="7">
        <v>1</v>
      </c>
      <c r="E62" s="12" t="s">
        <v>345</v>
      </c>
      <c r="F62" s="16" t="s">
        <v>346</v>
      </c>
      <c r="G62" s="8">
        <v>0</v>
      </c>
      <c r="H62" s="8">
        <v>0</v>
      </c>
      <c r="I62" s="16"/>
      <c r="J62" s="7" t="s">
        <v>87</v>
      </c>
      <c r="K62" s="7" t="s">
        <v>507</v>
      </c>
      <c r="L62" s="4">
        <f ca="1">IF($B62="N/A", "N/A",IF(VLOOKUP("SOFTSTRAP1_EN",INDIRECT(Config!$B$1),HLOOKUP(L$1,INDIRECT(Config!$E$1),2,FALSE),FALSE)=0,0,1))</f>
        <v>1</v>
      </c>
      <c r="M62" s="4">
        <f ca="1">IF($B62="N/A", "N/A",IF(VLOOKUP("SOFTSTRAP1_EN",INDIRECT(Config!$B$1),HLOOKUP(M$1,INDIRECT(Config!$E$1),2,FALSE),FALSE)=0,0,1))</f>
        <v>1</v>
      </c>
      <c r="N62" s="4">
        <f ca="1">IF($B62="N/A", "N/A",IF(VLOOKUP("SOFTSTRAP1_EN",INDIRECT(Config!$B$1),HLOOKUP(N$1,INDIRECT(Config!$E$1),2,FALSE),FALSE)=0,0,1))</f>
        <v>0</v>
      </c>
    </row>
    <row r="63" spans="1:14" x14ac:dyDescent="0.3">
      <c r="A63" s="364"/>
      <c r="B63" s="4" t="s">
        <v>614</v>
      </c>
      <c r="C63" s="7">
        <v>29</v>
      </c>
      <c r="D63" s="7">
        <v>1</v>
      </c>
      <c r="E63" s="12" t="s">
        <v>347</v>
      </c>
      <c r="F63" s="16" t="s">
        <v>348</v>
      </c>
      <c r="G63" s="8">
        <v>0</v>
      </c>
      <c r="H63" s="8">
        <v>0</v>
      </c>
      <c r="I63" s="16"/>
      <c r="J63" s="7" t="s">
        <v>87</v>
      </c>
      <c r="K63" s="7" t="s">
        <v>508</v>
      </c>
      <c r="L63" s="4">
        <f ca="1">IF($B63="N/A", "N/A",IF(VLOOKUP("SOFTSTRAP1_EN",INDIRECT(Config!$B$1),HLOOKUP(L$1,INDIRECT(Config!$E$1),2,FALSE),FALSE)=0,0,1))</f>
        <v>1</v>
      </c>
      <c r="M63" s="4">
        <f ca="1">IF($B63="N/A", "N/A",IF(VLOOKUP("SOFTSTRAP1_EN",INDIRECT(Config!$B$1),HLOOKUP(M$1,INDIRECT(Config!$E$1),2,FALSE),FALSE)=0,0,1))</f>
        <v>1</v>
      </c>
      <c r="N63" s="4">
        <f ca="1">IF($B63="N/A", "N/A",IF(VLOOKUP("SOFTSTRAP1_EN",INDIRECT(Config!$B$1),HLOOKUP(N$1,INDIRECT(Config!$E$1),2,FALSE),FALSE)=0,0,1))</f>
        <v>0</v>
      </c>
    </row>
    <row r="64" spans="1:14" x14ac:dyDescent="0.3">
      <c r="A64" s="364"/>
      <c r="B64" s="4" t="s">
        <v>614</v>
      </c>
      <c r="C64" s="7">
        <v>30</v>
      </c>
      <c r="D64" s="7">
        <v>1</v>
      </c>
      <c r="E64" s="12" t="s">
        <v>349</v>
      </c>
      <c r="F64" s="16" t="s">
        <v>350</v>
      </c>
      <c r="G64" s="8">
        <v>0</v>
      </c>
      <c r="H64" s="8">
        <v>0</v>
      </c>
      <c r="I64" s="16"/>
      <c r="J64" s="7" t="s">
        <v>87</v>
      </c>
      <c r="K64" s="7" t="s">
        <v>509</v>
      </c>
      <c r="L64" s="4">
        <f ca="1">IF($B64="N/A", "N/A",IF(VLOOKUP("SOFTSTRAP1_EN",INDIRECT(Config!$B$1),HLOOKUP(L$1,INDIRECT(Config!$E$1),2,FALSE),FALSE)=0,0,1))</f>
        <v>1</v>
      </c>
      <c r="M64" s="4">
        <f ca="1">IF($B64="N/A", "N/A",IF(VLOOKUP("SOFTSTRAP1_EN",INDIRECT(Config!$B$1),HLOOKUP(M$1,INDIRECT(Config!$E$1),2,FALSE),FALSE)=0,0,1))</f>
        <v>1</v>
      </c>
      <c r="N64" s="4">
        <f ca="1">IF($B64="N/A", "N/A",IF(VLOOKUP("SOFTSTRAP1_EN",INDIRECT(Config!$B$1),HLOOKUP(N$1,INDIRECT(Config!$E$1),2,FALSE),FALSE)=0,0,1))</f>
        <v>0</v>
      </c>
    </row>
    <row r="65" spans="1:14" x14ac:dyDescent="0.3">
      <c r="A65" s="333"/>
      <c r="B65" s="4" t="s">
        <v>614</v>
      </c>
      <c r="C65" s="7">
        <v>31</v>
      </c>
      <c r="D65" s="7">
        <v>1</v>
      </c>
      <c r="E65" s="12" t="s">
        <v>351</v>
      </c>
      <c r="F65" s="16" t="s">
        <v>352</v>
      </c>
      <c r="G65" s="8">
        <v>0</v>
      </c>
      <c r="H65" s="8">
        <v>0</v>
      </c>
      <c r="I65" s="16"/>
      <c r="J65" s="7" t="s">
        <v>87</v>
      </c>
      <c r="K65" s="7" t="s">
        <v>510</v>
      </c>
      <c r="L65" s="4">
        <f ca="1">IF($B65="N/A", "N/A",IF(VLOOKUP("SOFTSTRAP1_EN",INDIRECT(Config!$B$1),HLOOKUP(L$1,INDIRECT(Config!$E$1),2,FALSE),FALSE)=0,0,1))</f>
        <v>1</v>
      </c>
      <c r="M65" s="4">
        <f ca="1">IF($B65="N/A", "N/A",IF(VLOOKUP("SOFTSTRAP1_EN",INDIRECT(Config!$B$1),HLOOKUP(M$1,INDIRECT(Config!$E$1),2,FALSE),FALSE)=0,0,1))</f>
        <v>1</v>
      </c>
      <c r="N65" s="4">
        <f ca="1">IF($B65="N/A", "N/A",IF(VLOOKUP("SOFTSTRAP1_EN",INDIRECT(Config!$B$1),HLOOKUP(N$1,INDIRECT(Config!$E$1),2,FALSE),FALSE)=0,0,1))</f>
        <v>0</v>
      </c>
    </row>
  </sheetData>
  <autoFilter ref="A1:N1" xr:uid="{BD3C40ED-A0C8-4381-ACF6-12E781319295}"/>
  <mergeCells count="2">
    <mergeCell ref="A2:A33"/>
    <mergeCell ref="A34:A65"/>
  </mergeCells>
  <phoneticPr fontId="17" type="noConversion"/>
  <pageMargins left="0.7" right="0.7" top="0.75" bottom="0.75" header="0.3" footer="0.3"/>
  <pageSetup orientation="portrait"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2BBD-ED23-47C9-9EBC-246975D908A7}">
  <sheetPr codeName="Sheet12"/>
  <dimension ref="A1:E36"/>
  <sheetViews>
    <sheetView workbookViewId="0">
      <selection activeCell="E11" sqref="E11"/>
    </sheetView>
  </sheetViews>
  <sheetFormatPr defaultRowHeight="14.4" x14ac:dyDescent="0.3"/>
  <cols>
    <col min="2" max="2" width="62.5546875" bestFit="1" customWidth="1"/>
    <col min="3" max="3" width="65.5546875" bestFit="1" customWidth="1"/>
    <col min="5" max="5" width="67.44140625" style="56" customWidth="1"/>
  </cols>
  <sheetData>
    <row r="1" spans="1:5" s="15" customFormat="1" ht="18" x14ac:dyDescent="0.35">
      <c r="A1" s="100" t="s">
        <v>601</v>
      </c>
      <c r="B1" s="100" t="s">
        <v>602</v>
      </c>
      <c r="C1" s="100" t="s">
        <v>604</v>
      </c>
      <c r="D1" s="100" t="s">
        <v>603</v>
      </c>
      <c r="E1" s="101" t="s">
        <v>423</v>
      </c>
    </row>
    <row r="2" spans="1:5" x14ac:dyDescent="0.3">
      <c r="A2" s="385">
        <v>0</v>
      </c>
      <c r="B2" s="57" t="s">
        <v>576</v>
      </c>
      <c r="C2" s="16">
        <v>0</v>
      </c>
      <c r="D2" s="16"/>
      <c r="E2" s="58"/>
    </row>
    <row r="3" spans="1:5" x14ac:dyDescent="0.3">
      <c r="A3" s="385"/>
      <c r="B3" s="16" t="s">
        <v>577</v>
      </c>
      <c r="C3" s="16">
        <v>8</v>
      </c>
      <c r="D3" s="16"/>
      <c r="E3" s="58"/>
    </row>
    <row r="4" spans="1:5" x14ac:dyDescent="0.3">
      <c r="A4" s="385"/>
      <c r="B4" s="99" t="s">
        <v>583</v>
      </c>
      <c r="C4" s="99" t="s">
        <v>584</v>
      </c>
      <c r="D4" s="16"/>
      <c r="E4" s="58"/>
    </row>
    <row r="5" spans="1:5" x14ac:dyDescent="0.3">
      <c r="A5" s="385"/>
      <c r="B5" s="16" t="s">
        <v>585</v>
      </c>
      <c r="C5" s="16" t="s">
        <v>586</v>
      </c>
      <c r="D5" s="16"/>
      <c r="E5" s="58"/>
    </row>
    <row r="6" spans="1:5" x14ac:dyDescent="0.3">
      <c r="A6" s="385"/>
      <c r="B6" s="16" t="s">
        <v>587</v>
      </c>
      <c r="C6" s="16" t="s">
        <v>588</v>
      </c>
      <c r="D6" s="16"/>
      <c r="E6" s="58"/>
    </row>
    <row r="7" spans="1:5" x14ac:dyDescent="0.3">
      <c r="A7" s="385"/>
      <c r="B7" s="16" t="s">
        <v>589</v>
      </c>
      <c r="C7" s="16" t="s">
        <v>590</v>
      </c>
      <c r="D7" s="16"/>
      <c r="E7" s="58"/>
    </row>
    <row r="8" spans="1:5" ht="57.6" x14ac:dyDescent="0.3">
      <c r="A8" s="385">
        <v>1</v>
      </c>
      <c r="B8" s="98" t="s">
        <v>419</v>
      </c>
      <c r="C8" s="16">
        <v>11</v>
      </c>
      <c r="D8" s="16"/>
      <c r="E8" s="58" t="s">
        <v>594</v>
      </c>
    </row>
    <row r="9" spans="1:5" x14ac:dyDescent="0.3">
      <c r="A9" s="385"/>
      <c r="B9" s="98" t="s">
        <v>580</v>
      </c>
      <c r="C9" s="16">
        <v>0</v>
      </c>
      <c r="D9" s="16"/>
      <c r="E9" s="58" t="s">
        <v>598</v>
      </c>
    </row>
    <row r="10" spans="1:5" x14ac:dyDescent="0.3">
      <c r="A10" s="385"/>
      <c r="B10" s="98" t="s">
        <v>581</v>
      </c>
      <c r="C10" s="16">
        <v>0</v>
      </c>
      <c r="D10" s="16"/>
      <c r="E10" s="58" t="s">
        <v>386</v>
      </c>
    </row>
    <row r="11" spans="1:5" x14ac:dyDescent="0.3">
      <c r="A11" s="385"/>
      <c r="B11" s="98" t="s">
        <v>591</v>
      </c>
      <c r="C11" s="16">
        <v>7</v>
      </c>
      <c r="D11" s="16"/>
      <c r="E11" s="58"/>
    </row>
    <row r="12" spans="1:5" x14ac:dyDescent="0.3">
      <c r="A12" s="385"/>
      <c r="B12" s="98" t="s">
        <v>592</v>
      </c>
      <c r="C12" s="16" t="s">
        <v>593</v>
      </c>
      <c r="D12" s="16"/>
      <c r="E12" s="58"/>
    </row>
    <row r="13" spans="1:5" x14ac:dyDescent="0.3">
      <c r="A13" s="385"/>
      <c r="B13" s="16" t="s">
        <v>390</v>
      </c>
      <c r="C13" s="16"/>
      <c r="D13" s="16"/>
      <c r="E13" s="58"/>
    </row>
    <row r="14" spans="1:5" x14ac:dyDescent="0.3">
      <c r="A14" s="385"/>
      <c r="B14" s="16" t="s">
        <v>205</v>
      </c>
      <c r="C14" s="16"/>
      <c r="D14" s="16"/>
      <c r="E14" s="58"/>
    </row>
    <row r="15" spans="1:5" x14ac:dyDescent="0.3">
      <c r="A15" s="385"/>
      <c r="B15" s="16" t="s">
        <v>578</v>
      </c>
      <c r="C15" s="16" t="s">
        <v>579</v>
      </c>
      <c r="D15" s="16"/>
      <c r="E15" s="58"/>
    </row>
    <row r="16" spans="1:5" x14ac:dyDescent="0.3">
      <c r="A16" s="385"/>
      <c r="B16" s="16" t="s">
        <v>597</v>
      </c>
      <c r="C16" s="16"/>
      <c r="D16" s="16"/>
      <c r="E16" s="58"/>
    </row>
    <row r="17" spans="1:5" x14ac:dyDescent="0.3">
      <c r="A17" s="385">
        <v>2</v>
      </c>
      <c r="B17" s="99" t="s">
        <v>565</v>
      </c>
      <c r="C17" s="99">
        <v>128</v>
      </c>
      <c r="D17" s="16" t="s">
        <v>596</v>
      </c>
      <c r="E17" s="58"/>
    </row>
    <row r="18" spans="1:5" x14ac:dyDescent="0.3">
      <c r="A18" s="385"/>
      <c r="B18" s="99" t="s">
        <v>559</v>
      </c>
      <c r="C18" s="99" t="s">
        <v>562</v>
      </c>
      <c r="D18" s="16"/>
      <c r="E18" s="58"/>
    </row>
    <row r="19" spans="1:5" x14ac:dyDescent="0.3">
      <c r="A19" s="385"/>
      <c r="B19" s="16" t="s">
        <v>560</v>
      </c>
      <c r="C19" s="16" t="s">
        <v>561</v>
      </c>
      <c r="D19" s="16"/>
      <c r="E19" s="58"/>
    </row>
    <row r="20" spans="1:5" x14ac:dyDescent="0.3">
      <c r="A20" s="385"/>
      <c r="B20" s="16" t="s">
        <v>563</v>
      </c>
      <c r="C20" s="16" t="s">
        <v>564</v>
      </c>
      <c r="D20" s="16"/>
      <c r="E20" s="58"/>
    </row>
    <row r="21" spans="1:5" x14ac:dyDescent="0.3">
      <c r="A21" s="385">
        <v>3</v>
      </c>
      <c r="B21" s="99" t="s">
        <v>566</v>
      </c>
      <c r="C21" s="99" t="s">
        <v>567</v>
      </c>
      <c r="D21" s="16"/>
      <c r="E21" s="58"/>
    </row>
    <row r="22" spans="1:5" x14ac:dyDescent="0.3">
      <c r="A22" s="385"/>
      <c r="B22" s="99" t="s">
        <v>568</v>
      </c>
      <c r="C22" s="99" t="s">
        <v>569</v>
      </c>
      <c r="D22" s="16"/>
      <c r="E22" s="58"/>
    </row>
    <row r="23" spans="1:5" x14ac:dyDescent="0.3">
      <c r="A23" s="385"/>
      <c r="B23" s="16" t="s">
        <v>570</v>
      </c>
      <c r="C23" s="16" t="s">
        <v>571</v>
      </c>
      <c r="D23" s="16"/>
      <c r="E23" s="58"/>
    </row>
    <row r="24" spans="1:5" x14ac:dyDescent="0.3">
      <c r="A24" s="385"/>
      <c r="B24" s="16" t="s">
        <v>572</v>
      </c>
      <c r="C24" s="16" t="s">
        <v>573</v>
      </c>
      <c r="D24" s="16"/>
      <c r="E24" s="58"/>
    </row>
    <row r="25" spans="1:5" x14ac:dyDescent="0.3">
      <c r="A25" s="385">
        <v>4</v>
      </c>
      <c r="B25" s="98" t="s">
        <v>574</v>
      </c>
      <c r="C25" s="98" t="s">
        <v>575</v>
      </c>
      <c r="D25" s="16"/>
      <c r="E25" s="58"/>
    </row>
    <row r="26" spans="1:5" x14ac:dyDescent="0.3">
      <c r="A26" s="385"/>
      <c r="B26" s="98" t="s">
        <v>420</v>
      </c>
      <c r="C26" s="16">
        <v>2</v>
      </c>
      <c r="D26" s="16"/>
      <c r="E26" s="58" t="s">
        <v>595</v>
      </c>
    </row>
    <row r="27" spans="1:5" x14ac:dyDescent="0.3">
      <c r="A27" s="385"/>
      <c r="B27" s="98" t="s">
        <v>582</v>
      </c>
      <c r="C27" s="16"/>
      <c r="D27" s="16"/>
      <c r="E27" s="58"/>
    </row>
    <row r="28" spans="1:5" s="15" customFormat="1" x14ac:dyDescent="0.3">
      <c r="E28" s="56"/>
    </row>
    <row r="36" spans="2:2" x14ac:dyDescent="0.3">
      <c r="B36" t="s">
        <v>600</v>
      </c>
    </row>
  </sheetData>
  <mergeCells count="5">
    <mergeCell ref="A2:A7"/>
    <mergeCell ref="A8:A16"/>
    <mergeCell ref="A17:A20"/>
    <mergeCell ref="A21:A24"/>
    <mergeCell ref="A25:A27"/>
  </mergeCells>
  <pageMargins left="0.7" right="0.7" top="0.75" bottom="0.75" header="0.3" footer="0.3"/>
  <pageSetup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7" ma:contentTypeDescription="Create a new document." ma:contentTypeScope="" ma:versionID="b58f43c842942d4b90a73fd31bf68d62">
  <xsd:schema xmlns:xsd="http://www.w3.org/2001/XMLSchema" xmlns:xs="http://www.w3.org/2001/XMLSchema" xmlns:p="http://schemas.microsoft.com/office/2006/metadata/properties" xmlns:ns3="a555451d-518f-4a10-969e-f3a9a0f123ff" xmlns:ns4="a0881c7e-bde8-497c-bcbe-18a05f14a854" targetNamespace="http://schemas.microsoft.com/office/2006/metadata/properties" ma:root="true" ma:fieldsID="439d61cfd458392acc886c9e2c194d1f" ns3:_="" ns4:_="">
    <xsd:import namespace="a555451d-518f-4a10-969e-f3a9a0f123ff"/>
    <xsd:import namespace="a0881c7e-bde8-497c-bcbe-18a05f14a854"/>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AutoKeyPoints" minOccurs="0"/>
                <xsd:element ref="ns4: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555451d-518f-4a10-969e-f3a9a0f123ff"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SharingHintHash" ma:index="10" nillable="true" ma:displayName="Sharing Hint Hash"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3D668630-BB7B-4145-8A1D-DDBEF2DCEADE}">
  <ds:schemaRefs>
    <ds:schemaRef ds:uri="http://schemas.microsoft.com/sharepoint/v3/contenttype/forms"/>
  </ds:schemaRefs>
</ds:datastoreItem>
</file>

<file path=customXml/itemProps2.xml><?xml version="1.0" encoding="utf-8"?>
<ds:datastoreItem xmlns:ds="http://schemas.openxmlformats.org/officeDocument/2006/customXml" ds:itemID="{5675E406-4896-43AF-BD5F-1E85BBEEE692}">
  <ds:schemaRefs>
    <ds:schemaRef ds:uri="http://schemas.microsoft.com/office/2006/documentManagement/types"/>
    <ds:schemaRef ds:uri="http://purl.org/dc/dcmitype/"/>
    <ds:schemaRef ds:uri="a555451d-518f-4a10-969e-f3a9a0f123ff"/>
    <ds:schemaRef ds:uri="http://purl.org/dc/elements/1.1/"/>
    <ds:schemaRef ds:uri="http://schemas.microsoft.com/office/2006/metadata/properties"/>
    <ds:schemaRef ds:uri="a0881c7e-bde8-497c-bcbe-18a05f14a854"/>
    <ds:schemaRef ds:uri="http://schemas.microsoft.com/office/infopath/2007/PartnerControls"/>
    <ds:schemaRef ds:uri="http://schemas.openxmlformats.org/package/2006/metadata/core-properties"/>
    <ds:schemaRef ds:uri="http://www.w3.org/XML/1998/namespace"/>
    <ds:schemaRef ds:uri="http://purl.org/dc/terms/"/>
  </ds:schemaRefs>
</ds:datastoreItem>
</file>

<file path=customXml/itemProps3.xml><?xml version="1.0" encoding="utf-8"?>
<ds:datastoreItem xmlns:ds="http://schemas.openxmlformats.org/officeDocument/2006/customXml" ds:itemID="{491BFAB8-F797-4D4A-9D5B-9B373FF91D8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555451d-518f-4a10-969e-f3a9a0f123ff"/>
    <ds:schemaRef ds:uri="a0881c7e-bde8-497c-bcbe-18a05f14a85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Revision</vt:lpstr>
      <vt:lpstr>Config</vt:lpstr>
      <vt:lpstr>MTL-S</vt:lpstr>
      <vt:lpstr>LookUp</vt:lpstr>
      <vt:lpstr>GetGroup1</vt:lpstr>
      <vt:lpstr>MTL-SOC-M CSME</vt:lpstr>
      <vt:lpstr>MTL-SOC-M ESE</vt:lpstr>
      <vt:lpstr>MTL-SOC-M GSC</vt:lpstr>
      <vt:lpstr>Group0</vt:lpstr>
      <vt:lpstr>Group1 (GSC)</vt:lpstr>
      <vt:lpstr>Group1</vt:lpstr>
      <vt:lpstr>Group2,3</vt:lpstr>
      <vt:lpstr>Softstrap</vt:lpstr>
      <vt:lpstr>MISC</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Kakeda, Masahide</dc:creator>
  <cp:keywords>CTPClassification=CTP_NT</cp:keywords>
  <dc:description/>
  <cp:lastModifiedBy>Shui, Yaxin</cp:lastModifiedBy>
  <cp:revision/>
  <dcterms:created xsi:type="dcterms:W3CDTF">2020-02-10T19:00:22Z</dcterms:created>
  <dcterms:modified xsi:type="dcterms:W3CDTF">2020-10-22T01:04:44Z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e53a3e64-8033-4367-8edb-1c9d31bc5061</vt:lpwstr>
  </property>
  <property fmtid="{D5CDD505-2E9C-101B-9397-08002B2CF9AE}" pid="3" name="CTP_TimeStamp">
    <vt:lpwstr>2020-09-03 21:38:18Z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ontentTypeId">
    <vt:lpwstr>0x010100C9AB131A33795349ACDBD6B8876A9E85</vt:lpwstr>
  </property>
  <property fmtid="{D5CDD505-2E9C-101B-9397-08002B2CF9AE}" pid="8" name="CTPClassification">
    <vt:lpwstr>CTP_NT</vt:lpwstr>
  </property>
</Properties>
</file>