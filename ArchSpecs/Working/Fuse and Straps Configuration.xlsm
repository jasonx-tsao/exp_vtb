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threadedComments/threadedComment1.xml" ContentType="application/vnd.ms-excel.threadedcomments+xml"/>
  <Override PartName="/xl/comments8.xml" ContentType="application/vnd.openxmlformats-officedocument.spreadsheetml.comments+xml"/>
  <Override PartName="/xl/threadedComments/threadedComment2.xml" ContentType="application/vnd.ms-excel.threaded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yaxinshu\Documents\ISAT_SecArch\Perforce\projects\coe\CSME\ArchSpecs\Working\"/>
    </mc:Choice>
  </mc:AlternateContent>
  <xr:revisionPtr revIDLastSave="0" documentId="8_{1FD2F4B9-8FF2-4687-B784-F0F614DC3A2A}" xr6:coauthVersionLast="45" xr6:coauthVersionMax="45" xr10:uidLastSave="{00000000-0000-0000-0000-000000000000}"/>
  <bookViews>
    <workbookView xWindow="1272" yWindow="540" windowWidth="23304" windowHeight="11376" tabRatio="815" xr2:uid="{9230698E-BC2D-4B56-9659-6B00A32A5149}"/>
  </bookViews>
  <sheets>
    <sheet name="Revision" sheetId="16" r:id="rId1"/>
    <sheet name="Config" sheetId="12" r:id="rId2"/>
    <sheet name="MTL-S" sheetId="31" r:id="rId3"/>
    <sheet name="LookUp" sheetId="24" r:id="rId4"/>
    <sheet name="GetGroup1" sheetId="26" r:id="rId5"/>
    <sheet name="MTL-SOC-M CSME" sheetId="27" r:id="rId6"/>
    <sheet name="MTL-SOC-M ESE" sheetId="28" r:id="rId7"/>
    <sheet name="MTL-SOC-M GSC" sheetId="29" r:id="rId8"/>
    <sheet name="Group0" sheetId="21" r:id="rId9"/>
    <sheet name="Group1 (GSC)" sheetId="30" r:id="rId10"/>
    <sheet name="Group1" sheetId="7" r:id="rId11"/>
    <sheet name="Group2,3" sheetId="15" r:id="rId12"/>
    <sheet name="Softstrap" sheetId="8" r:id="rId13"/>
    <sheet name="MISC" sheetId="17" r:id="rId14"/>
  </sheets>
  <functionGroups builtInGroupCount="19"/>
  <definedNames>
    <definedName name="_xlnm._FilterDatabase" localSheetId="10" hidden="1">Group1!$A$1:$Q$107</definedName>
    <definedName name="_xlnm._FilterDatabase" localSheetId="9" hidden="1">'Group1 (GSC)'!$A$1:$R$107</definedName>
    <definedName name="_xlnm._FilterDatabase" localSheetId="12"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8" i="27" l="1"/>
  <c r="H200" i="31" l="1"/>
  <c r="H201" i="31"/>
  <c r="H202" i="31"/>
  <c r="K72" i="12" l="1"/>
  <c r="J72" i="12"/>
  <c r="K69" i="12"/>
  <c r="J69" i="12"/>
  <c r="I72" i="12"/>
  <c r="H72" i="1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M31" i="8" l="1"/>
  <c r="L19" i="24"/>
  <c r="R37" i="30"/>
  <c r="P37" i="30"/>
  <c r="L6" i="28"/>
  <c r="Q53" i="30"/>
  <c r="O124" i="7"/>
  <c r="Q82" i="30"/>
  <c r="O33" i="7"/>
  <c r="G18" i="29"/>
  <c r="P93" i="7"/>
  <c r="R29" i="30"/>
  <c r="M58" i="8"/>
  <c r="Q48" i="7"/>
  <c r="P37" i="7"/>
  <c r="L22" i="28"/>
  <c r="P11" i="30"/>
  <c r="P94" i="7"/>
  <c r="R108" i="30"/>
  <c r="P88" i="30"/>
  <c r="P60" i="7"/>
  <c r="Q21" i="30"/>
  <c r="O100" i="7"/>
  <c r="P95" i="30"/>
  <c r="R75" i="30"/>
  <c r="G20" i="27"/>
  <c r="Q52" i="30"/>
  <c r="Q124" i="30"/>
  <c r="P6" i="30"/>
  <c r="R103" i="30"/>
  <c r="P28" i="7"/>
  <c r="P54" i="7"/>
  <c r="O58" i="7"/>
  <c r="P81" i="30"/>
  <c r="G42" i="24"/>
  <c r="F13" i="21"/>
  <c r="O93" i="7"/>
  <c r="R54" i="30"/>
  <c r="L35" i="24"/>
  <c r="F17" i="21"/>
  <c r="M18" i="8"/>
  <c r="P38" i="7"/>
  <c r="L29" i="24"/>
  <c r="Q99" i="30"/>
  <c r="P122" i="30"/>
  <c r="Q20" i="30"/>
  <c r="G35" i="27"/>
  <c r="R96" i="30"/>
  <c r="L21" i="28"/>
  <c r="L12" i="27"/>
  <c r="Q58" i="7"/>
  <c r="L21" i="27"/>
  <c r="Q20" i="7"/>
  <c r="F6" i="21"/>
  <c r="G32" i="24"/>
  <c r="Q91" i="30"/>
  <c r="K12" i="21"/>
  <c r="K9" i="21"/>
  <c r="P29" i="30"/>
  <c r="G42" i="28"/>
  <c r="F3" i="21"/>
  <c r="L33" i="8"/>
  <c r="P83" i="7"/>
  <c r="R102" i="30"/>
  <c r="P120" i="30"/>
  <c r="Q53" i="7"/>
  <c r="L13" i="28"/>
  <c r="Q7" i="30"/>
  <c r="P112" i="7"/>
  <c r="R52" i="30"/>
  <c r="G4" i="24"/>
  <c r="P80" i="7"/>
  <c r="M40" i="8"/>
  <c r="Q123" i="30"/>
  <c r="G19" i="24"/>
  <c r="G22" i="27"/>
  <c r="O110" i="7"/>
  <c r="R30" i="30"/>
  <c r="F5" i="21"/>
  <c r="R97" i="30"/>
  <c r="R12" i="30"/>
  <c r="P41" i="7"/>
  <c r="L22" i="8"/>
  <c r="L5" i="28"/>
  <c r="L30" i="28"/>
  <c r="L21" i="24"/>
  <c r="G29" i="29"/>
  <c r="L41" i="8"/>
  <c r="L7" i="27"/>
  <c r="G40" i="24"/>
  <c r="Q34" i="7"/>
  <c r="P101" i="7"/>
  <c r="R51" i="30"/>
  <c r="O117" i="7"/>
  <c r="P38" i="30"/>
  <c r="R121" i="30"/>
  <c r="P78" i="30"/>
  <c r="O90" i="7"/>
  <c r="P44" i="7"/>
  <c r="O40" i="7"/>
  <c r="R95" i="30"/>
  <c r="K7" i="21"/>
  <c r="R119" i="30"/>
  <c r="P55" i="7"/>
  <c r="P75" i="30"/>
  <c r="Q49" i="30"/>
  <c r="L14" i="28"/>
  <c r="O22" i="7"/>
  <c r="O97" i="7"/>
  <c r="R38" i="30"/>
  <c r="M50" i="8"/>
  <c r="R22" i="30"/>
  <c r="G3" i="15"/>
  <c r="P77" i="7"/>
  <c r="R77" i="30"/>
  <c r="R120" i="30"/>
  <c r="G8" i="29"/>
  <c r="L10" i="24"/>
  <c r="G3" i="29"/>
  <c r="L13" i="27"/>
  <c r="O26" i="7"/>
  <c r="L40" i="24"/>
  <c r="G34" i="28"/>
  <c r="G30" i="29"/>
  <c r="O15" i="7"/>
  <c r="Q101" i="30"/>
  <c r="P77" i="30"/>
  <c r="O83" i="7"/>
  <c r="G34" i="24"/>
  <c r="R122" i="30"/>
  <c r="Q118" i="30"/>
  <c r="L60" i="8"/>
  <c r="P44" i="30"/>
  <c r="N65" i="8"/>
  <c r="F10" i="21"/>
  <c r="P33" i="30"/>
  <c r="L5" i="24"/>
  <c r="R34" i="30"/>
  <c r="P117" i="7"/>
  <c r="P91" i="7"/>
  <c r="Q13" i="7"/>
  <c r="G28" i="27"/>
  <c r="Q47" i="7"/>
  <c r="R40" i="30"/>
  <c r="Q46" i="30"/>
  <c r="Q14" i="30"/>
  <c r="Q115" i="30"/>
  <c r="G21" i="24"/>
  <c r="Q23" i="30"/>
  <c r="G6" i="24"/>
  <c r="Q121" i="7"/>
  <c r="L12" i="8"/>
  <c r="G29" i="24"/>
  <c r="O6" i="7"/>
  <c r="K14" i="21"/>
  <c r="G3" i="27"/>
  <c r="P21" i="7"/>
  <c r="M12" i="8"/>
  <c r="Q48" i="30"/>
  <c r="P36" i="7"/>
  <c r="O47" i="7"/>
  <c r="O92" i="7"/>
  <c r="Q112" i="7"/>
  <c r="L42" i="24"/>
  <c r="P6" i="7"/>
  <c r="R114" i="30"/>
  <c r="G19" i="27"/>
  <c r="P40" i="7"/>
  <c r="P17" i="30"/>
  <c r="G37" i="27"/>
  <c r="Q122" i="7"/>
  <c r="L7" i="8"/>
  <c r="L4" i="8"/>
  <c r="Q54" i="30"/>
  <c r="R61" i="30"/>
  <c r="N39" i="8"/>
  <c r="L11" i="24"/>
  <c r="N34" i="8"/>
  <c r="O116" i="7"/>
  <c r="Q38" i="30"/>
  <c r="L50" i="8"/>
  <c r="G10" i="29"/>
  <c r="G39" i="28"/>
  <c r="Q78" i="7"/>
  <c r="N58" i="8"/>
  <c r="P110" i="7"/>
  <c r="G8" i="27"/>
  <c r="R4" i="30"/>
  <c r="P114" i="7"/>
  <c r="P25" i="7"/>
  <c r="O55" i="7"/>
  <c r="G26" i="24"/>
  <c r="Q32" i="7"/>
  <c r="Q117" i="7"/>
  <c r="F16" i="21"/>
  <c r="P88" i="7"/>
  <c r="P114" i="30"/>
  <c r="Q98" i="7"/>
  <c r="P90" i="7"/>
  <c r="P78" i="7"/>
  <c r="P122" i="7"/>
  <c r="Q97" i="7"/>
  <c r="O95" i="7"/>
  <c r="P123" i="7"/>
  <c r="Q94" i="30"/>
  <c r="G13" i="28"/>
  <c r="O99" i="7"/>
  <c r="M53" i="8"/>
  <c r="L20" i="24"/>
  <c r="O43" i="7"/>
  <c r="P34" i="7"/>
  <c r="Q25" i="30"/>
  <c r="O109" i="7"/>
  <c r="Q92" i="7"/>
  <c r="N37" i="8"/>
  <c r="O108" i="7"/>
  <c r="N13" i="8"/>
  <c r="R32" i="30"/>
  <c r="P61" i="30"/>
  <c r="P90" i="30"/>
  <c r="P17" i="7"/>
  <c r="P99" i="7"/>
  <c r="L11" i="8"/>
  <c r="Q12" i="30"/>
  <c r="G40" i="28"/>
  <c r="Q61" i="30"/>
  <c r="F4" i="21"/>
  <c r="G28" i="28"/>
  <c r="L34" i="27"/>
  <c r="G41" i="24"/>
  <c r="R82" i="30"/>
  <c r="L8" i="24"/>
  <c r="O44" i="7"/>
  <c r="L35" i="27"/>
  <c r="L4" i="27"/>
  <c r="P80" i="30"/>
  <c r="Q114" i="7"/>
  <c r="G28" i="29"/>
  <c r="L42" i="28"/>
  <c r="R59" i="30"/>
  <c r="G29" i="27"/>
  <c r="O125" i="7"/>
  <c r="M39" i="8"/>
  <c r="N31" i="8"/>
  <c r="F12" i="21"/>
  <c r="L42" i="8"/>
  <c r="Q33" i="30"/>
  <c r="R11" i="30"/>
  <c r="G33" i="24"/>
  <c r="G22" i="28"/>
  <c r="P29" i="7"/>
  <c r="Q95" i="7"/>
  <c r="G20" i="24"/>
  <c r="O88" i="7"/>
  <c r="P113" i="7"/>
  <c r="G35" i="29"/>
  <c r="Q55" i="7"/>
  <c r="G28" i="24"/>
  <c r="G25" i="24"/>
  <c r="N57" i="8"/>
  <c r="Q22" i="30"/>
  <c r="L64" i="8"/>
  <c r="O98" i="7"/>
  <c r="N2" i="8"/>
  <c r="Q17" i="30"/>
  <c r="G6" i="15"/>
  <c r="Q54" i="7"/>
  <c r="L4" i="28"/>
  <c r="L18" i="24"/>
  <c r="N33" i="8"/>
  <c r="Q50" i="30"/>
  <c r="Q37" i="30"/>
  <c r="N35" i="8"/>
  <c r="L19" i="27"/>
  <c r="L29" i="28"/>
  <c r="R55" i="30"/>
  <c r="O7" i="7"/>
  <c r="Q80" i="7"/>
  <c r="Q14" i="7"/>
  <c r="L41" i="27"/>
  <c r="O121" i="7"/>
  <c r="Q78" i="30"/>
  <c r="O118" i="7"/>
  <c r="Q29" i="30"/>
  <c r="M9" i="8"/>
  <c r="Q41" i="7"/>
  <c r="P100" i="30"/>
  <c r="Q56" i="7"/>
  <c r="L13" i="8"/>
  <c r="Q44" i="30"/>
  <c r="O29" i="7"/>
  <c r="L23" i="28"/>
  <c r="P74" i="30"/>
  <c r="P15" i="7"/>
  <c r="L2" i="8"/>
  <c r="Q44" i="7"/>
  <c r="P53" i="7"/>
  <c r="Q46" i="7"/>
  <c r="P56" i="30"/>
  <c r="R99" i="30"/>
  <c r="R117" i="30"/>
  <c r="Q33" i="7"/>
  <c r="M38" i="8"/>
  <c r="G30" i="28"/>
  <c r="N64" i="8"/>
  <c r="L35" i="28"/>
  <c r="P81" i="7"/>
  <c r="N53" i="8"/>
  <c r="P75" i="7"/>
  <c r="L24" i="28"/>
  <c r="Q102" i="7"/>
  <c r="L6" i="8"/>
  <c r="F15" i="21"/>
  <c r="P59" i="30"/>
  <c r="L37" i="27"/>
  <c r="G39" i="27"/>
  <c r="L12" i="24"/>
  <c r="L10" i="27"/>
  <c r="Q7" i="7"/>
  <c r="P34" i="30"/>
  <c r="M13" i="8"/>
  <c r="N36" i="8"/>
  <c r="L24" i="24"/>
  <c r="G25" i="29"/>
  <c r="O53" i="7"/>
  <c r="M64" i="8"/>
  <c r="P36" i="30"/>
  <c r="L29" i="27"/>
  <c r="P59" i="7"/>
  <c r="L36" i="8"/>
  <c r="P102" i="7"/>
  <c r="L63" i="8"/>
  <c r="L36" i="27"/>
  <c r="R17" i="30"/>
  <c r="R7" i="30"/>
  <c r="P83" i="30"/>
  <c r="L62" i="8"/>
  <c r="R93" i="30"/>
  <c r="P113" i="30"/>
  <c r="G13" i="15"/>
  <c r="P60" i="30"/>
  <c r="Q122" i="30"/>
  <c r="Q113" i="7"/>
  <c r="O56" i="7"/>
  <c r="Q41" i="30"/>
  <c r="P56" i="7"/>
  <c r="Q77" i="30"/>
  <c r="L22" i="27"/>
  <c r="L30" i="27"/>
  <c r="O17" i="7"/>
  <c r="G11" i="24"/>
  <c r="Q22" i="7"/>
  <c r="L16" i="24"/>
  <c r="R44" i="30"/>
  <c r="R49" i="30"/>
  <c r="N40" i="8"/>
  <c r="G12" i="27"/>
  <c r="G7" i="27"/>
  <c r="R109" i="30"/>
  <c r="G13" i="29"/>
  <c r="L39" i="8"/>
  <c r="R14" i="30"/>
  <c r="G9" i="29"/>
  <c r="G9" i="28"/>
  <c r="L34" i="28"/>
  <c r="R36" i="30"/>
  <c r="P125" i="30"/>
  <c r="Q75" i="30"/>
  <c r="G8" i="24"/>
  <c r="Q25" i="7"/>
  <c r="P32" i="30"/>
  <c r="L35" i="8"/>
  <c r="Q97" i="30"/>
  <c r="L8" i="8"/>
  <c r="Q11" i="30"/>
  <c r="N42" i="8"/>
  <c r="O24" i="7"/>
  <c r="L12" i="28"/>
  <c r="G7" i="15"/>
  <c r="G36" i="24"/>
  <c r="N19" i="8"/>
  <c r="Q83" i="7"/>
  <c r="G26" i="29"/>
  <c r="P54" i="30"/>
  <c r="P96" i="30"/>
  <c r="P25" i="30"/>
  <c r="G41" i="28"/>
  <c r="P27" i="30"/>
  <c r="Q93" i="30"/>
  <c r="G10" i="24"/>
  <c r="G31" i="24"/>
  <c r="P93" i="30"/>
  <c r="L39" i="24"/>
  <c r="N3" i="8"/>
  <c r="Q47" i="30"/>
  <c r="O59" i="7"/>
  <c r="P26" i="30"/>
  <c r="Q103" i="30"/>
  <c r="K4" i="21"/>
  <c r="Q98" i="30"/>
  <c r="L30" i="24"/>
  <c r="P47" i="7"/>
  <c r="G42" i="29"/>
  <c r="K10" i="21"/>
  <c r="P14" i="7"/>
  <c r="G25" i="27"/>
  <c r="R6" i="30"/>
  <c r="P12" i="7"/>
  <c r="Q77" i="7"/>
  <c r="N22" i="8"/>
  <c r="P20" i="30"/>
  <c r="G11" i="29"/>
  <c r="G23" i="29"/>
  <c r="L32" i="28"/>
  <c r="L18" i="28"/>
  <c r="L42" i="29"/>
  <c r="L36" i="24"/>
  <c r="Q119" i="7"/>
  <c r="Q51" i="30"/>
  <c r="P48" i="30"/>
  <c r="P118" i="30"/>
  <c r="L9" i="27"/>
  <c r="Q102" i="30"/>
  <c r="R118" i="30"/>
  <c r="Q55" i="30"/>
  <c r="G21" i="28"/>
  <c r="R50" i="30"/>
  <c r="P15" i="30"/>
  <c r="P96" i="7"/>
  <c r="L42" i="27"/>
  <c r="P23" i="30"/>
  <c r="Q120" i="7"/>
  <c r="R20" i="30"/>
  <c r="M63" i="8"/>
  <c r="P103" i="7"/>
  <c r="R116" i="30"/>
  <c r="O11" i="7"/>
  <c r="G5" i="24"/>
  <c r="Q52" i="7"/>
  <c r="P116" i="7"/>
  <c r="Q90" i="30"/>
  <c r="G36" i="27"/>
  <c r="R81" i="30"/>
  <c r="P101" i="30"/>
  <c r="L61" i="8"/>
  <c r="Q121" i="30"/>
  <c r="O120" i="7"/>
  <c r="L32" i="8"/>
  <c r="O25" i="7"/>
  <c r="G32" i="27"/>
  <c r="K17" i="21"/>
  <c r="Q114" i="30"/>
  <c r="Q83" i="30"/>
  <c r="R80" i="30"/>
  <c r="Q17" i="7"/>
  <c r="G42" i="27"/>
  <c r="G23" i="28"/>
  <c r="Q27" i="30"/>
  <c r="G37" i="28"/>
  <c r="K15" i="21"/>
  <c r="Q36" i="30"/>
  <c r="P119" i="7"/>
  <c r="G4" i="29"/>
  <c r="L43" i="8"/>
  <c r="O77" i="7"/>
  <c r="Q58" i="30"/>
  <c r="P22" i="7"/>
  <c r="M43" i="8"/>
  <c r="O28" i="7"/>
  <c r="Q59" i="7"/>
  <c r="L15" i="24"/>
  <c r="R47" i="30"/>
  <c r="P99" i="30"/>
  <c r="P52" i="7"/>
  <c r="L17" i="27"/>
  <c r="R91" i="30"/>
  <c r="O82" i="7"/>
  <c r="G9" i="15"/>
  <c r="O103" i="7"/>
  <c r="K6" i="21"/>
  <c r="G38" i="28"/>
  <c r="G9" i="27"/>
  <c r="Q113" i="30"/>
  <c r="K5" i="21"/>
  <c r="G12" i="28"/>
  <c r="P49" i="30"/>
  <c r="P109" i="7"/>
  <c r="L23" i="24"/>
  <c r="G10" i="15"/>
  <c r="M42" i="8"/>
  <c r="L13" i="24"/>
  <c r="Q120" i="30"/>
  <c r="R115" i="30"/>
  <c r="G13" i="27"/>
  <c r="G40" i="29"/>
  <c r="M11" i="8"/>
  <c r="P51" i="7"/>
  <c r="L31" i="24"/>
  <c r="L20" i="28"/>
  <c r="L18" i="8"/>
  <c r="G37" i="24"/>
  <c r="O119" i="7"/>
  <c r="R83" i="30"/>
  <c r="Q110" i="7"/>
  <c r="G19" i="29"/>
  <c r="R46" i="30"/>
  <c r="P115" i="30"/>
  <c r="Q15" i="30"/>
  <c r="G11" i="28"/>
  <c r="N23" i="8"/>
  <c r="L9" i="28"/>
  <c r="L39" i="28"/>
  <c r="L20" i="27"/>
  <c r="O75" i="7"/>
  <c r="P41" i="30"/>
  <c r="R111" i="30"/>
  <c r="Q23" i="7"/>
  <c r="N60" i="8"/>
  <c r="L39" i="27"/>
  <c r="O36" i="7"/>
  <c r="O49" i="7"/>
  <c r="G9" i="24"/>
  <c r="Q111" i="30"/>
  <c r="R24" i="30"/>
  <c r="Q101" i="7"/>
  <c r="G32" i="28"/>
  <c r="Q30" i="7"/>
  <c r="Q110" i="30"/>
  <c r="R25" i="30"/>
  <c r="G30" i="24"/>
  <c r="G6" i="28"/>
  <c r="O13" i="7"/>
  <c r="G18" i="24"/>
  <c r="G23" i="24"/>
  <c r="P7" i="7"/>
  <c r="L65" i="8"/>
  <c r="Q112" i="30"/>
  <c r="G38" i="27"/>
  <c r="M57" i="8"/>
  <c r="Q60" i="7"/>
  <c r="G18" i="28"/>
  <c r="Q94" i="7"/>
  <c r="Q109" i="7"/>
  <c r="P125" i="7"/>
  <c r="Q115" i="7"/>
  <c r="G26" i="27"/>
  <c r="G3" i="24"/>
  <c r="Q118" i="7"/>
  <c r="P30" i="30"/>
  <c r="G12" i="24"/>
  <c r="G5" i="27"/>
  <c r="L17" i="28"/>
  <c r="O74" i="7"/>
  <c r="M35" i="8"/>
  <c r="L15" i="29"/>
  <c r="O30" i="7"/>
  <c r="Q108" i="30"/>
  <c r="L19" i="8"/>
  <c r="O23" i="7"/>
  <c r="K11" i="21"/>
  <c r="P47" i="30"/>
  <c r="G22" i="29"/>
  <c r="Q32" i="30"/>
  <c r="L9" i="8"/>
  <c r="Q61" i="7"/>
  <c r="G41" i="29"/>
  <c r="L38" i="8"/>
  <c r="O81" i="7"/>
  <c r="G34" i="27"/>
  <c r="L18" i="27"/>
  <c r="G40" i="27"/>
  <c r="O78" i="7"/>
  <c r="L7" i="24"/>
  <c r="O52" i="7"/>
  <c r="R125" i="30"/>
  <c r="R101" i="30"/>
  <c r="L10" i="28"/>
  <c r="Q96" i="30"/>
  <c r="G21" i="27"/>
  <c r="L32" i="27"/>
  <c r="P27" i="7"/>
  <c r="R41" i="30"/>
  <c r="O48" i="7"/>
  <c r="F8" i="21"/>
  <c r="L37" i="24"/>
  <c r="Q92" i="30"/>
  <c r="L14" i="24"/>
  <c r="M36" i="8"/>
  <c r="O46" i="7"/>
  <c r="G21" i="29"/>
  <c r="R56" i="30"/>
  <c r="L19" i="29"/>
  <c r="O96" i="7"/>
  <c r="L16" i="27"/>
  <c r="Q88" i="30"/>
  <c r="Q109" i="30"/>
  <c r="O114" i="7"/>
  <c r="M3" i="8"/>
  <c r="Q91" i="7"/>
  <c r="G35" i="28"/>
  <c r="Q74" i="30"/>
  <c r="L34" i="24"/>
  <c r="L3" i="24"/>
  <c r="Q49" i="7"/>
  <c r="P74" i="7"/>
  <c r="Q90" i="7"/>
  <c r="P61" i="7"/>
  <c r="Q24" i="30"/>
  <c r="G32" i="29"/>
  <c r="P4" i="30"/>
  <c r="G7" i="28"/>
  <c r="Q4" i="30"/>
  <c r="N32" i="8"/>
  <c r="O61" i="7"/>
  <c r="O20" i="7"/>
  <c r="G20" i="29"/>
  <c r="G36" i="28"/>
  <c r="P55" i="30"/>
  <c r="G6" i="29"/>
  <c r="P92" i="7"/>
  <c r="P108" i="30"/>
  <c r="O101" i="7"/>
  <c r="G8" i="28"/>
  <c r="G8" i="15"/>
  <c r="P7" i="30"/>
  <c r="L7" i="28"/>
  <c r="L37" i="28"/>
  <c r="L21" i="29"/>
  <c r="R88" i="30"/>
  <c r="O102" i="7"/>
  <c r="G12" i="29"/>
  <c r="P82" i="7"/>
  <c r="P14" i="30"/>
  <c r="O54" i="7"/>
  <c r="P95" i="7"/>
  <c r="P23" i="7"/>
  <c r="M41" i="8"/>
  <c r="L6" i="24"/>
  <c r="L5" i="27"/>
  <c r="Q29" i="7"/>
  <c r="O37" i="7"/>
  <c r="Q99" i="7"/>
  <c r="Q24" i="7"/>
  <c r="O51" i="7"/>
  <c r="R21" i="30"/>
  <c r="Q43" i="30"/>
  <c r="R43" i="30"/>
  <c r="P22" i="30"/>
  <c r="L17" i="29"/>
  <c r="Q60" i="30"/>
  <c r="G10" i="27"/>
  <c r="Q123" i="7"/>
  <c r="P123" i="30"/>
  <c r="P46" i="30"/>
  <c r="G30" i="27"/>
  <c r="Q50" i="7"/>
  <c r="P118" i="7"/>
  <c r="P13" i="30"/>
  <c r="G11" i="15"/>
  <c r="L14" i="29"/>
  <c r="G39" i="29"/>
  <c r="M7" i="8"/>
  <c r="N18" i="8"/>
  <c r="L29" i="29"/>
  <c r="G7" i="24"/>
  <c r="P124" i="30"/>
  <c r="Q124" i="7"/>
  <c r="G11" i="27"/>
  <c r="L3" i="27"/>
  <c r="G25" i="28"/>
  <c r="L53" i="8"/>
  <c r="P92" i="30"/>
  <c r="L32" i="24"/>
  <c r="R94" i="30"/>
  <c r="O111" i="7"/>
  <c r="G5" i="15"/>
  <c r="P24" i="30"/>
  <c r="R112" i="30"/>
  <c r="Q6" i="7"/>
  <c r="M22" i="8"/>
  <c r="N38" i="8"/>
  <c r="G10" i="28"/>
  <c r="L4" i="24"/>
  <c r="P40" i="30"/>
  <c r="G29" i="28"/>
  <c r="Q93" i="7"/>
  <c r="F9" i="21"/>
  <c r="R100" i="30"/>
  <c r="Q116" i="7"/>
  <c r="P58" i="30"/>
  <c r="P43" i="30"/>
  <c r="Q117" i="30"/>
  <c r="G20" i="28"/>
  <c r="N12" i="8"/>
  <c r="Q82" i="7"/>
  <c r="G31" i="29"/>
  <c r="Q11" i="7"/>
  <c r="P51" i="30"/>
  <c r="F11" i="21"/>
  <c r="G31" i="28"/>
  <c r="P98" i="30"/>
  <c r="Q125" i="7"/>
  <c r="P98" i="7"/>
  <c r="L57" i="8"/>
  <c r="P115" i="7"/>
  <c r="Q36" i="7"/>
  <c r="L3" i="29"/>
  <c r="P94" i="30"/>
  <c r="P103" i="30"/>
  <c r="Q88" i="7"/>
  <c r="O12" i="7"/>
  <c r="P110" i="30"/>
  <c r="G19" i="28"/>
  <c r="R26" i="30"/>
  <c r="M65" i="8"/>
  <c r="N43" i="8"/>
  <c r="L41" i="28"/>
  <c r="P50" i="30"/>
  <c r="O34" i="7"/>
  <c r="L36" i="28"/>
  <c r="G41" i="27"/>
  <c r="O27" i="7"/>
  <c r="G13" i="24"/>
  <c r="G18" i="27"/>
  <c r="L6" i="27"/>
  <c r="L58" i="8"/>
  <c r="P102" i="30"/>
  <c r="L18" i="29"/>
  <c r="M19" i="8"/>
  <c r="L41" i="29"/>
  <c r="L12" i="29"/>
  <c r="G37" i="29"/>
  <c r="N9" i="8"/>
  <c r="L11" i="28"/>
  <c r="L59" i="8"/>
  <c r="Q6" i="30"/>
  <c r="N41" i="8"/>
  <c r="M34" i="8"/>
  <c r="N7" i="8"/>
  <c r="P33" i="7"/>
  <c r="L6" i="29"/>
  <c r="L11" i="29"/>
  <c r="O80" i="7"/>
  <c r="P28" i="30"/>
  <c r="Q81" i="30"/>
  <c r="Q108" i="7"/>
  <c r="L9" i="24"/>
  <c r="G6" i="27"/>
  <c r="L11" i="27"/>
  <c r="G4" i="15"/>
  <c r="O21" i="7"/>
  <c r="P121" i="30"/>
  <c r="Q95" i="30"/>
  <c r="P108" i="7"/>
  <c r="Q15" i="7"/>
  <c r="L24" i="27"/>
  <c r="Q96" i="7"/>
  <c r="N63" i="8"/>
  <c r="Q34" i="30"/>
  <c r="L17" i="24"/>
  <c r="Q4" i="7"/>
  <c r="Q111" i="7"/>
  <c r="P4" i="7"/>
  <c r="Q80" i="30"/>
  <c r="Q43" i="7"/>
  <c r="P49" i="7"/>
  <c r="G26" i="28"/>
  <c r="Q12" i="7"/>
  <c r="L13" i="29"/>
  <c r="L22" i="24"/>
  <c r="Q75" i="7"/>
  <c r="R113" i="30"/>
  <c r="L23" i="27"/>
  <c r="G23" i="27"/>
  <c r="R98" i="30"/>
  <c r="O115" i="7"/>
  <c r="L10" i="29"/>
  <c r="M8" i="8"/>
  <c r="P97" i="30"/>
  <c r="P124" i="7"/>
  <c r="L16" i="28"/>
  <c r="G38" i="24"/>
  <c r="G4" i="28"/>
  <c r="L40" i="28"/>
  <c r="N50" i="8"/>
  <c r="G4" i="27"/>
  <c r="M60" i="8"/>
  <c r="Q28" i="7"/>
  <c r="O50" i="7"/>
  <c r="L23" i="8"/>
  <c r="M32" i="8"/>
  <c r="N59" i="8"/>
  <c r="P53" i="30"/>
  <c r="P52" i="30"/>
  <c r="K16" i="21"/>
  <c r="M4" i="8"/>
  <c r="Q74" i="7"/>
  <c r="L34" i="8"/>
  <c r="L31" i="8"/>
  <c r="P12" i="30"/>
  <c r="P121" i="7"/>
  <c r="P32" i="7"/>
  <c r="P21" i="30"/>
  <c r="L3" i="28"/>
  <c r="Q81" i="7"/>
  <c r="G22" i="24"/>
  <c r="L14" i="27"/>
  <c r="R92" i="30"/>
  <c r="P26" i="7"/>
  <c r="R33" i="30"/>
  <c r="R78" i="30"/>
  <c r="Q26" i="7"/>
  <c r="Q28" i="30"/>
  <c r="L16" i="29"/>
  <c r="Q103" i="7"/>
  <c r="G5" i="28"/>
  <c r="Q100" i="30"/>
  <c r="P82" i="30"/>
  <c r="Q40" i="7"/>
  <c r="R124" i="30"/>
  <c r="G7" i="29"/>
  <c r="G39" i="24"/>
  <c r="N6" i="8"/>
  <c r="L40" i="8"/>
  <c r="Q119" i="30"/>
  <c r="O32" i="7"/>
  <c r="R58" i="30"/>
  <c r="O123" i="7"/>
  <c r="Q27" i="7"/>
  <c r="P46" i="7"/>
  <c r="L39" i="29"/>
  <c r="P30" i="7"/>
  <c r="L22" i="29"/>
  <c r="O122" i="7"/>
  <c r="M23" i="8"/>
  <c r="L8" i="29"/>
  <c r="G36" i="29"/>
  <c r="P100" i="7"/>
  <c r="Q116" i="30"/>
  <c r="P58" i="7"/>
  <c r="L15" i="27"/>
  <c r="P50" i="7"/>
  <c r="O41" i="7"/>
  <c r="L9" i="29"/>
  <c r="O113" i="7"/>
  <c r="P112" i="30"/>
  <c r="O38" i="7"/>
  <c r="N11" i="8"/>
  <c r="N8" i="8"/>
  <c r="O60" i="7"/>
  <c r="L19" i="28"/>
  <c r="G3" i="28"/>
  <c r="P97" i="7"/>
  <c r="P91" i="30"/>
  <c r="M2" i="8"/>
  <c r="G35" i="24"/>
  <c r="Q26" i="30"/>
  <c r="G5" i="29"/>
  <c r="Q38" i="7"/>
  <c r="Q51" i="7"/>
  <c r="Q59" i="30"/>
  <c r="N4" i="8"/>
  <c r="R13" i="30"/>
  <c r="G33" i="28"/>
  <c r="L5" i="29"/>
  <c r="M61" i="8"/>
  <c r="L40" i="27"/>
  <c r="M33" i="8"/>
  <c r="Q37" i="7"/>
  <c r="L37" i="29"/>
  <c r="P120" i="7"/>
  <c r="R90" i="30"/>
  <c r="L32" i="29"/>
  <c r="P111" i="30"/>
  <c r="N61" i="8"/>
  <c r="L31" i="28"/>
  <c r="L37" i="8"/>
  <c r="P111" i="7"/>
  <c r="P109" i="30"/>
  <c r="M59" i="8"/>
  <c r="L41" i="24"/>
  <c r="F14" i="21"/>
  <c r="P13" i="7"/>
  <c r="M6" i="8"/>
  <c r="Q56" i="30"/>
  <c r="R53" i="30"/>
  <c r="L24" i="29"/>
  <c r="R123" i="30"/>
  <c r="O91" i="7"/>
  <c r="P119" i="30"/>
  <c r="F7" i="21"/>
  <c r="O4" i="7"/>
  <c r="P43" i="7"/>
  <c r="O14" i="7"/>
  <c r="P116" i="30"/>
  <c r="G34" i="29"/>
  <c r="L34" i="29" s="1"/>
  <c r="Q30" i="30"/>
  <c r="L8" i="27"/>
  <c r="G33" i="29"/>
  <c r="O112" i="7"/>
  <c r="P48" i="7"/>
  <c r="Q21" i="7"/>
  <c r="N62" i="8"/>
  <c r="G33" i="27"/>
  <c r="P117" i="30"/>
  <c r="R74" i="30"/>
  <c r="G31" i="27"/>
  <c r="P20" i="7"/>
  <c r="L23" i="29"/>
  <c r="O94" i="7"/>
  <c r="Q13" i="30"/>
  <c r="L15" i="28"/>
  <c r="Q40" i="30"/>
  <c r="R60" i="30"/>
  <c r="R15" i="30"/>
  <c r="G12" i="15"/>
  <c r="R110" i="30"/>
  <c r="P24" i="7"/>
  <c r="M62" i="8"/>
  <c r="L31" i="27"/>
  <c r="Q100" i="7"/>
  <c r="R27" i="30"/>
  <c r="R23" i="30"/>
  <c r="Q125" i="30"/>
  <c r="R28" i="30"/>
  <c r="P11" i="7"/>
  <c r="L8" i="28"/>
  <c r="M37" i="8"/>
  <c r="R48" i="30"/>
  <c r="G38" i="29"/>
  <c r="L3" i="8"/>
  <c r="L20" i="29"/>
  <c r="L40" i="29"/>
  <c r="L36" i="29"/>
  <c r="L4" i="29"/>
  <c r="L7" i="29"/>
  <c r="H12" i="15" l="1"/>
  <c r="I12" i="15"/>
  <c r="H5" i="29"/>
  <c r="I5" i="29"/>
  <c r="O3" i="28"/>
  <c r="I7" i="29"/>
  <c r="H7" i="29"/>
  <c r="H5" i="28"/>
  <c r="I5" i="28"/>
  <c r="H22" i="24"/>
  <c r="H4" i="27"/>
  <c r="I4" i="27"/>
  <c r="I4" i="28"/>
  <c r="H4" i="28"/>
  <c r="H23" i="27"/>
  <c r="H26" i="28"/>
  <c r="I4" i="15"/>
  <c r="H4" i="15"/>
  <c r="I6" i="27"/>
  <c r="H6" i="27"/>
  <c r="H18" i="27"/>
  <c r="O14" i="27"/>
  <c r="K18" i="27"/>
  <c r="I13" i="24"/>
  <c r="H13" i="24"/>
  <c r="H19" i="28"/>
  <c r="H20" i="28"/>
  <c r="H10" i="28"/>
  <c r="I10" i="28"/>
  <c r="H5" i="15"/>
  <c r="I5" i="15"/>
  <c r="O25" i="28"/>
  <c r="H25" i="28"/>
  <c r="H11" i="27"/>
  <c r="I11" i="27"/>
  <c r="I7" i="24"/>
  <c r="H7" i="24"/>
  <c r="H11" i="15"/>
  <c r="I11" i="15"/>
  <c r="I10" i="27"/>
  <c r="H10" i="27"/>
  <c r="I12" i="29"/>
  <c r="H12" i="29"/>
  <c r="O8" i="28"/>
  <c r="H6" i="29"/>
  <c r="I6" i="29"/>
  <c r="H20" i="29"/>
  <c r="H7" i="28"/>
  <c r="I7" i="28"/>
  <c r="H21" i="29"/>
  <c r="H21" i="27"/>
  <c r="H22" i="29"/>
  <c r="I5" i="27"/>
  <c r="H5" i="27"/>
  <c r="H12" i="24"/>
  <c r="I12" i="24"/>
  <c r="O3" i="24"/>
  <c r="H26" i="27"/>
  <c r="O14" i="28"/>
  <c r="H18" i="28"/>
  <c r="K18" i="28"/>
  <c r="H23" i="24"/>
  <c r="K18" i="24"/>
  <c r="H18" i="24"/>
  <c r="O14" i="24"/>
  <c r="I6" i="28"/>
  <c r="H6" i="28"/>
  <c r="H9" i="24"/>
  <c r="I9" i="24"/>
  <c r="H11" i="28"/>
  <c r="I11" i="28"/>
  <c r="H19" i="29"/>
  <c r="I13" i="27"/>
  <c r="H13" i="27"/>
  <c r="H10" i="15"/>
  <c r="I10" i="15"/>
  <c r="H12" i="28"/>
  <c r="I12" i="28"/>
  <c r="H9" i="27"/>
  <c r="I9" i="27"/>
  <c r="I9" i="15"/>
  <c r="H9" i="15"/>
  <c r="I4" i="29"/>
  <c r="H4" i="29"/>
  <c r="H23" i="28"/>
  <c r="I5" i="24"/>
  <c r="H5" i="24"/>
  <c r="H21" i="28"/>
  <c r="H23" i="29"/>
  <c r="H11" i="29"/>
  <c r="I11" i="29"/>
  <c r="H25" i="27"/>
  <c r="O25" i="27"/>
  <c r="I10" i="24"/>
  <c r="H10" i="24"/>
  <c r="H26" i="29"/>
  <c r="I7" i="15"/>
  <c r="H7" i="15"/>
  <c r="O8" i="24"/>
  <c r="H9" i="28"/>
  <c r="I9" i="28"/>
  <c r="I9" i="29"/>
  <c r="H9" i="29"/>
  <c r="H13" i="29"/>
  <c r="I13" i="29"/>
  <c r="I7" i="27"/>
  <c r="H7" i="27"/>
  <c r="I12" i="27"/>
  <c r="H12" i="27"/>
  <c r="I11" i="24"/>
  <c r="H11" i="24"/>
  <c r="I13" i="15"/>
  <c r="H13" i="15"/>
  <c r="H25" i="29"/>
  <c r="O25" i="29"/>
  <c r="H6" i="15"/>
  <c r="I6" i="15"/>
  <c r="H25" i="24"/>
  <c r="O25" i="24"/>
  <c r="O28" i="24"/>
  <c r="H20" i="24"/>
  <c r="H22" i="28"/>
  <c r="O28" i="29"/>
  <c r="O28" i="28"/>
  <c r="H13" i="28"/>
  <c r="I13" i="28"/>
  <c r="H26" i="24"/>
  <c r="O8" i="27"/>
  <c r="H10" i="29"/>
  <c r="I10" i="29"/>
  <c r="H19" i="27"/>
  <c r="O3" i="27"/>
  <c r="H6" i="24"/>
  <c r="I6" i="24"/>
  <c r="H21" i="24"/>
  <c r="O28" i="27"/>
  <c r="O3" i="29"/>
  <c r="O8" i="29"/>
  <c r="H22" i="27"/>
  <c r="H19" i="24"/>
  <c r="I4" i="24"/>
  <c r="H4" i="24"/>
  <c r="O3" i="21"/>
  <c r="H20" i="27"/>
  <c r="K18" i="29"/>
  <c r="O14" i="29"/>
  <c r="H18" i="29"/>
  <c r="L30" i="29"/>
  <c r="L35" i="29"/>
  <c r="L3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L3" authorId="0" shapeId="0" xr:uid="{3FDFB054-55EA-4354-9929-9F724C65FD2C}">
      <text>
        <r>
          <rPr>
            <b/>
            <sz val="9"/>
            <color indexed="81"/>
            <rFont val="Tahoma"/>
            <family val="2"/>
          </rPr>
          <t>Shui, Yaxin:</t>
        </r>
        <r>
          <rPr>
            <sz val="9"/>
            <color indexed="81"/>
            <rFont val="Tahoma"/>
            <family val="2"/>
          </rPr>
          <t xml:space="preserve">
Place holder. It is same as MTL-SOC-M GSC</t>
        </r>
      </text>
    </comment>
    <comment ref="H9" authorId="0" shapeId="0" xr:uid="{497812FF-4F1A-4A79-B394-2E2B82F5944C}">
      <text>
        <r>
          <rPr>
            <b/>
            <sz val="9"/>
            <color indexed="81"/>
            <rFont val="Tahoma"/>
            <family val="2"/>
          </rPr>
          <t>Shui, Yaxin:</t>
        </r>
        <r>
          <rPr>
            <sz val="9"/>
            <color indexed="81"/>
            <rFont val="Tahoma"/>
            <family val="2"/>
          </rPr>
          <t xml:space="preserve">
GKEY0 and GKEY2 are needed for GSC backup. No need for PCH CSME
CH: use for PUF</t>
        </r>
      </text>
    </comment>
    <comment ref="J9" authorId="0" shapeId="0" xr:uid="{2ADE18D2-D3CC-4346-BD5C-26B98FD84BCF}">
      <text>
        <r>
          <rPr>
            <b/>
            <sz val="9"/>
            <color indexed="81"/>
            <rFont val="Tahoma"/>
            <family val="2"/>
          </rPr>
          <t>Shui, Yaxin:</t>
        </r>
        <r>
          <rPr>
            <sz val="9"/>
            <color indexed="81"/>
            <rFont val="Tahoma"/>
            <family val="2"/>
          </rPr>
          <t xml:space="preserve">
GKEY0 and GKEY2 are needed for SoC GSC backup in SoC CSE. No need for CSME</t>
        </r>
      </text>
    </comment>
    <comment ref="H10" authorId="0" shapeId="0" xr:uid="{03649469-935B-4584-A9A1-FF9CBD7EFFDA}">
      <text>
        <r>
          <rPr>
            <b/>
            <sz val="9"/>
            <color indexed="81"/>
            <rFont val="Tahoma"/>
            <family val="2"/>
          </rPr>
          <t>Shui, Yaxin:</t>
        </r>
        <r>
          <rPr>
            <sz val="9"/>
            <color indexed="81"/>
            <rFont val="Tahoma"/>
            <family val="2"/>
          </rPr>
          <t xml:space="preserve">
Key locker support for CSME PCH-S only, not SoC CSE and ESEs</t>
        </r>
      </text>
    </comment>
    <comment ref="H13" authorId="0" shapeId="0" xr:uid="{90E54DD1-ADD7-4C64-B9EC-2B0C190F9D4D}">
      <text>
        <r>
          <rPr>
            <b/>
            <sz val="9"/>
            <color indexed="81"/>
            <rFont val="Tahoma"/>
            <family val="2"/>
          </rPr>
          <t>Shui, Yaxin:</t>
        </r>
        <r>
          <rPr>
            <sz val="9"/>
            <color indexed="81"/>
            <rFont val="Tahoma"/>
            <family val="2"/>
          </rPr>
          <t xml:space="preserve">
It seems the feature is disabled since MTL?</t>
        </r>
      </text>
    </comment>
    <comment ref="H14" authorId="0" shapeId="0" xr:uid="{D0F8D3BD-C425-4CEF-82EC-2C28442FD475}">
      <text>
        <r>
          <rPr>
            <b/>
            <sz val="9"/>
            <color indexed="81"/>
            <rFont val="Tahoma"/>
            <family val="2"/>
          </rPr>
          <t>Shui, Yaxin:</t>
        </r>
        <r>
          <rPr>
            <sz val="9"/>
            <color indexed="81"/>
            <rFont val="Tahoma"/>
            <family val="2"/>
          </rPr>
          <t xml:space="preserve">
Clink parameter. CSME support Clink function</t>
        </r>
      </text>
    </comment>
    <comment ref="I14" authorId="0" shapeId="0" xr:uid="{CCF2B8E2-F3BF-440C-9F2C-B9BD835AD6E6}">
      <text>
        <r>
          <rPr>
            <b/>
            <sz val="9"/>
            <color indexed="81"/>
            <rFont val="Tahoma"/>
            <family val="2"/>
          </rPr>
          <t>Shui, Yaxin:</t>
        </r>
        <r>
          <rPr>
            <sz val="9"/>
            <color indexed="81"/>
            <rFont val="Tahoma"/>
            <family val="2"/>
          </rPr>
          <t xml:space="preserve">
No Clink </t>
        </r>
      </text>
    </comment>
    <comment ref="J14" authorId="0" shapeId="0" xr:uid="{BB43584B-32FB-4BE3-BD56-AB49BBDA82FD}">
      <text>
        <r>
          <rPr>
            <b/>
            <sz val="9"/>
            <color indexed="81"/>
            <rFont val="Tahoma"/>
            <family val="2"/>
          </rPr>
          <t>Shui, Yaxin:</t>
        </r>
        <r>
          <rPr>
            <sz val="9"/>
            <color indexed="81"/>
            <rFont val="Tahoma"/>
            <family val="2"/>
          </rPr>
          <t xml:space="preserve">
No Clink </t>
        </r>
      </text>
    </comment>
    <comment ref="K14" authorId="0" shapeId="0" xr:uid="{AF2B3477-F004-4BC0-8A43-DCFDAD97975B}">
      <text>
        <r>
          <rPr>
            <b/>
            <sz val="9"/>
            <color indexed="81"/>
            <rFont val="Tahoma"/>
            <family val="2"/>
          </rPr>
          <t>Shui, Yaxin:</t>
        </r>
        <r>
          <rPr>
            <sz val="9"/>
            <color indexed="81"/>
            <rFont val="Tahoma"/>
            <family val="2"/>
          </rPr>
          <t xml:space="preserve">
No Clink </t>
        </r>
      </text>
    </comment>
    <comment ref="H15" authorId="0" shapeId="0" xr:uid="{FF875735-36A1-43CE-B38E-832D1C8FC9AB}">
      <text>
        <r>
          <rPr>
            <b/>
            <sz val="9"/>
            <color indexed="81"/>
            <rFont val="Tahoma"/>
            <family val="2"/>
          </rPr>
          <t>Shui, Yaxin:</t>
        </r>
        <r>
          <rPr>
            <sz val="9"/>
            <color indexed="81"/>
            <rFont val="Tahoma"/>
            <family val="2"/>
          </rPr>
          <t xml:space="preserve">
param added for gsc, take default for CSME/CSE/ESE</t>
        </r>
      </text>
    </comment>
    <comment ref="H19" authorId="0" shapeId="0" xr:uid="{FF9D7C40-C53D-4F8B-B206-12D23882021C}">
      <text>
        <r>
          <rPr>
            <b/>
            <sz val="9"/>
            <color indexed="81"/>
            <rFont val="Tahoma"/>
            <family val="2"/>
          </rPr>
          <t>Shui, Yaxin:</t>
        </r>
        <r>
          <rPr>
            <sz val="9"/>
            <color indexed="81"/>
            <rFont val="Tahoma"/>
            <family val="2"/>
          </rPr>
          <t xml:space="preserve">
No HSIO support from MTL</t>
        </r>
      </text>
    </comment>
    <comment ref="H26" authorId="0" shapeId="0" xr:uid="{C32EDEEC-03BA-479F-AA1C-0CD376818BF2}">
      <text>
        <r>
          <rPr>
            <b/>
            <sz val="9"/>
            <color indexed="81"/>
            <rFont val="Tahoma"/>
            <family val="2"/>
          </rPr>
          <t>Shui, Yaxin:</t>
        </r>
        <r>
          <rPr>
            <sz val="9"/>
            <color indexed="81"/>
            <rFont val="Tahoma"/>
            <family val="2"/>
          </rPr>
          <t xml:space="preserve">
ISH is in PCH, not in SOC</t>
        </r>
      </text>
    </comment>
    <comment ref="H28" authorId="0" shapeId="0" xr:uid="{282D9F47-AA1D-46DF-B79B-348ACB24303D}">
      <text>
        <r>
          <rPr>
            <b/>
            <sz val="9"/>
            <color indexed="81"/>
            <rFont val="Tahoma"/>
            <family val="2"/>
          </rPr>
          <t>Shui, Yaxin:</t>
        </r>
        <r>
          <rPr>
            <sz val="9"/>
            <color indexed="81"/>
            <rFont val="Tahoma"/>
            <family val="2"/>
          </rPr>
          <t xml:space="preserve">
??? ADP-S is set to 1. Is it new to set to 0  disenabled starting from  MTL</t>
        </r>
      </text>
    </comment>
    <comment ref="H30" authorId="0" shapeId="0" xr:uid="{10F6A223-06B4-4316-A52F-54C277E9B802}">
      <text>
        <r>
          <rPr>
            <b/>
            <sz val="9"/>
            <color indexed="81"/>
            <rFont val="Tahoma"/>
            <family val="2"/>
          </rPr>
          <t>Shui, Yaxin:</t>
        </r>
        <r>
          <rPr>
            <sz val="9"/>
            <color indexed="81"/>
            <rFont val="Tahoma"/>
            <family val="2"/>
          </rPr>
          <t xml:space="preserve">
Chaitu: use for Server only and TRC</t>
        </r>
      </text>
    </comment>
    <comment ref="H32" authorId="0" shapeId="0" xr:uid="{089C2447-4169-4B78-BD37-5C0CE362A258}">
      <text>
        <r>
          <rPr>
            <b/>
            <sz val="9"/>
            <color indexed="81"/>
            <rFont val="Tahoma"/>
            <family val="2"/>
          </rPr>
          <t>Shui, Yaxin:</t>
        </r>
        <r>
          <rPr>
            <sz val="9"/>
            <color indexed="81"/>
            <rFont val="Tahoma"/>
            <family val="2"/>
          </rPr>
          <t xml:space="preserve">
Chaitu: not needed any more since MTL</t>
        </r>
      </text>
    </comment>
    <comment ref="A38" authorId="1"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1"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42" authorId="0" shapeId="0" xr:uid="{3D44D767-01D7-45C2-A2C4-5E50F701BA70}">
      <text>
        <r>
          <rPr>
            <b/>
            <sz val="9"/>
            <color indexed="81"/>
            <rFont val="Tahoma"/>
            <family val="2"/>
          </rPr>
          <t>Shui, Yaxin:</t>
        </r>
        <r>
          <rPr>
            <sz val="9"/>
            <color indexed="81"/>
            <rFont val="Tahoma"/>
            <family val="2"/>
          </rPr>
          <t xml:space="preserve">
Chaitu: need confirm with ROM team -</t>
        </r>
      </text>
    </comment>
    <comment ref="H43" authorId="0" shapeId="0" xr:uid="{48AC5024-F561-4031-8C5B-D266DE786E41}">
      <text>
        <r>
          <rPr>
            <b/>
            <sz val="9"/>
            <color indexed="81"/>
            <rFont val="Tahoma"/>
            <family val="2"/>
          </rPr>
          <t>Shui, Yaxin:</t>
        </r>
        <r>
          <rPr>
            <sz val="9"/>
            <color indexed="81"/>
            <rFont val="Tahoma"/>
            <family val="2"/>
          </rPr>
          <t xml:space="preserve">
Chaitu: need to confirm from ROM team</t>
        </r>
      </text>
    </comment>
    <comment ref="H45" authorId="0" shapeId="0" xr:uid="{6CE3E1A3-A067-4571-92D0-41164F0B00B2}">
      <text>
        <r>
          <rPr>
            <b/>
            <sz val="9"/>
            <color indexed="81"/>
            <rFont val="Tahoma"/>
            <family val="2"/>
          </rPr>
          <t>Shui, Yaxin:</t>
        </r>
        <r>
          <rPr>
            <sz val="9"/>
            <color indexed="81"/>
            <rFont val="Tahoma"/>
            <family val="2"/>
          </rPr>
          <t xml:space="preserve">
same as ADP-S, BUF</t>
        </r>
      </text>
    </comment>
    <comment ref="H48" authorId="0" shapeId="0" xr:uid="{65150318-4DFA-4B96-9B1A-7B5ED4286DFA}">
      <text>
        <r>
          <rPr>
            <b/>
            <sz val="9"/>
            <color indexed="81"/>
            <rFont val="Tahoma"/>
            <family val="2"/>
          </rPr>
          <t>Shui, Yaxin:</t>
        </r>
        <r>
          <rPr>
            <sz val="9"/>
            <color indexed="81"/>
            <rFont val="Tahoma"/>
            <family val="2"/>
          </rPr>
          <t xml:space="preserve">
PCR 14011738652 remove TRC enable (Kept in MTL-S, rejected in MTL-M)</t>
        </r>
      </text>
    </comment>
    <comment ref="H59" authorId="0" shapeId="0" xr:uid="{D02DE5E0-F7AB-4A64-8186-3AEF32B7221A}">
      <text>
        <r>
          <rPr>
            <b/>
            <sz val="9"/>
            <color indexed="81"/>
            <rFont val="Tahoma"/>
            <family val="2"/>
          </rPr>
          <t>Shui, Yaxin:</t>
        </r>
        <r>
          <rPr>
            <sz val="9"/>
            <color indexed="81"/>
            <rFont val="Tahoma"/>
            <family val="2"/>
          </rPr>
          <t xml:space="preserve">
Chaitu : need from FW team</t>
        </r>
      </text>
    </comment>
    <comment ref="H63" authorId="0" shapeId="0" xr:uid="{244641BA-07FC-48BF-8912-D2A9D676F8A1}">
      <text>
        <r>
          <rPr>
            <b/>
            <sz val="9"/>
            <color indexed="81"/>
            <rFont val="Tahoma"/>
            <family val="2"/>
          </rPr>
          <t>Shui, Yaxin:</t>
        </r>
        <r>
          <rPr>
            <sz val="9"/>
            <color indexed="81"/>
            <rFont val="Tahoma"/>
            <family val="2"/>
          </rPr>
          <t xml:space="preserve">
Chaitu: confirm with Kah Meng</t>
        </r>
      </text>
    </comment>
    <comment ref="H67" authorId="0" shapeId="0" xr:uid="{A178FC55-1D38-4AFC-81C9-D584EE0022C2}">
      <text>
        <r>
          <rPr>
            <b/>
            <sz val="9"/>
            <color indexed="81"/>
            <rFont val="Tahoma"/>
            <family val="2"/>
          </rPr>
          <t>Shui, Yaxin:</t>
        </r>
        <r>
          <rPr>
            <sz val="9"/>
            <color indexed="81"/>
            <rFont val="Tahoma"/>
            <family val="2"/>
          </rPr>
          <t xml:space="preserve">
Chaitu: correct but need to review with FW team</t>
        </r>
      </text>
    </comment>
    <comment ref="H70" authorId="0" shapeId="0" xr:uid="{BAD5CE28-926F-438F-9C5B-0F45DB904EB2}">
      <text>
        <r>
          <rPr>
            <b/>
            <sz val="9"/>
            <color indexed="81"/>
            <rFont val="Tahoma"/>
            <family val="2"/>
          </rPr>
          <t>Shui, Yaxin:</t>
        </r>
        <r>
          <rPr>
            <sz val="9"/>
            <color indexed="81"/>
            <rFont val="Tahoma"/>
            <family val="2"/>
          </rPr>
          <t xml:space="preserve">
if Triple redandency is disabled, this need be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J12" authorId="0" shapeId="0" xr:uid="{69E9AAB3-495C-4875-A99C-D0C3D3C9CCD0}">
      <text>
        <r>
          <rPr>
            <b/>
            <sz val="9"/>
            <color indexed="81"/>
            <rFont val="Tahoma"/>
            <family val="2"/>
          </rPr>
          <t>Shui, Yaxin:</t>
        </r>
        <r>
          <rPr>
            <sz val="9"/>
            <color indexed="81"/>
            <rFont val="Tahoma"/>
            <family val="2"/>
          </rPr>
          <t xml:space="preserve">
Description from Group0 page L3</t>
        </r>
      </text>
    </comment>
    <comment ref="N12" authorId="0" shapeId="0" xr:uid="{564285BC-3C5A-4E78-9553-55F2983E7F7F}">
      <text>
        <r>
          <rPr>
            <b/>
            <sz val="9"/>
            <color indexed="81"/>
            <rFont val="Tahoma"/>
            <charset val="1"/>
          </rPr>
          <t>Shui, Yaxin:</t>
        </r>
        <r>
          <rPr>
            <sz val="9"/>
            <color indexed="81"/>
            <rFont val="Tahoma"/>
            <charset val="1"/>
          </rPr>
          <t xml:space="preserve">
[YS] Use IFP_Bit_Lock_0,... instead</t>
        </r>
      </text>
    </comment>
    <comment ref="O12" authorId="0" shapeId="0" xr:uid="{F417E4D8-5AA2-4003-B6B7-B8DD0F09F4DA}">
      <text>
        <r>
          <rPr>
            <b/>
            <sz val="9"/>
            <color indexed="81"/>
            <rFont val="Tahoma"/>
            <charset val="1"/>
          </rPr>
          <t>Shui, Yaxin:</t>
        </r>
        <r>
          <rPr>
            <sz val="9"/>
            <color indexed="81"/>
            <rFont val="Tahoma"/>
            <charset val="1"/>
          </rPr>
          <t xml:space="preserve">
[YS] Use IFP_Bit_Lock_0,... instead</t>
        </r>
      </text>
    </comment>
    <comment ref="P12" authorId="0" shapeId="0" xr:uid="{0759A8DE-D1AE-4C4A-8E24-496869F4FCAC}">
      <text>
        <r>
          <rPr>
            <b/>
            <sz val="9"/>
            <color indexed="81"/>
            <rFont val="Tahoma"/>
            <charset val="1"/>
          </rPr>
          <t>Shui, Yaxin:</t>
        </r>
        <r>
          <rPr>
            <sz val="9"/>
            <color indexed="81"/>
            <rFont val="Tahoma"/>
            <charset val="1"/>
          </rPr>
          <t xml:space="preserve">
[YS] Use IFP_Bit_Lock_0,... instead</t>
        </r>
      </text>
    </comment>
    <comment ref="Q12" authorId="0" shapeId="0" xr:uid="{082616B8-8176-4F49-BE6E-253178859CE7}">
      <text>
        <r>
          <rPr>
            <b/>
            <sz val="9"/>
            <color indexed="81"/>
            <rFont val="Tahoma"/>
            <charset val="1"/>
          </rPr>
          <t>Shui, Yaxin:</t>
        </r>
        <r>
          <rPr>
            <sz val="9"/>
            <color indexed="81"/>
            <rFont val="Tahoma"/>
            <charset val="1"/>
          </rPr>
          <t xml:space="preserve">
[YS] Use IFP_Bit_Lock_0,... instead</t>
        </r>
      </text>
    </comment>
    <comment ref="N13" authorId="0" shapeId="0" xr:uid="{CEF4EF0B-0AAE-4F61-B341-D836E33E9457}">
      <text>
        <r>
          <rPr>
            <b/>
            <sz val="9"/>
            <color indexed="81"/>
            <rFont val="Tahoma"/>
            <family val="2"/>
          </rPr>
          <t>Shui, Yaxin:</t>
        </r>
        <r>
          <rPr>
            <sz val="9"/>
            <color indexed="81"/>
            <rFont val="Tahoma"/>
            <family val="2"/>
          </rPr>
          <t xml:space="preserve">
From ADP-s, what are the useage?
Check with Babi if we need to reserve 88bit for IFP Bit Lock as ADP-P </t>
        </r>
      </text>
    </comment>
    <comment ref="I23" authorId="0" shapeId="0" xr:uid="{0867E47F-3074-4DE4-978F-30BE50E65BC0}">
      <text>
        <r>
          <rPr>
            <b/>
            <sz val="9"/>
            <color indexed="81"/>
            <rFont val="Tahoma"/>
            <family val="2"/>
          </rPr>
          <t>Shui, Yaxin:</t>
        </r>
        <r>
          <rPr>
            <sz val="9"/>
            <color indexed="81"/>
            <rFont val="Tahoma"/>
            <family val="2"/>
          </rPr>
          <t xml:space="preserve">
It seems a typo in ADP-P RDL, 16'h000A</t>
        </r>
      </text>
    </comment>
    <comment ref="D25" authorId="0" shapeId="0" xr:uid="{49B9E5E9-064C-494D-8D5F-E8FFDF81B6B9}">
      <text>
        <r>
          <rPr>
            <b/>
            <sz val="9"/>
            <color indexed="81"/>
            <rFont val="Tahoma"/>
            <family val="2"/>
          </rPr>
          <t>Shui, Yaxin:</t>
        </r>
        <r>
          <rPr>
            <sz val="9"/>
            <color indexed="81"/>
            <rFont val="Tahoma"/>
            <family val="2"/>
          </rPr>
          <t xml:space="preserve">
There is 14011738652 to remove this config</t>
        </r>
      </text>
    </comment>
    <comment ref="J25" authorId="0" shapeId="0" xr:uid="{9AEFCCD9-A237-470B-ACCA-96DBD0AE5047}">
      <text>
        <r>
          <rPr>
            <b/>
            <sz val="9"/>
            <color indexed="81"/>
            <rFont val="Tahoma"/>
            <family val="2"/>
          </rPr>
          <t>Shui, Yaxin:</t>
        </r>
        <r>
          <rPr>
            <sz val="9"/>
            <color indexed="81"/>
            <rFont val="Tahoma"/>
            <family val="2"/>
          </rPr>
          <t xml:space="preserve">
Description from Group0 page L4</t>
        </r>
      </text>
    </comment>
    <comment ref="E26" authorId="0" shapeId="0" xr:uid="{DB5EB4A1-7719-477D-887D-C8DC55F0AC74}">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N26" authorId="0" shapeId="0" xr:uid="{558A507B-4392-4C13-A0EA-631A1E759E3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E27" authorId="0" shapeId="0" xr:uid="{E843E25B-23C0-4D5B-9CBC-2317D561C924}">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28" authorId="0" shapeId="0" xr:uid="{F374CECF-55F2-476C-BDAA-45B5D7E8F37C}">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N29" authorId="0" shapeId="0" xr:uid="{AACB2756-5D78-4764-9599-C2D9EE23940D}">
      <text>
        <r>
          <rPr>
            <b/>
            <sz val="9"/>
            <color indexed="81"/>
            <rFont val="Tahoma"/>
            <family val="2"/>
          </rPr>
          <t>Shui, Yaxin:</t>
        </r>
        <r>
          <rPr>
            <sz val="9"/>
            <color indexed="81"/>
            <rFont val="Tahoma"/>
            <family val="2"/>
          </rPr>
          <t xml:space="preserve">
PCR 
new fuse name, registername still keep same as previous projectt. Shall we keep same fuse name as previous ??? </t>
        </r>
      </text>
    </comment>
    <comment ref="E30" authorId="0" shapeId="0" xr:uid="{61FFA8A3-1640-476C-AA3E-F8B7DC939110}">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N30" authorId="0" shapeId="0" xr:uid="{1EF9F66C-C6E0-48FC-8BD2-B471D7DD744A}">
      <text>
        <r>
          <rPr>
            <b/>
            <sz val="9"/>
            <color indexed="81"/>
            <rFont val="Tahoma"/>
            <family val="2"/>
          </rPr>
          <t>Shui, Yaxin:</t>
        </r>
        <r>
          <rPr>
            <sz val="9"/>
            <color indexed="81"/>
            <rFont val="Tahoma"/>
            <family val="2"/>
          </rPr>
          <t xml:space="preserve">
yes or replace by GSK_TRC_DIS ?</t>
        </r>
      </text>
    </comment>
    <comment ref="E31" authorId="0" shapeId="0" xr:uid="{FE833DAA-C131-4535-B479-3BAE9DDCC51E}">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D32" authorId="0" shapeId="0" xr:uid="{FF6E5FF8-5890-4CE3-AB9E-B2C1AC693A52}">
      <text>
        <r>
          <rPr>
            <b/>
            <sz val="9"/>
            <color indexed="81"/>
            <rFont val="Tahoma"/>
            <family val="2"/>
          </rPr>
          <t>Shui, Yaxin:</t>
        </r>
        <r>
          <rPr>
            <sz val="9"/>
            <color indexed="81"/>
            <rFont val="Tahoma"/>
            <family val="2"/>
          </rPr>
          <t xml:space="preserve">
for IE</t>
        </r>
      </text>
    </comment>
    <comment ref="D34" authorId="0" shapeId="0" xr:uid="{DFB1089F-941F-4BE1-9BEB-158BC569CE6D}">
      <text>
        <r>
          <rPr>
            <b/>
            <sz val="9"/>
            <color indexed="81"/>
            <rFont val="Tahoma"/>
            <family val="2"/>
          </rPr>
          <t>Shui, Yaxin:</t>
        </r>
        <r>
          <rPr>
            <sz val="9"/>
            <color indexed="81"/>
            <rFont val="Tahoma"/>
            <family val="2"/>
          </rPr>
          <t xml:space="preserve">
ADP-S reserved IFP_Row_Lock_0-54
MTL-S reserve IFP_Row_Lock_0</t>
        </r>
      </text>
    </comment>
    <comment ref="N36" authorId="0" shapeId="0" xr:uid="{6B8C00B7-FCD0-4991-8460-AA74B1DED606}">
      <text>
        <r>
          <rPr>
            <b/>
            <sz val="9"/>
            <color indexed="81"/>
            <rFont val="Tahoma"/>
            <family val="2"/>
          </rPr>
          <t>Shui, Yaxin:</t>
        </r>
        <r>
          <rPr>
            <sz val="9"/>
            <color indexed="81"/>
            <rFont val="Tahoma"/>
            <family val="2"/>
          </rPr>
          <t xml:space="preserve">
From ADP-s, what are the useage?
Check with Babi if we need to reserve 88bit for IFP Bit Lock as ADP-P 
NO due to PARAM_INT_IFP_TRIPLE_RDD_DIS </t>
        </r>
      </text>
    </comment>
    <comment ref="E49" authorId="0" shapeId="0" xr:uid="{C7629512-A80E-4BFA-B37B-3CC8AE2AA25D}">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50" authorId="0" shapeId="0" xr:uid="{3EF49BFF-AD31-450E-9132-142AA9F33184}">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51" authorId="0" shapeId="0" xr:uid="{7D6687B5-6222-448F-BF20-3120514CDC5A}">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53" authorId="0" shapeId="0" xr:uid="{DD0A7067-16CC-4083-B6B5-D5091B53FF21}">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54" authorId="0" shapeId="0" xr:uid="{4FC626EC-F698-400E-B686-8F135851AB1D}">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N59" authorId="0" shapeId="0" xr:uid="{FBC7ECC8-0D2B-4218-85AE-2037BE483C9D}">
      <text>
        <r>
          <rPr>
            <b/>
            <sz val="9"/>
            <color indexed="81"/>
            <rFont val="Tahoma"/>
            <family val="2"/>
          </rPr>
          <t>Shui, Yaxin:</t>
        </r>
        <r>
          <rPr>
            <sz val="9"/>
            <color indexed="81"/>
            <rFont val="Tahoma"/>
            <family val="2"/>
          </rPr>
          <t xml:space="preserve">
From ADP-s, what are the useage?
Check with Babi if we need to reserve 88bit for IFP Bit Lock as ADP-P </t>
        </r>
      </text>
    </comment>
    <comment ref="E72" authorId="0" shapeId="0" xr:uid="{3C3A3434-B68D-4F1E-BB8D-50747AC27048}">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73" authorId="0" shapeId="0" xr:uid="{EDC12338-D813-4B27-A999-5BC9FDD4A604}">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E74" authorId="0" shapeId="0" xr:uid="{D76165CB-56EF-405B-A6E9-FB5E061B3EBE}">
      <text>
        <r>
          <rPr>
            <b/>
            <sz val="9"/>
            <color indexed="81"/>
            <rFont val="Tahoma"/>
            <charset val="1"/>
          </rPr>
          <t>Shui, Yaxin:</t>
        </r>
        <r>
          <rPr>
            <sz val="9"/>
            <color indexed="81"/>
            <rFont val="Tahoma"/>
            <charset val="1"/>
          </rPr>
          <t xml:space="preserve">
The fuse bit is from MTL-M Fuse Kaigen, but not in Group0 Page. No parameterdefined for this bit. But TRC_PRESENT cant be used. No new parameter required</t>
        </r>
      </text>
    </comment>
    <comment ref="P81" authorId="0" shapeId="0" xr:uid="{F7940884-9429-4238-A7BA-663A109C3E5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85" authorId="0" shapeId="0" xr:uid="{AC414B92-F3D6-46A6-9E13-229AA2FD2F17}">
      <text>
        <r>
          <rPr>
            <b/>
            <sz val="9"/>
            <color indexed="81"/>
            <rFont val="Tahoma"/>
            <family val="2"/>
          </rPr>
          <t>Shui, Yaxin:</t>
        </r>
        <r>
          <rPr>
            <sz val="9"/>
            <color indexed="81"/>
            <rFont val="Tahoma"/>
            <family val="2"/>
          </rPr>
          <t xml:space="preserve">
CONFIG_OCS_DISABLE_GKEY2 ??</t>
        </r>
      </text>
    </comment>
    <comment ref="P85" authorId="0" shapeId="0" xr:uid="{56B8C914-EB34-4EEC-8469-8445753EEAFD}">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98" authorId="1" shapeId="0" xr:uid="{67E9D13B-0140-497F-9DBD-CE30E5A9EE22}">
      <text>
        <r>
          <rPr>
            <b/>
            <sz val="9"/>
            <color indexed="81"/>
            <rFont val="Tahoma"/>
            <family val="2"/>
          </rPr>
          <t>Kakeda, Masahide:</t>
        </r>
        <r>
          <rPr>
            <sz val="9"/>
            <color indexed="81"/>
            <rFont val="Tahoma"/>
            <family val="2"/>
          </rPr>
          <t xml:space="preserve">
SAMSUNG_PUF_CONFIG_EN and IFWI_LAYOUT_1_5_EN are
mutualy exclusive </t>
        </r>
      </text>
    </comment>
    <comment ref="E99" authorId="1" shapeId="0" xr:uid="{0FE36B6F-528A-42DE-9609-54DC65490721}">
      <text>
        <r>
          <rPr>
            <b/>
            <sz val="9"/>
            <color indexed="81"/>
            <rFont val="Tahoma"/>
            <family val="2"/>
          </rPr>
          <t>Kakeda, Masahide:</t>
        </r>
        <r>
          <rPr>
            <sz val="9"/>
            <color indexed="81"/>
            <rFont val="Tahoma"/>
            <family val="2"/>
          </rPr>
          <t xml:space="preserve">
SAMSUNG_PUF_CONFIG_EN and IFWI_LAYOUT_1_5_EN are
mutualy exclusive </t>
        </r>
      </text>
    </comment>
    <comment ref="E100" authorId="1" shapeId="0" xr:uid="{AEE294DE-347E-424A-B282-3BF04AD190B4}">
      <text>
        <r>
          <rPr>
            <b/>
            <sz val="9"/>
            <color indexed="81"/>
            <rFont val="Tahoma"/>
            <family val="2"/>
          </rPr>
          <t>Kakeda, Masahide:</t>
        </r>
        <r>
          <rPr>
            <sz val="9"/>
            <color indexed="81"/>
            <rFont val="Tahoma"/>
            <family val="2"/>
          </rPr>
          <t xml:space="preserve">
SAMSUNG_PUF_CONFIG_EN and IFWI_LAYOUT_1_5_EN are
mutualy exclusive </t>
        </r>
      </text>
    </comment>
    <comment ref="E101" authorId="1" shapeId="0" xr:uid="{6B6009F5-A7FC-40A8-B8D8-97827C2D91E9}">
      <text>
        <r>
          <rPr>
            <b/>
            <sz val="9"/>
            <color indexed="81"/>
            <rFont val="Tahoma"/>
            <family val="2"/>
          </rPr>
          <t>Kakeda, Masahide:</t>
        </r>
        <r>
          <rPr>
            <sz val="9"/>
            <color indexed="81"/>
            <rFont val="Tahoma"/>
            <family val="2"/>
          </rPr>
          <t xml:space="preserve">
SAMSUNG_PUF_CONFIG_EN and IFWI_LAYOUT_1_5_EN are
mutualy exclusive </t>
        </r>
      </text>
    </comment>
    <comment ref="E102" authorId="1" shapeId="0" xr:uid="{2A685E74-1E92-49C6-BD55-2B90045D3DF5}">
      <text>
        <r>
          <rPr>
            <b/>
            <sz val="9"/>
            <color indexed="81"/>
            <rFont val="Tahoma"/>
            <family val="2"/>
          </rPr>
          <t>Kakeda, Masahide:</t>
        </r>
        <r>
          <rPr>
            <sz val="9"/>
            <color indexed="81"/>
            <rFont val="Tahoma"/>
            <family val="2"/>
          </rPr>
          <t xml:space="preserve">
SAMSUNG_PUF_CONFIG_EN and IFWI_LAYOUT_1_5_EN are
mutualy exclusive </t>
        </r>
      </text>
    </comment>
    <comment ref="E107" authorId="1" shapeId="0" xr:uid="{F306FBE2-4B5B-4EED-8422-C2A97961AF5A}">
      <text>
        <r>
          <rPr>
            <b/>
            <sz val="9"/>
            <color indexed="81"/>
            <rFont val="Tahoma"/>
            <family val="2"/>
          </rPr>
          <t>Kakeda, Masahide:</t>
        </r>
        <r>
          <rPr>
            <sz val="9"/>
            <color indexed="81"/>
            <rFont val="Tahoma"/>
            <family val="2"/>
          </rPr>
          <t xml:space="preserve">
SAMSUNG_PUF_CONFIG_EN and IFWI_LAYOUT_1_5_EN are
mutualy exclusive </t>
        </r>
      </text>
    </comment>
    <comment ref="E109" authorId="1" shapeId="0" xr:uid="{97B0024B-256F-49C1-9582-66C258AD2647}">
      <text>
        <r>
          <rPr>
            <b/>
            <sz val="9"/>
            <color indexed="81"/>
            <rFont val="Tahoma"/>
            <family val="2"/>
          </rPr>
          <t>Kakeda, Masahide:</t>
        </r>
        <r>
          <rPr>
            <sz val="9"/>
            <color indexed="81"/>
            <rFont val="Tahoma"/>
            <family val="2"/>
          </rPr>
          <t xml:space="preserve">
used in EBG</t>
        </r>
      </text>
    </comment>
    <comment ref="E135" authorId="1" shapeId="0" xr:uid="{4642A1C5-C8C0-4C0A-AF35-7B1678D0947E}">
      <text>
        <r>
          <rPr>
            <b/>
            <sz val="9"/>
            <color indexed="81"/>
            <rFont val="Tahoma"/>
            <family val="2"/>
          </rPr>
          <t>Kakeda, Masahide:</t>
        </r>
        <r>
          <rPr>
            <sz val="9"/>
            <color indexed="81"/>
            <rFont val="Tahoma"/>
            <family val="2"/>
          </rPr>
          <t xml:space="preserve">
(1 &lt;&lt; x ) - 1
</t>
        </r>
      </text>
    </comment>
    <comment ref="D145" authorId="0" shapeId="0" xr:uid="{CED80F74-BA29-44A4-A934-962F34855DAC}">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46" authorId="0" shapeId="0" xr:uid="{3A4FD8AC-AA5C-4BB7-BDD1-8303C896FAC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47" authorId="0" shapeId="0" xr:uid="{42ED2D47-AEEE-40D5-BBCC-EAD97BEBD197}">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154" authorId="1" shapeId="0" xr:uid="{B1066487-AB2F-48F5-9762-44884C5D1D9E}">
      <text>
        <r>
          <rPr>
            <b/>
            <sz val="9"/>
            <color indexed="81"/>
            <rFont val="Tahoma"/>
            <family val="2"/>
          </rPr>
          <t>Kakeda, Masahide:</t>
        </r>
        <r>
          <rPr>
            <sz val="9"/>
            <color indexed="81"/>
            <rFont val="Tahoma"/>
            <family val="2"/>
          </rPr>
          <t xml:space="preserve">
For SPS FW</t>
        </r>
      </text>
    </comment>
    <comment ref="D161" authorId="1" shapeId="0" xr:uid="{58D8E9D7-FCCB-4496-8478-74CF14954DE3}">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63" authorId="1" shapeId="0" xr:uid="{60CD2655-CBA5-48C1-990D-F2F49CADF4E0}">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64" authorId="0" shapeId="0" xr:uid="{18EC0162-B4DF-4CA7-8B68-F76E284ADA59}">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66" authorId="1" shapeId="0" xr:uid="{480A8C23-E9BA-467A-9E8F-7001547A4D5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I204" authorId="0" shapeId="0" xr:uid="{5B8738A3-3B81-4179-BF1B-ECE7C23E6569}">
      <text>
        <r>
          <rPr>
            <b/>
            <sz val="9"/>
            <color indexed="81"/>
            <rFont val="Tahoma"/>
            <family val="2"/>
          </rPr>
          <t>Shui, Yaxin:</t>
        </r>
        <r>
          <rPr>
            <sz val="9"/>
            <color indexed="81"/>
            <rFont val="Tahoma"/>
            <family val="2"/>
          </rPr>
          <t xml:space="preserve">
same fuse bit, different fuse address starting from MTL-M 
ADP-S 16'h6068
MTL-M 16'h6040</t>
        </r>
      </text>
    </comment>
    <comment ref="I205" authorId="0" shapeId="0" xr:uid="{6C0608E9-03CE-456C-9A12-A273BD021102}">
      <text>
        <r>
          <rPr>
            <b/>
            <sz val="9"/>
            <color indexed="81"/>
            <rFont val="Tahoma"/>
            <family val="2"/>
          </rPr>
          <t>Shui, Yaxin:</t>
        </r>
        <r>
          <rPr>
            <sz val="9"/>
            <color indexed="81"/>
            <rFont val="Tahoma"/>
            <family val="2"/>
          </rPr>
          <t xml:space="preserve">
same fuse bit, different fuse address starting from MTL-M 
ADP-S 16'h6070
MTL-M 16'h6044</t>
        </r>
      </text>
    </comment>
    <comment ref="P206" authorId="0" shapeId="0" xr:uid="{61FCC22D-1D0B-47C1-9D0B-17DC1188B068}">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239" authorId="0" shapeId="0" xr:uid="{75CE8E8D-EB4C-4119-A95E-E71A08F5DC1F}">
      <text>
        <r>
          <rPr>
            <b/>
            <sz val="9"/>
            <color indexed="81"/>
            <rFont val="Tahoma"/>
            <family val="2"/>
          </rPr>
          <t>Shui, Yaxin:</t>
        </r>
        <r>
          <rPr>
            <sz val="9"/>
            <color indexed="81"/>
            <rFont val="Tahoma"/>
            <family val="2"/>
          </rPr>
          <t xml:space="preserve">
PCR #: 14011013671
[CSME] RS2 DMA support from CSME to ESE</t>
        </r>
      </text>
    </comment>
    <comment ref="N246" authorId="0" shapeId="0" xr:uid="{09DEF4F1-F168-4631-869A-39914C47C2A6}">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<sst xmlns="http://schemas.openxmlformats.org/spreadsheetml/2006/main" count="7775" uniqueCount="1594">
  <si>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</si>
  <si>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</si>
  <si>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</si>
  <si>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</si>
  <si>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</si>
  <si>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</si>
  <si>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</si>
  <si>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</si>
  <si>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</si>
  <si>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</si>
  <si>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</si>
  <si>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</si>
  <si>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</si>
  <si>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</si>
  <si>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</si>
  <si>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</si>
  <si>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</si>
  <si>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</si>
  <si>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</si>
  <si>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</si>
  <si>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</si>
  <si>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</si>
  <si>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</si>
  <si>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</si>
  <si>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</si>
  <si>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</si>
  <si>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</si>
  <si>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</si>
  <si>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</si>
  <si>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</si>
  <si>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</si>
  <si>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</si>
  <si>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</si>
  <si>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</si>
  <si>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</si>
  <si>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</si>
  <si>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</si>
  <si>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</si>
  <si>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</si>
  <si>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</si>
  <si>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</si>
  <si>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</si>
  <si>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</si>
  <si>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</si>
  <si>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</si>
  <si>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</si>
  <si>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</si>
  <si>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</si>
  <si>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</si>
  <si>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</si>
  <si>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</si>
  <si>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</si>
  <si>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</si>
  <si>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</si>
  <si>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</si>
  <si>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</si>
  <si>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</si>
  <si>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</si>
  <si>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</si>
  <si>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</si>
  <si>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</si>
  <si>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</si>
  <si>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</si>
  <si>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</si>
  <si>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</si>
  <si>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</si>
  <si>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</si>
  <si>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</si>
  <si>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</si>
  <si>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</si>
  <si>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</si>
  <si>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</si>
  <si>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</si>
  <si>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</si>
  <si>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</si>
  <si>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</si>
  <si>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</si>
  <si>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</si>
  <si>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</si>
  <si>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</si>
  <si>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</si>
  <si>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</si>
  <si>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</si>
  <si>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</si>
  <si>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</si>
  <si>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</si>
  <si>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</si>
  <si>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</si>
  <si>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</si>
  <si>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</si>
  <si>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</si>
  <si>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</si>
  <si>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</si>
  <si>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</si>
  <si>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</si>
  <si>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</si>
  <si>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</si>
  <si>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</si>
  <si>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</si>
  <si>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</si>
  <si>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</si>
  <si>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</si>
  <si>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</si>
  <si>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</si>
  <si>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</si>
  <si>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</si>
  <si>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</si>
  <si>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</si>
  <si>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</si>
  <si>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</si>
  <si>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</si>
  <si>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</si>
  <si>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</si>
  <si>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</si>
  <si>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</si>
  <si>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</si>
  <si>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</si>
  <si>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</si>
  <si>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</si>
  <si>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</si>
  <si>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</si>
  <si>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</si>
  <si>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</si>
  <si>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</si>
  <si>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</si>
  <si>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</si>
  <si>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</si>
  <si>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</si>
  <si>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</si>
  <si>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</si>
  <si>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</si>
  <si>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</si>
  <si>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</si>
  <si>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</si>
  <si>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</si>
  <si>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</si>
  <si>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</si>
  <si>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</si>
  <si>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</si>
  <si>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</si>
  <si>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</si>
  <si>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</si>
  <si>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</si>
  <si>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</si>
  <si>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</si>
  <si>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</si>
  <si>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</si>
  <si>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</si>
  <si>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</si>
  <si>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</si>
  <si>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</si>
  <si>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</si>
  <si>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</si>
  <si>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</si>
  <si>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</si>
  <si>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</si>
  <si>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</si>
  <si>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</si>
  <si>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</si>
  <si>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</si>
  <si>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</si>
  <si>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</si>
  <si>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</si>
  <si>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</si>
  <si>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</si>
  <si>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</si>
  <si>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</si>
  <si>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</si>
  <si>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</si>
  <si>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</si>
  <si>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</si>
  <si>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</si>
  <si>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</si>
  <si>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</si>
  <si>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</si>
  <si>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</si>
  <si>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</si>
  <si>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</si>
  <si>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</si>
  <si>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</si>
  <si>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</si>
  <si>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</si>
  <si>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</si>
  <si>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</si>
  <si>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</si>
  <si>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</si>
  <si>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</si>
  <si>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</si>
  <si>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</si>
  <si>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</si>
  <si>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</si>
  <si>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</si>
  <si>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</si>
  <si>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</si>
  <si>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</si>
  <si>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</si>
  <si>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</si>
  <si>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</si>
  <si>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</si>
  <si>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</si>
  <si>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</si>
  <si>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</si>
  <si>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</si>
  <si>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</si>
  <si>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</si>
  <si>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</si>
  <si>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</si>
  <si>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</si>
  <si>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</si>
  <si>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</si>
  <si>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</si>
  <si>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</si>
  <si>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</si>
  <si>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</si>
  <si>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</si>
  <si>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</si>
  <si>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</si>
  <si>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</si>
  <si>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</si>
  <si>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</si>
  <si>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</si>
  <si>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</si>
  <si>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</si>
  <si>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</si>
  <si>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</si>
  <si>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</si>
  <si>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</si>
  <si>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</si>
  <si>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</si>
  <si>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</si>
  <si>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</si>
  <si>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</si>
  <si>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</si>
  <si>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</si>
  <si>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</si>
  <si>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</si>
  <si>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</si>
  <si>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</si>
  <si>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</si>
  <si>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</si>
  <si>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</si>
  <si>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</si>
  <si>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</si>
  <si>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</si>
  <si>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</si>
  <si>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</si>
  <si>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</si>
  <si>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</si>
  <si>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</si>
  <si>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</si>
  <si>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</si>
  <si>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</si>
  <si>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</si>
  <si>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</si>
  <si>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</si>
  <si>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</si>
  <si>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</si>
  <si>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</si>
  <si>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</si>
  <si>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</si>
  <si>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</si>
  <si>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</si>
  <si>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</si>
  <si>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</si>
  <si>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</si>
  <si>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</si>
  <si>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</si>
  <si>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</si>
  <si>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</si>
  <si>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</si>
  <si>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</si>
  <si>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</si>
  <si>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</si>
  <si>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</si>
  <si>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</si>
  <si>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</si>
  <si>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</si>
  <si>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</si>
  <si>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</si>
  <si>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</si>
  <si>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</si>
  <si>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</si>
  <si>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</si>
  <si>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</si>
  <si>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</si>
  <si>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</si>
  <si>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</si>
  <si>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</si>
  <si>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</si>
  <si>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</si>
  <si>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</si>
  <si>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</si>
  <si>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</si>
  <si>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</si>
  <si>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</si>
  <si>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</si>
  <si>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</si>
  <si>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</si>
  <si>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</si>
  <si>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</si>
  <si>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</si>
  <si>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</si>
  <si>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</si>
  <si>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</si>
  <si>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</si>
  <si>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</si>
  <si>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</si>
  <si>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</si>
  <si>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</si>
  <si>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</si>
  <si>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</si>
  <si>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</si>
  <si>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</si>
  <si>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</si>
  <si>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</si>
  <si>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</si>
  <si>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</si>
  <si>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</si>
  <si>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</si>
  <si>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</si>
  <si>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</si>
  <si>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</si>
  <si>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</si>
  <si>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</si>
  <si>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</si>
  <si>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</si>
  <si>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</si>
  <si>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</si>
  <si>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</si>
  <si>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</si>
  <si>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</si>
  <si>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</si>
  <si>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</si>
  <si>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</si>
  <si>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</si>
  <si>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</si>
  <si>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</si>
  <si>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</si>
  <si>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</si>
  <si>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</si>
  <si>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</si>
  <si>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</si>
  <si>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</si>
  <si>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</si>
  <si>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</si>
  <si>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</si>
  <si>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</si>
  <si>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</si>
  <si>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</si>
  <si>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</si>
  <si>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</si>
  <si>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</si>
  <si>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</si>
  <si>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</si>
  <si>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</si>
  <si>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</si>
  <si>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</si>
  <si>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</si>
  <si>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</si>
  <si>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</si>
  <si>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</si>
  <si>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</si>
  <si>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</si>
  <si>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</si>
  <si>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</si>
  <si>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</si>
  <si>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</si>
  <si>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</si>
  <si>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</si>
  <si>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</si>
  <si>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</si>
  <si>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</si>
  <si>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</si>
  <si>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</si>
  <si>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</si>
  <si>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</si>
  <si>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</si>
  <si>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</si>
  <si>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</si>
  <si>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</si>
  <si>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</si>
  <si>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</si>
  <si>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</si>
  <si>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</si>
  <si>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</si>
  <si>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</si>
  <si>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</si>
  <si>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</si>
  <si>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</si>
  <si>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</si>
  <si>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</si>
  <si>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</si>
  <si>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</si>
  <si>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</si>
  <si>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</si>
  <si>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</si>
  <si>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</si>
  <si>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</si>
  <si>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</si>
  <si>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</si>
  <si>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</si>
  <si>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</si>
  <si>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</si>
  <si>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</si>
  <si>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</si>
  <si>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</si>
  <si>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</si>
  <si>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</si>
  <si>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</si>
  <si>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</si>
  <si>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</si>
  <si>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</si>
  <si>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</si>
  <si>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</si>
  <si>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</si>
  <si>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</si>
  <si>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</si>
  <si>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</si>
  <si>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</si>
  <si>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</si>
  <si>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</si>
  <si>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</si>
  <si>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</si>
  <si>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</si>
  <si>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</si>
  <si>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</si>
  <si>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</si>
  <si>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</si>
  <si>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</si>
  <si>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</si>
  <si>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</si>
  <si>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</si>
  <si>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</si>
  <si>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</si>
  <si>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</si>
  <si>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</si>
  <si>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</si>
  <si>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</si>
  <si>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</si>
  <si>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</si>
  <si>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</si>
  <si>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</si>
  <si>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</si>
  <si>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</si>
  <si>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</si>
  <si>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</si>
  <si>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</si>
  <si>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</si>
  <si>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</si>
  <si>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</si>
  <si>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</si>
  <si>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</si>
  <si>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</si>
  <si>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</si>
  <si>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</si>
  <si>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</si>
  <si>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</si>
  <si>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</si>
  <si>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</si>
  <si>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</si>
  <si>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</si>
  <si>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</si>
  <si>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</si>
  <si>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</si>
  <si>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</si>
  <si>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</si>
  <si>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</si>
  <si>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</si>
  <si>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</si>
  <si>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</si>
  <si>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</si>
  <si>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</si>
  <si>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</si>
  <si>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</si>
  <si>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</si>
  <si>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</si>
  <si>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</si>
  <si>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</si>
  <si>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</si>
  <si>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</si>
  <si>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</si>
  <si>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</si>
  <si>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</si>
  <si>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</si>
  <si>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</si>
  <si>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</si>
  <si>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</si>
  <si>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</si>
  <si>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</si>
  <si>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</si>
  <si>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</si>
  <si>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</si>
  <si>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</si>
  <si>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</si>
  <si>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</si>
  <si>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</si>
  <si>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</si>
  <si>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</si>
  <si>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</si>
  <si>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</si>
  <si>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</si>
  <si>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</si>
  <si>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</si>
  <si>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</si>
  <si>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</si>
  <si>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</si>
  <si>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</si>
  <si>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</si>
  <si>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</si>
  <si>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</si>
  <si>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</si>
  <si>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</si>
  <si>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</si>
  <si>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</si>
  <si>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</si>
  <si>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</si>
  <si>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</si>
  <si>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</si>
  <si>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</si>
  <si>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</si>
  <si>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</si>
  <si>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</si>
  <si>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</si>
  <si>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</si>
  <si>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</si>
  <si>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</si>
  <si>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</si>
  <si>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</si>
  <si>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</si>
  <si>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</si>
  <si>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</si>
  <si>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</si>
  <si>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</si>
  <si>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</si>
  <si>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</si>
  <si>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</si>
  <si>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</si>
  <si>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</si>
  <si>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</si>
  <si>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</si>
  <si>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</si>
  <si>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</si>
  <si>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</si>
  <si>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</si>
  <si>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</si>
  <si>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</si>
  <si>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</si>
  <si>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</si>
  <si>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</si>
  <si>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</si>
  <si>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</si>
  <si>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</si>
  <si>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</si>
  <si>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</si>
  <si>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</si>
  <si>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</si>
  <si>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</si>
  <si>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</si>
  <si>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</si>
  <si>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</si>
  <si>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</si>
  <si>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</si>
  <si>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</si>
  <si>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</si>
  <si>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</si>
  <si>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</si>
  <si>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</si>
  <si>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</si>
  <si>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</si>
  <si>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</si>
  <si>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</si>
  <si>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</si>
  <si>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</si>
  <si>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</si>
  <si>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</si>
  <si>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</si>
  <si>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</si>
  <si>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</si>
  <si>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</si>
  <si>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</si>
  <si>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</si>
  <si>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</si>
  <si>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</si>
  <si>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</si>
  <si>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</si>
  <si>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</si>
  <si>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</si>
  <si>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</si>
  <si>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</si>
  <si>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</si>
  <si>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</si>
  <si>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</si>
  <si>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</si>
  <si>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</si>
  <si>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</si>
  <si>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</si>
  <si>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</si>
  <si>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</si>
  <si>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</si>
  <si>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</si>
  <si>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</si>
  <si>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</si>
  <si>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</si>
  <si>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</si>
  <si>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</si>
  <si>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</si>
  <si>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</si>
  <si>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</si>
  <si>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</si>
  <si>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</si>
  <si>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</si>
  <si>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</si>
  <si>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</si>
  <si>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</si>
  <si>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</si>
  <si>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</si>
  <si>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</si>
  <si>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</si>
  <si>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</si>
  <si>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</si>
  <si>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</si>
  <si>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</si>
  <si>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</si>
  <si>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</si>
  <si>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</si>
  <si>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</si>
  <si>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</si>
  <si>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</si>
  <si>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</si>
  <si>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</si>
  <si>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</si>
  <si>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</si>
  <si>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</si>
  <si>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</si>
  <si>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</si>
  <si>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</si>
  <si>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</si>
  <si>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</si>
  <si>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</si>
  <si>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</si>
  <si>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</si>
  <si>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</si>
  <si>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</si>
  <si>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</si>
  <si>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</si>
  <si>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</si>
  <si>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</si>
  <si>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</si>
  <si>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</si>
  <si>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</si>
  <si>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</si>
  <si>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</si>
  <si>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</si>
  <si>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</si>
  <si>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</si>
  <si>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</si>
  <si>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</si>
  <si>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</si>
  <si>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</si>
  <si>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</si>
  <si>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</si>
  <si>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</si>
  <si>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</si>
  <si>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</si>
  <si>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</si>
  <si>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</si>
  <si>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</si>
  <si>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</si>
  <si>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</si>
  <si>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</si>
  <si>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</si>
  <si>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</si>
  <si>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</si>
  <si>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</si>
  <si>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</si>
  <si>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</si>
  <si>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</si>
  <si>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</si>
  <si>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</si>
  <si>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</si>
  <si>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</si>
  <si>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</si>
  <si>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</si>
  <si>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</si>
  <si>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</si>
  <si>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</si>
  <si>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</si>
  <si>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</si>
  <si>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</si>
  <si>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</si>
  <si>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</si>
  <si>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</si>
  <si>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</si>
  <si>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</si>
  <si>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</si>
  <si>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</si>
  <si>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</si>
  <si>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</si>
  <si>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</si>
  <si>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</si>
  <si>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</si>
  <si>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</si>
  <si>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</si>
  <si>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</si>
  <si>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</si>
  <si>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</si>
  <si>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</si>
  <si>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</si>
  <si>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</si>
  <si>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</si>
  <si>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</si>
  <si>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</si>
  <si>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</si>
  <si>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</si>
  <si>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</si>
  <si>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</si>
  <si>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</si>
  <si>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</si>
  <si>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</si>
  <si>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</si>
  <si>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</si>
  <si>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</si>
  <si>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</si>
  <si>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</si>
  <si>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</si>
  <si>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</si>
  <si>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</si>
  <si>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</si>
  <si>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</si>
  <si>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</si>
  <si>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</si>
  <si>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</si>
  <si>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</si>
  <si>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</si>
  <si>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</si>
  <si>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</si>
  <si>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</si>
  <si>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</si>
  <si>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</si>
  <si>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</si>
  <si>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</si>
  <si>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</si>
  <si>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</si>
  <si>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</si>
  <si>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</si>
  <si>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</si>
  <si>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</si>
  <si>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</si>
  <si>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</si>
  <si>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</si>
  <si>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</si>
  <si>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</si>
  <si>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</si>
  <si>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</si>
  <si>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</si>
  <si>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</si>
  <si>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</si>
  <si>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</si>
  <si>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</si>
  <si>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</si>
  <si>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</si>
  <si>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</si>
  <si>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</si>
  <si>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</si>
  <si>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</si>
  <si>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</si>
  <si>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</si>
  <si>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</si>
  <si>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</si>
  <si>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</si>
  <si>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</si>
  <si>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</si>
  <si>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</si>
  <si>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</si>
  <si>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</si>
  <si>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</si>
  <si>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</si>
  <si>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</si>
  <si>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</si>
  <si>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</si>
  <si>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</si>
  <si>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</si>
  <si>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</si>
  <si>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</si>
  <si>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</si>
  <si>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</si>
  <si>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</si>
  <si>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</si>
  <si>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</si>
  <si>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</si>
  <si>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</si>
  <si>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</si>
  <si>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</si>
  <si>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</si>
  <si>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</si>
  <si>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</si>
  <si>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</si>
  <si>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</si>
  <si>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</si>
  <si>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</si>
  <si>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</si>
  <si>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</si>
  <si>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</si>
  <si>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</si>
  <si>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</si>
  <si>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</si>
  <si>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</si>
  <si>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</si>
  <si>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</si>
  <si>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</si>
  <si>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</si>
  <si>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</si>
  <si>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</si>
  <si>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</si>
  <si>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</si>
  <si>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</si>
  <si>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</si>
  <si>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</si>
  <si>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</si>
  <si>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</si>
  <si>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</si>
  <si>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</si>
  <si>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</si>
  <si>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</si>
  <si>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</si>
  <si>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</si>
  <si>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</si>
  <si>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</si>
  <si>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</si>
  <si>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</si>
  <si>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</si>
  <si>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</si>
  <si>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</si>
  <si>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</si>
  <si>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</si>
  <si>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</si>
  <si>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</si>
  <si>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</si>
  <si>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</si>
  <si>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</si>
  <si>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</si>
  <si>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</si>
  <si>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</si>
  <si>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</si>
  <si>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</si>
  <si>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</si>
  <si>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</si>
  <si>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</si>
  <si>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</si>
  <si>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</si>
  <si>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</si>
  <si>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</si>
  <si>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</si>
  <si>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</si>
  <si>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</si>
  <si>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</si>
  <si>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</si>
  <si>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</si>
  <si>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</si>
  <si>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</si>
  <si>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</si>
  <si>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</si>
  <si>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</si>
  <si>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</si>
  <si>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</si>
  <si>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</si>
  <si>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</si>
  <si>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</si>
  <si>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</si>
  <si>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</si>
  <si>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</si>
  <si>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</si>
  <si>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</si>
  <si>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</si>
  <si>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</si>
  <si>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</si>
  <si>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</si>
  <si>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</si>
  <si>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</si>
  <si>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</si>
  <si>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</si>
  <si>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</si>
  <si>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</si>
  <si>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</si>
  <si>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</si>
  <si>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</si>
  <si>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</si>
  <si>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</si>
  <si>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</si>
  <si>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</si>
  <si>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</si>
  <si>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</si>
  <si>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</si>
  <si>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</si>
  <si>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</si>
  <si>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</si>
  <si>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</si>
  <si>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</si>
  <si>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</si>
  <si>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</si>
  <si>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</si>
  <si>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</si>
  <si>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</si>
  <si>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</si>
  <si>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</si>
  <si>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</si>
  <si>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</si>
  <si>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</si>
  <si>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</si>
  <si>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</si>
  <si>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</si>
  <si>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</si>
  <si>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</si>
  <si>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</si>
  <si>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</si>
  <si>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</si>
  <si>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</si>
  <si>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</si>
  <si>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</si>
  <si>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</si>
  <si>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</si>
  <si>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</si>
  <si>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</si>
  <si>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</si>
  <si>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</si>
  <si>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</si>
  <si>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</si>
  <si>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</si>
  <si>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</si>
  <si>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</si>
  <si>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</si>
  <si>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</si>
  <si>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</si>
  <si>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</si>
  <si>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</si>
  <si>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</si>
  <si>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</si>
  <si>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</si>
  <si>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</si>
  <si>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</si>
  <si>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</si>
  <si>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</si>
  <si>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</si>
  <si>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</si>
  <si>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</si>
  <si>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</si>
  <si>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</si>
  <si>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</si>
  <si>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</si>
  <si>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</si>
  <si>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</si>
  <si>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</si>
  <si>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</si>
  <si>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</si>
  <si>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</si>
  <si>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</si>
  <si>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</si>
  <si>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</si>
  <si>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</si>
  <si>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</si>
  <si>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</si>
  <si>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</si>
  <si>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</si>
  <si>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</si>
  <si>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</si>
  <si>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</si>
  <si>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</si>
  <si>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</si>
  <si>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</si>
  <si>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</si>
  <si>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</si>
  <si>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</si>
  <si>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</si>
  <si>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</si>
  <si>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</si>
  <si>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</si>
  <si>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</si>
  <si>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</si>
  <si>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</si>
  <si>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</si>
  <si>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</si>
  <si>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</si>
  <si>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</si>
  <si>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</si>
  <si>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</si>
  <si>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</si>
  <si>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</si>
  <si>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</si>
  <si>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</si>
  <si>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</si>
  <si>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</si>
  <si>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</si>
  <si>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</si>
  <si>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</si>
  <si>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</si>
  <si>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</si>
  <si>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</si>
  <si>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</si>
  <si>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</si>
  <si>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</si>
  <si>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</si>
  <si>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</si>
  <si>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</si>
  <si>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</si>
  <si>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</si>
  <si>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</si>
  <si>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</si>
  <si>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</si>
  <si>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</si>
  <si>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</si>
  <si>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</si>
  <si>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</si>
  <si>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</si>
  <si>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</si>
  <si>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</si>
  <si>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</si>
  <si>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</si>
  <si>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</si>
  <si>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</si>
  <si>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</si>
  <si>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</si>
  <si>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</si>
  <si>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</si>
  <si>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</si>
  <si>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</si>
  <si>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</si>
  <si>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</si>
  <si>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</si>
  <si>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</si>
  <si>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</si>
  <si>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</si>
  <si>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</si>
  <si>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</si>
  <si>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</si>
  <si>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</si>
  <si>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</si>
  <si>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</si>
  <si>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</si>
  <si>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</si>
  <si>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</si>
  <si>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</si>
  <si>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</si>
  <si>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</si>
  <si>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</si>
  <si>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</si>
  <si>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</si>
  <si>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</si>
  <si>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</si>
  <si>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</si>
  <si>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</si>
  <si>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</si>
  <si>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</si>
  <si>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</si>
  <si>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</si>
  <si>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</si>
  <si>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</si>
  <si>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</si>
  <si>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</si>
  <si>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</si>
  <si>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</si>
  <si>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</si>
  <si>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</si>
  <si>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</si>
  <si>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</si>
  <si>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</si>
  <si>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</si>
  <si>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</si>
  <si>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</si>
  <si>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</si>
  <si>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</si>
  <si>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</si>
  <si>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</si>
  <si>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</si>
  <si>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</si>
  <si>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</si>
  <si>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</si>
  <si>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</si>
  <si>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</si>
  <si>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</si>
  <si>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</si>
  <si>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</si>
  <si>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</si>
  <si>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</si>
  <si>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</si>
  <si>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</si>
  <si>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</si>
  <si>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</si>
  <si>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</si>
  <si>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</si>
  <si>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</si>
  <si>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</si>
  <si>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</si>
  <si>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</si>
  <si>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</si>
  <si>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</si>
  <si>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</si>
  <si>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</si>
  <si>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</si>
  <si>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</si>
  <si>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</si>
  <si>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</si>
  <si>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</si>
  <si>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</si>
  <si>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</si>
  <si>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</si>
  <si>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</si>
  <si>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</si>
  <si>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</si>
  <si>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</si>
  <si>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</si>
  <si>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</si>
  <si>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</si>
  <si>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</si>
  <si>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</si>
  <si>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</si>
  <si>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</si>
  <si>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</si>
  <si>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</si>
  <si>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</si>
  <si>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</si>
  <si>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</si>
  <si>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</si>
  <si>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</si>
  <si>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</si>
  <si>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</si>
  <si>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</si>
  <si>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</si>
  <si>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</si>
  <si>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</si>
  <si>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</si>
  <si>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</si>
  <si>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</si>
  <si>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</si>
  <si>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</si>
  <si>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</si>
  <si>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</si>
  <si>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</si>
  <si>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</si>
  <si>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</si>
  <si>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</si>
  <si>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</si>
  <si>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</si>
  <si>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</si>
  <si>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</si>
  <si>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</si>
  <si>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</si>
  <si>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</si>
  <si>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</si>
  <si>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</si>
  <si>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</si>
  <si>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</si>
  <si>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</si>
  <si>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</si>
  <si>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</si>
  <si>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</si>
  <si>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</si>
  <si>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</si>
  <si>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</si>
  <si>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</si>
  <si>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</si>
  <si>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</si>
  <si>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</si>
  <si>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</si>
  <si>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</si>
  <si>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</si>
  <si>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</si>
  <si>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</si>
  <si>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</si>
  <si>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Yaxin Shui</t>
  </si>
  <si>
    <t>MTP-PCH-S CSME</t>
  </si>
  <si>
    <t>MTP-PCH-S ESE</t>
  </si>
  <si>
    <t>0 ??</t>
  </si>
  <si>
    <t>MTL-SOC-S CSE</t>
  </si>
  <si>
    <t>MTL-SOC-S ESE</t>
  </si>
  <si>
    <t>MTL-SOC-S GSC</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</si>
  <si>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</si>
  <si>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16'h2000</t>
  </si>
  <si>
    <t>16'h2001</t>
  </si>
  <si>
    <t>16'h2002</t>
  </si>
  <si>
    <t>16'h2003</t>
  </si>
  <si>
    <t>16'h2004</t>
  </si>
  <si>
    <t>16'h2005</t>
  </si>
  <si>
    <t>iCLK_Disable</t>
  </si>
  <si>
    <t>16'h2006</t>
  </si>
  <si>
    <t>16'h2007</t>
  </si>
  <si>
    <t>16'h2008</t>
  </si>
  <si>
    <t>16'h2009</t>
  </si>
  <si>
    <t>UFS_High_Speed_Disable</t>
  </si>
  <si>
    <t>16'h200A</t>
  </si>
  <si>
    <t>16'h200B</t>
  </si>
  <si>
    <t>16'h200C</t>
  </si>
  <si>
    <t>Host_PoG_disable_fuse</t>
  </si>
  <si>
    <t>16'h200D</t>
  </si>
  <si>
    <t>16'h200E</t>
  </si>
  <si>
    <t>16'h200F</t>
  </si>
  <si>
    <t>16'h2010</t>
  </si>
  <si>
    <t>16'h2013</t>
  </si>
  <si>
    <t>16'h27FC</t>
  </si>
  <si>
    <t>16'h27FE</t>
  </si>
  <si>
    <t>16'h27FF</t>
  </si>
  <si>
    <t>CSME_ROM_Bypass_Enable_Softstrap</t>
  </si>
  <si>
    <t>16'h8000</t>
  </si>
  <si>
    <t>Reserved_Softstrap_3</t>
  </si>
  <si>
    <t>Reserved_Softstrap_8</t>
  </si>
  <si>
    <t>16'h8001</t>
  </si>
  <si>
    <t>Reserved_Softstrap_12</t>
  </si>
  <si>
    <t>Reserved_Softstrap_13</t>
  </si>
  <si>
    <t>Reserved_Softstrap_14</t>
  </si>
  <si>
    <t>Reserved_Softstrap_15</t>
  </si>
  <si>
    <t>16'h8002</t>
  </si>
  <si>
    <t>Reserved_Softstrap_18</t>
  </si>
  <si>
    <t>Reserved_Softstrap_19</t>
  </si>
  <si>
    <t>Reserved_Softstrap_22</t>
  </si>
  <si>
    <t>Reserved_Softstrap_24</t>
  </si>
  <si>
    <t>16'h8003</t>
  </si>
  <si>
    <t>Reserved_Softstrap_25</t>
  </si>
  <si>
    <t>Reserved_Softstrap_26</t>
  </si>
  <si>
    <t>Reserved_Softstrap_27</t>
  </si>
  <si>
    <t>Reserved_Softstrap_28</t>
  </si>
  <si>
    <t>16'h8004</t>
  </si>
  <si>
    <t>16'h8005</t>
  </si>
  <si>
    <t>Spare_Softstraps_10</t>
  </si>
  <si>
    <t>Spare_Softstraps_11</t>
  </si>
  <si>
    <t>Spare_Softstraps_12</t>
  </si>
  <si>
    <t>Spare_Softstraps_13</t>
  </si>
  <si>
    <t>Spare_Softstraps_14</t>
  </si>
  <si>
    <t>Spare_Softstraps_15</t>
  </si>
  <si>
    <t>16'h8006</t>
  </si>
  <si>
    <t>Spare_Softstraps_17</t>
  </si>
  <si>
    <t>Spare_Softstraps_18</t>
  </si>
  <si>
    <t>Spare_Softstraps_20</t>
  </si>
  <si>
    <t>Spare_Softstraps_21</t>
  </si>
  <si>
    <t>Spare_Softstraps_22</t>
  </si>
  <si>
    <t>Spare_Softstraps_23</t>
  </si>
  <si>
    <t>16'h8007</t>
  </si>
  <si>
    <t>16'h6000</t>
  </si>
  <si>
    <t>Security_Keys_Fuse_Check_Hash</t>
  </si>
  <si>
    <t>16'h6064</t>
  </si>
  <si>
    <t>16'h6860</t>
  </si>
  <si>
    <t>16'h6874</t>
  </si>
  <si>
    <t>16'h6878</t>
  </si>
  <si>
    <t>HWIFP_A_RSVD_0</t>
  </si>
  <si>
    <t>HWIFP_B_RSVD_0</t>
  </si>
  <si>
    <t>n/a</t>
  </si>
  <si>
    <t>MTL-M CSME</t>
  </si>
  <si>
    <t>IFP_Row_Lock_0-54</t>
  </si>
  <si>
    <t>55 x 32</t>
  </si>
  <si>
    <t>Fuse Registers</t>
  </si>
  <si>
    <t>IFP1 Configure Fuse</t>
  </si>
  <si>
    <t>IFP2 Configure Fuse</t>
  </si>
  <si>
    <t>IFP3 Configure Fuse</t>
  </si>
  <si>
    <t>Note</t>
  </si>
  <si>
    <t>Group 1: HVM</t>
  </si>
  <si>
    <t>Group 4: SoftStrap</t>
  </si>
  <si>
    <t>ADP-S</t>
  </si>
  <si>
    <t>CSE_Secure_Debug_Disable</t>
  </si>
  <si>
    <t>CSE_ROM_Bypass_Disable</t>
  </si>
  <si>
    <t>Testmode_G1_PUF_Key_Disable</t>
  </si>
  <si>
    <t>CSE_SRAM_Zeroing_Bypass_Disable</t>
  </si>
  <si>
    <t>MOFF_EXIT_IMG_SRC_ATTEMPT_RESUME</t>
  </si>
  <si>
    <t>DNX_Disable</t>
  </si>
  <si>
    <t>CSE_ROM_Bypass_OEM_Unlock</t>
  </si>
  <si>
    <t xml:space="preserve">PUF_GLOBAL_DISABLE </t>
  </si>
  <si>
    <t>HW_PUF_CM_En</t>
  </si>
  <si>
    <t>CSE_HVM_Mode_Disable</t>
  </si>
  <si>
    <t>CSE_MIA_HALT_Disable</t>
  </si>
  <si>
    <t>CSME_Cfg_Fuse_23</t>
  </si>
  <si>
    <t>CSME_Cfg_Fuse_24</t>
  </si>
  <si>
    <t>CSME_Cfg_Fuse_29</t>
  </si>
  <si>
    <t>CSME_Cfg_Fuse_30</t>
  </si>
  <si>
    <t>RNG_Disable</t>
  </si>
  <si>
    <t>CSME_Cfg_Fuse_37</t>
  </si>
  <si>
    <t>PAVP_2_0_DISABLE</t>
  </si>
  <si>
    <t>CSME_Cfg_Fuse_40</t>
  </si>
  <si>
    <t>CSME_SKU_Fuse_6_NET_INFRA_MODE</t>
  </si>
  <si>
    <t>CSME_Cfg_Fuse_44</t>
  </si>
  <si>
    <t>CSME_Cfg_Fuse_46</t>
  </si>
  <si>
    <t>ICLS_Disable</t>
  </si>
  <si>
    <t>CSE_SPI_Boot_EN</t>
  </si>
  <si>
    <t>CSE_eMMC_Boot_EN</t>
  </si>
  <si>
    <t>CSE_UFS_Boot_EN</t>
  </si>
  <si>
    <t>FPF_disable</t>
  </si>
  <si>
    <t>fTPM_disable</t>
  </si>
  <si>
    <t>CSME_FW_Signing_Key_Disables</t>
  </si>
  <si>
    <t>CSME_SRAM_Bank_Enable</t>
  </si>
  <si>
    <t>CSME_Remote_Wake_Disable</t>
  </si>
  <si>
    <t>CSME_Cfg_Fuse_81</t>
  </si>
  <si>
    <t>CSME_Cfg_Fuse_85</t>
  </si>
  <si>
    <t>CSME_Cfg_Fuse_86</t>
  </si>
  <si>
    <t>CSME_Cfg_Fuse_87</t>
  </si>
  <si>
    <t>CSME_Cfg_Fuse_101</t>
  </si>
  <si>
    <t>Disable_MROM</t>
  </si>
  <si>
    <t>MROM_BAR_Disable</t>
  </si>
  <si>
    <t>CSME_HSIO_SKU_Limit</t>
  </si>
  <si>
    <t>CSE_ONDIE_CA_ENABLED</t>
  </si>
  <si>
    <t>CSME_Cfg_Fuse_118</t>
  </si>
  <si>
    <t>CSME_Cfg_Fuse_119</t>
  </si>
  <si>
    <t>CSME_Cfg_Fuse_127</t>
  </si>
  <si>
    <t>TRC_GLITCH_DETECTION_RSV</t>
  </si>
  <si>
    <t>16'h2014</t>
  </si>
  <si>
    <t>16'h2015</t>
  </si>
  <si>
    <t>FUSES_4_BIOS_FW_USAGE</t>
  </si>
  <si>
    <t>16'h2016</t>
  </si>
  <si>
    <t>FUSES_4_BIOS_USAGE</t>
  </si>
  <si>
    <t>16'h2017</t>
  </si>
  <si>
    <t>16'h2100</t>
  </si>
  <si>
    <t>16'h2102</t>
  </si>
  <si>
    <t>16'h2103</t>
  </si>
  <si>
    <t>16'h2104</t>
  </si>
  <si>
    <t>16'h2108</t>
  </si>
  <si>
    <t>16'h210C</t>
  </si>
  <si>
    <t>CSE_INTCHK_HW_CFG_CRC_VAL</t>
  </si>
  <si>
    <t>CSE_INTCHK_RSVD_23_16</t>
  </si>
  <si>
    <t>CSE_INTCHK_FUSECRCCHK</t>
  </si>
  <si>
    <t>CSE_INTCHK_RSVD_31_28</t>
  </si>
  <si>
    <t>CSE_ROM_Bypass_Enable_Softstrap</t>
  </si>
  <si>
    <t>CSME_Security_Keys</t>
  </si>
  <si>
    <t>KEY_ROT_HASH_EN</t>
  </si>
  <si>
    <t>RESERVED_FOR_DW_ALIGNMENT</t>
  </si>
  <si>
    <t>16'h0000</t>
  </si>
  <si>
    <t>16'h0001</t>
  </si>
  <si>
    <t>16'h0002</t>
  </si>
  <si>
    <t>16'h0003</t>
  </si>
  <si>
    <t>16'h0004</t>
  </si>
  <si>
    <t>16'h0005</t>
  </si>
  <si>
    <t>16'h0006</t>
  </si>
  <si>
    <t>16'h0007</t>
  </si>
  <si>
    <t>16'h0008</t>
  </si>
  <si>
    <t>16'h0009</t>
  </si>
  <si>
    <t>16'h0010</t>
  </si>
  <si>
    <t>16'h0011</t>
  </si>
  <si>
    <t>16'h0200</t>
  </si>
  <si>
    <t>16'h0201</t>
  </si>
  <si>
    <t>16'h0202</t>
  </si>
  <si>
    <t>16'h0203</t>
  </si>
  <si>
    <t>16'h0204</t>
  </si>
  <si>
    <t>16'h0205</t>
  </si>
  <si>
    <t>16'h0206</t>
  </si>
  <si>
    <t>16'h0207</t>
  </si>
  <si>
    <t>16'h0208</t>
  </si>
  <si>
    <t>16'h0209</t>
  </si>
  <si>
    <t>OEM_IFP_CONFIG_DONE_1</t>
  </si>
  <si>
    <t>16'h0240</t>
  </si>
  <si>
    <t>TRC_GLITCH_DETECTION_ENABLE_IFP_1</t>
  </si>
  <si>
    <t>HWIFP_A_RSVD_1</t>
  </si>
  <si>
    <t>TRC_GLITCH_DETECTION_DISABLE_IFP_1</t>
  </si>
  <si>
    <t>16'h0244</t>
  </si>
  <si>
    <t>HWIFP_B_RSVD_1</t>
  </si>
  <si>
    <t>16'h0300</t>
  </si>
  <si>
    <t>16'h0400</t>
  </si>
  <si>
    <t>16'h0401</t>
  </si>
  <si>
    <t>16'h0402</t>
  </si>
  <si>
    <t>16'h0403</t>
  </si>
  <si>
    <t>16'h0404</t>
  </si>
  <si>
    <t>16'h0405</t>
  </si>
  <si>
    <t>16'h0406</t>
  </si>
  <si>
    <t>16'h0407</t>
  </si>
  <si>
    <t>16'h0408</t>
  </si>
  <si>
    <t>16'h0409</t>
  </si>
  <si>
    <t>OEM_IFP_CONFIG_DONE_2</t>
  </si>
  <si>
    <t>16'h0440</t>
  </si>
  <si>
    <t>TRC_GLITCH_DETECTION_ENABLE_IFP_2</t>
  </si>
  <si>
    <t>HWIFP_A_RSVD_2</t>
  </si>
  <si>
    <t>16'h0500</t>
  </si>
  <si>
    <t xml:space="preserve">n/a </t>
  </si>
  <si>
    <t>removed</t>
  </si>
  <si>
    <t>n/a (removed)</t>
  </si>
  <si>
    <t>IFP_Bit_Lock_0, 1</t>
  </si>
  <si>
    <t>IFP_Bit_Lock_2, 3</t>
  </si>
  <si>
    <t>IFP_Bit_Lock_4, 5</t>
  </si>
  <si>
    <t>IFP_Bit_Lock_6, 7</t>
  </si>
  <si>
    <t>IFP_Bit_Lock_8, 9</t>
  </si>
  <si>
    <t>IFP_Bit_Lock_10, 11</t>
  </si>
  <si>
    <t>IFP_Bit_Lock_12, 13</t>
  </si>
  <si>
    <t>IFP_Bit_Lock_14, 15</t>
  </si>
  <si>
    <t>IFP_Bit_Lock_16, 17</t>
  </si>
  <si>
    <t>IFP_Bit_Lock_18, 19</t>
  </si>
  <si>
    <t>IFP_Bit_Lock_20, 21</t>
  </si>
  <si>
    <t>IFP_Bit_Lock_22, 23</t>
  </si>
  <si>
    <t>IFP2_Bit_Lock_0, 1</t>
  </si>
  <si>
    <t>IFP2_Bit_Lock_2, 3</t>
  </si>
  <si>
    <t>IFP2_Bit_Lock_4, 5</t>
  </si>
  <si>
    <t>IFP2_Bit_Lock_6, 7</t>
  </si>
  <si>
    <t>IFP2_Bit_Lock_8, 9</t>
  </si>
  <si>
    <t>IFP2_Bit_Lock_10, 11</t>
  </si>
  <si>
    <t>IFP2_Bit_Lock_12, 13</t>
  </si>
  <si>
    <t>IFP2_Bit_Lock_14, 15</t>
  </si>
  <si>
    <t>IFP2_Bit_Lock_16, 17</t>
  </si>
  <si>
    <t>IFP2_Bit_Lock_18, 19</t>
  </si>
  <si>
    <t>IFP2_Bit_Lock_20, 21</t>
  </si>
  <si>
    <t>IFP2_Bit_Lock_22, 23</t>
  </si>
  <si>
    <t>IFP2_Row_Lock_0-54</t>
  </si>
  <si>
    <t>IFP3_Bit_Lock_0, 1</t>
  </si>
  <si>
    <t>IFP3_Bit_Lock_2, 3</t>
  </si>
  <si>
    <t>IFP3_Bit_Lock_4, 5</t>
  </si>
  <si>
    <t>IFP3_Bit_Lock_6, 7</t>
  </si>
  <si>
    <t>IFP3_Bit_Lock_8, 9</t>
  </si>
  <si>
    <t>IFP3_Bit_Lock_10, 11</t>
  </si>
  <si>
    <t>IFP3_Bit_Lock_12, 13</t>
  </si>
  <si>
    <t>IFP3_Bit_Lock_14, 15</t>
  </si>
  <si>
    <t>IFP3_Bit_Lock_16, 17</t>
  </si>
  <si>
    <t>IFP3_Bit_Lock_18, 19</t>
  </si>
  <si>
    <t>IFP3_Bit_Lock_20, 21</t>
  </si>
  <si>
    <t>IFP3_Bit_Lock_22, 23</t>
  </si>
  <si>
    <t>IFP3_Row_Lock_0-54</t>
  </si>
  <si>
    <t>(16'h6980)</t>
  </si>
  <si>
    <t>(16'h6981)</t>
  </si>
  <si>
    <t>(16'h6A00)</t>
  </si>
  <si>
    <t>Reserved_Softstrap_23</t>
  </si>
  <si>
    <t>Disable_RS2DMA_Softstrap (in 16'h8002 for both SDP-S and MTL-M)</t>
  </si>
  <si>
    <t>MTL-M ESE</t>
  </si>
  <si>
    <t xml:space="preserve">Descriptions </t>
  </si>
  <si>
    <t>See CSE Firmware IFP Arch Spec (FAS) for definition.  Since these IFP are programmed and consumed only by FW, definition is in the FAS</t>
  </si>
  <si>
    <t>IFP_bit_Lock_*: See CSE Firmware IFP Arch Spec (FAS) for definition.  Since these IFP are programmed and consumed only by FW, definition is in the FAS</t>
  </si>
  <si>
    <t>Reserved_Softstrap_4</t>
  </si>
  <si>
    <t>Reserved_Softstrap_5</t>
  </si>
  <si>
    <t>Reserved_Softstrap_6</t>
  </si>
  <si>
    <t>Reserved_Softstrap_7</t>
  </si>
  <si>
    <t>Reserved_Softstrap_9</t>
  </si>
  <si>
    <t>Reserved_Softstrap_10</t>
  </si>
  <si>
    <t>Reserved_Softstrap_11</t>
  </si>
  <si>
    <t>No</t>
  </si>
  <si>
    <t>yes</t>
  </si>
  <si>
    <t>16'h020A</t>
  </si>
  <si>
    <t>16'h020B</t>
  </si>
  <si>
    <t>16'h040A</t>
  </si>
  <si>
    <t>16'h040B</t>
  </si>
  <si>
    <t xml:space="preserve">This is a 3b IFP encoding value to indicate IFP status in Group 1 whether or not the IFPs in group 1 is supposed to be burnt.
This fuse value should be set at End of Manufacturing.
</t>
  </si>
  <si>
    <t>Allocated for CSME/ESE on MTL-SOC. This is FW IFPs, used by its FW.</t>
  </si>
  <si>
    <t>0x8000</t>
  </si>
  <si>
    <t>Group 2,3: HVM Security Fuse</t>
  </si>
  <si>
    <t>Group 0: IFP1,2,3</t>
  </si>
  <si>
    <t>Allocated for GSC on MTL-SOC-M CSME. This is FW IFPs, used by its FW.</t>
  </si>
  <si>
    <t>from ADP-S Fuse Kaigen Sheet, no parametr</t>
  </si>
  <si>
    <t>PCR#14010402408, not in Kaigen sheet yet</t>
  </si>
  <si>
    <t>Attributes (eg: BOD=True, others=False)</t>
  </si>
  <si>
    <t>from MTL-M Fuse Kaigen, no parameter</t>
  </si>
  <si>
    <t>baseline for all IP</t>
  </si>
  <si>
    <t>no</t>
  </si>
  <si>
    <t>IP Feature dependent</t>
  </si>
  <si>
    <t>This field is reserved for FW usage (This bit field name  is PCR#14010402408 defined new name to replace IFP_Bit_Lock)</t>
  </si>
  <si>
    <t>from ADP-S Fuse Kaigen Sheet, no parameter</t>
  </si>
  <si>
    <t xml:space="preserve">ROM </t>
  </si>
  <si>
    <t>Yes</t>
  </si>
  <si>
    <t xml:space="preserve">yes </t>
  </si>
  <si>
    <t>Reserved_Softstrap_30</t>
  </si>
  <si>
    <t>Reserved_Softstrap_31</t>
  </si>
  <si>
    <t>Reserved_Softstrap_32</t>
  </si>
  <si>
    <t>Reserved_Softstrap_33</t>
  </si>
  <si>
    <t>in MTL-M Fuse Kaigen sheet 16'h8002,  16'h8006  in group page under GSK_SW_STRAP</t>
  </si>
  <si>
    <t>??</t>
  </si>
  <si>
    <t>no?</t>
  </si>
  <si>
    <t>reserved</t>
  </si>
  <si>
    <t xml:space="preserve">Hardstraps </t>
  </si>
  <si>
    <t>MB: removed</t>
  </si>
  <si>
    <t>ROM do not look at this bit any more. MB to confirm</t>
  </si>
  <si>
    <t>no loner be used by ROM, remove, MB to confirm. Only apply CSME/CSE. Not ESE</t>
  </si>
  <si>
    <t>Likely will need to grow for PCH-ESE and PCH-CSME, TBD by how much</t>
  </si>
  <si>
    <t>AR Michael to confirm with ROM team</t>
  </si>
  <si>
    <t>FW doesn't use. Kah Meng would need to confirm that value can always be 1 and that fuse is not needed.</t>
  </si>
  <si>
    <t>Not relevant to SoC-CSE</t>
  </si>
  <si>
    <t>Remove</t>
  </si>
  <si>
    <t>AR Michael to confirm with ROM team that can be removed</t>
  </si>
  <si>
    <t>AR Michael to confirm with FW team that can be removed</t>
  </si>
  <si>
    <t>Change to NVMe</t>
  </si>
  <si>
    <t>Is this currently not supported on MTL -M ESE??? Should be enabled for all IPs, AFAIK.</t>
  </si>
  <si>
    <t>AR Michael: Need to check with Brayn D and Mikal H if we still support binning of parts with faulty SRAM. I tried to check in the past but did not receive an answer.</t>
  </si>
  <si>
    <t>Only relevant to PCH-CSME, not others</t>
  </si>
  <si>
    <t>Not relevant to ESE instances</t>
  </si>
  <si>
    <t>Does this not exist on MTL -M CSME??? Supposed to be relevant to PCH-CSME and SoC-CSE.</t>
  </si>
  <si>
    <t>Ask Yaxin: Yanai and Thripthi</t>
  </si>
  <si>
    <t>AR Yaxin: Ask Yanai and Thripthi</t>
  </si>
  <si>
    <t>AR Yaxin: Ask Xiaoyu</t>
  </si>
  <si>
    <t>Rename to PACKAGE_ID to make sure that it’s not repurposed to other usages.</t>
  </si>
  <si>
    <t>1) Remove prefix "SSS_EMUL_IFP_".
2) Change eMMC to NVMe.
3) Only relevant to PCH-CSME, remove for rest.</t>
  </si>
  <si>
    <t>1) Remove prefix "SSS_EMUL_IFP_".
2) Only relevant to PCH-CSME, remove for rest.</t>
  </si>
  <si>
    <t>Rename to AVOID_HALT_WHEN_DRAM_AVAILABLE</t>
  </si>
  <si>
    <t>Only relevant to PCH-CSME, remove for rest.</t>
  </si>
  <si>
    <t>Remove for ESE instances</t>
  </si>
  <si>
    <t>Isn't KVMcc in SoC? If so, I believe it should be relevant to SoC-CSE not PCH-CSME.</t>
  </si>
  <si>
    <t>Shouldn't this be relevant also to SoC-CSE? AR Yaxin check with Eli / Yanai.</t>
  </si>
  <si>
    <t>This is IFP fuses pulled by HW, and locked by OEM when out of manufacturing
BIT0: OEM_IFP_CONFIG_DONE_0
BIT1: TRC_ENABLE_IFP_0
BIT31-02: CSME_HWIFP_FUSE_31_2
YS:This bit field name  is PCR#14010402408 defined new name to replace the 32-bit of  OEM_IFP_CONFIG_DONE_0, TRC_GLITCH_DETECTION_ENABLE_IFP_0 and HWIFP_A_RSVD_0</t>
  </si>
  <si>
    <t>This is IFP fuses pulled by HW, and locked by OEM when out of manufacturing
BIT0: TRC_DISABLE_IFP_0
BIT31-01: CSME_HWIFP_FUSE_31_1
YS: This bit field name  is PCR#14010402408 defined new name to replace TRC_GLITCH_DETECTION_DISABLE_IFP_0 and HWIFP_B_RSVD_0</t>
  </si>
  <si>
    <t>agree</t>
  </si>
  <si>
    <t>yanai to anser for 4 instance</t>
  </si>
  <si>
    <t>no (only for pch)</t>
  </si>
  <si>
    <t>ok only for PCH CSME</t>
  </si>
  <si>
    <t>ok to remove</t>
  </si>
  <si>
    <t>check with Yanai for CSE/CSME</t>
  </si>
  <si>
    <t>OK</t>
  </si>
  <si>
    <t>agree to remove</t>
  </si>
  <si>
    <t>agree .confirmation from ROM team.</t>
  </si>
  <si>
    <t>latency bit.</t>
  </si>
  <si>
    <t>remove</t>
  </si>
  <si>
    <t>for pch csme and ese, not in SOC</t>
  </si>
  <si>
    <t>no more PRVP in both csme and cse</t>
  </si>
  <si>
    <t>keep for SOC CSE, confirm with FW team</t>
  </si>
  <si>
    <t>no sure, confirm with FW team for SOC CSE (most likely no)</t>
  </si>
  <si>
    <t>ok</t>
  </si>
  <si>
    <t>can be removed</t>
  </si>
  <si>
    <t xml:space="preserve">need to be yes for keeping  CSME(PCH) and CSE (SOC). </t>
  </si>
  <si>
    <t>confirm with MK for usecase. But keep it for CSME/CSE</t>
  </si>
  <si>
    <t>confirm with FW team</t>
  </si>
  <si>
    <t>need to be yes for 4 instances</t>
  </si>
  <si>
    <t>JtagWr, SBWr ?</t>
  </si>
  <si>
    <t>Attr. shall not be writable</t>
  </si>
  <si>
    <t>not sure if the use case HVM SROM bank testing is still supported in platform</t>
  </si>
  <si>
    <t>agree to remove, no useage. But need to confirm</t>
  </si>
  <si>
    <t>need to confirm</t>
  </si>
  <si>
    <t>shall keep for CSME/CSE</t>
  </si>
  <si>
    <t>no idea</t>
  </si>
  <si>
    <t>no idea for FW, seems for HW use</t>
  </si>
  <si>
    <t>not for FW</t>
  </si>
  <si>
    <t>for HW checken bit, keep for 4 instances</t>
  </si>
  <si>
    <t>agree to keep for all</t>
  </si>
  <si>
    <t>keep for 4 instance</t>
  </si>
  <si>
    <t>keep to yes for CSME (PCH) only</t>
  </si>
  <si>
    <t>MTL-M CSME shall be yes as well</t>
  </si>
  <si>
    <t>PCH CSME DNX support need hard strap. Non in ESE and CSE (Eli and MB agree)</t>
  </si>
  <si>
    <t>ELI Comment (8/31)</t>
  </si>
  <si>
    <t>MB Comment (8/31)</t>
  </si>
  <si>
    <t>in use</t>
  </si>
  <si>
    <t>reserve</t>
  </si>
  <si>
    <t>can be  disconnected or keep as reserve.</t>
  </si>
  <si>
    <t>we may need Gky0 and gkey 2 in CSME, need further discussion with FW</t>
  </si>
  <si>
    <t>agree, not in used</t>
  </si>
  <si>
    <t>only used for HW, check with HW team.</t>
  </si>
  <si>
    <t>only for PCH CSME</t>
  </si>
  <si>
    <t>need to confirm with ROM team</t>
  </si>
  <si>
    <t>ROM no longer look at this bit. MB to confirm if remove ?</t>
  </si>
  <si>
    <t>how PUF work with ESE in PCH die.</t>
  </si>
  <si>
    <t>PUF_Global_Disable ??</t>
  </si>
  <si>
    <t>check with ROM</t>
  </si>
  <si>
    <t xml:space="preserve">decription for punit. Need for SOC CSE/ESE only, not in PCH </t>
  </si>
  <si>
    <t>no idea, need confirm with Kakeda.</t>
  </si>
  <si>
    <t>GSC only ? Confirm with Shalini &amp; Kakeda</t>
  </si>
  <si>
    <r>
      <t>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 xml:space="preserve">&gt; </t>
    </r>
  </si>
  <si>
    <t>eli, Michael Berger, yanai, Babi</t>
  </si>
  <si>
    <t>yanai (9/1)</t>
  </si>
  <si>
    <t>IP Instance</t>
  </si>
  <si>
    <t>Baseline</t>
  </si>
  <si>
    <t>Group0 reviewer</t>
  </si>
  <si>
    <t>Group1 Reviewer</t>
  </si>
  <si>
    <t>Group2,3</t>
  </si>
  <si>
    <t>Group4</t>
  </si>
  <si>
    <t>CSME (PCH-S)</t>
  </si>
  <si>
    <t>ADP-S (4.5.2) + MTL-M (4.7)</t>
  </si>
  <si>
    <t>CSE (SoC-S)</t>
  </si>
  <si>
    <t>MTL-M (4.7) reduction</t>
  </si>
  <si>
    <t>ESE (PCH-S)</t>
  </si>
  <si>
    <t>ESE (SoC-S)</t>
  </si>
  <si>
    <t>MTL-M</t>
  </si>
  <si>
    <t>Reviewers</t>
  </si>
  <si>
    <t>Babi, Chaitu</t>
  </si>
  <si>
    <t>Eli, Michale, Yanai, Chaitu</t>
  </si>
  <si>
    <t>PCR #14011738652 PCR Title: [DCN][MTL-M] Remove TRC enable configuration.
to remove this config fuse from HW start from MTL-S</t>
  </si>
  <si>
    <t xml:space="preserve">For IE,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</si>
  <si>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</si>
  <si>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[Babi] Based on my discussion with Kakeda, the only fuse that is required in MTL-S SOC is GSK_TRC_DIS bit and a lock bit for it.
This means that we need 32 bits (one row) reserved for this fuse and additional 32 bits (one row) for IFP_Bit_Lock_0.
The correct allocation for the 2K bits is therefore:
-	4 rows for LVIDs - IFP_Bit_Lock 0:3 (One row will be used, 3 reserved)
-	1 row allocated for GSK_TRC_DIC
-	The rest of area should be reserved
Thanks,
Babi.</t>
  </si>
  <si>
    <t>[Babi] 4 rows for LVIDs - IFP_Bit_Lock 0:3 (One row will be used, 3 reserved)</t>
  </si>
  <si>
    <t>[Babi ] 
-1 row allocated for GSK_TRC_DIC
- The rest of area should be reserved</t>
  </si>
  <si>
    <t>IFP_Row_Lock_0</t>
  </si>
  <si>
    <t>Babi  confirmed 9/8</t>
  </si>
  <si>
    <t xml:space="preserve">use case no long exit, recommented to remove
[KM 9/18] confirmed that this fuse no longer needed </t>
  </si>
  <si>
    <t>we may need Gky0 and gkey 2 in CSME, need further discussion with FW
YS issued DCN to add gKey0/2 back to CSME</t>
  </si>
  <si>
    <t>used to be a checken bit, 
need ROM team to confirm</t>
  </si>
  <si>
    <t xml:space="preserve">cheken bit, no longer needed
MB to confirm
</t>
  </si>
  <si>
    <t>note manager, no more needed
(confirm with ELI, no longer need, for server only)</t>
  </si>
  <si>
    <t>PCH CSME/ESE yes (for server, HEDT)</t>
  </si>
  <si>
    <t>reserved as "yes" but need MB to confirm if OK to remove</t>
  </si>
  <si>
    <t>MB: SOC-S ESE can only read IFP, for the need to override IFP, might have to duplicate IFP from SOC-S die to PCH-S die. Need to confirm with fuse controler team to reserve more IFP in SOC-S CSME and ESE</t>
  </si>
  <si>
    <t>TRC_GLITCH_DETECTION_DISABLE_IFP_0 
(GSK_TRC_DIS[0])</t>
  </si>
  <si>
    <t>HWIFP_B_RSVD_0
(GSK_TRC_DIS[31:1])</t>
  </si>
  <si>
    <t>PARAM_INT_IFP_TRIPLE_RDD_DIS is 1</t>
  </si>
  <si>
    <t>always in-use for ROM to know if the CSME IP have PUF or Not</t>
  </si>
  <si>
    <t xml:space="preserve">PRVP support for GSC in CSME/CSE? Need to Confirm with Daniel </t>
  </si>
  <si>
    <t xml:space="preserve">XiaoYu confirmed </t>
  </si>
  <si>
    <t>Kakeda confirmed</t>
  </si>
  <si>
    <t>Reserved_Softstrap</t>
  </si>
  <si>
    <t>SpareFuse</t>
  </si>
  <si>
    <t>Reserved unused Spare Bit</t>
  </si>
  <si>
    <r>
      <rPr>
        <sz val="10"/>
        <color rgb="FFFF0000"/>
        <rFont val="Calibri"/>
        <family val="2"/>
        <scheme val="minor"/>
      </rPr>
      <t xml:space="preserve">RSA_SKIP_DISABLED </t>
    </r>
    <r>
      <rPr>
        <strike/>
        <sz val="10"/>
        <color rgb="FFFF0000"/>
        <rFont val="Calibri"/>
        <family val="2"/>
        <scheme val="minor"/>
      </rPr>
      <t xml:space="preserve">
</t>
    </r>
    <r>
      <rPr>
        <sz val="10"/>
        <color rgb="FFFF0000"/>
        <rFont val="Calibri"/>
        <family val="2"/>
        <scheme val="minor"/>
      </rPr>
      <t>(IP_external_ROM_Bypass?)</t>
    </r>
  </si>
  <si>
    <t>No Param
(from ADP-S Fuse RDL not in group page)</t>
  </si>
  <si>
    <t>16'h6040
(16'h6068)</t>
  </si>
  <si>
    <t>16'6044
(16'h6070)</t>
  </si>
  <si>
    <t>CSME_Security_Keys_Fuse_Check_Hash (in address 16'h6068)</t>
  </si>
  <si>
    <t>CSME_Debug_Enabled_Security_Key (in address 16'h6070)</t>
  </si>
  <si>
    <t xml:space="preserve">remove </t>
  </si>
  <si>
    <t xml:space="preserve">This parameter is used to define iKGF TBS attributes for On Die CA. This parameter shows bit size of HVM fuse. 
Current attribute size is 320 bits. When this parameter is set to ‘0’, this HVM fuse is remove. </t>
  </si>
  <si>
    <t>Can be remove for SoC-ESE</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</si>
  <si>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</si>
  <si>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[YS] Use IFP_Bit_Lock_0,... instead
[Babi] Based on my discussion with Kakeda, the only fuse that is required in MTL-S SOC is GSK_TRC_DIS bit and a lock bit for it.
This means that we need 32 bits (one row) reserved for this fuse and additional 32 bits (one row) for IFP_Bit_Lock_0.
The correct allocation for the 2K bits is therefore:
-	4 rows for LVIDs - IFP_Bit_Lock 0:3 (One row will be used, 3 reserved)
-	1 row allocated for GSK_TRC_DIC
-	The rest of area should be reserved
Thanks,
Babi.</t>
  </si>
  <si>
    <t>TRC_PRESENT &amp; !PARAM_INT_IFP_TRIPLE_RDD_DIS</t>
  </si>
  <si>
    <t>IFP3_Row_Lock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</si>
</sst>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4"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1"/>
      <color rgb="FF000000"/>
      <name val="Calibri"/>
      <family val="2"/>
    </font>
    <font>
      <b/>
      <sz val="12"/>
      <name val="Calibri"/>
      <family val="2"/>
      <scheme val="minor"/>
    </font>
    <font>
      <sz val="12"/>
      <name val="Calibri"/>
      <family val="2"/>
      <scheme val="minor"/>
    </font>
    <font>
      <sz val="11"/>
      <color rgb="FFC00000"/>
      <name val="Calibri"/>
      <family val="2"/>
      <scheme val="minor"/>
    </font>
    <font>
      <sz val="10"/>
      <color theme="1"/>
      <name val="Segoe UI"/>
      <family val="2"/>
    </font>
    <font>
      <sz val="10"/>
      <color rgb="FF000000"/>
      <name val="Segoe UI"/>
      <family val="2"/>
    </font>
    <font>
      <sz val="9"/>
      <color indexed="81"/>
      <name val="Tahoma"/>
      <charset val="1"/>
    </font>
    <font>
      <b/>
      <sz val="9"/>
      <color indexed="81"/>
      <name val="Tahoma"/>
      <charset val="1"/>
    </font>
  </fonts>
  <fills count="2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79998168889431442"/>
        <bgColor indexed="64"/>
      </patternFill>
    </fill>
  </fills>
  <borders count="69">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right style="medium">
        <color indexed="64"/>
      </right>
      <top style="medium">
        <color indexed="64"/>
      </top>
      <bottom style="medium">
        <color indexed="64"/>
      </bottom>
      <diagonal/>
    </border>
  </borders>
  <cellStyleXfs count="1">
    <xf numFmtId="0" fontId="0" fillId="0" borderId="0"/>
  </cellStyleXfs>
  <cellXfs count="511">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4"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5" fillId="15" borderId="27" xfId="0" applyFont="1" applyFill="1" applyBorder="1" applyAlignment="1">
      <alignment horizontal="left" vertical="center" wrapText="1"/>
    </xf>
    <xf numFmtId="0" fontId="15" fillId="15" borderId="0" xfId="0" applyFont="1" applyFill="1"/>
    <xf numFmtId="0" fontId="5" fillId="2" borderId="2" xfId="0" applyFont="1" applyFill="1" applyBorder="1"/>
    <xf numFmtId="0" fontId="15"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5" fillId="15" borderId="24" xfId="0" applyFont="1" applyFill="1" applyBorder="1"/>
    <xf numFmtId="0" fontId="15"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6"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8" fillId="4" borderId="2" xfId="0" applyFont="1" applyFill="1" applyBorder="1"/>
    <xf numFmtId="0" fontId="18" fillId="4" borderId="2" xfId="0" applyFont="1" applyFill="1" applyBorder="1" applyAlignment="1">
      <alignment horizontal="left"/>
    </xf>
    <xf numFmtId="0" fontId="19" fillId="0" borderId="2" xfId="0" applyFont="1" applyFill="1" applyBorder="1"/>
    <xf numFmtId="0" fontId="19" fillId="0" borderId="2" xfId="0" applyFont="1" applyBorder="1"/>
    <xf numFmtId="0" fontId="19" fillId="3" borderId="2" xfId="0" applyFont="1" applyFill="1" applyBorder="1"/>
    <xf numFmtId="0" fontId="19" fillId="0" borderId="2" xfId="0" applyFont="1" applyFill="1" applyBorder="1" applyAlignment="1">
      <alignment horizontal="left"/>
    </xf>
    <xf numFmtId="0" fontId="19" fillId="2" borderId="2" xfId="0" applyFont="1" applyFill="1" applyBorder="1"/>
    <xf numFmtId="0" fontId="19" fillId="5" borderId="2" xfId="0" applyFont="1" applyFill="1" applyBorder="1"/>
    <xf numFmtId="0" fontId="20" fillId="2" borderId="2" xfId="0" applyFont="1" applyFill="1" applyBorder="1"/>
    <xf numFmtId="0" fontId="19" fillId="2" borderId="2" xfId="0" applyFont="1" applyFill="1" applyBorder="1" applyAlignment="1"/>
    <xf numFmtId="0" fontId="19" fillId="0" borderId="2" xfId="0" applyFont="1" applyBorder="1" applyAlignment="1">
      <alignment horizontal="left"/>
    </xf>
    <xf numFmtId="0" fontId="19" fillId="3" borderId="2" xfId="0" applyFont="1" applyFill="1" applyBorder="1" applyAlignment="1">
      <alignment horizontal="left"/>
    </xf>
    <xf numFmtId="0" fontId="21" fillId="2" borderId="2" xfId="0" applyFont="1" applyFill="1" applyBorder="1"/>
    <xf numFmtId="0" fontId="19" fillId="0" borderId="2" xfId="0" applyFont="1" applyFill="1" applyBorder="1" applyAlignment="1">
      <alignment wrapText="1"/>
    </xf>
    <xf numFmtId="0" fontId="22" fillId="2" borderId="2" xfId="0" applyFont="1" applyFill="1" applyBorder="1"/>
    <xf numFmtId="0" fontId="23" fillId="3" borderId="2" xfId="0" applyFont="1" applyFill="1" applyBorder="1"/>
    <xf numFmtId="0" fontId="23" fillId="0" borderId="2" xfId="0" applyFont="1" applyBorder="1"/>
    <xf numFmtId="0" fontId="21" fillId="0" borderId="2" xfId="0" applyFont="1" applyBorder="1"/>
    <xf numFmtId="0" fontId="19" fillId="8" borderId="2" xfId="0" applyFont="1" applyFill="1" applyBorder="1" applyAlignment="1">
      <alignment horizontal="left" vertical="center"/>
    </xf>
    <xf numFmtId="0" fontId="22" fillId="0" borderId="2" xfId="0" applyFont="1" applyFill="1" applyBorder="1" applyAlignment="1">
      <alignment horizontal="left"/>
    </xf>
    <xf numFmtId="0" fontId="22" fillId="0" borderId="2" xfId="0" applyFont="1" applyBorder="1" applyAlignment="1">
      <alignment horizontal="left"/>
    </xf>
    <xf numFmtId="0" fontId="19" fillId="0" borderId="1" xfId="0" applyFont="1" applyFill="1" applyBorder="1"/>
    <xf numFmtId="0" fontId="19" fillId="2" borderId="1" xfId="0" applyFont="1" applyFill="1" applyBorder="1"/>
    <xf numFmtId="0" fontId="22" fillId="0" borderId="1" xfId="0" applyFont="1" applyFill="1" applyBorder="1" applyAlignment="1">
      <alignment horizontal="left"/>
    </xf>
    <xf numFmtId="0" fontId="19" fillId="0" borderId="2" xfId="0" applyFont="1" applyBorder="1" applyAlignment="1">
      <alignment wrapText="1"/>
    </xf>
    <xf numFmtId="0" fontId="22" fillId="17" borderId="2" xfId="0" applyFont="1" applyFill="1" applyBorder="1" applyAlignment="1">
      <alignment horizontal="left"/>
    </xf>
    <xf numFmtId="0" fontId="19"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0" fillId="0" borderId="2" xfId="0" applyBorder="1" applyAlignment="1">
      <alignment horizontal="left" vertical="center"/>
    </xf>
    <xf numFmtId="0" fontId="6" fillId="8" borderId="2" xfId="0" applyFont="1" applyFill="1" applyBorder="1"/>
    <xf numFmtId="0" fontId="0" fillId="0" borderId="2" xfId="0" applyBorder="1" applyAlignment="1">
      <alignment vertical="center"/>
    </xf>
    <xf numFmtId="0" fontId="0" fillId="0" borderId="4" xfId="0" applyFill="1" applyBorder="1" applyAlignment="1">
      <alignment horizontal="left" vertical="center"/>
    </xf>
    <xf numFmtId="0" fontId="0" fillId="0" borderId="4" xfId="0" applyFill="1" applyBorder="1" applyAlignment="1">
      <alignment horizontal="left" vertical="center"/>
    </xf>
    <xf numFmtId="0" fontId="19" fillId="18" borderId="2" xfId="0" applyFont="1" applyFill="1" applyBorder="1"/>
    <xf numFmtId="0" fontId="19" fillId="6" borderId="2" xfId="0" applyFont="1" applyFill="1" applyBorder="1"/>
    <xf numFmtId="0" fontId="19" fillId="0" borderId="0" xfId="0" applyFont="1"/>
    <xf numFmtId="0" fontId="21" fillId="3" borderId="2" xfId="0" applyFont="1" applyFill="1" applyBorder="1"/>
    <xf numFmtId="0" fontId="0" fillId="0" borderId="4" xfId="0" applyFill="1" applyBorder="1" applyAlignment="1">
      <alignment horizontal="center" vertical="center"/>
    </xf>
    <xf numFmtId="0" fontId="0" fillId="0" borderId="4" xfId="0" applyFill="1" applyBorder="1" applyAlignment="1">
      <alignment wrapText="1"/>
    </xf>
    <xf numFmtId="0" fontId="24" fillId="0" borderId="2" xfId="0" applyFont="1" applyBorder="1"/>
    <xf numFmtId="0" fontId="24" fillId="0" borderId="2" xfId="0" applyFont="1" applyBorder="1" applyAlignment="1">
      <alignment wrapText="1"/>
    </xf>
    <xf numFmtId="0" fontId="0" fillId="0" borderId="4" xfId="0" applyFill="1" applyBorder="1" applyAlignment="1">
      <alignment horizontal="left" vertical="center"/>
    </xf>
    <xf numFmtId="0" fontId="8" fillId="4" borderId="2" xfId="0" applyFont="1" applyFill="1" applyBorder="1" applyAlignment="1">
      <alignment horizontal="left" vertical="center" wrapText="1"/>
    </xf>
    <xf numFmtId="0" fontId="6" fillId="6" borderId="2" xfId="0" applyFont="1" applyFill="1" applyBorder="1"/>
    <xf numFmtId="14" fontId="0" fillId="0" borderId="0" xfId="0" applyNumberFormat="1" applyAlignment="1">
      <alignment vertical="center"/>
    </xf>
    <xf numFmtId="0" fontId="0" fillId="19" borderId="2" xfId="0" applyFill="1" applyBorder="1" applyAlignment="1">
      <alignment horizontal="left" vertical="center" wrapText="1"/>
    </xf>
    <xf numFmtId="0" fontId="0" fillId="19" borderId="2" xfId="0" applyFill="1" applyBorder="1" applyAlignment="1">
      <alignment horizontal="center" vertical="center" wrapText="1"/>
    </xf>
    <xf numFmtId="0" fontId="0" fillId="11" borderId="2" xfId="0" applyFill="1" applyBorder="1" applyAlignment="1">
      <alignment horizontal="center" vertical="center" wrapText="1"/>
    </xf>
    <xf numFmtId="0" fontId="0" fillId="20" borderId="2" xfId="0" applyFill="1" applyBorder="1" applyAlignment="1">
      <alignment horizontal="center" vertical="center" wrapText="1"/>
    </xf>
    <xf numFmtId="0" fontId="0" fillId="20" borderId="2" xfId="0" applyFill="1" applyBorder="1" applyAlignment="1">
      <alignment horizontal="left" vertical="center" wrapText="1"/>
    </xf>
    <xf numFmtId="0" fontId="0" fillId="5" borderId="2" xfId="0" applyFill="1" applyBorder="1" applyAlignment="1">
      <alignment horizontal="center" vertical="center" wrapText="1"/>
    </xf>
    <xf numFmtId="0" fontId="0" fillId="9" borderId="2" xfId="0" applyFill="1" applyBorder="1" applyAlignment="1">
      <alignment horizontal="center" vertical="center" wrapText="1"/>
    </xf>
    <xf numFmtId="0" fontId="5" fillId="20" borderId="2" xfId="0" applyFont="1" applyFill="1" applyBorder="1" applyAlignment="1">
      <alignment horizontal="left" vertical="center" wrapText="1"/>
    </xf>
    <xf numFmtId="0" fontId="0" fillId="21" borderId="2" xfId="0" applyFill="1" applyBorder="1" applyAlignment="1">
      <alignment horizontal="center" vertical="center" wrapText="1"/>
    </xf>
    <xf numFmtId="0" fontId="19" fillId="20" borderId="2" xfId="0" applyFont="1" applyFill="1" applyBorder="1" applyAlignment="1">
      <alignment horizontal="center" vertical="center" wrapText="1"/>
    </xf>
    <xf numFmtId="0" fontId="0" fillId="8" borderId="2" xfId="0" applyFill="1" applyBorder="1" applyAlignment="1">
      <alignment horizontal="left" vertical="center" wrapText="1"/>
    </xf>
    <xf numFmtId="0" fontId="6" fillId="9" borderId="2" xfId="0" applyFont="1" applyFill="1" applyBorder="1" applyAlignment="1">
      <alignment horizontal="center" vertical="center" wrapText="1"/>
    </xf>
    <xf numFmtId="0" fontId="0" fillId="9" borderId="2" xfId="0" applyFill="1" applyBorder="1" applyAlignment="1">
      <alignment horizontal="left" vertical="center" wrapText="1"/>
    </xf>
    <xf numFmtId="0" fontId="6" fillId="20" borderId="2" xfId="0" applyFont="1" applyFill="1" applyBorder="1" applyAlignment="1">
      <alignment horizontal="center" vertical="center" wrapText="1"/>
    </xf>
    <xf numFmtId="0" fontId="5" fillId="9" borderId="2" xfId="0" applyFont="1" applyFill="1" applyBorder="1" applyAlignment="1">
      <alignment horizontal="left" vertical="center" wrapText="1"/>
    </xf>
    <xf numFmtId="0" fontId="0" fillId="22" borderId="2" xfId="0" applyFill="1" applyBorder="1" applyAlignment="1">
      <alignment horizontal="left" vertical="center" wrapText="1"/>
    </xf>
    <xf numFmtId="0" fontId="6" fillId="22" borderId="2" xfId="0" applyFont="1" applyFill="1" applyBorder="1" applyAlignment="1">
      <alignment horizontal="center" vertical="center" wrapText="1"/>
    </xf>
    <xf numFmtId="0" fontId="0" fillId="22" borderId="2" xfId="0" applyFill="1" applyBorder="1" applyAlignment="1">
      <alignment horizontal="center" vertical="center" wrapText="1"/>
    </xf>
    <xf numFmtId="0" fontId="5" fillId="22" borderId="2" xfId="0" applyFont="1" applyFill="1" applyBorder="1" applyAlignment="1">
      <alignment horizontal="left" vertical="center" wrapText="1"/>
    </xf>
    <xf numFmtId="0" fontId="0" fillId="24" borderId="2" xfId="0" applyFill="1" applyBorder="1" applyAlignment="1">
      <alignment horizontal="center" vertical="center" wrapText="1"/>
    </xf>
    <xf numFmtId="0" fontId="0" fillId="20" borderId="12" xfId="0" applyFill="1" applyBorder="1" applyAlignment="1">
      <alignment horizontal="left" vertical="center" wrapText="1"/>
    </xf>
    <xf numFmtId="0" fontId="0" fillId="24" borderId="12" xfId="0" applyFill="1" applyBorder="1" applyAlignment="1">
      <alignment horizontal="left" vertical="center" wrapText="1"/>
    </xf>
    <xf numFmtId="0" fontId="1" fillId="24" borderId="12" xfId="0" applyFont="1" applyFill="1" applyBorder="1" applyAlignment="1">
      <alignment vertical="center" wrapText="1"/>
    </xf>
    <xf numFmtId="0" fontId="5" fillId="24" borderId="12" xfId="0" applyFont="1" applyFill="1" applyBorder="1" applyAlignment="1">
      <alignment horizontal="left" vertical="center" wrapText="1"/>
    </xf>
    <xf numFmtId="0" fontId="27" fillId="7" borderId="8" xfId="0" applyFont="1" applyFill="1" applyBorder="1" applyAlignment="1">
      <alignment vertical="center" wrapText="1"/>
    </xf>
    <xf numFmtId="0" fontId="27" fillId="7" borderId="9" xfId="0" applyFont="1" applyFill="1" applyBorder="1" applyAlignment="1">
      <alignment vertical="center" wrapText="1"/>
    </xf>
    <xf numFmtId="0" fontId="28" fillId="0" borderId="10" xfId="0" applyFont="1" applyBorder="1" applyAlignment="1">
      <alignment wrapText="1"/>
    </xf>
    <xf numFmtId="0" fontId="0" fillId="11" borderId="2" xfId="0" applyFill="1" applyBorder="1" applyAlignment="1">
      <alignment horizontal="left" vertical="center" wrapText="1"/>
    </xf>
    <xf numFmtId="0" fontId="0" fillId="11" borderId="2" xfId="0" applyFill="1" applyBorder="1" applyAlignment="1">
      <alignment horizontal="center" vertical="top" wrapText="1"/>
    </xf>
    <xf numFmtId="0" fontId="0" fillId="11" borderId="2" xfId="0" applyFill="1" applyBorder="1" applyAlignment="1">
      <alignment horizontal="left" vertical="top" wrapText="1"/>
    </xf>
    <xf numFmtId="0" fontId="0" fillId="11" borderId="12" xfId="0" applyFill="1" applyBorder="1" applyAlignment="1">
      <alignment wrapText="1"/>
    </xf>
    <xf numFmtId="0" fontId="0" fillId="20" borderId="2" xfId="0" applyFill="1" applyBorder="1" applyAlignment="1">
      <alignment horizontal="left" vertical="top" wrapText="1"/>
    </xf>
    <xf numFmtId="0" fontId="0" fillId="8" borderId="12" xfId="0" applyFill="1" applyBorder="1" applyAlignment="1">
      <alignment wrapText="1"/>
    </xf>
    <xf numFmtId="0" fontId="0" fillId="19" borderId="2" xfId="0" applyFill="1" applyBorder="1" applyAlignment="1">
      <alignment horizontal="center" vertical="top" wrapText="1"/>
    </xf>
    <xf numFmtId="0" fontId="0" fillId="19" borderId="12" xfId="0" applyFill="1" applyBorder="1" applyAlignment="1">
      <alignment wrapText="1"/>
    </xf>
    <xf numFmtId="0" fontId="0" fillId="20" borderId="2" xfId="0" applyFill="1" applyBorder="1" applyAlignment="1">
      <alignment horizontal="center" vertical="top" wrapText="1"/>
    </xf>
    <xf numFmtId="0" fontId="0" fillId="20" borderId="12" xfId="0" applyFill="1" applyBorder="1" applyAlignment="1">
      <alignment wrapText="1"/>
    </xf>
    <xf numFmtId="0" fontId="19" fillId="5" borderId="2" xfId="0" applyFont="1" applyFill="1" applyBorder="1" applyAlignment="1">
      <alignment wrapText="1"/>
    </xf>
    <xf numFmtId="0" fontId="19" fillId="5" borderId="2" xfId="0" applyFont="1" applyFill="1" applyBorder="1" applyAlignment="1">
      <alignment horizontal="center" vertical="center" wrapText="1"/>
    </xf>
    <xf numFmtId="0" fontId="0" fillId="5" borderId="12" xfId="0" applyFill="1" applyBorder="1" applyAlignment="1">
      <alignment wrapText="1"/>
    </xf>
    <xf numFmtId="0" fontId="6" fillId="5" borderId="12" xfId="0" applyFont="1" applyFill="1" applyBorder="1" applyAlignment="1">
      <alignment wrapText="1"/>
    </xf>
    <xf numFmtId="0" fontId="26" fillId="5" borderId="2" xfId="0" applyFont="1" applyFill="1" applyBorder="1" applyAlignment="1">
      <alignment horizontal="center" vertical="center" wrapText="1"/>
    </xf>
    <xf numFmtId="0" fontId="0" fillId="21" borderId="2" xfId="0" applyFill="1" applyBorder="1" applyAlignment="1">
      <alignment horizontal="left" vertical="center" wrapText="1"/>
    </xf>
    <xf numFmtId="0" fontId="19" fillId="21" borderId="2" xfId="0" applyFont="1" applyFill="1" applyBorder="1" applyAlignment="1">
      <alignment horizontal="center" vertical="center" wrapText="1"/>
    </xf>
    <xf numFmtId="0" fontId="0" fillId="21" borderId="12" xfId="0" applyFill="1" applyBorder="1" applyAlignment="1">
      <alignment wrapText="1"/>
    </xf>
    <xf numFmtId="0" fontId="0" fillId="9" borderId="2" xfId="0" applyFill="1" applyBorder="1" applyAlignment="1">
      <alignment wrapText="1"/>
    </xf>
    <xf numFmtId="0" fontId="0" fillId="9" borderId="12" xfId="0" applyFill="1" applyBorder="1" applyAlignment="1">
      <alignment wrapText="1"/>
    </xf>
    <xf numFmtId="0" fontId="0" fillId="9" borderId="2" xfId="0" applyFill="1" applyBorder="1" applyAlignment="1">
      <alignment horizontal="left" vertical="top" wrapText="1"/>
    </xf>
    <xf numFmtId="0" fontId="0" fillId="22" borderId="2" xfId="0" applyFill="1" applyBorder="1" applyAlignment="1">
      <alignment wrapText="1"/>
    </xf>
    <xf numFmtId="0" fontId="0" fillId="22" borderId="2" xfId="0" applyFill="1" applyBorder="1" applyAlignment="1">
      <alignment horizontal="left" vertical="top" wrapText="1"/>
    </xf>
    <xf numFmtId="0" fontId="0" fillId="22" borderId="12" xfId="0" applyFill="1" applyBorder="1" applyAlignment="1">
      <alignment wrapText="1"/>
    </xf>
    <xf numFmtId="0" fontId="0" fillId="24" borderId="2" xfId="0" applyFill="1" applyBorder="1" applyAlignment="1">
      <alignment horizontal="left" vertical="top" wrapText="1"/>
    </xf>
    <xf numFmtId="0" fontId="0" fillId="24" borderId="12" xfId="0" applyFill="1" applyBorder="1" applyAlignment="1">
      <alignment wrapText="1"/>
    </xf>
    <xf numFmtId="0" fontId="0" fillId="0" borderId="13" xfId="0" applyBorder="1" applyAlignment="1">
      <alignment wrapText="1"/>
    </xf>
    <xf numFmtId="0" fontId="0" fillId="0" borderId="14" xfId="0" applyBorder="1" applyAlignment="1">
      <alignment wrapText="1"/>
    </xf>
    <xf numFmtId="0" fontId="0" fillId="0" borderId="15" xfId="0" applyBorder="1" applyAlignment="1">
      <alignment wrapText="1"/>
    </xf>
    <xf numFmtId="0" fontId="0" fillId="20" borderId="2" xfId="0" applyFont="1" applyFill="1" applyBorder="1" applyAlignment="1">
      <alignment horizontal="left" vertical="top" wrapText="1"/>
    </xf>
    <xf numFmtId="0" fontId="5" fillId="20" borderId="2" xfId="0" applyFont="1" applyFill="1" applyBorder="1" applyAlignment="1">
      <alignment horizontal="left" vertical="top" wrapText="1"/>
    </xf>
    <xf numFmtId="0" fontId="0" fillId="11" borderId="2" xfId="0" applyFill="1" applyBorder="1" applyAlignment="1">
      <alignment vertical="top" wrapText="1"/>
    </xf>
    <xf numFmtId="0" fontId="0" fillId="19" borderId="2" xfId="0" applyFont="1" applyFill="1" applyBorder="1" applyAlignment="1">
      <alignment vertical="top" wrapText="1"/>
    </xf>
    <xf numFmtId="0" fontId="0" fillId="19" borderId="2" xfId="0" applyFont="1" applyFill="1" applyBorder="1" applyAlignment="1">
      <alignment horizontal="left" vertical="top" wrapText="1"/>
    </xf>
    <xf numFmtId="0" fontId="0" fillId="19" borderId="2" xfId="0" applyFill="1" applyBorder="1" applyAlignment="1">
      <alignment horizontal="left" vertical="top" wrapText="1"/>
    </xf>
    <xf numFmtId="0" fontId="0" fillId="19" borderId="2" xfId="0" applyFill="1" applyBorder="1" applyAlignment="1">
      <alignment vertical="top" wrapText="1"/>
    </xf>
    <xf numFmtId="0" fontId="19" fillId="5" borderId="2" xfId="0" applyFont="1" applyFill="1" applyBorder="1" applyAlignment="1">
      <alignment vertical="top" wrapText="1"/>
    </xf>
    <xf numFmtId="0" fontId="19" fillId="20" borderId="2" xfId="0" applyFont="1" applyFill="1" applyBorder="1" applyAlignment="1">
      <alignment vertical="top" wrapText="1"/>
    </xf>
    <xf numFmtId="0" fontId="22" fillId="5" borderId="2" xfId="0" applyFont="1" applyFill="1" applyBorder="1" applyAlignment="1">
      <alignment vertical="top" wrapText="1"/>
    </xf>
    <xf numFmtId="0" fontId="24" fillId="5" borderId="2" xfId="0" applyFont="1" applyFill="1" applyBorder="1" applyAlignment="1">
      <alignment vertical="top" wrapText="1"/>
    </xf>
    <xf numFmtId="0" fontId="19" fillId="21" borderId="2" xfId="0" applyFont="1" applyFill="1" applyBorder="1" applyAlignment="1">
      <alignment vertical="top" wrapText="1"/>
    </xf>
    <xf numFmtId="0" fontId="0" fillId="9" borderId="2" xfId="0" applyFill="1" applyBorder="1" applyAlignment="1">
      <alignment vertical="top" wrapText="1"/>
    </xf>
    <xf numFmtId="0" fontId="5" fillId="22" borderId="2" xfId="0" applyFont="1" applyFill="1" applyBorder="1" applyAlignment="1">
      <alignment horizontal="left" vertical="top" wrapText="1"/>
    </xf>
    <xf numFmtId="0" fontId="0" fillId="24" borderId="2" xfId="0" applyFont="1" applyFill="1" applyBorder="1" applyAlignment="1">
      <alignment horizontal="left" vertical="top" wrapText="1"/>
    </xf>
    <xf numFmtId="0" fontId="0" fillId="24" borderId="2" xfId="0" applyFill="1" applyBorder="1" applyAlignment="1">
      <alignment vertical="top" wrapText="1"/>
    </xf>
    <xf numFmtId="0" fontId="1" fillId="24" borderId="2" xfId="0" applyFont="1" applyFill="1" applyBorder="1" applyAlignment="1">
      <alignment vertical="top" wrapText="1"/>
    </xf>
    <xf numFmtId="0" fontId="6" fillId="24" borderId="2" xfId="0" applyFont="1" applyFill="1" applyBorder="1" applyAlignment="1">
      <alignment vertical="top" wrapText="1"/>
    </xf>
    <xf numFmtId="0" fontId="5" fillId="24" borderId="2" xfId="0" applyFont="1" applyFill="1" applyBorder="1" applyAlignment="1">
      <alignment horizontal="left" vertical="top" wrapText="1"/>
    </xf>
    <xf numFmtId="0" fontId="6" fillId="24" borderId="2" xfId="0" applyFont="1" applyFill="1" applyBorder="1" applyAlignment="1">
      <alignment horizontal="left" vertical="top" wrapText="1"/>
    </xf>
    <xf numFmtId="0" fontId="27" fillId="7" borderId="9" xfId="0" applyFont="1" applyFill="1" applyBorder="1" applyAlignment="1">
      <alignment vertical="top" wrapText="1"/>
    </xf>
    <xf numFmtId="0" fontId="0" fillId="8" borderId="2" xfId="0" applyFill="1" applyBorder="1" applyAlignment="1">
      <alignment horizontal="left" vertical="top" wrapText="1"/>
    </xf>
    <xf numFmtId="0" fontId="5" fillId="11" borderId="2" xfId="0" applyFont="1" applyFill="1" applyBorder="1" applyAlignment="1">
      <alignment horizontal="left" vertical="top" wrapText="1"/>
    </xf>
    <xf numFmtId="0" fontId="0" fillId="5" borderId="2" xfId="0" applyFill="1" applyBorder="1" applyAlignment="1">
      <alignment horizontal="left" vertical="top" wrapText="1"/>
    </xf>
    <xf numFmtId="0" fontId="6" fillId="5" borderId="2" xfId="0" applyFont="1" applyFill="1" applyBorder="1" applyAlignment="1">
      <alignment vertical="top" wrapText="1"/>
    </xf>
    <xf numFmtId="0" fontId="0" fillId="5" borderId="2" xfId="0" applyFill="1" applyBorder="1" applyAlignment="1">
      <alignment vertical="top" wrapText="1"/>
    </xf>
    <xf numFmtId="0" fontId="6" fillId="5" borderId="2" xfId="0" applyFont="1" applyFill="1" applyBorder="1" applyAlignment="1">
      <alignment horizontal="left" vertical="top" wrapText="1"/>
    </xf>
    <xf numFmtId="0" fontId="0" fillId="21" borderId="2" xfId="0" applyFill="1" applyBorder="1" applyAlignment="1">
      <alignment vertical="top" wrapText="1"/>
    </xf>
    <xf numFmtId="0" fontId="5" fillId="9" borderId="2" xfId="0" applyFont="1" applyFill="1" applyBorder="1" applyAlignment="1">
      <alignment horizontal="left" vertical="top" wrapText="1"/>
    </xf>
    <xf numFmtId="0" fontId="0" fillId="22" borderId="2" xfId="0" applyFill="1" applyBorder="1" applyAlignment="1">
      <alignment vertical="top" wrapText="1"/>
    </xf>
    <xf numFmtId="0" fontId="0" fillId="0" borderId="14" xfId="0" applyBorder="1" applyAlignment="1">
      <alignment vertical="top" wrapText="1"/>
    </xf>
    <xf numFmtId="0" fontId="0" fillId="20" borderId="2" xfId="0" applyFill="1" applyBorder="1" applyAlignment="1">
      <alignment vertical="top" wrapText="1"/>
    </xf>
    <xf numFmtId="0" fontId="0" fillId="5" borderId="2" xfId="0" applyFont="1" applyFill="1" applyBorder="1" applyAlignment="1">
      <alignment vertical="top" wrapText="1"/>
    </xf>
    <xf numFmtId="0" fontId="29" fillId="5" borderId="2" xfId="0" applyFont="1" applyFill="1" applyBorder="1" applyAlignment="1">
      <alignment vertical="top" wrapText="1"/>
    </xf>
    <xf numFmtId="0" fontId="6" fillId="9" borderId="2" xfId="0" applyFont="1" applyFill="1" applyBorder="1" applyAlignment="1">
      <alignment vertical="top" wrapText="1"/>
    </xf>
    <xf numFmtId="0" fontId="6" fillId="22" borderId="2" xfId="0" applyFont="1" applyFill="1" applyBorder="1" applyAlignment="1">
      <alignment horizontal="left" vertical="top" wrapText="1"/>
    </xf>
    <xf numFmtId="0" fontId="1" fillId="5" borderId="2" xfId="0" applyFont="1" applyFill="1" applyBorder="1" applyAlignment="1">
      <alignment vertical="top" wrapText="1"/>
    </xf>
    <xf numFmtId="0" fontId="26" fillId="5" borderId="2" xfId="0" applyFont="1" applyFill="1" applyBorder="1" applyAlignment="1">
      <alignment vertical="top" wrapText="1"/>
    </xf>
    <xf numFmtId="0" fontId="0" fillId="21" borderId="2" xfId="0" applyFill="1" applyBorder="1" applyAlignment="1">
      <alignment horizontal="center" vertical="top" wrapText="1"/>
    </xf>
    <xf numFmtId="0" fontId="27" fillId="7" borderId="9" xfId="0" applyFont="1" applyFill="1" applyBorder="1" applyAlignment="1">
      <alignment horizontal="left" vertical="top" wrapText="1"/>
    </xf>
    <xf numFmtId="0" fontId="6" fillId="20" borderId="2" xfId="0" applyFont="1" applyFill="1" applyBorder="1" applyAlignment="1">
      <alignment horizontal="left" vertical="top" wrapText="1"/>
    </xf>
    <xf numFmtId="0" fontId="6" fillId="19" borderId="2" xfId="0" applyFont="1" applyFill="1" applyBorder="1" applyAlignment="1">
      <alignment horizontal="left" vertical="top" wrapText="1"/>
    </xf>
    <xf numFmtId="0" fontId="0" fillId="21" borderId="2" xfId="0" applyFill="1" applyBorder="1" applyAlignment="1">
      <alignment horizontal="left" vertical="top" wrapText="1"/>
    </xf>
    <xf numFmtId="0" fontId="0" fillId="0" borderId="14" xfId="0" applyBorder="1" applyAlignment="1">
      <alignment horizontal="left" vertical="top" wrapText="1"/>
    </xf>
    <xf numFmtId="0" fontId="19" fillId="5" borderId="2" xfId="0" applyFont="1" applyFill="1" applyBorder="1" applyAlignment="1">
      <alignment horizontal="left" vertical="top" wrapText="1"/>
    </xf>
    <xf numFmtId="0" fontId="20" fillId="5" borderId="2" xfId="0" applyFont="1" applyFill="1" applyBorder="1" applyAlignment="1">
      <alignment horizontal="left" vertical="top" wrapText="1"/>
    </xf>
    <xf numFmtId="0" fontId="19" fillId="20" borderId="2" xfId="0" applyFont="1" applyFill="1" applyBorder="1" applyAlignment="1">
      <alignment horizontal="left" vertical="top" wrapText="1"/>
    </xf>
    <xf numFmtId="0" fontId="21" fillId="5" borderId="2" xfId="0" applyFont="1" applyFill="1" applyBorder="1" applyAlignment="1">
      <alignment horizontal="left" vertical="top" wrapText="1"/>
    </xf>
    <xf numFmtId="0" fontId="21" fillId="20" borderId="2" xfId="0" applyFont="1" applyFill="1" applyBorder="1" applyAlignment="1">
      <alignment horizontal="left" vertical="top" wrapText="1"/>
    </xf>
    <xf numFmtId="0" fontId="19" fillId="21" borderId="2" xfId="0" applyFont="1" applyFill="1" applyBorder="1" applyAlignment="1">
      <alignment horizontal="left" vertical="top" wrapText="1"/>
    </xf>
    <xf numFmtId="0" fontId="6" fillId="9" borderId="2" xfId="0" applyFont="1" applyFill="1" applyBorder="1" applyAlignment="1">
      <alignment horizontal="left" vertical="top" wrapText="1"/>
    </xf>
    <xf numFmtId="0" fontId="0" fillId="11" borderId="11" xfId="0" applyFill="1" applyBorder="1" applyAlignment="1">
      <alignment vertical="top" wrapText="1"/>
    </xf>
    <xf numFmtId="0" fontId="0" fillId="5" borderId="11" xfId="0" applyFill="1" applyBorder="1" applyAlignment="1">
      <alignment vertical="top" wrapText="1"/>
    </xf>
    <xf numFmtId="0" fontId="0" fillId="5" borderId="11" xfId="0" applyFill="1" applyBorder="1" applyAlignment="1">
      <alignment horizontal="left" vertical="top" wrapText="1"/>
    </xf>
    <xf numFmtId="0" fontId="0" fillId="21" borderId="11" xfId="0" applyFill="1" applyBorder="1" applyAlignment="1">
      <alignment horizontal="left" vertical="top" wrapText="1"/>
    </xf>
    <xf numFmtId="0" fontId="0" fillId="21" borderId="11" xfId="0" applyFill="1" applyBorder="1" applyAlignment="1">
      <alignment vertical="top" wrapText="1"/>
    </xf>
    <xf numFmtId="0" fontId="0" fillId="9" borderId="11" xfId="0" applyFill="1" applyBorder="1" applyAlignment="1">
      <alignment horizontal="left" vertical="top" wrapText="1"/>
    </xf>
    <xf numFmtId="0" fontId="0" fillId="22" borderId="11" xfId="0" applyFill="1" applyBorder="1" applyAlignment="1">
      <alignment horizontal="left" vertical="top" wrapText="1"/>
    </xf>
    <xf numFmtId="0" fontId="0" fillId="24" borderId="11" xfId="0" applyFill="1" applyBorder="1" applyAlignment="1">
      <alignment horizontal="left" vertical="top" wrapText="1"/>
    </xf>
    <xf numFmtId="0" fontId="0" fillId="22" borderId="27" xfId="0" applyFill="1" applyBorder="1" applyAlignment="1">
      <alignment wrapText="1"/>
    </xf>
    <xf numFmtId="0" fontId="0" fillId="0" borderId="0" xfId="0" applyAlignment="1">
      <alignment wrapText="1"/>
    </xf>
    <xf numFmtId="0" fontId="28" fillId="0" borderId="64" xfId="0" applyFont="1" applyBorder="1" applyAlignment="1">
      <alignment wrapText="1"/>
    </xf>
    <xf numFmtId="0" fontId="7" fillId="11" borderId="0" xfId="0" applyFont="1" applyFill="1" applyAlignment="1">
      <alignment wrapText="1"/>
    </xf>
    <xf numFmtId="0" fontId="0" fillId="0" borderId="0" xfId="0" applyAlignment="1">
      <alignment horizontal="left" vertical="top" wrapText="1"/>
    </xf>
    <xf numFmtId="0" fontId="0" fillId="0" borderId="0" xfId="0" applyAlignment="1">
      <alignment vertical="top" wrapText="1"/>
    </xf>
    <xf numFmtId="0" fontId="7" fillId="23" borderId="0" xfId="0" applyFont="1" applyFill="1" applyAlignment="1">
      <alignment wrapText="1"/>
    </xf>
    <xf numFmtId="0" fontId="7" fillId="9" borderId="0" xfId="0" applyFont="1" applyFill="1" applyAlignment="1">
      <alignment wrapText="1"/>
    </xf>
    <xf numFmtId="0" fontId="7" fillId="24" borderId="0" xfId="0" applyFont="1" applyFill="1" applyAlignment="1">
      <alignment wrapText="1"/>
    </xf>
    <xf numFmtId="0" fontId="0" fillId="11" borderId="21" xfId="0" applyFill="1" applyBorder="1" applyAlignment="1">
      <alignment horizontal="left" vertical="top" wrapText="1"/>
    </xf>
    <xf numFmtId="0" fontId="0" fillId="0" borderId="0" xfId="0" applyFill="1" applyAlignment="1">
      <alignment wrapText="1"/>
    </xf>
    <xf numFmtId="0" fontId="19" fillId="8" borderId="2" xfId="0" applyFont="1" applyFill="1" applyBorder="1" applyAlignment="1">
      <alignment wrapText="1"/>
    </xf>
    <xf numFmtId="0" fontId="19" fillId="5" borderId="67" xfId="0" applyFont="1" applyFill="1" applyBorder="1" applyAlignment="1">
      <alignment wrapText="1"/>
    </xf>
    <xf numFmtId="0" fontId="19" fillId="21" borderId="2" xfId="0" applyFont="1" applyFill="1" applyBorder="1" applyAlignment="1">
      <alignment wrapText="1"/>
    </xf>
    <xf numFmtId="0" fontId="0" fillId="9" borderId="25" xfId="0" applyFill="1" applyBorder="1" applyAlignment="1">
      <alignment wrapText="1"/>
    </xf>
    <xf numFmtId="0" fontId="0" fillId="9" borderId="27" xfId="0" applyFill="1" applyBorder="1" applyAlignment="1">
      <alignment wrapText="1"/>
    </xf>
    <xf numFmtId="0" fontId="0" fillId="9" borderId="43" xfId="0" applyFill="1" applyBorder="1" applyAlignment="1">
      <alignment wrapText="1"/>
    </xf>
    <xf numFmtId="0" fontId="0" fillId="22" borderId="43" xfId="0" applyFill="1" applyBorder="1" applyAlignment="1">
      <alignment wrapText="1"/>
    </xf>
    <xf numFmtId="0" fontId="0" fillId="22" borderId="34" xfId="0" applyFill="1" applyBorder="1" applyAlignment="1">
      <alignment wrapText="1"/>
    </xf>
    <xf numFmtId="0" fontId="6" fillId="0" borderId="2" xfId="0" applyFont="1" applyFill="1" applyBorder="1" applyAlignment="1">
      <alignment wrapText="1"/>
    </xf>
    <xf numFmtId="0" fontId="0" fillId="0" borderId="34" xfId="0" applyBorder="1" applyAlignment="1">
      <alignment horizontal="left" vertical="center" wrapText="1"/>
    </xf>
    <xf numFmtId="0" fontId="0" fillId="5" borderId="2" xfId="0" applyFont="1" applyFill="1" applyBorder="1" applyAlignment="1">
      <alignment horizontal="left" vertical="center" wrapText="1"/>
    </xf>
    <xf numFmtId="0" fontId="0" fillId="0" borderId="0" xfId="0" applyAlignment="1">
      <alignment horizontal="left" vertical="top"/>
    </xf>
    <xf numFmtId="0" fontId="0" fillId="0" borderId="4" xfId="0" applyFill="1" applyBorder="1" applyAlignment="1">
      <alignment horizontal="left" vertical="center"/>
    </xf>
    <xf numFmtId="0" fontId="6" fillId="0" borderId="0" xfId="0" applyFont="1" applyAlignment="1">
      <alignment wrapText="1"/>
    </xf>
    <xf numFmtId="0" fontId="31" fillId="0" borderId="0" xfId="0" applyFont="1" applyAlignment="1">
      <alignment vertical="center"/>
    </xf>
    <xf numFmtId="0" fontId="5" fillId="5" borderId="2" xfId="0" applyFont="1" applyFill="1" applyBorder="1" applyAlignment="1">
      <alignment horizontal="left" vertical="center" wrapText="1"/>
    </xf>
    <xf numFmtId="0" fontId="6" fillId="22" borderId="2" xfId="0" applyFont="1" applyFill="1" applyBorder="1" applyAlignment="1">
      <alignment horizontal="left" vertical="center" wrapText="1"/>
    </xf>
    <xf numFmtId="0" fontId="0" fillId="24" borderId="2" xfId="0" applyFill="1" applyBorder="1" applyAlignment="1">
      <alignment horizontal="left" vertical="center" wrapText="1"/>
    </xf>
    <xf numFmtId="0" fontId="6" fillId="24" borderId="2" xfId="0" applyFont="1" applyFill="1" applyBorder="1" applyAlignment="1">
      <alignment horizontal="left" vertical="center" wrapText="1"/>
    </xf>
    <xf numFmtId="0" fontId="0" fillId="5" borderId="2" xfId="0" applyFill="1" applyBorder="1" applyAlignment="1">
      <alignment vertical="center" wrapText="1"/>
    </xf>
    <xf numFmtId="0" fontId="6" fillId="5" borderId="2" xfId="0" applyFont="1" applyFill="1" applyBorder="1" applyAlignment="1">
      <alignment vertical="center" wrapText="1"/>
    </xf>
    <xf numFmtId="0" fontId="0" fillId="21" borderId="2" xfId="0" applyFill="1" applyBorder="1" applyAlignment="1">
      <alignment vertical="center" wrapText="1"/>
    </xf>
    <xf numFmtId="0" fontId="0" fillId="9" borderId="2" xfId="0" applyFill="1" applyBorder="1" applyAlignment="1">
      <alignment vertical="center" wrapText="1"/>
    </xf>
    <xf numFmtId="0" fontId="0" fillId="22" borderId="2" xfId="0" applyFill="1" applyBorder="1" applyAlignment="1">
      <alignment vertical="center" wrapText="1"/>
    </xf>
    <xf numFmtId="0" fontId="0" fillId="24" borderId="2" xfId="0" applyFill="1" applyBorder="1" applyAlignment="1">
      <alignment vertical="center" wrapText="1"/>
    </xf>
    <xf numFmtId="0" fontId="6" fillId="24" borderId="2" xfId="0" applyFont="1" applyFill="1" applyBorder="1" applyAlignment="1">
      <alignment vertical="center" wrapText="1"/>
    </xf>
    <xf numFmtId="0" fontId="0" fillId="0" borderId="0" xfId="0" applyAlignment="1">
      <alignment vertical="center" wrapText="1"/>
    </xf>
    <xf numFmtId="0" fontId="0" fillId="11" borderId="2" xfId="0" applyFill="1" applyBorder="1" applyAlignment="1">
      <alignment vertical="center" wrapText="1"/>
    </xf>
    <xf numFmtId="0" fontId="6" fillId="20" borderId="2" xfId="0" applyFont="1" applyFill="1" applyBorder="1" applyAlignment="1">
      <alignment horizontal="left" vertical="center" wrapText="1"/>
    </xf>
    <xf numFmtId="0" fontId="5" fillId="11" borderId="2" xfId="0" applyFont="1" applyFill="1" applyBorder="1" applyAlignment="1">
      <alignment horizontal="left" vertical="center" wrapText="1"/>
    </xf>
    <xf numFmtId="0" fontId="5" fillId="9" borderId="2" xfId="0" applyFont="1" applyFill="1" applyBorder="1" applyAlignment="1">
      <alignment vertical="center" wrapText="1"/>
    </xf>
    <xf numFmtId="0" fontId="0" fillId="0" borderId="14" xfId="0" applyBorder="1" applyAlignment="1">
      <alignment vertical="center" wrapText="1"/>
    </xf>
    <xf numFmtId="0" fontId="0" fillId="0" borderId="68" xfId="0" applyBorder="1" applyAlignment="1">
      <alignment vertical="center" wrapText="1"/>
    </xf>
    <xf numFmtId="0" fontId="0" fillId="0" borderId="36" xfId="0" applyBorder="1" applyAlignment="1">
      <alignment vertical="center" wrapText="1"/>
    </xf>
    <xf numFmtId="0" fontId="0" fillId="0" borderId="6" xfId="0" applyBorder="1" applyAlignment="1">
      <alignment horizontal="left" vertical="center" wrapText="1"/>
    </xf>
    <xf numFmtId="0" fontId="27" fillId="7" borderId="9" xfId="0" applyFont="1" applyFill="1" applyBorder="1" applyAlignment="1">
      <alignment horizontal="left" vertical="center" wrapText="1"/>
    </xf>
    <xf numFmtId="0" fontId="0" fillId="0" borderId="0" xfId="0" applyAlignment="1">
      <alignment horizontal="left" vertical="center" wrapText="1"/>
    </xf>
    <xf numFmtId="0" fontId="6" fillId="11" borderId="2" xfId="0" applyFont="1" applyFill="1" applyBorder="1" applyAlignment="1">
      <alignment horizontal="left" vertical="center" wrapText="1"/>
    </xf>
    <xf numFmtId="0" fontId="6" fillId="8" borderId="2" xfId="0" applyFont="1" applyFill="1" applyBorder="1" applyAlignment="1">
      <alignment horizontal="left" vertical="center" wrapText="1"/>
    </xf>
    <xf numFmtId="0" fontId="0" fillId="0" borderId="14" xfId="0" applyBorder="1" applyAlignment="1">
      <alignment horizontal="left" vertical="center" wrapText="1"/>
    </xf>
    <xf numFmtId="0" fontId="6" fillId="11" borderId="2" xfId="0" applyFont="1" applyFill="1" applyBorder="1" applyAlignment="1">
      <alignment horizontal="center" vertical="center" wrapText="1"/>
    </xf>
    <xf numFmtId="0" fontId="0" fillId="11" borderId="12" xfId="0" applyFill="1" applyBorder="1" applyAlignment="1">
      <alignment vertical="center" wrapText="1"/>
    </xf>
    <xf numFmtId="0" fontId="0" fillId="0" borderId="4" xfId="0" applyFill="1" applyBorder="1" applyAlignment="1">
      <alignment horizontal="left" vertic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19" fillId="5" borderId="3" xfId="0" applyFont="1" applyFill="1" applyBorder="1" applyAlignment="1">
      <alignment horizontal="left" vertical="center"/>
    </xf>
    <xf numFmtId="0" fontId="19" fillId="5" borderId="4" xfId="0" applyFont="1" applyFill="1" applyBorder="1" applyAlignment="1">
      <alignment horizontal="left" vertical="center"/>
    </xf>
    <xf numFmtId="0" fontId="19"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6" fillId="6" borderId="2" xfId="0" applyFont="1" applyFill="1" applyBorder="1" applyAlignment="1">
      <alignment horizontal="left" vertical="top" wrapText="1"/>
    </xf>
    <xf numFmtId="0" fontId="6" fillId="19" borderId="2" xfId="0" applyFont="1" applyFill="1" applyBorder="1" applyAlignment="1">
      <alignment horizontal="left" vertical="center" wrapText="1"/>
    </xf>
    <xf numFmtId="0" fontId="6" fillId="19" borderId="2" xfId="0" applyFont="1" applyFill="1" applyBorder="1" applyAlignment="1">
      <alignment vertical="center" wrapText="1"/>
    </xf>
    <xf numFmtId="0" fontId="5" fillId="20" borderId="2" xfId="0" applyFont="1" applyFill="1" applyBorder="1" applyAlignment="1">
      <alignment vertical="center" wrapText="1"/>
    </xf>
    <xf numFmtId="0" fontId="0" fillId="6" borderId="2" xfId="0" applyFill="1" applyBorder="1" applyAlignment="1">
      <alignment horizontal="left" vertical="top" wrapText="1"/>
    </xf>
    <xf numFmtId="0" fontId="6" fillId="8" borderId="12" xfId="0" applyFont="1" applyFill="1" applyBorder="1" applyAlignment="1">
      <alignment wrapText="1"/>
    </xf>
    <xf numFmtId="0" fontId="5" fillId="8" borderId="2" xfId="0" applyFont="1" applyFill="1" applyBorder="1" applyAlignment="1">
      <alignment horizontal="left" vertical="center" wrapText="1"/>
    </xf>
    <xf numFmtId="0" fontId="6" fillId="9" borderId="2" xfId="0" applyFont="1" applyFill="1" applyBorder="1" applyAlignment="1">
      <alignment horizontal="left" vertical="center" wrapText="1"/>
    </xf>
    <xf numFmtId="0" fontId="6" fillId="9" borderId="2" xfId="0" applyFont="1" applyFill="1" applyBorder="1" applyAlignment="1">
      <alignment vertical="center" wrapText="1"/>
    </xf>
    <xf numFmtId="0" fontId="21" fillId="5" borderId="2" xfId="0" applyFont="1" applyFill="1" applyBorder="1" applyAlignment="1">
      <alignment vertical="top" wrapText="1"/>
    </xf>
    <xf numFmtId="16" fontId="0" fillId="0" borderId="0" xfId="0" applyNumberFormat="1" applyAlignment="1">
      <alignment horizontal="center" vertical="center"/>
    </xf>
  </cellXfs>
  <cellStyles count="1">
    <cellStyle name="Normal" xfId="0" builtinId="0"/>
  </cellStyles>
  <dxfs count="63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textRotation="0" wrapText="1" justifyLastLine="0" shrinkToFit="0" readingOrder="0"/>
    </dxf>
    <dxf>
      <alignment textRotation="0" wrapText="1" justifyLastLine="0" shrinkToFit="0" readingOrder="0"/>
    </dxf>
    <dxf>
      <alignment textRotation="0" wrapText="1" justifyLastLine="0" shrinkToFit="0" readingOrder="0"/>
    </dxf>
    <dxf>
      <alignment textRotation="0" wrapText="1"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4"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4923D90-FC5B-4E2C-8AF4-48367E25215C}" name="Table1" displayName="Table1" ref="C11:U279" totalsRowShown="0" headerRowDxfId="637" dataDxfId="635" headerRowBorderDxfId="636">
  <autoFilter ref="C11:U279" xr:uid="{5AC71680-DE96-4D5C-A1F5-D9F97567B45C}"/>
  <tableColumns count="19">
    <tableColumn id="1" xr3:uid="{E22C7A7E-4507-4E6C-A1D4-8188CE931144}" name="Fuse Registers" dataDxfId="634"/>
    <tableColumn id="2" xr3:uid="{2C7A8A4A-B6E5-4643-9050-2B6173F06F5E}" name="Fuse name" dataDxfId="633"/>
    <tableColumn id="3" xr3:uid="{C6D58C12-721E-444E-80B2-F4544FAECF46}" name="Parameter" dataDxfId="632"/>
    <tableColumn id="4" xr3:uid="{AFF9CE6A-9972-4C9E-ADA5-3ED797874252}" name="Attributes (eg: BOD=True, others=False)" dataDxfId="631"/>
    <tableColumn id="5" xr3:uid="{1E76332D-E1F5-428A-93CF-88A8E3A5D6BA}" name="Group" dataDxfId="630"/>
    <tableColumn id="6" xr3:uid="{E547DB44-1FE9-4FDF-8E84-70A6A4D0CCF3}" name="Bit Width" dataDxfId="629"/>
    <tableColumn id="7" xr3:uid="{A729247C-EA8B-401C-B8E0-60800AA81E43}" name="Receiver Addr" dataDxfId="628"/>
    <tableColumn id="18" xr3:uid="{5125DD6A-E279-4F9A-8753-C9A7A1A6FA0D}" name="Descriptions " dataDxfId="627"/>
    <tableColumn id="11" xr3:uid="{E0D899E0-977F-4D52-BD93-366FE05CBE45}" name="ADP-S" dataDxfId="626"/>
    <tableColumn id="8" xr3:uid="{25C821DF-500A-4A46-963C-E87A53F80A51}" name="MTL-M CSME" dataDxfId="625"/>
    <tableColumn id="10" xr3:uid="{B4902C32-9532-4709-B0EE-8C7F1CB1C4B2}" name="MTL-M ESE" dataDxfId="624"/>
    <tableColumn id="14" xr3:uid="{6F3282FA-91A1-4B95-99F9-A71BABC7BC0A}" name="MTP-PCH-S CSME" dataDxfId="623"/>
    <tableColumn id="15" xr3:uid="{2275D0E0-2047-419C-B326-348DEA27C9D8}" name="MTP-PCH-S ESE" dataDxfId="622"/>
    <tableColumn id="17" xr3:uid="{0AA5A55A-4C87-4146-8910-718B909D6A28}" name="MTL-SOC-S CSE" dataDxfId="621"/>
    <tableColumn id="16" xr3:uid="{C52400B3-3395-491E-8BF5-3DE6BC0DA728}" name="MTL-SOC-S ESE" dataDxfId="620"/>
    <tableColumn id="9" xr3:uid="{43AE5AC5-7820-4C04-AF58-8C240F6E7743}" name="Note" dataDxfId="619"/>
    <tableColumn id="12" xr3:uid="{A037F08A-8070-4376-A336-A6DC23C455BE}" name="MB Comment (8/31)" dataDxfId="618"/>
    <tableColumn id="13" xr3:uid="{EEF5ECCA-8B0F-4240-AAD3-8CF46E57CF5C}" name="ELI Comment (8/31)" dataDxfId="617"/>
    <tableColumn id="19" xr3:uid="{D5C5684C-CDE4-4936-B7CC-F8BA1EF2A608}" name="yanai (9/1)" dataDxfId="616"/>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2.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8"/>
  <sheetViews>
    <sheetView tabSelected="1" topLeftCell="A25" workbookViewId="0">
      <selection activeCell="C30" sqref="C30"/>
    </sheetView>
  </sheetViews>
  <sheetFormatPr defaultRowHeight="14.4" x14ac:dyDescent="0.3"/>
  <cols>
    <col min="1" max="1" width="10" bestFit="1" customWidth="1"/>
    <col min="2" max="2" width="10.44140625" bestFit="1" customWidth="1"/>
    <col min="3" max="3" width="20.6640625" customWidth="1"/>
    <col min="4" max="4" width="126.88671875" customWidth="1"/>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s="15" customFormat="1"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6">
        <v>14</v>
      </c>
      <c r="B15" s="137">
        <v>43920</v>
      </c>
      <c r="C15" s="127" t="s">
        <v>555</v>
      </c>
      <c r="D15" s="138" t="s">
        <v>808</v>
      </c>
    </row>
    <row r="16" spans="1:4" ht="86.4" x14ac:dyDescent="0.3">
      <c r="A16" s="136">
        <v>15</v>
      </c>
      <c r="B16" s="137">
        <v>43979</v>
      </c>
      <c r="C16" s="131" t="s">
        <v>555</v>
      </c>
      <c r="D16" s="138" t="s">
        <v>882</v>
      </c>
    </row>
    <row r="17" spans="1:4" ht="43.2" x14ac:dyDescent="0.3">
      <c r="A17" s="136">
        <v>16</v>
      </c>
      <c r="B17" s="137">
        <v>43979</v>
      </c>
      <c r="C17" s="140" t="s">
        <v>555</v>
      </c>
      <c r="D17" s="138" t="s">
        <v>886</v>
      </c>
    </row>
    <row r="18" spans="1:4" x14ac:dyDescent="0.3">
      <c r="A18" s="136">
        <v>17</v>
      </c>
      <c r="B18" s="195">
        <v>43999</v>
      </c>
      <c r="C18" s="16" t="s">
        <v>555</v>
      </c>
      <c r="D18" s="16" t="s">
        <v>887</v>
      </c>
    </row>
    <row r="19" spans="1:4" x14ac:dyDescent="0.3">
      <c r="A19" s="136">
        <v>18</v>
      </c>
      <c r="B19" s="195">
        <v>44012</v>
      </c>
      <c r="C19" s="16" t="s">
        <v>555</v>
      </c>
      <c r="D19" s="16" t="s">
        <v>1105</v>
      </c>
    </row>
    <row r="20" spans="1:4" x14ac:dyDescent="0.3">
      <c r="A20" s="136">
        <v>19</v>
      </c>
      <c r="B20" s="195">
        <v>44018</v>
      </c>
      <c r="C20" s="16" t="s">
        <v>555</v>
      </c>
      <c r="D20" s="16" t="s">
        <v>1147</v>
      </c>
    </row>
    <row r="21" spans="1:4" ht="28.8" x14ac:dyDescent="0.3">
      <c r="A21" s="136">
        <v>20</v>
      </c>
      <c r="B21" s="239">
        <v>44028</v>
      </c>
      <c r="C21" s="238" t="s">
        <v>555</v>
      </c>
      <c r="D21" s="141" t="s">
        <v>1149</v>
      </c>
    </row>
    <row r="22" spans="1:4" ht="28.8" x14ac:dyDescent="0.3">
      <c r="A22" s="136">
        <v>21</v>
      </c>
      <c r="B22" s="239">
        <v>44039</v>
      </c>
      <c r="C22" s="240" t="s">
        <v>555</v>
      </c>
      <c r="D22" s="141" t="s">
        <v>1156</v>
      </c>
    </row>
    <row r="23" spans="1:4" ht="28.8" x14ac:dyDescent="0.3">
      <c r="A23" s="136">
        <v>22</v>
      </c>
      <c r="B23" s="239">
        <v>44042</v>
      </c>
      <c r="C23" s="244" t="s">
        <v>555</v>
      </c>
      <c r="D23" s="141" t="s">
        <v>1157</v>
      </c>
    </row>
    <row r="24" spans="1:4" ht="72" x14ac:dyDescent="0.3">
      <c r="A24" s="253">
        <v>23</v>
      </c>
      <c r="B24" s="260">
        <v>44055</v>
      </c>
      <c r="C24" s="247" t="s">
        <v>606</v>
      </c>
      <c r="D24" s="254" t="s">
        <v>1166</v>
      </c>
    </row>
    <row r="25" spans="1:4" ht="28.8" x14ac:dyDescent="0.3">
      <c r="A25" s="253">
        <v>24</v>
      </c>
      <c r="B25" s="260">
        <v>44056</v>
      </c>
      <c r="C25" s="248" t="s">
        <v>606</v>
      </c>
      <c r="D25" s="254" t="s">
        <v>1167</v>
      </c>
    </row>
    <row r="26" spans="1:4" ht="28.8" x14ac:dyDescent="0.3">
      <c r="A26" s="253">
        <v>25</v>
      </c>
      <c r="B26" s="260">
        <v>44056</v>
      </c>
      <c r="C26" s="257" t="s">
        <v>1168</v>
      </c>
      <c r="D26" s="254" t="s">
        <v>1175</v>
      </c>
    </row>
    <row r="27" spans="1:4" ht="100.8" x14ac:dyDescent="0.3">
      <c r="A27" s="253">
        <v>26</v>
      </c>
      <c r="B27" s="260">
        <v>44077</v>
      </c>
      <c r="C27" s="399" t="s">
        <v>1168</v>
      </c>
      <c r="D27" s="254" t="s">
        <v>1557</v>
      </c>
    </row>
    <row r="28" spans="1:4" ht="72" x14ac:dyDescent="0.3">
      <c r="A28" s="253">
        <v>27</v>
      </c>
      <c r="B28" s="510">
        <v>44098</v>
      </c>
      <c r="C28" s="429" t="s">
        <v>1168</v>
      </c>
      <c r="D28" s="377" t="s">
        <v>1590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pane xSplit="12" ySplit="4" topLeftCell="AD26" activePane="bottomRight" state="frozen"/>
      <selection pane="topRight" activeCell="M1" sqref="M1"/>
      <selection pane="bottomLeft" activeCell="A5" sqref="A5"/>
      <selection pane="bottomRight" activeCell="A32" sqref="A32"/>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8" width="12.6640625" customWidth="1"/>
    <col min="9" max="9" width="14.21875" customWidth="1"/>
    <col min="10" max="10" width="12.21875" customWidth="1"/>
    <col min="11" max="11" width="14.21875" customWidth="1"/>
    <col min="12"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33" t="s">
        <v>634</v>
      </c>
      <c r="D2" s="434"/>
      <c r="E2" s="430" t="s">
        <v>392</v>
      </c>
      <c r="F2" s="431"/>
      <c r="G2" s="432"/>
      <c r="H2" s="433" t="s">
        <v>634</v>
      </c>
      <c r="I2" s="435"/>
      <c r="J2" s="430" t="s">
        <v>392</v>
      </c>
      <c r="K2" s="431"/>
      <c r="L2" s="432"/>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258" t="s">
        <v>1169</v>
      </c>
      <c r="I3" s="105" t="s">
        <v>1170</v>
      </c>
      <c r="J3" s="61" t="s">
        <v>1172</v>
      </c>
      <c r="K3" s="61" t="s">
        <v>1173</v>
      </c>
      <c r="L3" s="61" t="s">
        <v>1174</v>
      </c>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v>1</v>
      </c>
      <c r="I5" s="16">
        <v>0</v>
      </c>
      <c r="J5" s="16">
        <v>0</v>
      </c>
      <c r="K5" s="16">
        <v>0</v>
      </c>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v>1</v>
      </c>
      <c r="I6" s="16">
        <v>0</v>
      </c>
      <c r="J6" s="16">
        <v>0</v>
      </c>
      <c r="K6" s="16">
        <v>0</v>
      </c>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v>1</v>
      </c>
      <c r="I7" s="16">
        <v>0</v>
      </c>
      <c r="J7" s="16">
        <v>0</v>
      </c>
      <c r="K7" s="16">
        <v>0</v>
      </c>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v>1</v>
      </c>
      <c r="I8" s="16">
        <v>1</v>
      </c>
      <c r="J8" s="16">
        <v>1</v>
      </c>
      <c r="K8" s="16">
        <v>1</v>
      </c>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63">
        <v>0</v>
      </c>
      <c r="I9" s="63">
        <v>0</v>
      </c>
      <c r="J9" s="63">
        <v>1</v>
      </c>
      <c r="K9" s="63">
        <v>0</v>
      </c>
      <c r="L9" s="16"/>
      <c r="M9" s="16"/>
      <c r="N9" s="16"/>
      <c r="O9" s="16"/>
      <c r="P9" s="16"/>
      <c r="Q9" s="16"/>
      <c r="R9" s="16"/>
      <c r="S9" s="16"/>
      <c r="T9" s="16"/>
      <c r="U9" s="16"/>
      <c r="V9" s="16"/>
      <c r="W9" s="16"/>
      <c r="X9" s="16"/>
      <c r="Y9" s="16"/>
      <c r="Z9" s="16"/>
      <c r="AA9" s="16"/>
      <c r="AB9" s="16"/>
      <c r="AC9" s="16"/>
      <c r="AD9" s="141" t="s">
        <v>817</v>
      </c>
    </row>
    <row r="10" spans="1:30" ht="13.5" customHeight="1" x14ac:dyDescent="0.3">
      <c r="A10" s="125" t="s">
        <v>224</v>
      </c>
      <c r="B10" s="16">
        <v>1</v>
      </c>
      <c r="C10" s="16">
        <v>1</v>
      </c>
      <c r="D10" s="16">
        <v>1</v>
      </c>
      <c r="E10" s="16">
        <v>1</v>
      </c>
      <c r="F10" s="16">
        <v>0</v>
      </c>
      <c r="G10" s="16">
        <v>0</v>
      </c>
      <c r="H10" s="16">
        <v>1</v>
      </c>
      <c r="I10" s="16">
        <v>0</v>
      </c>
      <c r="J10" s="16">
        <v>0</v>
      </c>
      <c r="K10" s="16">
        <v>0</v>
      </c>
      <c r="L10" s="16"/>
      <c r="M10" s="16"/>
      <c r="N10" s="16"/>
      <c r="O10" s="16"/>
      <c r="P10" s="16"/>
      <c r="Q10" s="16"/>
      <c r="R10" s="16"/>
      <c r="S10" s="16"/>
      <c r="T10" s="16"/>
      <c r="U10" s="16"/>
      <c r="V10" s="16"/>
      <c r="W10" s="16"/>
      <c r="X10" s="16"/>
      <c r="Y10" s="16"/>
      <c r="Z10" s="16"/>
      <c r="AA10" s="16"/>
      <c r="AB10" s="16"/>
      <c r="AC10" s="16"/>
      <c r="AD10" s="141" t="s">
        <v>818</v>
      </c>
    </row>
    <row r="11" spans="1:30" ht="13.5" customHeight="1" x14ac:dyDescent="0.3">
      <c r="A11" s="125" t="s">
        <v>394</v>
      </c>
      <c r="B11" s="16">
        <v>13</v>
      </c>
      <c r="C11" s="16">
        <v>15</v>
      </c>
      <c r="D11" s="16">
        <v>15</v>
      </c>
      <c r="E11" s="16">
        <v>13</v>
      </c>
      <c r="F11" s="57">
        <v>4</v>
      </c>
      <c r="G11" s="16">
        <v>5</v>
      </c>
      <c r="H11" s="16">
        <v>15</v>
      </c>
      <c r="I11" s="16">
        <v>5</v>
      </c>
      <c r="J11" s="16">
        <v>7</v>
      </c>
      <c r="K11" s="16">
        <v>5</v>
      </c>
      <c r="L11" s="16"/>
      <c r="M11" s="16"/>
      <c r="N11" s="16"/>
      <c r="O11" s="16"/>
      <c r="P11" s="16"/>
      <c r="Q11" s="16"/>
      <c r="R11" s="16"/>
      <c r="S11" s="16"/>
      <c r="T11" s="16"/>
      <c r="U11" s="16"/>
      <c r="V11" s="16"/>
      <c r="W11" s="16"/>
      <c r="X11" s="16"/>
      <c r="Y11" s="16"/>
      <c r="Z11" s="16"/>
      <c r="AA11" s="16"/>
      <c r="AB11" s="16"/>
      <c r="AC11" s="16"/>
      <c r="AD11" s="141" t="s">
        <v>819</v>
      </c>
    </row>
    <row r="12" spans="1:30" ht="13.5" customHeight="1" x14ac:dyDescent="0.3">
      <c r="A12" s="40" t="s">
        <v>636</v>
      </c>
      <c r="B12" s="16">
        <v>0</v>
      </c>
      <c r="C12" s="16">
        <v>0</v>
      </c>
      <c r="D12" s="16">
        <v>0</v>
      </c>
      <c r="E12" s="16">
        <v>0</v>
      </c>
      <c r="F12" s="16">
        <v>0</v>
      </c>
      <c r="G12" s="16">
        <v>0</v>
      </c>
      <c r="H12" s="16">
        <v>0</v>
      </c>
      <c r="I12" s="16">
        <v>0</v>
      </c>
      <c r="J12" s="16">
        <v>0</v>
      </c>
      <c r="K12" s="16">
        <v>0</v>
      </c>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259">
        <v>0</v>
      </c>
      <c r="I13" s="63">
        <v>0</v>
      </c>
      <c r="J13" s="63">
        <v>0</v>
      </c>
      <c r="K13" s="63">
        <v>0</v>
      </c>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45" t="s">
        <v>1151</v>
      </c>
      <c r="B14" s="16">
        <v>0</v>
      </c>
      <c r="C14" s="16">
        <v>0</v>
      </c>
      <c r="D14" s="16">
        <v>0</v>
      </c>
      <c r="E14" s="16">
        <v>1</v>
      </c>
      <c r="F14" s="16">
        <v>0</v>
      </c>
      <c r="G14" s="16">
        <v>0</v>
      </c>
      <c r="H14" s="63">
        <v>1</v>
      </c>
      <c r="I14" s="259">
        <v>0</v>
      </c>
      <c r="J14" s="259">
        <v>0</v>
      </c>
      <c r="K14" s="259">
        <v>0</v>
      </c>
      <c r="L14" s="16"/>
      <c r="M14" s="16"/>
      <c r="N14" s="16"/>
      <c r="O14" s="16"/>
      <c r="P14" s="16"/>
      <c r="Q14" s="16"/>
      <c r="R14" s="16"/>
      <c r="S14" s="16"/>
      <c r="T14" s="16"/>
      <c r="U14" s="16"/>
      <c r="V14" s="16"/>
      <c r="W14" s="16"/>
      <c r="X14" s="16"/>
      <c r="Y14" s="16"/>
      <c r="Z14" s="16"/>
      <c r="AA14" s="16"/>
      <c r="AB14" s="16"/>
      <c r="AC14" s="16"/>
      <c r="AD14" s="141" t="s">
        <v>1152</v>
      </c>
    </row>
    <row r="15" spans="1:30" ht="13.5" customHeight="1" x14ac:dyDescent="0.3">
      <c r="A15" s="125" t="s">
        <v>536</v>
      </c>
      <c r="B15" s="16">
        <v>0</v>
      </c>
      <c r="C15" s="16">
        <v>0</v>
      </c>
      <c r="D15" s="16">
        <v>0</v>
      </c>
      <c r="E15" s="16">
        <v>0</v>
      </c>
      <c r="F15" s="16">
        <v>0</v>
      </c>
      <c r="G15" s="16">
        <v>1</v>
      </c>
      <c r="H15" s="16">
        <v>0</v>
      </c>
      <c r="I15" s="16">
        <v>0</v>
      </c>
      <c r="J15" s="16">
        <v>0</v>
      </c>
      <c r="K15" s="16">
        <v>0</v>
      </c>
      <c r="L15" s="16"/>
      <c r="M15" s="16"/>
      <c r="N15" s="16"/>
      <c r="O15" s="16"/>
      <c r="P15" s="16"/>
      <c r="Q15" s="16"/>
      <c r="R15" s="16"/>
      <c r="S15" s="16"/>
      <c r="T15" s="16"/>
      <c r="U15" s="16"/>
      <c r="V15" s="16"/>
      <c r="W15" s="16"/>
      <c r="X15" s="16"/>
      <c r="Y15" s="16"/>
      <c r="Z15" s="16"/>
      <c r="AA15" s="16"/>
      <c r="AB15" s="16"/>
      <c r="AC15" s="16"/>
      <c r="AD15" s="141" t="s">
        <v>820</v>
      </c>
    </row>
    <row r="16" spans="1:30" ht="13.5" customHeight="1" x14ac:dyDescent="0.3">
      <c r="A16" s="40" t="s">
        <v>147</v>
      </c>
      <c r="B16" s="16">
        <v>1</v>
      </c>
      <c r="C16" s="16">
        <v>1</v>
      </c>
      <c r="D16" s="16">
        <v>1</v>
      </c>
      <c r="E16" s="16">
        <v>1</v>
      </c>
      <c r="F16" s="16">
        <v>0</v>
      </c>
      <c r="G16" s="16">
        <v>0</v>
      </c>
      <c r="H16" s="16">
        <v>1</v>
      </c>
      <c r="I16" s="16">
        <v>0</v>
      </c>
      <c r="J16" s="16">
        <v>0</v>
      </c>
      <c r="K16" s="16">
        <v>0</v>
      </c>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v>0</v>
      </c>
      <c r="I17" s="16">
        <v>0</v>
      </c>
      <c r="J17" s="16">
        <v>0</v>
      </c>
      <c r="K17" s="16">
        <v>0</v>
      </c>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v>0</v>
      </c>
      <c r="I18" s="16">
        <v>0</v>
      </c>
      <c r="J18" s="16">
        <v>0</v>
      </c>
      <c r="K18" s="16">
        <v>0</v>
      </c>
      <c r="L18" s="16"/>
      <c r="M18" s="16"/>
      <c r="N18" s="16"/>
      <c r="O18" s="16"/>
      <c r="P18" s="16"/>
      <c r="Q18" s="16"/>
      <c r="R18" s="16"/>
      <c r="S18" s="16"/>
      <c r="T18" s="16"/>
      <c r="U18" s="16"/>
      <c r="V18" s="16"/>
      <c r="W18" s="16"/>
      <c r="X18" s="16"/>
      <c r="Y18" s="16"/>
      <c r="Z18" s="16"/>
      <c r="AA18" s="16"/>
      <c r="AB18" s="16"/>
      <c r="AC18" s="16"/>
      <c r="AD18" s="141" t="s">
        <v>826</v>
      </c>
    </row>
    <row r="19" spans="1:30" ht="13.5" customHeight="1" x14ac:dyDescent="0.3">
      <c r="A19" s="42" t="s">
        <v>221</v>
      </c>
      <c r="B19" s="16">
        <v>0</v>
      </c>
      <c r="C19" s="16">
        <v>1</v>
      </c>
      <c r="D19" s="16">
        <v>1</v>
      </c>
      <c r="E19" s="16">
        <v>0</v>
      </c>
      <c r="F19" s="16">
        <v>0</v>
      </c>
      <c r="G19" s="16">
        <v>0</v>
      </c>
      <c r="H19" s="63">
        <v>0</v>
      </c>
      <c r="I19" s="16">
        <v>0</v>
      </c>
      <c r="J19" s="16">
        <v>0</v>
      </c>
      <c r="K19" s="16">
        <v>0</v>
      </c>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v>1</v>
      </c>
      <c r="I20" s="16">
        <v>0</v>
      </c>
      <c r="J20" s="63">
        <v>1</v>
      </c>
      <c r="K20" s="16">
        <v>0</v>
      </c>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v>1</v>
      </c>
      <c r="I21" s="16">
        <v>0</v>
      </c>
      <c r="J21" s="63">
        <v>1</v>
      </c>
      <c r="K21" s="16">
        <v>0</v>
      </c>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v>1</v>
      </c>
      <c r="I22" s="16">
        <v>0</v>
      </c>
      <c r="J22" s="63">
        <v>1</v>
      </c>
      <c r="K22" s="16">
        <v>0</v>
      </c>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v>0</v>
      </c>
      <c r="I23" s="16">
        <v>0</v>
      </c>
      <c r="J23" s="16">
        <v>0</v>
      </c>
      <c r="K23" s="16">
        <v>0</v>
      </c>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v>0</v>
      </c>
      <c r="I24" s="16">
        <v>0</v>
      </c>
      <c r="J24" s="16">
        <v>0</v>
      </c>
      <c r="K24" s="16">
        <v>0</v>
      </c>
      <c r="L24" s="16"/>
      <c r="M24" s="16"/>
      <c r="N24" s="16"/>
      <c r="O24" s="16"/>
      <c r="P24" s="16"/>
      <c r="Q24" s="16"/>
      <c r="R24" s="16"/>
      <c r="S24" s="16"/>
      <c r="T24" s="16"/>
      <c r="U24" s="16"/>
      <c r="V24" s="16"/>
      <c r="W24" s="16"/>
      <c r="X24" s="16"/>
      <c r="Y24" s="16"/>
      <c r="Z24" s="16"/>
      <c r="AA24" s="16"/>
      <c r="AB24" s="16"/>
      <c r="AC24" s="16"/>
      <c r="AD24" s="141" t="s">
        <v>821</v>
      </c>
    </row>
    <row r="25" spans="1:30" s="15" customFormat="1" ht="13.5" customHeight="1" x14ac:dyDescent="0.3">
      <c r="A25" s="40" t="s">
        <v>416</v>
      </c>
      <c r="B25" s="16">
        <v>1</v>
      </c>
      <c r="C25" s="16">
        <v>1</v>
      </c>
      <c r="D25" s="16">
        <v>1</v>
      </c>
      <c r="E25" s="16">
        <v>1</v>
      </c>
      <c r="F25" s="16">
        <v>0</v>
      </c>
      <c r="G25" s="16">
        <v>0</v>
      </c>
      <c r="H25" s="16">
        <v>1</v>
      </c>
      <c r="I25" s="16">
        <v>0</v>
      </c>
      <c r="J25" s="63">
        <v>1</v>
      </c>
      <c r="K25" s="16">
        <v>0</v>
      </c>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63">
        <v>1</v>
      </c>
      <c r="I26" s="16">
        <v>0</v>
      </c>
      <c r="J26" s="63">
        <v>0</v>
      </c>
      <c r="K26" s="16">
        <v>0</v>
      </c>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v>1</v>
      </c>
      <c r="I27" s="16">
        <v>0</v>
      </c>
      <c r="J27" s="63">
        <v>1</v>
      </c>
      <c r="K27" s="16">
        <v>0</v>
      </c>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63" t="s">
        <v>1171</v>
      </c>
      <c r="I28" s="16">
        <v>0</v>
      </c>
      <c r="J28" s="16">
        <v>0</v>
      </c>
      <c r="K28" s="16">
        <v>0</v>
      </c>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v>1</v>
      </c>
      <c r="I29" s="16">
        <v>0</v>
      </c>
      <c r="J29" s="63">
        <v>1</v>
      </c>
      <c r="K29" s="16">
        <v>0</v>
      </c>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63">
        <v>0</v>
      </c>
      <c r="I30" s="16">
        <v>0</v>
      </c>
      <c r="J30" s="16">
        <v>0</v>
      </c>
      <c r="K30" s="16">
        <v>0</v>
      </c>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v>0</v>
      </c>
      <c r="I31" s="16">
        <v>0</v>
      </c>
      <c r="J31" s="16">
        <v>0</v>
      </c>
      <c r="K31" s="16">
        <v>0</v>
      </c>
      <c r="L31" s="16"/>
      <c r="M31" s="16"/>
      <c r="N31" s="16"/>
      <c r="O31" s="16"/>
      <c r="P31" s="16"/>
      <c r="Q31" s="16"/>
      <c r="R31" s="16"/>
      <c r="S31" s="16"/>
      <c r="T31" s="16"/>
      <c r="U31" s="16"/>
      <c r="V31" s="16"/>
      <c r="W31" s="16"/>
      <c r="X31" s="16"/>
      <c r="Y31" s="16"/>
      <c r="Z31" s="16"/>
      <c r="AA31" s="16"/>
      <c r="AB31" s="16"/>
      <c r="AC31" s="16"/>
      <c r="AD31" s="141" t="s">
        <v>822</v>
      </c>
    </row>
    <row r="32" spans="1:30" ht="13.5" customHeight="1" x14ac:dyDescent="0.3">
      <c r="A32" s="63" t="s">
        <v>389</v>
      </c>
      <c r="B32" s="16">
        <v>1</v>
      </c>
      <c r="C32" s="16">
        <v>0</v>
      </c>
      <c r="D32" s="16">
        <v>0</v>
      </c>
      <c r="E32" s="16">
        <v>1</v>
      </c>
      <c r="F32" s="16">
        <v>1</v>
      </c>
      <c r="G32" s="16">
        <v>1</v>
      </c>
      <c r="H32" s="63">
        <v>1</v>
      </c>
      <c r="I32" s="63">
        <v>1</v>
      </c>
      <c r="J32" s="63">
        <v>1</v>
      </c>
      <c r="K32" s="63">
        <v>1</v>
      </c>
      <c r="L32" s="16"/>
      <c r="M32" s="16"/>
      <c r="N32" s="16"/>
      <c r="O32" s="16"/>
      <c r="P32" s="16"/>
      <c r="Q32" s="16"/>
      <c r="R32" s="16"/>
      <c r="S32" s="16"/>
      <c r="T32" s="16"/>
      <c r="U32" s="16"/>
      <c r="V32" s="16"/>
      <c r="W32" s="16"/>
      <c r="X32" s="16"/>
      <c r="Y32" s="16"/>
      <c r="Z32" s="16"/>
      <c r="AA32" s="16"/>
      <c r="AB32" s="16"/>
      <c r="AC32" s="16"/>
      <c r="AD32" s="141" t="s">
        <v>815</v>
      </c>
    </row>
    <row r="33" spans="1:30" s="15" customFormat="1" ht="13.5" customHeight="1" x14ac:dyDescent="0.3">
      <c r="A33" s="63" t="s">
        <v>670</v>
      </c>
      <c r="B33" s="16">
        <v>0</v>
      </c>
      <c r="C33" s="16">
        <v>0</v>
      </c>
      <c r="D33" s="16">
        <v>0</v>
      </c>
      <c r="E33" s="16">
        <v>0</v>
      </c>
      <c r="F33" s="16">
        <v>0</v>
      </c>
      <c r="G33" s="63">
        <v>0</v>
      </c>
      <c r="H33" s="16">
        <v>0</v>
      </c>
      <c r="I33" s="16">
        <v>0</v>
      </c>
      <c r="J33" s="16">
        <v>0</v>
      </c>
      <c r="K33" s="16">
        <v>0</v>
      </c>
      <c r="L33" s="16"/>
      <c r="M33" s="16"/>
      <c r="N33" s="16"/>
      <c r="O33" s="16"/>
      <c r="P33" s="16"/>
      <c r="Q33" s="16"/>
      <c r="R33" s="16"/>
      <c r="S33" s="16"/>
      <c r="T33" s="16"/>
      <c r="U33" s="16"/>
      <c r="V33" s="16"/>
      <c r="W33" s="16"/>
      <c r="X33" s="16"/>
      <c r="Y33" s="16"/>
      <c r="Z33" s="16"/>
      <c r="AA33" s="16"/>
      <c r="AB33" s="16"/>
      <c r="AC33" s="16"/>
      <c r="AD33" s="141" t="s">
        <v>816</v>
      </c>
    </row>
    <row r="34" spans="1:30" ht="13.5" customHeight="1" x14ac:dyDescent="0.3">
      <c r="A34" s="40" t="s">
        <v>75</v>
      </c>
      <c r="B34" s="16">
        <v>1</v>
      </c>
      <c r="C34" s="16">
        <v>1</v>
      </c>
      <c r="D34" s="16">
        <v>1</v>
      </c>
      <c r="E34" s="16">
        <v>1</v>
      </c>
      <c r="F34" s="16">
        <v>0</v>
      </c>
      <c r="G34" s="16">
        <v>0</v>
      </c>
      <c r="H34" s="16">
        <v>1</v>
      </c>
      <c r="I34" s="16">
        <v>0</v>
      </c>
      <c r="J34" s="63">
        <v>1</v>
      </c>
      <c r="K34" s="16">
        <v>0</v>
      </c>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v>0</v>
      </c>
      <c r="I35" s="16">
        <v>0</v>
      </c>
      <c r="J35" s="16">
        <v>0</v>
      </c>
      <c r="K35" s="16">
        <v>0</v>
      </c>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v>1</v>
      </c>
      <c r="I36" s="16">
        <v>0</v>
      </c>
      <c r="J36" s="63">
        <v>1</v>
      </c>
      <c r="K36" s="16">
        <v>0</v>
      </c>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v>1</v>
      </c>
      <c r="I37" s="16">
        <v>0</v>
      </c>
      <c r="J37" s="63">
        <v>1</v>
      </c>
      <c r="K37" s="16">
        <v>0</v>
      </c>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v>0</v>
      </c>
      <c r="I38" s="16">
        <v>0</v>
      </c>
      <c r="J38" s="16">
        <v>0</v>
      </c>
      <c r="K38" s="16">
        <v>0</v>
      </c>
      <c r="L38" s="16"/>
      <c r="M38" s="16"/>
      <c r="N38" s="16"/>
      <c r="O38" s="16"/>
      <c r="P38" s="16"/>
      <c r="Q38" s="16"/>
      <c r="R38" s="16"/>
      <c r="S38" s="16"/>
      <c r="T38" s="16"/>
      <c r="U38" s="16"/>
      <c r="V38" s="16"/>
      <c r="W38" s="16"/>
      <c r="X38" s="16"/>
      <c r="Y38" s="16"/>
      <c r="Z38" s="16"/>
      <c r="AA38" s="16"/>
      <c r="AB38" s="16"/>
      <c r="AC38" s="16"/>
      <c r="AD38" s="141" t="s">
        <v>823</v>
      </c>
    </row>
    <row r="39" spans="1:30" ht="13.5" customHeight="1" x14ac:dyDescent="0.3">
      <c r="A39" s="40" t="s">
        <v>646</v>
      </c>
      <c r="B39" s="16">
        <v>1</v>
      </c>
      <c r="C39" s="16">
        <v>1</v>
      </c>
      <c r="D39" s="16">
        <v>1</v>
      </c>
      <c r="E39" s="16">
        <v>1</v>
      </c>
      <c r="F39" s="16">
        <v>0</v>
      </c>
      <c r="G39" s="16">
        <v>0</v>
      </c>
      <c r="H39" s="16">
        <v>1</v>
      </c>
      <c r="I39" s="16">
        <v>0</v>
      </c>
      <c r="J39" s="63">
        <v>1</v>
      </c>
      <c r="K39" s="16">
        <v>0</v>
      </c>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v>1</v>
      </c>
      <c r="I40" s="16">
        <v>0</v>
      </c>
      <c r="J40" s="63">
        <v>1</v>
      </c>
      <c r="K40" s="16">
        <v>0</v>
      </c>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v>0</v>
      </c>
      <c r="I41" s="16">
        <v>0</v>
      </c>
      <c r="J41" s="16">
        <v>0</v>
      </c>
      <c r="K41" s="16">
        <v>0</v>
      </c>
      <c r="L41" s="16"/>
      <c r="M41" s="16"/>
      <c r="N41" s="16"/>
      <c r="O41" s="16"/>
      <c r="P41" s="16"/>
      <c r="Q41" s="16"/>
      <c r="R41" s="16"/>
      <c r="S41" s="16"/>
      <c r="T41" s="16"/>
      <c r="U41" s="16"/>
      <c r="V41" s="16"/>
      <c r="W41" s="16"/>
      <c r="X41" s="16"/>
      <c r="Y41" s="16"/>
      <c r="Z41" s="16"/>
      <c r="AA41" s="16"/>
      <c r="AB41" s="16"/>
      <c r="AC41" s="16"/>
      <c r="AD41" s="141" t="s">
        <v>824</v>
      </c>
    </row>
    <row r="42" spans="1:30" ht="13.5" customHeight="1" x14ac:dyDescent="0.3">
      <c r="A42" s="40" t="s">
        <v>91</v>
      </c>
      <c r="B42" s="16">
        <v>0</v>
      </c>
      <c r="C42" s="16">
        <v>1</v>
      </c>
      <c r="D42" s="16">
        <v>1</v>
      </c>
      <c r="E42" s="16">
        <v>0</v>
      </c>
      <c r="F42" s="16">
        <v>0</v>
      </c>
      <c r="G42" s="16">
        <v>0</v>
      </c>
      <c r="H42" s="63">
        <v>0</v>
      </c>
      <c r="I42" s="16">
        <v>0</v>
      </c>
      <c r="J42" s="16">
        <v>0</v>
      </c>
      <c r="K42" s="16">
        <v>0</v>
      </c>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63">
        <v>1</v>
      </c>
      <c r="I43" s="16">
        <v>1</v>
      </c>
      <c r="J43" s="63">
        <v>1</v>
      </c>
      <c r="K43" s="16">
        <v>1</v>
      </c>
      <c r="L43" s="16"/>
      <c r="M43" s="16"/>
      <c r="N43" s="16"/>
      <c r="O43" s="16"/>
      <c r="P43" s="16"/>
      <c r="Q43" s="16"/>
      <c r="R43" s="16"/>
      <c r="S43" s="16"/>
      <c r="T43" s="16"/>
      <c r="U43" s="16"/>
      <c r="V43" s="16"/>
      <c r="W43" s="16"/>
      <c r="X43" s="16"/>
      <c r="Y43" s="16"/>
      <c r="Z43" s="16"/>
      <c r="AA43" s="16"/>
      <c r="AB43" s="16"/>
      <c r="AC43" s="16"/>
      <c r="AD43" s="142" t="s">
        <v>814</v>
      </c>
    </row>
    <row r="44" spans="1:30" ht="13.5" customHeight="1" x14ac:dyDescent="0.3">
      <c r="A44" s="40" t="s">
        <v>649</v>
      </c>
      <c r="B44" s="16">
        <v>1</v>
      </c>
      <c r="C44" s="16">
        <v>1</v>
      </c>
      <c r="D44" s="16">
        <v>1</v>
      </c>
      <c r="E44" s="16">
        <v>1</v>
      </c>
      <c r="F44" s="16">
        <v>0</v>
      </c>
      <c r="G44" s="16">
        <v>0</v>
      </c>
      <c r="H44" s="16">
        <v>1</v>
      </c>
      <c r="I44" s="16">
        <v>0</v>
      </c>
      <c r="J44" s="16">
        <v>0</v>
      </c>
      <c r="K44" s="16">
        <v>0</v>
      </c>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63">
        <v>1</v>
      </c>
      <c r="I45" s="16">
        <v>0</v>
      </c>
      <c r="J45" s="16">
        <v>0</v>
      </c>
      <c r="K45" s="16">
        <v>0</v>
      </c>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63">
        <v>1</v>
      </c>
      <c r="I46" s="16">
        <v>1</v>
      </c>
      <c r="J46" s="63">
        <v>1</v>
      </c>
      <c r="K46" s="16">
        <v>1</v>
      </c>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63">
        <v>1</v>
      </c>
      <c r="I47" s="16">
        <v>1</v>
      </c>
      <c r="J47" s="63">
        <v>1</v>
      </c>
      <c r="K47" s="16">
        <v>1</v>
      </c>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63">
        <v>1</v>
      </c>
      <c r="I48" s="16">
        <v>0</v>
      </c>
      <c r="J48" s="16">
        <v>0</v>
      </c>
      <c r="K48" s="16">
        <v>0</v>
      </c>
      <c r="L48" s="16"/>
      <c r="M48" s="16"/>
      <c r="N48" s="16"/>
      <c r="O48" s="16"/>
      <c r="P48" s="16"/>
      <c r="Q48" s="16"/>
      <c r="R48" s="16"/>
      <c r="S48" s="16"/>
      <c r="T48" s="16"/>
      <c r="U48" s="16"/>
      <c r="V48" s="16"/>
      <c r="W48" s="16"/>
      <c r="X48" s="16"/>
      <c r="Y48" s="16"/>
      <c r="Z48" s="16"/>
      <c r="AA48" s="16"/>
      <c r="AB48" s="16"/>
      <c r="AC48" s="16"/>
      <c r="AD48" s="141" t="s">
        <v>825</v>
      </c>
    </row>
    <row r="49" spans="1:30" ht="13.5" customHeight="1" x14ac:dyDescent="0.3">
      <c r="A49" s="40" t="s">
        <v>650</v>
      </c>
      <c r="B49" s="16">
        <v>1</v>
      </c>
      <c r="C49" s="16">
        <v>1</v>
      </c>
      <c r="D49" s="16">
        <v>1</v>
      </c>
      <c r="E49" s="16">
        <v>1</v>
      </c>
      <c r="F49" s="16">
        <v>0</v>
      </c>
      <c r="G49" s="16">
        <v>0</v>
      </c>
      <c r="H49" s="16">
        <v>1</v>
      </c>
      <c r="I49" s="16">
        <v>0</v>
      </c>
      <c r="J49" s="63">
        <v>1</v>
      </c>
      <c r="K49" s="16">
        <v>0</v>
      </c>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v>1</v>
      </c>
      <c r="I50" s="16">
        <v>0</v>
      </c>
      <c r="J50" s="63">
        <v>1</v>
      </c>
      <c r="K50" s="16">
        <v>0</v>
      </c>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v>1</v>
      </c>
      <c r="I51" s="16">
        <v>0</v>
      </c>
      <c r="J51" s="63">
        <v>1</v>
      </c>
      <c r="K51" s="16">
        <v>0</v>
      </c>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v>1</v>
      </c>
      <c r="I53" s="16">
        <v>1</v>
      </c>
      <c r="J53" s="16">
        <v>1</v>
      </c>
      <c r="K53" s="16"/>
      <c r="L53" s="16"/>
      <c r="M53" s="16"/>
      <c r="N53" s="16"/>
      <c r="O53" s="16"/>
      <c r="P53" s="16"/>
      <c r="Q53" s="16"/>
      <c r="R53" s="16"/>
      <c r="S53" s="16"/>
      <c r="T53" s="16"/>
      <c r="U53" s="16"/>
      <c r="V53" s="16"/>
      <c r="W53" s="16"/>
      <c r="X53" s="16"/>
      <c r="Y53" s="16"/>
      <c r="Z53" s="16"/>
      <c r="AA53" s="16"/>
      <c r="AB53" s="16"/>
      <c r="AC53" s="16"/>
      <c r="AD53" s="141" t="s">
        <v>843</v>
      </c>
    </row>
    <row r="54" spans="1:30" s="15" customFormat="1" ht="13.5" customHeight="1" x14ac:dyDescent="0.3">
      <c r="A54" s="16" t="s">
        <v>615</v>
      </c>
      <c r="B54" s="7">
        <v>1</v>
      </c>
      <c r="C54" s="7">
        <v>1</v>
      </c>
      <c r="D54" s="7">
        <v>1</v>
      </c>
      <c r="E54" s="7">
        <v>1</v>
      </c>
      <c r="F54" s="7">
        <v>1</v>
      </c>
      <c r="G54" s="7">
        <v>0</v>
      </c>
      <c r="H54" s="16">
        <v>1</v>
      </c>
      <c r="I54" s="16">
        <v>1</v>
      </c>
      <c r="J54" s="16">
        <v>1</v>
      </c>
      <c r="K54" s="16"/>
      <c r="L54" s="16"/>
      <c r="M54" s="16"/>
      <c r="N54" s="16"/>
      <c r="O54" s="16"/>
      <c r="P54" s="16"/>
      <c r="Q54" s="16"/>
      <c r="R54" s="16"/>
      <c r="S54" s="16"/>
      <c r="T54" s="16"/>
      <c r="U54" s="16"/>
      <c r="V54" s="16"/>
      <c r="W54" s="16"/>
      <c r="X54" s="16"/>
      <c r="Y54" s="16"/>
      <c r="Z54" s="16"/>
      <c r="AA54" s="16"/>
      <c r="AB54" s="16"/>
      <c r="AC54" s="16"/>
      <c r="AD54" s="141"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v>512</v>
      </c>
      <c r="I56" s="16">
        <v>512</v>
      </c>
      <c r="J56" s="16">
        <v>512</v>
      </c>
      <c r="K56" s="16">
        <v>512</v>
      </c>
      <c r="L56" s="16"/>
      <c r="M56" s="16"/>
      <c r="N56" s="16"/>
      <c r="O56" s="16"/>
      <c r="P56" s="16"/>
      <c r="Q56" s="16"/>
      <c r="R56" s="16"/>
      <c r="S56" s="16"/>
      <c r="T56" s="16"/>
      <c r="U56" s="16"/>
      <c r="V56" s="16"/>
      <c r="W56" s="16"/>
      <c r="X56" s="16"/>
      <c r="Y56" s="16"/>
      <c r="Z56" s="16"/>
      <c r="AA56" s="16"/>
      <c r="AB56" s="16"/>
      <c r="AC56" s="16"/>
      <c r="AD56" s="141" t="s">
        <v>839</v>
      </c>
    </row>
    <row r="57" spans="1:30" ht="12.45" customHeight="1" x14ac:dyDescent="0.3">
      <c r="A57" s="4" t="s">
        <v>396</v>
      </c>
      <c r="B57" s="16">
        <v>32</v>
      </c>
      <c r="C57" s="16">
        <v>32</v>
      </c>
      <c r="D57" s="16">
        <v>32</v>
      </c>
      <c r="E57" s="16">
        <v>32</v>
      </c>
      <c r="F57" s="16">
        <v>32</v>
      </c>
      <c r="G57" s="16">
        <v>32</v>
      </c>
      <c r="H57" s="16">
        <v>32</v>
      </c>
      <c r="I57" s="16">
        <v>32</v>
      </c>
      <c r="J57" s="16">
        <v>32</v>
      </c>
      <c r="K57" s="16">
        <v>32</v>
      </c>
      <c r="L57" s="16"/>
      <c r="M57" s="16"/>
      <c r="N57" s="16"/>
      <c r="O57" s="16"/>
      <c r="P57" s="16"/>
      <c r="Q57" s="16"/>
      <c r="R57" s="16"/>
      <c r="S57" s="16"/>
      <c r="T57" s="16"/>
      <c r="U57" s="16"/>
      <c r="V57" s="16"/>
      <c r="W57" s="16"/>
      <c r="X57" s="16"/>
      <c r="Y57" s="16"/>
      <c r="Z57" s="16"/>
      <c r="AA57" s="16"/>
      <c r="AB57" s="16"/>
      <c r="AC57" s="16"/>
      <c r="AD57" s="141" t="s">
        <v>840</v>
      </c>
    </row>
    <row r="58" spans="1:30" ht="12.45" customHeight="1" x14ac:dyDescent="0.3">
      <c r="A58" s="4" t="s">
        <v>397</v>
      </c>
      <c r="B58" s="16">
        <v>256</v>
      </c>
      <c r="C58" s="16">
        <v>256</v>
      </c>
      <c r="D58" s="16">
        <v>256</v>
      </c>
      <c r="E58" s="16">
        <v>256</v>
      </c>
      <c r="F58" s="16">
        <v>256</v>
      </c>
      <c r="G58" s="16">
        <v>256</v>
      </c>
      <c r="H58" s="16">
        <v>256</v>
      </c>
      <c r="I58" s="16">
        <v>256</v>
      </c>
      <c r="J58" s="16">
        <v>256</v>
      </c>
      <c r="K58" s="16">
        <v>256</v>
      </c>
      <c r="L58" s="16"/>
      <c r="M58" s="16"/>
      <c r="N58" s="16"/>
      <c r="O58" s="16"/>
      <c r="P58" s="16"/>
      <c r="Q58" s="16"/>
      <c r="R58" s="16"/>
      <c r="S58" s="16"/>
      <c r="T58" s="16"/>
      <c r="U58" s="16"/>
      <c r="V58" s="16"/>
      <c r="W58" s="16"/>
      <c r="X58" s="16"/>
      <c r="Y58" s="16"/>
      <c r="Z58" s="16"/>
      <c r="AA58" s="16"/>
      <c r="AB58" s="16"/>
      <c r="AC58" s="16"/>
      <c r="AD58" s="141" t="s">
        <v>841</v>
      </c>
    </row>
    <row r="59" spans="1:30" s="15" customFormat="1" ht="12.45" customHeight="1" x14ac:dyDescent="0.3">
      <c r="A59" s="4" t="s">
        <v>398</v>
      </c>
      <c r="B59" s="16">
        <v>0</v>
      </c>
      <c r="C59" s="16">
        <v>0</v>
      </c>
      <c r="D59" s="16">
        <v>0</v>
      </c>
      <c r="E59" s="16">
        <v>256</v>
      </c>
      <c r="F59" s="16">
        <v>256</v>
      </c>
      <c r="G59" s="63">
        <v>0</v>
      </c>
      <c r="H59" s="63">
        <v>256</v>
      </c>
      <c r="I59" s="63">
        <v>256</v>
      </c>
      <c r="J59" s="16">
        <v>256</v>
      </c>
      <c r="K59" s="16">
        <v>256</v>
      </c>
      <c r="L59" s="16"/>
      <c r="M59" s="16"/>
      <c r="N59" s="16"/>
      <c r="O59" s="16"/>
      <c r="P59" s="16"/>
      <c r="Q59" s="16"/>
      <c r="R59" s="16"/>
      <c r="S59" s="16"/>
      <c r="T59" s="16"/>
      <c r="U59" s="16"/>
      <c r="V59" s="16"/>
      <c r="W59" s="16"/>
      <c r="X59" s="16"/>
      <c r="Y59" s="16"/>
      <c r="Z59" s="16"/>
      <c r="AA59" s="16"/>
      <c r="AB59" s="16"/>
      <c r="AC59" s="16"/>
      <c r="AD59" s="141" t="s">
        <v>842</v>
      </c>
    </row>
    <row r="60" spans="1:30" ht="12.45" customHeight="1" x14ac:dyDescent="0.3">
      <c r="A60" s="4" t="s">
        <v>422</v>
      </c>
      <c r="B60" s="16">
        <v>0</v>
      </c>
      <c r="C60" s="16">
        <v>0</v>
      </c>
      <c r="D60" s="16">
        <v>0</v>
      </c>
      <c r="E60" s="16">
        <v>0</v>
      </c>
      <c r="F60" s="16">
        <v>0</v>
      </c>
      <c r="G60" s="16">
        <v>1</v>
      </c>
      <c r="H60" s="16">
        <v>0</v>
      </c>
      <c r="I60" s="16">
        <v>0</v>
      </c>
      <c r="J60" s="16">
        <v>0</v>
      </c>
      <c r="K60" s="16">
        <v>0</v>
      </c>
      <c r="L60" s="16"/>
      <c r="M60" s="16"/>
      <c r="N60" s="16"/>
      <c r="O60" s="16"/>
      <c r="P60" s="16"/>
      <c r="Q60" s="16"/>
      <c r="R60" s="16"/>
      <c r="S60" s="16"/>
      <c r="T60" s="16"/>
      <c r="U60" s="16"/>
      <c r="V60" s="16"/>
      <c r="W60" s="16"/>
      <c r="X60" s="16"/>
      <c r="Y60" s="16"/>
      <c r="Z60" s="16"/>
      <c r="AA60" s="16"/>
      <c r="AB60" s="16"/>
      <c r="AC60" s="16"/>
      <c r="AD60" s="141"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v>768</v>
      </c>
      <c r="I62" s="16">
        <v>768</v>
      </c>
      <c r="J62" s="16">
        <v>768</v>
      </c>
      <c r="K62" s="16">
        <v>768</v>
      </c>
      <c r="L62" s="16"/>
      <c r="M62" s="16"/>
      <c r="N62" s="16"/>
      <c r="O62" s="16"/>
      <c r="P62" s="16"/>
      <c r="Q62" s="16"/>
      <c r="R62" s="16"/>
      <c r="S62" s="16"/>
      <c r="T62" s="16"/>
      <c r="U62" s="16"/>
      <c r="V62" s="16"/>
      <c r="W62" s="16"/>
      <c r="X62" s="16"/>
      <c r="Y62" s="16"/>
      <c r="Z62" s="16"/>
      <c r="AA62" s="16"/>
      <c r="AB62" s="16"/>
      <c r="AC62" s="16"/>
      <c r="AD62" s="141" t="s">
        <v>835</v>
      </c>
    </row>
    <row r="63" spans="1:30" ht="12.45" customHeight="1" x14ac:dyDescent="0.3">
      <c r="A63" s="41" t="s">
        <v>399</v>
      </c>
      <c r="B63" s="16">
        <v>32</v>
      </c>
      <c r="C63" s="16">
        <v>32</v>
      </c>
      <c r="D63" s="16">
        <v>32</v>
      </c>
      <c r="E63" s="16">
        <v>160</v>
      </c>
      <c r="F63" s="16">
        <v>160</v>
      </c>
      <c r="G63" s="63">
        <v>192</v>
      </c>
      <c r="H63" s="63">
        <v>160</v>
      </c>
      <c r="I63" s="16">
        <v>160</v>
      </c>
      <c r="J63" s="16">
        <v>160</v>
      </c>
      <c r="K63" s="16">
        <v>160</v>
      </c>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v>0</v>
      </c>
      <c r="I64" s="16">
        <v>0</v>
      </c>
      <c r="J64" s="16">
        <v>0</v>
      </c>
      <c r="K64" s="16">
        <v>0</v>
      </c>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v>32</v>
      </c>
      <c r="I65" s="16">
        <v>32</v>
      </c>
      <c r="J65" s="16">
        <v>32</v>
      </c>
      <c r="K65" s="16">
        <v>32</v>
      </c>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v>0</v>
      </c>
      <c r="I66" s="16">
        <v>0</v>
      </c>
      <c r="J66" s="16">
        <v>0</v>
      </c>
      <c r="K66" s="16">
        <v>0</v>
      </c>
      <c r="L66" s="16"/>
      <c r="M66" s="16"/>
      <c r="N66" s="16"/>
      <c r="O66" s="16"/>
      <c r="P66" s="16"/>
      <c r="Q66" s="16"/>
      <c r="R66" s="16"/>
      <c r="S66" s="16"/>
      <c r="T66" s="16"/>
      <c r="U66" s="16"/>
      <c r="V66" s="16"/>
      <c r="W66" s="16"/>
      <c r="X66" s="16"/>
      <c r="Y66" s="16"/>
      <c r="Z66" s="16"/>
      <c r="AA66" s="16"/>
      <c r="AB66" s="16"/>
      <c r="AC66" s="16"/>
      <c r="AD66" s="141" t="s">
        <v>833</v>
      </c>
    </row>
    <row r="67" spans="1:30" s="15" customFormat="1" ht="12.45" customHeight="1" x14ac:dyDescent="0.3">
      <c r="A67" s="185" t="s">
        <v>884</v>
      </c>
      <c r="B67" s="16">
        <v>0</v>
      </c>
      <c r="C67" s="16">
        <v>0</v>
      </c>
      <c r="D67" s="16">
        <v>0</v>
      </c>
      <c r="E67" s="63">
        <v>320</v>
      </c>
      <c r="F67" s="63">
        <v>320</v>
      </c>
      <c r="G67" s="16">
        <v>0</v>
      </c>
      <c r="H67" s="63">
        <v>320</v>
      </c>
      <c r="I67" s="63">
        <v>320</v>
      </c>
      <c r="J67" s="63">
        <v>320</v>
      </c>
      <c r="K67" s="63">
        <v>320</v>
      </c>
      <c r="L67" s="16"/>
      <c r="M67" s="16"/>
      <c r="N67" s="16"/>
      <c r="O67" s="16"/>
      <c r="P67" s="16"/>
      <c r="Q67" s="16"/>
      <c r="R67" s="16"/>
      <c r="S67" s="16"/>
      <c r="T67" s="16"/>
      <c r="U67" s="16"/>
      <c r="V67" s="16"/>
      <c r="W67" s="16"/>
      <c r="X67" s="16"/>
      <c r="Y67" s="16"/>
      <c r="Z67" s="16"/>
      <c r="AA67" s="16"/>
      <c r="AB67" s="16"/>
      <c r="AC67" s="16"/>
      <c r="AD67" s="141"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v>512</v>
      </c>
      <c r="I69" s="16">
        <v>512</v>
      </c>
      <c r="J69" s="16">
        <f>HEX2DEC(40)*8</f>
        <v>512</v>
      </c>
      <c r="K69" s="16">
        <f>HEX2DEC(40)*8</f>
        <v>512</v>
      </c>
      <c r="L69" s="16"/>
      <c r="M69" s="16"/>
      <c r="N69" s="16"/>
      <c r="O69" s="16"/>
      <c r="P69" s="16"/>
      <c r="Q69" s="16"/>
      <c r="R69" s="16"/>
      <c r="S69" s="16"/>
      <c r="T69" s="16"/>
      <c r="U69" s="16"/>
      <c r="V69" s="16"/>
      <c r="W69" s="16"/>
      <c r="X69" s="16"/>
      <c r="Y69" s="16"/>
      <c r="Z69" s="16"/>
      <c r="AA69" s="16"/>
      <c r="AB69" s="16"/>
      <c r="AC69" s="16"/>
      <c r="AD69" s="141" t="s">
        <v>828</v>
      </c>
    </row>
    <row r="70" spans="1:30" ht="12.45" customHeight="1" x14ac:dyDescent="0.3">
      <c r="A70" s="2" t="s">
        <v>619</v>
      </c>
      <c r="B70" s="16">
        <f>HEX2DEC(40)*8</f>
        <v>512</v>
      </c>
      <c r="C70" s="16">
        <v>512</v>
      </c>
      <c r="D70" s="16">
        <v>512</v>
      </c>
      <c r="E70" s="57">
        <v>0</v>
      </c>
      <c r="F70" s="16">
        <v>0</v>
      </c>
      <c r="G70" s="16">
        <v>0</v>
      </c>
      <c r="H70" s="63">
        <v>0</v>
      </c>
      <c r="I70" s="16">
        <v>0</v>
      </c>
      <c r="J70" s="16">
        <v>0</v>
      </c>
      <c r="K70" s="16">
        <v>0</v>
      </c>
      <c r="L70" s="16"/>
      <c r="M70" s="16"/>
      <c r="N70" s="16"/>
      <c r="O70" s="16"/>
      <c r="P70" s="16"/>
      <c r="Q70" s="16"/>
      <c r="R70" s="16"/>
      <c r="S70" s="16"/>
      <c r="T70" s="16"/>
      <c r="U70" s="16"/>
      <c r="V70" s="16"/>
      <c r="W70" s="16"/>
      <c r="X70" s="16"/>
      <c r="Y70" s="16"/>
      <c r="Z70" s="16"/>
      <c r="AA70" s="16"/>
      <c r="AB70" s="16"/>
      <c r="AC70" s="16"/>
      <c r="AD70" s="141" t="s">
        <v>829</v>
      </c>
    </row>
    <row r="71" spans="1:30" ht="12.45" customHeight="1" x14ac:dyDescent="0.3">
      <c r="A71" s="2" t="s">
        <v>621</v>
      </c>
      <c r="B71" s="16">
        <f>HEX2DEC(40)*8</f>
        <v>512</v>
      </c>
      <c r="C71" s="16">
        <v>512</v>
      </c>
      <c r="D71" s="16">
        <v>512</v>
      </c>
      <c r="E71" s="16">
        <v>0</v>
      </c>
      <c r="F71" s="16">
        <v>0</v>
      </c>
      <c r="G71" s="16">
        <v>0</v>
      </c>
      <c r="H71" s="63">
        <v>0</v>
      </c>
      <c r="I71" s="16">
        <v>0</v>
      </c>
      <c r="J71" s="16">
        <v>0</v>
      </c>
      <c r="K71" s="16">
        <v>0</v>
      </c>
      <c r="L71" s="16"/>
      <c r="M71" s="16"/>
      <c r="N71" s="16"/>
      <c r="O71" s="16"/>
      <c r="P71" s="16"/>
      <c r="Q71" s="16"/>
      <c r="R71" s="16"/>
      <c r="S71" s="16"/>
      <c r="T71" s="16"/>
      <c r="U71" s="16"/>
      <c r="V71" s="16"/>
      <c r="W71" s="16"/>
      <c r="X71" s="16"/>
      <c r="Y71" s="16"/>
      <c r="Z71" s="16"/>
      <c r="AA71" s="16"/>
      <c r="AB71" s="16"/>
      <c r="AC71" s="16"/>
      <c r="AD71" s="141" t="s">
        <v>830</v>
      </c>
    </row>
    <row r="72" spans="1:30" ht="12.45" customHeight="1" x14ac:dyDescent="0.3">
      <c r="A72" s="2" t="s">
        <v>669</v>
      </c>
      <c r="B72" s="16">
        <f>2048/32</f>
        <v>64</v>
      </c>
      <c r="C72" s="16">
        <f>2048/32</f>
        <v>64</v>
      </c>
      <c r="D72" s="16">
        <f>2048/32</f>
        <v>64</v>
      </c>
      <c r="E72" s="57">
        <v>64</v>
      </c>
      <c r="F72" s="16">
        <f>2048/32</f>
        <v>64</v>
      </c>
      <c r="G72" s="16">
        <f>0/32</f>
        <v>0</v>
      </c>
      <c r="H72" s="16">
        <f>2048/32</f>
        <v>64</v>
      </c>
      <c r="I72" s="16">
        <f>2048/32</f>
        <v>64</v>
      </c>
      <c r="J72" s="16">
        <f>2048/32</f>
        <v>64</v>
      </c>
      <c r="K72" s="16">
        <f>2048/32</f>
        <v>64</v>
      </c>
      <c r="L72" s="16"/>
      <c r="M72" s="16"/>
      <c r="N72" s="16"/>
      <c r="O72" s="16"/>
      <c r="P72" s="16"/>
      <c r="Q72" s="16"/>
      <c r="R72" s="16"/>
      <c r="S72" s="16"/>
      <c r="T72" s="16"/>
      <c r="U72" s="16"/>
      <c r="V72" s="16"/>
      <c r="W72" s="16"/>
      <c r="X72" s="16"/>
      <c r="Y72" s="16"/>
      <c r="Z72" s="16"/>
      <c r="AA72" s="16"/>
      <c r="AB72" s="16"/>
      <c r="AC72" s="16"/>
      <c r="AD72" s="141" t="s">
        <v>831</v>
      </c>
    </row>
    <row r="73" spans="1:30" ht="12.45" customHeight="1" x14ac:dyDescent="0.3">
      <c r="A73" s="2" t="s">
        <v>626</v>
      </c>
      <c r="B73" s="16">
        <v>0</v>
      </c>
      <c r="C73" s="16">
        <v>0</v>
      </c>
      <c r="D73" s="16">
        <v>0</v>
      </c>
      <c r="E73" s="16">
        <v>0</v>
      </c>
      <c r="F73" s="16">
        <v>0</v>
      </c>
      <c r="G73" s="63">
        <v>0</v>
      </c>
      <c r="H73" s="16">
        <v>0</v>
      </c>
      <c r="I73" s="16">
        <v>0</v>
      </c>
      <c r="J73" s="16">
        <v>0</v>
      </c>
      <c r="K73" s="16">
        <v>0</v>
      </c>
      <c r="L73" s="16"/>
      <c r="M73" s="16"/>
      <c r="N73" s="16"/>
      <c r="O73" s="16"/>
      <c r="P73" s="16"/>
      <c r="Q73" s="16"/>
      <c r="R73" s="16"/>
      <c r="S73" s="16"/>
      <c r="T73" s="16"/>
      <c r="U73" s="16"/>
      <c r="V73" s="16"/>
      <c r="W73" s="16"/>
      <c r="X73" s="16"/>
      <c r="Y73" s="16"/>
      <c r="Z73" s="16"/>
      <c r="AA73" s="16"/>
      <c r="AB73" s="16"/>
      <c r="AC73" s="16"/>
      <c r="AD73" s="141" t="s">
        <v>832</v>
      </c>
    </row>
  </sheetData>
  <mergeCells count="4">
    <mergeCell ref="E2:G2"/>
    <mergeCell ref="C2:D2"/>
    <mergeCell ref="H2:I2"/>
    <mergeCell ref="J2:L2"/>
  </mergeCells>
  <conditionalFormatting sqref="A56">
    <cfRule type="cellIs" dxfId="615" priority="10" operator="equal">
      <formula>0</formula>
    </cfRule>
  </conditionalFormatting>
  <conditionalFormatting sqref="A57">
    <cfRule type="cellIs" dxfId="614" priority="9" operator="equal">
      <formula>0</formula>
    </cfRule>
  </conditionalFormatting>
  <conditionalFormatting sqref="A58">
    <cfRule type="cellIs" dxfId="613" priority="8" operator="equal">
      <formula>0</formula>
    </cfRule>
  </conditionalFormatting>
  <conditionalFormatting sqref="A60">
    <cfRule type="cellIs" dxfId="612" priority="7" operator="equal">
      <formula>0</formula>
    </cfRule>
  </conditionalFormatting>
  <conditionalFormatting sqref="A62 A67">
    <cfRule type="cellIs" priority="6" operator="equal">
      <formula>0</formula>
    </cfRule>
  </conditionalFormatting>
  <conditionalFormatting sqref="A63">
    <cfRule type="cellIs" dxfId="611" priority="5" operator="equal">
      <formula>0</formula>
    </cfRule>
  </conditionalFormatting>
  <conditionalFormatting sqref="A64">
    <cfRule type="cellIs" dxfId="610" priority="3" operator="equal">
      <formula>0</formula>
    </cfRule>
    <cfRule type="cellIs" dxfId="609" priority="4" operator="equal">
      <formula>0</formula>
    </cfRule>
  </conditionalFormatting>
  <conditionalFormatting sqref="A59">
    <cfRule type="cellIs" dxfId="608"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0B1B9-8F69-4A09-BFC9-B96C1533263D}">
  <dimension ref="A1:U280"/>
  <sheetViews>
    <sheetView topLeftCell="C31" zoomScale="75" zoomScaleNormal="75" workbookViewId="0">
      <selection activeCell="D36" sqref="D36"/>
    </sheetView>
  </sheetViews>
  <sheetFormatPr defaultRowHeight="14.4" x14ac:dyDescent="0.3"/>
  <cols>
    <col min="1" max="1" width="8.88671875" style="377"/>
    <col min="2" max="2" width="8.88671875" style="377" customWidth="1"/>
    <col min="3" max="3" width="29.33203125" style="377" customWidth="1"/>
    <col min="4" max="4" width="29.5546875" style="377" customWidth="1"/>
    <col min="5" max="5" width="22" style="380" customWidth="1"/>
    <col min="6" max="6" width="17.44140625" style="377" customWidth="1"/>
    <col min="7" max="7" width="9.88671875" style="377" customWidth="1"/>
    <col min="8" max="8" width="11.6640625" style="377" customWidth="1"/>
    <col min="9" max="9" width="15.33203125" style="377" customWidth="1"/>
    <col min="10" max="10" width="39.21875" style="380" customWidth="1"/>
    <col min="11" max="11" width="34.44140625" style="381" customWidth="1"/>
    <col min="12" max="12" width="27.5546875" style="381" customWidth="1"/>
    <col min="13" max="13" width="27.109375" style="381" customWidth="1"/>
    <col min="14" max="14" width="19" style="423" customWidth="1"/>
    <col min="15" max="15" width="16.109375" style="377" customWidth="1"/>
    <col min="16" max="17" width="18.6640625" style="413" customWidth="1"/>
    <col min="18" max="18" width="26.109375" style="377" customWidth="1"/>
    <col min="19" max="19" width="19.77734375" style="377" customWidth="1"/>
    <col min="20" max="20" width="16.6640625" style="377" customWidth="1"/>
    <col min="21" max="21" width="24.77734375" style="377" customWidth="1"/>
    <col min="22" max="16384" width="8.88671875" style="377"/>
  </cols>
  <sheetData>
    <row r="1" spans="1:21" x14ac:dyDescent="0.3">
      <c r="C1" s="379" t="s">
        <v>1431</v>
      </c>
      <c r="D1" s="380" t="s">
        <v>51</v>
      </c>
    </row>
    <row r="2" spans="1:21" ht="15" thickBot="1" x14ac:dyDescent="0.35">
      <c r="C2" s="382" t="s">
        <v>1252</v>
      </c>
      <c r="D2" s="380" t="s">
        <v>27</v>
      </c>
      <c r="N2" s="423" t="s">
        <v>1552</v>
      </c>
    </row>
    <row r="3" spans="1:21" ht="15.6" thickBot="1" x14ac:dyDescent="0.35">
      <c r="C3" s="383" t="s">
        <v>1430</v>
      </c>
      <c r="D3" s="380" t="s">
        <v>12</v>
      </c>
      <c r="K3" s="401" t="s">
        <v>1536</v>
      </c>
      <c r="N3" s="421" t="s">
        <v>1539</v>
      </c>
      <c r="O3" s="419" t="s">
        <v>1540</v>
      </c>
      <c r="P3" s="419" t="s">
        <v>1541</v>
      </c>
      <c r="Q3" s="419" t="s">
        <v>1542</v>
      </c>
      <c r="R3" s="419" t="s">
        <v>1543</v>
      </c>
      <c r="S3" s="419" t="s">
        <v>1544</v>
      </c>
    </row>
    <row r="4" spans="1:21" ht="29.4" thickBot="1" x14ac:dyDescent="0.35">
      <c r="C4" s="384" t="s">
        <v>1253</v>
      </c>
      <c r="D4" s="380" t="s">
        <v>1429</v>
      </c>
      <c r="K4" s="381" t="s">
        <v>1537</v>
      </c>
      <c r="N4" s="396" t="s">
        <v>1545</v>
      </c>
      <c r="O4" s="420" t="s">
        <v>1546</v>
      </c>
      <c r="P4" s="420" t="s">
        <v>1553</v>
      </c>
      <c r="Q4" s="420" t="s">
        <v>1554</v>
      </c>
      <c r="R4" s="420" t="s">
        <v>1554</v>
      </c>
      <c r="S4" s="420" t="s">
        <v>1554</v>
      </c>
    </row>
    <row r="5" spans="1:21" ht="29.4" thickBot="1" x14ac:dyDescent="0.35">
      <c r="C5" s="377" t="s">
        <v>1453</v>
      </c>
      <c r="D5" s="398" t="s">
        <v>1518</v>
      </c>
      <c r="N5" s="396" t="s">
        <v>1547</v>
      </c>
      <c r="O5" s="420" t="s">
        <v>1548</v>
      </c>
      <c r="P5" s="420" t="s">
        <v>1553</v>
      </c>
      <c r="Q5" s="420" t="s">
        <v>1554</v>
      </c>
      <c r="R5" s="420" t="s">
        <v>1554</v>
      </c>
      <c r="S5" s="420" t="s">
        <v>1554</v>
      </c>
    </row>
    <row r="6" spans="1:21" ht="29.4" thickBot="1" x14ac:dyDescent="0.35">
      <c r="D6" s="398"/>
      <c r="N6" s="396" t="s">
        <v>1549</v>
      </c>
      <c r="O6" s="420" t="s">
        <v>1548</v>
      </c>
      <c r="P6" s="420" t="s">
        <v>1553</v>
      </c>
      <c r="Q6" s="420" t="s">
        <v>1554</v>
      </c>
      <c r="R6" s="420" t="s">
        <v>1554</v>
      </c>
      <c r="S6" s="420" t="s">
        <v>1554</v>
      </c>
    </row>
    <row r="7" spans="1:21" ht="29.4" thickBot="1" x14ac:dyDescent="0.35">
      <c r="C7" s="380" t="s">
        <v>1422</v>
      </c>
      <c r="D7" s="377" t="s">
        <v>1521</v>
      </c>
      <c r="N7" s="396" t="s">
        <v>1550</v>
      </c>
      <c r="O7" s="420" t="s">
        <v>1551</v>
      </c>
      <c r="P7" s="420" t="s">
        <v>1553</v>
      </c>
      <c r="Q7" s="420" t="s">
        <v>1554</v>
      </c>
      <c r="R7" s="420" t="s">
        <v>1554</v>
      </c>
      <c r="S7" s="420" t="s">
        <v>1554</v>
      </c>
    </row>
    <row r="8" spans="1:21" x14ac:dyDescent="0.3">
      <c r="C8" s="380" t="s">
        <v>1438</v>
      </c>
      <c r="D8" s="377" t="s">
        <v>1522</v>
      </c>
    </row>
    <row r="9" spans="1:21" x14ac:dyDescent="0.3">
      <c r="C9" s="380" t="s">
        <v>1493</v>
      </c>
      <c r="D9" s="129" t="s">
        <v>1523</v>
      </c>
    </row>
    <row r="10" spans="1:21" ht="15" thickBot="1" x14ac:dyDescent="0.35">
      <c r="D10" s="398"/>
    </row>
    <row r="11" spans="1:21" ht="47.4" thickBot="1" x14ac:dyDescent="0.35">
      <c r="C11" s="285" t="s">
        <v>1247</v>
      </c>
      <c r="D11" s="286" t="s">
        <v>1</v>
      </c>
      <c r="E11" s="356" t="s">
        <v>371</v>
      </c>
      <c r="F11" s="286" t="s">
        <v>1435</v>
      </c>
      <c r="G11" s="286" t="s">
        <v>602</v>
      </c>
      <c r="H11" s="286" t="s">
        <v>661</v>
      </c>
      <c r="I11" s="286" t="s">
        <v>5</v>
      </c>
      <c r="J11" s="356" t="s">
        <v>1411</v>
      </c>
      <c r="K11" s="337" t="s">
        <v>1254</v>
      </c>
      <c r="L11" s="337" t="s">
        <v>1244</v>
      </c>
      <c r="M11" s="337" t="s">
        <v>1410</v>
      </c>
      <c r="N11" s="422" t="s">
        <v>1169</v>
      </c>
      <c r="O11" s="286" t="s">
        <v>1170</v>
      </c>
      <c r="P11" s="286" t="s">
        <v>1172</v>
      </c>
      <c r="Q11" s="286" t="s">
        <v>1173</v>
      </c>
      <c r="R11" s="287" t="s">
        <v>1251</v>
      </c>
      <c r="S11" s="378" t="s">
        <v>1520</v>
      </c>
      <c r="T11" s="378" t="s">
        <v>1519</v>
      </c>
      <c r="U11" s="378" t="s">
        <v>1538</v>
      </c>
    </row>
    <row r="12" spans="1:21" ht="30" customHeight="1" x14ac:dyDescent="0.3">
      <c r="C12" s="368" t="s">
        <v>1248</v>
      </c>
      <c r="D12" s="319" t="s">
        <v>618</v>
      </c>
      <c r="E12" s="290" t="s">
        <v>618</v>
      </c>
      <c r="F12" s="290"/>
      <c r="G12" s="288">
        <v>0</v>
      </c>
      <c r="H12" s="263">
        <v>512</v>
      </c>
      <c r="I12" s="289" t="s">
        <v>51</v>
      </c>
      <c r="J12" s="385" t="s">
        <v>1440</v>
      </c>
      <c r="K12" s="290" t="s">
        <v>1243</v>
      </c>
      <c r="L12" s="319" t="s">
        <v>1434</v>
      </c>
      <c r="M12" s="319" t="s">
        <v>1243</v>
      </c>
      <c r="N12" s="288" t="s">
        <v>1438</v>
      </c>
      <c r="O12" s="414" t="s">
        <v>1438</v>
      </c>
      <c r="P12" s="414" t="s">
        <v>1438</v>
      </c>
      <c r="Q12" s="414" t="s">
        <v>1438</v>
      </c>
      <c r="R12" s="291" t="s">
        <v>1591</v>
      </c>
    </row>
    <row r="13" spans="1:21" ht="57.6" x14ac:dyDescent="0.3">
      <c r="C13" s="368"/>
      <c r="D13" s="317" t="s">
        <v>1367</v>
      </c>
      <c r="E13" s="500" t="s">
        <v>1441</v>
      </c>
      <c r="F13" s="292"/>
      <c r="G13" s="292">
        <v>0</v>
      </c>
      <c r="H13" s="264">
        <v>2</v>
      </c>
      <c r="I13" s="264" t="s">
        <v>1319</v>
      </c>
      <c r="J13" s="292" t="s">
        <v>1413</v>
      </c>
      <c r="K13" s="317" t="s">
        <v>1367</v>
      </c>
      <c r="L13" s="318" t="s">
        <v>1243</v>
      </c>
      <c r="M13" s="318" t="s">
        <v>1243</v>
      </c>
      <c r="N13" s="268" t="s">
        <v>1422</v>
      </c>
      <c r="O13" s="268" t="s">
        <v>1422</v>
      </c>
      <c r="P13" s="268" t="s">
        <v>1421</v>
      </c>
      <c r="Q13" s="268" t="s">
        <v>1421</v>
      </c>
      <c r="R13" s="293" t="s">
        <v>1559</v>
      </c>
    </row>
    <row r="14" spans="1:21" ht="28.8" x14ac:dyDescent="0.3">
      <c r="A14" s="386"/>
      <c r="C14" s="368"/>
      <c r="D14" s="317" t="s">
        <v>1368</v>
      </c>
      <c r="E14" s="357" t="s">
        <v>1433</v>
      </c>
      <c r="F14" s="292"/>
      <c r="G14" s="292">
        <v>0</v>
      </c>
      <c r="H14" s="264">
        <v>2</v>
      </c>
      <c r="I14" s="264" t="s">
        <v>1320</v>
      </c>
      <c r="J14" s="292"/>
      <c r="K14" s="317" t="s">
        <v>1368</v>
      </c>
      <c r="L14" s="318" t="s">
        <v>1243</v>
      </c>
      <c r="M14" s="318" t="s">
        <v>1243</v>
      </c>
      <c r="N14" s="268" t="s">
        <v>1422</v>
      </c>
      <c r="O14" s="268" t="s">
        <v>1422</v>
      </c>
      <c r="P14" s="268" t="s">
        <v>1421</v>
      </c>
      <c r="Q14" s="268" t="s">
        <v>1421</v>
      </c>
      <c r="R14" s="293"/>
    </row>
    <row r="15" spans="1:21" ht="115.2" x14ac:dyDescent="0.3">
      <c r="A15" s="386"/>
      <c r="C15" s="368"/>
      <c r="D15" s="317" t="s">
        <v>1369</v>
      </c>
      <c r="E15" s="357" t="s">
        <v>1433</v>
      </c>
      <c r="F15" s="292"/>
      <c r="G15" s="292">
        <v>0</v>
      </c>
      <c r="H15" s="264">
        <v>2</v>
      </c>
      <c r="I15" s="264" t="s">
        <v>1321</v>
      </c>
      <c r="J15" s="292"/>
      <c r="K15" s="317" t="s">
        <v>1369</v>
      </c>
      <c r="L15" s="318" t="s">
        <v>1243</v>
      </c>
      <c r="M15" s="318" t="s">
        <v>1243</v>
      </c>
      <c r="N15" s="415" t="s">
        <v>1421</v>
      </c>
      <c r="O15" s="415" t="s">
        <v>1421</v>
      </c>
      <c r="P15" s="268" t="s">
        <v>1421</v>
      </c>
      <c r="Q15" s="268" t="s">
        <v>1421</v>
      </c>
      <c r="R15" s="505" t="s">
        <v>1570</v>
      </c>
    </row>
    <row r="16" spans="1:21" ht="28.8" x14ac:dyDescent="0.3">
      <c r="A16" s="386"/>
      <c r="C16" s="368"/>
      <c r="D16" s="317" t="s">
        <v>1370</v>
      </c>
      <c r="E16" s="357" t="s">
        <v>1433</v>
      </c>
      <c r="F16" s="292"/>
      <c r="G16" s="292">
        <v>0</v>
      </c>
      <c r="H16" s="264">
        <v>2</v>
      </c>
      <c r="I16" s="264" t="s">
        <v>1322</v>
      </c>
      <c r="J16" s="292"/>
      <c r="K16" s="317" t="s">
        <v>1370</v>
      </c>
      <c r="L16" s="318" t="s">
        <v>1243</v>
      </c>
      <c r="M16" s="318" t="s">
        <v>1243</v>
      </c>
      <c r="N16" s="415" t="s">
        <v>1421</v>
      </c>
      <c r="O16" s="415" t="s">
        <v>1421</v>
      </c>
      <c r="P16" s="268" t="s">
        <v>1421</v>
      </c>
      <c r="Q16" s="268" t="s">
        <v>1421</v>
      </c>
      <c r="R16" s="293"/>
    </row>
    <row r="17" spans="1:18" ht="28.8" x14ac:dyDescent="0.3">
      <c r="A17" s="386"/>
      <c r="C17" s="368"/>
      <c r="D17" s="317" t="s">
        <v>1371</v>
      </c>
      <c r="E17" s="357" t="s">
        <v>1433</v>
      </c>
      <c r="F17" s="292"/>
      <c r="G17" s="292">
        <v>0</v>
      </c>
      <c r="H17" s="264">
        <v>2</v>
      </c>
      <c r="I17" s="264" t="s">
        <v>1323</v>
      </c>
      <c r="J17" s="292"/>
      <c r="K17" s="317" t="s">
        <v>1371</v>
      </c>
      <c r="L17" s="318" t="s">
        <v>1243</v>
      </c>
      <c r="M17" s="318" t="s">
        <v>1243</v>
      </c>
      <c r="N17" s="415" t="s">
        <v>1421</v>
      </c>
      <c r="O17" s="268" t="s">
        <v>1421</v>
      </c>
      <c r="P17" s="268" t="s">
        <v>1421</v>
      </c>
      <c r="Q17" s="268" t="s">
        <v>1421</v>
      </c>
      <c r="R17" s="293"/>
    </row>
    <row r="18" spans="1:18" ht="28.8" x14ac:dyDescent="0.3">
      <c r="A18" s="386"/>
      <c r="C18" s="368"/>
      <c r="D18" s="317" t="s">
        <v>1372</v>
      </c>
      <c r="E18" s="357" t="s">
        <v>1433</v>
      </c>
      <c r="F18" s="292"/>
      <c r="G18" s="292">
        <v>0</v>
      </c>
      <c r="H18" s="264">
        <v>2</v>
      </c>
      <c r="I18" s="264" t="s">
        <v>1324</v>
      </c>
      <c r="J18" s="292"/>
      <c r="K18" s="317" t="s">
        <v>1372</v>
      </c>
      <c r="L18" s="318" t="s">
        <v>1243</v>
      </c>
      <c r="M18" s="318" t="s">
        <v>1243</v>
      </c>
      <c r="N18" s="415" t="s">
        <v>1421</v>
      </c>
      <c r="O18" s="268" t="s">
        <v>1421</v>
      </c>
      <c r="P18" s="268" t="s">
        <v>1421</v>
      </c>
      <c r="Q18" s="268" t="s">
        <v>1421</v>
      </c>
      <c r="R18" s="293"/>
    </row>
    <row r="19" spans="1:18" ht="28.8" x14ac:dyDescent="0.3">
      <c r="A19" s="386"/>
      <c r="C19" s="368"/>
      <c r="D19" s="317" t="s">
        <v>1373</v>
      </c>
      <c r="E19" s="357" t="s">
        <v>1433</v>
      </c>
      <c r="F19" s="292"/>
      <c r="G19" s="292">
        <v>0</v>
      </c>
      <c r="H19" s="264">
        <v>2</v>
      </c>
      <c r="I19" s="264" t="s">
        <v>1325</v>
      </c>
      <c r="J19" s="292"/>
      <c r="K19" s="317" t="s">
        <v>1373</v>
      </c>
      <c r="L19" s="318" t="s">
        <v>1243</v>
      </c>
      <c r="M19" s="318" t="s">
        <v>1243</v>
      </c>
      <c r="N19" s="415" t="s">
        <v>1421</v>
      </c>
      <c r="O19" s="268" t="s">
        <v>1421</v>
      </c>
      <c r="P19" s="268" t="s">
        <v>1421</v>
      </c>
      <c r="Q19" s="268" t="s">
        <v>1421</v>
      </c>
      <c r="R19" s="293"/>
    </row>
    <row r="20" spans="1:18" ht="28.8" x14ac:dyDescent="0.3">
      <c r="A20" s="386"/>
      <c r="C20" s="368"/>
      <c r="D20" s="317" t="s">
        <v>1374</v>
      </c>
      <c r="E20" s="357" t="s">
        <v>1433</v>
      </c>
      <c r="F20" s="292"/>
      <c r="G20" s="292">
        <v>0</v>
      </c>
      <c r="H20" s="264">
        <v>2</v>
      </c>
      <c r="I20" s="264" t="s">
        <v>1326</v>
      </c>
      <c r="J20" s="292"/>
      <c r="K20" s="317" t="s">
        <v>1374</v>
      </c>
      <c r="L20" s="318" t="s">
        <v>1243</v>
      </c>
      <c r="M20" s="318" t="s">
        <v>1243</v>
      </c>
      <c r="N20" s="415" t="s">
        <v>1421</v>
      </c>
      <c r="O20" s="268" t="s">
        <v>1421</v>
      </c>
      <c r="P20" s="268" t="s">
        <v>1421</v>
      </c>
      <c r="Q20" s="268" t="s">
        <v>1421</v>
      </c>
      <c r="R20" s="293"/>
    </row>
    <row r="21" spans="1:18" ht="28.8" x14ac:dyDescent="0.3">
      <c r="A21" s="386"/>
      <c r="C21" s="368"/>
      <c r="D21" s="317" t="s">
        <v>1375</v>
      </c>
      <c r="E21" s="357" t="s">
        <v>1433</v>
      </c>
      <c r="F21" s="292"/>
      <c r="G21" s="292">
        <v>0</v>
      </c>
      <c r="H21" s="264">
        <v>2</v>
      </c>
      <c r="I21" s="264" t="s">
        <v>1327</v>
      </c>
      <c r="J21" s="292"/>
      <c r="K21" s="317" t="s">
        <v>1375</v>
      </c>
      <c r="L21" s="318" t="s">
        <v>1243</v>
      </c>
      <c r="M21" s="318" t="s">
        <v>1243</v>
      </c>
      <c r="N21" s="415" t="s">
        <v>1421</v>
      </c>
      <c r="O21" s="268" t="s">
        <v>1421</v>
      </c>
      <c r="P21" s="268" t="s">
        <v>1421</v>
      </c>
      <c r="Q21" s="268" t="s">
        <v>1421</v>
      </c>
      <c r="R21" s="293"/>
    </row>
    <row r="22" spans="1:18" ht="28.8" x14ac:dyDescent="0.3">
      <c r="A22" s="386"/>
      <c r="C22" s="368"/>
      <c r="D22" s="317" t="s">
        <v>1376</v>
      </c>
      <c r="E22" s="357" t="s">
        <v>1433</v>
      </c>
      <c r="F22" s="292"/>
      <c r="G22" s="292">
        <v>0</v>
      </c>
      <c r="H22" s="264">
        <v>2</v>
      </c>
      <c r="I22" s="264" t="s">
        <v>1328</v>
      </c>
      <c r="J22" s="292"/>
      <c r="K22" s="317" t="s">
        <v>1376</v>
      </c>
      <c r="L22" s="318" t="s">
        <v>1243</v>
      </c>
      <c r="M22" s="318" t="s">
        <v>1243</v>
      </c>
      <c r="N22" s="415" t="s">
        <v>1421</v>
      </c>
      <c r="O22" s="268" t="s">
        <v>1421</v>
      </c>
      <c r="P22" s="268" t="s">
        <v>1421</v>
      </c>
      <c r="Q22" s="268" t="s">
        <v>1421</v>
      </c>
      <c r="R22" s="293"/>
    </row>
    <row r="23" spans="1:18" ht="28.8" x14ac:dyDescent="0.3">
      <c r="A23" s="386"/>
      <c r="C23" s="368"/>
      <c r="D23" s="317" t="s">
        <v>1377</v>
      </c>
      <c r="E23" s="357" t="s">
        <v>1433</v>
      </c>
      <c r="F23" s="292"/>
      <c r="G23" s="292">
        <v>0</v>
      </c>
      <c r="H23" s="264">
        <v>2</v>
      </c>
      <c r="I23" s="274" t="s">
        <v>1329</v>
      </c>
      <c r="J23" s="292"/>
      <c r="K23" s="317" t="s">
        <v>1377</v>
      </c>
      <c r="L23" s="318" t="s">
        <v>1243</v>
      </c>
      <c r="M23" s="318" t="s">
        <v>1243</v>
      </c>
      <c r="N23" s="415" t="s">
        <v>1421</v>
      </c>
      <c r="O23" s="268" t="s">
        <v>1421</v>
      </c>
      <c r="P23" s="268" t="s">
        <v>1421</v>
      </c>
      <c r="Q23" s="268" t="s">
        <v>1421</v>
      </c>
      <c r="R23" s="293"/>
    </row>
    <row r="24" spans="1:18" ht="28.8" x14ac:dyDescent="0.3">
      <c r="A24" s="386"/>
      <c r="C24" s="368"/>
      <c r="D24" s="317" t="s">
        <v>1378</v>
      </c>
      <c r="E24" s="357" t="s">
        <v>1433</v>
      </c>
      <c r="F24" s="292"/>
      <c r="G24" s="292">
        <v>0</v>
      </c>
      <c r="H24" s="264">
        <v>2</v>
      </c>
      <c r="I24" s="274" t="s">
        <v>1330</v>
      </c>
      <c r="J24" s="292"/>
      <c r="K24" s="317" t="s">
        <v>1378</v>
      </c>
      <c r="L24" s="318" t="s">
        <v>1243</v>
      </c>
      <c r="M24" s="318" t="s">
        <v>1243</v>
      </c>
      <c r="N24" s="415" t="s">
        <v>1421</v>
      </c>
      <c r="O24" s="268" t="s">
        <v>1421</v>
      </c>
      <c r="P24" s="268" t="s">
        <v>1421</v>
      </c>
      <c r="Q24" s="268" t="s">
        <v>1421</v>
      </c>
      <c r="R24" s="293"/>
    </row>
    <row r="25" spans="1:18" ht="30" customHeight="1" x14ac:dyDescent="0.3">
      <c r="A25" s="386"/>
      <c r="C25" s="368"/>
      <c r="D25" s="319" t="s">
        <v>52</v>
      </c>
      <c r="E25" s="290" t="s">
        <v>253</v>
      </c>
      <c r="F25" s="290" t="s">
        <v>17</v>
      </c>
      <c r="G25" s="288">
        <v>0</v>
      </c>
      <c r="H25" s="263">
        <v>32</v>
      </c>
      <c r="I25" s="289" t="s">
        <v>53</v>
      </c>
      <c r="J25" s="290" t="s">
        <v>1481</v>
      </c>
      <c r="K25" s="290" t="s">
        <v>1243</v>
      </c>
      <c r="L25" s="319" t="s">
        <v>1243</v>
      </c>
      <c r="M25" s="319" t="s">
        <v>1243</v>
      </c>
      <c r="N25" s="288" t="s">
        <v>1438</v>
      </c>
      <c r="O25" s="288" t="s">
        <v>1438</v>
      </c>
      <c r="P25" s="288" t="s">
        <v>1438</v>
      </c>
      <c r="Q25" s="288" t="s">
        <v>1438</v>
      </c>
      <c r="R25" s="291" t="s">
        <v>1562</v>
      </c>
    </row>
    <row r="26" spans="1:18" ht="100.8" x14ac:dyDescent="0.3">
      <c r="A26" s="386"/>
      <c r="C26" s="368"/>
      <c r="D26" s="320" t="s">
        <v>547</v>
      </c>
      <c r="E26" s="358" t="s">
        <v>253</v>
      </c>
      <c r="F26" s="322"/>
      <c r="G26" s="261">
        <v>0</v>
      </c>
      <c r="H26" s="262">
        <v>1</v>
      </c>
      <c r="I26" s="294" t="s">
        <v>53</v>
      </c>
      <c r="J26" s="292" t="s">
        <v>1427</v>
      </c>
      <c r="K26" s="292" t="s">
        <v>547</v>
      </c>
      <c r="L26" s="348" t="s">
        <v>547</v>
      </c>
      <c r="M26" s="292" t="s">
        <v>547</v>
      </c>
      <c r="N26" s="415" t="s">
        <v>1493</v>
      </c>
      <c r="O26" s="415" t="s">
        <v>1493</v>
      </c>
      <c r="P26" s="415" t="s">
        <v>1493</v>
      </c>
      <c r="Q26" s="415" t="s">
        <v>1493</v>
      </c>
      <c r="R26" s="295" t="s">
        <v>1555</v>
      </c>
    </row>
    <row r="27" spans="1:18" ht="72" x14ac:dyDescent="0.3">
      <c r="A27" s="386"/>
      <c r="C27" s="368"/>
      <c r="D27" s="321" t="s">
        <v>548</v>
      </c>
      <c r="E27" s="358" t="s">
        <v>253</v>
      </c>
      <c r="F27" s="322"/>
      <c r="G27" s="261">
        <v>0</v>
      </c>
      <c r="H27" s="262">
        <v>1</v>
      </c>
      <c r="I27" s="294" t="s">
        <v>53</v>
      </c>
      <c r="J27" s="292" t="s">
        <v>535</v>
      </c>
      <c r="K27" s="292" t="s">
        <v>548</v>
      </c>
      <c r="L27" s="292" t="s">
        <v>548</v>
      </c>
      <c r="M27" s="292" t="s">
        <v>548</v>
      </c>
      <c r="N27" s="415" t="s">
        <v>1493</v>
      </c>
      <c r="O27" s="415" t="s">
        <v>1493</v>
      </c>
      <c r="P27" s="415" t="s">
        <v>1493</v>
      </c>
      <c r="Q27" s="415" t="s">
        <v>1493</v>
      </c>
      <c r="R27" s="295" t="s">
        <v>1555</v>
      </c>
    </row>
    <row r="28" spans="1:18" ht="72" x14ac:dyDescent="0.3">
      <c r="C28" s="368"/>
      <c r="D28" s="320" t="s">
        <v>1241</v>
      </c>
      <c r="E28" s="358" t="s">
        <v>253</v>
      </c>
      <c r="F28" s="322"/>
      <c r="G28" s="261">
        <v>0</v>
      </c>
      <c r="H28" s="262">
        <v>30</v>
      </c>
      <c r="I28" s="294" t="s">
        <v>53</v>
      </c>
      <c r="J28" s="292"/>
      <c r="K28" s="292" t="s">
        <v>1241</v>
      </c>
      <c r="L28" s="348" t="s">
        <v>1241</v>
      </c>
      <c r="M28" s="292" t="s">
        <v>1241</v>
      </c>
      <c r="N28" s="415" t="s">
        <v>1493</v>
      </c>
      <c r="O28" s="415" t="s">
        <v>1493</v>
      </c>
      <c r="P28" s="415" t="s">
        <v>1493</v>
      </c>
      <c r="Q28" s="415" t="s">
        <v>1493</v>
      </c>
      <c r="R28" s="295" t="s">
        <v>1555</v>
      </c>
    </row>
    <row r="29" spans="1:18" ht="30" customHeight="1" x14ac:dyDescent="0.3">
      <c r="C29" s="368"/>
      <c r="D29" s="319" t="s">
        <v>54</v>
      </c>
      <c r="E29" s="290" t="s">
        <v>253</v>
      </c>
      <c r="F29" s="290" t="s">
        <v>17</v>
      </c>
      <c r="G29" s="288">
        <v>0</v>
      </c>
      <c r="H29" s="263">
        <v>32</v>
      </c>
      <c r="I29" s="289" t="s">
        <v>55</v>
      </c>
      <c r="J29" s="290" t="s">
        <v>1482</v>
      </c>
      <c r="K29" s="290" t="s">
        <v>1243</v>
      </c>
      <c r="L29" s="319" t="s">
        <v>1243</v>
      </c>
      <c r="M29" s="319" t="s">
        <v>1243</v>
      </c>
      <c r="N29" s="424" t="s">
        <v>1422</v>
      </c>
      <c r="O29" s="424" t="s">
        <v>1422</v>
      </c>
      <c r="P29" s="424" t="s">
        <v>1422</v>
      </c>
      <c r="Q29" s="424" t="s">
        <v>1422</v>
      </c>
      <c r="R29" s="291" t="s">
        <v>1558</v>
      </c>
    </row>
    <row r="30" spans="1:18" ht="72" x14ac:dyDescent="0.3">
      <c r="C30" s="368"/>
      <c r="D30" s="322" t="s">
        <v>1571</v>
      </c>
      <c r="E30" s="358" t="s">
        <v>253</v>
      </c>
      <c r="F30" s="292"/>
      <c r="G30" s="265">
        <v>0</v>
      </c>
      <c r="H30" s="264">
        <v>1</v>
      </c>
      <c r="I30" s="296" t="s">
        <v>55</v>
      </c>
      <c r="J30" s="292" t="s">
        <v>546</v>
      </c>
      <c r="K30" s="292" t="s">
        <v>549</v>
      </c>
      <c r="L30" s="292" t="s">
        <v>549</v>
      </c>
      <c r="M30" s="338" t="s">
        <v>549</v>
      </c>
      <c r="N30" s="506" t="s">
        <v>1422</v>
      </c>
      <c r="O30" s="271" t="s">
        <v>1422</v>
      </c>
      <c r="P30" s="271" t="s">
        <v>1422</v>
      </c>
      <c r="Q30" s="271" t="s">
        <v>1422</v>
      </c>
      <c r="R30" s="281" t="s">
        <v>1560</v>
      </c>
    </row>
    <row r="31" spans="1:18" ht="28.8" x14ac:dyDescent="0.3">
      <c r="C31" s="368"/>
      <c r="D31" s="323" t="s">
        <v>1572</v>
      </c>
      <c r="E31" s="358" t="s">
        <v>253</v>
      </c>
      <c r="F31" s="292"/>
      <c r="G31" s="265">
        <v>0</v>
      </c>
      <c r="H31" s="264">
        <v>31</v>
      </c>
      <c r="I31" s="296" t="s">
        <v>55</v>
      </c>
      <c r="J31" s="292"/>
      <c r="K31" s="292" t="s">
        <v>1242</v>
      </c>
      <c r="L31" s="348" t="s">
        <v>1242</v>
      </c>
      <c r="M31" s="338" t="s">
        <v>1242</v>
      </c>
      <c r="N31" s="506" t="s">
        <v>1422</v>
      </c>
      <c r="O31" s="271" t="s">
        <v>1422</v>
      </c>
      <c r="P31" s="271" t="s">
        <v>1422</v>
      </c>
      <c r="Q31" s="271" t="s">
        <v>1422</v>
      </c>
      <c r="R31" s="297"/>
    </row>
    <row r="32" spans="1:18" ht="28.8" x14ac:dyDescent="0.3">
      <c r="C32" s="368"/>
      <c r="D32" s="319" t="s">
        <v>359</v>
      </c>
      <c r="E32" s="290" t="s">
        <v>360</v>
      </c>
      <c r="F32" s="290" t="s">
        <v>551</v>
      </c>
      <c r="G32" s="288">
        <v>0</v>
      </c>
      <c r="H32" s="263">
        <v>0</v>
      </c>
      <c r="I32" s="289" t="s">
        <v>405</v>
      </c>
      <c r="J32" s="290" t="s">
        <v>655</v>
      </c>
      <c r="K32" s="319" t="s">
        <v>1243</v>
      </c>
      <c r="L32" s="319" t="s">
        <v>1243</v>
      </c>
      <c r="M32" s="319" t="s">
        <v>1243</v>
      </c>
      <c r="N32" s="288" t="s">
        <v>1438</v>
      </c>
      <c r="O32" s="288" t="s">
        <v>1438</v>
      </c>
      <c r="P32" s="288" t="s">
        <v>1438</v>
      </c>
      <c r="Q32" s="288" t="s">
        <v>1438</v>
      </c>
      <c r="R32" s="291" t="s">
        <v>1556</v>
      </c>
    </row>
    <row r="33" spans="3:19" ht="72" x14ac:dyDescent="0.3">
      <c r="C33" s="368"/>
      <c r="D33" s="319" t="s">
        <v>617</v>
      </c>
      <c r="E33" s="290" t="s">
        <v>669</v>
      </c>
      <c r="F33" s="290"/>
      <c r="G33" s="288">
        <v>0</v>
      </c>
      <c r="H33" s="427">
        <v>0</v>
      </c>
      <c r="I33" s="289" t="s">
        <v>56</v>
      </c>
      <c r="J33" s="290" t="s">
        <v>1428</v>
      </c>
      <c r="K33" s="319" t="s">
        <v>1243</v>
      </c>
      <c r="L33" s="319" t="s">
        <v>1243</v>
      </c>
      <c r="M33" s="319" t="s">
        <v>1243</v>
      </c>
      <c r="N33" s="288" t="s">
        <v>1438</v>
      </c>
      <c r="O33" s="288" t="s">
        <v>1438</v>
      </c>
      <c r="P33" s="288" t="s">
        <v>1438</v>
      </c>
      <c r="Q33" s="288" t="s">
        <v>1438</v>
      </c>
      <c r="R33" s="428" t="s">
        <v>1560</v>
      </c>
    </row>
    <row r="34" spans="3:19" ht="72" x14ac:dyDescent="0.3">
      <c r="C34" s="368"/>
      <c r="D34" s="323" t="s">
        <v>1561</v>
      </c>
      <c r="E34" s="500" t="s">
        <v>1436</v>
      </c>
      <c r="F34" s="292"/>
      <c r="G34" s="265">
        <v>0</v>
      </c>
      <c r="H34" s="274">
        <v>32</v>
      </c>
      <c r="I34" s="296" t="s">
        <v>56</v>
      </c>
      <c r="J34" s="292" t="s">
        <v>1412</v>
      </c>
      <c r="K34" s="323" t="s">
        <v>1245</v>
      </c>
      <c r="L34" s="348" t="s">
        <v>1245</v>
      </c>
      <c r="M34" s="323" t="s">
        <v>1245</v>
      </c>
      <c r="N34" s="501" t="s">
        <v>1443</v>
      </c>
      <c r="O34" s="502" t="s">
        <v>1443</v>
      </c>
      <c r="P34" s="502" t="s">
        <v>1443</v>
      </c>
      <c r="Q34" s="502" t="s">
        <v>1443</v>
      </c>
      <c r="R34" s="297" t="s">
        <v>1560</v>
      </c>
      <c r="S34" s="377" t="s">
        <v>1457</v>
      </c>
    </row>
    <row r="35" spans="3:19" ht="28.8" x14ac:dyDescent="0.3">
      <c r="C35" s="368" t="s">
        <v>1249</v>
      </c>
      <c r="D35" s="319" t="s">
        <v>619</v>
      </c>
      <c r="E35" s="319" t="s">
        <v>619</v>
      </c>
      <c r="F35" s="290"/>
      <c r="G35" s="288">
        <v>0</v>
      </c>
      <c r="H35" s="263">
        <v>0</v>
      </c>
      <c r="I35" s="289" t="s">
        <v>413</v>
      </c>
      <c r="J35" s="290" t="s">
        <v>654</v>
      </c>
      <c r="K35" s="319" t="s">
        <v>1243</v>
      </c>
      <c r="L35" s="319" t="s">
        <v>1243</v>
      </c>
      <c r="M35" s="319" t="s">
        <v>1243</v>
      </c>
      <c r="N35" s="288" t="s">
        <v>1438</v>
      </c>
      <c r="O35" s="288" t="s">
        <v>1438</v>
      </c>
      <c r="P35" s="288" t="s">
        <v>1438</v>
      </c>
      <c r="Q35" s="288" t="s">
        <v>1438</v>
      </c>
      <c r="R35" s="291" t="s">
        <v>1573</v>
      </c>
    </row>
    <row r="36" spans="3:19" ht="57.6" x14ac:dyDescent="0.3">
      <c r="C36" s="368"/>
      <c r="D36" s="318" t="s">
        <v>1379</v>
      </c>
      <c r="E36" s="500" t="s">
        <v>1433</v>
      </c>
      <c r="F36" s="292"/>
      <c r="G36" s="292">
        <v>0</v>
      </c>
      <c r="H36" s="264">
        <v>2</v>
      </c>
      <c r="I36" s="264" t="s">
        <v>1331</v>
      </c>
      <c r="J36" s="292" t="s">
        <v>1412</v>
      </c>
      <c r="K36" s="317" t="s">
        <v>1379</v>
      </c>
      <c r="L36" s="318" t="s">
        <v>1243</v>
      </c>
      <c r="M36" s="318" t="s">
        <v>1243</v>
      </c>
      <c r="N36" s="503" t="s">
        <v>1421</v>
      </c>
      <c r="O36" s="503" t="s">
        <v>1421</v>
      </c>
      <c r="P36" s="503" t="s">
        <v>1421</v>
      </c>
      <c r="Q36" s="503" t="s">
        <v>1421</v>
      </c>
      <c r="R36" s="293"/>
    </row>
    <row r="37" spans="3:19" ht="28.8" x14ac:dyDescent="0.3">
      <c r="C37" s="368"/>
      <c r="D37" s="318" t="s">
        <v>1380</v>
      </c>
      <c r="E37" s="357" t="s">
        <v>1433</v>
      </c>
      <c r="F37" s="292"/>
      <c r="G37" s="292">
        <v>0</v>
      </c>
      <c r="H37" s="264">
        <v>2</v>
      </c>
      <c r="I37" s="264" t="s">
        <v>1332</v>
      </c>
      <c r="J37" s="292"/>
      <c r="K37" s="317" t="s">
        <v>1380</v>
      </c>
      <c r="L37" s="318" t="s">
        <v>1243</v>
      </c>
      <c r="M37" s="318" t="s">
        <v>1243</v>
      </c>
      <c r="N37" s="268" t="s">
        <v>1421</v>
      </c>
      <c r="O37" s="268" t="s">
        <v>1421</v>
      </c>
      <c r="P37" s="268" t="s">
        <v>1421</v>
      </c>
      <c r="Q37" s="268" t="s">
        <v>1421</v>
      </c>
      <c r="R37" s="293"/>
    </row>
    <row r="38" spans="3:19" ht="28.8" x14ac:dyDescent="0.3">
      <c r="C38" s="368"/>
      <c r="D38" s="318" t="s">
        <v>1381</v>
      </c>
      <c r="E38" s="357" t="s">
        <v>1433</v>
      </c>
      <c r="F38" s="292"/>
      <c r="G38" s="292">
        <v>0</v>
      </c>
      <c r="H38" s="264">
        <v>2</v>
      </c>
      <c r="I38" s="264" t="s">
        <v>1333</v>
      </c>
      <c r="J38" s="292"/>
      <c r="K38" s="317" t="s">
        <v>1381</v>
      </c>
      <c r="L38" s="318" t="s">
        <v>1243</v>
      </c>
      <c r="M38" s="318" t="s">
        <v>1243</v>
      </c>
      <c r="N38" s="268" t="s">
        <v>1421</v>
      </c>
      <c r="O38" s="268" t="s">
        <v>1421</v>
      </c>
      <c r="P38" s="268" t="s">
        <v>1421</v>
      </c>
      <c r="Q38" s="268" t="s">
        <v>1421</v>
      </c>
      <c r="R38" s="293"/>
    </row>
    <row r="39" spans="3:19" ht="28.8" x14ac:dyDescent="0.3">
      <c r="C39" s="368"/>
      <c r="D39" s="318" t="s">
        <v>1382</v>
      </c>
      <c r="E39" s="357" t="s">
        <v>1433</v>
      </c>
      <c r="F39" s="292"/>
      <c r="G39" s="292">
        <v>0</v>
      </c>
      <c r="H39" s="264">
        <v>2</v>
      </c>
      <c r="I39" s="264" t="s">
        <v>1334</v>
      </c>
      <c r="J39" s="292"/>
      <c r="K39" s="317" t="s">
        <v>1382</v>
      </c>
      <c r="L39" s="318" t="s">
        <v>1243</v>
      </c>
      <c r="M39" s="318" t="s">
        <v>1243</v>
      </c>
      <c r="N39" s="268" t="s">
        <v>1421</v>
      </c>
      <c r="O39" s="268" t="s">
        <v>1421</v>
      </c>
      <c r="P39" s="268" t="s">
        <v>1421</v>
      </c>
      <c r="Q39" s="268" t="s">
        <v>1421</v>
      </c>
      <c r="R39" s="293"/>
    </row>
    <row r="40" spans="3:19" ht="28.8" x14ac:dyDescent="0.3">
      <c r="C40" s="368"/>
      <c r="D40" s="318" t="s">
        <v>1383</v>
      </c>
      <c r="E40" s="357" t="s">
        <v>1433</v>
      </c>
      <c r="F40" s="292"/>
      <c r="G40" s="292">
        <v>0</v>
      </c>
      <c r="H40" s="264">
        <v>2</v>
      </c>
      <c r="I40" s="264" t="s">
        <v>1335</v>
      </c>
      <c r="J40" s="292"/>
      <c r="K40" s="317" t="s">
        <v>1383</v>
      </c>
      <c r="L40" s="318" t="s">
        <v>1243</v>
      </c>
      <c r="M40" s="318" t="s">
        <v>1243</v>
      </c>
      <c r="N40" s="268" t="s">
        <v>1421</v>
      </c>
      <c r="O40" s="268" t="s">
        <v>1421</v>
      </c>
      <c r="P40" s="268" t="s">
        <v>1421</v>
      </c>
      <c r="Q40" s="268" t="s">
        <v>1421</v>
      </c>
      <c r="R40" s="293"/>
    </row>
    <row r="41" spans="3:19" ht="28.8" x14ac:dyDescent="0.3">
      <c r="C41" s="368"/>
      <c r="D41" s="318" t="s">
        <v>1384</v>
      </c>
      <c r="E41" s="357" t="s">
        <v>1433</v>
      </c>
      <c r="F41" s="292"/>
      <c r="G41" s="292">
        <v>0</v>
      </c>
      <c r="H41" s="264">
        <v>2</v>
      </c>
      <c r="I41" s="264" t="s">
        <v>1336</v>
      </c>
      <c r="J41" s="292"/>
      <c r="K41" s="317" t="s">
        <v>1384</v>
      </c>
      <c r="L41" s="318" t="s">
        <v>1243</v>
      </c>
      <c r="M41" s="318" t="s">
        <v>1243</v>
      </c>
      <c r="N41" s="268" t="s">
        <v>1421</v>
      </c>
      <c r="O41" s="268" t="s">
        <v>1421</v>
      </c>
      <c r="P41" s="268" t="s">
        <v>1421</v>
      </c>
      <c r="Q41" s="268" t="s">
        <v>1421</v>
      </c>
      <c r="R41" s="293"/>
    </row>
    <row r="42" spans="3:19" ht="28.8" x14ac:dyDescent="0.3">
      <c r="C42" s="368"/>
      <c r="D42" s="318" t="s">
        <v>1385</v>
      </c>
      <c r="E42" s="357" t="s">
        <v>1433</v>
      </c>
      <c r="F42" s="292"/>
      <c r="G42" s="292">
        <v>0</v>
      </c>
      <c r="H42" s="264">
        <v>2</v>
      </c>
      <c r="I42" s="264" t="s">
        <v>1337</v>
      </c>
      <c r="J42" s="292"/>
      <c r="K42" s="317" t="s">
        <v>1385</v>
      </c>
      <c r="L42" s="318" t="s">
        <v>1243</v>
      </c>
      <c r="M42" s="318" t="s">
        <v>1243</v>
      </c>
      <c r="N42" s="268" t="s">
        <v>1421</v>
      </c>
      <c r="O42" s="268" t="s">
        <v>1421</v>
      </c>
      <c r="P42" s="268" t="s">
        <v>1421</v>
      </c>
      <c r="Q42" s="268" t="s">
        <v>1421</v>
      </c>
      <c r="R42" s="293"/>
    </row>
    <row r="43" spans="3:19" ht="28.8" x14ac:dyDescent="0.3">
      <c r="C43" s="368"/>
      <c r="D43" s="318" t="s">
        <v>1386</v>
      </c>
      <c r="E43" s="357" t="s">
        <v>1433</v>
      </c>
      <c r="F43" s="292"/>
      <c r="G43" s="292">
        <v>0</v>
      </c>
      <c r="H43" s="264">
        <v>2</v>
      </c>
      <c r="I43" s="264" t="s">
        <v>1338</v>
      </c>
      <c r="J43" s="292"/>
      <c r="K43" s="317" t="s">
        <v>1386</v>
      </c>
      <c r="L43" s="318" t="s">
        <v>1243</v>
      </c>
      <c r="M43" s="318" t="s">
        <v>1243</v>
      </c>
      <c r="N43" s="268" t="s">
        <v>1421</v>
      </c>
      <c r="O43" s="268" t="s">
        <v>1421</v>
      </c>
      <c r="P43" s="268" t="s">
        <v>1421</v>
      </c>
      <c r="Q43" s="268" t="s">
        <v>1421</v>
      </c>
      <c r="R43" s="293"/>
    </row>
    <row r="44" spans="3:19" ht="28.8" x14ac:dyDescent="0.3">
      <c r="C44" s="368"/>
      <c r="D44" s="318" t="s">
        <v>1387</v>
      </c>
      <c r="E44" s="357" t="s">
        <v>1433</v>
      </c>
      <c r="F44" s="292"/>
      <c r="G44" s="292">
        <v>0</v>
      </c>
      <c r="H44" s="264">
        <v>2</v>
      </c>
      <c r="I44" s="264" t="s">
        <v>1339</v>
      </c>
      <c r="J44" s="292"/>
      <c r="K44" s="317" t="s">
        <v>1387</v>
      </c>
      <c r="L44" s="318" t="s">
        <v>1243</v>
      </c>
      <c r="M44" s="318" t="s">
        <v>1243</v>
      </c>
      <c r="N44" s="268" t="s">
        <v>1421</v>
      </c>
      <c r="O44" s="268" t="s">
        <v>1421</v>
      </c>
      <c r="P44" s="268" t="s">
        <v>1421</v>
      </c>
      <c r="Q44" s="268" t="s">
        <v>1421</v>
      </c>
      <c r="R44" s="293"/>
    </row>
    <row r="45" spans="3:19" ht="28.8" x14ac:dyDescent="0.3">
      <c r="C45" s="368"/>
      <c r="D45" s="318" t="s">
        <v>1388</v>
      </c>
      <c r="E45" s="357" t="s">
        <v>1433</v>
      </c>
      <c r="F45" s="292"/>
      <c r="G45" s="292">
        <v>0</v>
      </c>
      <c r="H45" s="264">
        <v>2</v>
      </c>
      <c r="I45" s="264" t="s">
        <v>1340</v>
      </c>
      <c r="J45" s="292"/>
      <c r="K45" s="317" t="s">
        <v>1388</v>
      </c>
      <c r="L45" s="318" t="s">
        <v>1243</v>
      </c>
      <c r="M45" s="318" t="s">
        <v>1243</v>
      </c>
      <c r="N45" s="268" t="s">
        <v>1421</v>
      </c>
      <c r="O45" s="268" t="s">
        <v>1421</v>
      </c>
      <c r="P45" s="268" t="s">
        <v>1421</v>
      </c>
      <c r="Q45" s="268" t="s">
        <v>1421</v>
      </c>
      <c r="R45" s="293"/>
    </row>
    <row r="46" spans="3:19" ht="28.8" x14ac:dyDescent="0.3">
      <c r="C46" s="368"/>
      <c r="D46" s="318" t="s">
        <v>1389</v>
      </c>
      <c r="E46" s="357" t="s">
        <v>1433</v>
      </c>
      <c r="F46" s="292"/>
      <c r="G46" s="292">
        <v>0</v>
      </c>
      <c r="H46" s="264">
        <v>2</v>
      </c>
      <c r="I46" s="264" t="s">
        <v>1423</v>
      </c>
      <c r="J46" s="292"/>
      <c r="K46" s="317" t="s">
        <v>1389</v>
      </c>
      <c r="L46" s="318" t="s">
        <v>1243</v>
      </c>
      <c r="M46" s="318" t="s">
        <v>1243</v>
      </c>
      <c r="N46" s="268" t="s">
        <v>1421</v>
      </c>
      <c r="O46" s="268" t="s">
        <v>1421</v>
      </c>
      <c r="P46" s="268" t="s">
        <v>1421</v>
      </c>
      <c r="Q46" s="268" t="s">
        <v>1421</v>
      </c>
      <c r="R46" s="293"/>
    </row>
    <row r="47" spans="3:19" ht="28.8" x14ac:dyDescent="0.3">
      <c r="C47" s="368"/>
      <c r="D47" s="318" t="s">
        <v>1390</v>
      </c>
      <c r="E47" s="357" t="s">
        <v>1433</v>
      </c>
      <c r="F47" s="292"/>
      <c r="G47" s="292">
        <v>0</v>
      </c>
      <c r="H47" s="264">
        <v>2</v>
      </c>
      <c r="I47" s="264" t="s">
        <v>1424</v>
      </c>
      <c r="J47" s="292"/>
      <c r="K47" s="317" t="s">
        <v>1390</v>
      </c>
      <c r="L47" s="318" t="s">
        <v>1243</v>
      </c>
      <c r="M47" s="318" t="s">
        <v>1243</v>
      </c>
      <c r="N47" s="268" t="s">
        <v>1421</v>
      </c>
      <c r="O47" s="268" t="s">
        <v>1421</v>
      </c>
      <c r="P47" s="268" t="s">
        <v>1421</v>
      </c>
      <c r="Q47" s="268" t="s">
        <v>1421</v>
      </c>
      <c r="R47" s="293"/>
    </row>
    <row r="48" spans="3:19" ht="72" x14ac:dyDescent="0.3">
      <c r="C48" s="368"/>
      <c r="D48" s="319" t="s">
        <v>354</v>
      </c>
      <c r="E48" s="290" t="s">
        <v>355</v>
      </c>
      <c r="F48" s="290" t="s">
        <v>17</v>
      </c>
      <c r="G48" s="288">
        <v>0</v>
      </c>
      <c r="H48" s="263">
        <v>0</v>
      </c>
      <c r="I48" s="289" t="s">
        <v>408</v>
      </c>
      <c r="J48" s="290" t="s">
        <v>876</v>
      </c>
      <c r="K48" s="290" t="s">
        <v>1243</v>
      </c>
      <c r="L48" s="319" t="s">
        <v>1243</v>
      </c>
      <c r="M48" s="319" t="s">
        <v>1243</v>
      </c>
      <c r="N48" s="288" t="s">
        <v>1421</v>
      </c>
      <c r="O48" s="288" t="s">
        <v>1421</v>
      </c>
      <c r="P48" s="288" t="s">
        <v>1421</v>
      </c>
      <c r="Q48" s="288" t="s">
        <v>1421</v>
      </c>
      <c r="R48" s="291"/>
    </row>
    <row r="49" spans="3:18" ht="115.2" x14ac:dyDescent="0.3">
      <c r="C49" s="368"/>
      <c r="D49" s="318" t="s">
        <v>1341</v>
      </c>
      <c r="E49" s="358" t="s">
        <v>1592</v>
      </c>
      <c r="F49" s="292"/>
      <c r="G49" s="292">
        <v>0</v>
      </c>
      <c r="H49" s="264">
        <v>1</v>
      </c>
      <c r="I49" s="264" t="s">
        <v>1342</v>
      </c>
      <c r="J49" s="292" t="s">
        <v>534</v>
      </c>
      <c r="K49" s="292" t="s">
        <v>534</v>
      </c>
      <c r="L49" s="292" t="s">
        <v>534</v>
      </c>
      <c r="M49" s="292" t="s">
        <v>534</v>
      </c>
      <c r="N49" s="268" t="s">
        <v>1421</v>
      </c>
      <c r="O49" s="268" t="s">
        <v>1421</v>
      </c>
      <c r="P49" s="268" t="s">
        <v>1421</v>
      </c>
      <c r="Q49" s="268" t="s">
        <v>1421</v>
      </c>
      <c r="R49" s="293"/>
    </row>
    <row r="50" spans="3:18" ht="43.2" x14ac:dyDescent="0.3">
      <c r="C50" s="368"/>
      <c r="D50" s="318" t="s">
        <v>1343</v>
      </c>
      <c r="E50" s="358" t="s">
        <v>1592</v>
      </c>
      <c r="F50" s="292"/>
      <c r="G50" s="292">
        <v>0</v>
      </c>
      <c r="H50" s="264">
        <v>1</v>
      </c>
      <c r="I50" s="264" t="s">
        <v>1342</v>
      </c>
      <c r="J50" s="292" t="s">
        <v>535</v>
      </c>
      <c r="K50" s="292" t="s">
        <v>1343</v>
      </c>
      <c r="L50" s="318" t="s">
        <v>1243</v>
      </c>
      <c r="M50" s="318" t="s">
        <v>1243</v>
      </c>
      <c r="N50" s="268" t="s">
        <v>1421</v>
      </c>
      <c r="O50" s="268" t="s">
        <v>1421</v>
      </c>
      <c r="P50" s="268" t="s">
        <v>1421</v>
      </c>
      <c r="Q50" s="268" t="s">
        <v>1421</v>
      </c>
      <c r="R50" s="293"/>
    </row>
    <row r="51" spans="3:18" ht="43.2" x14ac:dyDescent="0.3">
      <c r="C51" s="368"/>
      <c r="D51" s="318" t="s">
        <v>1344</v>
      </c>
      <c r="E51" s="358" t="s">
        <v>1592</v>
      </c>
      <c r="F51" s="292"/>
      <c r="G51" s="292">
        <v>0</v>
      </c>
      <c r="H51" s="264">
        <v>30</v>
      </c>
      <c r="I51" s="264" t="s">
        <v>1342</v>
      </c>
      <c r="J51" s="292"/>
      <c r="K51" s="292" t="s">
        <v>1344</v>
      </c>
      <c r="L51" s="318" t="s">
        <v>1243</v>
      </c>
      <c r="M51" s="318" t="s">
        <v>1243</v>
      </c>
      <c r="N51" s="268" t="s">
        <v>1421</v>
      </c>
      <c r="O51" s="268" t="s">
        <v>1421</v>
      </c>
      <c r="P51" s="268" t="s">
        <v>1421</v>
      </c>
      <c r="Q51" s="268" t="s">
        <v>1421</v>
      </c>
      <c r="R51" s="293"/>
    </row>
    <row r="52" spans="3:18" ht="57.6" x14ac:dyDescent="0.3">
      <c r="C52" s="368"/>
      <c r="D52" s="319" t="s">
        <v>401</v>
      </c>
      <c r="E52" s="290" t="s">
        <v>355</v>
      </c>
      <c r="F52" s="290" t="s">
        <v>17</v>
      </c>
      <c r="G52" s="288">
        <v>0</v>
      </c>
      <c r="H52" s="263">
        <v>0</v>
      </c>
      <c r="I52" s="289" t="s">
        <v>411</v>
      </c>
      <c r="J52" s="290" t="s">
        <v>881</v>
      </c>
      <c r="K52" s="290" t="s">
        <v>1243</v>
      </c>
      <c r="L52" s="319" t="s">
        <v>1243</v>
      </c>
      <c r="M52" s="319" t="s">
        <v>1243</v>
      </c>
      <c r="N52" s="288" t="s">
        <v>1243</v>
      </c>
      <c r="O52" s="319" t="s">
        <v>1243</v>
      </c>
      <c r="P52" s="414" t="s">
        <v>1243</v>
      </c>
      <c r="Q52" s="414" t="s">
        <v>1243</v>
      </c>
      <c r="R52" s="291"/>
    </row>
    <row r="53" spans="3:18" ht="43.2" x14ac:dyDescent="0.3">
      <c r="C53" s="368"/>
      <c r="D53" s="318" t="s">
        <v>1345</v>
      </c>
      <c r="E53" s="358" t="s">
        <v>1592</v>
      </c>
      <c r="F53" s="292"/>
      <c r="G53" s="292">
        <v>0</v>
      </c>
      <c r="H53" s="264">
        <v>1</v>
      </c>
      <c r="I53" s="264" t="s">
        <v>1346</v>
      </c>
      <c r="J53" s="292" t="s">
        <v>546</v>
      </c>
      <c r="K53" s="292" t="s">
        <v>1345</v>
      </c>
      <c r="L53" s="318" t="s">
        <v>1243</v>
      </c>
      <c r="M53" s="318" t="s">
        <v>1243</v>
      </c>
      <c r="N53" s="268" t="s">
        <v>1421</v>
      </c>
      <c r="O53" s="268" t="s">
        <v>1421</v>
      </c>
      <c r="P53" s="268" t="s">
        <v>1421</v>
      </c>
      <c r="Q53" s="268" t="s">
        <v>1421</v>
      </c>
      <c r="R53" s="293"/>
    </row>
    <row r="54" spans="3:18" ht="43.2" x14ac:dyDescent="0.3">
      <c r="C54" s="368"/>
      <c r="D54" s="318" t="s">
        <v>1347</v>
      </c>
      <c r="E54" s="358" t="s">
        <v>1592</v>
      </c>
      <c r="F54" s="292"/>
      <c r="G54" s="292">
        <v>0</v>
      </c>
      <c r="H54" s="264">
        <v>31</v>
      </c>
      <c r="I54" s="264" t="s">
        <v>1346</v>
      </c>
      <c r="J54" s="292"/>
      <c r="K54" s="292" t="s">
        <v>1347</v>
      </c>
      <c r="L54" s="318" t="s">
        <v>1243</v>
      </c>
      <c r="M54" s="318" t="s">
        <v>1243</v>
      </c>
      <c r="N54" s="268" t="s">
        <v>1421</v>
      </c>
      <c r="O54" s="268" t="s">
        <v>1421</v>
      </c>
      <c r="P54" s="268" t="s">
        <v>1421</v>
      </c>
      <c r="Q54" s="268" t="s">
        <v>1421</v>
      </c>
      <c r="R54" s="293"/>
    </row>
    <row r="55" spans="3:18" ht="57.6" x14ac:dyDescent="0.3">
      <c r="C55" s="368"/>
      <c r="D55" s="319" t="s">
        <v>362</v>
      </c>
      <c r="E55" s="290" t="s">
        <v>363</v>
      </c>
      <c r="F55" s="290" t="s">
        <v>551</v>
      </c>
      <c r="G55" s="288">
        <v>0</v>
      </c>
      <c r="H55" s="263">
        <v>0</v>
      </c>
      <c r="I55" s="289" t="s">
        <v>406</v>
      </c>
      <c r="J55" s="290" t="s">
        <v>655</v>
      </c>
      <c r="K55" s="319" t="s">
        <v>1243</v>
      </c>
      <c r="L55" s="319" t="s">
        <v>1243</v>
      </c>
      <c r="M55" s="319" t="s">
        <v>1243</v>
      </c>
      <c r="N55" s="288" t="s">
        <v>1243</v>
      </c>
      <c r="O55" s="319" t="s">
        <v>1243</v>
      </c>
      <c r="P55" s="414" t="s">
        <v>1243</v>
      </c>
      <c r="Q55" s="414" t="s">
        <v>1243</v>
      </c>
      <c r="R55" s="291"/>
    </row>
    <row r="56" spans="3:18" ht="28.8" x14ac:dyDescent="0.3">
      <c r="C56" s="368"/>
      <c r="D56" s="319" t="s">
        <v>620</v>
      </c>
      <c r="E56" s="290" t="s">
        <v>669</v>
      </c>
      <c r="F56" s="290"/>
      <c r="G56" s="288">
        <v>0</v>
      </c>
      <c r="H56" s="263">
        <v>0</v>
      </c>
      <c r="I56" s="289" t="s">
        <v>412</v>
      </c>
      <c r="J56" s="290" t="s">
        <v>1432</v>
      </c>
      <c r="K56" s="319" t="s">
        <v>1243</v>
      </c>
      <c r="L56" s="319" t="s">
        <v>1243</v>
      </c>
      <c r="M56" s="319" t="s">
        <v>1243</v>
      </c>
      <c r="N56" s="288" t="s">
        <v>1243</v>
      </c>
      <c r="O56" s="319" t="s">
        <v>1243</v>
      </c>
      <c r="P56" s="414" t="s">
        <v>1243</v>
      </c>
      <c r="Q56" s="414" t="s">
        <v>1243</v>
      </c>
      <c r="R56" s="291"/>
    </row>
    <row r="57" spans="3:18" ht="57.6" x14ac:dyDescent="0.3">
      <c r="C57" s="368"/>
      <c r="D57" s="323" t="s">
        <v>1391</v>
      </c>
      <c r="E57" s="500" t="s">
        <v>1433</v>
      </c>
      <c r="F57" s="292"/>
      <c r="G57" s="292">
        <v>0</v>
      </c>
      <c r="H57" s="264" t="s">
        <v>1246</v>
      </c>
      <c r="I57" s="264" t="s">
        <v>1348</v>
      </c>
      <c r="J57" s="292" t="s">
        <v>1413</v>
      </c>
      <c r="K57" s="323" t="s">
        <v>1391</v>
      </c>
      <c r="L57" s="318" t="s">
        <v>1243</v>
      </c>
      <c r="M57" s="318" t="s">
        <v>1243</v>
      </c>
      <c r="N57" s="268" t="s">
        <v>1421</v>
      </c>
      <c r="O57" s="268" t="s">
        <v>1421</v>
      </c>
      <c r="P57" s="268" t="s">
        <v>1421</v>
      </c>
      <c r="Q57" s="268" t="s">
        <v>1421</v>
      </c>
      <c r="R57" s="293"/>
    </row>
    <row r="58" spans="3:18" x14ac:dyDescent="0.3">
      <c r="C58" s="368" t="s">
        <v>1250</v>
      </c>
      <c r="D58" s="319" t="s">
        <v>621</v>
      </c>
      <c r="E58" s="290" t="s">
        <v>621</v>
      </c>
      <c r="F58" s="290"/>
      <c r="G58" s="288">
        <v>0</v>
      </c>
      <c r="H58" s="263">
        <v>0</v>
      </c>
      <c r="I58" s="289" t="s">
        <v>414</v>
      </c>
      <c r="J58" s="290" t="s">
        <v>654</v>
      </c>
      <c r="K58" s="290" t="s">
        <v>1243</v>
      </c>
      <c r="L58" s="319" t="s">
        <v>1243</v>
      </c>
      <c r="M58" s="319" t="s">
        <v>1243</v>
      </c>
      <c r="N58" s="288" t="s">
        <v>1243</v>
      </c>
      <c r="O58" s="319" t="s">
        <v>1243</v>
      </c>
      <c r="P58" s="414" t="s">
        <v>1243</v>
      </c>
      <c r="Q58" s="414" t="s">
        <v>1243</v>
      </c>
      <c r="R58" s="291"/>
    </row>
    <row r="59" spans="3:18" ht="57.6" x14ac:dyDescent="0.3">
      <c r="C59" s="368"/>
      <c r="D59" s="318" t="s">
        <v>1392</v>
      </c>
      <c r="E59" s="500" t="s">
        <v>1433</v>
      </c>
      <c r="F59" s="292"/>
      <c r="G59" s="292">
        <v>0</v>
      </c>
      <c r="H59" s="264">
        <v>2</v>
      </c>
      <c r="I59" s="264" t="s">
        <v>1349</v>
      </c>
      <c r="J59" s="292" t="s">
        <v>1413</v>
      </c>
      <c r="K59" s="317" t="s">
        <v>1392</v>
      </c>
      <c r="L59" s="318" t="s">
        <v>1243</v>
      </c>
      <c r="M59" s="318" t="s">
        <v>1243</v>
      </c>
      <c r="N59" s="268" t="s">
        <v>1243</v>
      </c>
      <c r="O59" s="318" t="s">
        <v>1243</v>
      </c>
      <c r="P59" s="268" t="s">
        <v>1243</v>
      </c>
      <c r="Q59" s="268" t="s">
        <v>1243</v>
      </c>
      <c r="R59" s="293"/>
    </row>
    <row r="60" spans="3:18" ht="28.8" x14ac:dyDescent="0.3">
      <c r="C60" s="368"/>
      <c r="D60" s="318" t="s">
        <v>1393</v>
      </c>
      <c r="E60" s="357" t="s">
        <v>1433</v>
      </c>
      <c r="F60" s="292"/>
      <c r="G60" s="292">
        <v>0</v>
      </c>
      <c r="H60" s="264">
        <v>2</v>
      </c>
      <c r="I60" s="264" t="s">
        <v>1350</v>
      </c>
      <c r="J60" s="292"/>
      <c r="K60" s="317" t="s">
        <v>1393</v>
      </c>
      <c r="L60" s="318" t="s">
        <v>1243</v>
      </c>
      <c r="M60" s="318" t="s">
        <v>1243</v>
      </c>
      <c r="N60" s="268" t="s">
        <v>1421</v>
      </c>
      <c r="O60" s="268" t="s">
        <v>1421</v>
      </c>
      <c r="P60" s="268" t="s">
        <v>1421</v>
      </c>
      <c r="Q60" s="268" t="s">
        <v>1421</v>
      </c>
      <c r="R60" s="293"/>
    </row>
    <row r="61" spans="3:18" ht="28.8" x14ac:dyDescent="0.3">
      <c r="C61" s="368"/>
      <c r="D61" s="318" t="s">
        <v>1394</v>
      </c>
      <c r="E61" s="357" t="s">
        <v>1433</v>
      </c>
      <c r="F61" s="292"/>
      <c r="G61" s="292">
        <v>0</v>
      </c>
      <c r="H61" s="264">
        <v>2</v>
      </c>
      <c r="I61" s="264" t="s">
        <v>1351</v>
      </c>
      <c r="J61" s="292"/>
      <c r="K61" s="317" t="s">
        <v>1394</v>
      </c>
      <c r="L61" s="318" t="s">
        <v>1243</v>
      </c>
      <c r="M61" s="318" t="s">
        <v>1243</v>
      </c>
      <c r="N61" s="268" t="s">
        <v>1421</v>
      </c>
      <c r="O61" s="268" t="s">
        <v>1421</v>
      </c>
      <c r="P61" s="268" t="s">
        <v>1421</v>
      </c>
      <c r="Q61" s="268" t="s">
        <v>1421</v>
      </c>
      <c r="R61" s="293"/>
    </row>
    <row r="62" spans="3:18" ht="28.8" x14ac:dyDescent="0.3">
      <c r="C62" s="368"/>
      <c r="D62" s="318" t="s">
        <v>1395</v>
      </c>
      <c r="E62" s="357" t="s">
        <v>1433</v>
      </c>
      <c r="F62" s="292"/>
      <c r="G62" s="292">
        <v>0</v>
      </c>
      <c r="H62" s="264">
        <v>2</v>
      </c>
      <c r="I62" s="264" t="s">
        <v>1352</v>
      </c>
      <c r="J62" s="292"/>
      <c r="K62" s="317" t="s">
        <v>1395</v>
      </c>
      <c r="L62" s="318" t="s">
        <v>1243</v>
      </c>
      <c r="M62" s="318" t="s">
        <v>1243</v>
      </c>
      <c r="N62" s="268" t="s">
        <v>1243</v>
      </c>
      <c r="O62" s="318" t="s">
        <v>1243</v>
      </c>
      <c r="P62" s="268" t="s">
        <v>1243</v>
      </c>
      <c r="Q62" s="268" t="s">
        <v>1243</v>
      </c>
      <c r="R62" s="293"/>
    </row>
    <row r="63" spans="3:18" ht="28.8" x14ac:dyDescent="0.3">
      <c r="C63" s="368"/>
      <c r="D63" s="318" t="s">
        <v>1396</v>
      </c>
      <c r="E63" s="357" t="s">
        <v>1433</v>
      </c>
      <c r="F63" s="292"/>
      <c r="G63" s="292">
        <v>0</v>
      </c>
      <c r="H63" s="264">
        <v>2</v>
      </c>
      <c r="I63" s="264" t="s">
        <v>1353</v>
      </c>
      <c r="J63" s="292"/>
      <c r="K63" s="317" t="s">
        <v>1396</v>
      </c>
      <c r="L63" s="318" t="s">
        <v>1243</v>
      </c>
      <c r="M63" s="318" t="s">
        <v>1243</v>
      </c>
      <c r="N63" s="268" t="s">
        <v>1243</v>
      </c>
      <c r="O63" s="318" t="s">
        <v>1243</v>
      </c>
      <c r="P63" s="268" t="s">
        <v>1243</v>
      </c>
      <c r="Q63" s="268" t="s">
        <v>1243</v>
      </c>
      <c r="R63" s="293"/>
    </row>
    <row r="64" spans="3:18" ht="28.8" x14ac:dyDescent="0.3">
      <c r="C64" s="368"/>
      <c r="D64" s="318" t="s">
        <v>1397</v>
      </c>
      <c r="E64" s="357" t="s">
        <v>1433</v>
      </c>
      <c r="F64" s="292"/>
      <c r="G64" s="292">
        <v>0</v>
      </c>
      <c r="H64" s="264">
        <v>2</v>
      </c>
      <c r="I64" s="264" t="s">
        <v>1354</v>
      </c>
      <c r="J64" s="292"/>
      <c r="K64" s="317" t="s">
        <v>1397</v>
      </c>
      <c r="L64" s="318" t="s">
        <v>1243</v>
      </c>
      <c r="M64" s="318" t="s">
        <v>1243</v>
      </c>
      <c r="N64" s="268" t="s">
        <v>1243</v>
      </c>
      <c r="O64" s="318" t="s">
        <v>1243</v>
      </c>
      <c r="P64" s="268" t="s">
        <v>1243</v>
      </c>
      <c r="Q64" s="268" t="s">
        <v>1243</v>
      </c>
      <c r="R64" s="293"/>
    </row>
    <row r="65" spans="3:18" ht="28.8" x14ac:dyDescent="0.3">
      <c r="C65" s="368"/>
      <c r="D65" s="318" t="s">
        <v>1398</v>
      </c>
      <c r="E65" s="357" t="s">
        <v>1433</v>
      </c>
      <c r="F65" s="292"/>
      <c r="G65" s="292">
        <v>0</v>
      </c>
      <c r="H65" s="264">
        <v>2</v>
      </c>
      <c r="I65" s="264" t="s">
        <v>1355</v>
      </c>
      <c r="J65" s="292"/>
      <c r="K65" s="317" t="s">
        <v>1398</v>
      </c>
      <c r="L65" s="318" t="s">
        <v>1243</v>
      </c>
      <c r="M65" s="318" t="s">
        <v>1243</v>
      </c>
      <c r="N65" s="268" t="s">
        <v>1243</v>
      </c>
      <c r="O65" s="318" t="s">
        <v>1243</v>
      </c>
      <c r="P65" s="268" t="s">
        <v>1243</v>
      </c>
      <c r="Q65" s="268" t="s">
        <v>1243</v>
      </c>
      <c r="R65" s="293"/>
    </row>
    <row r="66" spans="3:18" ht="28.8" x14ac:dyDescent="0.3">
      <c r="C66" s="368"/>
      <c r="D66" s="318" t="s">
        <v>1399</v>
      </c>
      <c r="E66" s="357" t="s">
        <v>1433</v>
      </c>
      <c r="F66" s="292"/>
      <c r="G66" s="292">
        <v>0</v>
      </c>
      <c r="H66" s="264">
        <v>2</v>
      </c>
      <c r="I66" s="264" t="s">
        <v>1356</v>
      </c>
      <c r="J66" s="292"/>
      <c r="K66" s="317" t="s">
        <v>1399</v>
      </c>
      <c r="L66" s="318" t="s">
        <v>1243</v>
      </c>
      <c r="M66" s="318" t="s">
        <v>1243</v>
      </c>
      <c r="N66" s="268" t="s">
        <v>1243</v>
      </c>
      <c r="O66" s="318" t="s">
        <v>1243</v>
      </c>
      <c r="P66" s="268" t="s">
        <v>1243</v>
      </c>
      <c r="Q66" s="268" t="s">
        <v>1243</v>
      </c>
      <c r="R66" s="293"/>
    </row>
    <row r="67" spans="3:18" ht="28.8" x14ac:dyDescent="0.3">
      <c r="C67" s="368"/>
      <c r="D67" s="318" t="s">
        <v>1400</v>
      </c>
      <c r="E67" s="357" t="s">
        <v>1433</v>
      </c>
      <c r="F67" s="292"/>
      <c r="G67" s="292">
        <v>0</v>
      </c>
      <c r="H67" s="264">
        <v>2</v>
      </c>
      <c r="I67" s="264" t="s">
        <v>1357</v>
      </c>
      <c r="J67" s="292"/>
      <c r="K67" s="317" t="s">
        <v>1400</v>
      </c>
      <c r="L67" s="318" t="s">
        <v>1243</v>
      </c>
      <c r="M67" s="318" t="s">
        <v>1243</v>
      </c>
      <c r="N67" s="268" t="s">
        <v>1243</v>
      </c>
      <c r="O67" s="318" t="s">
        <v>1243</v>
      </c>
      <c r="P67" s="268" t="s">
        <v>1243</v>
      </c>
      <c r="Q67" s="268" t="s">
        <v>1243</v>
      </c>
      <c r="R67" s="293"/>
    </row>
    <row r="68" spans="3:18" ht="28.8" x14ac:dyDescent="0.3">
      <c r="C68" s="368"/>
      <c r="D68" s="318" t="s">
        <v>1401</v>
      </c>
      <c r="E68" s="357" t="s">
        <v>1433</v>
      </c>
      <c r="F68" s="292"/>
      <c r="G68" s="292">
        <v>0</v>
      </c>
      <c r="H68" s="264">
        <v>2</v>
      </c>
      <c r="I68" s="264" t="s">
        <v>1358</v>
      </c>
      <c r="J68" s="292"/>
      <c r="K68" s="317" t="s">
        <v>1401</v>
      </c>
      <c r="L68" s="318" t="s">
        <v>1243</v>
      </c>
      <c r="M68" s="318" t="s">
        <v>1243</v>
      </c>
      <c r="N68" s="268" t="s">
        <v>1243</v>
      </c>
      <c r="O68" s="318" t="s">
        <v>1243</v>
      </c>
      <c r="P68" s="268" t="s">
        <v>1243</v>
      </c>
      <c r="Q68" s="268" t="s">
        <v>1243</v>
      </c>
      <c r="R68" s="293"/>
    </row>
    <row r="69" spans="3:18" ht="28.8" x14ac:dyDescent="0.3">
      <c r="C69" s="368"/>
      <c r="D69" s="318" t="s">
        <v>1402</v>
      </c>
      <c r="E69" s="357" t="s">
        <v>1433</v>
      </c>
      <c r="F69" s="292"/>
      <c r="G69" s="292">
        <v>0</v>
      </c>
      <c r="H69" s="264">
        <v>2</v>
      </c>
      <c r="I69" s="264" t="s">
        <v>1425</v>
      </c>
      <c r="J69" s="292"/>
      <c r="K69" s="317" t="s">
        <v>1402</v>
      </c>
      <c r="L69" s="318" t="s">
        <v>1243</v>
      </c>
      <c r="M69" s="318" t="s">
        <v>1243</v>
      </c>
      <c r="N69" s="268" t="s">
        <v>1243</v>
      </c>
      <c r="O69" s="318" t="s">
        <v>1243</v>
      </c>
      <c r="P69" s="268" t="s">
        <v>1243</v>
      </c>
      <c r="Q69" s="268" t="s">
        <v>1243</v>
      </c>
      <c r="R69" s="293"/>
    </row>
    <row r="70" spans="3:18" ht="28.8" x14ac:dyDescent="0.3">
      <c r="C70" s="368"/>
      <c r="D70" s="318" t="s">
        <v>1403</v>
      </c>
      <c r="E70" s="357" t="s">
        <v>1433</v>
      </c>
      <c r="F70" s="292"/>
      <c r="G70" s="292">
        <v>0</v>
      </c>
      <c r="H70" s="264">
        <v>2</v>
      </c>
      <c r="I70" s="264" t="s">
        <v>1426</v>
      </c>
      <c r="J70" s="292"/>
      <c r="K70" s="317" t="s">
        <v>1403</v>
      </c>
      <c r="L70" s="318" t="s">
        <v>1243</v>
      </c>
      <c r="M70" s="318" t="s">
        <v>1243</v>
      </c>
      <c r="N70" s="268" t="s">
        <v>1243</v>
      </c>
      <c r="O70" s="318" t="s">
        <v>1243</v>
      </c>
      <c r="P70" s="268" t="s">
        <v>1243</v>
      </c>
      <c r="Q70" s="268" t="s">
        <v>1243</v>
      </c>
      <c r="R70" s="293"/>
    </row>
    <row r="71" spans="3:18" ht="72" x14ac:dyDescent="0.3">
      <c r="C71" s="368"/>
      <c r="D71" s="319" t="s">
        <v>357</v>
      </c>
      <c r="E71" s="290" t="s">
        <v>355</v>
      </c>
      <c r="F71" s="290" t="s">
        <v>17</v>
      </c>
      <c r="G71" s="288">
        <v>0</v>
      </c>
      <c r="H71" s="263">
        <v>0</v>
      </c>
      <c r="I71" s="289" t="s">
        <v>410</v>
      </c>
      <c r="J71" s="290" t="s">
        <v>878</v>
      </c>
      <c r="K71" s="290" t="s">
        <v>1243</v>
      </c>
      <c r="L71" s="319" t="s">
        <v>1243</v>
      </c>
      <c r="M71" s="319" t="s">
        <v>1243</v>
      </c>
      <c r="N71" s="288" t="s">
        <v>1243</v>
      </c>
      <c r="O71" s="319" t="s">
        <v>1243</v>
      </c>
      <c r="P71" s="414" t="s">
        <v>1243</v>
      </c>
      <c r="Q71" s="414" t="s">
        <v>1243</v>
      </c>
      <c r="R71" s="291"/>
    </row>
    <row r="72" spans="3:18" ht="86.4" x14ac:dyDescent="0.3">
      <c r="C72" s="368"/>
      <c r="D72" s="317" t="s">
        <v>1359</v>
      </c>
      <c r="E72" s="358" t="s">
        <v>1592</v>
      </c>
      <c r="F72" s="292"/>
      <c r="G72" s="292">
        <v>0</v>
      </c>
      <c r="H72" s="264">
        <v>1</v>
      </c>
      <c r="I72" s="264" t="s">
        <v>1360</v>
      </c>
      <c r="J72" s="292" t="s">
        <v>534</v>
      </c>
      <c r="K72" s="317" t="s">
        <v>1359</v>
      </c>
      <c r="L72" s="318" t="s">
        <v>1243</v>
      </c>
      <c r="M72" s="318" t="s">
        <v>1243</v>
      </c>
      <c r="N72" s="268" t="s">
        <v>1243</v>
      </c>
      <c r="O72" s="318" t="s">
        <v>1243</v>
      </c>
      <c r="P72" s="268" t="s">
        <v>1243</v>
      </c>
      <c r="Q72" s="268" t="s">
        <v>1243</v>
      </c>
      <c r="R72" s="293"/>
    </row>
    <row r="73" spans="3:18" ht="43.2" x14ac:dyDescent="0.3">
      <c r="C73" s="368"/>
      <c r="D73" s="317" t="s">
        <v>1361</v>
      </c>
      <c r="E73" s="358" t="s">
        <v>1592</v>
      </c>
      <c r="F73" s="292"/>
      <c r="G73" s="292">
        <v>0</v>
      </c>
      <c r="H73" s="264">
        <v>1</v>
      </c>
      <c r="I73" s="264" t="s">
        <v>1360</v>
      </c>
      <c r="J73" s="292" t="s">
        <v>535</v>
      </c>
      <c r="K73" s="317" t="s">
        <v>1361</v>
      </c>
      <c r="L73" s="318" t="s">
        <v>1243</v>
      </c>
      <c r="M73" s="318" t="s">
        <v>1243</v>
      </c>
      <c r="N73" s="268" t="s">
        <v>1243</v>
      </c>
      <c r="O73" s="318" t="s">
        <v>1243</v>
      </c>
      <c r="P73" s="268" t="s">
        <v>1243</v>
      </c>
      <c r="Q73" s="268" t="s">
        <v>1243</v>
      </c>
      <c r="R73" s="293"/>
    </row>
    <row r="74" spans="3:18" ht="43.2" x14ac:dyDescent="0.3">
      <c r="C74" s="368"/>
      <c r="D74" s="317" t="s">
        <v>1362</v>
      </c>
      <c r="E74" s="358" t="s">
        <v>1592</v>
      </c>
      <c r="F74" s="292"/>
      <c r="G74" s="292">
        <v>0</v>
      </c>
      <c r="H74" s="264">
        <v>30</v>
      </c>
      <c r="I74" s="264" t="s">
        <v>1360</v>
      </c>
      <c r="J74" s="292"/>
      <c r="K74" s="317" t="s">
        <v>1362</v>
      </c>
      <c r="L74" s="318" t="s">
        <v>1243</v>
      </c>
      <c r="M74" s="318" t="s">
        <v>1243</v>
      </c>
      <c r="N74" s="268" t="s">
        <v>1243</v>
      </c>
      <c r="O74" s="318" t="s">
        <v>1243</v>
      </c>
      <c r="P74" s="268" t="s">
        <v>1243</v>
      </c>
      <c r="Q74" s="268" t="s">
        <v>1243</v>
      </c>
      <c r="R74" s="293"/>
    </row>
    <row r="75" spans="3:18" ht="57.6" x14ac:dyDescent="0.3">
      <c r="C75" s="368"/>
      <c r="D75" s="319" t="s">
        <v>402</v>
      </c>
      <c r="E75" s="290" t="s">
        <v>355</v>
      </c>
      <c r="F75" s="290" t="s">
        <v>17</v>
      </c>
      <c r="G75" s="288">
        <v>0</v>
      </c>
      <c r="H75" s="263">
        <v>0</v>
      </c>
      <c r="I75" s="289" t="s">
        <v>409</v>
      </c>
      <c r="J75" s="290" t="s">
        <v>880</v>
      </c>
      <c r="K75" s="319" t="s">
        <v>1243</v>
      </c>
      <c r="L75" s="319" t="s">
        <v>1243</v>
      </c>
      <c r="M75" s="339" t="s">
        <v>1243</v>
      </c>
      <c r="N75" s="416" t="s">
        <v>1243</v>
      </c>
      <c r="O75" s="339" t="s">
        <v>1243</v>
      </c>
      <c r="P75" s="416" t="s">
        <v>1243</v>
      </c>
      <c r="Q75" s="416" t="s">
        <v>1243</v>
      </c>
      <c r="R75" s="291"/>
    </row>
    <row r="76" spans="3:18" ht="57.6" x14ac:dyDescent="0.3">
      <c r="C76" s="368"/>
      <c r="D76" s="319" t="s">
        <v>365</v>
      </c>
      <c r="E76" s="290" t="s">
        <v>363</v>
      </c>
      <c r="F76" s="290" t="s">
        <v>551</v>
      </c>
      <c r="G76" s="288">
        <v>0</v>
      </c>
      <c r="H76" s="263">
        <v>0</v>
      </c>
      <c r="I76" s="289" t="s">
        <v>407</v>
      </c>
      <c r="J76" s="290" t="s">
        <v>655</v>
      </c>
      <c r="K76" s="319" t="s">
        <v>1243</v>
      </c>
      <c r="L76" s="319" t="s">
        <v>1243</v>
      </c>
      <c r="M76" s="339" t="s">
        <v>1243</v>
      </c>
      <c r="N76" s="416" t="s">
        <v>1243</v>
      </c>
      <c r="O76" s="339" t="s">
        <v>1243</v>
      </c>
      <c r="P76" s="416" t="s">
        <v>1243</v>
      </c>
      <c r="Q76" s="416" t="s">
        <v>1243</v>
      </c>
      <c r="R76" s="291"/>
    </row>
    <row r="77" spans="3:18" x14ac:dyDescent="0.3">
      <c r="C77" s="368"/>
      <c r="D77" s="319" t="s">
        <v>622</v>
      </c>
      <c r="E77" s="290" t="s">
        <v>669</v>
      </c>
      <c r="F77" s="290"/>
      <c r="G77" s="288">
        <v>0</v>
      </c>
      <c r="H77" s="263">
        <v>0</v>
      </c>
      <c r="I77" s="289" t="s">
        <v>415</v>
      </c>
      <c r="J77" s="290" t="s">
        <v>656</v>
      </c>
      <c r="K77" s="319" t="s">
        <v>1243</v>
      </c>
      <c r="L77" s="319" t="s">
        <v>1243</v>
      </c>
      <c r="M77" s="339" t="s">
        <v>1243</v>
      </c>
      <c r="N77" s="416" t="s">
        <v>1243</v>
      </c>
      <c r="O77" s="339" t="s">
        <v>1243</v>
      </c>
      <c r="P77" s="416" t="s">
        <v>1243</v>
      </c>
      <c r="Q77" s="416" t="s">
        <v>1243</v>
      </c>
      <c r="R77" s="291"/>
    </row>
    <row r="78" spans="3:18" ht="57.6" x14ac:dyDescent="0.3">
      <c r="C78" s="368"/>
      <c r="D78" s="323" t="s">
        <v>1593</v>
      </c>
      <c r="E78" s="500" t="s">
        <v>1433</v>
      </c>
      <c r="F78" s="292"/>
      <c r="G78" s="292">
        <v>0</v>
      </c>
      <c r="H78" s="264" t="s">
        <v>1246</v>
      </c>
      <c r="I78" s="264" t="s">
        <v>1363</v>
      </c>
      <c r="J78" s="292" t="s">
        <v>1413</v>
      </c>
      <c r="K78" s="292" t="s">
        <v>1404</v>
      </c>
      <c r="L78" s="318" t="s">
        <v>1243</v>
      </c>
      <c r="M78" s="318" t="s">
        <v>1243</v>
      </c>
      <c r="N78" s="268" t="s">
        <v>1243</v>
      </c>
      <c r="O78" s="318" t="s">
        <v>1243</v>
      </c>
      <c r="P78" s="268" t="s">
        <v>1243</v>
      </c>
      <c r="Q78" s="268" t="s">
        <v>1243</v>
      </c>
      <c r="R78" s="293"/>
    </row>
    <row r="79" spans="3:18" ht="110.4" x14ac:dyDescent="0.3">
      <c r="C79" s="369" t="s">
        <v>63</v>
      </c>
      <c r="D79" s="324" t="s">
        <v>64</v>
      </c>
      <c r="E79" s="340" t="s">
        <v>613</v>
      </c>
      <c r="F79" s="361" t="s">
        <v>17</v>
      </c>
      <c r="G79" s="41">
        <v>1</v>
      </c>
      <c r="H79" s="299">
        <v>1</v>
      </c>
      <c r="I79" s="266" t="s">
        <v>1176</v>
      </c>
      <c r="J79" s="298" t="s">
        <v>425</v>
      </c>
      <c r="K79" s="340" t="s">
        <v>1255</v>
      </c>
      <c r="L79" s="342" t="s">
        <v>64</v>
      </c>
      <c r="M79" s="340" t="s">
        <v>64</v>
      </c>
      <c r="N79" s="41" t="s">
        <v>1422</v>
      </c>
      <c r="O79" s="41" t="s">
        <v>1422</v>
      </c>
      <c r="P79" s="41" t="s">
        <v>1422</v>
      </c>
      <c r="Q79" s="41" t="s">
        <v>1422</v>
      </c>
      <c r="R79" s="300" t="s">
        <v>1437</v>
      </c>
    </row>
    <row r="80" spans="3:18" ht="138" x14ac:dyDescent="0.3">
      <c r="C80" s="369"/>
      <c r="D80" s="324" t="s">
        <v>67</v>
      </c>
      <c r="E80" s="340" t="s">
        <v>613</v>
      </c>
      <c r="F80" s="361" t="s">
        <v>17</v>
      </c>
      <c r="G80" s="41">
        <v>1</v>
      </c>
      <c r="H80" s="299">
        <v>1</v>
      </c>
      <c r="I80" s="266" t="s">
        <v>1176</v>
      </c>
      <c r="J80" s="298" t="s">
        <v>426</v>
      </c>
      <c r="K80" s="340" t="s">
        <v>1256</v>
      </c>
      <c r="L80" s="342" t="s">
        <v>67</v>
      </c>
      <c r="M80" s="340" t="s">
        <v>67</v>
      </c>
      <c r="N80" s="41" t="s">
        <v>1422</v>
      </c>
      <c r="O80" s="41" t="s">
        <v>1422</v>
      </c>
      <c r="P80" s="41" t="s">
        <v>1422</v>
      </c>
      <c r="Q80" s="41" t="s">
        <v>1422</v>
      </c>
      <c r="R80" s="300" t="s">
        <v>1437</v>
      </c>
    </row>
    <row r="81" spans="3:21" ht="69" x14ac:dyDescent="0.3">
      <c r="C81" s="369"/>
      <c r="D81" s="324" t="s">
        <v>71</v>
      </c>
      <c r="E81" s="340" t="s">
        <v>70</v>
      </c>
      <c r="F81" s="361" t="s">
        <v>17</v>
      </c>
      <c r="G81" s="41">
        <v>1</v>
      </c>
      <c r="H81" s="299">
        <v>1</v>
      </c>
      <c r="I81" s="266" t="s">
        <v>1176</v>
      </c>
      <c r="J81" s="298" t="s">
        <v>427</v>
      </c>
      <c r="K81" s="340" t="s">
        <v>71</v>
      </c>
      <c r="L81" s="342" t="s">
        <v>71</v>
      </c>
      <c r="M81" s="340" t="s">
        <v>72</v>
      </c>
      <c r="N81" s="185" t="s">
        <v>1451</v>
      </c>
      <c r="O81" s="41" t="s">
        <v>1438</v>
      </c>
      <c r="P81" s="41" t="s">
        <v>1422</v>
      </c>
      <c r="Q81" s="41" t="s">
        <v>1438</v>
      </c>
      <c r="R81" s="300" t="s">
        <v>1439</v>
      </c>
      <c r="U81" s="377" t="s">
        <v>1524</v>
      </c>
    </row>
    <row r="82" spans="3:21" ht="69" x14ac:dyDescent="0.3">
      <c r="C82" s="369"/>
      <c r="D82" s="324" t="s">
        <v>73</v>
      </c>
      <c r="E82" s="340" t="s">
        <v>613</v>
      </c>
      <c r="F82" s="361" t="s">
        <v>17</v>
      </c>
      <c r="G82" s="41">
        <v>1</v>
      </c>
      <c r="H82" s="299">
        <v>1</v>
      </c>
      <c r="I82" s="266" t="s">
        <v>1176</v>
      </c>
      <c r="J82" s="298" t="s">
        <v>428</v>
      </c>
      <c r="K82" s="340" t="s">
        <v>1257</v>
      </c>
      <c r="L82" s="342" t="s">
        <v>73</v>
      </c>
      <c r="M82" s="340" t="s">
        <v>73</v>
      </c>
      <c r="N82" s="41" t="s">
        <v>1422</v>
      </c>
      <c r="O82" s="41" t="s">
        <v>1422</v>
      </c>
      <c r="P82" s="41" t="s">
        <v>1422</v>
      </c>
      <c r="Q82" s="41" t="s">
        <v>1422</v>
      </c>
      <c r="R82" s="300"/>
    </row>
    <row r="83" spans="3:21" ht="57.6" x14ac:dyDescent="0.3">
      <c r="C83" s="369"/>
      <c r="D83" s="324" t="s">
        <v>76</v>
      </c>
      <c r="E83" s="340" t="s">
        <v>75</v>
      </c>
      <c r="F83" s="361" t="s">
        <v>17</v>
      </c>
      <c r="G83" s="41">
        <v>1</v>
      </c>
      <c r="H83" s="299">
        <v>1</v>
      </c>
      <c r="I83" s="266" t="s">
        <v>1176</v>
      </c>
      <c r="J83" s="298" t="s">
        <v>429</v>
      </c>
      <c r="K83" s="340" t="s">
        <v>76</v>
      </c>
      <c r="L83" s="342" t="s">
        <v>76</v>
      </c>
      <c r="M83" s="340" t="s">
        <v>77</v>
      </c>
      <c r="N83" s="41" t="s">
        <v>1455</v>
      </c>
      <c r="O83" s="41" t="s">
        <v>1455</v>
      </c>
      <c r="P83" s="41" t="s">
        <v>1455</v>
      </c>
      <c r="Q83" s="41" t="s">
        <v>1455</v>
      </c>
      <c r="R83" s="300"/>
      <c r="S83" s="377" t="s">
        <v>1458</v>
      </c>
      <c r="T83" s="377" t="s">
        <v>1483</v>
      </c>
      <c r="U83" s="377" t="s">
        <v>1525</v>
      </c>
    </row>
    <row r="84" spans="3:21" ht="57.6" x14ac:dyDescent="0.3">
      <c r="C84" s="369"/>
      <c r="D84" s="324" t="s">
        <v>79</v>
      </c>
      <c r="E84" s="340" t="s">
        <v>75</v>
      </c>
      <c r="F84" s="361" t="s">
        <v>17</v>
      </c>
      <c r="G84" s="41">
        <v>1</v>
      </c>
      <c r="H84" s="299">
        <v>1</v>
      </c>
      <c r="I84" s="266" t="s">
        <v>1176</v>
      </c>
      <c r="J84" s="298" t="s">
        <v>430</v>
      </c>
      <c r="K84" s="340" t="s">
        <v>79</v>
      </c>
      <c r="L84" s="342" t="s">
        <v>79</v>
      </c>
      <c r="M84" s="340" t="s">
        <v>80</v>
      </c>
      <c r="N84" s="41" t="s">
        <v>1455</v>
      </c>
      <c r="O84" s="41" t="s">
        <v>1455</v>
      </c>
      <c r="P84" s="41" t="s">
        <v>1455</v>
      </c>
      <c r="Q84" s="41" t="s">
        <v>1455</v>
      </c>
      <c r="R84" s="300"/>
      <c r="S84" s="377" t="s">
        <v>1458</v>
      </c>
      <c r="T84" s="377" t="s">
        <v>1483</v>
      </c>
      <c r="U84" s="377" t="s">
        <v>1525</v>
      </c>
    </row>
    <row r="85" spans="3:21" ht="72" x14ac:dyDescent="0.3">
      <c r="C85" s="369"/>
      <c r="D85" s="324" t="s">
        <v>81</v>
      </c>
      <c r="E85" s="500" t="s">
        <v>613</v>
      </c>
      <c r="F85" s="361" t="s">
        <v>17</v>
      </c>
      <c r="G85" s="41">
        <v>1</v>
      </c>
      <c r="H85" s="299">
        <v>1</v>
      </c>
      <c r="I85" s="266" t="s">
        <v>1176</v>
      </c>
      <c r="J85" s="298" t="s">
        <v>431</v>
      </c>
      <c r="K85" s="340" t="s">
        <v>81</v>
      </c>
      <c r="L85" s="342" t="s">
        <v>81</v>
      </c>
      <c r="M85" s="340" t="s">
        <v>81</v>
      </c>
      <c r="N85" s="402" t="s">
        <v>1443</v>
      </c>
      <c r="O85" s="41" t="s">
        <v>1438</v>
      </c>
      <c r="P85" s="41" t="s">
        <v>1422</v>
      </c>
      <c r="Q85" s="41" t="s">
        <v>1438</v>
      </c>
      <c r="R85" s="300" t="s">
        <v>1439</v>
      </c>
      <c r="U85" s="377" t="s">
        <v>1564</v>
      </c>
    </row>
    <row r="86" spans="3:21" ht="96.6" x14ac:dyDescent="0.3">
      <c r="C86" s="369"/>
      <c r="D86" s="324" t="s">
        <v>83</v>
      </c>
      <c r="E86" s="340" t="s">
        <v>613</v>
      </c>
      <c r="F86" s="361" t="s">
        <v>17</v>
      </c>
      <c r="G86" s="41">
        <v>1</v>
      </c>
      <c r="H86" s="299">
        <v>1</v>
      </c>
      <c r="I86" s="266" t="s">
        <v>1176</v>
      </c>
      <c r="J86" s="298" t="s">
        <v>432</v>
      </c>
      <c r="K86" s="340" t="s">
        <v>1258</v>
      </c>
      <c r="L86" s="342" t="s">
        <v>83</v>
      </c>
      <c r="M86" s="340" t="s">
        <v>83</v>
      </c>
      <c r="N86" s="185" t="s">
        <v>1493</v>
      </c>
      <c r="O86" s="185" t="s">
        <v>1493</v>
      </c>
      <c r="P86" s="185" t="s">
        <v>1493</v>
      </c>
      <c r="Q86" s="185" t="s">
        <v>1493</v>
      </c>
      <c r="R86" s="300" t="s">
        <v>1563</v>
      </c>
      <c r="S86" s="377" t="s">
        <v>1459</v>
      </c>
      <c r="U86" s="377" t="s">
        <v>1526</v>
      </c>
    </row>
    <row r="87" spans="3:21" ht="55.2" x14ac:dyDescent="0.3">
      <c r="C87" s="369"/>
      <c r="D87" s="324" t="s">
        <v>85</v>
      </c>
      <c r="E87" s="340" t="s">
        <v>613</v>
      </c>
      <c r="F87" s="362" t="s">
        <v>17</v>
      </c>
      <c r="G87" s="41">
        <v>1</v>
      </c>
      <c r="H87" s="299">
        <v>1</v>
      </c>
      <c r="I87" s="266" t="s">
        <v>1177</v>
      </c>
      <c r="J87" s="298" t="s">
        <v>433</v>
      </c>
      <c r="K87" s="340" t="s">
        <v>85</v>
      </c>
      <c r="L87" s="342" t="s">
        <v>85</v>
      </c>
      <c r="M87" s="340" t="s">
        <v>85</v>
      </c>
      <c r="N87" s="41" t="s">
        <v>1422</v>
      </c>
      <c r="O87" s="41" t="s">
        <v>1422</v>
      </c>
      <c r="P87" s="41" t="s">
        <v>1422</v>
      </c>
      <c r="Q87" s="41" t="s">
        <v>1422</v>
      </c>
      <c r="R87" s="300" t="s">
        <v>1442</v>
      </c>
    </row>
    <row r="88" spans="3:21" ht="165.6" x14ac:dyDescent="0.3">
      <c r="C88" s="369"/>
      <c r="D88" s="324" t="s">
        <v>811</v>
      </c>
      <c r="E88" s="340" t="s">
        <v>809</v>
      </c>
      <c r="F88" s="362" t="s">
        <v>17</v>
      </c>
      <c r="G88" s="41">
        <v>1</v>
      </c>
      <c r="H88" s="299">
        <v>1</v>
      </c>
      <c r="I88" s="266" t="s">
        <v>1177</v>
      </c>
      <c r="J88" s="298" t="s">
        <v>812</v>
      </c>
      <c r="K88" s="340" t="s">
        <v>1259</v>
      </c>
      <c r="L88" s="341" t="s">
        <v>811</v>
      </c>
      <c r="M88" s="341" t="s">
        <v>811</v>
      </c>
      <c r="N88" s="397" t="s">
        <v>1422</v>
      </c>
      <c r="O88" s="397" t="s">
        <v>1422</v>
      </c>
      <c r="P88" s="397" t="s">
        <v>1422</v>
      </c>
      <c r="Q88" s="397" t="s">
        <v>1422</v>
      </c>
      <c r="R88" s="300" t="s">
        <v>1442</v>
      </c>
      <c r="T88" s="377" t="s">
        <v>1484</v>
      </c>
    </row>
    <row r="89" spans="3:21" ht="69" x14ac:dyDescent="0.3">
      <c r="C89" s="369"/>
      <c r="D89" s="324" t="s">
        <v>89</v>
      </c>
      <c r="E89" s="340" t="s">
        <v>647</v>
      </c>
      <c r="F89" s="362" t="s">
        <v>17</v>
      </c>
      <c r="G89" s="41">
        <v>1</v>
      </c>
      <c r="H89" s="299">
        <v>1</v>
      </c>
      <c r="I89" s="266" t="s">
        <v>1177</v>
      </c>
      <c r="J89" s="298" t="s">
        <v>434</v>
      </c>
      <c r="K89" s="340" t="s">
        <v>1260</v>
      </c>
      <c r="L89" s="342" t="s">
        <v>89</v>
      </c>
      <c r="M89" s="340" t="s">
        <v>90</v>
      </c>
      <c r="N89" s="41" t="s">
        <v>1422</v>
      </c>
      <c r="O89" s="41" t="s">
        <v>1438</v>
      </c>
      <c r="P89" s="397" t="s">
        <v>1485</v>
      </c>
      <c r="Q89" s="41" t="s">
        <v>1438</v>
      </c>
      <c r="R89" s="300" t="s">
        <v>1442</v>
      </c>
      <c r="S89" s="377" t="s">
        <v>1589</v>
      </c>
      <c r="T89" s="377" t="s">
        <v>1486</v>
      </c>
      <c r="U89" s="377" t="s">
        <v>1527</v>
      </c>
    </row>
    <row r="90" spans="3:21" ht="151.80000000000001" x14ac:dyDescent="0.3">
      <c r="C90" s="369"/>
      <c r="D90" s="324" t="s">
        <v>92</v>
      </c>
      <c r="E90" s="340" t="s">
        <v>91</v>
      </c>
      <c r="F90" s="362" t="s">
        <v>17</v>
      </c>
      <c r="G90" s="41">
        <v>1</v>
      </c>
      <c r="H90" s="299">
        <v>1</v>
      </c>
      <c r="I90" s="266" t="s">
        <v>1177</v>
      </c>
      <c r="J90" s="298" t="s">
        <v>435</v>
      </c>
      <c r="K90" s="340" t="s">
        <v>1261</v>
      </c>
      <c r="L90" s="342" t="s">
        <v>1243</v>
      </c>
      <c r="M90" s="340" t="s">
        <v>93</v>
      </c>
      <c r="N90" s="397" t="s">
        <v>1493</v>
      </c>
      <c r="O90" s="397" t="s">
        <v>1493</v>
      </c>
      <c r="P90" s="397" t="s">
        <v>1493</v>
      </c>
      <c r="Q90" s="397" t="s">
        <v>1493</v>
      </c>
      <c r="R90" s="300" t="s">
        <v>1454</v>
      </c>
      <c r="T90" s="377" t="s">
        <v>1487</v>
      </c>
    </row>
    <row r="91" spans="3:21" ht="165.6" x14ac:dyDescent="0.3">
      <c r="C91" s="369"/>
      <c r="D91" s="324" t="s">
        <v>94</v>
      </c>
      <c r="E91" s="340" t="s">
        <v>649</v>
      </c>
      <c r="F91" s="362" t="s">
        <v>17</v>
      </c>
      <c r="G91" s="41">
        <v>1</v>
      </c>
      <c r="H91" s="299">
        <v>1</v>
      </c>
      <c r="I91" s="266" t="s">
        <v>1177</v>
      </c>
      <c r="J91" s="298" t="s">
        <v>436</v>
      </c>
      <c r="K91" s="340" t="s">
        <v>94</v>
      </c>
      <c r="L91" s="342" t="s">
        <v>94</v>
      </c>
      <c r="M91" s="340" t="s">
        <v>95</v>
      </c>
      <c r="N91" s="397" t="s">
        <v>1422</v>
      </c>
      <c r="O91" s="41" t="s">
        <v>1438</v>
      </c>
      <c r="P91" s="397" t="s">
        <v>1438</v>
      </c>
      <c r="Q91" s="41" t="s">
        <v>1438</v>
      </c>
      <c r="R91" s="300"/>
      <c r="S91" s="377" t="s">
        <v>1460</v>
      </c>
      <c r="T91" s="377" t="s">
        <v>1488</v>
      </c>
      <c r="U91" s="377" t="s">
        <v>1527</v>
      </c>
    </row>
    <row r="92" spans="3:21" ht="110.4" x14ac:dyDescent="0.3">
      <c r="C92" s="369"/>
      <c r="D92" s="324" t="s">
        <v>96</v>
      </c>
      <c r="E92" s="340" t="s">
        <v>172</v>
      </c>
      <c r="F92" s="362" t="s">
        <v>17</v>
      </c>
      <c r="G92" s="41">
        <v>1</v>
      </c>
      <c r="H92" s="299">
        <v>1</v>
      </c>
      <c r="I92" s="266" t="s">
        <v>1177</v>
      </c>
      <c r="J92" s="298" t="s">
        <v>437</v>
      </c>
      <c r="K92" s="340" t="s">
        <v>96</v>
      </c>
      <c r="L92" s="342" t="s">
        <v>96</v>
      </c>
      <c r="M92" s="340" t="s">
        <v>97</v>
      </c>
      <c r="N92" s="185" t="s">
        <v>1493</v>
      </c>
      <c r="O92" s="185" t="s">
        <v>1493</v>
      </c>
      <c r="P92" s="185" t="s">
        <v>1493</v>
      </c>
      <c r="Q92" s="185" t="s">
        <v>1493</v>
      </c>
      <c r="R92" s="301" t="s">
        <v>1529</v>
      </c>
      <c r="S92" s="377" t="s">
        <v>1458</v>
      </c>
      <c r="T92" s="377" t="s">
        <v>1483</v>
      </c>
      <c r="U92" s="400" t="s">
        <v>1528</v>
      </c>
    </row>
    <row r="93" spans="3:21" ht="69" x14ac:dyDescent="0.3">
      <c r="C93" s="369"/>
      <c r="D93" s="324" t="s">
        <v>98</v>
      </c>
      <c r="E93" s="340" t="s">
        <v>613</v>
      </c>
      <c r="F93" s="362" t="s">
        <v>17</v>
      </c>
      <c r="G93" s="41">
        <v>1</v>
      </c>
      <c r="H93" s="299">
        <v>1</v>
      </c>
      <c r="I93" s="266" t="s">
        <v>1177</v>
      </c>
      <c r="J93" s="298" t="s">
        <v>438</v>
      </c>
      <c r="K93" s="340" t="s">
        <v>1262</v>
      </c>
      <c r="L93" s="342" t="s">
        <v>98</v>
      </c>
      <c r="M93" s="343" t="s">
        <v>1531</v>
      </c>
      <c r="N93" s="41" t="s">
        <v>1422</v>
      </c>
      <c r="O93" s="41" t="s">
        <v>1422</v>
      </c>
      <c r="P93" s="41" t="s">
        <v>1422</v>
      </c>
      <c r="Q93" s="41" t="s">
        <v>1422</v>
      </c>
      <c r="R93" s="300" t="s">
        <v>1574</v>
      </c>
      <c r="U93" s="377" t="s">
        <v>1530</v>
      </c>
    </row>
    <row r="94" spans="3:21" ht="41.4" x14ac:dyDescent="0.3">
      <c r="C94" s="369"/>
      <c r="D94" s="324" t="s">
        <v>101</v>
      </c>
      <c r="E94" s="340" t="s">
        <v>100</v>
      </c>
      <c r="F94" s="362" t="s">
        <v>17</v>
      </c>
      <c r="G94" s="41">
        <v>1</v>
      </c>
      <c r="H94" s="299">
        <v>1</v>
      </c>
      <c r="I94" s="266" t="s">
        <v>1177</v>
      </c>
      <c r="J94" s="298" t="s">
        <v>439</v>
      </c>
      <c r="K94" s="342" t="s">
        <v>1263</v>
      </c>
      <c r="L94" s="342" t="s">
        <v>102</v>
      </c>
      <c r="M94" s="340" t="s">
        <v>102</v>
      </c>
      <c r="N94" s="41" t="s">
        <v>1443</v>
      </c>
      <c r="O94" s="41" t="s">
        <v>1438</v>
      </c>
      <c r="P94" s="41" t="s">
        <v>1438</v>
      </c>
      <c r="Q94" s="41" t="s">
        <v>1438</v>
      </c>
      <c r="R94" s="300"/>
    </row>
    <row r="95" spans="3:21" ht="55.2" x14ac:dyDescent="0.3">
      <c r="C95" s="369"/>
      <c r="D95" s="324" t="s">
        <v>103</v>
      </c>
      <c r="E95" s="340" t="s">
        <v>613</v>
      </c>
      <c r="F95" s="361"/>
      <c r="G95" s="41">
        <v>1</v>
      </c>
      <c r="H95" s="299">
        <v>1</v>
      </c>
      <c r="I95" s="266" t="s">
        <v>1178</v>
      </c>
      <c r="J95" s="298" t="s">
        <v>440</v>
      </c>
      <c r="K95" s="340" t="s">
        <v>1264</v>
      </c>
      <c r="L95" s="342" t="s">
        <v>103</v>
      </c>
      <c r="M95" s="340" t="s">
        <v>103</v>
      </c>
      <c r="N95" s="41" t="s">
        <v>1422</v>
      </c>
      <c r="O95" s="41" t="s">
        <v>1422</v>
      </c>
      <c r="P95" s="41" t="s">
        <v>1422</v>
      </c>
      <c r="Q95" s="41" t="s">
        <v>1422</v>
      </c>
      <c r="R95" s="300"/>
    </row>
    <row r="96" spans="3:21" ht="41.4" x14ac:dyDescent="0.3">
      <c r="C96" s="369"/>
      <c r="D96" s="324" t="s">
        <v>105</v>
      </c>
      <c r="E96" s="340" t="s">
        <v>613</v>
      </c>
      <c r="F96" s="361"/>
      <c r="G96" s="41">
        <v>1</v>
      </c>
      <c r="H96" s="299">
        <v>1</v>
      </c>
      <c r="I96" s="266" t="s">
        <v>1178</v>
      </c>
      <c r="J96" s="298" t="s">
        <v>441</v>
      </c>
      <c r="K96" s="340" t="s">
        <v>1265</v>
      </c>
      <c r="L96" s="342" t="s">
        <v>105</v>
      </c>
      <c r="M96" s="340" t="s">
        <v>105</v>
      </c>
      <c r="N96" s="41" t="s">
        <v>1422</v>
      </c>
      <c r="O96" s="41" t="s">
        <v>1422</v>
      </c>
      <c r="P96" s="41" t="s">
        <v>1422</v>
      </c>
      <c r="Q96" s="41" t="s">
        <v>1422</v>
      </c>
      <c r="R96" s="300"/>
    </row>
    <row r="97" spans="3:21" ht="28.8" x14ac:dyDescent="0.3">
      <c r="C97" s="369"/>
      <c r="D97" s="326" t="s">
        <v>107</v>
      </c>
      <c r="E97" s="340" t="s">
        <v>100</v>
      </c>
      <c r="F97" s="361"/>
      <c r="G97" s="41">
        <v>1</v>
      </c>
      <c r="H97" s="299">
        <v>5</v>
      </c>
      <c r="I97" s="266" t="s">
        <v>1178</v>
      </c>
      <c r="J97" s="298" t="s">
        <v>442</v>
      </c>
      <c r="K97" s="342" t="s">
        <v>107</v>
      </c>
      <c r="L97" s="342" t="s">
        <v>1364</v>
      </c>
      <c r="M97" s="342" t="s">
        <v>1243</v>
      </c>
      <c r="N97" s="41" t="s">
        <v>1422</v>
      </c>
      <c r="O97" s="406" t="s">
        <v>1438</v>
      </c>
      <c r="P97" s="406" t="s">
        <v>1438</v>
      </c>
      <c r="Q97" s="406" t="s">
        <v>1438</v>
      </c>
      <c r="R97" s="300"/>
    </row>
    <row r="98" spans="3:21" ht="43.2" x14ac:dyDescent="0.3">
      <c r="C98" s="369"/>
      <c r="D98" s="325" t="s">
        <v>109</v>
      </c>
      <c r="E98" s="292" t="s">
        <v>108</v>
      </c>
      <c r="F98" s="363"/>
      <c r="G98" s="265">
        <v>1</v>
      </c>
      <c r="H98" s="270">
        <v>1</v>
      </c>
      <c r="I98" s="264" t="s">
        <v>1178</v>
      </c>
      <c r="J98" s="387" t="s">
        <v>521</v>
      </c>
      <c r="K98" s="292" t="s">
        <v>1243</v>
      </c>
      <c r="L98" s="348" t="s">
        <v>110</v>
      </c>
      <c r="M98" s="338" t="s">
        <v>110</v>
      </c>
      <c r="N98" s="271" t="s">
        <v>1438</v>
      </c>
      <c r="O98" s="271" t="s">
        <v>1438</v>
      </c>
      <c r="P98" s="271" t="s">
        <v>1438</v>
      </c>
      <c r="Q98" s="271" t="s">
        <v>1438</v>
      </c>
      <c r="R98" s="297"/>
      <c r="S98" s="377" t="s">
        <v>1461</v>
      </c>
    </row>
    <row r="99" spans="3:21" ht="43.2" x14ac:dyDescent="0.3">
      <c r="C99" s="369"/>
      <c r="D99" s="325" t="s">
        <v>111</v>
      </c>
      <c r="E99" s="292" t="s">
        <v>108</v>
      </c>
      <c r="F99" s="363"/>
      <c r="G99" s="265">
        <v>1</v>
      </c>
      <c r="H99" s="270">
        <v>1</v>
      </c>
      <c r="I99" s="264" t="s">
        <v>1178</v>
      </c>
      <c r="J99" s="387" t="s">
        <v>521</v>
      </c>
      <c r="K99" s="292" t="s">
        <v>1243</v>
      </c>
      <c r="L99" s="348" t="s">
        <v>112</v>
      </c>
      <c r="M99" s="338" t="s">
        <v>112</v>
      </c>
      <c r="N99" s="271" t="s">
        <v>1438</v>
      </c>
      <c r="O99" s="271" t="s">
        <v>1438</v>
      </c>
      <c r="P99" s="271" t="s">
        <v>1438</v>
      </c>
      <c r="Q99" s="271" t="s">
        <v>1438</v>
      </c>
      <c r="R99" s="297"/>
      <c r="S99" s="377" t="s">
        <v>1461</v>
      </c>
    </row>
    <row r="100" spans="3:21" ht="43.2" x14ac:dyDescent="0.3">
      <c r="C100" s="369"/>
      <c r="D100" s="325" t="s">
        <v>113</v>
      </c>
      <c r="E100" s="292" t="s">
        <v>108</v>
      </c>
      <c r="F100" s="363"/>
      <c r="G100" s="265">
        <v>1</v>
      </c>
      <c r="H100" s="270">
        <v>1</v>
      </c>
      <c r="I100" s="264" t="s">
        <v>1178</v>
      </c>
      <c r="J100" s="387" t="s">
        <v>521</v>
      </c>
      <c r="K100" s="292" t="s">
        <v>1243</v>
      </c>
      <c r="L100" s="348" t="s">
        <v>114</v>
      </c>
      <c r="M100" s="338" t="s">
        <v>114</v>
      </c>
      <c r="N100" s="271" t="s">
        <v>1438</v>
      </c>
      <c r="O100" s="271" t="s">
        <v>1438</v>
      </c>
      <c r="P100" s="271" t="s">
        <v>1438</v>
      </c>
      <c r="Q100" s="271" t="s">
        <v>1438</v>
      </c>
      <c r="R100" s="297"/>
      <c r="S100" s="377" t="s">
        <v>1461</v>
      </c>
    </row>
    <row r="101" spans="3:21" ht="43.2" x14ac:dyDescent="0.3">
      <c r="C101" s="369"/>
      <c r="D101" s="325" t="s">
        <v>115</v>
      </c>
      <c r="E101" s="292" t="s">
        <v>108</v>
      </c>
      <c r="F101" s="363"/>
      <c r="G101" s="265">
        <v>1</v>
      </c>
      <c r="H101" s="270">
        <v>1</v>
      </c>
      <c r="I101" s="264" t="s">
        <v>1178</v>
      </c>
      <c r="J101" s="387" t="s">
        <v>521</v>
      </c>
      <c r="K101" s="292" t="s">
        <v>1243</v>
      </c>
      <c r="L101" s="348" t="s">
        <v>116</v>
      </c>
      <c r="M101" s="338" t="s">
        <v>116</v>
      </c>
      <c r="N101" s="271" t="s">
        <v>1438</v>
      </c>
      <c r="O101" s="271" t="s">
        <v>1438</v>
      </c>
      <c r="P101" s="271" t="s">
        <v>1438</v>
      </c>
      <c r="Q101" s="271" t="s">
        <v>1438</v>
      </c>
      <c r="R101" s="297"/>
      <c r="S101" s="377" t="s">
        <v>1461</v>
      </c>
    </row>
    <row r="102" spans="3:21" ht="43.2" x14ac:dyDescent="0.3">
      <c r="C102" s="369"/>
      <c r="D102" s="325" t="s">
        <v>117</v>
      </c>
      <c r="E102" s="292" t="s">
        <v>108</v>
      </c>
      <c r="F102" s="363"/>
      <c r="G102" s="265">
        <v>1</v>
      </c>
      <c r="H102" s="270">
        <v>1</v>
      </c>
      <c r="I102" s="264" t="s">
        <v>1178</v>
      </c>
      <c r="J102" s="387" t="s">
        <v>521</v>
      </c>
      <c r="K102" s="292" t="s">
        <v>1243</v>
      </c>
      <c r="L102" s="348" t="s">
        <v>118</v>
      </c>
      <c r="M102" s="338" t="s">
        <v>118</v>
      </c>
      <c r="N102" s="271" t="s">
        <v>1438</v>
      </c>
      <c r="O102" s="271" t="s">
        <v>1438</v>
      </c>
      <c r="P102" s="271" t="s">
        <v>1438</v>
      </c>
      <c r="Q102" s="271" t="s">
        <v>1438</v>
      </c>
      <c r="R102" s="297"/>
      <c r="S102" s="377" t="s">
        <v>1461</v>
      </c>
    </row>
    <row r="103" spans="3:21" ht="28.8" x14ac:dyDescent="0.3">
      <c r="C103" s="369"/>
      <c r="D103" s="324" t="s">
        <v>120</v>
      </c>
      <c r="E103" s="340" t="s">
        <v>119</v>
      </c>
      <c r="F103" s="361"/>
      <c r="G103" s="41">
        <v>1</v>
      </c>
      <c r="H103" s="299">
        <v>1</v>
      </c>
      <c r="I103" s="266" t="s">
        <v>1178</v>
      </c>
      <c r="J103" s="298" t="s">
        <v>521</v>
      </c>
      <c r="K103" s="340" t="s">
        <v>1266</v>
      </c>
      <c r="L103" s="342" t="s">
        <v>121</v>
      </c>
      <c r="M103" s="340" t="s">
        <v>121</v>
      </c>
      <c r="N103" s="185" t="s">
        <v>1438</v>
      </c>
      <c r="O103" s="185" t="s">
        <v>1438</v>
      </c>
      <c r="P103" s="185" t="s">
        <v>1438</v>
      </c>
      <c r="Q103" s="185" t="s">
        <v>1438</v>
      </c>
      <c r="R103" s="300"/>
      <c r="S103" s="377" t="s">
        <v>1458</v>
      </c>
    </row>
    <row r="104" spans="3:21" ht="28.8" x14ac:dyDescent="0.3">
      <c r="C104" s="369"/>
      <c r="D104" s="324" t="s">
        <v>123</v>
      </c>
      <c r="E104" s="340" t="s">
        <v>122</v>
      </c>
      <c r="F104" s="364" t="s">
        <v>1109</v>
      </c>
      <c r="G104" s="41">
        <v>1</v>
      </c>
      <c r="H104" s="299">
        <v>1</v>
      </c>
      <c r="I104" s="266" t="s">
        <v>1179</v>
      </c>
      <c r="J104" s="298" t="s">
        <v>521</v>
      </c>
      <c r="K104" s="340" t="s">
        <v>1267</v>
      </c>
      <c r="L104" s="342" t="s">
        <v>124</v>
      </c>
      <c r="M104" s="340" t="s">
        <v>124</v>
      </c>
      <c r="N104" s="185" t="s">
        <v>1438</v>
      </c>
      <c r="O104" s="185" t="s">
        <v>1438</v>
      </c>
      <c r="P104" s="185" t="s">
        <v>1438</v>
      </c>
      <c r="Q104" s="185" t="s">
        <v>1438</v>
      </c>
      <c r="R104" s="300"/>
      <c r="S104" s="377" t="s">
        <v>1458</v>
      </c>
    </row>
    <row r="105" spans="3:21" ht="165.6" x14ac:dyDescent="0.3">
      <c r="C105" s="369"/>
      <c r="D105" s="324" t="s">
        <v>126</v>
      </c>
      <c r="E105" s="340" t="s">
        <v>125</v>
      </c>
      <c r="F105" s="364" t="s">
        <v>1109</v>
      </c>
      <c r="G105" s="41">
        <v>1</v>
      </c>
      <c r="H105" s="299">
        <v>1</v>
      </c>
      <c r="I105" s="266" t="s">
        <v>1179</v>
      </c>
      <c r="J105" s="298" t="s">
        <v>742</v>
      </c>
      <c r="K105" s="340" t="s">
        <v>126</v>
      </c>
      <c r="L105" s="342" t="s">
        <v>126</v>
      </c>
      <c r="M105" s="340" t="s">
        <v>127</v>
      </c>
      <c r="N105" s="185" t="s">
        <v>1422</v>
      </c>
      <c r="O105" s="185" t="s">
        <v>1438</v>
      </c>
      <c r="P105" s="185" t="s">
        <v>1438</v>
      </c>
      <c r="Q105" s="185" t="s">
        <v>1438</v>
      </c>
      <c r="R105" s="300"/>
      <c r="S105" s="400" t="s">
        <v>1462</v>
      </c>
      <c r="U105" s="400" t="s">
        <v>1532</v>
      </c>
    </row>
    <row r="106" spans="3:21" ht="28.8" x14ac:dyDescent="0.3">
      <c r="C106" s="369"/>
      <c r="D106" s="324" t="s">
        <v>129</v>
      </c>
      <c r="E106" s="340" t="s">
        <v>100</v>
      </c>
      <c r="F106" s="364" t="s">
        <v>1109</v>
      </c>
      <c r="G106" s="41">
        <v>1</v>
      </c>
      <c r="H106" s="299">
        <v>3</v>
      </c>
      <c r="I106" s="266" t="s">
        <v>1179</v>
      </c>
      <c r="J106" s="298" t="s">
        <v>743</v>
      </c>
      <c r="K106" s="342" t="s">
        <v>129</v>
      </c>
      <c r="L106" s="342" t="s">
        <v>1243</v>
      </c>
      <c r="M106" s="342" t="s">
        <v>1243</v>
      </c>
      <c r="N106" s="41" t="s">
        <v>1422</v>
      </c>
      <c r="O106" s="406" t="s">
        <v>1438</v>
      </c>
      <c r="P106" s="406" t="s">
        <v>1438</v>
      </c>
      <c r="Q106" s="41" t="s">
        <v>1438</v>
      </c>
      <c r="R106" s="300"/>
      <c r="T106" s="377" t="s">
        <v>1489</v>
      </c>
    </row>
    <row r="107" spans="3:21" ht="124.2" x14ac:dyDescent="0.3">
      <c r="C107" s="369"/>
      <c r="D107" s="325" t="s">
        <v>131</v>
      </c>
      <c r="E107" s="292" t="s">
        <v>108</v>
      </c>
      <c r="F107" s="365" t="s">
        <v>1109</v>
      </c>
      <c r="G107" s="265">
        <v>1</v>
      </c>
      <c r="H107" s="270">
        <v>1</v>
      </c>
      <c r="I107" s="264" t="s">
        <v>1179</v>
      </c>
      <c r="J107" s="387" t="s">
        <v>522</v>
      </c>
      <c r="K107" s="292" t="s">
        <v>1243</v>
      </c>
      <c r="L107" s="348" t="s">
        <v>132</v>
      </c>
      <c r="M107" s="338" t="s">
        <v>132</v>
      </c>
      <c r="N107" s="425" t="s">
        <v>1493</v>
      </c>
      <c r="O107" s="425" t="s">
        <v>1493</v>
      </c>
      <c r="P107" s="425" t="s">
        <v>1493</v>
      </c>
      <c r="Q107" s="425" t="s">
        <v>1493</v>
      </c>
      <c r="R107" s="293"/>
      <c r="S107" s="400" t="s">
        <v>1462</v>
      </c>
    </row>
    <row r="108" spans="3:21" x14ac:dyDescent="0.3">
      <c r="C108" s="369"/>
      <c r="D108" s="325" t="s">
        <v>1579</v>
      </c>
      <c r="E108" s="292" t="s">
        <v>48</v>
      </c>
      <c r="F108" s="365" t="s">
        <v>1109</v>
      </c>
      <c r="G108" s="265">
        <v>1</v>
      </c>
      <c r="H108" s="270">
        <v>1</v>
      </c>
      <c r="I108" s="264" t="s">
        <v>1179</v>
      </c>
      <c r="J108" s="387" t="s">
        <v>1580</v>
      </c>
      <c r="K108" s="292" t="s">
        <v>1243</v>
      </c>
      <c r="L108" s="348" t="s">
        <v>374</v>
      </c>
      <c r="M108" s="338" t="s">
        <v>374</v>
      </c>
      <c r="N108" s="425" t="s">
        <v>1493</v>
      </c>
      <c r="O108" s="425" t="s">
        <v>1493</v>
      </c>
      <c r="P108" s="425" t="s">
        <v>1493</v>
      </c>
      <c r="Q108" s="425" t="s">
        <v>1493</v>
      </c>
      <c r="R108" s="293"/>
    </row>
    <row r="109" spans="3:21" ht="57.6" x14ac:dyDescent="0.3">
      <c r="C109" s="369"/>
      <c r="D109" s="325" t="s">
        <v>376</v>
      </c>
      <c r="E109" s="292" t="s">
        <v>1148</v>
      </c>
      <c r="F109" s="365" t="s">
        <v>1109</v>
      </c>
      <c r="G109" s="265">
        <v>1</v>
      </c>
      <c r="H109" s="270">
        <v>1</v>
      </c>
      <c r="I109" s="264" t="s">
        <v>1179</v>
      </c>
      <c r="J109" s="387" t="s">
        <v>525</v>
      </c>
      <c r="K109" s="292" t="s">
        <v>1243</v>
      </c>
      <c r="L109" s="348" t="s">
        <v>375</v>
      </c>
      <c r="M109" s="338" t="s">
        <v>375</v>
      </c>
      <c r="N109" s="425" t="s">
        <v>1493</v>
      </c>
      <c r="O109" s="425" t="s">
        <v>1493</v>
      </c>
      <c r="P109" s="425" t="s">
        <v>1493</v>
      </c>
      <c r="Q109" s="425" t="s">
        <v>1493</v>
      </c>
      <c r="R109" s="293"/>
      <c r="S109" s="377" t="s">
        <v>1462</v>
      </c>
    </row>
    <row r="110" spans="3:21" ht="43.2" x14ac:dyDescent="0.3">
      <c r="C110" s="369"/>
      <c r="D110" s="324" t="s">
        <v>134</v>
      </c>
      <c r="E110" s="340" t="s">
        <v>133</v>
      </c>
      <c r="F110" s="364" t="s">
        <v>1109</v>
      </c>
      <c r="G110" s="41">
        <v>1</v>
      </c>
      <c r="H110" s="299">
        <v>1</v>
      </c>
      <c r="I110" s="266" t="s">
        <v>1179</v>
      </c>
      <c r="J110" s="298" t="s">
        <v>526</v>
      </c>
      <c r="K110" s="340" t="s">
        <v>1268</v>
      </c>
      <c r="L110" s="342" t="s">
        <v>135</v>
      </c>
      <c r="M110" s="340" t="s">
        <v>135</v>
      </c>
      <c r="N110" s="185" t="s">
        <v>1493</v>
      </c>
      <c r="O110" s="41" t="s">
        <v>1493</v>
      </c>
      <c r="P110" s="185" t="s">
        <v>1493</v>
      </c>
      <c r="Q110" s="41" t="s">
        <v>1493</v>
      </c>
      <c r="R110" s="301" t="s">
        <v>1456</v>
      </c>
      <c r="S110" s="377" t="s">
        <v>1462</v>
      </c>
      <c r="T110" s="377" t="s">
        <v>1490</v>
      </c>
    </row>
    <row r="111" spans="3:21" ht="124.2" x14ac:dyDescent="0.3">
      <c r="C111" s="369"/>
      <c r="D111" s="324" t="s">
        <v>136</v>
      </c>
      <c r="E111" s="340" t="s">
        <v>125</v>
      </c>
      <c r="F111" s="364" t="s">
        <v>1109</v>
      </c>
      <c r="G111" s="41">
        <v>1</v>
      </c>
      <c r="H111" s="299">
        <v>1</v>
      </c>
      <c r="I111" s="266" t="s">
        <v>1179</v>
      </c>
      <c r="J111" s="298" t="s">
        <v>522</v>
      </c>
      <c r="K111" s="340" t="s">
        <v>1269</v>
      </c>
      <c r="L111" s="342" t="s">
        <v>137</v>
      </c>
      <c r="M111" s="340" t="s">
        <v>137</v>
      </c>
      <c r="N111" s="185" t="s">
        <v>1493</v>
      </c>
      <c r="O111" s="41" t="s">
        <v>1438</v>
      </c>
      <c r="P111" s="41" t="s">
        <v>1438</v>
      </c>
      <c r="Q111" s="41" t="s">
        <v>1438</v>
      </c>
      <c r="R111" s="301" t="s">
        <v>1565</v>
      </c>
      <c r="S111" s="377" t="s">
        <v>1462</v>
      </c>
      <c r="T111" s="377" t="s">
        <v>1491</v>
      </c>
    </row>
    <row r="112" spans="3:21" ht="179.4" x14ac:dyDescent="0.3">
      <c r="C112" s="369"/>
      <c r="D112" s="324" t="s">
        <v>138</v>
      </c>
      <c r="E112" s="340" t="s">
        <v>613</v>
      </c>
      <c r="F112" s="364" t="s">
        <v>668</v>
      </c>
      <c r="G112" s="41">
        <v>1</v>
      </c>
      <c r="H112" s="299">
        <v>1</v>
      </c>
      <c r="I112" s="266" t="s">
        <v>1179</v>
      </c>
      <c r="J112" s="298" t="s">
        <v>744</v>
      </c>
      <c r="K112" s="340" t="s">
        <v>138</v>
      </c>
      <c r="L112" s="342" t="s">
        <v>138</v>
      </c>
      <c r="M112" s="340" t="s">
        <v>138</v>
      </c>
      <c r="N112" s="41" t="s">
        <v>1422</v>
      </c>
      <c r="O112" s="41" t="s">
        <v>1422</v>
      </c>
      <c r="P112" s="41" t="s">
        <v>1422</v>
      </c>
      <c r="Q112" s="41" t="s">
        <v>1422</v>
      </c>
      <c r="R112" s="300"/>
    </row>
    <row r="113" spans="3:20" ht="124.2" x14ac:dyDescent="0.3">
      <c r="C113" s="370" t="s">
        <v>141</v>
      </c>
      <c r="D113" s="324" t="s">
        <v>142</v>
      </c>
      <c r="E113" s="340" t="s">
        <v>640</v>
      </c>
      <c r="F113" s="361"/>
      <c r="G113" s="41">
        <v>1</v>
      </c>
      <c r="H113" s="299">
        <v>1</v>
      </c>
      <c r="I113" s="266" t="s">
        <v>1180</v>
      </c>
      <c r="J113" s="298" t="s">
        <v>522</v>
      </c>
      <c r="K113" s="340" t="s">
        <v>142</v>
      </c>
      <c r="L113" s="342" t="s">
        <v>143</v>
      </c>
      <c r="M113" s="340" t="s">
        <v>143</v>
      </c>
      <c r="N113" s="185" t="s">
        <v>1438</v>
      </c>
      <c r="O113" s="41" t="s">
        <v>1438</v>
      </c>
      <c r="P113" s="41" t="s">
        <v>1438</v>
      </c>
      <c r="Q113" s="41" t="s">
        <v>1438</v>
      </c>
      <c r="R113" s="300" t="s">
        <v>1492</v>
      </c>
      <c r="S113" s="377" t="s">
        <v>1463</v>
      </c>
      <c r="T113" s="377" t="s">
        <v>1490</v>
      </c>
    </row>
    <row r="114" spans="3:20" ht="138" x14ac:dyDescent="0.3">
      <c r="C114" s="370"/>
      <c r="D114" s="324" t="s">
        <v>145</v>
      </c>
      <c r="E114" s="340" t="s">
        <v>144</v>
      </c>
      <c r="F114" s="361"/>
      <c r="G114" s="41">
        <v>1</v>
      </c>
      <c r="H114" s="299">
        <v>1</v>
      </c>
      <c r="I114" s="266" t="s">
        <v>1180</v>
      </c>
      <c r="J114" s="298" t="s">
        <v>443</v>
      </c>
      <c r="K114" s="340" t="s">
        <v>145</v>
      </c>
      <c r="L114" s="342" t="s">
        <v>145</v>
      </c>
      <c r="M114" s="340" t="s">
        <v>146</v>
      </c>
      <c r="N114" s="41" t="s">
        <v>1422</v>
      </c>
      <c r="O114" s="41" t="s">
        <v>1422</v>
      </c>
      <c r="P114" s="41" t="s">
        <v>1438</v>
      </c>
      <c r="Q114" s="41" t="s">
        <v>1438</v>
      </c>
      <c r="R114" s="300"/>
      <c r="S114" s="377" t="s">
        <v>1494</v>
      </c>
      <c r="T114" s="377" t="s">
        <v>1483</v>
      </c>
    </row>
    <row r="115" spans="3:20" ht="28.8" x14ac:dyDescent="0.3">
      <c r="C115" s="370"/>
      <c r="D115" s="324" t="s">
        <v>148</v>
      </c>
      <c r="E115" s="340" t="s">
        <v>147</v>
      </c>
      <c r="F115" s="361"/>
      <c r="G115" s="41">
        <v>1</v>
      </c>
      <c r="H115" s="299">
        <v>1</v>
      </c>
      <c r="I115" s="266" t="s">
        <v>1180</v>
      </c>
      <c r="J115" s="298" t="s">
        <v>444</v>
      </c>
      <c r="K115" s="340" t="s">
        <v>148</v>
      </c>
      <c r="L115" s="342" t="s">
        <v>148</v>
      </c>
      <c r="M115" s="340" t="s">
        <v>149</v>
      </c>
      <c r="N115" s="41" t="s">
        <v>1422</v>
      </c>
      <c r="O115" s="41" t="s">
        <v>1438</v>
      </c>
      <c r="P115" s="41" t="s">
        <v>1438</v>
      </c>
      <c r="Q115" s="41" t="s">
        <v>1438</v>
      </c>
      <c r="R115" s="300"/>
    </row>
    <row r="116" spans="3:20" ht="43.2" x14ac:dyDescent="0.3">
      <c r="C116" s="370"/>
      <c r="D116" s="324" t="s">
        <v>150</v>
      </c>
      <c r="E116" s="340" t="s">
        <v>613</v>
      </c>
      <c r="F116" s="361"/>
      <c r="G116" s="41">
        <v>1</v>
      </c>
      <c r="H116" s="299">
        <v>1</v>
      </c>
      <c r="I116" s="266" t="s">
        <v>1180</v>
      </c>
      <c r="J116" s="298" t="s">
        <v>521</v>
      </c>
      <c r="K116" s="340" t="s">
        <v>1270</v>
      </c>
      <c r="L116" s="342" t="s">
        <v>150</v>
      </c>
      <c r="M116" s="340" t="s">
        <v>150</v>
      </c>
      <c r="N116" s="185" t="s">
        <v>1493</v>
      </c>
      <c r="O116" s="185" t="s">
        <v>1493</v>
      </c>
      <c r="P116" s="185" t="s">
        <v>1493</v>
      </c>
      <c r="Q116" s="185" t="s">
        <v>1493</v>
      </c>
      <c r="R116" s="300" t="s">
        <v>1566</v>
      </c>
      <c r="S116" s="377" t="s">
        <v>1462</v>
      </c>
      <c r="T116" s="377" t="s">
        <v>1483</v>
      </c>
    </row>
    <row r="117" spans="3:20" ht="138" x14ac:dyDescent="0.3">
      <c r="C117" s="370"/>
      <c r="D117" s="324" t="s">
        <v>153</v>
      </c>
      <c r="E117" s="340" t="s">
        <v>643</v>
      </c>
      <c r="F117" s="361"/>
      <c r="G117" s="41">
        <v>1</v>
      </c>
      <c r="H117" s="299">
        <v>1</v>
      </c>
      <c r="I117" s="266" t="s">
        <v>1180</v>
      </c>
      <c r="J117" s="298" t="s">
        <v>745</v>
      </c>
      <c r="K117" s="340" t="s">
        <v>153</v>
      </c>
      <c r="L117" s="342" t="s">
        <v>153</v>
      </c>
      <c r="M117" s="340" t="s">
        <v>154</v>
      </c>
      <c r="N117" s="402" t="s">
        <v>1587</v>
      </c>
      <c r="O117" s="41" t="s">
        <v>1438</v>
      </c>
      <c r="P117" s="41" t="s">
        <v>1438</v>
      </c>
      <c r="Q117" s="41" t="s">
        <v>1438</v>
      </c>
      <c r="R117" s="300" t="s">
        <v>1567</v>
      </c>
      <c r="S117" s="377" t="s">
        <v>1463</v>
      </c>
      <c r="T117" s="377" t="s">
        <v>1483</v>
      </c>
    </row>
    <row r="118" spans="3:20" ht="27.6" x14ac:dyDescent="0.3">
      <c r="C118" s="370"/>
      <c r="D118" s="324" t="s">
        <v>155</v>
      </c>
      <c r="E118" s="340" t="s">
        <v>636</v>
      </c>
      <c r="F118" s="361"/>
      <c r="G118" s="41">
        <v>1</v>
      </c>
      <c r="H118" s="299">
        <v>1</v>
      </c>
      <c r="I118" s="266" t="s">
        <v>1180</v>
      </c>
      <c r="J118" s="298" t="s">
        <v>521</v>
      </c>
      <c r="K118" s="340" t="s">
        <v>1271</v>
      </c>
      <c r="L118" s="342" t="s">
        <v>156</v>
      </c>
      <c r="M118" s="340" t="s">
        <v>156</v>
      </c>
      <c r="N118" s="41" t="s">
        <v>1438</v>
      </c>
      <c r="O118" s="41" t="s">
        <v>1438</v>
      </c>
      <c r="P118" s="41" t="s">
        <v>1438</v>
      </c>
      <c r="Q118" s="41" t="s">
        <v>1438</v>
      </c>
      <c r="R118" s="300"/>
    </row>
    <row r="119" spans="3:20" ht="151.80000000000001" x14ac:dyDescent="0.3">
      <c r="C119" s="370"/>
      <c r="D119" s="324" t="s">
        <v>157</v>
      </c>
      <c r="E119" s="504" t="s">
        <v>613</v>
      </c>
      <c r="F119" s="361"/>
      <c r="G119" s="41">
        <v>1</v>
      </c>
      <c r="H119" s="299">
        <v>1</v>
      </c>
      <c r="I119" s="266" t="s">
        <v>1180</v>
      </c>
      <c r="J119" s="298" t="s">
        <v>746</v>
      </c>
      <c r="K119" s="340" t="s">
        <v>157</v>
      </c>
      <c r="L119" s="342" t="s">
        <v>157</v>
      </c>
      <c r="M119" s="340" t="s">
        <v>157</v>
      </c>
      <c r="N119" s="41" t="s">
        <v>1422</v>
      </c>
      <c r="O119" s="41" t="s">
        <v>1422</v>
      </c>
      <c r="P119" s="41" t="s">
        <v>1438</v>
      </c>
      <c r="Q119" s="41" t="s">
        <v>1438</v>
      </c>
      <c r="R119" s="300" t="s">
        <v>1568</v>
      </c>
    </row>
    <row r="120" spans="3:20" ht="124.2" x14ac:dyDescent="0.3">
      <c r="C120" s="370"/>
      <c r="D120" s="324" t="s">
        <v>159</v>
      </c>
      <c r="E120" s="340" t="s">
        <v>645</v>
      </c>
      <c r="F120" s="361"/>
      <c r="G120" s="41">
        <v>1</v>
      </c>
      <c r="H120" s="299">
        <v>1</v>
      </c>
      <c r="I120" s="266" t="s">
        <v>1180</v>
      </c>
      <c r="J120" s="298" t="s">
        <v>747</v>
      </c>
      <c r="K120" s="340" t="s">
        <v>1272</v>
      </c>
      <c r="L120" s="342" t="s">
        <v>159</v>
      </c>
      <c r="M120" s="340" t="s">
        <v>160</v>
      </c>
      <c r="N120" s="185" t="s">
        <v>1438</v>
      </c>
      <c r="O120" s="41" t="s">
        <v>1438</v>
      </c>
      <c r="P120" s="185" t="s">
        <v>1438</v>
      </c>
      <c r="Q120" s="41" t="s">
        <v>1438</v>
      </c>
      <c r="R120" s="301" t="s">
        <v>1575</v>
      </c>
      <c r="T120" s="377" t="s">
        <v>1495</v>
      </c>
    </row>
    <row r="121" spans="3:20" ht="43.2" x14ac:dyDescent="0.3">
      <c r="C121" s="370"/>
      <c r="D121" s="324" t="s">
        <v>161</v>
      </c>
      <c r="E121" s="340" t="s">
        <v>641</v>
      </c>
      <c r="F121" s="361"/>
      <c r="G121" s="41">
        <v>1</v>
      </c>
      <c r="H121" s="299">
        <v>1</v>
      </c>
      <c r="I121" s="266" t="s">
        <v>1181</v>
      </c>
      <c r="J121" s="298" t="s">
        <v>521</v>
      </c>
      <c r="K121" s="340" t="s">
        <v>1273</v>
      </c>
      <c r="L121" s="342" t="s">
        <v>162</v>
      </c>
      <c r="M121" s="340" t="s">
        <v>162</v>
      </c>
      <c r="N121" s="185" t="s">
        <v>1438</v>
      </c>
      <c r="O121" s="185" t="s">
        <v>1438</v>
      </c>
      <c r="P121" s="185" t="s">
        <v>1438</v>
      </c>
      <c r="Q121" s="185" t="s">
        <v>1438</v>
      </c>
      <c r="R121" s="300"/>
      <c r="S121" s="377" t="s">
        <v>1463</v>
      </c>
    </row>
    <row r="122" spans="3:20" ht="193.2" x14ac:dyDescent="0.3">
      <c r="C122" s="370"/>
      <c r="D122" s="324" t="s">
        <v>163</v>
      </c>
      <c r="E122" s="504" t="s">
        <v>613</v>
      </c>
      <c r="F122" s="361"/>
      <c r="G122" s="41">
        <v>1</v>
      </c>
      <c r="H122" s="299">
        <v>3</v>
      </c>
      <c r="I122" s="266" t="s">
        <v>1181</v>
      </c>
      <c r="J122" s="298" t="s">
        <v>748</v>
      </c>
      <c r="K122" s="340" t="s">
        <v>1274</v>
      </c>
      <c r="L122" s="342" t="s">
        <v>163</v>
      </c>
      <c r="M122" s="340" t="s">
        <v>163</v>
      </c>
      <c r="N122" s="397" t="s">
        <v>1444</v>
      </c>
      <c r="O122" s="185" t="s">
        <v>1493</v>
      </c>
      <c r="P122" s="185" t="s">
        <v>1444</v>
      </c>
      <c r="Q122" s="185" t="s">
        <v>1493</v>
      </c>
      <c r="R122" s="300"/>
      <c r="S122" s="377" t="s">
        <v>1463</v>
      </c>
      <c r="T122" s="377" t="s">
        <v>1496</v>
      </c>
    </row>
    <row r="123" spans="3:20" ht="124.2" x14ac:dyDescent="0.3">
      <c r="C123" s="370"/>
      <c r="D123" s="324" t="s">
        <v>165</v>
      </c>
      <c r="E123" s="340" t="s">
        <v>642</v>
      </c>
      <c r="F123" s="361"/>
      <c r="G123" s="41">
        <v>1</v>
      </c>
      <c r="H123" s="299">
        <v>1</v>
      </c>
      <c r="I123" s="266" t="s">
        <v>1181</v>
      </c>
      <c r="J123" s="298" t="s">
        <v>522</v>
      </c>
      <c r="K123" s="340" t="s">
        <v>1275</v>
      </c>
      <c r="L123" s="342" t="s">
        <v>166</v>
      </c>
      <c r="M123" s="340" t="s">
        <v>166</v>
      </c>
      <c r="N123" s="41" t="s">
        <v>1438</v>
      </c>
      <c r="O123" s="41" t="s">
        <v>1438</v>
      </c>
      <c r="P123" s="41" t="s">
        <v>1438</v>
      </c>
      <c r="Q123" s="41" t="s">
        <v>1438</v>
      </c>
      <c r="R123" s="300"/>
      <c r="S123" s="377" t="s">
        <v>1463</v>
      </c>
    </row>
    <row r="124" spans="3:20" ht="124.2" x14ac:dyDescent="0.3">
      <c r="C124" s="370"/>
      <c r="D124" s="324" t="s">
        <v>167</v>
      </c>
      <c r="E124" s="340" t="s">
        <v>651</v>
      </c>
      <c r="F124" s="361"/>
      <c r="G124" s="41">
        <v>1</v>
      </c>
      <c r="H124" s="299">
        <v>1</v>
      </c>
      <c r="I124" s="266" t="s">
        <v>1181</v>
      </c>
      <c r="J124" s="298" t="s">
        <v>522</v>
      </c>
      <c r="K124" s="340" t="s">
        <v>167</v>
      </c>
      <c r="L124" s="342" t="s">
        <v>167</v>
      </c>
      <c r="M124" s="340" t="s">
        <v>168</v>
      </c>
      <c r="N124" s="41" t="s">
        <v>1444</v>
      </c>
      <c r="O124" s="41" t="s">
        <v>1438</v>
      </c>
      <c r="P124" s="185" t="s">
        <v>1438</v>
      </c>
      <c r="Q124" s="41" t="s">
        <v>1438</v>
      </c>
      <c r="R124" s="301" t="s">
        <v>1497</v>
      </c>
      <c r="S124" s="377" t="s">
        <v>1463</v>
      </c>
      <c r="T124" s="377" t="s">
        <v>1497</v>
      </c>
    </row>
    <row r="125" spans="3:20" ht="124.2" x14ac:dyDescent="0.3">
      <c r="C125" s="370"/>
      <c r="D125" s="324" t="s">
        <v>169</v>
      </c>
      <c r="E125" s="340" t="s">
        <v>639</v>
      </c>
      <c r="F125" s="361"/>
      <c r="G125" s="41">
        <v>1</v>
      </c>
      <c r="H125" s="299">
        <v>1</v>
      </c>
      <c r="I125" s="266" t="s">
        <v>1181</v>
      </c>
      <c r="J125" s="298" t="s">
        <v>522</v>
      </c>
      <c r="K125" s="340" t="s">
        <v>1276</v>
      </c>
      <c r="L125" s="342" t="s">
        <v>170</v>
      </c>
      <c r="M125" s="340" t="s">
        <v>170</v>
      </c>
      <c r="N125" s="41" t="s">
        <v>1438</v>
      </c>
      <c r="O125" s="41" t="s">
        <v>1438</v>
      </c>
      <c r="P125" s="41" t="s">
        <v>1438</v>
      </c>
      <c r="Q125" s="41" t="s">
        <v>1438</v>
      </c>
      <c r="R125" s="300"/>
      <c r="S125" s="377" t="s">
        <v>1461</v>
      </c>
      <c r="T125" s="377" t="s">
        <v>1483</v>
      </c>
    </row>
    <row r="126" spans="3:20" ht="124.2" x14ac:dyDescent="0.3">
      <c r="C126" s="370"/>
      <c r="D126" s="324" t="s">
        <v>673</v>
      </c>
      <c r="E126" s="340" t="s">
        <v>637</v>
      </c>
      <c r="F126" s="361"/>
      <c r="G126" s="41">
        <v>1</v>
      </c>
      <c r="H126" s="299">
        <v>1</v>
      </c>
      <c r="I126" s="266" t="s">
        <v>1181</v>
      </c>
      <c r="J126" s="298" t="s">
        <v>522</v>
      </c>
      <c r="K126" s="340" t="s">
        <v>1277</v>
      </c>
      <c r="L126" s="342" t="s">
        <v>1182</v>
      </c>
      <c r="M126" s="340" t="s">
        <v>171</v>
      </c>
      <c r="N126" s="41" t="s">
        <v>1422</v>
      </c>
      <c r="O126" s="41" t="s">
        <v>1438</v>
      </c>
      <c r="P126" s="41" t="s">
        <v>1438</v>
      </c>
      <c r="Q126" s="41" t="s">
        <v>1438</v>
      </c>
      <c r="R126" s="300"/>
      <c r="S126" s="377" t="s">
        <v>1462</v>
      </c>
    </row>
    <row r="127" spans="3:20" ht="55.2" x14ac:dyDescent="0.3">
      <c r="C127" s="370"/>
      <c r="D127" s="324" t="s">
        <v>173</v>
      </c>
      <c r="E127" s="340" t="s">
        <v>172</v>
      </c>
      <c r="F127" s="361"/>
      <c r="G127" s="41">
        <v>1</v>
      </c>
      <c r="H127" s="299">
        <v>1</v>
      </c>
      <c r="I127" s="266" t="s">
        <v>1183</v>
      </c>
      <c r="J127" s="298" t="s">
        <v>445</v>
      </c>
      <c r="K127" s="340" t="s">
        <v>1278</v>
      </c>
      <c r="L127" s="342" t="s">
        <v>173</v>
      </c>
      <c r="M127" s="340" t="s">
        <v>174</v>
      </c>
      <c r="N127" s="41" t="s">
        <v>1422</v>
      </c>
      <c r="O127" s="41" t="s">
        <v>1438</v>
      </c>
      <c r="P127" s="41" t="s">
        <v>1438</v>
      </c>
      <c r="Q127" s="41" t="s">
        <v>1438</v>
      </c>
      <c r="R127" s="300"/>
    </row>
    <row r="128" spans="3:20" ht="55.2" x14ac:dyDescent="0.3">
      <c r="C128" s="370"/>
      <c r="D128" s="324" t="s">
        <v>176</v>
      </c>
      <c r="E128" s="340" t="s">
        <v>172</v>
      </c>
      <c r="F128" s="361"/>
      <c r="G128" s="41">
        <v>1</v>
      </c>
      <c r="H128" s="299">
        <v>1</v>
      </c>
      <c r="I128" s="266" t="s">
        <v>1183</v>
      </c>
      <c r="J128" s="298" t="s">
        <v>446</v>
      </c>
      <c r="K128" s="340" t="s">
        <v>1279</v>
      </c>
      <c r="L128" s="342" t="s">
        <v>176</v>
      </c>
      <c r="M128" s="340" t="s">
        <v>177</v>
      </c>
      <c r="N128" s="41" t="s">
        <v>1422</v>
      </c>
      <c r="O128" s="41" t="s">
        <v>1438</v>
      </c>
      <c r="P128" s="41" t="s">
        <v>1438</v>
      </c>
      <c r="Q128" s="41" t="s">
        <v>1438</v>
      </c>
      <c r="R128" s="300"/>
      <c r="S128" s="377" t="s">
        <v>1464</v>
      </c>
      <c r="T128" s="377" t="s">
        <v>1498</v>
      </c>
    </row>
    <row r="129" spans="3:20" ht="55.2" x14ac:dyDescent="0.3">
      <c r="C129" s="370"/>
      <c r="D129" s="324" t="s">
        <v>178</v>
      </c>
      <c r="E129" s="340" t="s">
        <v>172</v>
      </c>
      <c r="F129" s="361"/>
      <c r="G129" s="41">
        <v>1</v>
      </c>
      <c r="H129" s="299">
        <v>1</v>
      </c>
      <c r="I129" s="266" t="s">
        <v>1183</v>
      </c>
      <c r="J129" s="298" t="s">
        <v>447</v>
      </c>
      <c r="K129" s="340" t="s">
        <v>1280</v>
      </c>
      <c r="L129" s="342" t="s">
        <v>178</v>
      </c>
      <c r="M129" s="340" t="s">
        <v>179</v>
      </c>
      <c r="N129" s="41" t="s">
        <v>1422</v>
      </c>
      <c r="O129" s="41" t="s">
        <v>1438</v>
      </c>
      <c r="P129" s="41" t="s">
        <v>1438</v>
      </c>
      <c r="Q129" s="41" t="s">
        <v>1438</v>
      </c>
      <c r="R129" s="300"/>
    </row>
    <row r="130" spans="3:20" ht="96.6" x14ac:dyDescent="0.3">
      <c r="C130" s="370"/>
      <c r="D130" s="324" t="s">
        <v>180</v>
      </c>
      <c r="E130" s="340" t="s">
        <v>638</v>
      </c>
      <c r="F130" s="361"/>
      <c r="G130" s="41">
        <v>1</v>
      </c>
      <c r="H130" s="299">
        <v>1</v>
      </c>
      <c r="I130" s="266" t="s">
        <v>1183</v>
      </c>
      <c r="J130" s="298" t="s">
        <v>523</v>
      </c>
      <c r="K130" s="340" t="s">
        <v>1281</v>
      </c>
      <c r="L130" s="342" t="s">
        <v>180</v>
      </c>
      <c r="M130" s="340" t="s">
        <v>181</v>
      </c>
      <c r="N130" s="41" t="s">
        <v>1438</v>
      </c>
      <c r="O130" s="41" t="s">
        <v>1438</v>
      </c>
      <c r="P130" s="41" t="s">
        <v>1438</v>
      </c>
      <c r="Q130" s="41" t="s">
        <v>1438</v>
      </c>
      <c r="R130" s="300"/>
      <c r="S130" s="377" t="s">
        <v>1499</v>
      </c>
      <c r="T130" s="377" t="s">
        <v>1483</v>
      </c>
    </row>
    <row r="131" spans="3:20" ht="165.6" x14ac:dyDescent="0.3">
      <c r="C131" s="370"/>
      <c r="D131" s="324" t="s">
        <v>182</v>
      </c>
      <c r="E131" s="340" t="s">
        <v>635</v>
      </c>
      <c r="F131" s="361"/>
      <c r="G131" s="41">
        <v>1</v>
      </c>
      <c r="H131" s="299">
        <v>1</v>
      </c>
      <c r="I131" s="266" t="s">
        <v>1183</v>
      </c>
      <c r="J131" s="298" t="s">
        <v>524</v>
      </c>
      <c r="K131" s="340" t="s">
        <v>182</v>
      </c>
      <c r="L131" s="342" t="s">
        <v>182</v>
      </c>
      <c r="M131" s="340" t="s">
        <v>183</v>
      </c>
      <c r="N131" s="41" t="s">
        <v>1422</v>
      </c>
      <c r="O131" s="41" t="s">
        <v>1438</v>
      </c>
      <c r="P131" s="41" t="s">
        <v>1422</v>
      </c>
      <c r="Q131" s="41" t="s">
        <v>1438</v>
      </c>
      <c r="R131" s="300" t="s">
        <v>1501</v>
      </c>
      <c r="S131" s="377" t="s">
        <v>1462</v>
      </c>
      <c r="T131" s="377" t="s">
        <v>1500</v>
      </c>
    </row>
    <row r="132" spans="3:20" ht="82.8" x14ac:dyDescent="0.3">
      <c r="C132" s="370"/>
      <c r="D132" s="324" t="s">
        <v>184</v>
      </c>
      <c r="E132" s="340" t="s">
        <v>644</v>
      </c>
      <c r="F132" s="361"/>
      <c r="G132" s="41">
        <v>1</v>
      </c>
      <c r="H132" s="299">
        <v>1</v>
      </c>
      <c r="I132" s="266" t="s">
        <v>1183</v>
      </c>
      <c r="J132" s="298" t="s">
        <v>448</v>
      </c>
      <c r="K132" s="340" t="s">
        <v>1282</v>
      </c>
      <c r="L132" s="342" t="s">
        <v>184</v>
      </c>
      <c r="M132" s="340" t="s">
        <v>185</v>
      </c>
      <c r="N132" s="41" t="s">
        <v>1422</v>
      </c>
      <c r="O132" s="41" t="s">
        <v>1438</v>
      </c>
      <c r="P132" s="41" t="s">
        <v>1422</v>
      </c>
      <c r="Q132" s="41" t="s">
        <v>1438</v>
      </c>
      <c r="R132" s="300"/>
      <c r="S132" s="377" t="s">
        <v>1463</v>
      </c>
    </row>
    <row r="133" spans="3:20" ht="124.2" x14ac:dyDescent="0.3">
      <c r="C133" s="370"/>
      <c r="D133" s="324" t="s">
        <v>187</v>
      </c>
      <c r="E133" s="340" t="s">
        <v>186</v>
      </c>
      <c r="F133" s="361"/>
      <c r="G133" s="41">
        <v>1</v>
      </c>
      <c r="H133" s="299">
        <v>2</v>
      </c>
      <c r="I133" s="266" t="s">
        <v>1183</v>
      </c>
      <c r="J133" s="298" t="s">
        <v>449</v>
      </c>
      <c r="K133" s="340" t="s">
        <v>187</v>
      </c>
      <c r="L133" s="342" t="s">
        <v>187</v>
      </c>
      <c r="M133" s="340" t="s">
        <v>188</v>
      </c>
      <c r="N133" s="185" t="s">
        <v>1438</v>
      </c>
      <c r="O133" s="41" t="s">
        <v>1438</v>
      </c>
      <c r="P133" s="41" t="s">
        <v>1438</v>
      </c>
      <c r="Q133" s="41" t="s">
        <v>1438</v>
      </c>
      <c r="R133" s="300"/>
      <c r="S133" s="377" t="s">
        <v>1463</v>
      </c>
      <c r="T133" s="377" t="s">
        <v>1502</v>
      </c>
    </row>
    <row r="134" spans="3:20" ht="72" x14ac:dyDescent="0.3">
      <c r="C134" s="370"/>
      <c r="D134" s="324" t="s">
        <v>189</v>
      </c>
      <c r="E134" s="340" t="s">
        <v>613</v>
      </c>
      <c r="F134" s="364" t="s">
        <v>1504</v>
      </c>
      <c r="G134" s="41">
        <v>1</v>
      </c>
      <c r="H134" s="299">
        <v>8</v>
      </c>
      <c r="I134" s="266" t="s">
        <v>1184</v>
      </c>
      <c r="J134" s="298" t="s">
        <v>450</v>
      </c>
      <c r="K134" s="340" t="s">
        <v>1283</v>
      </c>
      <c r="L134" s="342" t="s">
        <v>189</v>
      </c>
      <c r="M134" s="340" t="s">
        <v>189</v>
      </c>
      <c r="N134" s="41" t="s">
        <v>1422</v>
      </c>
      <c r="O134" s="41" t="s">
        <v>1422</v>
      </c>
      <c r="P134" s="41" t="s">
        <v>1422</v>
      </c>
      <c r="Q134" s="41" t="s">
        <v>1422</v>
      </c>
      <c r="R134" s="301" t="s">
        <v>1505</v>
      </c>
      <c r="S134" s="377" t="s">
        <v>1465</v>
      </c>
      <c r="T134" s="377" t="s">
        <v>1503</v>
      </c>
    </row>
    <row r="135" spans="3:20" ht="151.80000000000001" x14ac:dyDescent="0.3">
      <c r="C135" s="370" t="s">
        <v>191</v>
      </c>
      <c r="D135" s="324" t="s">
        <v>192</v>
      </c>
      <c r="E135" s="340" t="s">
        <v>394</v>
      </c>
      <c r="F135" s="364" t="s">
        <v>668</v>
      </c>
      <c r="G135" s="41">
        <v>1</v>
      </c>
      <c r="H135" s="299">
        <v>15</v>
      </c>
      <c r="I135" s="266" t="s">
        <v>1185</v>
      </c>
      <c r="J135" s="298" t="s">
        <v>451</v>
      </c>
      <c r="K135" s="340" t="s">
        <v>1284</v>
      </c>
      <c r="L135" s="342" t="s">
        <v>192</v>
      </c>
      <c r="M135" s="340" t="s">
        <v>192</v>
      </c>
      <c r="N135" s="185" t="s">
        <v>1438</v>
      </c>
      <c r="O135" s="185" t="s">
        <v>1438</v>
      </c>
      <c r="P135" s="185" t="s">
        <v>1438</v>
      </c>
      <c r="Q135" s="185" t="s">
        <v>1438</v>
      </c>
      <c r="R135" s="301" t="s">
        <v>1506</v>
      </c>
      <c r="S135" s="377" t="s">
        <v>1466</v>
      </c>
      <c r="T135" s="377" t="s">
        <v>1507</v>
      </c>
    </row>
    <row r="136" spans="3:20" ht="43.2" x14ac:dyDescent="0.3">
      <c r="C136" s="370"/>
      <c r="D136" s="324" t="s">
        <v>194</v>
      </c>
      <c r="E136" s="340" t="s">
        <v>646</v>
      </c>
      <c r="F136" s="364" t="s">
        <v>1109</v>
      </c>
      <c r="G136" s="41">
        <v>1</v>
      </c>
      <c r="H136" s="299">
        <v>1</v>
      </c>
      <c r="I136" s="266" t="s">
        <v>1186</v>
      </c>
      <c r="J136" s="298" t="s">
        <v>452</v>
      </c>
      <c r="K136" s="340" t="s">
        <v>1285</v>
      </c>
      <c r="L136" s="342" t="s">
        <v>194</v>
      </c>
      <c r="M136" s="340" t="s">
        <v>195</v>
      </c>
      <c r="N136" s="185" t="s">
        <v>1422</v>
      </c>
      <c r="O136" s="41" t="s">
        <v>1438</v>
      </c>
      <c r="P136" s="41" t="s">
        <v>1438</v>
      </c>
      <c r="Q136" s="41" t="s">
        <v>1438</v>
      </c>
      <c r="R136" s="300" t="s">
        <v>1569</v>
      </c>
      <c r="S136" s="377" t="s">
        <v>1463</v>
      </c>
      <c r="T136" s="377" t="s">
        <v>1508</v>
      </c>
    </row>
    <row r="137" spans="3:20" ht="28.8" x14ac:dyDescent="0.3">
      <c r="C137" s="370"/>
      <c r="D137" s="324" t="s">
        <v>196</v>
      </c>
      <c r="E137" s="340" t="s">
        <v>650</v>
      </c>
      <c r="F137" s="361"/>
      <c r="G137" s="41">
        <v>1</v>
      </c>
      <c r="H137" s="299">
        <v>1</v>
      </c>
      <c r="I137" s="266" t="s">
        <v>1188</v>
      </c>
      <c r="J137" s="298" t="s">
        <v>453</v>
      </c>
      <c r="K137" s="340" t="s">
        <v>1187</v>
      </c>
      <c r="L137" s="342" t="s">
        <v>1187</v>
      </c>
      <c r="M137" s="340" t="s">
        <v>197</v>
      </c>
      <c r="N137" s="41" t="s">
        <v>1438</v>
      </c>
      <c r="O137" s="41" t="s">
        <v>1438</v>
      </c>
      <c r="P137" s="41" t="s">
        <v>1438</v>
      </c>
      <c r="Q137" s="41" t="s">
        <v>1438</v>
      </c>
      <c r="R137" s="300"/>
      <c r="S137" s="377" t="s">
        <v>1461</v>
      </c>
      <c r="T137" s="377" t="s">
        <v>1483</v>
      </c>
    </row>
    <row r="138" spans="3:20" x14ac:dyDescent="0.3">
      <c r="C138" s="370"/>
      <c r="D138" s="326" t="s">
        <v>237</v>
      </c>
      <c r="E138" s="340" t="s">
        <v>536</v>
      </c>
      <c r="F138" s="361"/>
      <c r="G138" s="41">
        <v>1</v>
      </c>
      <c r="H138" s="299">
        <v>1</v>
      </c>
      <c r="I138" s="266" t="s">
        <v>1188</v>
      </c>
      <c r="J138" s="298" t="s">
        <v>544</v>
      </c>
      <c r="K138" s="340" t="s">
        <v>1286</v>
      </c>
      <c r="L138" s="342" t="s">
        <v>198</v>
      </c>
      <c r="M138" s="340" t="s">
        <v>198</v>
      </c>
      <c r="N138" s="41" t="s">
        <v>1438</v>
      </c>
      <c r="O138" s="41" t="s">
        <v>1438</v>
      </c>
      <c r="P138" s="41" t="s">
        <v>1438</v>
      </c>
      <c r="Q138" s="41" t="s">
        <v>1438</v>
      </c>
      <c r="R138" s="300"/>
    </row>
    <row r="139" spans="3:20" ht="28.8" x14ac:dyDescent="0.3">
      <c r="C139" s="370"/>
      <c r="D139" s="324" t="s">
        <v>199</v>
      </c>
      <c r="E139" s="504" t="s">
        <v>613</v>
      </c>
      <c r="F139" s="361"/>
      <c r="G139" s="41">
        <v>1</v>
      </c>
      <c r="H139" s="299">
        <v>3</v>
      </c>
      <c r="I139" s="266" t="s">
        <v>1188</v>
      </c>
      <c r="J139" s="298" t="s">
        <v>454</v>
      </c>
      <c r="K139" s="340" t="s">
        <v>199</v>
      </c>
      <c r="L139" s="342" t="s">
        <v>199</v>
      </c>
      <c r="M139" s="340" t="s">
        <v>199</v>
      </c>
      <c r="N139" s="41" t="s">
        <v>1422</v>
      </c>
      <c r="O139" s="41" t="s">
        <v>1438</v>
      </c>
      <c r="P139" s="41" t="s">
        <v>1422</v>
      </c>
      <c r="Q139" s="41" t="s">
        <v>1438</v>
      </c>
      <c r="R139" s="300"/>
      <c r="S139" s="377" t="s">
        <v>1467</v>
      </c>
      <c r="T139" s="377" t="s">
        <v>1509</v>
      </c>
    </row>
    <row r="140" spans="3:20" x14ac:dyDescent="0.3">
      <c r="C140" s="370"/>
      <c r="D140" s="324" t="s">
        <v>1579</v>
      </c>
      <c r="E140" s="340" t="s">
        <v>48</v>
      </c>
      <c r="F140" s="361"/>
      <c r="G140" s="41">
        <v>1</v>
      </c>
      <c r="H140" s="299">
        <v>1</v>
      </c>
      <c r="I140" s="266" t="s">
        <v>1188</v>
      </c>
      <c r="J140" s="298" t="s">
        <v>460</v>
      </c>
      <c r="K140" s="340" t="s">
        <v>1287</v>
      </c>
      <c r="L140" s="342" t="s">
        <v>1133</v>
      </c>
      <c r="M140" s="342" t="s">
        <v>1133</v>
      </c>
      <c r="N140" s="41" t="s">
        <v>1438</v>
      </c>
      <c r="O140" s="406" t="s">
        <v>1438</v>
      </c>
      <c r="P140" s="406" t="s">
        <v>1438</v>
      </c>
      <c r="Q140" s="406" t="s">
        <v>1438</v>
      </c>
      <c r="R140" s="300"/>
    </row>
    <row r="141" spans="3:20" x14ac:dyDescent="0.3">
      <c r="C141" s="370"/>
      <c r="D141" s="324" t="s">
        <v>1579</v>
      </c>
      <c r="E141" s="340" t="s">
        <v>48</v>
      </c>
      <c r="F141" s="361"/>
      <c r="G141" s="41">
        <v>1</v>
      </c>
      <c r="H141" s="299">
        <v>1</v>
      </c>
      <c r="I141" s="266" t="s">
        <v>1188</v>
      </c>
      <c r="J141" s="298" t="s">
        <v>460</v>
      </c>
      <c r="K141" s="340" t="s">
        <v>1288</v>
      </c>
      <c r="L141" s="342" t="s">
        <v>1137</v>
      </c>
      <c r="M141" s="342" t="s">
        <v>1137</v>
      </c>
      <c r="N141" s="41" t="s">
        <v>1438</v>
      </c>
      <c r="O141" s="406" t="s">
        <v>1438</v>
      </c>
      <c r="P141" s="406" t="s">
        <v>1438</v>
      </c>
      <c r="Q141" s="406" t="s">
        <v>1438</v>
      </c>
      <c r="R141" s="300"/>
    </row>
    <row r="142" spans="3:20" x14ac:dyDescent="0.3">
      <c r="C142" s="370"/>
      <c r="D142" s="324" t="s">
        <v>1579</v>
      </c>
      <c r="E142" s="340" t="s">
        <v>48</v>
      </c>
      <c r="F142" s="361"/>
      <c r="G142" s="41">
        <v>1</v>
      </c>
      <c r="H142" s="299">
        <v>1</v>
      </c>
      <c r="I142" s="266" t="s">
        <v>1188</v>
      </c>
      <c r="J142" s="298" t="s">
        <v>460</v>
      </c>
      <c r="K142" s="340" t="s">
        <v>1289</v>
      </c>
      <c r="L142" s="342" t="s">
        <v>1138</v>
      </c>
      <c r="M142" s="342" t="s">
        <v>1138</v>
      </c>
      <c r="N142" s="41" t="s">
        <v>1438</v>
      </c>
      <c r="O142" s="406" t="s">
        <v>1438</v>
      </c>
      <c r="P142" s="406" t="s">
        <v>1438</v>
      </c>
      <c r="Q142" s="406" t="s">
        <v>1438</v>
      </c>
      <c r="R142" s="300"/>
    </row>
    <row r="143" spans="3:20" ht="28.8" x14ac:dyDescent="0.3">
      <c r="C143" s="370"/>
      <c r="D143" s="324" t="s">
        <v>201</v>
      </c>
      <c r="E143" s="504" t="s">
        <v>613</v>
      </c>
      <c r="F143" s="361"/>
      <c r="G143" s="41">
        <v>1</v>
      </c>
      <c r="H143" s="299">
        <v>4</v>
      </c>
      <c r="I143" s="266" t="s">
        <v>1189</v>
      </c>
      <c r="J143" s="298" t="s">
        <v>454</v>
      </c>
      <c r="K143" s="340" t="s">
        <v>201</v>
      </c>
      <c r="L143" s="342" t="s">
        <v>201</v>
      </c>
      <c r="M143" s="340" t="s">
        <v>201</v>
      </c>
      <c r="N143" s="41" t="s">
        <v>1422</v>
      </c>
      <c r="O143" s="406" t="s">
        <v>1438</v>
      </c>
      <c r="P143" s="406" t="s">
        <v>1422</v>
      </c>
      <c r="Q143" s="406" t="s">
        <v>1438</v>
      </c>
      <c r="R143" s="300"/>
      <c r="S143" s="377" t="s">
        <v>1467</v>
      </c>
      <c r="T143" s="377" t="s">
        <v>1509</v>
      </c>
    </row>
    <row r="144" spans="3:20" ht="28.8" x14ac:dyDescent="0.3">
      <c r="C144" s="370"/>
      <c r="D144" s="324" t="s">
        <v>203</v>
      </c>
      <c r="E144" s="504" t="s">
        <v>613</v>
      </c>
      <c r="F144" s="361"/>
      <c r="G144" s="41">
        <v>1</v>
      </c>
      <c r="H144" s="299">
        <v>4</v>
      </c>
      <c r="I144" s="266" t="s">
        <v>1189</v>
      </c>
      <c r="J144" s="298" t="s">
        <v>454</v>
      </c>
      <c r="K144" s="340" t="s">
        <v>203</v>
      </c>
      <c r="L144" s="342" t="s">
        <v>203</v>
      </c>
      <c r="M144" s="340" t="s">
        <v>203</v>
      </c>
      <c r="N144" s="41" t="s">
        <v>1422</v>
      </c>
      <c r="O144" s="406" t="s">
        <v>1438</v>
      </c>
      <c r="P144" s="406" t="s">
        <v>1422</v>
      </c>
      <c r="Q144" s="406" t="s">
        <v>1438</v>
      </c>
      <c r="R144" s="300"/>
      <c r="S144" s="377" t="s">
        <v>1467</v>
      </c>
      <c r="T144" s="377" t="s">
        <v>1509</v>
      </c>
    </row>
    <row r="145" spans="3:20" ht="82.8" x14ac:dyDescent="0.3">
      <c r="C145" s="370" t="s">
        <v>32</v>
      </c>
      <c r="D145" s="509" t="s">
        <v>1130</v>
      </c>
      <c r="E145" s="340" t="s">
        <v>613</v>
      </c>
      <c r="F145" s="364" t="s">
        <v>1109</v>
      </c>
      <c r="G145" s="41">
        <v>1</v>
      </c>
      <c r="H145" s="299">
        <v>1</v>
      </c>
      <c r="I145" s="266" t="s">
        <v>1190</v>
      </c>
      <c r="J145" s="298" t="s">
        <v>455</v>
      </c>
      <c r="K145" s="340" t="s">
        <v>1130</v>
      </c>
      <c r="L145" s="341" t="s">
        <v>1130</v>
      </c>
      <c r="M145" s="341" t="s">
        <v>1130</v>
      </c>
      <c r="N145" s="185" t="s">
        <v>1422</v>
      </c>
      <c r="O145" s="407" t="s">
        <v>1422</v>
      </c>
      <c r="P145" s="407" t="s">
        <v>1422</v>
      </c>
      <c r="Q145" s="407" t="s">
        <v>1422</v>
      </c>
      <c r="R145" s="301" t="s">
        <v>1512</v>
      </c>
      <c r="S145" s="377" t="s">
        <v>1511</v>
      </c>
      <c r="T145" s="377" t="s">
        <v>1511</v>
      </c>
    </row>
    <row r="146" spans="3:20" ht="55.2" x14ac:dyDescent="0.3">
      <c r="C146" s="370"/>
      <c r="D146" s="509" t="s">
        <v>1131</v>
      </c>
      <c r="E146" s="340" t="s">
        <v>613</v>
      </c>
      <c r="F146" s="364" t="s">
        <v>1109</v>
      </c>
      <c r="G146" s="41">
        <v>1</v>
      </c>
      <c r="H146" s="299">
        <v>1</v>
      </c>
      <c r="I146" s="266" t="s">
        <v>1190</v>
      </c>
      <c r="J146" s="298" t="s">
        <v>456</v>
      </c>
      <c r="K146" s="340" t="s">
        <v>1131</v>
      </c>
      <c r="L146" s="341" t="s">
        <v>1131</v>
      </c>
      <c r="M146" s="341" t="s">
        <v>1131</v>
      </c>
      <c r="N146" s="185" t="s">
        <v>1422</v>
      </c>
      <c r="O146" s="407" t="s">
        <v>1422</v>
      </c>
      <c r="P146" s="407" t="s">
        <v>1422</v>
      </c>
      <c r="Q146" s="407" t="s">
        <v>1422</v>
      </c>
      <c r="R146" s="301" t="s">
        <v>1512</v>
      </c>
      <c r="S146" s="377" t="s">
        <v>1511</v>
      </c>
      <c r="T146" s="377" t="s">
        <v>1511</v>
      </c>
    </row>
    <row r="147" spans="3:20" ht="55.2" x14ac:dyDescent="0.3">
      <c r="C147" s="370"/>
      <c r="D147" s="509" t="s">
        <v>1132</v>
      </c>
      <c r="E147" s="340" t="s">
        <v>613</v>
      </c>
      <c r="F147" s="364" t="s">
        <v>1109</v>
      </c>
      <c r="G147" s="41">
        <v>1</v>
      </c>
      <c r="H147" s="299">
        <v>1</v>
      </c>
      <c r="I147" s="266" t="s">
        <v>1190</v>
      </c>
      <c r="J147" s="298" t="s">
        <v>457</v>
      </c>
      <c r="K147" s="340" t="s">
        <v>1132</v>
      </c>
      <c r="L147" s="341" t="s">
        <v>1132</v>
      </c>
      <c r="M147" s="341" t="s">
        <v>1132</v>
      </c>
      <c r="N147" s="185" t="s">
        <v>1422</v>
      </c>
      <c r="O147" s="407" t="s">
        <v>1422</v>
      </c>
      <c r="P147" s="407" t="s">
        <v>1422</v>
      </c>
      <c r="Q147" s="407" t="s">
        <v>1422</v>
      </c>
      <c r="R147" s="301" t="s">
        <v>1512</v>
      </c>
      <c r="S147" s="377" t="s">
        <v>1511</v>
      </c>
      <c r="T147" s="377" t="s">
        <v>1511</v>
      </c>
    </row>
    <row r="148" spans="3:20" ht="27.6" x14ac:dyDescent="0.3">
      <c r="C148" s="370"/>
      <c r="D148" s="324" t="s">
        <v>209</v>
      </c>
      <c r="E148" s="340" t="s">
        <v>613</v>
      </c>
      <c r="F148" s="364" t="s">
        <v>668</v>
      </c>
      <c r="G148" s="41">
        <v>1</v>
      </c>
      <c r="H148" s="299">
        <v>1</v>
      </c>
      <c r="I148" s="266" t="s">
        <v>1190</v>
      </c>
      <c r="J148" s="298" t="s">
        <v>527</v>
      </c>
      <c r="K148" s="340" t="s">
        <v>1191</v>
      </c>
      <c r="L148" s="342" t="s">
        <v>1191</v>
      </c>
      <c r="M148" s="340" t="s">
        <v>1191</v>
      </c>
      <c r="N148" s="185" t="s">
        <v>1422</v>
      </c>
      <c r="O148" s="407" t="s">
        <v>1422</v>
      </c>
      <c r="P148" s="407" t="s">
        <v>1422</v>
      </c>
      <c r="Q148" s="407" t="s">
        <v>1422</v>
      </c>
      <c r="R148" s="300"/>
      <c r="S148" s="377" t="s">
        <v>1510</v>
      </c>
      <c r="T148" s="377" t="s">
        <v>1510</v>
      </c>
    </row>
    <row r="149" spans="3:20" ht="110.4" x14ac:dyDescent="0.3">
      <c r="C149" s="370"/>
      <c r="D149" s="324" t="s">
        <v>211</v>
      </c>
      <c r="E149" s="340" t="s">
        <v>613</v>
      </c>
      <c r="F149" s="364" t="s">
        <v>1109</v>
      </c>
      <c r="G149" s="41">
        <v>1</v>
      </c>
      <c r="H149" s="299">
        <v>1</v>
      </c>
      <c r="I149" s="266" t="s">
        <v>1190</v>
      </c>
      <c r="J149" s="298" t="s">
        <v>528</v>
      </c>
      <c r="K149" s="340" t="s">
        <v>211</v>
      </c>
      <c r="L149" s="342" t="s">
        <v>211</v>
      </c>
      <c r="M149" s="340" t="s">
        <v>211</v>
      </c>
      <c r="N149" s="41" t="s">
        <v>1422</v>
      </c>
      <c r="O149" s="41" t="s">
        <v>1422</v>
      </c>
      <c r="P149" s="41" t="s">
        <v>1422</v>
      </c>
      <c r="Q149" s="41" t="s">
        <v>1422</v>
      </c>
      <c r="R149" s="300" t="s">
        <v>1513</v>
      </c>
      <c r="S149" s="377" t="s">
        <v>1515</v>
      </c>
      <c r="T149" s="377" t="s">
        <v>1514</v>
      </c>
    </row>
    <row r="150" spans="3:20" x14ac:dyDescent="0.3">
      <c r="C150" s="370"/>
      <c r="D150" s="324" t="s">
        <v>1579</v>
      </c>
      <c r="E150" s="340" t="s">
        <v>48</v>
      </c>
      <c r="F150" s="364" t="s">
        <v>1109</v>
      </c>
      <c r="G150" s="41">
        <v>1</v>
      </c>
      <c r="H150" s="299">
        <v>1</v>
      </c>
      <c r="I150" s="266" t="s">
        <v>1190</v>
      </c>
      <c r="J150" s="298" t="s">
        <v>460</v>
      </c>
      <c r="K150" s="340" t="s">
        <v>1290</v>
      </c>
      <c r="L150" s="342" t="s">
        <v>213</v>
      </c>
      <c r="M150" s="340" t="s">
        <v>213</v>
      </c>
      <c r="N150" s="41" t="s">
        <v>1438</v>
      </c>
      <c r="O150" s="41" t="s">
        <v>1438</v>
      </c>
      <c r="P150" s="41" t="s">
        <v>1438</v>
      </c>
      <c r="Q150" s="41" t="s">
        <v>1438</v>
      </c>
      <c r="R150" s="300"/>
    </row>
    <row r="151" spans="3:20" ht="124.2" x14ac:dyDescent="0.3">
      <c r="C151" s="370"/>
      <c r="D151" s="324" t="s">
        <v>215</v>
      </c>
      <c r="E151" s="340" t="s">
        <v>214</v>
      </c>
      <c r="F151" s="364" t="s">
        <v>1109</v>
      </c>
      <c r="G151" s="41">
        <v>1</v>
      </c>
      <c r="H151" s="299">
        <v>1</v>
      </c>
      <c r="I151" s="266" t="s">
        <v>1190</v>
      </c>
      <c r="J151" s="298" t="s">
        <v>529</v>
      </c>
      <c r="K151" s="340" t="s">
        <v>1291</v>
      </c>
      <c r="L151" s="342" t="s">
        <v>216</v>
      </c>
      <c r="M151" s="340" t="s">
        <v>216</v>
      </c>
      <c r="N151" s="397" t="s">
        <v>1438</v>
      </c>
      <c r="O151" s="41" t="s">
        <v>1438</v>
      </c>
      <c r="P151" s="41" t="s">
        <v>1438</v>
      </c>
      <c r="Q151" s="41" t="s">
        <v>1438</v>
      </c>
      <c r="R151" s="300"/>
    </row>
    <row r="152" spans="3:20" ht="124.2" x14ac:dyDescent="0.3">
      <c r="C152" s="370"/>
      <c r="D152" s="324" t="s">
        <v>217</v>
      </c>
      <c r="E152" s="340" t="s">
        <v>214</v>
      </c>
      <c r="F152" s="364" t="s">
        <v>1109</v>
      </c>
      <c r="G152" s="41">
        <v>1</v>
      </c>
      <c r="H152" s="299">
        <v>1</v>
      </c>
      <c r="I152" s="266" t="s">
        <v>1190</v>
      </c>
      <c r="J152" s="298" t="s">
        <v>530</v>
      </c>
      <c r="K152" s="340" t="s">
        <v>1292</v>
      </c>
      <c r="L152" s="342" t="s">
        <v>218</v>
      </c>
      <c r="M152" s="340" t="s">
        <v>218</v>
      </c>
      <c r="N152" s="397" t="s">
        <v>1438</v>
      </c>
      <c r="O152" s="41" t="s">
        <v>1438</v>
      </c>
      <c r="P152" s="41" t="s">
        <v>1438</v>
      </c>
      <c r="Q152" s="41" t="s">
        <v>1438</v>
      </c>
      <c r="R152" s="300"/>
    </row>
    <row r="153" spans="3:20" ht="41.4" x14ac:dyDescent="0.3">
      <c r="C153" s="370"/>
      <c r="D153" s="324" t="s">
        <v>219</v>
      </c>
      <c r="E153" s="340" t="s">
        <v>613</v>
      </c>
      <c r="F153" s="364" t="s">
        <v>668</v>
      </c>
      <c r="G153" s="41">
        <v>1</v>
      </c>
      <c r="H153" s="299">
        <v>1</v>
      </c>
      <c r="I153" s="266" t="s">
        <v>1192</v>
      </c>
      <c r="J153" s="298" t="s">
        <v>531</v>
      </c>
      <c r="K153" s="340" t="s">
        <v>219</v>
      </c>
      <c r="L153" s="342" t="s">
        <v>219</v>
      </c>
      <c r="M153" s="340" t="s">
        <v>219</v>
      </c>
      <c r="N153" s="41" t="s">
        <v>1422</v>
      </c>
      <c r="O153" s="41" t="s">
        <v>1422</v>
      </c>
      <c r="P153" s="41" t="s">
        <v>1422</v>
      </c>
      <c r="Q153" s="41" t="s">
        <v>1422</v>
      </c>
      <c r="R153" s="300"/>
    </row>
    <row r="154" spans="3:20" ht="28.8" x14ac:dyDescent="0.3">
      <c r="C154" s="370"/>
      <c r="D154" s="324" t="s">
        <v>222</v>
      </c>
      <c r="E154" s="340" t="s">
        <v>221</v>
      </c>
      <c r="F154" s="364" t="s">
        <v>1109</v>
      </c>
      <c r="G154" s="41">
        <v>1</v>
      </c>
      <c r="H154" s="299">
        <v>7</v>
      </c>
      <c r="I154" s="266" t="s">
        <v>1192</v>
      </c>
      <c r="J154" s="298" t="s">
        <v>532</v>
      </c>
      <c r="K154" s="340" t="s">
        <v>1293</v>
      </c>
      <c r="L154" s="342" t="s">
        <v>223</v>
      </c>
      <c r="M154" s="340" t="s">
        <v>223</v>
      </c>
      <c r="N154" s="402" t="s">
        <v>1422</v>
      </c>
      <c r="O154" s="41" t="s">
        <v>1438</v>
      </c>
      <c r="P154" s="41" t="s">
        <v>1438</v>
      </c>
      <c r="Q154" s="41" t="s">
        <v>1438</v>
      </c>
      <c r="R154" s="300"/>
      <c r="T154" s="377" t="s">
        <v>1516</v>
      </c>
    </row>
    <row r="155" spans="3:20" ht="69" x14ac:dyDescent="0.3">
      <c r="C155" s="370"/>
      <c r="D155" s="324" t="s">
        <v>225</v>
      </c>
      <c r="E155" s="340" t="s">
        <v>224</v>
      </c>
      <c r="F155" s="361" t="s">
        <v>17</v>
      </c>
      <c r="G155" s="41">
        <v>1</v>
      </c>
      <c r="H155" s="299">
        <v>1</v>
      </c>
      <c r="I155" s="266" t="s">
        <v>1193</v>
      </c>
      <c r="J155" s="298" t="s">
        <v>533</v>
      </c>
      <c r="K155" s="340" t="s">
        <v>225</v>
      </c>
      <c r="L155" s="342" t="s">
        <v>225</v>
      </c>
      <c r="M155" s="340" t="s">
        <v>226</v>
      </c>
      <c r="N155" s="402" t="s">
        <v>1422</v>
      </c>
      <c r="O155" s="41" t="s">
        <v>1438</v>
      </c>
      <c r="P155" s="41" t="s">
        <v>1438</v>
      </c>
      <c r="Q155" s="41" t="s">
        <v>1438</v>
      </c>
      <c r="R155" s="300"/>
    </row>
    <row r="156" spans="3:20" ht="41.4" x14ac:dyDescent="0.3">
      <c r="C156" s="370"/>
      <c r="D156" s="324" t="s">
        <v>674</v>
      </c>
      <c r="E156" s="340" t="s">
        <v>613</v>
      </c>
      <c r="F156" s="361" t="s">
        <v>17</v>
      </c>
      <c r="G156" s="41">
        <v>1</v>
      </c>
      <c r="H156" s="299">
        <v>1</v>
      </c>
      <c r="I156" s="266" t="s">
        <v>1193</v>
      </c>
      <c r="J156" s="298" t="s">
        <v>675</v>
      </c>
      <c r="K156" s="340" t="s">
        <v>1294</v>
      </c>
      <c r="L156" s="342" t="s">
        <v>674</v>
      </c>
      <c r="M156" s="340" t="s">
        <v>674</v>
      </c>
      <c r="N156" s="41" t="s">
        <v>1422</v>
      </c>
      <c r="O156" s="41" t="s">
        <v>1422</v>
      </c>
      <c r="P156" s="41" t="s">
        <v>1422</v>
      </c>
      <c r="Q156" s="41" t="s">
        <v>1422</v>
      </c>
      <c r="R156" s="300"/>
      <c r="T156" s="377" t="s">
        <v>1498</v>
      </c>
    </row>
    <row r="157" spans="3:20" ht="28.8" x14ac:dyDescent="0.3">
      <c r="C157" s="370"/>
      <c r="D157" s="324" t="s">
        <v>228</v>
      </c>
      <c r="E157" s="340" t="s">
        <v>100</v>
      </c>
      <c r="F157" s="361" t="s">
        <v>17</v>
      </c>
      <c r="G157" s="41">
        <v>1</v>
      </c>
      <c r="H157" s="299">
        <v>1</v>
      </c>
      <c r="I157" s="266" t="s">
        <v>1193</v>
      </c>
      <c r="J157" s="298" t="s">
        <v>537</v>
      </c>
      <c r="K157" s="340" t="s">
        <v>228</v>
      </c>
      <c r="L157" s="342" t="s">
        <v>229</v>
      </c>
      <c r="M157" s="340" t="s">
        <v>229</v>
      </c>
      <c r="N157" s="402" t="s">
        <v>1422</v>
      </c>
      <c r="O157" s="41" t="s">
        <v>1438</v>
      </c>
      <c r="P157" s="41" t="s">
        <v>1438</v>
      </c>
      <c r="Q157" s="41" t="s">
        <v>1438</v>
      </c>
      <c r="R157" s="300"/>
      <c r="T157" s="377" t="s">
        <v>1498</v>
      </c>
    </row>
    <row r="158" spans="3:20" ht="151.80000000000001" x14ac:dyDescent="0.3">
      <c r="C158" s="370"/>
      <c r="D158" s="324" t="s">
        <v>230</v>
      </c>
      <c r="E158" s="340" t="s">
        <v>100</v>
      </c>
      <c r="F158" s="361" t="s">
        <v>17</v>
      </c>
      <c r="G158" s="41">
        <v>1</v>
      </c>
      <c r="H158" s="299">
        <v>1</v>
      </c>
      <c r="I158" s="266" t="s">
        <v>1193</v>
      </c>
      <c r="J158" s="298" t="s">
        <v>538</v>
      </c>
      <c r="K158" s="342" t="s">
        <v>230</v>
      </c>
      <c r="L158" s="342" t="s">
        <v>231</v>
      </c>
      <c r="M158" s="340" t="s">
        <v>231</v>
      </c>
      <c r="N158" s="402" t="s">
        <v>1422</v>
      </c>
      <c r="O158" s="41" t="s">
        <v>1438</v>
      </c>
      <c r="P158" s="41" t="s">
        <v>1438</v>
      </c>
      <c r="Q158" s="41" t="s">
        <v>1438</v>
      </c>
      <c r="R158" s="300"/>
      <c r="T158" s="377" t="s">
        <v>1498</v>
      </c>
    </row>
    <row r="159" spans="3:20" ht="207" x14ac:dyDescent="0.3">
      <c r="C159" s="370"/>
      <c r="D159" s="324" t="s">
        <v>232</v>
      </c>
      <c r="E159" s="340" t="s">
        <v>100</v>
      </c>
      <c r="F159" s="361" t="s">
        <v>17</v>
      </c>
      <c r="G159" s="41">
        <v>1</v>
      </c>
      <c r="H159" s="299">
        <v>1</v>
      </c>
      <c r="I159" s="266" t="s">
        <v>1193</v>
      </c>
      <c r="J159" s="298" t="s">
        <v>539</v>
      </c>
      <c r="K159" s="342" t="s">
        <v>232</v>
      </c>
      <c r="L159" s="342" t="s">
        <v>233</v>
      </c>
      <c r="M159" s="340" t="s">
        <v>233</v>
      </c>
      <c r="N159" s="402" t="s">
        <v>1422</v>
      </c>
      <c r="O159" s="41" t="s">
        <v>1438</v>
      </c>
      <c r="P159" s="41" t="s">
        <v>1438</v>
      </c>
      <c r="Q159" s="41" t="s">
        <v>1438</v>
      </c>
      <c r="R159" s="300"/>
      <c r="T159" s="377" t="s">
        <v>1498</v>
      </c>
    </row>
    <row r="160" spans="3:20" ht="151.80000000000001" x14ac:dyDescent="0.3">
      <c r="C160" s="370"/>
      <c r="D160" s="324" t="s">
        <v>235</v>
      </c>
      <c r="E160" s="340" t="s">
        <v>234</v>
      </c>
      <c r="F160" s="361" t="s">
        <v>17</v>
      </c>
      <c r="G160" s="41">
        <v>1</v>
      </c>
      <c r="H160" s="299">
        <v>1</v>
      </c>
      <c r="I160" s="266" t="s">
        <v>1193</v>
      </c>
      <c r="J160" s="298" t="s">
        <v>540</v>
      </c>
      <c r="K160" s="353" t="s">
        <v>235</v>
      </c>
      <c r="L160" s="342" t="s">
        <v>235</v>
      </c>
      <c r="M160" s="340" t="s">
        <v>235</v>
      </c>
      <c r="N160" s="41" t="s">
        <v>1422</v>
      </c>
      <c r="O160" s="41" t="s">
        <v>1438</v>
      </c>
      <c r="P160" s="41" t="s">
        <v>1438</v>
      </c>
      <c r="Q160" s="41" t="s">
        <v>1438</v>
      </c>
      <c r="R160" s="300"/>
      <c r="S160" s="377" t="s">
        <v>1483</v>
      </c>
      <c r="T160" s="377" t="s">
        <v>1483</v>
      </c>
    </row>
    <row r="161" spans="3:19" ht="27.6" x14ac:dyDescent="0.3">
      <c r="C161" s="370"/>
      <c r="D161" s="509" t="s">
        <v>1107</v>
      </c>
      <c r="E161" s="340" t="s">
        <v>48</v>
      </c>
      <c r="F161" s="361" t="s">
        <v>17</v>
      </c>
      <c r="G161" s="41">
        <v>1</v>
      </c>
      <c r="H161" s="299">
        <v>1</v>
      </c>
      <c r="I161" s="266" t="s">
        <v>1193</v>
      </c>
      <c r="J161" s="298" t="s">
        <v>890</v>
      </c>
      <c r="K161" s="340" t="s">
        <v>1295</v>
      </c>
      <c r="L161" s="342" t="s">
        <v>888</v>
      </c>
      <c r="M161" s="340" t="s">
        <v>888</v>
      </c>
      <c r="N161" s="41" t="s">
        <v>1438</v>
      </c>
      <c r="O161" s="41" t="s">
        <v>1438</v>
      </c>
      <c r="P161" s="41" t="s">
        <v>1438</v>
      </c>
      <c r="Q161" s="41" t="s">
        <v>1438</v>
      </c>
      <c r="R161" s="300"/>
    </row>
    <row r="162" spans="3:19" x14ac:dyDescent="0.3">
      <c r="C162" s="370"/>
      <c r="D162" s="324" t="s">
        <v>1579</v>
      </c>
      <c r="E162" s="340" t="s">
        <v>48</v>
      </c>
      <c r="F162" s="361" t="s">
        <v>17</v>
      </c>
      <c r="G162" s="41">
        <v>1</v>
      </c>
      <c r="H162" s="299">
        <v>1</v>
      </c>
      <c r="I162" s="266" t="s">
        <v>1193</v>
      </c>
      <c r="J162" s="298" t="s">
        <v>460</v>
      </c>
      <c r="K162" s="340" t="s">
        <v>1296</v>
      </c>
      <c r="L162" s="342" t="s">
        <v>889</v>
      </c>
      <c r="M162" s="340" t="s">
        <v>889</v>
      </c>
      <c r="N162" s="41" t="s">
        <v>1438</v>
      </c>
      <c r="O162" s="41" t="s">
        <v>1438</v>
      </c>
      <c r="P162" s="41" t="s">
        <v>1438</v>
      </c>
      <c r="Q162" s="41" t="s">
        <v>1438</v>
      </c>
      <c r="R162" s="300"/>
    </row>
    <row r="163" spans="3:19" ht="110.4" x14ac:dyDescent="0.3">
      <c r="C163" s="370"/>
      <c r="D163" s="509" t="s">
        <v>238</v>
      </c>
      <c r="E163" s="504" t="s">
        <v>613</v>
      </c>
      <c r="F163" s="361"/>
      <c r="G163" s="41">
        <v>1</v>
      </c>
      <c r="H163" s="299">
        <v>1</v>
      </c>
      <c r="I163" s="266" t="s">
        <v>1194</v>
      </c>
      <c r="J163" s="298" t="s">
        <v>541</v>
      </c>
      <c r="K163" s="340" t="s">
        <v>238</v>
      </c>
      <c r="L163" s="342" t="s">
        <v>238</v>
      </c>
      <c r="M163" s="340" t="s">
        <v>238</v>
      </c>
      <c r="N163" s="41" t="s">
        <v>1422</v>
      </c>
      <c r="O163" s="41" t="s">
        <v>1422</v>
      </c>
      <c r="P163" s="41" t="s">
        <v>1422</v>
      </c>
      <c r="Q163" s="41" t="s">
        <v>1422</v>
      </c>
      <c r="R163" s="300"/>
    </row>
    <row r="164" spans="3:19" ht="41.4" x14ac:dyDescent="0.3">
      <c r="C164" s="370"/>
      <c r="D164" s="327" t="s">
        <v>1581</v>
      </c>
      <c r="E164" s="340" t="s">
        <v>613</v>
      </c>
      <c r="F164" s="361"/>
      <c r="G164" s="41">
        <v>1</v>
      </c>
      <c r="H164" s="299">
        <v>1</v>
      </c>
      <c r="I164" s="266" t="s">
        <v>1194</v>
      </c>
      <c r="J164" s="298" t="s">
        <v>542</v>
      </c>
      <c r="K164" s="340" t="s">
        <v>1106</v>
      </c>
      <c r="L164" s="349" t="s">
        <v>1106</v>
      </c>
      <c r="M164" s="343" t="s">
        <v>1106</v>
      </c>
      <c r="N164" s="41" t="s">
        <v>1422</v>
      </c>
      <c r="O164" s="41" t="s">
        <v>1422</v>
      </c>
      <c r="P164" s="41" t="s">
        <v>1422</v>
      </c>
      <c r="Q164" s="41" t="s">
        <v>1422</v>
      </c>
      <c r="R164" s="301"/>
    </row>
    <row r="165" spans="3:19" ht="72" x14ac:dyDescent="0.3">
      <c r="C165" s="370"/>
      <c r="D165" s="324" t="s">
        <v>242</v>
      </c>
      <c r="E165" s="340" t="s">
        <v>241</v>
      </c>
      <c r="F165" s="361"/>
      <c r="G165" s="41">
        <v>1</v>
      </c>
      <c r="H165" s="299">
        <v>5</v>
      </c>
      <c r="I165" s="266" t="s">
        <v>1194</v>
      </c>
      <c r="J165" s="298" t="s">
        <v>543</v>
      </c>
      <c r="K165" s="340" t="s">
        <v>242</v>
      </c>
      <c r="L165" s="342" t="s">
        <v>243</v>
      </c>
      <c r="M165" s="340" t="s">
        <v>243</v>
      </c>
      <c r="N165" s="41" t="s">
        <v>1422</v>
      </c>
      <c r="O165" s="41" t="s">
        <v>1438</v>
      </c>
      <c r="P165" s="41" t="s">
        <v>1422</v>
      </c>
      <c r="Q165" s="41" t="s">
        <v>1438</v>
      </c>
      <c r="R165" s="300" t="s">
        <v>1517</v>
      </c>
      <c r="S165" s="377" t="s">
        <v>1469</v>
      </c>
    </row>
    <row r="166" spans="3:19" ht="41.4" x14ac:dyDescent="0.3">
      <c r="C166" s="370"/>
      <c r="D166" s="509" t="s">
        <v>244</v>
      </c>
      <c r="E166" s="504" t="s">
        <v>613</v>
      </c>
      <c r="F166" s="361"/>
      <c r="G166" s="41">
        <v>1</v>
      </c>
      <c r="H166" s="299">
        <v>1</v>
      </c>
      <c r="I166" s="266" t="s">
        <v>1194</v>
      </c>
      <c r="J166" s="298" t="s">
        <v>545</v>
      </c>
      <c r="K166" s="340" t="s">
        <v>1297</v>
      </c>
      <c r="L166" s="342" t="s">
        <v>244</v>
      </c>
      <c r="M166" s="340" t="s">
        <v>244</v>
      </c>
      <c r="N166" s="41" t="s">
        <v>1422</v>
      </c>
      <c r="O166" s="41" t="s">
        <v>1422</v>
      </c>
      <c r="P166" s="41" t="s">
        <v>1422</v>
      </c>
      <c r="Q166" s="41" t="s">
        <v>1422</v>
      </c>
      <c r="R166" s="300"/>
    </row>
    <row r="167" spans="3:19" ht="28.8" x14ac:dyDescent="0.3">
      <c r="C167" s="370" t="s">
        <v>34</v>
      </c>
      <c r="D167" s="324" t="s">
        <v>254</v>
      </c>
      <c r="E167" s="340" t="s">
        <v>253</v>
      </c>
      <c r="F167" s="361" t="s">
        <v>17</v>
      </c>
      <c r="G167" s="41">
        <v>1</v>
      </c>
      <c r="H167" s="299">
        <v>24</v>
      </c>
      <c r="I167" s="266" t="s">
        <v>1195</v>
      </c>
      <c r="J167" s="298" t="s">
        <v>458</v>
      </c>
      <c r="K167" s="340" t="s">
        <v>254</v>
      </c>
      <c r="L167" s="342" t="s">
        <v>254</v>
      </c>
      <c r="M167" s="340" t="s">
        <v>254</v>
      </c>
      <c r="N167" s="41" t="s">
        <v>1422</v>
      </c>
      <c r="O167" s="41" t="s">
        <v>1422</v>
      </c>
      <c r="P167" s="41" t="s">
        <v>1422</v>
      </c>
      <c r="Q167" s="41" t="s">
        <v>1422</v>
      </c>
      <c r="R167" s="300"/>
    </row>
    <row r="168" spans="3:19" ht="69" x14ac:dyDescent="0.3">
      <c r="C168" s="370"/>
      <c r="D168" s="324" t="s">
        <v>255</v>
      </c>
      <c r="E168" s="340" t="s">
        <v>253</v>
      </c>
      <c r="F168" s="361" t="s">
        <v>17</v>
      </c>
      <c r="G168" s="41">
        <v>1</v>
      </c>
      <c r="H168" s="299">
        <v>5</v>
      </c>
      <c r="I168" s="266" t="s">
        <v>1196</v>
      </c>
      <c r="J168" s="298" t="s">
        <v>459</v>
      </c>
      <c r="K168" s="340" t="s">
        <v>255</v>
      </c>
      <c r="L168" s="342" t="s">
        <v>255</v>
      </c>
      <c r="M168" s="340" t="s">
        <v>255</v>
      </c>
      <c r="N168" s="41" t="s">
        <v>1422</v>
      </c>
      <c r="O168" s="41" t="s">
        <v>1422</v>
      </c>
      <c r="P168" s="41" t="s">
        <v>1422</v>
      </c>
      <c r="Q168" s="41" t="s">
        <v>1422</v>
      </c>
      <c r="R168" s="300"/>
    </row>
    <row r="169" spans="3:19" x14ac:dyDescent="0.3">
      <c r="C169" s="370"/>
      <c r="D169" s="324" t="s">
        <v>256</v>
      </c>
      <c r="E169" s="340" t="s">
        <v>253</v>
      </c>
      <c r="F169" s="361" t="s">
        <v>17</v>
      </c>
      <c r="G169" s="41">
        <v>1</v>
      </c>
      <c r="H169" s="299">
        <v>2</v>
      </c>
      <c r="I169" s="266" t="s">
        <v>1196</v>
      </c>
      <c r="J169" s="298" t="s">
        <v>462</v>
      </c>
      <c r="K169" s="340" t="s">
        <v>1298</v>
      </c>
      <c r="L169" s="342" t="s">
        <v>256</v>
      </c>
      <c r="M169" s="340" t="s">
        <v>256</v>
      </c>
      <c r="N169" s="41" t="s">
        <v>1422</v>
      </c>
      <c r="O169" s="41" t="s">
        <v>1422</v>
      </c>
      <c r="P169" s="41" t="s">
        <v>1422</v>
      </c>
      <c r="Q169" s="41" t="s">
        <v>1422</v>
      </c>
      <c r="R169" s="300"/>
    </row>
    <row r="170" spans="3:19" ht="28.8" x14ac:dyDescent="0.3">
      <c r="C170" s="370"/>
      <c r="D170" s="324" t="s">
        <v>257</v>
      </c>
      <c r="E170" s="340" t="s">
        <v>253</v>
      </c>
      <c r="F170" s="361" t="s">
        <v>17</v>
      </c>
      <c r="G170" s="41">
        <v>1</v>
      </c>
      <c r="H170" s="299">
        <v>1</v>
      </c>
      <c r="I170" s="266" t="s">
        <v>1196</v>
      </c>
      <c r="J170" s="298" t="s">
        <v>461</v>
      </c>
      <c r="K170" s="340" t="s">
        <v>257</v>
      </c>
      <c r="L170" s="342" t="s">
        <v>257</v>
      </c>
      <c r="M170" s="340" t="s">
        <v>257</v>
      </c>
      <c r="N170" s="41" t="s">
        <v>1422</v>
      </c>
      <c r="O170" s="41" t="s">
        <v>1422</v>
      </c>
      <c r="P170" s="41" t="s">
        <v>1422</v>
      </c>
      <c r="Q170" s="41" t="s">
        <v>1422</v>
      </c>
      <c r="R170" s="300"/>
    </row>
    <row r="171" spans="3:19" ht="82.8" x14ac:dyDescent="0.3">
      <c r="C171" s="370" t="s">
        <v>36</v>
      </c>
      <c r="D171" s="324" t="s">
        <v>258</v>
      </c>
      <c r="E171" s="340" t="s">
        <v>214</v>
      </c>
      <c r="F171" s="361"/>
      <c r="G171" s="41">
        <v>1</v>
      </c>
      <c r="H171" s="299">
        <v>8</v>
      </c>
      <c r="I171" s="302" t="s">
        <v>1299</v>
      </c>
      <c r="J171" s="298" t="s">
        <v>463</v>
      </c>
      <c r="K171" s="354" t="s">
        <v>258</v>
      </c>
      <c r="L171" s="350" t="s">
        <v>1366</v>
      </c>
      <c r="M171" s="340" t="s">
        <v>1243</v>
      </c>
      <c r="N171" s="41" t="s">
        <v>1493</v>
      </c>
      <c r="O171" s="41" t="s">
        <v>1493</v>
      </c>
      <c r="P171" s="41" t="s">
        <v>1493</v>
      </c>
      <c r="Q171" s="41" t="s">
        <v>1493</v>
      </c>
      <c r="R171" s="300"/>
    </row>
    <row r="172" spans="3:19" x14ac:dyDescent="0.3">
      <c r="C172" s="370"/>
      <c r="D172" s="324" t="s">
        <v>259</v>
      </c>
      <c r="E172" s="340" t="s">
        <v>214</v>
      </c>
      <c r="F172" s="361"/>
      <c r="G172" s="41">
        <v>1</v>
      </c>
      <c r="H172" s="299">
        <v>8</v>
      </c>
      <c r="I172" s="302" t="s">
        <v>1300</v>
      </c>
      <c r="J172" s="298" t="s">
        <v>464</v>
      </c>
      <c r="K172" s="354" t="s">
        <v>259</v>
      </c>
      <c r="L172" s="350" t="s">
        <v>1366</v>
      </c>
      <c r="M172" s="340" t="s">
        <v>1243</v>
      </c>
      <c r="N172" s="41" t="s">
        <v>1493</v>
      </c>
      <c r="O172" s="41" t="s">
        <v>1493</v>
      </c>
      <c r="P172" s="41" t="s">
        <v>1493</v>
      </c>
      <c r="Q172" s="41" t="s">
        <v>1493</v>
      </c>
      <c r="R172" s="300"/>
    </row>
    <row r="173" spans="3:19" x14ac:dyDescent="0.3">
      <c r="C173" s="370"/>
      <c r="D173" s="324" t="s">
        <v>260</v>
      </c>
      <c r="E173" s="340" t="s">
        <v>214</v>
      </c>
      <c r="F173" s="361"/>
      <c r="G173" s="41">
        <v>1</v>
      </c>
      <c r="H173" s="299">
        <v>8</v>
      </c>
      <c r="I173" s="302" t="s">
        <v>1302</v>
      </c>
      <c r="J173" s="388" t="s">
        <v>465</v>
      </c>
      <c r="K173" s="354" t="s">
        <v>1301</v>
      </c>
      <c r="L173" s="350" t="s">
        <v>1366</v>
      </c>
      <c r="M173" s="340" t="s">
        <v>1243</v>
      </c>
      <c r="N173" s="41" t="s">
        <v>1493</v>
      </c>
      <c r="O173" s="41" t="s">
        <v>1493</v>
      </c>
      <c r="P173" s="41" t="s">
        <v>1493</v>
      </c>
      <c r="Q173" s="41" t="s">
        <v>1493</v>
      </c>
      <c r="R173" s="300"/>
    </row>
    <row r="174" spans="3:19" x14ac:dyDescent="0.3">
      <c r="C174" s="370"/>
      <c r="D174" s="324" t="s">
        <v>261</v>
      </c>
      <c r="E174" s="340" t="s">
        <v>214</v>
      </c>
      <c r="F174" s="361"/>
      <c r="G174" s="41">
        <v>1</v>
      </c>
      <c r="H174" s="299">
        <v>8</v>
      </c>
      <c r="I174" s="302" t="s">
        <v>1304</v>
      </c>
      <c r="J174" s="298" t="s">
        <v>466</v>
      </c>
      <c r="K174" s="354" t="s">
        <v>1303</v>
      </c>
      <c r="L174" s="350" t="s">
        <v>1366</v>
      </c>
      <c r="M174" s="340" t="s">
        <v>1243</v>
      </c>
      <c r="N174" s="41" t="s">
        <v>1493</v>
      </c>
      <c r="O174" s="41" t="s">
        <v>1493</v>
      </c>
      <c r="P174" s="41" t="s">
        <v>1493</v>
      </c>
      <c r="Q174" s="41" t="s">
        <v>1493</v>
      </c>
      <c r="R174" s="300"/>
    </row>
    <row r="175" spans="3:19" ht="27.6" x14ac:dyDescent="0.3">
      <c r="C175" s="370" t="s">
        <v>246</v>
      </c>
      <c r="D175" s="324" t="s">
        <v>247</v>
      </c>
      <c r="E175" s="340" t="s">
        <v>390</v>
      </c>
      <c r="F175" s="361"/>
      <c r="G175" s="41">
        <v>1</v>
      </c>
      <c r="H175" s="299">
        <v>16</v>
      </c>
      <c r="I175" s="266" t="s">
        <v>1305</v>
      </c>
      <c r="J175" s="298" t="s">
        <v>467</v>
      </c>
      <c r="K175" s="340" t="s">
        <v>247</v>
      </c>
      <c r="L175" s="350" t="s">
        <v>1366</v>
      </c>
      <c r="M175" s="340" t="s">
        <v>1243</v>
      </c>
      <c r="N175" s="41" t="s">
        <v>1493</v>
      </c>
      <c r="O175" s="41" t="s">
        <v>1493</v>
      </c>
      <c r="P175" s="41" t="s">
        <v>1493</v>
      </c>
      <c r="Q175" s="41" t="s">
        <v>1493</v>
      </c>
      <c r="R175" s="300"/>
    </row>
    <row r="176" spans="3:19" ht="27.6" x14ac:dyDescent="0.3">
      <c r="C176" s="370"/>
      <c r="D176" s="324" t="s">
        <v>248</v>
      </c>
      <c r="E176" s="340" t="s">
        <v>390</v>
      </c>
      <c r="F176" s="361"/>
      <c r="G176" s="41">
        <v>1</v>
      </c>
      <c r="H176" s="299">
        <v>8</v>
      </c>
      <c r="I176" s="266" t="s">
        <v>1306</v>
      </c>
      <c r="J176" s="298" t="s">
        <v>467</v>
      </c>
      <c r="K176" s="340" t="s">
        <v>248</v>
      </c>
      <c r="L176" s="350" t="s">
        <v>1366</v>
      </c>
      <c r="M176" s="340" t="s">
        <v>1243</v>
      </c>
      <c r="N176" s="41" t="s">
        <v>1493</v>
      </c>
      <c r="O176" s="41" t="s">
        <v>1493</v>
      </c>
      <c r="P176" s="41" t="s">
        <v>1493</v>
      </c>
      <c r="Q176" s="41" t="s">
        <v>1493</v>
      </c>
      <c r="R176" s="300"/>
    </row>
    <row r="177" spans="3:18" ht="27.6" x14ac:dyDescent="0.3">
      <c r="C177" s="370"/>
      <c r="D177" s="324" t="s">
        <v>249</v>
      </c>
      <c r="E177" s="340" t="s">
        <v>205</v>
      </c>
      <c r="F177" s="361"/>
      <c r="G177" s="41">
        <v>1</v>
      </c>
      <c r="H177" s="299">
        <v>8</v>
      </c>
      <c r="I177" s="266" t="s">
        <v>1307</v>
      </c>
      <c r="J177" s="298" t="s">
        <v>468</v>
      </c>
      <c r="K177" s="340" t="s">
        <v>249</v>
      </c>
      <c r="L177" s="350" t="s">
        <v>1366</v>
      </c>
      <c r="M177" s="340" t="s">
        <v>1243</v>
      </c>
      <c r="N177" s="41" t="s">
        <v>1493</v>
      </c>
      <c r="O177" s="41" t="s">
        <v>1493</v>
      </c>
      <c r="P177" s="41" t="s">
        <v>1493</v>
      </c>
      <c r="Q177" s="41" t="s">
        <v>1493</v>
      </c>
      <c r="R177" s="300"/>
    </row>
    <row r="178" spans="3:18" ht="27.6" x14ac:dyDescent="0.3">
      <c r="C178" s="369" t="s">
        <v>250</v>
      </c>
      <c r="D178" s="324" t="s">
        <v>250</v>
      </c>
      <c r="E178" s="340" t="s">
        <v>390</v>
      </c>
      <c r="F178" s="361"/>
      <c r="G178" s="41">
        <v>1</v>
      </c>
      <c r="H178" s="299">
        <v>32</v>
      </c>
      <c r="I178" s="266" t="s">
        <v>1308</v>
      </c>
      <c r="J178" s="298" t="s">
        <v>469</v>
      </c>
      <c r="K178" s="340" t="s">
        <v>250</v>
      </c>
      <c r="L178" s="350" t="s">
        <v>1366</v>
      </c>
      <c r="M178" s="340" t="s">
        <v>1243</v>
      </c>
      <c r="N178" s="41" t="s">
        <v>1493</v>
      </c>
      <c r="O178" s="41" t="s">
        <v>1493</v>
      </c>
      <c r="P178" s="41" t="s">
        <v>1493</v>
      </c>
      <c r="Q178" s="41" t="s">
        <v>1493</v>
      </c>
      <c r="R178" s="300"/>
    </row>
    <row r="179" spans="3:18" ht="27.6" x14ac:dyDescent="0.3">
      <c r="C179" s="369" t="s">
        <v>251</v>
      </c>
      <c r="D179" s="324" t="s">
        <v>251</v>
      </c>
      <c r="E179" s="340" t="s">
        <v>390</v>
      </c>
      <c r="F179" s="361"/>
      <c r="G179" s="41">
        <v>1</v>
      </c>
      <c r="H179" s="299">
        <v>32</v>
      </c>
      <c r="I179" s="266" t="s">
        <v>1309</v>
      </c>
      <c r="J179" s="298" t="s">
        <v>470</v>
      </c>
      <c r="K179" s="340" t="s">
        <v>251</v>
      </c>
      <c r="L179" s="350" t="s">
        <v>1366</v>
      </c>
      <c r="M179" s="340" t="s">
        <v>1243</v>
      </c>
      <c r="N179" s="41" t="s">
        <v>1493</v>
      </c>
      <c r="O179" s="41" t="s">
        <v>1493</v>
      </c>
      <c r="P179" s="41" t="s">
        <v>1493</v>
      </c>
      <c r="Q179" s="41" t="s">
        <v>1493</v>
      </c>
      <c r="R179" s="300"/>
    </row>
    <row r="180" spans="3:18" ht="27.6" x14ac:dyDescent="0.3">
      <c r="C180" s="369" t="s">
        <v>252</v>
      </c>
      <c r="D180" s="324" t="s">
        <v>252</v>
      </c>
      <c r="E180" s="340" t="s">
        <v>390</v>
      </c>
      <c r="F180" s="361"/>
      <c r="G180" s="41">
        <v>1</v>
      </c>
      <c r="H180" s="299">
        <v>32</v>
      </c>
      <c r="I180" s="266" t="s">
        <v>1310</v>
      </c>
      <c r="J180" s="298" t="s">
        <v>471</v>
      </c>
      <c r="K180" s="340" t="s">
        <v>252</v>
      </c>
      <c r="L180" s="350" t="s">
        <v>1366</v>
      </c>
      <c r="M180" s="340" t="s">
        <v>1243</v>
      </c>
      <c r="N180" s="41" t="s">
        <v>1493</v>
      </c>
      <c r="O180" s="41" t="s">
        <v>1493</v>
      </c>
      <c r="P180" s="41" t="s">
        <v>1493</v>
      </c>
      <c r="Q180" s="41" t="s">
        <v>1493</v>
      </c>
      <c r="R180" s="300"/>
    </row>
    <row r="181" spans="3:18" ht="41.4" x14ac:dyDescent="0.3">
      <c r="C181" s="370" t="s">
        <v>38</v>
      </c>
      <c r="D181" s="324" t="s">
        <v>262</v>
      </c>
      <c r="E181" s="340" t="s">
        <v>613</v>
      </c>
      <c r="F181" s="364"/>
      <c r="G181" s="41">
        <v>1</v>
      </c>
      <c r="H181" s="299">
        <v>16</v>
      </c>
      <c r="I181" s="266" t="s">
        <v>1197</v>
      </c>
      <c r="J181" s="298" t="s">
        <v>472</v>
      </c>
      <c r="K181" s="340" t="s">
        <v>1311</v>
      </c>
      <c r="L181" s="342" t="s">
        <v>262</v>
      </c>
      <c r="M181" s="340" t="s">
        <v>262</v>
      </c>
      <c r="N181" s="41" t="s">
        <v>1422</v>
      </c>
      <c r="O181" s="41" t="s">
        <v>1422</v>
      </c>
      <c r="P181" s="41" t="s">
        <v>1422</v>
      </c>
      <c r="Q181" s="41" t="s">
        <v>1422</v>
      </c>
      <c r="R181" s="300"/>
    </row>
    <row r="182" spans="3:18" ht="41.4" x14ac:dyDescent="0.3">
      <c r="C182" s="370"/>
      <c r="D182" s="324" t="s">
        <v>263</v>
      </c>
      <c r="E182" s="340" t="s">
        <v>613</v>
      </c>
      <c r="F182" s="364"/>
      <c r="G182" s="41">
        <v>1</v>
      </c>
      <c r="H182" s="299">
        <v>8</v>
      </c>
      <c r="I182" s="266" t="s">
        <v>1198</v>
      </c>
      <c r="J182" s="298" t="s">
        <v>473</v>
      </c>
      <c r="K182" s="340" t="s">
        <v>1312</v>
      </c>
      <c r="L182" s="342" t="s">
        <v>263</v>
      </c>
      <c r="M182" s="340" t="s">
        <v>263</v>
      </c>
      <c r="N182" s="41" t="s">
        <v>1422</v>
      </c>
      <c r="O182" s="41" t="s">
        <v>1422</v>
      </c>
      <c r="P182" s="41" t="s">
        <v>1422</v>
      </c>
      <c r="Q182" s="41" t="s">
        <v>1422</v>
      </c>
      <c r="R182" s="300"/>
    </row>
    <row r="183" spans="3:18" ht="110.4" x14ac:dyDescent="0.3">
      <c r="C183" s="370"/>
      <c r="D183" s="324" t="s">
        <v>264</v>
      </c>
      <c r="E183" s="340" t="s">
        <v>613</v>
      </c>
      <c r="F183" s="364"/>
      <c r="G183" s="41">
        <v>1</v>
      </c>
      <c r="H183" s="299">
        <v>4</v>
      </c>
      <c r="I183" s="266" t="s">
        <v>1199</v>
      </c>
      <c r="J183" s="298" t="s">
        <v>474</v>
      </c>
      <c r="K183" s="340" t="s">
        <v>1313</v>
      </c>
      <c r="L183" s="342" t="s">
        <v>264</v>
      </c>
      <c r="M183" s="340" t="s">
        <v>264</v>
      </c>
      <c r="N183" s="41" t="s">
        <v>1422</v>
      </c>
      <c r="O183" s="41" t="s">
        <v>1422</v>
      </c>
      <c r="P183" s="41" t="s">
        <v>1422</v>
      </c>
      <c r="Q183" s="41" t="s">
        <v>1422</v>
      </c>
      <c r="R183" s="300"/>
    </row>
    <row r="184" spans="3:18" ht="41.4" x14ac:dyDescent="0.3">
      <c r="C184" s="370"/>
      <c r="D184" s="324" t="s">
        <v>265</v>
      </c>
      <c r="E184" s="340" t="s">
        <v>613</v>
      </c>
      <c r="F184" s="364"/>
      <c r="G184" s="41">
        <v>1</v>
      </c>
      <c r="H184" s="299">
        <v>4</v>
      </c>
      <c r="I184" s="266" t="s">
        <v>1199</v>
      </c>
      <c r="J184" s="298" t="s">
        <v>473</v>
      </c>
      <c r="K184" s="340" t="s">
        <v>1314</v>
      </c>
      <c r="L184" s="342" t="s">
        <v>265</v>
      </c>
      <c r="M184" s="340" t="s">
        <v>265</v>
      </c>
      <c r="N184" s="41" t="s">
        <v>1422</v>
      </c>
      <c r="O184" s="41" t="s">
        <v>1422</v>
      </c>
      <c r="P184" s="41" t="s">
        <v>1422</v>
      </c>
      <c r="Q184" s="41" t="s">
        <v>1422</v>
      </c>
      <c r="R184" s="300"/>
    </row>
    <row r="185" spans="3:18" ht="82.8" x14ac:dyDescent="0.3">
      <c r="C185" s="371" t="s">
        <v>52</v>
      </c>
      <c r="D185" s="328" t="s">
        <v>547</v>
      </c>
      <c r="E185" s="359" t="s">
        <v>253</v>
      </c>
      <c r="F185" s="366" t="s">
        <v>17</v>
      </c>
      <c r="G185" s="303">
        <v>1</v>
      </c>
      <c r="H185" s="304">
        <v>1</v>
      </c>
      <c r="I185" s="269" t="s">
        <v>1243</v>
      </c>
      <c r="J185" s="389" t="s">
        <v>534</v>
      </c>
      <c r="K185" s="355" t="s">
        <v>1243</v>
      </c>
      <c r="L185" s="344" t="s">
        <v>1365</v>
      </c>
      <c r="M185" s="344"/>
      <c r="N185" s="303" t="s">
        <v>1365</v>
      </c>
      <c r="O185" s="408" t="s">
        <v>1365</v>
      </c>
      <c r="P185" s="408" t="s">
        <v>1365</v>
      </c>
      <c r="Q185" s="408" t="s">
        <v>1365</v>
      </c>
      <c r="R185" s="305"/>
    </row>
    <row r="186" spans="3:18" ht="27.6" x14ac:dyDescent="0.3">
      <c r="C186" s="371"/>
      <c r="D186" s="328" t="s">
        <v>548</v>
      </c>
      <c r="E186" s="359" t="s">
        <v>253</v>
      </c>
      <c r="F186" s="366" t="s">
        <v>17</v>
      </c>
      <c r="G186" s="303">
        <v>1</v>
      </c>
      <c r="H186" s="304">
        <v>1</v>
      </c>
      <c r="I186" s="269" t="s">
        <v>1243</v>
      </c>
      <c r="J186" s="389" t="s">
        <v>535</v>
      </c>
      <c r="K186" s="355" t="s">
        <v>1243</v>
      </c>
      <c r="L186" s="344" t="s">
        <v>1365</v>
      </c>
      <c r="M186" s="344"/>
      <c r="N186" s="303" t="s">
        <v>1365</v>
      </c>
      <c r="O186" s="408" t="s">
        <v>1365</v>
      </c>
      <c r="P186" s="408" t="s">
        <v>1365</v>
      </c>
      <c r="Q186" s="408" t="s">
        <v>1365</v>
      </c>
      <c r="R186" s="305"/>
    </row>
    <row r="187" spans="3:18" ht="27.6" x14ac:dyDescent="0.3">
      <c r="C187" s="371"/>
      <c r="D187" s="328" t="s">
        <v>665</v>
      </c>
      <c r="E187" s="359" t="s">
        <v>253</v>
      </c>
      <c r="F187" s="366" t="s">
        <v>17</v>
      </c>
      <c r="G187" s="303">
        <v>1</v>
      </c>
      <c r="H187" s="304">
        <v>30</v>
      </c>
      <c r="I187" s="269" t="s">
        <v>1243</v>
      </c>
      <c r="J187" s="389" t="s">
        <v>535</v>
      </c>
      <c r="K187" s="355" t="s">
        <v>1243</v>
      </c>
      <c r="L187" s="344" t="s">
        <v>1365</v>
      </c>
      <c r="M187" s="344"/>
      <c r="N187" s="303" t="s">
        <v>1365</v>
      </c>
      <c r="O187" s="408" t="s">
        <v>1365</v>
      </c>
      <c r="P187" s="408" t="s">
        <v>1365</v>
      </c>
      <c r="Q187" s="408" t="s">
        <v>1365</v>
      </c>
      <c r="R187" s="305"/>
    </row>
    <row r="188" spans="3:18" ht="27.6" x14ac:dyDescent="0.3">
      <c r="C188" s="371" t="s">
        <v>353</v>
      </c>
      <c r="D188" s="328" t="s">
        <v>549</v>
      </c>
      <c r="E188" s="359" t="s">
        <v>253</v>
      </c>
      <c r="F188" s="366" t="s">
        <v>17</v>
      </c>
      <c r="G188" s="303">
        <v>1</v>
      </c>
      <c r="H188" s="304">
        <v>1</v>
      </c>
      <c r="I188" s="269" t="s">
        <v>1243</v>
      </c>
      <c r="J188" s="389" t="s">
        <v>546</v>
      </c>
      <c r="K188" s="355" t="s">
        <v>1243</v>
      </c>
      <c r="L188" s="344" t="s">
        <v>1365</v>
      </c>
      <c r="M188" s="344"/>
      <c r="N188" s="303" t="s">
        <v>1365</v>
      </c>
      <c r="O188" s="408" t="s">
        <v>1365</v>
      </c>
      <c r="P188" s="408" t="s">
        <v>1365</v>
      </c>
      <c r="Q188" s="408" t="s">
        <v>1365</v>
      </c>
      <c r="R188" s="305"/>
    </row>
    <row r="189" spans="3:18" ht="27.6" x14ac:dyDescent="0.3">
      <c r="C189" s="371"/>
      <c r="D189" s="328" t="s">
        <v>664</v>
      </c>
      <c r="E189" s="359" t="s">
        <v>253</v>
      </c>
      <c r="F189" s="366" t="s">
        <v>17</v>
      </c>
      <c r="G189" s="303">
        <v>1</v>
      </c>
      <c r="H189" s="304">
        <v>31</v>
      </c>
      <c r="I189" s="269" t="s">
        <v>1243</v>
      </c>
      <c r="J189" s="389" t="s">
        <v>546</v>
      </c>
      <c r="K189" s="355" t="s">
        <v>1243</v>
      </c>
      <c r="L189" s="344" t="s">
        <v>1365</v>
      </c>
      <c r="M189" s="344"/>
      <c r="N189" s="303" t="s">
        <v>1365</v>
      </c>
      <c r="O189" s="408" t="s">
        <v>1365</v>
      </c>
      <c r="P189" s="408" t="s">
        <v>1365</v>
      </c>
      <c r="Q189" s="408" t="s">
        <v>1365</v>
      </c>
      <c r="R189" s="305"/>
    </row>
    <row r="190" spans="3:18" ht="82.8" x14ac:dyDescent="0.3">
      <c r="C190" s="371" t="s">
        <v>354</v>
      </c>
      <c r="D190" s="328" t="s">
        <v>547</v>
      </c>
      <c r="E190" s="359" t="s">
        <v>355</v>
      </c>
      <c r="F190" s="366" t="s">
        <v>17</v>
      </c>
      <c r="G190" s="303">
        <v>1</v>
      </c>
      <c r="H190" s="304">
        <v>1</v>
      </c>
      <c r="I190" s="269" t="s">
        <v>1243</v>
      </c>
      <c r="J190" s="389" t="s">
        <v>534</v>
      </c>
      <c r="K190" s="355" t="s">
        <v>1243</v>
      </c>
      <c r="L190" s="344" t="s">
        <v>1365</v>
      </c>
      <c r="M190" s="344"/>
      <c r="N190" s="303" t="s">
        <v>1365</v>
      </c>
      <c r="O190" s="408" t="s">
        <v>1365</v>
      </c>
      <c r="P190" s="408" t="s">
        <v>1365</v>
      </c>
      <c r="Q190" s="408" t="s">
        <v>1365</v>
      </c>
      <c r="R190" s="305"/>
    </row>
    <row r="191" spans="3:18" ht="43.2" x14ac:dyDescent="0.3">
      <c r="C191" s="371"/>
      <c r="D191" s="328" t="s">
        <v>548</v>
      </c>
      <c r="E191" s="359" t="s">
        <v>355</v>
      </c>
      <c r="F191" s="366" t="s">
        <v>17</v>
      </c>
      <c r="G191" s="303">
        <v>1</v>
      </c>
      <c r="H191" s="304">
        <v>1</v>
      </c>
      <c r="I191" s="269" t="s">
        <v>1243</v>
      </c>
      <c r="J191" s="389" t="s">
        <v>535</v>
      </c>
      <c r="K191" s="355" t="s">
        <v>1243</v>
      </c>
      <c r="L191" s="344" t="s">
        <v>1365</v>
      </c>
      <c r="M191" s="344"/>
      <c r="N191" s="303" t="s">
        <v>1365</v>
      </c>
      <c r="O191" s="408" t="s">
        <v>1365</v>
      </c>
      <c r="P191" s="408" t="s">
        <v>1365</v>
      </c>
      <c r="Q191" s="408" t="s">
        <v>1365</v>
      </c>
      <c r="R191" s="305"/>
    </row>
    <row r="192" spans="3:18" ht="43.2" x14ac:dyDescent="0.3">
      <c r="C192" s="371"/>
      <c r="D192" s="328" t="s">
        <v>665</v>
      </c>
      <c r="E192" s="359" t="s">
        <v>355</v>
      </c>
      <c r="F192" s="366" t="s">
        <v>17</v>
      </c>
      <c r="G192" s="303">
        <v>1</v>
      </c>
      <c r="H192" s="304">
        <v>30</v>
      </c>
      <c r="I192" s="269" t="s">
        <v>1243</v>
      </c>
      <c r="J192" s="389" t="s">
        <v>535</v>
      </c>
      <c r="K192" s="355" t="s">
        <v>1243</v>
      </c>
      <c r="L192" s="344" t="s">
        <v>1365</v>
      </c>
      <c r="M192" s="344"/>
      <c r="N192" s="303" t="s">
        <v>1365</v>
      </c>
      <c r="O192" s="408" t="s">
        <v>1365</v>
      </c>
      <c r="P192" s="408" t="s">
        <v>1365</v>
      </c>
      <c r="Q192" s="408" t="s">
        <v>1365</v>
      </c>
      <c r="R192" s="305"/>
    </row>
    <row r="193" spans="3:21" ht="43.2" x14ac:dyDescent="0.3">
      <c r="C193" s="371" t="s">
        <v>356</v>
      </c>
      <c r="D193" s="328" t="s">
        <v>549</v>
      </c>
      <c r="E193" s="359" t="s">
        <v>355</v>
      </c>
      <c r="F193" s="366" t="s">
        <v>17</v>
      </c>
      <c r="G193" s="303">
        <v>1</v>
      </c>
      <c r="H193" s="304">
        <v>1</v>
      </c>
      <c r="I193" s="269" t="s">
        <v>1243</v>
      </c>
      <c r="J193" s="389" t="s">
        <v>546</v>
      </c>
      <c r="K193" s="355" t="s">
        <v>1243</v>
      </c>
      <c r="L193" s="344" t="s">
        <v>1365</v>
      </c>
      <c r="M193" s="344"/>
      <c r="N193" s="303" t="s">
        <v>1365</v>
      </c>
      <c r="O193" s="408" t="s">
        <v>1365</v>
      </c>
      <c r="P193" s="408" t="s">
        <v>1365</v>
      </c>
      <c r="Q193" s="408" t="s">
        <v>1365</v>
      </c>
      <c r="R193" s="305"/>
    </row>
    <row r="194" spans="3:21" ht="43.2" x14ac:dyDescent="0.3">
      <c r="C194" s="371"/>
      <c r="D194" s="328" t="s">
        <v>664</v>
      </c>
      <c r="E194" s="359" t="s">
        <v>355</v>
      </c>
      <c r="F194" s="366" t="s">
        <v>17</v>
      </c>
      <c r="G194" s="303">
        <v>1</v>
      </c>
      <c r="H194" s="304">
        <v>31</v>
      </c>
      <c r="I194" s="269" t="s">
        <v>1243</v>
      </c>
      <c r="J194" s="389" t="s">
        <v>546</v>
      </c>
      <c r="K194" s="355" t="s">
        <v>1243</v>
      </c>
      <c r="L194" s="344" t="s">
        <v>1365</v>
      </c>
      <c r="M194" s="344"/>
      <c r="N194" s="303" t="s">
        <v>1365</v>
      </c>
      <c r="O194" s="408" t="s">
        <v>1365</v>
      </c>
      <c r="P194" s="408" t="s">
        <v>1365</v>
      </c>
      <c r="Q194" s="408" t="s">
        <v>1365</v>
      </c>
      <c r="R194" s="305"/>
    </row>
    <row r="195" spans="3:21" ht="82.8" x14ac:dyDescent="0.3">
      <c r="C195" s="371" t="s">
        <v>357</v>
      </c>
      <c r="D195" s="328" t="s">
        <v>547</v>
      </c>
      <c r="E195" s="359" t="s">
        <v>355</v>
      </c>
      <c r="F195" s="366" t="s">
        <v>17</v>
      </c>
      <c r="G195" s="303">
        <v>1</v>
      </c>
      <c r="H195" s="304">
        <v>1</v>
      </c>
      <c r="I195" s="269" t="s">
        <v>1243</v>
      </c>
      <c r="J195" s="389" t="s">
        <v>534</v>
      </c>
      <c r="K195" s="355" t="s">
        <v>1243</v>
      </c>
      <c r="L195" s="344" t="s">
        <v>1365</v>
      </c>
      <c r="M195" s="344"/>
      <c r="N195" s="303" t="s">
        <v>1365</v>
      </c>
      <c r="O195" s="408" t="s">
        <v>1365</v>
      </c>
      <c r="P195" s="408" t="s">
        <v>1365</v>
      </c>
      <c r="Q195" s="408" t="s">
        <v>1365</v>
      </c>
      <c r="R195" s="305"/>
    </row>
    <row r="196" spans="3:21" ht="43.2" x14ac:dyDescent="0.3">
      <c r="C196" s="371"/>
      <c r="D196" s="328" t="s">
        <v>548</v>
      </c>
      <c r="E196" s="359" t="s">
        <v>355</v>
      </c>
      <c r="F196" s="366" t="s">
        <v>17</v>
      </c>
      <c r="G196" s="303">
        <v>1</v>
      </c>
      <c r="H196" s="304">
        <v>1</v>
      </c>
      <c r="I196" s="269" t="s">
        <v>1243</v>
      </c>
      <c r="J196" s="389" t="s">
        <v>535</v>
      </c>
      <c r="K196" s="355" t="s">
        <v>1243</v>
      </c>
      <c r="L196" s="344" t="s">
        <v>1365</v>
      </c>
      <c r="M196" s="344"/>
      <c r="N196" s="303" t="s">
        <v>1365</v>
      </c>
      <c r="O196" s="408" t="s">
        <v>1365</v>
      </c>
      <c r="P196" s="408" t="s">
        <v>1365</v>
      </c>
      <c r="Q196" s="408" t="s">
        <v>1365</v>
      </c>
      <c r="R196" s="305"/>
    </row>
    <row r="197" spans="3:21" ht="43.2" x14ac:dyDescent="0.3">
      <c r="C197" s="371"/>
      <c r="D197" s="328" t="s">
        <v>665</v>
      </c>
      <c r="E197" s="359" t="s">
        <v>355</v>
      </c>
      <c r="F197" s="366" t="s">
        <v>17</v>
      </c>
      <c r="G197" s="303">
        <v>1</v>
      </c>
      <c r="H197" s="304">
        <v>30</v>
      </c>
      <c r="I197" s="269" t="s">
        <v>1243</v>
      </c>
      <c r="J197" s="389" t="s">
        <v>535</v>
      </c>
      <c r="K197" s="355" t="s">
        <v>1243</v>
      </c>
      <c r="L197" s="344" t="s">
        <v>1365</v>
      </c>
      <c r="M197" s="344"/>
      <c r="N197" s="303" t="s">
        <v>1365</v>
      </c>
      <c r="O197" s="408" t="s">
        <v>1365</v>
      </c>
      <c r="P197" s="408" t="s">
        <v>1365</v>
      </c>
      <c r="Q197" s="408" t="s">
        <v>1365</v>
      </c>
      <c r="R197" s="305"/>
    </row>
    <row r="198" spans="3:21" ht="43.2" x14ac:dyDescent="0.3">
      <c r="C198" s="371" t="s">
        <v>358</v>
      </c>
      <c r="D198" s="328" t="s">
        <v>549</v>
      </c>
      <c r="E198" s="359" t="s">
        <v>355</v>
      </c>
      <c r="F198" s="366" t="s">
        <v>17</v>
      </c>
      <c r="G198" s="303">
        <v>1</v>
      </c>
      <c r="H198" s="304">
        <v>1</v>
      </c>
      <c r="I198" s="269" t="s">
        <v>1243</v>
      </c>
      <c r="J198" s="389" t="s">
        <v>546</v>
      </c>
      <c r="K198" s="355" t="s">
        <v>1243</v>
      </c>
      <c r="L198" s="344" t="s">
        <v>1365</v>
      </c>
      <c r="M198" s="344"/>
      <c r="N198" s="303" t="s">
        <v>1365</v>
      </c>
      <c r="O198" s="408" t="s">
        <v>1365</v>
      </c>
      <c r="P198" s="408" t="s">
        <v>1365</v>
      </c>
      <c r="Q198" s="408" t="s">
        <v>1365</v>
      </c>
      <c r="R198" s="305"/>
    </row>
    <row r="199" spans="3:21" ht="43.2" x14ac:dyDescent="0.3">
      <c r="C199" s="371"/>
      <c r="D199" s="328" t="s">
        <v>664</v>
      </c>
      <c r="E199" s="359" t="s">
        <v>355</v>
      </c>
      <c r="F199" s="366" t="s">
        <v>17</v>
      </c>
      <c r="G199" s="303">
        <v>1</v>
      </c>
      <c r="H199" s="304">
        <v>31</v>
      </c>
      <c r="I199" s="269" t="s">
        <v>1243</v>
      </c>
      <c r="J199" s="389" t="s">
        <v>546</v>
      </c>
      <c r="K199" s="355" t="s">
        <v>1243</v>
      </c>
      <c r="L199" s="344" t="s">
        <v>1365</v>
      </c>
      <c r="M199" s="344"/>
      <c r="N199" s="303" t="s">
        <v>1365</v>
      </c>
      <c r="O199" s="408" t="s">
        <v>1365</v>
      </c>
      <c r="P199" s="408" t="s">
        <v>1365</v>
      </c>
      <c r="Q199" s="408" t="s">
        <v>1365</v>
      </c>
      <c r="R199" s="305"/>
    </row>
    <row r="200" spans="3:21" ht="28.8" x14ac:dyDescent="0.3">
      <c r="C200" s="372" t="s">
        <v>359</v>
      </c>
      <c r="D200" s="328" t="s">
        <v>361</v>
      </c>
      <c r="E200" s="359" t="s">
        <v>360</v>
      </c>
      <c r="F200" s="366" t="s">
        <v>551</v>
      </c>
      <c r="G200" s="303">
        <v>1</v>
      </c>
      <c r="H200" s="304">
        <f>32*8</f>
        <v>256</v>
      </c>
      <c r="I200" s="269" t="s">
        <v>1243</v>
      </c>
      <c r="J200" s="389" t="s">
        <v>550</v>
      </c>
      <c r="K200" s="355" t="s">
        <v>1243</v>
      </c>
      <c r="L200" s="344" t="s">
        <v>1365</v>
      </c>
      <c r="M200" s="344"/>
      <c r="N200" s="303" t="s">
        <v>1365</v>
      </c>
      <c r="O200" s="408" t="s">
        <v>1365</v>
      </c>
      <c r="P200" s="408" t="s">
        <v>1365</v>
      </c>
      <c r="Q200" s="408" t="s">
        <v>1365</v>
      </c>
      <c r="R200" s="305"/>
    </row>
    <row r="201" spans="3:21" ht="57.6" x14ac:dyDescent="0.3">
      <c r="C201" s="372" t="s">
        <v>362</v>
      </c>
      <c r="D201" s="328" t="s">
        <v>364</v>
      </c>
      <c r="E201" s="359" t="s">
        <v>363</v>
      </c>
      <c r="F201" s="366" t="s">
        <v>551</v>
      </c>
      <c r="G201" s="303">
        <v>1</v>
      </c>
      <c r="H201" s="304">
        <f>32*8</f>
        <v>256</v>
      </c>
      <c r="I201" s="269" t="s">
        <v>1243</v>
      </c>
      <c r="J201" s="389" t="s">
        <v>550</v>
      </c>
      <c r="K201" s="355"/>
      <c r="L201" s="344" t="s">
        <v>1365</v>
      </c>
      <c r="M201" s="344"/>
      <c r="N201" s="303" t="s">
        <v>1365</v>
      </c>
      <c r="O201" s="408" t="s">
        <v>1365</v>
      </c>
      <c r="P201" s="408" t="s">
        <v>1365</v>
      </c>
      <c r="Q201" s="408" t="s">
        <v>1365</v>
      </c>
      <c r="R201" s="305"/>
    </row>
    <row r="202" spans="3:21" ht="58.2" thickBot="1" x14ac:dyDescent="0.35">
      <c r="C202" s="372" t="s">
        <v>365</v>
      </c>
      <c r="D202" s="328" t="s">
        <v>366</v>
      </c>
      <c r="E202" s="359" t="s">
        <v>363</v>
      </c>
      <c r="F202" s="366" t="s">
        <v>551</v>
      </c>
      <c r="G202" s="303">
        <v>1</v>
      </c>
      <c r="H202" s="304">
        <f>32*8</f>
        <v>256</v>
      </c>
      <c r="I202" s="269" t="s">
        <v>1243</v>
      </c>
      <c r="J202" s="389" t="s">
        <v>550</v>
      </c>
      <c r="K202" s="355"/>
      <c r="L202" s="344" t="s">
        <v>1365</v>
      </c>
      <c r="M202" s="344"/>
      <c r="N202" s="303" t="s">
        <v>1365</v>
      </c>
      <c r="O202" s="408" t="s">
        <v>1365</v>
      </c>
      <c r="P202" s="408" t="s">
        <v>1365</v>
      </c>
      <c r="Q202" s="408" t="s">
        <v>1365</v>
      </c>
      <c r="R202" s="305"/>
    </row>
    <row r="203" spans="3:21" ht="72" x14ac:dyDescent="0.3">
      <c r="C203" s="373" t="s">
        <v>9</v>
      </c>
      <c r="D203" s="329" t="s">
        <v>395</v>
      </c>
      <c r="E203" s="308" t="s">
        <v>395</v>
      </c>
      <c r="F203" s="345" t="s">
        <v>551</v>
      </c>
      <c r="G203" s="273">
        <v>3</v>
      </c>
      <c r="H203" s="267">
        <v>512</v>
      </c>
      <c r="I203" s="267" t="s">
        <v>1235</v>
      </c>
      <c r="J203" s="390" t="s">
        <v>512</v>
      </c>
      <c r="K203" s="308" t="s">
        <v>1316</v>
      </c>
      <c r="L203" s="329" t="s">
        <v>395</v>
      </c>
      <c r="M203" s="308" t="s">
        <v>395</v>
      </c>
      <c r="N203" s="273" t="s">
        <v>1422</v>
      </c>
      <c r="O203" s="273" t="s">
        <v>1422</v>
      </c>
      <c r="P203" s="273" t="s">
        <v>1422</v>
      </c>
      <c r="Q203" s="273" t="s">
        <v>1422</v>
      </c>
      <c r="R203" s="307"/>
      <c r="S203" s="377" t="s">
        <v>1470</v>
      </c>
    </row>
    <row r="204" spans="3:21" ht="201.6" x14ac:dyDescent="0.3">
      <c r="C204" s="373"/>
      <c r="D204" s="329" t="s">
        <v>396</v>
      </c>
      <c r="E204" s="308" t="s">
        <v>396</v>
      </c>
      <c r="F204" s="345" t="s">
        <v>551</v>
      </c>
      <c r="G204" s="273">
        <v>3</v>
      </c>
      <c r="H204" s="267">
        <v>32</v>
      </c>
      <c r="I204" s="272" t="s">
        <v>1583</v>
      </c>
      <c r="J204" s="391" t="s">
        <v>513</v>
      </c>
      <c r="K204" s="367" t="s">
        <v>1585</v>
      </c>
      <c r="L204" s="351" t="s">
        <v>1236</v>
      </c>
      <c r="M204" s="308" t="s">
        <v>1236</v>
      </c>
      <c r="N204" s="273" t="s">
        <v>1422</v>
      </c>
      <c r="O204" s="273" t="s">
        <v>1422</v>
      </c>
      <c r="P204" s="273" t="s">
        <v>1422</v>
      </c>
      <c r="Q204" s="273" t="s">
        <v>1422</v>
      </c>
      <c r="R204" s="307"/>
      <c r="S204" s="377" t="s">
        <v>1471</v>
      </c>
    </row>
    <row r="205" spans="3:21" ht="86.4" x14ac:dyDescent="0.3">
      <c r="C205" s="373"/>
      <c r="D205" s="329" t="s">
        <v>397</v>
      </c>
      <c r="E205" s="308" t="s">
        <v>397</v>
      </c>
      <c r="F205" s="308" t="s">
        <v>15</v>
      </c>
      <c r="G205" s="273">
        <v>3</v>
      </c>
      <c r="H205" s="267">
        <v>256</v>
      </c>
      <c r="I205" s="272" t="s">
        <v>1584</v>
      </c>
      <c r="J205" s="391" t="s">
        <v>514</v>
      </c>
      <c r="K205" s="367" t="s">
        <v>1586</v>
      </c>
      <c r="L205" s="351" t="s">
        <v>397</v>
      </c>
      <c r="M205" s="308" t="s">
        <v>397</v>
      </c>
      <c r="N205" s="273" t="s">
        <v>1422</v>
      </c>
      <c r="O205" s="273" t="s">
        <v>1422</v>
      </c>
      <c r="P205" s="273" t="s">
        <v>1422</v>
      </c>
      <c r="Q205" s="273" t="s">
        <v>1422</v>
      </c>
      <c r="R205" s="307"/>
      <c r="S205" s="377" t="s">
        <v>1471</v>
      </c>
    </row>
    <row r="206" spans="3:21" ht="100.8" x14ac:dyDescent="0.3">
      <c r="C206" s="373"/>
      <c r="D206" s="329" t="s">
        <v>398</v>
      </c>
      <c r="E206" s="308" t="s">
        <v>398</v>
      </c>
      <c r="F206" s="308" t="s">
        <v>15</v>
      </c>
      <c r="G206" s="273">
        <v>3</v>
      </c>
      <c r="H206" s="267">
        <v>256</v>
      </c>
      <c r="I206" s="267" t="s">
        <v>1237</v>
      </c>
      <c r="J206" s="391" t="s">
        <v>517</v>
      </c>
      <c r="K206" s="308" t="s">
        <v>1243</v>
      </c>
      <c r="L206" s="329" t="s">
        <v>398</v>
      </c>
      <c r="M206" s="329" t="s">
        <v>398</v>
      </c>
      <c r="N206" s="275" t="s">
        <v>1438</v>
      </c>
      <c r="O206" s="409" t="s">
        <v>1438</v>
      </c>
      <c r="P206" s="417" t="s">
        <v>1444</v>
      </c>
      <c r="Q206" s="417" t="s">
        <v>1422</v>
      </c>
      <c r="R206" s="307"/>
      <c r="S206" s="377" t="s">
        <v>1471</v>
      </c>
      <c r="U206" s="377" t="s">
        <v>1533</v>
      </c>
    </row>
    <row r="207" spans="3:21" ht="28.8" x14ac:dyDescent="0.3">
      <c r="C207" s="373"/>
      <c r="D207" s="329" t="s">
        <v>422</v>
      </c>
      <c r="E207" s="308" t="s">
        <v>422</v>
      </c>
      <c r="F207" s="345" t="s">
        <v>551</v>
      </c>
      <c r="G207" s="273">
        <v>3</v>
      </c>
      <c r="H207" s="267">
        <v>0</v>
      </c>
      <c r="I207" s="306"/>
      <c r="J207" s="392" t="s">
        <v>518</v>
      </c>
      <c r="K207" s="329"/>
      <c r="L207" s="329"/>
      <c r="M207" s="329" t="s">
        <v>1243</v>
      </c>
      <c r="N207" s="507" t="s">
        <v>1422</v>
      </c>
      <c r="O207" s="508" t="s">
        <v>1422</v>
      </c>
      <c r="P207" s="508" t="s">
        <v>1422</v>
      </c>
      <c r="Q207" s="508" t="s">
        <v>1422</v>
      </c>
      <c r="R207" s="307"/>
      <c r="S207" s="377" t="s">
        <v>1471</v>
      </c>
    </row>
    <row r="208" spans="3:21" ht="86.4" x14ac:dyDescent="0.3">
      <c r="C208" s="374" t="s">
        <v>885</v>
      </c>
      <c r="D208" s="310" t="s">
        <v>16</v>
      </c>
      <c r="E208" s="310" t="s">
        <v>16</v>
      </c>
      <c r="F208" s="310" t="s">
        <v>17</v>
      </c>
      <c r="G208" s="310">
        <v>2</v>
      </c>
      <c r="H208" s="278">
        <v>768</v>
      </c>
      <c r="I208" s="277" t="s">
        <v>563</v>
      </c>
      <c r="J208" s="352" t="s">
        <v>835</v>
      </c>
      <c r="K208" s="352" t="s">
        <v>1243</v>
      </c>
      <c r="L208" s="352" t="s">
        <v>16</v>
      </c>
      <c r="M208" s="310" t="s">
        <v>16</v>
      </c>
      <c r="N208" s="276" t="s">
        <v>1422</v>
      </c>
      <c r="O208" s="276" t="s">
        <v>1422</v>
      </c>
      <c r="P208" s="276" t="s">
        <v>1422</v>
      </c>
      <c r="Q208" s="276" t="s">
        <v>1422</v>
      </c>
      <c r="R208" s="311" t="s">
        <v>1576</v>
      </c>
      <c r="S208" s="377" t="s">
        <v>1472</v>
      </c>
    </row>
    <row r="209" spans="3:21" ht="72" x14ac:dyDescent="0.3">
      <c r="C209" s="374"/>
      <c r="D209" s="310" t="s">
        <v>399</v>
      </c>
      <c r="E209" s="310" t="s">
        <v>399</v>
      </c>
      <c r="F209" s="310" t="s">
        <v>17</v>
      </c>
      <c r="G209" s="310">
        <v>2</v>
      </c>
      <c r="H209" s="278">
        <v>160</v>
      </c>
      <c r="I209" s="278" t="s">
        <v>1238</v>
      </c>
      <c r="J209" s="310" t="s">
        <v>520</v>
      </c>
      <c r="K209" s="310" t="s">
        <v>1243</v>
      </c>
      <c r="L209" s="310" t="s">
        <v>399</v>
      </c>
      <c r="M209" s="346" t="s">
        <v>399</v>
      </c>
      <c r="N209" s="276" t="s">
        <v>1422</v>
      </c>
      <c r="O209" s="410" t="s">
        <v>1422</v>
      </c>
      <c r="P209" s="410" t="s">
        <v>1422</v>
      </c>
      <c r="Q209" s="410" t="s">
        <v>1422</v>
      </c>
      <c r="R209" s="311" t="s">
        <v>1576</v>
      </c>
      <c r="S209" s="377" t="s">
        <v>1473</v>
      </c>
    </row>
    <row r="210" spans="3:21" ht="43.2" x14ac:dyDescent="0.3">
      <c r="C210" s="374"/>
      <c r="D210" s="352" t="s">
        <v>1317</v>
      </c>
      <c r="E210" s="500" t="s">
        <v>1582</v>
      </c>
      <c r="F210" s="310"/>
      <c r="G210" s="310">
        <v>2</v>
      </c>
      <c r="H210" s="278">
        <v>8</v>
      </c>
      <c r="I210" s="277" t="s">
        <v>1405</v>
      </c>
      <c r="J210" s="352" t="s">
        <v>1317</v>
      </c>
      <c r="K210" s="310" t="s">
        <v>1317</v>
      </c>
      <c r="L210" s="310" t="s">
        <v>1243</v>
      </c>
      <c r="M210" s="330" t="s">
        <v>1243</v>
      </c>
      <c r="N210" s="279" t="s">
        <v>1493</v>
      </c>
      <c r="O210" s="279" t="s">
        <v>1493</v>
      </c>
      <c r="P210" s="279" t="s">
        <v>1493</v>
      </c>
      <c r="Q210" s="279" t="s">
        <v>1493</v>
      </c>
      <c r="R210" s="311" t="s">
        <v>1577</v>
      </c>
      <c r="U210" s="400" t="s">
        <v>1534</v>
      </c>
    </row>
    <row r="211" spans="3:21" ht="43.2" x14ac:dyDescent="0.3">
      <c r="C211" s="374"/>
      <c r="D211" s="352" t="s">
        <v>1318</v>
      </c>
      <c r="E211" s="500" t="s">
        <v>1582</v>
      </c>
      <c r="F211" s="310"/>
      <c r="G211" s="310">
        <v>2</v>
      </c>
      <c r="H211" s="278">
        <v>24</v>
      </c>
      <c r="I211" s="277" t="s">
        <v>1406</v>
      </c>
      <c r="J211" s="352" t="s">
        <v>1318</v>
      </c>
      <c r="K211" s="310" t="s">
        <v>1318</v>
      </c>
      <c r="L211" s="310" t="s">
        <v>1243</v>
      </c>
      <c r="M211" s="330" t="s">
        <v>1243</v>
      </c>
      <c r="N211" s="279" t="s">
        <v>1493</v>
      </c>
      <c r="O211" s="279" t="s">
        <v>1493</v>
      </c>
      <c r="P211" s="279" t="s">
        <v>1493</v>
      </c>
      <c r="Q211" s="279" t="s">
        <v>1493</v>
      </c>
      <c r="R211" s="311" t="s">
        <v>1577</v>
      </c>
      <c r="U211" s="400" t="s">
        <v>1534</v>
      </c>
    </row>
    <row r="212" spans="3:21" ht="43.2" x14ac:dyDescent="0.3">
      <c r="C212" s="374"/>
      <c r="D212" s="310" t="s">
        <v>22</v>
      </c>
      <c r="E212" s="310" t="s">
        <v>22</v>
      </c>
      <c r="F212" s="310" t="s">
        <v>17</v>
      </c>
      <c r="G212" s="310">
        <v>2</v>
      </c>
      <c r="H212" s="278">
        <v>32</v>
      </c>
      <c r="I212" s="277" t="s">
        <v>1239</v>
      </c>
      <c r="J212" s="330" t="s">
        <v>515</v>
      </c>
      <c r="K212" s="352"/>
      <c r="L212" s="352" t="s">
        <v>22</v>
      </c>
      <c r="M212" s="346" t="s">
        <v>22</v>
      </c>
      <c r="N212" s="276" t="s">
        <v>1422</v>
      </c>
      <c r="O212" s="410" t="s">
        <v>1422</v>
      </c>
      <c r="P212" s="410" t="s">
        <v>1422</v>
      </c>
      <c r="Q212" s="410" t="s">
        <v>1422</v>
      </c>
      <c r="R212" s="311"/>
    </row>
    <row r="213" spans="3:21" x14ac:dyDescent="0.3">
      <c r="C213" s="374"/>
      <c r="D213" s="310" t="s">
        <v>21</v>
      </c>
      <c r="E213" s="310" t="s">
        <v>21</v>
      </c>
      <c r="F213" s="310" t="s">
        <v>17</v>
      </c>
      <c r="G213" s="310">
        <v>2</v>
      </c>
      <c r="H213" s="278">
        <v>6400</v>
      </c>
      <c r="I213" s="278" t="s">
        <v>1407</v>
      </c>
      <c r="J213" s="393" t="s">
        <v>516</v>
      </c>
      <c r="K213" s="310" t="s">
        <v>21</v>
      </c>
      <c r="L213" s="346" t="s">
        <v>1243</v>
      </c>
      <c r="M213" s="346" t="s">
        <v>1243</v>
      </c>
      <c r="N213" s="276" t="s">
        <v>1422</v>
      </c>
      <c r="O213" s="410" t="s">
        <v>1438</v>
      </c>
      <c r="P213" s="410" t="s">
        <v>1438</v>
      </c>
      <c r="Q213" s="410" t="s">
        <v>1438</v>
      </c>
      <c r="R213" s="311"/>
    </row>
    <row r="214" spans="3:21" ht="86.4" x14ac:dyDescent="0.3">
      <c r="C214" s="374"/>
      <c r="D214" s="310" t="s">
        <v>884</v>
      </c>
      <c r="E214" s="310" t="s">
        <v>884</v>
      </c>
      <c r="F214" s="310" t="s">
        <v>17</v>
      </c>
      <c r="G214" s="310">
        <v>2</v>
      </c>
      <c r="H214" s="278">
        <v>320</v>
      </c>
      <c r="I214" s="278" t="s">
        <v>1240</v>
      </c>
      <c r="J214" s="376" t="s">
        <v>1588</v>
      </c>
      <c r="K214" s="310" t="s">
        <v>1243</v>
      </c>
      <c r="L214" s="310" t="s">
        <v>884</v>
      </c>
      <c r="M214" s="346" t="s">
        <v>884</v>
      </c>
      <c r="N214" s="276" t="s">
        <v>1422</v>
      </c>
      <c r="O214" s="410" t="s">
        <v>1422</v>
      </c>
      <c r="P214" s="410" t="s">
        <v>1422</v>
      </c>
      <c r="Q214" s="410" t="s">
        <v>1422</v>
      </c>
      <c r="R214" s="311"/>
    </row>
    <row r="215" spans="3:21" ht="43.8" thickBot="1" x14ac:dyDescent="0.35">
      <c r="C215" s="374"/>
      <c r="D215" s="310" t="s">
        <v>423</v>
      </c>
      <c r="E215" s="310" t="s">
        <v>423</v>
      </c>
      <c r="F215" s="310" t="s">
        <v>17</v>
      </c>
      <c r="G215" s="310">
        <v>2</v>
      </c>
      <c r="H215" s="278">
        <v>0</v>
      </c>
      <c r="I215" s="309"/>
      <c r="J215" s="394" t="s">
        <v>519</v>
      </c>
      <c r="K215" s="310" t="s">
        <v>1243</v>
      </c>
      <c r="L215" s="346" t="s">
        <v>1450</v>
      </c>
      <c r="M215" s="346" t="s">
        <v>1243</v>
      </c>
      <c r="N215" s="403" t="s">
        <v>1438</v>
      </c>
      <c r="O215" s="403" t="s">
        <v>1438</v>
      </c>
      <c r="P215" s="403" t="s">
        <v>1438</v>
      </c>
      <c r="Q215" s="403" t="s">
        <v>1438</v>
      </c>
      <c r="R215" s="311"/>
      <c r="U215" s="377" t="s">
        <v>1535</v>
      </c>
    </row>
    <row r="216" spans="3:21" ht="86.4" x14ac:dyDescent="0.3">
      <c r="C216" s="375" t="s">
        <v>42</v>
      </c>
      <c r="D216" s="312" t="s">
        <v>1126</v>
      </c>
      <c r="E216" s="312" t="s">
        <v>614</v>
      </c>
      <c r="F216" s="312"/>
      <c r="G216" s="312">
        <v>4</v>
      </c>
      <c r="H216" s="280">
        <v>1</v>
      </c>
      <c r="I216" s="280" t="s">
        <v>1201</v>
      </c>
      <c r="J216" s="130" t="s">
        <v>475</v>
      </c>
      <c r="K216" s="312" t="s">
        <v>1315</v>
      </c>
      <c r="L216" s="312" t="s">
        <v>1200</v>
      </c>
      <c r="M216" s="312" t="s">
        <v>1200</v>
      </c>
      <c r="N216" s="404" t="s">
        <v>1422</v>
      </c>
      <c r="O216" s="404" t="s">
        <v>1422</v>
      </c>
      <c r="P216" s="404" t="s">
        <v>1422</v>
      </c>
      <c r="Q216" s="404" t="s">
        <v>1422</v>
      </c>
      <c r="R216" s="282"/>
    </row>
    <row r="217" spans="3:21" ht="28.8" x14ac:dyDescent="0.3">
      <c r="C217" s="375"/>
      <c r="D217" s="331" t="s">
        <v>267</v>
      </c>
      <c r="E217" s="312" t="s">
        <v>614</v>
      </c>
      <c r="F217" s="312"/>
      <c r="G217" s="312">
        <v>4</v>
      </c>
      <c r="H217" s="280">
        <v>1</v>
      </c>
      <c r="I217" s="280" t="s">
        <v>1201</v>
      </c>
      <c r="J217" s="130" t="s">
        <v>476</v>
      </c>
      <c r="K217" s="312" t="s">
        <v>267</v>
      </c>
      <c r="L217" s="312" t="s">
        <v>267</v>
      </c>
      <c r="M217" s="312" t="s">
        <v>267</v>
      </c>
      <c r="N217" s="404" t="s">
        <v>1422</v>
      </c>
      <c r="O217" s="404" t="s">
        <v>1422</v>
      </c>
      <c r="P217" s="404" t="s">
        <v>1422</v>
      </c>
      <c r="Q217" s="404" t="s">
        <v>1422</v>
      </c>
      <c r="R217" s="282"/>
    </row>
    <row r="218" spans="3:21" ht="86.4" x14ac:dyDescent="0.3">
      <c r="C218" s="375"/>
      <c r="D218" s="331" t="s">
        <v>269</v>
      </c>
      <c r="E218" s="312" t="s">
        <v>614</v>
      </c>
      <c r="F218" s="312"/>
      <c r="G218" s="312">
        <v>4</v>
      </c>
      <c r="H218" s="280">
        <v>1</v>
      </c>
      <c r="I218" s="280" t="s">
        <v>1201</v>
      </c>
      <c r="J218" s="130" t="s">
        <v>477</v>
      </c>
      <c r="K218" s="312" t="s">
        <v>269</v>
      </c>
      <c r="L218" s="312" t="s">
        <v>269</v>
      </c>
      <c r="M218" s="312" t="s">
        <v>269</v>
      </c>
      <c r="N218" s="404" t="s">
        <v>1422</v>
      </c>
      <c r="O218" s="404" t="s">
        <v>1422</v>
      </c>
      <c r="P218" s="404" t="s">
        <v>1422</v>
      </c>
      <c r="Q218" s="404" t="s">
        <v>1422</v>
      </c>
      <c r="R218" s="282"/>
    </row>
    <row r="219" spans="3:21" ht="28.8" x14ac:dyDescent="0.3">
      <c r="C219" s="375"/>
      <c r="D219" s="332"/>
      <c r="E219" s="312" t="s">
        <v>48</v>
      </c>
      <c r="F219" s="312"/>
      <c r="G219" s="312">
        <v>4</v>
      </c>
      <c r="H219" s="280">
        <v>1</v>
      </c>
      <c r="I219" s="280" t="s">
        <v>1201</v>
      </c>
      <c r="J219" s="130" t="s">
        <v>460</v>
      </c>
      <c r="K219" s="312" t="s">
        <v>271</v>
      </c>
      <c r="L219" s="312" t="s">
        <v>1202</v>
      </c>
      <c r="M219" s="312" t="s">
        <v>1202</v>
      </c>
      <c r="N219" s="404" t="s">
        <v>1414</v>
      </c>
      <c r="O219" s="404" t="s">
        <v>1415</v>
      </c>
      <c r="P219" s="404" t="s">
        <v>1416</v>
      </c>
      <c r="Q219" s="404" t="s">
        <v>1417</v>
      </c>
      <c r="R219" s="282"/>
    </row>
    <row r="220" spans="3:21" ht="100.8" x14ac:dyDescent="0.3">
      <c r="C220" s="375"/>
      <c r="D220" s="331" t="s">
        <v>272</v>
      </c>
      <c r="E220" s="312" t="s">
        <v>630</v>
      </c>
      <c r="F220" s="312"/>
      <c r="G220" s="312">
        <v>4</v>
      </c>
      <c r="H220" s="280">
        <v>1</v>
      </c>
      <c r="I220" s="280" t="s">
        <v>1201</v>
      </c>
      <c r="J220" s="130" t="s">
        <v>478</v>
      </c>
      <c r="K220" s="312" t="s">
        <v>272</v>
      </c>
      <c r="L220" s="312" t="s">
        <v>272</v>
      </c>
      <c r="M220" s="312" t="s">
        <v>272</v>
      </c>
      <c r="N220" s="404" t="s">
        <v>1422</v>
      </c>
      <c r="O220" s="404" t="s">
        <v>1422</v>
      </c>
      <c r="P220" s="404" t="s">
        <v>1422</v>
      </c>
      <c r="Q220" s="404" t="s">
        <v>1422</v>
      </c>
      <c r="R220" s="282"/>
      <c r="S220" s="377" t="s">
        <v>1474</v>
      </c>
    </row>
    <row r="221" spans="3:21" ht="72" x14ac:dyDescent="0.3">
      <c r="C221" s="375"/>
      <c r="D221" s="333" t="s">
        <v>274</v>
      </c>
      <c r="E221" s="312" t="s">
        <v>630</v>
      </c>
      <c r="F221" s="312"/>
      <c r="G221" s="312">
        <v>4</v>
      </c>
      <c r="H221" s="280">
        <v>1</v>
      </c>
      <c r="I221" s="280" t="s">
        <v>1201</v>
      </c>
      <c r="J221" s="130" t="s">
        <v>479</v>
      </c>
      <c r="K221" s="333" t="s">
        <v>274</v>
      </c>
      <c r="L221" s="333" t="s">
        <v>274</v>
      </c>
      <c r="M221" s="312" t="s">
        <v>274</v>
      </c>
      <c r="N221" s="404" t="s">
        <v>1422</v>
      </c>
      <c r="O221" s="404" t="s">
        <v>1422</v>
      </c>
      <c r="P221" s="404" t="s">
        <v>1422</v>
      </c>
      <c r="Q221" s="404" t="s">
        <v>1422</v>
      </c>
      <c r="R221" s="283"/>
      <c r="S221" s="377" t="s">
        <v>1475</v>
      </c>
    </row>
    <row r="222" spans="3:21" ht="43.2" x14ac:dyDescent="0.3">
      <c r="C222" s="375"/>
      <c r="D222" s="331" t="s">
        <v>276</v>
      </c>
      <c r="E222" s="312" t="s">
        <v>630</v>
      </c>
      <c r="F222" s="312"/>
      <c r="G222" s="312">
        <v>4</v>
      </c>
      <c r="H222" s="280">
        <v>1</v>
      </c>
      <c r="I222" s="280" t="s">
        <v>1201</v>
      </c>
      <c r="J222" s="130" t="s">
        <v>480</v>
      </c>
      <c r="K222" s="312" t="s">
        <v>276</v>
      </c>
      <c r="L222" s="312" t="s">
        <v>276</v>
      </c>
      <c r="M222" s="312" t="s">
        <v>276</v>
      </c>
      <c r="N222" s="404" t="s">
        <v>1422</v>
      </c>
      <c r="O222" s="404" t="s">
        <v>1422</v>
      </c>
      <c r="P222" s="404" t="s">
        <v>1422</v>
      </c>
      <c r="Q222" s="404" t="s">
        <v>1422</v>
      </c>
      <c r="R222" s="282"/>
      <c r="S222" s="377" t="s">
        <v>1461</v>
      </c>
    </row>
    <row r="223" spans="3:21" ht="43.2" x14ac:dyDescent="0.3">
      <c r="C223" s="375"/>
      <c r="D223" s="331" t="s">
        <v>278</v>
      </c>
      <c r="E223" s="312" t="s">
        <v>648</v>
      </c>
      <c r="F223" s="312"/>
      <c r="G223" s="312">
        <v>4</v>
      </c>
      <c r="H223" s="280">
        <v>1</v>
      </c>
      <c r="I223" s="280" t="s">
        <v>1201</v>
      </c>
      <c r="J223" s="130" t="s">
        <v>481</v>
      </c>
      <c r="K223" s="312" t="s">
        <v>278</v>
      </c>
      <c r="L223" s="312" t="s">
        <v>278</v>
      </c>
      <c r="M223" s="312" t="s">
        <v>278</v>
      </c>
      <c r="N223" s="404" t="s">
        <v>1422</v>
      </c>
      <c r="O223" s="404" t="s">
        <v>1422</v>
      </c>
      <c r="P223" s="404" t="s">
        <v>1422</v>
      </c>
      <c r="Q223" s="404" t="s">
        <v>1422</v>
      </c>
      <c r="R223" s="282"/>
      <c r="S223" s="377" t="s">
        <v>1477</v>
      </c>
    </row>
    <row r="224" spans="3:21" ht="28.8" x14ac:dyDescent="0.3">
      <c r="C224" s="375"/>
      <c r="D224" s="336" t="s">
        <v>1578</v>
      </c>
      <c r="E224" s="312" t="s">
        <v>48</v>
      </c>
      <c r="F224" s="312"/>
      <c r="G224" s="312">
        <v>4</v>
      </c>
      <c r="H224" s="280">
        <v>1</v>
      </c>
      <c r="I224" s="280" t="s">
        <v>1204</v>
      </c>
      <c r="J224" s="130" t="s">
        <v>460</v>
      </c>
      <c r="K224" s="312" t="s">
        <v>1203</v>
      </c>
      <c r="L224" s="312" t="s">
        <v>1203</v>
      </c>
      <c r="M224" s="312" t="s">
        <v>1203</v>
      </c>
      <c r="N224" s="404" t="s">
        <v>1418</v>
      </c>
      <c r="O224" s="404" t="s">
        <v>1419</v>
      </c>
      <c r="P224" s="404" t="s">
        <v>1420</v>
      </c>
      <c r="Q224" s="404" t="s">
        <v>1205</v>
      </c>
      <c r="R224" s="282"/>
    </row>
    <row r="225" spans="3:19" ht="43.2" x14ac:dyDescent="0.3">
      <c r="C225" s="375"/>
      <c r="D225" s="331" t="s">
        <v>281</v>
      </c>
      <c r="E225" s="312" t="s">
        <v>614</v>
      </c>
      <c r="F225" s="312"/>
      <c r="G225" s="312">
        <v>4</v>
      </c>
      <c r="H225" s="280">
        <v>1</v>
      </c>
      <c r="I225" s="280" t="s">
        <v>1204</v>
      </c>
      <c r="J225" s="130" t="s">
        <v>482</v>
      </c>
      <c r="K225" s="312" t="s">
        <v>281</v>
      </c>
      <c r="L225" s="312" t="s">
        <v>281</v>
      </c>
      <c r="M225" s="312" t="s">
        <v>281</v>
      </c>
      <c r="N225" s="404" t="s">
        <v>1422</v>
      </c>
      <c r="O225" s="404" t="s">
        <v>1422</v>
      </c>
      <c r="P225" s="404" t="s">
        <v>1422</v>
      </c>
      <c r="Q225" s="404" t="s">
        <v>1422</v>
      </c>
      <c r="R225" s="282"/>
      <c r="S225" s="377" t="s">
        <v>1476</v>
      </c>
    </row>
    <row r="226" spans="3:19" ht="43.2" x14ac:dyDescent="0.3">
      <c r="C226" s="375"/>
      <c r="D226" s="331" t="s">
        <v>283</v>
      </c>
      <c r="E226" s="312" t="s">
        <v>614</v>
      </c>
      <c r="F226" s="312"/>
      <c r="G226" s="312">
        <v>4</v>
      </c>
      <c r="H226" s="280">
        <v>1</v>
      </c>
      <c r="I226" s="280" t="s">
        <v>1204</v>
      </c>
      <c r="J226" s="130" t="s">
        <v>483</v>
      </c>
      <c r="K226" s="312" t="s">
        <v>283</v>
      </c>
      <c r="L226" s="312" t="s">
        <v>283</v>
      </c>
      <c r="M226" s="312" t="s">
        <v>283</v>
      </c>
      <c r="N226" s="404" t="s">
        <v>1422</v>
      </c>
      <c r="O226" s="404" t="s">
        <v>1422</v>
      </c>
      <c r="P226" s="404" t="s">
        <v>1422</v>
      </c>
      <c r="Q226" s="404" t="s">
        <v>1422</v>
      </c>
      <c r="R226" s="282"/>
      <c r="S226" s="377" t="s">
        <v>1477</v>
      </c>
    </row>
    <row r="227" spans="3:19" ht="43.2" x14ac:dyDescent="0.3">
      <c r="C227" s="375"/>
      <c r="D227" s="331" t="s">
        <v>285</v>
      </c>
      <c r="E227" s="312" t="s">
        <v>614</v>
      </c>
      <c r="F227" s="312"/>
      <c r="G227" s="312">
        <v>4</v>
      </c>
      <c r="H227" s="280">
        <v>1</v>
      </c>
      <c r="I227" s="280" t="s">
        <v>1204</v>
      </c>
      <c r="J227" s="130" t="s">
        <v>484</v>
      </c>
      <c r="K227" s="312" t="s">
        <v>285</v>
      </c>
      <c r="L227" s="312" t="s">
        <v>285</v>
      </c>
      <c r="M227" s="312" t="s">
        <v>285</v>
      </c>
      <c r="N227" s="404" t="s">
        <v>1422</v>
      </c>
      <c r="O227" s="404" t="s">
        <v>1422</v>
      </c>
      <c r="P227" s="404" t="s">
        <v>1422</v>
      </c>
      <c r="Q227" s="404" t="s">
        <v>1422</v>
      </c>
      <c r="R227" s="282"/>
      <c r="S227" s="377" t="s">
        <v>1477</v>
      </c>
    </row>
    <row r="228" spans="3:19" ht="28.8" x14ac:dyDescent="0.3">
      <c r="C228" s="375"/>
      <c r="D228" s="331"/>
      <c r="E228" s="312" t="s">
        <v>48</v>
      </c>
      <c r="F228" s="312"/>
      <c r="G228" s="312">
        <v>4</v>
      </c>
      <c r="H228" s="280">
        <v>1</v>
      </c>
      <c r="I228" s="280" t="s">
        <v>1204</v>
      </c>
      <c r="J228" s="130" t="s">
        <v>460</v>
      </c>
      <c r="K228" s="332" t="s">
        <v>1205</v>
      </c>
      <c r="L228" s="332" t="s">
        <v>1205</v>
      </c>
      <c r="M228" s="332" t="s">
        <v>1205</v>
      </c>
      <c r="N228" s="404" t="s">
        <v>1205</v>
      </c>
      <c r="O228" s="411" t="s">
        <v>1205</v>
      </c>
      <c r="P228" s="411" t="s">
        <v>1205</v>
      </c>
      <c r="Q228" s="411" t="s">
        <v>1205</v>
      </c>
      <c r="R228" s="313"/>
    </row>
    <row r="229" spans="3:19" ht="28.8" x14ac:dyDescent="0.3">
      <c r="C229" s="375"/>
      <c r="D229" s="331"/>
      <c r="E229" s="312" t="s">
        <v>48</v>
      </c>
      <c r="F229" s="312"/>
      <c r="G229" s="312">
        <v>4</v>
      </c>
      <c r="H229" s="280">
        <v>1</v>
      </c>
      <c r="I229" s="280" t="s">
        <v>1204</v>
      </c>
      <c r="J229" s="130" t="s">
        <v>460</v>
      </c>
      <c r="K229" s="332" t="s">
        <v>1206</v>
      </c>
      <c r="L229" s="332" t="s">
        <v>1206</v>
      </c>
      <c r="M229" s="332" t="s">
        <v>1206</v>
      </c>
      <c r="N229" s="404" t="s">
        <v>1206</v>
      </c>
      <c r="O229" s="411" t="s">
        <v>1206</v>
      </c>
      <c r="P229" s="411" t="s">
        <v>1206</v>
      </c>
      <c r="Q229" s="411" t="s">
        <v>1206</v>
      </c>
      <c r="R229" s="313"/>
    </row>
    <row r="230" spans="3:19" ht="28.8" x14ac:dyDescent="0.3">
      <c r="C230" s="375"/>
      <c r="D230" s="331"/>
      <c r="E230" s="312" t="s">
        <v>48</v>
      </c>
      <c r="F230" s="312"/>
      <c r="G230" s="312">
        <v>4</v>
      </c>
      <c r="H230" s="280">
        <v>1</v>
      </c>
      <c r="I230" s="280" t="s">
        <v>1204</v>
      </c>
      <c r="J230" s="130" t="s">
        <v>460</v>
      </c>
      <c r="K230" s="332" t="s">
        <v>1207</v>
      </c>
      <c r="L230" s="332" t="s">
        <v>1207</v>
      </c>
      <c r="M230" s="332" t="s">
        <v>1207</v>
      </c>
      <c r="N230" s="404" t="s">
        <v>1207</v>
      </c>
      <c r="O230" s="411" t="s">
        <v>1207</v>
      </c>
      <c r="P230" s="411" t="s">
        <v>1207</v>
      </c>
      <c r="Q230" s="411" t="s">
        <v>1207</v>
      </c>
      <c r="R230" s="313"/>
    </row>
    <row r="231" spans="3:19" ht="28.8" x14ac:dyDescent="0.3">
      <c r="C231" s="375"/>
      <c r="D231" s="331"/>
      <c r="E231" s="312" t="s">
        <v>48</v>
      </c>
      <c r="F231" s="312"/>
      <c r="G231" s="312">
        <v>4</v>
      </c>
      <c r="H231" s="280">
        <v>1</v>
      </c>
      <c r="I231" s="280" t="s">
        <v>1204</v>
      </c>
      <c r="J231" s="130" t="s">
        <v>460</v>
      </c>
      <c r="K231" s="332" t="s">
        <v>1208</v>
      </c>
      <c r="L231" s="332" t="s">
        <v>1208</v>
      </c>
      <c r="M231" s="332" t="s">
        <v>1208</v>
      </c>
      <c r="N231" s="404" t="s">
        <v>1208</v>
      </c>
      <c r="O231" s="411" t="s">
        <v>1208</v>
      </c>
      <c r="P231" s="411" t="s">
        <v>1208</v>
      </c>
      <c r="Q231" s="411" t="s">
        <v>1208</v>
      </c>
      <c r="R231" s="313"/>
    </row>
    <row r="232" spans="3:19" ht="28.8" x14ac:dyDescent="0.3">
      <c r="C232" s="375"/>
      <c r="D232" s="331" t="s">
        <v>287</v>
      </c>
      <c r="E232" s="312" t="s">
        <v>614</v>
      </c>
      <c r="F232" s="312"/>
      <c r="G232" s="312">
        <v>4</v>
      </c>
      <c r="H232" s="280">
        <v>1</v>
      </c>
      <c r="I232" s="280" t="s">
        <v>1209</v>
      </c>
      <c r="J232" s="130" t="s">
        <v>485</v>
      </c>
      <c r="K232" s="312" t="s">
        <v>287</v>
      </c>
      <c r="L232" s="312" t="s">
        <v>287</v>
      </c>
      <c r="M232" s="312" t="s">
        <v>287</v>
      </c>
      <c r="N232" s="404" t="s">
        <v>1422</v>
      </c>
      <c r="O232" s="404" t="s">
        <v>1422</v>
      </c>
      <c r="P232" s="404" t="s">
        <v>1422</v>
      </c>
      <c r="Q232" s="404" t="s">
        <v>1422</v>
      </c>
      <c r="R232" s="282"/>
      <c r="S232" s="377" t="s">
        <v>1478</v>
      </c>
    </row>
    <row r="233" spans="3:19" ht="28.8" x14ac:dyDescent="0.3">
      <c r="C233" s="375"/>
      <c r="D233" s="331" t="s">
        <v>289</v>
      </c>
      <c r="E233" s="312" t="s">
        <v>614</v>
      </c>
      <c r="F233" s="312"/>
      <c r="G233" s="312">
        <v>4</v>
      </c>
      <c r="H233" s="280">
        <v>1</v>
      </c>
      <c r="I233" s="280" t="s">
        <v>1209</v>
      </c>
      <c r="J233" s="130" t="s">
        <v>486</v>
      </c>
      <c r="K233" s="312" t="s">
        <v>289</v>
      </c>
      <c r="L233" s="312" t="s">
        <v>289</v>
      </c>
      <c r="M233" s="312" t="s">
        <v>289</v>
      </c>
      <c r="N233" s="404" t="s">
        <v>1422</v>
      </c>
      <c r="O233" s="404" t="s">
        <v>1422</v>
      </c>
      <c r="P233" s="404" t="s">
        <v>1422</v>
      </c>
      <c r="Q233" s="404" t="s">
        <v>1422</v>
      </c>
      <c r="R233" s="282"/>
      <c r="S233" s="377" t="s">
        <v>1478</v>
      </c>
    </row>
    <row r="234" spans="3:19" ht="28.8" x14ac:dyDescent="0.3">
      <c r="C234" s="375"/>
      <c r="D234" s="331"/>
      <c r="E234" s="312" t="s">
        <v>48</v>
      </c>
      <c r="F234" s="312"/>
      <c r="G234" s="312">
        <v>4</v>
      </c>
      <c r="H234" s="280">
        <v>1</v>
      </c>
      <c r="I234" s="280" t="s">
        <v>1209</v>
      </c>
      <c r="J234" s="130" t="s">
        <v>460</v>
      </c>
      <c r="K234" s="312" t="s">
        <v>1210</v>
      </c>
      <c r="L234" s="312" t="s">
        <v>1210</v>
      </c>
      <c r="M234" s="312" t="s">
        <v>1210</v>
      </c>
      <c r="N234" s="404" t="s">
        <v>1210</v>
      </c>
      <c r="O234" s="404" t="s">
        <v>1210</v>
      </c>
      <c r="P234" s="404" t="s">
        <v>1210</v>
      </c>
      <c r="Q234" s="404" t="s">
        <v>1210</v>
      </c>
      <c r="R234" s="282"/>
    </row>
    <row r="235" spans="3:19" ht="28.8" x14ac:dyDescent="0.3">
      <c r="C235" s="375"/>
      <c r="D235" s="331"/>
      <c r="E235" s="312" t="s">
        <v>48</v>
      </c>
      <c r="F235" s="312"/>
      <c r="G235" s="312">
        <v>4</v>
      </c>
      <c r="H235" s="280">
        <v>1</v>
      </c>
      <c r="I235" s="280" t="s">
        <v>1209</v>
      </c>
      <c r="J235" s="130" t="s">
        <v>460</v>
      </c>
      <c r="K235" s="312" t="s">
        <v>1211</v>
      </c>
      <c r="L235" s="312" t="s">
        <v>1211</v>
      </c>
      <c r="M235" s="312" t="s">
        <v>1211</v>
      </c>
      <c r="N235" s="404" t="s">
        <v>1211</v>
      </c>
      <c r="O235" s="404" t="s">
        <v>1211</v>
      </c>
      <c r="P235" s="404" t="s">
        <v>1211</v>
      </c>
      <c r="Q235" s="404" t="s">
        <v>1211</v>
      </c>
      <c r="R235" s="282"/>
    </row>
    <row r="236" spans="3:19" ht="28.8" x14ac:dyDescent="0.3">
      <c r="C236" s="375"/>
      <c r="D236" s="331" t="s">
        <v>291</v>
      </c>
      <c r="E236" s="312" t="s">
        <v>614</v>
      </c>
      <c r="F236" s="312"/>
      <c r="G236" s="312">
        <v>4</v>
      </c>
      <c r="H236" s="280">
        <v>1</v>
      </c>
      <c r="I236" s="280" t="s">
        <v>1209</v>
      </c>
      <c r="J236" s="130" t="s">
        <v>487</v>
      </c>
      <c r="K236" s="312" t="s">
        <v>291</v>
      </c>
      <c r="L236" s="312" t="s">
        <v>291</v>
      </c>
      <c r="M236" s="312" t="s">
        <v>291</v>
      </c>
      <c r="N236" s="404" t="s">
        <v>1422</v>
      </c>
      <c r="O236" s="404" t="s">
        <v>1422</v>
      </c>
      <c r="P236" s="404" t="s">
        <v>1422</v>
      </c>
      <c r="Q236" s="404" t="s">
        <v>1422</v>
      </c>
      <c r="R236" s="282"/>
      <c r="S236" s="377" t="s">
        <v>1478</v>
      </c>
    </row>
    <row r="237" spans="3:19" x14ac:dyDescent="0.3">
      <c r="C237" s="375"/>
      <c r="D237" s="331" t="s">
        <v>293</v>
      </c>
      <c r="E237" s="312" t="s">
        <v>614</v>
      </c>
      <c r="F237" s="312"/>
      <c r="G237" s="312">
        <v>4</v>
      </c>
      <c r="H237" s="280">
        <v>1</v>
      </c>
      <c r="I237" s="280" t="s">
        <v>1209</v>
      </c>
      <c r="J237" s="130" t="s">
        <v>488</v>
      </c>
      <c r="K237" s="312" t="s">
        <v>293</v>
      </c>
      <c r="L237" s="312" t="s">
        <v>293</v>
      </c>
      <c r="M237" s="312" t="s">
        <v>293</v>
      </c>
      <c r="N237" s="404" t="s">
        <v>1422</v>
      </c>
      <c r="O237" s="404" t="s">
        <v>1422</v>
      </c>
      <c r="P237" s="404" t="s">
        <v>1422</v>
      </c>
      <c r="Q237" s="404" t="s">
        <v>1422</v>
      </c>
      <c r="R237" s="282"/>
    </row>
    <row r="238" spans="3:19" ht="28.8" x14ac:dyDescent="0.3">
      <c r="C238" s="375"/>
      <c r="D238" s="331"/>
      <c r="E238" s="312" t="s">
        <v>48</v>
      </c>
      <c r="F238" s="312"/>
      <c r="G238" s="312">
        <v>4</v>
      </c>
      <c r="H238" s="280">
        <v>1</v>
      </c>
      <c r="I238" s="280" t="s">
        <v>1209</v>
      </c>
      <c r="J238" s="130" t="s">
        <v>460</v>
      </c>
      <c r="K238" s="332" t="s">
        <v>1212</v>
      </c>
      <c r="L238" s="332" t="s">
        <v>1212</v>
      </c>
      <c r="M238" s="332" t="s">
        <v>1212</v>
      </c>
      <c r="N238" s="404" t="s">
        <v>1212</v>
      </c>
      <c r="O238" s="411" t="s">
        <v>1212</v>
      </c>
      <c r="P238" s="411" t="s">
        <v>1212</v>
      </c>
      <c r="Q238" s="411" t="s">
        <v>1212</v>
      </c>
      <c r="R238" s="313"/>
    </row>
    <row r="239" spans="3:19" ht="115.2" x14ac:dyDescent="0.3">
      <c r="C239" s="375"/>
      <c r="D239" s="334" t="s">
        <v>1153</v>
      </c>
      <c r="E239" s="336" t="s">
        <v>1449</v>
      </c>
      <c r="F239" s="312"/>
      <c r="G239" s="312">
        <v>4</v>
      </c>
      <c r="H239" s="280">
        <v>1</v>
      </c>
      <c r="I239" s="280" t="s">
        <v>1209</v>
      </c>
      <c r="J239" s="130" t="s">
        <v>1155</v>
      </c>
      <c r="K239" s="332" t="s">
        <v>1408</v>
      </c>
      <c r="L239" s="334" t="s">
        <v>1153</v>
      </c>
      <c r="M239" s="332" t="s">
        <v>1408</v>
      </c>
      <c r="N239" s="404" t="s">
        <v>1408</v>
      </c>
      <c r="O239" s="411" t="s">
        <v>1408</v>
      </c>
      <c r="P239" s="411" t="s">
        <v>1408</v>
      </c>
      <c r="Q239" s="411" t="s">
        <v>1408</v>
      </c>
      <c r="R239" s="313"/>
      <c r="S239" s="377" t="s">
        <v>1477</v>
      </c>
    </row>
    <row r="240" spans="3:19" ht="28.8" x14ac:dyDescent="0.3">
      <c r="C240" s="375"/>
      <c r="D240" s="331"/>
      <c r="E240" s="312" t="s">
        <v>48</v>
      </c>
      <c r="F240" s="312"/>
      <c r="G240" s="312">
        <v>4</v>
      </c>
      <c r="H240" s="280">
        <v>1</v>
      </c>
      <c r="I240" s="280" t="s">
        <v>1214</v>
      </c>
      <c r="J240" s="130" t="s">
        <v>460</v>
      </c>
      <c r="K240" s="332" t="s">
        <v>1213</v>
      </c>
      <c r="L240" s="332" t="s">
        <v>1213</v>
      </c>
      <c r="M240" s="332" t="s">
        <v>1213</v>
      </c>
      <c r="N240" s="404" t="s">
        <v>1213</v>
      </c>
      <c r="O240" s="411" t="s">
        <v>1213</v>
      </c>
      <c r="P240" s="411" t="s">
        <v>1213</v>
      </c>
      <c r="Q240" s="411" t="s">
        <v>1213</v>
      </c>
      <c r="R240" s="313"/>
    </row>
    <row r="241" spans="3:19" ht="28.8" x14ac:dyDescent="0.3">
      <c r="C241" s="375"/>
      <c r="D241" s="331"/>
      <c r="E241" s="312" t="s">
        <v>48</v>
      </c>
      <c r="F241" s="312"/>
      <c r="G241" s="312">
        <v>4</v>
      </c>
      <c r="H241" s="280">
        <v>1</v>
      </c>
      <c r="I241" s="280" t="s">
        <v>1214</v>
      </c>
      <c r="J241" s="130" t="s">
        <v>460</v>
      </c>
      <c r="K241" s="332" t="s">
        <v>1215</v>
      </c>
      <c r="L241" s="332" t="s">
        <v>1215</v>
      </c>
      <c r="M241" s="332" t="s">
        <v>1215</v>
      </c>
      <c r="N241" s="404" t="s">
        <v>1215</v>
      </c>
      <c r="O241" s="411" t="s">
        <v>1215</v>
      </c>
      <c r="P241" s="411" t="s">
        <v>1215</v>
      </c>
      <c r="Q241" s="411" t="s">
        <v>1215</v>
      </c>
      <c r="R241" s="313"/>
    </row>
    <row r="242" spans="3:19" ht="28.8" x14ac:dyDescent="0.3">
      <c r="C242" s="375"/>
      <c r="D242" s="331"/>
      <c r="E242" s="312" t="s">
        <v>48</v>
      </c>
      <c r="F242" s="312"/>
      <c r="G242" s="312">
        <v>4</v>
      </c>
      <c r="H242" s="280">
        <v>1</v>
      </c>
      <c r="I242" s="280" t="s">
        <v>1214</v>
      </c>
      <c r="J242" s="130" t="s">
        <v>460</v>
      </c>
      <c r="K242" s="332" t="s">
        <v>1216</v>
      </c>
      <c r="L242" s="332" t="s">
        <v>1216</v>
      </c>
      <c r="M242" s="332" t="s">
        <v>1216</v>
      </c>
      <c r="N242" s="404" t="s">
        <v>1216</v>
      </c>
      <c r="O242" s="411" t="s">
        <v>1216</v>
      </c>
      <c r="P242" s="411" t="s">
        <v>1216</v>
      </c>
      <c r="Q242" s="411" t="s">
        <v>1216</v>
      </c>
      <c r="R242" s="313"/>
    </row>
    <row r="243" spans="3:19" ht="28.8" x14ac:dyDescent="0.3">
      <c r="C243" s="375"/>
      <c r="D243" s="331"/>
      <c r="E243" s="312" t="s">
        <v>48</v>
      </c>
      <c r="F243" s="312"/>
      <c r="G243" s="312">
        <v>4</v>
      </c>
      <c r="H243" s="280">
        <v>1</v>
      </c>
      <c r="I243" s="280" t="s">
        <v>1214</v>
      </c>
      <c r="J243" s="130" t="s">
        <v>460</v>
      </c>
      <c r="K243" s="332" t="s">
        <v>1217</v>
      </c>
      <c r="L243" s="332" t="s">
        <v>1217</v>
      </c>
      <c r="M243" s="332" t="s">
        <v>1217</v>
      </c>
      <c r="N243" s="404" t="s">
        <v>1217</v>
      </c>
      <c r="O243" s="411" t="s">
        <v>1217</v>
      </c>
      <c r="P243" s="411" t="s">
        <v>1217</v>
      </c>
      <c r="Q243" s="411" t="s">
        <v>1217</v>
      </c>
      <c r="R243" s="313"/>
    </row>
    <row r="244" spans="3:19" ht="28.8" x14ac:dyDescent="0.3">
      <c r="C244" s="375"/>
      <c r="D244" s="331"/>
      <c r="E244" s="312" t="s">
        <v>48</v>
      </c>
      <c r="F244" s="312"/>
      <c r="G244" s="312">
        <v>4</v>
      </c>
      <c r="H244" s="280">
        <v>1</v>
      </c>
      <c r="I244" s="280" t="s">
        <v>1214</v>
      </c>
      <c r="J244" s="130" t="s">
        <v>460</v>
      </c>
      <c r="K244" s="332" t="s">
        <v>1218</v>
      </c>
      <c r="L244" s="332" t="s">
        <v>1218</v>
      </c>
      <c r="M244" s="332" t="s">
        <v>1218</v>
      </c>
      <c r="N244" s="404" t="s">
        <v>1218</v>
      </c>
      <c r="O244" s="411" t="s">
        <v>1218</v>
      </c>
      <c r="P244" s="411" t="s">
        <v>1218</v>
      </c>
      <c r="Q244" s="411" t="s">
        <v>1218</v>
      </c>
      <c r="R244" s="313"/>
    </row>
    <row r="245" spans="3:19" ht="57.6" x14ac:dyDescent="0.3">
      <c r="C245" s="375"/>
      <c r="D245" s="331" t="s">
        <v>295</v>
      </c>
      <c r="E245" s="312" t="s">
        <v>614</v>
      </c>
      <c r="F245" s="312"/>
      <c r="G245" s="312">
        <v>4</v>
      </c>
      <c r="H245" s="280">
        <v>1</v>
      </c>
      <c r="I245" s="280" t="s">
        <v>1214</v>
      </c>
      <c r="J245" s="130" t="s">
        <v>489</v>
      </c>
      <c r="K245" s="312" t="s">
        <v>295</v>
      </c>
      <c r="L245" s="312" t="s">
        <v>295</v>
      </c>
      <c r="M245" s="312" t="s">
        <v>295</v>
      </c>
      <c r="N245" s="404" t="s">
        <v>1422</v>
      </c>
      <c r="O245" s="404" t="s">
        <v>1422</v>
      </c>
      <c r="P245" s="404" t="s">
        <v>1422</v>
      </c>
      <c r="Q245" s="404" t="s">
        <v>1422</v>
      </c>
      <c r="R245" s="282"/>
    </row>
    <row r="246" spans="3:19" ht="172.8" x14ac:dyDescent="0.3">
      <c r="C246" s="375"/>
      <c r="D246" s="336" t="s">
        <v>297</v>
      </c>
      <c r="E246" s="312" t="s">
        <v>628</v>
      </c>
      <c r="F246" s="312"/>
      <c r="G246" s="312">
        <v>4</v>
      </c>
      <c r="H246" s="280">
        <v>1</v>
      </c>
      <c r="I246" s="280" t="s">
        <v>1214</v>
      </c>
      <c r="J246" s="130" t="s">
        <v>490</v>
      </c>
      <c r="K246" s="312" t="s">
        <v>297</v>
      </c>
      <c r="L246" s="312" t="s">
        <v>297</v>
      </c>
      <c r="M246" s="312" t="s">
        <v>297</v>
      </c>
      <c r="N246" s="405" t="s">
        <v>1445</v>
      </c>
      <c r="O246" s="412" t="s">
        <v>1446</v>
      </c>
      <c r="P246" s="412" t="s">
        <v>1447</v>
      </c>
      <c r="Q246" s="412" t="s">
        <v>1448</v>
      </c>
      <c r="R246" s="282"/>
    </row>
    <row r="247" spans="3:19" ht="172.8" x14ac:dyDescent="0.3">
      <c r="C247" s="375"/>
      <c r="D247" s="312" t="s">
        <v>299</v>
      </c>
      <c r="E247" s="312" t="s">
        <v>629</v>
      </c>
      <c r="F247" s="312"/>
      <c r="G247" s="312">
        <v>4</v>
      </c>
      <c r="H247" s="280">
        <v>1</v>
      </c>
      <c r="I247" s="280" t="s">
        <v>1214</v>
      </c>
      <c r="J247" s="130" t="s">
        <v>491</v>
      </c>
      <c r="K247" s="312" t="s">
        <v>299</v>
      </c>
      <c r="L247" s="312" t="s">
        <v>299</v>
      </c>
      <c r="M247" s="312" t="s">
        <v>299</v>
      </c>
      <c r="N247" s="404" t="s">
        <v>1422</v>
      </c>
      <c r="O247" s="404" t="s">
        <v>1452</v>
      </c>
      <c r="P247" s="404" t="s">
        <v>1452</v>
      </c>
      <c r="Q247" s="404" t="s">
        <v>1452</v>
      </c>
      <c r="R247" s="282"/>
    </row>
    <row r="248" spans="3:19" ht="72" x14ac:dyDescent="0.3">
      <c r="C248" s="375" t="s">
        <v>46</v>
      </c>
      <c r="D248" s="312" t="s">
        <v>301</v>
      </c>
      <c r="E248" s="312" t="s">
        <v>631</v>
      </c>
      <c r="F248" s="312"/>
      <c r="G248" s="312">
        <v>4</v>
      </c>
      <c r="H248" s="280">
        <v>1</v>
      </c>
      <c r="I248" s="280" t="s">
        <v>1219</v>
      </c>
      <c r="J248" s="130" t="s">
        <v>492</v>
      </c>
      <c r="K248" s="312" t="s">
        <v>301</v>
      </c>
      <c r="L248" s="312" t="s">
        <v>301</v>
      </c>
      <c r="M248" s="312" t="s">
        <v>301</v>
      </c>
      <c r="N248" s="404" t="s">
        <v>1422</v>
      </c>
      <c r="O248" s="404" t="s">
        <v>1452</v>
      </c>
      <c r="P248" s="404" t="s">
        <v>1452</v>
      </c>
      <c r="Q248" s="404" t="s">
        <v>1452</v>
      </c>
      <c r="R248" s="282"/>
    </row>
    <row r="249" spans="3:19" ht="72" x14ac:dyDescent="0.3">
      <c r="C249" s="375"/>
      <c r="D249" s="335" t="s">
        <v>303</v>
      </c>
      <c r="E249" s="312" t="s">
        <v>631</v>
      </c>
      <c r="F249" s="312"/>
      <c r="G249" s="312">
        <v>4</v>
      </c>
      <c r="H249" s="280">
        <v>1</v>
      </c>
      <c r="I249" s="280" t="s">
        <v>1219</v>
      </c>
      <c r="J249" s="130" t="s">
        <v>493</v>
      </c>
      <c r="K249" s="335" t="s">
        <v>303</v>
      </c>
      <c r="L249" s="335" t="s">
        <v>303</v>
      </c>
      <c r="M249" s="312" t="s">
        <v>303</v>
      </c>
      <c r="N249" s="404" t="s">
        <v>1422</v>
      </c>
      <c r="O249" s="404" t="s">
        <v>1452</v>
      </c>
      <c r="P249" s="404" t="s">
        <v>1452</v>
      </c>
      <c r="Q249" s="404" t="s">
        <v>1452</v>
      </c>
      <c r="R249" s="284"/>
    </row>
    <row r="250" spans="3:19" ht="86.4" x14ac:dyDescent="0.3">
      <c r="C250" s="375"/>
      <c r="D250" s="335" t="s">
        <v>305</v>
      </c>
      <c r="E250" s="312" t="s">
        <v>631</v>
      </c>
      <c r="F250" s="312"/>
      <c r="G250" s="312">
        <v>4</v>
      </c>
      <c r="H250" s="280">
        <v>1</v>
      </c>
      <c r="I250" s="280" t="s">
        <v>1219</v>
      </c>
      <c r="J250" s="130" t="s">
        <v>494</v>
      </c>
      <c r="K250" s="335" t="s">
        <v>305</v>
      </c>
      <c r="L250" s="335" t="s">
        <v>305</v>
      </c>
      <c r="M250" s="312" t="s">
        <v>305</v>
      </c>
      <c r="N250" s="404" t="s">
        <v>1422</v>
      </c>
      <c r="O250" s="404" t="s">
        <v>1452</v>
      </c>
      <c r="P250" s="404" t="s">
        <v>1452</v>
      </c>
      <c r="Q250" s="404" t="s">
        <v>1452</v>
      </c>
      <c r="R250" s="284"/>
    </row>
    <row r="251" spans="3:19" ht="86.4" x14ac:dyDescent="0.3">
      <c r="C251" s="375"/>
      <c r="D251" s="335" t="s">
        <v>307</v>
      </c>
      <c r="E251" s="312" t="s">
        <v>631</v>
      </c>
      <c r="F251" s="312"/>
      <c r="G251" s="312">
        <v>4</v>
      </c>
      <c r="H251" s="280">
        <v>1</v>
      </c>
      <c r="I251" s="280" t="s">
        <v>1219</v>
      </c>
      <c r="J251" s="130" t="s">
        <v>495</v>
      </c>
      <c r="K251" s="335" t="s">
        <v>307</v>
      </c>
      <c r="L251" s="335" t="s">
        <v>307</v>
      </c>
      <c r="M251" s="312" t="s">
        <v>307</v>
      </c>
      <c r="N251" s="404" t="s">
        <v>1422</v>
      </c>
      <c r="O251" s="404" t="s">
        <v>1452</v>
      </c>
      <c r="P251" s="404" t="s">
        <v>1452</v>
      </c>
      <c r="Q251" s="404" t="s">
        <v>1452</v>
      </c>
      <c r="R251" s="284"/>
      <c r="S251" s="377" t="s">
        <v>1479</v>
      </c>
    </row>
    <row r="252" spans="3:19" ht="86.4" x14ac:dyDescent="0.3">
      <c r="C252" s="375"/>
      <c r="D252" s="335" t="s">
        <v>309</v>
      </c>
      <c r="E252" s="312" t="s">
        <v>631</v>
      </c>
      <c r="F252" s="312"/>
      <c r="G252" s="312">
        <v>4</v>
      </c>
      <c r="H252" s="280">
        <v>1</v>
      </c>
      <c r="I252" s="280" t="s">
        <v>1219</v>
      </c>
      <c r="J252" s="130" t="s">
        <v>496</v>
      </c>
      <c r="K252" s="335" t="s">
        <v>309</v>
      </c>
      <c r="L252" s="335" t="s">
        <v>309</v>
      </c>
      <c r="M252" s="312" t="s">
        <v>309</v>
      </c>
      <c r="N252" s="404" t="s">
        <v>1422</v>
      </c>
      <c r="O252" s="404" t="s">
        <v>1452</v>
      </c>
      <c r="P252" s="405" t="s">
        <v>1422</v>
      </c>
      <c r="Q252" s="404" t="s">
        <v>1452</v>
      </c>
      <c r="R252" s="284"/>
    </row>
    <row r="253" spans="3:19" ht="72" x14ac:dyDescent="0.3">
      <c r="C253" s="375"/>
      <c r="D253" s="335" t="s">
        <v>311</v>
      </c>
      <c r="E253" s="312" t="s">
        <v>631</v>
      </c>
      <c r="F253" s="312"/>
      <c r="G253" s="312">
        <v>4</v>
      </c>
      <c r="H253" s="280">
        <v>1</v>
      </c>
      <c r="I253" s="280" t="s">
        <v>1219</v>
      </c>
      <c r="J253" s="130" t="s">
        <v>497</v>
      </c>
      <c r="K253" s="335" t="s">
        <v>311</v>
      </c>
      <c r="L253" s="335" t="s">
        <v>311</v>
      </c>
      <c r="M253" s="312" t="s">
        <v>311</v>
      </c>
      <c r="N253" s="404" t="s">
        <v>1422</v>
      </c>
      <c r="O253" s="404" t="s">
        <v>1452</v>
      </c>
      <c r="P253" s="404" t="s">
        <v>1452</v>
      </c>
      <c r="Q253" s="404" t="s">
        <v>1452</v>
      </c>
      <c r="R253" s="284"/>
    </row>
    <row r="254" spans="3:19" ht="72" x14ac:dyDescent="0.3">
      <c r="C254" s="375"/>
      <c r="D254" s="335" t="s">
        <v>313</v>
      </c>
      <c r="E254" s="312" t="s">
        <v>631</v>
      </c>
      <c r="F254" s="312"/>
      <c r="G254" s="312">
        <v>4</v>
      </c>
      <c r="H254" s="280">
        <v>1</v>
      </c>
      <c r="I254" s="280" t="s">
        <v>1219</v>
      </c>
      <c r="J254" s="130" t="s">
        <v>498</v>
      </c>
      <c r="K254" s="335" t="s">
        <v>313</v>
      </c>
      <c r="L254" s="335" t="s">
        <v>313</v>
      </c>
      <c r="M254" s="312" t="s">
        <v>313</v>
      </c>
      <c r="N254" s="404" t="s">
        <v>1422</v>
      </c>
      <c r="O254" s="404" t="s">
        <v>1452</v>
      </c>
      <c r="P254" s="404" t="s">
        <v>1452</v>
      </c>
      <c r="Q254" s="404" t="s">
        <v>1452</v>
      </c>
      <c r="R254" s="284"/>
    </row>
    <row r="255" spans="3:19" ht="72" x14ac:dyDescent="0.3">
      <c r="C255" s="375"/>
      <c r="D255" s="335" t="s">
        <v>315</v>
      </c>
      <c r="E255" s="312" t="s">
        <v>631</v>
      </c>
      <c r="F255" s="312"/>
      <c r="G255" s="312">
        <v>4</v>
      </c>
      <c r="H255" s="280">
        <v>1</v>
      </c>
      <c r="I255" s="280" t="s">
        <v>1219</v>
      </c>
      <c r="J255" s="130" t="s">
        <v>499</v>
      </c>
      <c r="K255" s="335" t="s">
        <v>315</v>
      </c>
      <c r="L255" s="335" t="s">
        <v>315</v>
      </c>
      <c r="M255" s="312" t="s">
        <v>315</v>
      </c>
      <c r="N255" s="404" t="s">
        <v>1422</v>
      </c>
      <c r="O255" s="404" t="s">
        <v>1452</v>
      </c>
      <c r="P255" s="404" t="s">
        <v>1452</v>
      </c>
      <c r="Q255" s="404" t="s">
        <v>1452</v>
      </c>
      <c r="R255" s="284"/>
    </row>
    <row r="256" spans="3:19" ht="72" x14ac:dyDescent="0.3">
      <c r="C256" s="375"/>
      <c r="D256" s="335" t="s">
        <v>317</v>
      </c>
      <c r="E256" s="312" t="s">
        <v>631</v>
      </c>
      <c r="F256" s="312"/>
      <c r="G256" s="312">
        <v>4</v>
      </c>
      <c r="H256" s="280">
        <v>1</v>
      </c>
      <c r="I256" s="280" t="s">
        <v>1220</v>
      </c>
      <c r="J256" s="130" t="s">
        <v>500</v>
      </c>
      <c r="K256" s="335" t="s">
        <v>317</v>
      </c>
      <c r="L256" s="335" t="s">
        <v>317</v>
      </c>
      <c r="M256" s="312" t="s">
        <v>317</v>
      </c>
      <c r="N256" s="404" t="s">
        <v>1422</v>
      </c>
      <c r="O256" s="404" t="s">
        <v>1452</v>
      </c>
      <c r="P256" s="404" t="s">
        <v>1452</v>
      </c>
      <c r="Q256" s="404" t="s">
        <v>1452</v>
      </c>
      <c r="R256" s="284"/>
    </row>
    <row r="257" spans="3:19" ht="72" x14ac:dyDescent="0.3">
      <c r="C257" s="375"/>
      <c r="D257" s="335" t="s">
        <v>319</v>
      </c>
      <c r="E257" s="312" t="s">
        <v>631</v>
      </c>
      <c r="F257" s="312"/>
      <c r="G257" s="312">
        <v>4</v>
      </c>
      <c r="H257" s="280">
        <v>1</v>
      </c>
      <c r="I257" s="280" t="s">
        <v>1220</v>
      </c>
      <c r="J257" s="130" t="s">
        <v>501</v>
      </c>
      <c r="K257" s="335" t="s">
        <v>319</v>
      </c>
      <c r="L257" s="335" t="s">
        <v>319</v>
      </c>
      <c r="M257" s="312" t="s">
        <v>319</v>
      </c>
      <c r="N257" s="404" t="s">
        <v>1422</v>
      </c>
      <c r="O257" s="404" t="s">
        <v>1452</v>
      </c>
      <c r="P257" s="404" t="s">
        <v>1452</v>
      </c>
      <c r="Q257" s="404" t="s">
        <v>1452</v>
      </c>
      <c r="R257" s="284"/>
    </row>
    <row r="258" spans="3:19" ht="28.8" x14ac:dyDescent="0.3">
      <c r="C258" s="375"/>
      <c r="D258" s="335" t="s">
        <v>1221</v>
      </c>
      <c r="E258" s="312" t="s">
        <v>48</v>
      </c>
      <c r="F258" s="312"/>
      <c r="G258" s="312">
        <v>4</v>
      </c>
      <c r="H258" s="280">
        <v>1</v>
      </c>
      <c r="I258" s="280" t="s">
        <v>1220</v>
      </c>
      <c r="J258" s="130" t="s">
        <v>460</v>
      </c>
      <c r="K258" s="335" t="s">
        <v>1221</v>
      </c>
      <c r="L258" s="335" t="s">
        <v>1221</v>
      </c>
      <c r="M258" s="312" t="s">
        <v>1221</v>
      </c>
      <c r="N258" s="404" t="s">
        <v>1221</v>
      </c>
      <c r="O258" s="404" t="s">
        <v>1221</v>
      </c>
      <c r="P258" s="404" t="s">
        <v>1221</v>
      </c>
      <c r="Q258" s="404" t="s">
        <v>1221</v>
      </c>
      <c r="R258" s="284"/>
    </row>
    <row r="259" spans="3:19" ht="28.8" x14ac:dyDescent="0.3">
      <c r="C259" s="375"/>
      <c r="D259" s="335" t="s">
        <v>1222</v>
      </c>
      <c r="E259" s="312" t="s">
        <v>48</v>
      </c>
      <c r="F259" s="312"/>
      <c r="G259" s="312">
        <v>4</v>
      </c>
      <c r="H259" s="280">
        <v>1</v>
      </c>
      <c r="I259" s="280" t="s">
        <v>1220</v>
      </c>
      <c r="J259" s="130" t="s">
        <v>460</v>
      </c>
      <c r="K259" s="335" t="s">
        <v>1222</v>
      </c>
      <c r="L259" s="335" t="s">
        <v>1222</v>
      </c>
      <c r="M259" s="312" t="s">
        <v>1222</v>
      </c>
      <c r="N259" s="404" t="s">
        <v>1222</v>
      </c>
      <c r="O259" s="404" t="s">
        <v>1222</v>
      </c>
      <c r="P259" s="404" t="s">
        <v>1222</v>
      </c>
      <c r="Q259" s="404" t="s">
        <v>1222</v>
      </c>
      <c r="R259" s="284"/>
    </row>
    <row r="260" spans="3:19" ht="28.8" x14ac:dyDescent="0.3">
      <c r="C260" s="375"/>
      <c r="D260" s="335" t="s">
        <v>1223</v>
      </c>
      <c r="E260" s="312" t="s">
        <v>48</v>
      </c>
      <c r="F260" s="312"/>
      <c r="G260" s="312">
        <v>4</v>
      </c>
      <c r="H260" s="280">
        <v>1</v>
      </c>
      <c r="I260" s="280" t="s">
        <v>1220</v>
      </c>
      <c r="J260" s="130" t="s">
        <v>460</v>
      </c>
      <c r="K260" s="335" t="s">
        <v>1223</v>
      </c>
      <c r="L260" s="335" t="s">
        <v>1223</v>
      </c>
      <c r="M260" s="312" t="s">
        <v>1223</v>
      </c>
      <c r="N260" s="404" t="s">
        <v>1223</v>
      </c>
      <c r="O260" s="404" t="s">
        <v>1223</v>
      </c>
      <c r="P260" s="404" t="s">
        <v>1223</v>
      </c>
      <c r="Q260" s="404" t="s">
        <v>1223</v>
      </c>
      <c r="R260" s="284"/>
    </row>
    <row r="261" spans="3:19" ht="28.8" x14ac:dyDescent="0.3">
      <c r="C261" s="375"/>
      <c r="D261" s="335" t="s">
        <v>1224</v>
      </c>
      <c r="E261" s="312" t="s">
        <v>48</v>
      </c>
      <c r="F261" s="312"/>
      <c r="G261" s="312">
        <v>4</v>
      </c>
      <c r="H261" s="280">
        <v>1</v>
      </c>
      <c r="I261" s="280" t="s">
        <v>1220</v>
      </c>
      <c r="J261" s="130" t="s">
        <v>460</v>
      </c>
      <c r="K261" s="335" t="s">
        <v>1224</v>
      </c>
      <c r="L261" s="335" t="s">
        <v>1224</v>
      </c>
      <c r="M261" s="312" t="s">
        <v>1224</v>
      </c>
      <c r="N261" s="404" t="s">
        <v>1224</v>
      </c>
      <c r="O261" s="404" t="s">
        <v>1224</v>
      </c>
      <c r="P261" s="404" t="s">
        <v>1224</v>
      </c>
      <c r="Q261" s="404" t="s">
        <v>1224</v>
      </c>
      <c r="R261" s="284"/>
    </row>
    <row r="262" spans="3:19" ht="28.8" x14ac:dyDescent="0.3">
      <c r="C262" s="375"/>
      <c r="D262" s="335" t="s">
        <v>1225</v>
      </c>
      <c r="E262" s="312" t="s">
        <v>48</v>
      </c>
      <c r="F262" s="312"/>
      <c r="G262" s="312">
        <v>4</v>
      </c>
      <c r="H262" s="280">
        <v>1</v>
      </c>
      <c r="I262" s="280" t="s">
        <v>1220</v>
      </c>
      <c r="J262" s="130" t="s">
        <v>460</v>
      </c>
      <c r="K262" s="335" t="s">
        <v>1225</v>
      </c>
      <c r="L262" s="335" t="s">
        <v>1225</v>
      </c>
      <c r="M262" s="312" t="s">
        <v>1225</v>
      </c>
      <c r="N262" s="404" t="s">
        <v>1225</v>
      </c>
      <c r="O262" s="404" t="s">
        <v>1225</v>
      </c>
      <c r="P262" s="404" t="s">
        <v>1225</v>
      </c>
      <c r="Q262" s="404" t="s">
        <v>1225</v>
      </c>
      <c r="R262" s="284"/>
    </row>
    <row r="263" spans="3:19" ht="28.8" x14ac:dyDescent="0.3">
      <c r="C263" s="375"/>
      <c r="D263" s="335" t="s">
        <v>1226</v>
      </c>
      <c r="E263" s="312" t="s">
        <v>48</v>
      </c>
      <c r="F263" s="312"/>
      <c r="G263" s="312">
        <v>4</v>
      </c>
      <c r="H263" s="280">
        <v>1</v>
      </c>
      <c r="I263" s="280" t="s">
        <v>1220</v>
      </c>
      <c r="J263" s="130" t="s">
        <v>460</v>
      </c>
      <c r="K263" s="335" t="s">
        <v>1226</v>
      </c>
      <c r="L263" s="335" t="s">
        <v>1226</v>
      </c>
      <c r="M263" s="312" t="s">
        <v>1226</v>
      </c>
      <c r="N263" s="404" t="s">
        <v>1226</v>
      </c>
      <c r="O263" s="404" t="s">
        <v>1226</v>
      </c>
      <c r="P263" s="404" t="s">
        <v>1226</v>
      </c>
      <c r="Q263" s="404" t="s">
        <v>1226</v>
      </c>
      <c r="R263" s="284"/>
    </row>
    <row r="264" spans="3:19" ht="72" x14ac:dyDescent="0.3">
      <c r="C264" s="375"/>
      <c r="D264" s="335" t="s">
        <v>327</v>
      </c>
      <c r="E264" s="312" t="s">
        <v>631</v>
      </c>
      <c r="F264" s="312"/>
      <c r="G264" s="312">
        <v>4</v>
      </c>
      <c r="H264" s="280">
        <v>1</v>
      </c>
      <c r="I264" s="280" t="s">
        <v>1227</v>
      </c>
      <c r="J264" s="130" t="s">
        <v>502</v>
      </c>
      <c r="K264" s="335" t="s">
        <v>327</v>
      </c>
      <c r="L264" s="335" t="s">
        <v>327</v>
      </c>
      <c r="M264" s="312" t="s">
        <v>327</v>
      </c>
      <c r="N264" s="404" t="s">
        <v>1422</v>
      </c>
      <c r="O264" s="404" t="s">
        <v>1422</v>
      </c>
      <c r="P264" s="404" t="s">
        <v>1422</v>
      </c>
      <c r="Q264" s="404" t="s">
        <v>1422</v>
      </c>
      <c r="R264" s="284"/>
      <c r="S264" s="377" t="s">
        <v>1468</v>
      </c>
    </row>
    <row r="265" spans="3:19" ht="28.8" x14ac:dyDescent="0.3">
      <c r="C265" s="375"/>
      <c r="D265" s="335" t="s">
        <v>1228</v>
      </c>
      <c r="E265" s="312" t="s">
        <v>48</v>
      </c>
      <c r="F265" s="312"/>
      <c r="G265" s="312">
        <v>4</v>
      </c>
      <c r="H265" s="280">
        <v>1</v>
      </c>
      <c r="I265" s="280" t="s">
        <v>1227</v>
      </c>
      <c r="J265" s="130" t="s">
        <v>460</v>
      </c>
      <c r="K265" s="335" t="s">
        <v>1228</v>
      </c>
      <c r="L265" s="335" t="s">
        <v>1228</v>
      </c>
      <c r="M265" s="312" t="s">
        <v>1228</v>
      </c>
      <c r="N265" s="404" t="s">
        <v>1228</v>
      </c>
      <c r="O265" s="404" t="s">
        <v>1228</v>
      </c>
      <c r="P265" s="404" t="s">
        <v>1228</v>
      </c>
      <c r="Q265" s="404" t="s">
        <v>1228</v>
      </c>
      <c r="R265" s="284"/>
    </row>
    <row r="266" spans="3:19" ht="28.8" x14ac:dyDescent="0.3">
      <c r="C266" s="375"/>
      <c r="D266" s="335" t="s">
        <v>1229</v>
      </c>
      <c r="E266" s="312" t="s">
        <v>48</v>
      </c>
      <c r="F266" s="312"/>
      <c r="G266" s="312">
        <v>4</v>
      </c>
      <c r="H266" s="280">
        <v>1</v>
      </c>
      <c r="I266" s="280" t="s">
        <v>1227</v>
      </c>
      <c r="J266" s="130" t="s">
        <v>460</v>
      </c>
      <c r="K266" s="335" t="s">
        <v>1229</v>
      </c>
      <c r="L266" s="335" t="s">
        <v>1229</v>
      </c>
      <c r="M266" s="312" t="s">
        <v>1229</v>
      </c>
      <c r="N266" s="404" t="s">
        <v>1229</v>
      </c>
      <c r="O266" s="404" t="s">
        <v>1229</v>
      </c>
      <c r="P266" s="404" t="s">
        <v>1229</v>
      </c>
      <c r="Q266" s="404" t="s">
        <v>1229</v>
      </c>
      <c r="R266" s="284"/>
    </row>
    <row r="267" spans="3:19" ht="72" x14ac:dyDescent="0.3">
      <c r="C267" s="375"/>
      <c r="D267" s="335" t="s">
        <v>331</v>
      </c>
      <c r="E267" s="312" t="s">
        <v>631</v>
      </c>
      <c r="F267" s="312"/>
      <c r="G267" s="312">
        <v>4</v>
      </c>
      <c r="H267" s="280">
        <v>1</v>
      </c>
      <c r="I267" s="280" t="s">
        <v>1227</v>
      </c>
      <c r="J267" s="130" t="s">
        <v>503</v>
      </c>
      <c r="K267" s="335" t="s">
        <v>331</v>
      </c>
      <c r="L267" s="335" t="s">
        <v>331</v>
      </c>
      <c r="M267" s="312" t="s">
        <v>331</v>
      </c>
      <c r="N267" s="404" t="s">
        <v>1422</v>
      </c>
      <c r="O267" s="404" t="s">
        <v>1422</v>
      </c>
      <c r="P267" s="404" t="s">
        <v>1422</v>
      </c>
      <c r="Q267" s="404" t="s">
        <v>1422</v>
      </c>
      <c r="R267" s="284"/>
      <c r="S267" s="377" t="s">
        <v>1468</v>
      </c>
    </row>
    <row r="268" spans="3:19" ht="28.8" x14ac:dyDescent="0.3">
      <c r="C268" s="375"/>
      <c r="D268" s="335" t="s">
        <v>1230</v>
      </c>
      <c r="E268" s="312" t="s">
        <v>48</v>
      </c>
      <c r="F268" s="312"/>
      <c r="G268" s="312">
        <v>4</v>
      </c>
      <c r="H268" s="280">
        <v>1</v>
      </c>
      <c r="I268" s="280" t="s">
        <v>1227</v>
      </c>
      <c r="J268" s="130" t="s">
        <v>460</v>
      </c>
      <c r="K268" s="335" t="s">
        <v>1230</v>
      </c>
      <c r="L268" s="335" t="s">
        <v>1230</v>
      </c>
      <c r="M268" s="312" t="s">
        <v>1230</v>
      </c>
      <c r="N268" s="404" t="s">
        <v>1230</v>
      </c>
      <c r="O268" s="404" t="s">
        <v>1230</v>
      </c>
      <c r="P268" s="404" t="s">
        <v>1230</v>
      </c>
      <c r="Q268" s="404" t="s">
        <v>1230</v>
      </c>
      <c r="R268" s="284"/>
    </row>
    <row r="269" spans="3:19" ht="28.8" x14ac:dyDescent="0.3">
      <c r="C269" s="375"/>
      <c r="D269" s="335" t="s">
        <v>1231</v>
      </c>
      <c r="E269" s="312" t="s">
        <v>48</v>
      </c>
      <c r="F269" s="312"/>
      <c r="G269" s="312">
        <v>4</v>
      </c>
      <c r="H269" s="280">
        <v>1</v>
      </c>
      <c r="I269" s="280" t="s">
        <v>1227</v>
      </c>
      <c r="J269" s="130" t="s">
        <v>460</v>
      </c>
      <c r="K269" s="335" t="s">
        <v>1231</v>
      </c>
      <c r="L269" s="335" t="s">
        <v>1231</v>
      </c>
      <c r="M269" s="312" t="s">
        <v>1231</v>
      </c>
      <c r="N269" s="404" t="s">
        <v>1231</v>
      </c>
      <c r="O269" s="404" t="s">
        <v>1231</v>
      </c>
      <c r="P269" s="404" t="s">
        <v>1231</v>
      </c>
      <c r="Q269" s="404" t="s">
        <v>1231</v>
      </c>
      <c r="R269" s="284"/>
    </row>
    <row r="270" spans="3:19" ht="28.8" x14ac:dyDescent="0.3">
      <c r="C270" s="375"/>
      <c r="D270" s="335" t="s">
        <v>1232</v>
      </c>
      <c r="E270" s="312" t="s">
        <v>48</v>
      </c>
      <c r="F270" s="312"/>
      <c r="G270" s="312">
        <v>4</v>
      </c>
      <c r="H270" s="280">
        <v>1</v>
      </c>
      <c r="I270" s="280" t="s">
        <v>1227</v>
      </c>
      <c r="J270" s="130" t="s">
        <v>460</v>
      </c>
      <c r="K270" s="335" t="s">
        <v>1232</v>
      </c>
      <c r="L270" s="335" t="s">
        <v>1232</v>
      </c>
      <c r="M270" s="312" t="s">
        <v>1232</v>
      </c>
      <c r="N270" s="404" t="s">
        <v>1232</v>
      </c>
      <c r="O270" s="404" t="s">
        <v>1232</v>
      </c>
      <c r="P270" s="404" t="s">
        <v>1232</v>
      </c>
      <c r="Q270" s="404" t="s">
        <v>1232</v>
      </c>
      <c r="R270" s="284"/>
    </row>
    <row r="271" spans="3:19" ht="115.2" x14ac:dyDescent="0.3">
      <c r="C271" s="375"/>
      <c r="D271" s="336" t="s">
        <v>1409</v>
      </c>
      <c r="E271" s="336" t="s">
        <v>1154</v>
      </c>
      <c r="F271" s="312"/>
      <c r="G271" s="312">
        <v>4</v>
      </c>
      <c r="H271" s="280">
        <v>1</v>
      </c>
      <c r="I271" s="280" t="s">
        <v>1227</v>
      </c>
      <c r="J271" s="395" t="s">
        <v>1155</v>
      </c>
      <c r="K271" s="335" t="s">
        <v>1233</v>
      </c>
      <c r="L271" s="335" t="s">
        <v>1233</v>
      </c>
      <c r="M271" s="312" t="s">
        <v>1233</v>
      </c>
      <c r="N271" s="404" t="s">
        <v>1233</v>
      </c>
      <c r="O271" s="404" t="s">
        <v>1233</v>
      </c>
      <c r="P271" s="404" t="s">
        <v>1233</v>
      </c>
      <c r="Q271" s="404" t="s">
        <v>1233</v>
      </c>
      <c r="R271" s="284"/>
      <c r="S271" s="377" t="s">
        <v>1468</v>
      </c>
    </row>
    <row r="272" spans="3:19" ht="100.8" x14ac:dyDescent="0.3">
      <c r="C272" s="375"/>
      <c r="D272" s="335" t="s">
        <v>337</v>
      </c>
      <c r="E272" s="312" t="s">
        <v>615</v>
      </c>
      <c r="F272" s="312"/>
      <c r="G272" s="312">
        <v>4</v>
      </c>
      <c r="H272" s="280">
        <v>1</v>
      </c>
      <c r="I272" s="280" t="s">
        <v>1234</v>
      </c>
      <c r="J272" s="130" t="s">
        <v>504</v>
      </c>
      <c r="K272" s="335" t="s">
        <v>337</v>
      </c>
      <c r="L272" s="335" t="s">
        <v>337</v>
      </c>
      <c r="M272" s="312" t="s">
        <v>337</v>
      </c>
      <c r="N272" s="404" t="s">
        <v>1422</v>
      </c>
      <c r="O272" s="404" t="s">
        <v>1438</v>
      </c>
      <c r="P272" s="404" t="s">
        <v>1438</v>
      </c>
      <c r="Q272" s="404" t="s">
        <v>1438</v>
      </c>
      <c r="R272" s="284"/>
      <c r="S272" s="377" t="s">
        <v>1480</v>
      </c>
    </row>
    <row r="273" spans="3:19" ht="100.8" x14ac:dyDescent="0.3">
      <c r="C273" s="375"/>
      <c r="D273" s="335" t="s">
        <v>339</v>
      </c>
      <c r="E273" s="312" t="s">
        <v>615</v>
      </c>
      <c r="F273" s="312"/>
      <c r="G273" s="312">
        <v>4</v>
      </c>
      <c r="H273" s="280">
        <v>1</v>
      </c>
      <c r="I273" s="280" t="s">
        <v>1234</v>
      </c>
      <c r="J273" s="130" t="s">
        <v>505</v>
      </c>
      <c r="K273" s="335" t="s">
        <v>339</v>
      </c>
      <c r="L273" s="335" t="s">
        <v>339</v>
      </c>
      <c r="M273" s="312" t="s">
        <v>339</v>
      </c>
      <c r="N273" s="404" t="s">
        <v>1422</v>
      </c>
      <c r="O273" s="404" t="s">
        <v>1438</v>
      </c>
      <c r="P273" s="404" t="s">
        <v>1438</v>
      </c>
      <c r="Q273" s="404" t="s">
        <v>1438</v>
      </c>
      <c r="R273" s="284"/>
      <c r="S273" s="377" t="s">
        <v>1480</v>
      </c>
    </row>
    <row r="274" spans="3:19" ht="100.8" x14ac:dyDescent="0.3">
      <c r="C274" s="375"/>
      <c r="D274" s="335" t="s">
        <v>341</v>
      </c>
      <c r="E274" s="312" t="s">
        <v>615</v>
      </c>
      <c r="F274" s="312"/>
      <c r="G274" s="312">
        <v>4</v>
      </c>
      <c r="H274" s="280">
        <v>1</v>
      </c>
      <c r="I274" s="280" t="s">
        <v>1234</v>
      </c>
      <c r="J274" s="130" t="s">
        <v>506</v>
      </c>
      <c r="K274" s="335" t="s">
        <v>341</v>
      </c>
      <c r="L274" s="335" t="s">
        <v>341</v>
      </c>
      <c r="M274" s="312" t="s">
        <v>341</v>
      </c>
      <c r="N274" s="404" t="s">
        <v>1422</v>
      </c>
      <c r="O274" s="404" t="s">
        <v>1438</v>
      </c>
      <c r="P274" s="404" t="s">
        <v>1438</v>
      </c>
      <c r="Q274" s="404" t="s">
        <v>1438</v>
      </c>
      <c r="R274" s="284"/>
      <c r="S274" s="377" t="s">
        <v>1480</v>
      </c>
    </row>
    <row r="275" spans="3:19" ht="100.8" x14ac:dyDescent="0.3">
      <c r="C275" s="375"/>
      <c r="D275" s="335" t="s">
        <v>343</v>
      </c>
      <c r="E275" s="312" t="s">
        <v>615</v>
      </c>
      <c r="F275" s="312"/>
      <c r="G275" s="312">
        <v>4</v>
      </c>
      <c r="H275" s="280">
        <v>1</v>
      </c>
      <c r="I275" s="280" t="s">
        <v>1234</v>
      </c>
      <c r="J275" s="130" t="s">
        <v>507</v>
      </c>
      <c r="K275" s="335" t="s">
        <v>343</v>
      </c>
      <c r="L275" s="335" t="s">
        <v>343</v>
      </c>
      <c r="M275" s="312" t="s">
        <v>343</v>
      </c>
      <c r="N275" s="404" t="s">
        <v>1422</v>
      </c>
      <c r="O275" s="404" t="s">
        <v>1438</v>
      </c>
      <c r="P275" s="404" t="s">
        <v>1438</v>
      </c>
      <c r="Q275" s="404" t="s">
        <v>1438</v>
      </c>
      <c r="R275" s="284"/>
      <c r="S275" s="377" t="s">
        <v>1480</v>
      </c>
    </row>
    <row r="276" spans="3:19" ht="100.8" x14ac:dyDescent="0.3">
      <c r="C276" s="375"/>
      <c r="D276" s="335" t="s">
        <v>345</v>
      </c>
      <c r="E276" s="312" t="s">
        <v>615</v>
      </c>
      <c r="F276" s="312"/>
      <c r="G276" s="312">
        <v>4</v>
      </c>
      <c r="H276" s="280">
        <v>1</v>
      </c>
      <c r="I276" s="280" t="s">
        <v>1234</v>
      </c>
      <c r="J276" s="130" t="s">
        <v>508</v>
      </c>
      <c r="K276" s="335" t="s">
        <v>345</v>
      </c>
      <c r="L276" s="335" t="s">
        <v>345</v>
      </c>
      <c r="M276" s="312" t="s">
        <v>345</v>
      </c>
      <c r="N276" s="404" t="s">
        <v>1422</v>
      </c>
      <c r="O276" s="404" t="s">
        <v>1438</v>
      </c>
      <c r="P276" s="404" t="s">
        <v>1438</v>
      </c>
      <c r="Q276" s="404" t="s">
        <v>1438</v>
      </c>
      <c r="R276" s="284"/>
      <c r="S276" s="377" t="s">
        <v>1480</v>
      </c>
    </row>
    <row r="277" spans="3:19" ht="100.8" x14ac:dyDescent="0.3">
      <c r="C277" s="375"/>
      <c r="D277" s="335" t="s">
        <v>347</v>
      </c>
      <c r="E277" s="312" t="s">
        <v>615</v>
      </c>
      <c r="F277" s="312"/>
      <c r="G277" s="312">
        <v>4</v>
      </c>
      <c r="H277" s="280">
        <v>1</v>
      </c>
      <c r="I277" s="280" t="s">
        <v>1234</v>
      </c>
      <c r="J277" s="130" t="s">
        <v>509</v>
      </c>
      <c r="K277" s="335" t="s">
        <v>347</v>
      </c>
      <c r="L277" s="335" t="s">
        <v>347</v>
      </c>
      <c r="M277" s="312" t="s">
        <v>347</v>
      </c>
      <c r="N277" s="404" t="s">
        <v>1422</v>
      </c>
      <c r="O277" s="404" t="s">
        <v>1438</v>
      </c>
      <c r="P277" s="404" t="s">
        <v>1438</v>
      </c>
      <c r="Q277" s="404" t="s">
        <v>1438</v>
      </c>
      <c r="R277" s="284"/>
    </row>
    <row r="278" spans="3:19" ht="100.8" x14ac:dyDescent="0.3">
      <c r="C278" s="375"/>
      <c r="D278" s="335" t="s">
        <v>349</v>
      </c>
      <c r="E278" s="312" t="s">
        <v>615</v>
      </c>
      <c r="F278" s="312"/>
      <c r="G278" s="312">
        <v>4</v>
      </c>
      <c r="H278" s="280">
        <v>1</v>
      </c>
      <c r="I278" s="280" t="s">
        <v>1234</v>
      </c>
      <c r="J278" s="130" t="s">
        <v>510</v>
      </c>
      <c r="K278" s="335" t="s">
        <v>349</v>
      </c>
      <c r="L278" s="335" t="s">
        <v>349</v>
      </c>
      <c r="M278" s="312" t="s">
        <v>349</v>
      </c>
      <c r="N278" s="404" t="s">
        <v>1422</v>
      </c>
      <c r="O278" s="404" t="s">
        <v>1438</v>
      </c>
      <c r="P278" s="404" t="s">
        <v>1438</v>
      </c>
      <c r="Q278" s="404" t="s">
        <v>1438</v>
      </c>
      <c r="R278" s="284"/>
    </row>
    <row r="279" spans="3:19" ht="100.8" x14ac:dyDescent="0.3">
      <c r="C279" s="375"/>
      <c r="D279" s="335" t="s">
        <v>351</v>
      </c>
      <c r="E279" s="312" t="s">
        <v>615</v>
      </c>
      <c r="F279" s="312"/>
      <c r="G279" s="312">
        <v>4</v>
      </c>
      <c r="H279" s="280">
        <v>1</v>
      </c>
      <c r="I279" s="280" t="s">
        <v>1234</v>
      </c>
      <c r="J279" s="130" t="s">
        <v>511</v>
      </c>
      <c r="K279" s="335" t="s">
        <v>351</v>
      </c>
      <c r="L279" s="335" t="s">
        <v>351</v>
      </c>
      <c r="M279" s="312" t="s">
        <v>351</v>
      </c>
      <c r="N279" s="404" t="s">
        <v>1422</v>
      </c>
      <c r="O279" s="404" t="s">
        <v>1438</v>
      </c>
      <c r="P279" s="404" t="s">
        <v>1438</v>
      </c>
      <c r="Q279" s="404" t="s">
        <v>1438</v>
      </c>
      <c r="R279" s="284"/>
    </row>
    <row r="280" spans="3:19" ht="15" thickBot="1" x14ac:dyDescent="0.35">
      <c r="C280" s="314"/>
      <c r="D280" s="315"/>
      <c r="E280" s="360"/>
      <c r="F280" s="315"/>
      <c r="G280" s="315"/>
      <c r="H280" s="315"/>
      <c r="I280" s="315"/>
      <c r="J280" s="360"/>
      <c r="K280" s="347"/>
      <c r="L280" s="347"/>
      <c r="M280" s="347"/>
      <c r="N280" s="426"/>
      <c r="O280" s="315"/>
      <c r="P280" s="418"/>
      <c r="Q280" s="418"/>
      <c r="R280" s="316"/>
    </row>
  </sheetData>
  <phoneticPr fontId="17" type="noConversion"/>
  <conditionalFormatting sqref="H12:H24">
    <cfRule type="cellIs" dxfId="607" priority="89" operator="equal">
      <formula>0</formula>
    </cfRule>
  </conditionalFormatting>
  <conditionalFormatting sqref="H25:H28">
    <cfRule type="cellIs" dxfId="606" priority="84" operator="equal">
      <formula>0</formula>
    </cfRule>
  </conditionalFormatting>
  <conditionalFormatting sqref="H34">
    <cfRule type="cellIs" dxfId="605" priority="88" operator="equal">
      <formula>0</formula>
    </cfRule>
  </conditionalFormatting>
  <conditionalFormatting sqref="H29:H31">
    <cfRule type="cellIs" dxfId="604" priority="82" operator="equal">
      <formula>0</formula>
    </cfRule>
  </conditionalFormatting>
  <conditionalFormatting sqref="D251 F251">
    <cfRule type="cellIs" dxfId="603" priority="76" operator="equal">
      <formula>0</formula>
    </cfRule>
  </conditionalFormatting>
  <conditionalFormatting sqref="D254 F254">
    <cfRule type="cellIs" dxfId="602" priority="72" operator="equal">
      <formula>0</formula>
    </cfRule>
  </conditionalFormatting>
  <conditionalFormatting sqref="D252 F252">
    <cfRule type="cellIs" dxfId="601" priority="75" operator="equal">
      <formula>0</formula>
    </cfRule>
  </conditionalFormatting>
  <conditionalFormatting sqref="D253 F253">
    <cfRule type="cellIs" dxfId="600" priority="74" operator="equal">
      <formula>0</formula>
    </cfRule>
  </conditionalFormatting>
  <conditionalFormatting sqref="D255">
    <cfRule type="cellIs" dxfId="599" priority="73" operator="equal">
      <formula>0</formula>
    </cfRule>
  </conditionalFormatting>
  <conditionalFormatting sqref="F255">
    <cfRule type="cellIs" dxfId="598" priority="71" operator="equal">
      <formula>0</formula>
    </cfRule>
  </conditionalFormatting>
  <conditionalFormatting sqref="E251">
    <cfRule type="cellIs" dxfId="597" priority="70" operator="equal">
      <formula>0</formula>
    </cfRule>
  </conditionalFormatting>
  <conditionalFormatting sqref="E252">
    <cfRule type="cellIs" dxfId="596" priority="69" operator="equal">
      <formula>0</formula>
    </cfRule>
  </conditionalFormatting>
  <conditionalFormatting sqref="E253">
    <cfRule type="cellIs" dxfId="595" priority="68" operator="equal">
      <formula>0</formula>
    </cfRule>
  </conditionalFormatting>
  <conditionalFormatting sqref="E255">
    <cfRule type="cellIs" dxfId="594" priority="67" operator="equal">
      <formula>0</formula>
    </cfRule>
  </conditionalFormatting>
  <conditionalFormatting sqref="E254">
    <cfRule type="cellIs" dxfId="593" priority="66" operator="equal">
      <formula>0</formula>
    </cfRule>
  </conditionalFormatting>
  <conditionalFormatting sqref="D257 F257">
    <cfRule type="cellIs" dxfId="592" priority="64" operator="equal">
      <formula>0</formula>
    </cfRule>
  </conditionalFormatting>
  <conditionalFormatting sqref="D256 F256">
    <cfRule type="cellIs" priority="65" operator="equal">
      <formula>0</formula>
    </cfRule>
  </conditionalFormatting>
  <conditionalFormatting sqref="F258">
    <cfRule type="cellIs" dxfId="591" priority="62" operator="equal">
      <formula>0</formula>
    </cfRule>
    <cfRule type="cellIs" dxfId="590" priority="63" operator="equal">
      <formula>0</formula>
    </cfRule>
  </conditionalFormatting>
  <conditionalFormatting sqref="E257">
    <cfRule type="cellIs" dxfId="589" priority="60" operator="equal">
      <formula>0</formula>
    </cfRule>
  </conditionalFormatting>
  <conditionalFormatting sqref="E256">
    <cfRule type="cellIs" priority="61" operator="equal">
      <formula>0</formula>
    </cfRule>
  </conditionalFormatting>
  <conditionalFormatting sqref="E258">
    <cfRule type="cellIs" dxfId="588" priority="58" operator="equal">
      <formula>0</formula>
    </cfRule>
    <cfRule type="cellIs" dxfId="587" priority="59" operator="equal">
      <formula>0</formula>
    </cfRule>
  </conditionalFormatting>
  <conditionalFormatting sqref="F260">
    <cfRule type="cellIs" priority="57" operator="equal">
      <formula>0</formula>
    </cfRule>
  </conditionalFormatting>
  <conditionalFormatting sqref="E260">
    <cfRule type="cellIs" priority="56" operator="equal">
      <formula>0</formula>
    </cfRule>
  </conditionalFormatting>
  <conditionalFormatting sqref="D206 F206">
    <cfRule type="cellIs" dxfId="586" priority="51" operator="equal">
      <formula>0</formula>
    </cfRule>
  </conditionalFormatting>
  <conditionalFormatting sqref="D203 F203">
    <cfRule type="cellIs" dxfId="585" priority="55" operator="equal">
      <formula>0</formula>
    </cfRule>
  </conditionalFormatting>
  <conditionalFormatting sqref="D204 F204">
    <cfRule type="cellIs" dxfId="584" priority="54" operator="equal">
      <formula>0</formula>
    </cfRule>
  </conditionalFormatting>
  <conditionalFormatting sqref="D205 F205">
    <cfRule type="cellIs" dxfId="583" priority="53" operator="equal">
      <formula>0</formula>
    </cfRule>
  </conditionalFormatting>
  <conditionalFormatting sqref="D207">
    <cfRule type="cellIs" dxfId="582" priority="52" operator="equal">
      <formula>0</formula>
    </cfRule>
  </conditionalFormatting>
  <conditionalFormatting sqref="F207">
    <cfRule type="cellIs" dxfId="581" priority="50" operator="equal">
      <formula>0</formula>
    </cfRule>
  </conditionalFormatting>
  <conditionalFormatting sqref="E203">
    <cfRule type="cellIs" dxfId="580" priority="49" operator="equal">
      <formula>0</formula>
    </cfRule>
  </conditionalFormatting>
  <conditionalFormatting sqref="E204">
    <cfRule type="cellIs" dxfId="579" priority="48" operator="equal">
      <formula>0</formula>
    </cfRule>
  </conditionalFormatting>
  <conditionalFormatting sqref="E205">
    <cfRule type="cellIs" dxfId="578" priority="47" operator="equal">
      <formula>0</formula>
    </cfRule>
  </conditionalFormatting>
  <conditionalFormatting sqref="E207">
    <cfRule type="cellIs" dxfId="577" priority="46" operator="equal">
      <formula>0</formula>
    </cfRule>
  </conditionalFormatting>
  <conditionalFormatting sqref="E206">
    <cfRule type="cellIs" dxfId="576" priority="45" operator="equal">
      <formula>0</formula>
    </cfRule>
  </conditionalFormatting>
  <conditionalFormatting sqref="D209:D211 F209">
    <cfRule type="cellIs" dxfId="575" priority="43" operator="equal">
      <formula>0</formula>
    </cfRule>
  </conditionalFormatting>
  <conditionalFormatting sqref="D208 F208">
    <cfRule type="cellIs" priority="44" operator="equal">
      <formula>0</formula>
    </cfRule>
  </conditionalFormatting>
  <conditionalFormatting sqref="D212 F212">
    <cfRule type="cellIs" dxfId="574" priority="41" operator="equal">
      <formula>0</formula>
    </cfRule>
    <cfRule type="cellIs" dxfId="573" priority="42" operator="equal">
      <formula>0</formula>
    </cfRule>
  </conditionalFormatting>
  <conditionalFormatting sqref="E209:E211">
    <cfRule type="cellIs" dxfId="572" priority="39" operator="equal">
      <formula>0</formula>
    </cfRule>
  </conditionalFormatting>
  <conditionalFormatting sqref="E208">
    <cfRule type="cellIs" priority="40" operator="equal">
      <formula>0</formula>
    </cfRule>
  </conditionalFormatting>
  <conditionalFormatting sqref="E212">
    <cfRule type="cellIs" dxfId="571" priority="37" operator="equal">
      <formula>0</formula>
    </cfRule>
    <cfRule type="cellIs" dxfId="570" priority="38" operator="equal">
      <formula>0</formula>
    </cfRule>
  </conditionalFormatting>
  <conditionalFormatting sqref="D214 F214">
    <cfRule type="cellIs" priority="36" operator="equal">
      <formula>0</formula>
    </cfRule>
  </conditionalFormatting>
  <conditionalFormatting sqref="E214">
    <cfRule type="cellIs" priority="35" operator="equal">
      <formula>0</formula>
    </cfRule>
  </conditionalFormatting>
  <conditionalFormatting sqref="L203">
    <cfRule type="cellIs" dxfId="569" priority="34" operator="equal">
      <formula>0</formula>
    </cfRule>
  </conditionalFormatting>
  <conditionalFormatting sqref="L204">
    <cfRule type="cellIs" dxfId="568" priority="33" operator="equal">
      <formula>0</formula>
    </cfRule>
  </conditionalFormatting>
  <conditionalFormatting sqref="L205">
    <cfRule type="cellIs" dxfId="567" priority="32" operator="equal">
      <formula>0</formula>
    </cfRule>
  </conditionalFormatting>
  <conditionalFormatting sqref="L206">
    <cfRule type="cellIs" dxfId="566" priority="31" operator="equal">
      <formula>0</formula>
    </cfRule>
  </conditionalFormatting>
  <conditionalFormatting sqref="L208">
    <cfRule type="cellIs" priority="30" operator="equal">
      <formula>0</formula>
    </cfRule>
  </conditionalFormatting>
  <conditionalFormatting sqref="L209">
    <cfRule type="cellIs" dxfId="565" priority="29" operator="equal">
      <formula>0</formula>
    </cfRule>
  </conditionalFormatting>
  <conditionalFormatting sqref="L212 L214">
    <cfRule type="cellIs" dxfId="564" priority="27" operator="equal">
      <formula>0</formula>
    </cfRule>
    <cfRule type="cellIs" dxfId="563" priority="28" operator="equal">
      <formula>0</formula>
    </cfRule>
  </conditionalFormatting>
  <conditionalFormatting sqref="H36:H47">
    <cfRule type="cellIs" dxfId="562" priority="26" operator="equal">
      <formula>0</formula>
    </cfRule>
  </conditionalFormatting>
  <conditionalFormatting sqref="H59:H70">
    <cfRule type="cellIs" dxfId="561" priority="25" operator="equal">
      <formula>0</formula>
    </cfRule>
  </conditionalFormatting>
  <conditionalFormatting sqref="J203:J205">
    <cfRule type="cellIs" dxfId="560" priority="13" operator="equal">
      <formula>0</formula>
    </cfRule>
  </conditionalFormatting>
  <conditionalFormatting sqref="J203">
    <cfRule type="cellIs" dxfId="559" priority="12" operator="equal">
      <formula>0</formula>
    </cfRule>
  </conditionalFormatting>
  <conditionalFormatting sqref="J204">
    <cfRule type="cellIs" dxfId="558" priority="11" operator="equal">
      <formula>0</formula>
    </cfRule>
  </conditionalFormatting>
  <conditionalFormatting sqref="J205">
    <cfRule type="cellIs" dxfId="557" priority="10" operator="equal">
      <formula>0</formula>
    </cfRule>
  </conditionalFormatting>
  <conditionalFormatting sqref="J206:J207">
    <cfRule type="cellIs" dxfId="556" priority="9" operator="equal">
      <formula>0</formula>
    </cfRule>
  </conditionalFormatting>
  <conditionalFormatting sqref="J206">
    <cfRule type="cellIs" dxfId="555" priority="8" operator="equal">
      <formula>0</formula>
    </cfRule>
  </conditionalFormatting>
  <conditionalFormatting sqref="J207">
    <cfRule type="cellIs" dxfId="554" priority="7" operator="equal">
      <formula>0</formula>
    </cfRule>
  </conditionalFormatting>
  <conditionalFormatting sqref="J213">
    <cfRule type="cellIs" dxfId="553" priority="6" operator="equal">
      <formula>0</formula>
    </cfRule>
  </conditionalFormatting>
  <conditionalFormatting sqref="J215">
    <cfRule type="cellIs" dxfId="552" priority="5" operator="equal">
      <formula>0</formula>
    </cfRule>
  </conditionalFormatting>
  <conditionalFormatting sqref="J214">
    <cfRule type="cellIs" dxfId="551" priority="4" operator="equal">
      <formula>0</formula>
    </cfRule>
  </conditionalFormatting>
  <conditionalFormatting sqref="J214">
    <cfRule type="cellIs" priority="3" operator="equal">
      <formula>0</formula>
    </cfRule>
  </conditionalFormatting>
  <conditionalFormatting sqref="M206">
    <cfRule type="cellIs" dxfId="549"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topLeftCell="C2" zoomScaleNormal="100" workbookViewId="0">
      <selection activeCell="E12" sqref="E12"/>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51.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36"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37" t="s">
        <v>367</v>
      </c>
      <c r="N3" s="440" t="s">
        <v>14</v>
      </c>
      <c r="O3" s="441">
        <f ca="1">($G3+$G4+$G5+$G6+$G7)</f>
        <v>1056</v>
      </c>
    </row>
    <row r="4" spans="1:15" ht="15" customHeight="1" x14ac:dyDescent="0.3">
      <c r="A4" s="436"/>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8"/>
      <c r="N4" s="438"/>
      <c r="O4" s="442"/>
    </row>
    <row r="5" spans="1:15" ht="15" customHeight="1" x14ac:dyDescent="0.3">
      <c r="A5" s="436"/>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8"/>
      <c r="N5" s="438"/>
      <c r="O5" s="442"/>
    </row>
    <row r="6" spans="1:15" ht="15" customHeight="1" x14ac:dyDescent="0.3">
      <c r="A6" s="436"/>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8"/>
      <c r="N6" s="438"/>
      <c r="O6" s="442"/>
    </row>
    <row r="7" spans="1:15" ht="15" customHeight="1" thickBot="1" x14ac:dyDescent="0.35">
      <c r="A7" s="436"/>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9"/>
      <c r="N7" s="439"/>
      <c r="O7" s="443"/>
    </row>
    <row r="8" spans="1:15" ht="14.55" customHeight="1" x14ac:dyDescent="0.3">
      <c r="A8" s="451"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4" t="s">
        <v>368</v>
      </c>
      <c r="N8" s="447" t="s">
        <v>20</v>
      </c>
      <c r="O8" s="449">
        <f ca="1">($G8+$G9+$G10+$G13)</f>
        <v>960</v>
      </c>
    </row>
    <row r="9" spans="1:15" ht="14.55" customHeight="1" x14ac:dyDescent="0.3">
      <c r="A9" s="452"/>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445"/>
      <c r="N9" s="438"/>
      <c r="O9" s="442"/>
    </row>
    <row r="10" spans="1:15" ht="15" customHeight="1" x14ac:dyDescent="0.3">
      <c r="A10" s="452"/>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445"/>
      <c r="N10" s="438"/>
      <c r="O10" s="442"/>
    </row>
    <row r="11" spans="1:15" ht="15" customHeight="1" x14ac:dyDescent="0.3">
      <c r="A11" s="452"/>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5"/>
      <c r="N11" s="438"/>
      <c r="O11" s="442"/>
    </row>
    <row r="12" spans="1:15" ht="15" customHeight="1" x14ac:dyDescent="0.3">
      <c r="A12" s="452"/>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6"/>
      <c r="N12" s="448"/>
      <c r="O12" s="450"/>
    </row>
    <row r="13" spans="1:15" ht="15" customHeight="1" thickBot="1" x14ac:dyDescent="0.35">
      <c r="A13" s="453"/>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446"/>
      <c r="N13" s="448"/>
      <c r="O13" s="450"/>
    </row>
    <row r="14" spans="1:15" ht="15" customHeight="1" x14ac:dyDescent="0.3">
      <c r="A14" s="454" t="s">
        <v>23</v>
      </c>
      <c r="B14" s="34" t="s">
        <v>24</v>
      </c>
      <c r="C14" s="36" t="s">
        <v>613</v>
      </c>
      <c r="D14" s="456" t="s">
        <v>25</v>
      </c>
      <c r="E14" s="102"/>
      <c r="F14" s="111" t="s">
        <v>26</v>
      </c>
      <c r="G14" s="60">
        <f ca="1">IF($C14="No Param",32,VLOOKUP($C14,INDIRECT(Config!$B$1),HLOOKUP(D$1,INDIRECT(Config!$E$1),2,FALSE),FALSE)*32)</f>
        <v>32</v>
      </c>
      <c r="H14" s="24" t="s">
        <v>27</v>
      </c>
      <c r="I14" s="24" t="s">
        <v>28</v>
      </c>
      <c r="J14" s="199" t="s">
        <v>1080</v>
      </c>
      <c r="K14" s="199" t="s">
        <v>1097</v>
      </c>
      <c r="L14" s="236" t="str">
        <f ca="1">IF(VLOOKUP("EXT_FUSE_PULL_SUPP", INDIRECT(Config!$B$1),HLOOKUP(D$1,INDIRECT(Config!$E$1),2,FALSE),FALSE)=1, IF(G14&gt;0,CONCATENATE("CSME_HW_FW_Config_fuses[",G14-1,":0]"), ""), "")</f>
        <v/>
      </c>
      <c r="M14" s="437" t="s">
        <v>369</v>
      </c>
      <c r="N14" s="440" t="s">
        <v>29</v>
      </c>
      <c r="O14" s="441">
        <f ca="1">(4*32+G18+G19+G20+G21+G22+G23)</f>
        <v>160</v>
      </c>
    </row>
    <row r="15" spans="1:15" ht="15" customHeight="1" x14ac:dyDescent="0.3">
      <c r="A15" s="455"/>
      <c r="B15" s="35" t="s">
        <v>30</v>
      </c>
      <c r="C15" s="37" t="s">
        <v>613</v>
      </c>
      <c r="D15" s="45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1081</v>
      </c>
      <c r="K15" s="200" t="s">
        <v>1090</v>
      </c>
      <c r="L15" s="3" t="str">
        <f ca="1">IF(VLOOKUP("EXT_FUSE_PULL_SUPP", INDIRECT(Config!$B$1),HLOOKUP(D$1,INDIRECT(Config!$E$1),2,FALSE),FALSE)=1, IF(G15&gt;0,CONCATENATE("CSME_HW_FW_Config_fuses[",G15-1+G14,":",G14,"]"), ""), "")</f>
        <v/>
      </c>
      <c r="M15" s="458"/>
      <c r="N15" s="438"/>
      <c r="O15" s="442"/>
    </row>
    <row r="16" spans="1:15" ht="15" customHeight="1" x14ac:dyDescent="0.3">
      <c r="A16" s="455"/>
      <c r="B16" s="35" t="s">
        <v>31</v>
      </c>
      <c r="C16" s="37" t="s">
        <v>613</v>
      </c>
      <c r="D16" s="45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1084</v>
      </c>
      <c r="K16" s="200" t="s">
        <v>1084</v>
      </c>
      <c r="L16" s="3" t="str">
        <f ca="1">IF(VLOOKUP("EXT_FUSE_PULL_SUPP", INDIRECT(Config!$B$1),HLOOKUP(D$1,INDIRECT(Config!$E$1),2,FALSE),FALSE)=1, IF(G16&gt;0,CONCATENATE("CSME_HW_FW_Config_fuses[",G16-1+G15+G14,":",G15+G14,"]"), ""), "")</f>
        <v/>
      </c>
      <c r="M16" s="458"/>
      <c r="N16" s="438"/>
      <c r="O16" s="442"/>
    </row>
    <row r="17" spans="1:15" x14ac:dyDescent="0.3">
      <c r="A17" s="455"/>
      <c r="B17" s="35" t="s">
        <v>32</v>
      </c>
      <c r="C17" s="37" t="s">
        <v>613</v>
      </c>
      <c r="D17" s="457"/>
      <c r="E17" s="103"/>
      <c r="F17" s="68" t="s">
        <v>26</v>
      </c>
      <c r="G17" s="39">
        <f ca="1">IF($C17="No Param",32,VLOOKUP($C17,INDIRECT(Config!$B$1),HLOOKUP(D$1,INDIRECT(Config!$E$1),2,FALSE),FALSE)*32)</f>
        <v>32</v>
      </c>
      <c r="H17" s="16" t="str">
        <f ca="1">CONCATENATE("0x",DEC2HEX(HEX2DEC(SUBSTITUTE(H16,"0x",""))+G16/8))</f>
        <v>0x200C</v>
      </c>
      <c r="I17" s="16" t="s">
        <v>33</v>
      </c>
      <c r="J17" s="200" t="s">
        <v>1083</v>
      </c>
      <c r="K17" s="200" t="s">
        <v>1079</v>
      </c>
      <c r="L17" s="3" t="str">
        <f ca="1">IF(VLOOKUP("EXT_FUSE_PULL_SUPP", INDIRECT(Config!$B$1),HLOOKUP(D$1,INDIRECT(Config!$E$1),2,FALSE),FALSE)=1, IF(G17&gt;0,CONCATENATE("CSME_HW_FW_Config_fuses[",G17-1+G16+G15+G14,":",G16+G15+G14,"]"), ""), "")</f>
        <v/>
      </c>
      <c r="M17" s="458"/>
      <c r="N17" s="438"/>
      <c r="O17" s="442"/>
    </row>
    <row r="18" spans="1:15" x14ac:dyDescent="0.3">
      <c r="A18" s="455"/>
      <c r="B18" s="35" t="s">
        <v>34</v>
      </c>
      <c r="C18" s="35" t="s">
        <v>253</v>
      </c>
      <c r="D18" s="457"/>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458"/>
      <c r="N18" s="438"/>
      <c r="O18" s="442"/>
    </row>
    <row r="19" spans="1:15" x14ac:dyDescent="0.3">
      <c r="A19" s="455"/>
      <c r="B19" s="35" t="s">
        <v>36</v>
      </c>
      <c r="C19" s="73" t="s">
        <v>214</v>
      </c>
      <c r="D19" s="457"/>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458"/>
      <c r="N19" s="438"/>
      <c r="O19" s="442"/>
    </row>
    <row r="20" spans="1:15" x14ac:dyDescent="0.3">
      <c r="A20" s="455"/>
      <c r="B20" s="73" t="s">
        <v>246</v>
      </c>
      <c r="C20" s="73" t="s">
        <v>205</v>
      </c>
      <c r="D20" s="457"/>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458"/>
      <c r="N20" s="438"/>
      <c r="O20" s="442"/>
    </row>
    <row r="21" spans="1:15" x14ac:dyDescent="0.3">
      <c r="A21" s="455"/>
      <c r="B21" s="73" t="s">
        <v>250</v>
      </c>
      <c r="C21" s="73" t="s">
        <v>390</v>
      </c>
      <c r="D21" s="457"/>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458"/>
      <c r="N21" s="438"/>
      <c r="O21" s="442"/>
    </row>
    <row r="22" spans="1:15" x14ac:dyDescent="0.3">
      <c r="A22" s="455"/>
      <c r="B22" s="73" t="s">
        <v>251</v>
      </c>
      <c r="C22" s="73" t="s">
        <v>390</v>
      </c>
      <c r="D22" s="457"/>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458"/>
      <c r="N22" s="438"/>
      <c r="O22" s="442"/>
    </row>
    <row r="23" spans="1:15" x14ac:dyDescent="0.3">
      <c r="A23" s="455"/>
      <c r="B23" s="73" t="s">
        <v>252</v>
      </c>
      <c r="C23" s="73" t="s">
        <v>390</v>
      </c>
      <c r="D23" s="457"/>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458"/>
      <c r="N23" s="438"/>
      <c r="O23" s="442"/>
    </row>
    <row r="24" spans="1:15" x14ac:dyDescent="0.3">
      <c r="A24" s="455"/>
      <c r="B24" s="35" t="s">
        <v>38</v>
      </c>
      <c r="C24" s="37" t="s">
        <v>613</v>
      </c>
      <c r="D24" s="457"/>
      <c r="E24" s="103"/>
      <c r="F24" s="68" t="s">
        <v>26</v>
      </c>
      <c r="G24" s="39">
        <f ca="1">IF($C24="No Param",32,VLOOKUP($C24,INDIRECT(Config!$B$1),HLOOKUP(D$1,INDIRECT(Config!$E$1),2,FALSE),FALSE)*32)</f>
        <v>32</v>
      </c>
      <c r="H24" s="16" t="s">
        <v>39</v>
      </c>
      <c r="I24" s="16" t="s">
        <v>40</v>
      </c>
      <c r="J24" s="200" t="s">
        <v>48</v>
      </c>
      <c r="K24" s="202" t="s">
        <v>1085</v>
      </c>
      <c r="L24" s="3" t="str">
        <f ca="1">IF(VLOOKUP("EXT_FUSE_PULL_SUPP", INDIRECT(Config!$B$1),HLOOKUP(D$1,INDIRECT(Config!$E$1),2,FALSE),FALSE)=1, IF(G24&gt;0,CONCATENATE("CSME_HW_FW_INT_CHK[",G24-1,":0]"),""), "")</f>
        <v/>
      </c>
      <c r="M24" s="458"/>
      <c r="N24" s="438"/>
      <c r="O24" s="442"/>
    </row>
    <row r="25" spans="1:15" x14ac:dyDescent="0.3">
      <c r="A25" s="454" t="s">
        <v>41</v>
      </c>
      <c r="B25" s="35" t="s">
        <v>42</v>
      </c>
      <c r="C25" s="35" t="s">
        <v>614</v>
      </c>
      <c r="D25" s="457"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458" t="s">
        <v>370</v>
      </c>
      <c r="N25" s="438"/>
      <c r="O25" s="442">
        <f ca="1">(G25+G26)</f>
        <v>64</v>
      </c>
    </row>
    <row r="26" spans="1:15" ht="15" thickBot="1" x14ac:dyDescent="0.35">
      <c r="A26" s="459"/>
      <c r="B26" s="74" t="s">
        <v>46</v>
      </c>
      <c r="C26" s="74" t="s">
        <v>615</v>
      </c>
      <c r="D26" s="460"/>
      <c r="E26" s="123"/>
      <c r="F26" s="76" t="s">
        <v>44</v>
      </c>
      <c r="G26" s="75">
        <f ca="1">IF($C26="No Param",32,VLOOKUP($C26,INDIRECT(Config!$B$1),HLOOKUP(D$1,INDIRECT(Config!$E$1),2,FALSE),FALSE)*32)</f>
        <v>32</v>
      </c>
      <c r="H26" s="26" t="str">
        <f ca="1">IF(G26=0,"N/A","0x8004")</f>
        <v>0x8004</v>
      </c>
      <c r="I26" s="26" t="s">
        <v>47</v>
      </c>
      <c r="J26" s="203" t="s">
        <v>48</v>
      </c>
      <c r="K26" s="203" t="s">
        <v>387</v>
      </c>
      <c r="L26" s="237"/>
      <c r="M26" s="439"/>
      <c r="N26" s="439"/>
      <c r="O26" s="443"/>
    </row>
    <row r="27" spans="1:15" ht="15" thickBot="1" x14ac:dyDescent="0.35">
      <c r="A27" s="104"/>
    </row>
    <row r="28" spans="1:15" x14ac:dyDescent="0.3">
      <c r="A28" s="45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40" t="s">
        <v>48</v>
      </c>
      <c r="O28" s="441">
        <f ca="1">SUM(G28:G42)</f>
        <v>576</v>
      </c>
    </row>
    <row r="29" spans="1:15" ht="15" customHeight="1" x14ac:dyDescent="0.3">
      <c r="A29" s="45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8" t="s">
        <v>369</v>
      </c>
      <c r="N29" s="438"/>
      <c r="O29" s="442"/>
    </row>
    <row r="30" spans="1:15" x14ac:dyDescent="0.3">
      <c r="A30" s="45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8"/>
      <c r="N30" s="438"/>
      <c r="O30" s="442"/>
    </row>
    <row r="31" spans="1:15" x14ac:dyDescent="0.3">
      <c r="A31" s="45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8"/>
      <c r="N31" s="438"/>
      <c r="O31" s="442"/>
    </row>
    <row r="32" spans="1:15" x14ac:dyDescent="0.3">
      <c r="A32" s="45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8"/>
      <c r="O32" s="442"/>
    </row>
    <row r="33" spans="1:15" x14ac:dyDescent="0.3">
      <c r="A33" s="45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8"/>
      <c r="O33" s="442"/>
    </row>
    <row r="34" spans="1:15" ht="15" customHeight="1" x14ac:dyDescent="0.3">
      <c r="A34" s="45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8" t="s">
        <v>369</v>
      </c>
      <c r="N34" s="438"/>
      <c r="O34" s="442"/>
    </row>
    <row r="35" spans="1:15" x14ac:dyDescent="0.3">
      <c r="A35" s="45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8"/>
      <c r="N35" s="438"/>
      <c r="O35" s="442"/>
    </row>
    <row r="36" spans="1:15" x14ac:dyDescent="0.3">
      <c r="A36" s="45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8"/>
      <c r="N36" s="438"/>
      <c r="O36" s="442"/>
    </row>
    <row r="37" spans="1:15" x14ac:dyDescent="0.3">
      <c r="A37" s="45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8"/>
      <c r="O37" s="442"/>
    </row>
    <row r="38" spans="1:15" x14ac:dyDescent="0.3">
      <c r="A38" s="45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8"/>
      <c r="O38" s="442"/>
    </row>
    <row r="39" spans="1:15" ht="15" customHeight="1" x14ac:dyDescent="0.3">
      <c r="A39" s="45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8" t="s">
        <v>369</v>
      </c>
      <c r="N39" s="438"/>
      <c r="O39" s="442"/>
    </row>
    <row r="40" spans="1:15" x14ac:dyDescent="0.3">
      <c r="A40" s="45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8"/>
      <c r="N40" s="438"/>
      <c r="O40" s="442"/>
    </row>
    <row r="41" spans="1:15" x14ac:dyDescent="0.3">
      <c r="A41" s="45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8"/>
      <c r="N41" s="438"/>
      <c r="O41" s="442"/>
    </row>
    <row r="42" spans="1:15" ht="15" thickBot="1" x14ac:dyDescent="0.35">
      <c r="A42" s="46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9"/>
      <c r="O42" s="44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8" priority="297" operator="equal">
      <formula>0</formula>
    </cfRule>
  </conditionalFormatting>
  <conditionalFormatting sqref="G34">
    <cfRule type="cellIs" dxfId="547" priority="296" operator="equal">
      <formula>0</formula>
    </cfRule>
  </conditionalFormatting>
  <conditionalFormatting sqref="G36">
    <cfRule type="cellIs" dxfId="546" priority="295" operator="equal">
      <formula>0</formula>
    </cfRule>
  </conditionalFormatting>
  <conditionalFormatting sqref="G14:G26">
    <cfRule type="cellIs" dxfId="545" priority="294" operator="equal">
      <formula>0</formula>
    </cfRule>
  </conditionalFormatting>
  <conditionalFormatting sqref="G29">
    <cfRule type="cellIs" dxfId="544" priority="267" operator="equal">
      <formula>0</formula>
    </cfRule>
  </conditionalFormatting>
  <conditionalFormatting sqref="G32">
    <cfRule type="cellIs" dxfId="543" priority="273" operator="equal">
      <formula>0</formula>
    </cfRule>
  </conditionalFormatting>
  <conditionalFormatting sqref="G33">
    <cfRule type="cellIs" dxfId="542" priority="272" operator="equal">
      <formula>0</formula>
    </cfRule>
  </conditionalFormatting>
  <conditionalFormatting sqref="G28">
    <cfRule type="cellIs" dxfId="541" priority="274" operator="equal">
      <formula>0</formula>
    </cfRule>
  </conditionalFormatting>
  <conditionalFormatting sqref="G38">
    <cfRule type="cellIs" dxfId="540" priority="270" operator="equal">
      <formula>0</formula>
    </cfRule>
  </conditionalFormatting>
  <conditionalFormatting sqref="G35">
    <cfRule type="cellIs" dxfId="539" priority="268" operator="equal">
      <formula>0</formula>
    </cfRule>
  </conditionalFormatting>
  <conditionalFormatting sqref="G31">
    <cfRule type="cellIs" dxfId="538" priority="266" operator="equal">
      <formula>0</formula>
    </cfRule>
  </conditionalFormatting>
  <conditionalFormatting sqref="G30">
    <cfRule type="cellIs" dxfId="537" priority="265" operator="equal">
      <formula>0</formula>
    </cfRule>
  </conditionalFormatting>
  <conditionalFormatting sqref="G39">
    <cfRule type="cellIs" dxfId="536" priority="264" operator="equal">
      <formula>0</formula>
    </cfRule>
  </conditionalFormatting>
  <conditionalFormatting sqref="G41">
    <cfRule type="cellIs" dxfId="535" priority="263" operator="equal">
      <formula>0</formula>
    </cfRule>
  </conditionalFormatting>
  <conditionalFormatting sqref="G40">
    <cfRule type="cellIs" dxfId="534" priority="262" operator="equal">
      <formula>0</formula>
    </cfRule>
  </conditionalFormatting>
  <conditionalFormatting sqref="L32">
    <cfRule type="cellIs" dxfId="533" priority="234" operator="equal">
      <formula>0</formula>
    </cfRule>
  </conditionalFormatting>
  <conditionalFormatting sqref="L31">
    <cfRule type="cellIs" dxfId="532" priority="233" operator="equal">
      <formula>0</formula>
    </cfRule>
  </conditionalFormatting>
  <conditionalFormatting sqref="L30">
    <cfRule type="cellIs" dxfId="531" priority="232" operator="equal">
      <formula>0</formula>
    </cfRule>
  </conditionalFormatting>
  <conditionalFormatting sqref="L29">
    <cfRule type="cellIs" dxfId="530" priority="231" operator="equal">
      <formula>0</formula>
    </cfRule>
  </conditionalFormatting>
  <conditionalFormatting sqref="L37">
    <cfRule type="cellIs" dxfId="529" priority="230" operator="equal">
      <formula>0</formula>
    </cfRule>
  </conditionalFormatting>
  <conditionalFormatting sqref="L36">
    <cfRule type="cellIs" dxfId="528" priority="229" operator="equal">
      <formula>0</formula>
    </cfRule>
  </conditionalFormatting>
  <conditionalFormatting sqref="L35">
    <cfRule type="cellIs" dxfId="527" priority="228" operator="equal">
      <formula>0</formula>
    </cfRule>
  </conditionalFormatting>
  <conditionalFormatting sqref="L34">
    <cfRule type="cellIs" dxfId="526" priority="227" operator="equal">
      <formula>0</formula>
    </cfRule>
  </conditionalFormatting>
  <conditionalFormatting sqref="L42">
    <cfRule type="cellIs" dxfId="525" priority="226" operator="equal">
      <formula>0</formula>
    </cfRule>
  </conditionalFormatting>
  <conditionalFormatting sqref="L41">
    <cfRule type="cellIs" dxfId="524" priority="225" operator="equal">
      <formula>0</formula>
    </cfRule>
  </conditionalFormatting>
  <conditionalFormatting sqref="L40">
    <cfRule type="cellIs" dxfId="523" priority="224" operator="equal">
      <formula>0</formula>
    </cfRule>
  </conditionalFormatting>
  <conditionalFormatting sqref="L39">
    <cfRule type="cellIs" dxfId="522" priority="223" operator="equal">
      <formula>0</formula>
    </cfRule>
  </conditionalFormatting>
  <conditionalFormatting sqref="G37">
    <cfRule type="cellIs" dxfId="521" priority="200" operator="equal">
      <formula>0</formula>
    </cfRule>
  </conditionalFormatting>
  <conditionalFormatting sqref="G42">
    <cfRule type="cellIs" dxfId="520" priority="198" operator="equal">
      <formula>0</formula>
    </cfRule>
  </conditionalFormatting>
  <conditionalFormatting sqref="C5">
    <cfRule type="cellIs" dxfId="519" priority="184" operator="equal">
      <formula>0</formula>
    </cfRule>
  </conditionalFormatting>
  <conditionalFormatting sqref="C3">
    <cfRule type="cellIs" dxfId="518" priority="186" operator="equal">
      <formula>0</formula>
    </cfRule>
  </conditionalFormatting>
  <conditionalFormatting sqref="C4">
    <cfRule type="cellIs" dxfId="517" priority="185" operator="equal">
      <formula>0</formula>
    </cfRule>
  </conditionalFormatting>
  <conditionalFormatting sqref="B3 D3">
    <cfRule type="cellIs" dxfId="516" priority="197" operator="equal">
      <formula>0</formula>
    </cfRule>
  </conditionalFormatting>
  <conditionalFormatting sqref="B4 D4">
    <cfRule type="cellIs" dxfId="515" priority="196" operator="equal">
      <formula>0</formula>
    </cfRule>
  </conditionalFormatting>
  <conditionalFormatting sqref="B5 D5">
    <cfRule type="cellIs" dxfId="514" priority="195" operator="equal">
      <formula>0</formula>
    </cfRule>
  </conditionalFormatting>
  <conditionalFormatting sqref="B7">
    <cfRule type="cellIs" dxfId="513" priority="194" operator="equal">
      <formula>0</formula>
    </cfRule>
  </conditionalFormatting>
  <conditionalFormatting sqref="B8 D8">
    <cfRule type="cellIs" priority="193" operator="equal">
      <formula>0</formula>
    </cfRule>
  </conditionalFormatting>
  <conditionalFormatting sqref="B9 D9">
    <cfRule type="cellIs" dxfId="512" priority="192" operator="equal">
      <formula>0</formula>
    </cfRule>
  </conditionalFormatting>
  <conditionalFormatting sqref="B10 D10">
    <cfRule type="cellIs" dxfId="511" priority="190" operator="equal">
      <formula>0</formula>
    </cfRule>
    <cfRule type="cellIs" dxfId="510" priority="191" operator="equal">
      <formula>0</formula>
    </cfRule>
  </conditionalFormatting>
  <conditionalFormatting sqref="B6 D6">
    <cfRule type="cellIs" dxfId="509" priority="188" operator="equal">
      <formula>0</formula>
    </cfRule>
  </conditionalFormatting>
  <conditionalFormatting sqref="D7">
    <cfRule type="cellIs" dxfId="508" priority="187" operator="equal">
      <formula>0</formula>
    </cfRule>
  </conditionalFormatting>
  <conditionalFormatting sqref="C7">
    <cfRule type="cellIs" dxfId="507" priority="183" operator="equal">
      <formula>0</formula>
    </cfRule>
  </conditionalFormatting>
  <conditionalFormatting sqref="C8">
    <cfRule type="cellIs" priority="182" operator="equal">
      <formula>0</formula>
    </cfRule>
  </conditionalFormatting>
  <conditionalFormatting sqref="C9">
    <cfRule type="cellIs" dxfId="506" priority="181" operator="equal">
      <formula>0</formula>
    </cfRule>
  </conditionalFormatting>
  <conditionalFormatting sqref="C10">
    <cfRule type="cellIs" dxfId="505" priority="179" operator="equal">
      <formula>0</formula>
    </cfRule>
    <cfRule type="cellIs" dxfId="504" priority="180" operator="equal">
      <formula>0</formula>
    </cfRule>
  </conditionalFormatting>
  <conditionalFormatting sqref="C6">
    <cfRule type="cellIs" dxfId="503" priority="178" operator="equal">
      <formula>0</formula>
    </cfRule>
  </conditionalFormatting>
  <conditionalFormatting sqref="E10">
    <cfRule type="cellIs" priority="137" operator="equal">
      <formula>0</formula>
    </cfRule>
  </conditionalFormatting>
  <conditionalFormatting sqref="E3">
    <cfRule type="cellIs" dxfId="502" priority="152" operator="equal">
      <formula>0</formula>
    </cfRule>
  </conditionalFormatting>
  <conditionalFormatting sqref="E3">
    <cfRule type="cellIs" priority="151" operator="equal">
      <formula>0</formula>
    </cfRule>
  </conditionalFormatting>
  <conditionalFormatting sqref="E5">
    <cfRule type="cellIs" dxfId="501" priority="148" operator="equal">
      <formula>0</formula>
    </cfRule>
  </conditionalFormatting>
  <conditionalFormatting sqref="E5">
    <cfRule type="cellIs" priority="147" operator="equal">
      <formula>0</formula>
    </cfRule>
  </conditionalFormatting>
  <conditionalFormatting sqref="E7">
    <cfRule type="cellIs" dxfId="500" priority="144" operator="equal">
      <formula>0</formula>
    </cfRule>
  </conditionalFormatting>
  <conditionalFormatting sqref="E7">
    <cfRule type="cellIs" priority="143" operator="equal">
      <formula>0</formula>
    </cfRule>
  </conditionalFormatting>
  <conditionalFormatting sqref="E9">
    <cfRule type="cellIs" dxfId="499" priority="140" operator="equal">
      <formula>0</formula>
    </cfRule>
  </conditionalFormatting>
  <conditionalFormatting sqref="E9">
    <cfRule type="cellIs" priority="139" operator="equal">
      <formula>0</formula>
    </cfRule>
  </conditionalFormatting>
  <conditionalFormatting sqref="E4">
    <cfRule type="cellIs" dxfId="498" priority="150" operator="equal">
      <formula>0</formula>
    </cfRule>
  </conditionalFormatting>
  <conditionalFormatting sqref="E4">
    <cfRule type="cellIs" priority="149" operator="equal">
      <formula>0</formula>
    </cfRule>
  </conditionalFormatting>
  <conditionalFormatting sqref="E6">
    <cfRule type="cellIs" dxfId="497" priority="146" operator="equal">
      <formula>0</formula>
    </cfRule>
  </conditionalFormatting>
  <conditionalFormatting sqref="E6">
    <cfRule type="cellIs" priority="145" operator="equal">
      <formula>0</formula>
    </cfRule>
  </conditionalFormatting>
  <conditionalFormatting sqref="E8">
    <cfRule type="cellIs" dxfId="496" priority="142" operator="equal">
      <formula>0</formula>
    </cfRule>
  </conditionalFormatting>
  <conditionalFormatting sqref="E8">
    <cfRule type="cellIs" priority="141" operator="equal">
      <formula>0</formula>
    </cfRule>
  </conditionalFormatting>
  <conditionalFormatting sqref="E10">
    <cfRule type="cellIs" dxfId="495" priority="138" operator="equal">
      <formula>0</formula>
    </cfRule>
  </conditionalFormatting>
  <conditionalFormatting sqref="G4:G10">
    <cfRule type="cellIs" dxfId="494" priority="128" operator="equal">
      <formula>0</formula>
    </cfRule>
  </conditionalFormatting>
  <conditionalFormatting sqref="F6">
    <cfRule type="cellIs" dxfId="493" priority="119" operator="equal">
      <formula>0</formula>
    </cfRule>
  </conditionalFormatting>
  <conditionalFormatting sqref="F3">
    <cfRule type="cellIs" dxfId="492" priority="127" operator="equal">
      <formula>0</formula>
    </cfRule>
  </conditionalFormatting>
  <conditionalFormatting sqref="F4">
    <cfRule type="cellIs" dxfId="491" priority="126" operator="equal">
      <formula>0</formula>
    </cfRule>
  </conditionalFormatting>
  <conditionalFormatting sqref="F5">
    <cfRule type="cellIs" dxfId="490" priority="125" operator="equal">
      <formula>0</formula>
    </cfRule>
  </conditionalFormatting>
  <conditionalFormatting sqref="F7">
    <cfRule type="cellIs" dxfId="489" priority="124" operator="equal">
      <formula>0</formula>
    </cfRule>
  </conditionalFormatting>
  <conditionalFormatting sqref="F9">
    <cfRule type="cellIs" dxfId="488" priority="122" operator="equal">
      <formula>0</formula>
    </cfRule>
  </conditionalFormatting>
  <conditionalFormatting sqref="G3:I3">
    <cfRule type="cellIs" dxfId="487" priority="118" operator="equal">
      <formula>0</formula>
    </cfRule>
  </conditionalFormatting>
  <conditionalFormatting sqref="F8 H9:H10">
    <cfRule type="cellIs" priority="123" operator="equal">
      <formula>0</formula>
    </cfRule>
  </conditionalFormatting>
  <conditionalFormatting sqref="F10">
    <cfRule type="cellIs" dxfId="486" priority="120" operator="equal">
      <formula>0</formula>
    </cfRule>
    <cfRule type="cellIs" dxfId="485" priority="121" operator="equal">
      <formula>0</formula>
    </cfRule>
  </conditionalFormatting>
  <conditionalFormatting sqref="H7">
    <cfRule type="cellIs" dxfId="484" priority="110" operator="equal">
      <formula>0</formula>
    </cfRule>
  </conditionalFormatting>
  <conditionalFormatting sqref="I6">
    <cfRule type="cellIs" dxfId="483" priority="113" operator="equal">
      <formula>0</formula>
    </cfRule>
  </conditionalFormatting>
  <conditionalFormatting sqref="H5">
    <cfRule type="cellIs" dxfId="482" priority="112" operator="equal">
      <formula>0</formula>
    </cfRule>
  </conditionalFormatting>
  <conditionalFormatting sqref="H4:I4">
    <cfRule type="cellIs" dxfId="481" priority="117" operator="equal">
      <formula>0</formula>
    </cfRule>
  </conditionalFormatting>
  <conditionalFormatting sqref="I5">
    <cfRule type="cellIs" dxfId="480" priority="116" operator="equal">
      <formula>0</formula>
    </cfRule>
  </conditionalFormatting>
  <conditionalFormatting sqref="I7">
    <cfRule type="cellIs" dxfId="479" priority="115" operator="equal">
      <formula>0</formula>
    </cfRule>
  </conditionalFormatting>
  <conditionalFormatting sqref="H8:I8">
    <cfRule type="cellIs" priority="114" operator="equal">
      <formula>0</formula>
    </cfRule>
  </conditionalFormatting>
  <conditionalFormatting sqref="H6">
    <cfRule type="cellIs" dxfId="478" priority="111" operator="equal">
      <formula>0</formula>
    </cfRule>
  </conditionalFormatting>
  <conditionalFormatting sqref="I9:I10">
    <cfRule type="cellIs" priority="107" operator="equal">
      <formula>0</formula>
    </cfRule>
  </conditionalFormatting>
  <conditionalFormatting sqref="E11 G11">
    <cfRule type="cellIs" dxfId="477" priority="94" operator="equal">
      <formula>0</formula>
    </cfRule>
  </conditionalFormatting>
  <conditionalFormatting sqref="I11">
    <cfRule type="cellIs" priority="93" operator="equal">
      <formula>0</formula>
    </cfRule>
  </conditionalFormatting>
  <conditionalFormatting sqref="E13 G13">
    <cfRule type="cellIs" dxfId="47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3" priority="44" operator="equal">
      <formula>0</formula>
    </cfRule>
  </conditionalFormatting>
  <conditionalFormatting sqref="K5">
    <cfRule type="cellIs" dxfId="472" priority="43" operator="equal">
      <formula>0</formula>
    </cfRule>
  </conditionalFormatting>
  <conditionalFormatting sqref="K6">
    <cfRule type="cellIs" dxfId="471" priority="42" operator="equal">
      <formula>0</formula>
    </cfRule>
  </conditionalFormatting>
  <conditionalFormatting sqref="K9">
    <cfRule type="cellIs" dxfId="470" priority="41" operator="equal">
      <formula>0</formula>
    </cfRule>
  </conditionalFormatting>
  <conditionalFormatting sqref="K10">
    <cfRule type="cellIs" dxfId="469" priority="40" operator="equal">
      <formula>0</formula>
    </cfRule>
  </conditionalFormatting>
  <conditionalFormatting sqref="K7">
    <cfRule type="cellIs" dxfId="468" priority="39" operator="equal">
      <formula>0</formula>
    </cfRule>
  </conditionalFormatting>
  <conditionalFormatting sqref="K8">
    <cfRule type="cellIs" dxfId="467" priority="38" operator="equal">
      <formula>0</formula>
    </cfRule>
  </conditionalFormatting>
  <conditionalFormatting sqref="K11">
    <cfRule type="cellIs" dxfId="466" priority="37" operator="equal">
      <formula>0</formula>
    </cfRule>
  </conditionalFormatting>
  <conditionalFormatting sqref="K13">
    <cfRule type="cellIs" dxfId="465" priority="36" operator="equal">
      <formula>0</formula>
    </cfRule>
  </conditionalFormatting>
  <conditionalFormatting sqref="K12">
    <cfRule type="cellIs" dxfId="464" priority="35" operator="equal">
      <formula>0</formula>
    </cfRule>
  </conditionalFormatting>
  <conditionalFormatting sqref="J3:J4">
    <cfRule type="cellIs" dxfId="463" priority="34" operator="equal">
      <formula>0</formula>
    </cfRule>
  </conditionalFormatting>
  <conditionalFormatting sqref="J5">
    <cfRule type="cellIs" dxfId="462" priority="33" operator="equal">
      <formula>0</formula>
    </cfRule>
  </conditionalFormatting>
  <conditionalFormatting sqref="J6">
    <cfRule type="cellIs" dxfId="461" priority="32" operator="equal">
      <formula>0</formula>
    </cfRule>
  </conditionalFormatting>
  <conditionalFormatting sqref="J9">
    <cfRule type="cellIs" dxfId="460" priority="31" operator="equal">
      <formula>0</formula>
    </cfRule>
  </conditionalFormatting>
  <conditionalFormatting sqref="J10">
    <cfRule type="cellIs" dxfId="459" priority="30" operator="equal">
      <formula>0</formula>
    </cfRule>
  </conditionalFormatting>
  <conditionalFormatting sqref="J7">
    <cfRule type="cellIs" dxfId="458" priority="29" operator="equal">
      <formula>0</formula>
    </cfRule>
  </conditionalFormatting>
  <conditionalFormatting sqref="J8">
    <cfRule type="cellIs" dxfId="457" priority="28" operator="equal">
      <formula>0</formula>
    </cfRule>
  </conditionalFormatting>
  <conditionalFormatting sqref="J11">
    <cfRule type="cellIs" dxfId="456" priority="27" operator="equal">
      <formula>0</formula>
    </cfRule>
  </conditionalFormatting>
  <conditionalFormatting sqref="J13">
    <cfRule type="cellIs" dxfId="455" priority="26" operator="equal">
      <formula>0</formula>
    </cfRule>
  </conditionalFormatting>
  <conditionalFormatting sqref="J12">
    <cfRule type="cellIs" dxfId="454" priority="25" operator="equal">
      <formula>0</formula>
    </cfRule>
  </conditionalFormatting>
  <conditionalFormatting sqref="K25">
    <cfRule type="cellIs" dxfId="453" priority="24" operator="equal">
      <formula>0</formula>
    </cfRule>
  </conditionalFormatting>
  <conditionalFormatting sqref="K26">
    <cfRule type="cellIs" dxfId="452" priority="23" operator="equal">
      <formula>0</formula>
    </cfRule>
  </conditionalFormatting>
  <conditionalFormatting sqref="J25">
    <cfRule type="cellIs" dxfId="451" priority="22" operator="equal">
      <formula>0</formula>
    </cfRule>
  </conditionalFormatting>
  <conditionalFormatting sqref="J26">
    <cfRule type="cellIs" dxfId="450" priority="21" operator="equal">
      <formula>0</formula>
    </cfRule>
  </conditionalFormatting>
  <conditionalFormatting sqref="L3:L4">
    <cfRule type="cellIs" dxfId="449" priority="20" operator="equal">
      <formula>0</formula>
    </cfRule>
  </conditionalFormatting>
  <conditionalFormatting sqref="L5">
    <cfRule type="cellIs" dxfId="448" priority="19" operator="equal">
      <formula>0</formula>
    </cfRule>
  </conditionalFormatting>
  <conditionalFormatting sqref="L6">
    <cfRule type="cellIs" dxfId="447" priority="18" operator="equal">
      <formula>0</formula>
    </cfRule>
  </conditionalFormatting>
  <conditionalFormatting sqref="L7">
    <cfRule type="cellIs" dxfId="446" priority="17" operator="equal">
      <formula>0</formula>
    </cfRule>
  </conditionalFormatting>
  <conditionalFormatting sqref="L8:L9">
    <cfRule type="cellIs" dxfId="445" priority="16" operator="equal">
      <formula>0</formula>
    </cfRule>
  </conditionalFormatting>
  <conditionalFormatting sqref="L14">
    <cfRule type="cellIs" dxfId="444" priority="15" operator="equal">
      <formula>0</formula>
    </cfRule>
  </conditionalFormatting>
  <conditionalFormatting sqref="L15">
    <cfRule type="cellIs" dxfId="443" priority="14" operator="equal">
      <formula>0</formula>
    </cfRule>
  </conditionalFormatting>
  <conditionalFormatting sqref="L16">
    <cfRule type="cellIs" dxfId="442" priority="13" operator="equal">
      <formula>0</formula>
    </cfRule>
  </conditionalFormatting>
  <conditionalFormatting sqref="L17">
    <cfRule type="cellIs" dxfId="441" priority="12" operator="equal">
      <formula>0</formula>
    </cfRule>
  </conditionalFormatting>
  <conditionalFormatting sqref="L18">
    <cfRule type="cellIs" dxfId="440" priority="11" operator="equal">
      <formula>0</formula>
    </cfRule>
  </conditionalFormatting>
  <conditionalFormatting sqref="L19">
    <cfRule type="cellIs" dxfId="439" priority="10" operator="equal">
      <formula>0</formula>
    </cfRule>
  </conditionalFormatting>
  <conditionalFormatting sqref="L20">
    <cfRule type="cellIs" dxfId="438" priority="9" operator="equal">
      <formula>0</formula>
    </cfRule>
  </conditionalFormatting>
  <conditionalFormatting sqref="L21">
    <cfRule type="cellIs" dxfId="437" priority="8" operator="equal">
      <formula>0</formula>
    </cfRule>
  </conditionalFormatting>
  <conditionalFormatting sqref="L22">
    <cfRule type="cellIs" dxfId="436" priority="7" operator="equal">
      <formula>0</formula>
    </cfRule>
  </conditionalFormatting>
  <conditionalFormatting sqref="L23">
    <cfRule type="cellIs" dxfId="435" priority="6" operator="equal">
      <formula>0</formula>
    </cfRule>
  </conditionalFormatting>
  <conditionalFormatting sqref="L24">
    <cfRule type="cellIs" dxfId="434" priority="5" operator="equal">
      <formula>0</formula>
    </cfRule>
  </conditionalFormatting>
  <conditionalFormatting sqref="L10">
    <cfRule type="cellIs" dxfId="433" priority="4" operator="equal">
      <formula>0</formula>
    </cfRule>
  </conditionalFormatting>
  <conditionalFormatting sqref="L11">
    <cfRule type="cellIs" dxfId="432" priority="3" operator="equal">
      <formula>0</formula>
    </cfRule>
  </conditionalFormatting>
  <conditionalFormatting sqref="L12">
    <cfRule type="cellIs" dxfId="431" priority="2" operator="equal">
      <formula>0</formula>
    </cfRule>
  </conditionalFormatting>
  <conditionalFormatting sqref="L13">
    <cfRule type="cellIs" dxfId="43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17" workbookViewId="0">
      <selection activeCell="D88" sqref="D88"/>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9" customWidth="1"/>
  </cols>
  <sheetData>
    <row r="1" spans="1:16" x14ac:dyDescent="0.3">
      <c r="A1" s="118" t="s">
        <v>659</v>
      </c>
      <c r="B1" s="118" t="s">
        <v>660</v>
      </c>
      <c r="C1" s="118" t="s">
        <v>661</v>
      </c>
      <c r="D1" s="118" t="s">
        <v>662</v>
      </c>
      <c r="E1" s="118" t="s">
        <v>663</v>
      </c>
      <c r="F1" s="119" t="s">
        <v>611</v>
      </c>
      <c r="G1" s="128"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election activeCell="D1" sqref="D1"/>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45.441406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6"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64"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37" t="s">
        <v>367</v>
      </c>
      <c r="N3" s="440" t="s">
        <v>14</v>
      </c>
      <c r="O3" s="441">
        <f ca="1">($G3+$G4+$G5+$G6+$G7)</f>
        <v>1056</v>
      </c>
    </row>
    <row r="4" spans="1:15" ht="15" customHeight="1" x14ac:dyDescent="0.3">
      <c r="A4" s="464"/>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8"/>
      <c r="N4" s="438"/>
      <c r="O4" s="442"/>
    </row>
    <row r="5" spans="1:15" ht="15" customHeight="1" x14ac:dyDescent="0.3">
      <c r="A5" s="464"/>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8"/>
      <c r="N5" s="438"/>
      <c r="O5" s="442"/>
    </row>
    <row r="6" spans="1:15" ht="15" customHeight="1" x14ac:dyDescent="0.3">
      <c r="A6" s="464"/>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8"/>
      <c r="N6" s="438"/>
      <c r="O6" s="442"/>
    </row>
    <row r="7" spans="1:15" ht="15" customHeight="1" thickBot="1" x14ac:dyDescent="0.35">
      <c r="A7" s="464"/>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9"/>
      <c r="N7" s="439"/>
      <c r="O7" s="443"/>
    </row>
    <row r="8" spans="1:15" ht="15" customHeight="1" x14ac:dyDescent="0.3">
      <c r="A8" s="465"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4" t="s">
        <v>368</v>
      </c>
      <c r="N8" s="447" t="s">
        <v>20</v>
      </c>
      <c r="O8" s="449">
        <f ca="1">($G8+$G9+$G10+$G13)</f>
        <v>960</v>
      </c>
    </row>
    <row r="9" spans="1:15" ht="15" customHeight="1" x14ac:dyDescent="0.3">
      <c r="A9" s="466"/>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445"/>
      <c r="N9" s="438"/>
      <c r="O9" s="442"/>
    </row>
    <row r="10" spans="1:15" ht="15" customHeight="1" x14ac:dyDescent="0.3">
      <c r="A10" s="466"/>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445"/>
      <c r="N10" s="438"/>
      <c r="O10" s="442"/>
    </row>
    <row r="11" spans="1:15" ht="15" customHeight="1" x14ac:dyDescent="0.3">
      <c r="A11" s="466"/>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5"/>
      <c r="N11" s="438"/>
      <c r="O11" s="442"/>
    </row>
    <row r="12" spans="1:15" ht="15" customHeight="1" x14ac:dyDescent="0.3">
      <c r="A12" s="466"/>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6"/>
      <c r="N12" s="448"/>
      <c r="O12" s="450"/>
    </row>
    <row r="13" spans="1:15" ht="15" customHeight="1" thickBot="1" x14ac:dyDescent="0.35">
      <c r="A13" s="467"/>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446"/>
      <c r="N13" s="448"/>
      <c r="O13" s="450"/>
    </row>
    <row r="14" spans="1:15" ht="15" customHeight="1" x14ac:dyDescent="0.3">
      <c r="A14" s="461" t="s">
        <v>23</v>
      </c>
      <c r="B14" s="34" t="s">
        <v>24</v>
      </c>
      <c r="C14" s="36" t="s">
        <v>613</v>
      </c>
      <c r="D14" s="456" t="s">
        <v>25</v>
      </c>
      <c r="E14" s="121"/>
      <c r="F14" s="111" t="s">
        <v>26</v>
      </c>
      <c r="G14" s="60">
        <f ca="1">IF($C14="No Param",32,VLOOKUP($C14,INDIRECT(Config!$B$1),HLOOKUP(D$1,INDIRECT(Config!$E$1),2,FALSE),FALSE)*32)</f>
        <v>32</v>
      </c>
      <c r="H14" s="24" t="s">
        <v>27</v>
      </c>
      <c r="I14" s="24" t="s">
        <v>28</v>
      </c>
      <c r="J14" s="24" t="s">
        <v>1080</v>
      </c>
      <c r="K14" s="24" t="s">
        <v>1093</v>
      </c>
      <c r="L14" s="236" t="str">
        <f ca="1">IF(VLOOKUP("EXT_FUSE_PULL_SUPP", INDIRECT(Config!$B$1),HLOOKUP(D$1,INDIRECT(Config!$E$1),2,FALSE),FALSE)=1, IF(G14&gt;0,CONCATENATE("CSME_HW_FW_Config_fuses[",G14-1,":0]"), ""), "")</f>
        <v/>
      </c>
      <c r="M14" s="437" t="s">
        <v>369</v>
      </c>
      <c r="N14" s="440" t="s">
        <v>29</v>
      </c>
      <c r="O14" s="441">
        <f ca="1">(4*32+G18+G19+G20+G21+G22+G23)</f>
        <v>160</v>
      </c>
    </row>
    <row r="15" spans="1:15" x14ac:dyDescent="0.3">
      <c r="A15" s="462"/>
      <c r="B15" s="35" t="s">
        <v>30</v>
      </c>
      <c r="C15" s="37" t="s">
        <v>613</v>
      </c>
      <c r="D15" s="45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58"/>
      <c r="N15" s="438"/>
      <c r="O15" s="442"/>
    </row>
    <row r="16" spans="1:15" x14ac:dyDescent="0.3">
      <c r="A16" s="462"/>
      <c r="B16" s="35" t="s">
        <v>31</v>
      </c>
      <c r="C16" s="37" t="s">
        <v>613</v>
      </c>
      <c r="D16" s="45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58"/>
      <c r="N16" s="438"/>
      <c r="O16" s="442"/>
    </row>
    <row r="17" spans="1:15" x14ac:dyDescent="0.3">
      <c r="A17" s="462"/>
      <c r="B17" s="35" t="s">
        <v>32</v>
      </c>
      <c r="C17" s="37" t="s">
        <v>613</v>
      </c>
      <c r="D17" s="45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58"/>
      <c r="N17" s="438"/>
      <c r="O17" s="442"/>
    </row>
    <row r="18" spans="1:15" x14ac:dyDescent="0.3">
      <c r="A18" s="462"/>
      <c r="B18" s="35" t="s">
        <v>34</v>
      </c>
      <c r="C18" s="35" t="s">
        <v>253</v>
      </c>
      <c r="D18" s="457"/>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458"/>
      <c r="N18" s="438"/>
      <c r="O18" s="442"/>
    </row>
    <row r="19" spans="1:15" x14ac:dyDescent="0.3">
      <c r="A19" s="462"/>
      <c r="B19" s="35" t="s">
        <v>36</v>
      </c>
      <c r="C19" s="73" t="s">
        <v>214</v>
      </c>
      <c r="D19" s="457"/>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458"/>
      <c r="N19" s="438"/>
      <c r="O19" s="442"/>
    </row>
    <row r="20" spans="1:15" x14ac:dyDescent="0.3">
      <c r="A20" s="462"/>
      <c r="B20" s="73" t="s">
        <v>246</v>
      </c>
      <c r="C20" s="73" t="s">
        <v>205</v>
      </c>
      <c r="D20" s="457"/>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458"/>
      <c r="N20" s="438"/>
      <c r="O20" s="442"/>
    </row>
    <row r="21" spans="1:15" x14ac:dyDescent="0.3">
      <c r="A21" s="462"/>
      <c r="B21" s="73" t="s">
        <v>250</v>
      </c>
      <c r="C21" s="73" t="s">
        <v>390</v>
      </c>
      <c r="D21" s="45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58"/>
      <c r="N21" s="438"/>
      <c r="O21" s="442"/>
    </row>
    <row r="22" spans="1:15" x14ac:dyDescent="0.3">
      <c r="A22" s="462"/>
      <c r="B22" s="73" t="s">
        <v>251</v>
      </c>
      <c r="C22" s="73" t="s">
        <v>390</v>
      </c>
      <c r="D22" s="45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58"/>
      <c r="N22" s="438"/>
      <c r="O22" s="442"/>
    </row>
    <row r="23" spans="1:15" x14ac:dyDescent="0.3">
      <c r="A23" s="462"/>
      <c r="B23" s="73" t="s">
        <v>252</v>
      </c>
      <c r="C23" s="73" t="s">
        <v>390</v>
      </c>
      <c r="D23" s="45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58"/>
      <c r="N23" s="438"/>
      <c r="O23" s="442"/>
    </row>
    <row r="24" spans="1:15" x14ac:dyDescent="0.3">
      <c r="A24" s="462"/>
      <c r="B24" s="35" t="s">
        <v>38</v>
      </c>
      <c r="C24" s="37" t="s">
        <v>613</v>
      </c>
      <c r="D24" s="457"/>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458"/>
      <c r="N24" s="438"/>
      <c r="O24" s="442"/>
    </row>
    <row r="25" spans="1:15" x14ac:dyDescent="0.3">
      <c r="A25" s="461" t="s">
        <v>41</v>
      </c>
      <c r="B25" s="35" t="s">
        <v>42</v>
      </c>
      <c r="C25" s="35" t="s">
        <v>614</v>
      </c>
      <c r="D25" s="45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58" t="s">
        <v>370</v>
      </c>
      <c r="N25" s="438"/>
      <c r="O25" s="442">
        <f ca="1">(G25+G26)</f>
        <v>64</v>
      </c>
    </row>
    <row r="26" spans="1:15" ht="15" thickBot="1" x14ac:dyDescent="0.35">
      <c r="A26" s="463"/>
      <c r="B26" s="74" t="s">
        <v>46</v>
      </c>
      <c r="C26" s="74" t="s">
        <v>615</v>
      </c>
      <c r="D26" s="460"/>
      <c r="E26" s="123"/>
      <c r="F26" s="76" t="s">
        <v>44</v>
      </c>
      <c r="G26" s="75">
        <f ca="1">IF($C26="No Param",32,VLOOKUP($C26,INDIRECT(Config!$B$1),HLOOKUP(D$1,INDIRECT(Config!$E$1),2,FALSE),FALSE)*32)</f>
        <v>32</v>
      </c>
      <c r="H26" s="26" t="str">
        <f ca="1">IF(G26=0,"N/A","0x8004")</f>
        <v>0x8004</v>
      </c>
      <c r="I26" s="26" t="s">
        <v>47</v>
      </c>
      <c r="J26" s="26" t="s">
        <v>48</v>
      </c>
      <c r="K26" s="26" t="s">
        <v>387</v>
      </c>
      <c r="L26" s="237"/>
      <c r="M26" s="439"/>
      <c r="N26" s="439"/>
      <c r="O26" s="443"/>
    </row>
    <row r="27" spans="1:15" ht="15" thickBot="1" x14ac:dyDescent="0.35">
      <c r="A27" s="124"/>
    </row>
    <row r="28" spans="1:15" x14ac:dyDescent="0.3">
      <c r="A28" s="45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40" t="s">
        <v>48</v>
      </c>
      <c r="O28" s="441">
        <f ca="1">SUM(G28:G42)</f>
        <v>576</v>
      </c>
    </row>
    <row r="29" spans="1:15" ht="15" customHeight="1" x14ac:dyDescent="0.3">
      <c r="A29" s="45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8" t="s">
        <v>369</v>
      </c>
      <c r="N29" s="438"/>
      <c r="O29" s="442"/>
    </row>
    <row r="30" spans="1:15" x14ac:dyDescent="0.3">
      <c r="A30" s="45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8"/>
      <c r="N30" s="438"/>
      <c r="O30" s="442"/>
    </row>
    <row r="31" spans="1:15" x14ac:dyDescent="0.3">
      <c r="A31" s="45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8"/>
      <c r="N31" s="438"/>
      <c r="O31" s="442"/>
    </row>
    <row r="32" spans="1:15" x14ac:dyDescent="0.3">
      <c r="A32" s="45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8"/>
      <c r="O32" s="442"/>
    </row>
    <row r="33" spans="1:15" x14ac:dyDescent="0.3">
      <c r="A33" s="45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8"/>
      <c r="O33" s="442"/>
    </row>
    <row r="34" spans="1:15" ht="15" customHeight="1" x14ac:dyDescent="0.3">
      <c r="A34" s="45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8" t="s">
        <v>369</v>
      </c>
      <c r="N34" s="438"/>
      <c r="O34" s="442"/>
    </row>
    <row r="35" spans="1:15" x14ac:dyDescent="0.3">
      <c r="A35" s="45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8"/>
      <c r="N35" s="438"/>
      <c r="O35" s="442"/>
    </row>
    <row r="36" spans="1:15" x14ac:dyDescent="0.3">
      <c r="A36" s="45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8"/>
      <c r="N36" s="438"/>
      <c r="O36" s="442"/>
    </row>
    <row r="37" spans="1:15" x14ac:dyDescent="0.3">
      <c r="A37" s="45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8"/>
      <c r="O37" s="442"/>
    </row>
    <row r="38" spans="1:15" x14ac:dyDescent="0.3">
      <c r="A38" s="45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8"/>
      <c r="O38" s="442"/>
    </row>
    <row r="39" spans="1:15" ht="15" customHeight="1" x14ac:dyDescent="0.3">
      <c r="A39" s="45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8" t="s">
        <v>369</v>
      </c>
      <c r="N39" s="438"/>
      <c r="O39" s="442"/>
    </row>
    <row r="40" spans="1:15" x14ac:dyDescent="0.3">
      <c r="A40" s="45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8"/>
      <c r="N40" s="438"/>
      <c r="O40" s="442"/>
    </row>
    <row r="41" spans="1:15" x14ac:dyDescent="0.3">
      <c r="A41" s="45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8"/>
      <c r="N41" s="438"/>
      <c r="O41" s="442"/>
    </row>
    <row r="42" spans="1:15" ht="15" thickBot="1" x14ac:dyDescent="0.35">
      <c r="A42" s="46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9"/>
      <c r="O42" s="44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29" priority="227" operator="equal">
      <formula>0</formula>
    </cfRule>
  </conditionalFormatting>
  <conditionalFormatting sqref="J28">
    <cfRule type="cellIs" dxfId="428" priority="243" operator="equal">
      <formula>0</formula>
    </cfRule>
  </conditionalFormatting>
  <conditionalFormatting sqref="C3">
    <cfRule type="cellIs" dxfId="427" priority="229" operator="equal">
      <formula>0</formula>
    </cfRule>
  </conditionalFormatting>
  <conditionalFormatting sqref="C4">
    <cfRule type="cellIs" dxfId="426" priority="228" operator="equal">
      <formula>0</formula>
    </cfRule>
  </conditionalFormatting>
  <conditionalFormatting sqref="B3 D3 G14:G26">
    <cfRule type="cellIs" dxfId="425" priority="240" operator="equal">
      <formula>0</formula>
    </cfRule>
  </conditionalFormatting>
  <conditionalFormatting sqref="B4 D4">
    <cfRule type="cellIs" dxfId="424" priority="239" operator="equal">
      <formula>0</formula>
    </cfRule>
  </conditionalFormatting>
  <conditionalFormatting sqref="B5 D5">
    <cfRule type="cellIs" dxfId="423" priority="238" operator="equal">
      <formula>0</formula>
    </cfRule>
  </conditionalFormatting>
  <conditionalFormatting sqref="B7">
    <cfRule type="cellIs" dxfId="422" priority="237" operator="equal">
      <formula>0</formula>
    </cfRule>
  </conditionalFormatting>
  <conditionalFormatting sqref="B8 D8">
    <cfRule type="cellIs" priority="236" operator="equal">
      <formula>0</formula>
    </cfRule>
  </conditionalFormatting>
  <conditionalFormatting sqref="B9 D9">
    <cfRule type="cellIs" dxfId="421" priority="235" operator="equal">
      <formula>0</formula>
    </cfRule>
  </conditionalFormatting>
  <conditionalFormatting sqref="B10 D10">
    <cfRule type="cellIs" dxfId="420" priority="233" operator="equal">
      <formula>0</formula>
    </cfRule>
    <cfRule type="cellIs" dxfId="419" priority="234" operator="equal">
      <formula>0</formula>
    </cfRule>
  </conditionalFormatting>
  <conditionalFormatting sqref="B6 D6">
    <cfRule type="cellIs" dxfId="418" priority="231" operator="equal">
      <formula>0</formula>
    </cfRule>
  </conditionalFormatting>
  <conditionalFormatting sqref="D7">
    <cfRule type="cellIs" dxfId="417" priority="230" operator="equal">
      <formula>0</formula>
    </cfRule>
  </conditionalFormatting>
  <conditionalFormatting sqref="C7">
    <cfRule type="cellIs" dxfId="416" priority="226" operator="equal">
      <formula>0</formula>
    </cfRule>
  </conditionalFormatting>
  <conditionalFormatting sqref="C8">
    <cfRule type="cellIs" priority="225" operator="equal">
      <formula>0</formula>
    </cfRule>
  </conditionalFormatting>
  <conditionalFormatting sqref="C9">
    <cfRule type="cellIs" dxfId="415" priority="224" operator="equal">
      <formula>0</formula>
    </cfRule>
  </conditionalFormatting>
  <conditionalFormatting sqref="C10">
    <cfRule type="cellIs" dxfId="414" priority="222" operator="equal">
      <formula>0</formula>
    </cfRule>
    <cfRule type="cellIs" dxfId="413" priority="223" operator="equal">
      <formula>0</formula>
    </cfRule>
  </conditionalFormatting>
  <conditionalFormatting sqref="C6">
    <cfRule type="cellIs" dxfId="412" priority="221" operator="equal">
      <formula>0</formula>
    </cfRule>
  </conditionalFormatting>
  <conditionalFormatting sqref="G40">
    <cfRule type="cellIs" dxfId="411" priority="141" operator="equal">
      <formula>0</formula>
    </cfRule>
  </conditionalFormatting>
  <conditionalFormatting sqref="G37">
    <cfRule type="cellIs" dxfId="410" priority="140" operator="equal">
      <formula>0</formula>
    </cfRule>
  </conditionalFormatting>
  <conditionalFormatting sqref="G42">
    <cfRule type="cellIs" dxfId="409" priority="139" operator="equal">
      <formula>0</formula>
    </cfRule>
  </conditionalFormatting>
  <conditionalFormatting sqref="L32">
    <cfRule type="cellIs" dxfId="408" priority="182" operator="equal">
      <formula>0</formula>
    </cfRule>
  </conditionalFormatting>
  <conditionalFormatting sqref="L31">
    <cfRule type="cellIs" dxfId="407" priority="181" operator="equal">
      <formula>0</formula>
    </cfRule>
  </conditionalFormatting>
  <conditionalFormatting sqref="L30">
    <cfRule type="cellIs" dxfId="406" priority="180" operator="equal">
      <formula>0</formula>
    </cfRule>
  </conditionalFormatting>
  <conditionalFormatting sqref="L36">
    <cfRule type="cellIs" dxfId="405" priority="177" operator="equal">
      <formula>0</formula>
    </cfRule>
  </conditionalFormatting>
  <conditionalFormatting sqref="L29">
    <cfRule type="cellIs" dxfId="404" priority="179" operator="equal">
      <formula>0</formula>
    </cfRule>
  </conditionalFormatting>
  <conditionalFormatting sqref="L37">
    <cfRule type="cellIs" dxfId="403" priority="178" operator="equal">
      <formula>0</formula>
    </cfRule>
  </conditionalFormatting>
  <conditionalFormatting sqref="L35">
    <cfRule type="cellIs" dxfId="402" priority="176" operator="equal">
      <formula>0</formula>
    </cfRule>
  </conditionalFormatting>
  <conditionalFormatting sqref="L34">
    <cfRule type="cellIs" dxfId="401" priority="175" operator="equal">
      <formula>0</formula>
    </cfRule>
  </conditionalFormatting>
  <conditionalFormatting sqref="L42">
    <cfRule type="cellIs" dxfId="400" priority="174" operator="equal">
      <formula>0</formula>
    </cfRule>
  </conditionalFormatting>
  <conditionalFormatting sqref="L41">
    <cfRule type="cellIs" dxfId="399" priority="173" operator="equal">
      <formula>0</formula>
    </cfRule>
  </conditionalFormatting>
  <conditionalFormatting sqref="L40">
    <cfRule type="cellIs" dxfId="398" priority="172" operator="equal">
      <formula>0</formula>
    </cfRule>
  </conditionalFormatting>
  <conditionalFormatting sqref="L39">
    <cfRule type="cellIs" dxfId="397" priority="171" operator="equal">
      <formula>0</formula>
    </cfRule>
  </conditionalFormatting>
  <conditionalFormatting sqref="K25">
    <cfRule type="cellIs" dxfId="396" priority="158" operator="equal">
      <formula>0</formula>
    </cfRule>
  </conditionalFormatting>
  <conditionalFormatting sqref="K26">
    <cfRule type="cellIs" dxfId="395" priority="156" operator="equal">
      <formula>0</formula>
    </cfRule>
  </conditionalFormatting>
  <conditionalFormatting sqref="G34">
    <cfRule type="cellIs" dxfId="394" priority="153" operator="equal">
      <formula>0</formula>
    </cfRule>
  </conditionalFormatting>
  <conditionalFormatting sqref="G36">
    <cfRule type="cellIs" dxfId="393" priority="152" operator="equal">
      <formula>0</formula>
    </cfRule>
  </conditionalFormatting>
  <conditionalFormatting sqref="G29">
    <cfRule type="cellIs" dxfId="392" priority="146" operator="equal">
      <formula>0</formula>
    </cfRule>
  </conditionalFormatting>
  <conditionalFormatting sqref="G32">
    <cfRule type="cellIs" dxfId="391" priority="150" operator="equal">
      <formula>0</formula>
    </cfRule>
  </conditionalFormatting>
  <conditionalFormatting sqref="G33">
    <cfRule type="cellIs" dxfId="390" priority="149" operator="equal">
      <formula>0</formula>
    </cfRule>
  </conditionalFormatting>
  <conditionalFormatting sqref="G28">
    <cfRule type="cellIs" dxfId="389" priority="151" operator="equal">
      <formula>0</formula>
    </cfRule>
  </conditionalFormatting>
  <conditionalFormatting sqref="G38">
    <cfRule type="cellIs" dxfId="388" priority="148" operator="equal">
      <formula>0</formula>
    </cfRule>
  </conditionalFormatting>
  <conditionalFormatting sqref="G35">
    <cfRule type="cellIs" dxfId="387" priority="147" operator="equal">
      <formula>0</formula>
    </cfRule>
  </conditionalFormatting>
  <conditionalFormatting sqref="G31">
    <cfRule type="cellIs" dxfId="386" priority="145" operator="equal">
      <formula>0</formula>
    </cfRule>
  </conditionalFormatting>
  <conditionalFormatting sqref="G30">
    <cfRule type="cellIs" dxfId="385" priority="144" operator="equal">
      <formula>0</formula>
    </cfRule>
  </conditionalFormatting>
  <conditionalFormatting sqref="G39">
    <cfRule type="cellIs" dxfId="384" priority="143" operator="equal">
      <formula>0</formula>
    </cfRule>
  </conditionalFormatting>
  <conditionalFormatting sqref="G41">
    <cfRule type="cellIs" dxfId="383" priority="142" operator="equal">
      <formula>0</formula>
    </cfRule>
  </conditionalFormatting>
  <conditionalFormatting sqref="G3:I3">
    <cfRule type="cellIs" dxfId="382" priority="70" operator="equal">
      <formula>0</formula>
    </cfRule>
  </conditionalFormatting>
  <conditionalFormatting sqref="H4:I4">
    <cfRule type="cellIs" dxfId="381" priority="69" operator="equal">
      <formula>0</formula>
    </cfRule>
  </conditionalFormatting>
  <conditionalFormatting sqref="I6">
    <cfRule type="cellIs" dxfId="380" priority="65" operator="equal">
      <formula>0</formula>
    </cfRule>
  </conditionalFormatting>
  <conditionalFormatting sqref="H5">
    <cfRule type="cellIs" dxfId="379" priority="64" operator="equal">
      <formula>0</formula>
    </cfRule>
  </conditionalFormatting>
  <conditionalFormatting sqref="H6">
    <cfRule type="cellIs" dxfId="378" priority="63" operator="equal">
      <formula>0</formula>
    </cfRule>
  </conditionalFormatting>
  <conditionalFormatting sqref="K3:K4">
    <cfRule type="cellIs" dxfId="377" priority="121" operator="equal">
      <formula>0</formula>
    </cfRule>
  </conditionalFormatting>
  <conditionalFormatting sqref="K5">
    <cfRule type="cellIs" dxfId="376" priority="119" operator="equal">
      <formula>0</formula>
    </cfRule>
  </conditionalFormatting>
  <conditionalFormatting sqref="K6">
    <cfRule type="cellIs" dxfId="375" priority="117" operator="equal">
      <formula>0</formula>
    </cfRule>
  </conditionalFormatting>
  <conditionalFormatting sqref="K9">
    <cfRule type="cellIs" dxfId="374" priority="115" operator="equal">
      <formula>0</formula>
    </cfRule>
  </conditionalFormatting>
  <conditionalFormatting sqref="K10">
    <cfRule type="cellIs" dxfId="373" priority="113" operator="equal">
      <formula>0</formula>
    </cfRule>
  </conditionalFormatting>
  <conditionalFormatting sqref="K7">
    <cfRule type="cellIs" dxfId="372" priority="109" operator="equal">
      <formula>0</formula>
    </cfRule>
  </conditionalFormatting>
  <conditionalFormatting sqref="K8">
    <cfRule type="cellIs" dxfId="371" priority="107" operator="equal">
      <formula>0</formula>
    </cfRule>
  </conditionalFormatting>
  <conditionalFormatting sqref="E10">
    <cfRule type="cellIs" priority="89" operator="equal">
      <formula>0</formula>
    </cfRule>
  </conditionalFormatting>
  <conditionalFormatting sqref="E3">
    <cfRule type="cellIs" dxfId="370" priority="104" operator="equal">
      <formula>0</formula>
    </cfRule>
  </conditionalFormatting>
  <conditionalFormatting sqref="E3">
    <cfRule type="cellIs" priority="103" operator="equal">
      <formula>0</formula>
    </cfRule>
  </conditionalFormatting>
  <conditionalFormatting sqref="E5">
    <cfRule type="cellIs" dxfId="369" priority="100" operator="equal">
      <formula>0</formula>
    </cfRule>
  </conditionalFormatting>
  <conditionalFormatting sqref="E5">
    <cfRule type="cellIs" priority="99" operator="equal">
      <formula>0</formula>
    </cfRule>
  </conditionalFormatting>
  <conditionalFormatting sqref="E7">
    <cfRule type="cellIs" dxfId="368" priority="96" operator="equal">
      <formula>0</formula>
    </cfRule>
  </conditionalFormatting>
  <conditionalFormatting sqref="E7">
    <cfRule type="cellIs" priority="95" operator="equal">
      <formula>0</formula>
    </cfRule>
  </conditionalFormatting>
  <conditionalFormatting sqref="E9">
    <cfRule type="cellIs" dxfId="367" priority="92" operator="equal">
      <formula>0</formula>
    </cfRule>
  </conditionalFormatting>
  <conditionalFormatting sqref="E9">
    <cfRule type="cellIs" priority="91" operator="equal">
      <formula>0</formula>
    </cfRule>
  </conditionalFormatting>
  <conditionalFormatting sqref="E4">
    <cfRule type="cellIs" dxfId="366" priority="102" operator="equal">
      <formula>0</formula>
    </cfRule>
  </conditionalFormatting>
  <conditionalFormatting sqref="E4">
    <cfRule type="cellIs" priority="101" operator="equal">
      <formula>0</formula>
    </cfRule>
  </conditionalFormatting>
  <conditionalFormatting sqref="E6">
    <cfRule type="cellIs" dxfId="365" priority="98" operator="equal">
      <formula>0</formula>
    </cfRule>
  </conditionalFormatting>
  <conditionalFormatting sqref="E6">
    <cfRule type="cellIs" priority="97" operator="equal">
      <formula>0</formula>
    </cfRule>
  </conditionalFormatting>
  <conditionalFormatting sqref="E8">
    <cfRule type="cellIs" dxfId="364" priority="94" operator="equal">
      <formula>0</formula>
    </cfRule>
  </conditionalFormatting>
  <conditionalFormatting sqref="E8">
    <cfRule type="cellIs" priority="93" operator="equal">
      <formula>0</formula>
    </cfRule>
  </conditionalFormatting>
  <conditionalFormatting sqref="E10">
    <cfRule type="cellIs" dxfId="363" priority="90" operator="equal">
      <formula>0</formula>
    </cfRule>
  </conditionalFormatting>
  <conditionalFormatting sqref="G4:G10">
    <cfRule type="cellIs" dxfId="362" priority="80" operator="equal">
      <formula>0</formula>
    </cfRule>
  </conditionalFormatting>
  <conditionalFormatting sqref="F6">
    <cfRule type="cellIs" dxfId="361" priority="71" operator="equal">
      <formula>0</formula>
    </cfRule>
  </conditionalFormatting>
  <conditionalFormatting sqref="F3">
    <cfRule type="cellIs" dxfId="360" priority="79" operator="equal">
      <formula>0</formula>
    </cfRule>
  </conditionalFormatting>
  <conditionalFormatting sqref="F4">
    <cfRule type="cellIs" dxfId="359" priority="78" operator="equal">
      <formula>0</formula>
    </cfRule>
  </conditionalFormatting>
  <conditionalFormatting sqref="F5">
    <cfRule type="cellIs" dxfId="358" priority="77" operator="equal">
      <formula>0</formula>
    </cfRule>
  </conditionalFormatting>
  <conditionalFormatting sqref="F7">
    <cfRule type="cellIs" dxfId="357" priority="76" operator="equal">
      <formula>0</formula>
    </cfRule>
  </conditionalFormatting>
  <conditionalFormatting sqref="F9">
    <cfRule type="cellIs" dxfId="356" priority="74" operator="equal">
      <formula>0</formula>
    </cfRule>
  </conditionalFormatting>
  <conditionalFormatting sqref="F8 H9:H10">
    <cfRule type="cellIs" priority="75" operator="equal">
      <formula>0</formula>
    </cfRule>
  </conditionalFormatting>
  <conditionalFormatting sqref="F10">
    <cfRule type="cellIs" dxfId="355" priority="72" operator="equal">
      <formula>0</formula>
    </cfRule>
    <cfRule type="cellIs" dxfId="354" priority="73" operator="equal">
      <formula>0</formula>
    </cfRule>
  </conditionalFormatting>
  <conditionalFormatting sqref="H7">
    <cfRule type="cellIs" dxfId="353" priority="62" operator="equal">
      <formula>0</formula>
    </cfRule>
  </conditionalFormatting>
  <conditionalFormatting sqref="I5">
    <cfRule type="cellIs" dxfId="352" priority="68" operator="equal">
      <formula>0</formula>
    </cfRule>
  </conditionalFormatting>
  <conditionalFormatting sqref="I7">
    <cfRule type="cellIs" dxfId="35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0" priority="46" operator="equal">
      <formula>0</formula>
    </cfRule>
  </conditionalFormatting>
  <conditionalFormatting sqref="I11">
    <cfRule type="cellIs" priority="45" operator="equal">
      <formula>0</formula>
    </cfRule>
  </conditionalFormatting>
  <conditionalFormatting sqref="K13 E13 G13">
    <cfRule type="cellIs" dxfId="34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6" priority="32" operator="equal">
      <formula>0</formula>
    </cfRule>
  </conditionalFormatting>
  <conditionalFormatting sqref="J5">
    <cfRule type="cellIs" dxfId="345" priority="31" operator="equal">
      <formula>0</formula>
    </cfRule>
  </conditionalFormatting>
  <conditionalFormatting sqref="J6">
    <cfRule type="cellIs" dxfId="344" priority="30" operator="equal">
      <formula>0</formula>
    </cfRule>
  </conditionalFormatting>
  <conditionalFormatting sqref="J9">
    <cfRule type="cellIs" dxfId="343" priority="29" operator="equal">
      <formula>0</formula>
    </cfRule>
  </conditionalFormatting>
  <conditionalFormatting sqref="J10">
    <cfRule type="cellIs" dxfId="342" priority="28" operator="equal">
      <formula>0</formula>
    </cfRule>
  </conditionalFormatting>
  <conditionalFormatting sqref="J7">
    <cfRule type="cellIs" dxfId="341" priority="27" operator="equal">
      <formula>0</formula>
    </cfRule>
  </conditionalFormatting>
  <conditionalFormatting sqref="J8">
    <cfRule type="cellIs" dxfId="340" priority="26" operator="equal">
      <formula>0</formula>
    </cfRule>
  </conditionalFormatting>
  <conditionalFormatting sqref="J11">
    <cfRule type="cellIs" dxfId="339" priority="25" operator="equal">
      <formula>0</formula>
    </cfRule>
  </conditionalFormatting>
  <conditionalFormatting sqref="J13">
    <cfRule type="cellIs" dxfId="338" priority="24" operator="equal">
      <formula>0</formula>
    </cfRule>
  </conditionalFormatting>
  <conditionalFormatting sqref="J12">
    <cfRule type="cellIs" dxfId="337" priority="23" operator="equal">
      <formula>0</formula>
    </cfRule>
  </conditionalFormatting>
  <conditionalFormatting sqref="J25">
    <cfRule type="cellIs" dxfId="336" priority="22" operator="equal">
      <formula>0</formula>
    </cfRule>
  </conditionalFormatting>
  <conditionalFormatting sqref="J26">
    <cfRule type="cellIs" dxfId="335" priority="21" operator="equal">
      <formula>0</formula>
    </cfRule>
  </conditionalFormatting>
  <conditionalFormatting sqref="L3:L4">
    <cfRule type="cellIs" dxfId="334" priority="20" operator="equal">
      <formula>0</formula>
    </cfRule>
  </conditionalFormatting>
  <conditionalFormatting sqref="L5">
    <cfRule type="cellIs" dxfId="333" priority="19" operator="equal">
      <formula>0</formula>
    </cfRule>
  </conditionalFormatting>
  <conditionalFormatting sqref="L6">
    <cfRule type="cellIs" dxfId="332" priority="18" operator="equal">
      <formula>0</formula>
    </cfRule>
  </conditionalFormatting>
  <conditionalFormatting sqref="L7">
    <cfRule type="cellIs" dxfId="331" priority="17" operator="equal">
      <formula>0</formula>
    </cfRule>
  </conditionalFormatting>
  <conditionalFormatting sqref="L8:L9">
    <cfRule type="cellIs" dxfId="330" priority="16" operator="equal">
      <formula>0</formula>
    </cfRule>
  </conditionalFormatting>
  <conditionalFormatting sqref="L14">
    <cfRule type="cellIs" dxfId="329" priority="15" operator="equal">
      <formula>0</formula>
    </cfRule>
  </conditionalFormatting>
  <conditionalFormatting sqref="L15">
    <cfRule type="cellIs" dxfId="328" priority="14" operator="equal">
      <formula>0</formula>
    </cfRule>
  </conditionalFormatting>
  <conditionalFormatting sqref="L16">
    <cfRule type="cellIs" dxfId="327" priority="13" operator="equal">
      <formula>0</formula>
    </cfRule>
  </conditionalFormatting>
  <conditionalFormatting sqref="L17">
    <cfRule type="cellIs" dxfId="326" priority="12" operator="equal">
      <formula>0</formula>
    </cfRule>
  </conditionalFormatting>
  <conditionalFormatting sqref="L18">
    <cfRule type="cellIs" dxfId="325" priority="11" operator="equal">
      <formula>0</formula>
    </cfRule>
  </conditionalFormatting>
  <conditionalFormatting sqref="L19">
    <cfRule type="cellIs" dxfId="324" priority="10" operator="equal">
      <formula>0</formula>
    </cfRule>
  </conditionalFormatting>
  <conditionalFormatting sqref="L20">
    <cfRule type="cellIs" dxfId="323" priority="9" operator="equal">
      <formula>0</formula>
    </cfRule>
  </conditionalFormatting>
  <conditionalFormatting sqref="L21">
    <cfRule type="cellIs" dxfId="322" priority="8" operator="equal">
      <formula>0</formula>
    </cfRule>
  </conditionalFormatting>
  <conditionalFormatting sqref="L22">
    <cfRule type="cellIs" dxfId="321" priority="7" operator="equal">
      <formula>0</formula>
    </cfRule>
  </conditionalFormatting>
  <conditionalFormatting sqref="L23">
    <cfRule type="cellIs" dxfId="320" priority="6" operator="equal">
      <formula>0</formula>
    </cfRule>
  </conditionalFormatting>
  <conditionalFormatting sqref="L24">
    <cfRule type="cellIs" dxfId="319" priority="5" operator="equal">
      <formula>0</formula>
    </cfRule>
  </conditionalFormatting>
  <conditionalFormatting sqref="L10">
    <cfRule type="cellIs" dxfId="318" priority="4" operator="equal">
      <formula>0</formula>
    </cfRule>
  </conditionalFormatting>
  <conditionalFormatting sqref="L11">
    <cfRule type="cellIs" dxfId="317" priority="3" operator="equal">
      <formula>0</formula>
    </cfRule>
  </conditionalFormatting>
  <conditionalFormatting sqref="L12">
    <cfRule type="cellIs" dxfId="316" priority="2" operator="equal">
      <formula>0</formula>
    </cfRule>
  </conditionalFormatting>
  <conditionalFormatting sqref="L13">
    <cfRule type="cellIs" dxfId="31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19" zoomScaleNormal="100" workbookViewId="0">
      <selection activeCell="E28" sqref="E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36"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37" t="s">
        <v>367</v>
      </c>
      <c r="N3" s="440" t="s">
        <v>14</v>
      </c>
      <c r="O3" s="441">
        <f ca="1">($G3+$G4+$G5+$G6+$G7)</f>
        <v>1056</v>
      </c>
    </row>
    <row r="4" spans="1:15" ht="15" customHeight="1" x14ac:dyDescent="0.3">
      <c r="A4" s="436"/>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8"/>
      <c r="N4" s="438"/>
      <c r="O4" s="442"/>
    </row>
    <row r="5" spans="1:15" ht="15" customHeight="1" x14ac:dyDescent="0.3">
      <c r="A5" s="436"/>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8"/>
      <c r="N5" s="438"/>
      <c r="O5" s="442"/>
    </row>
    <row r="6" spans="1:15" ht="15" customHeight="1" x14ac:dyDescent="0.3">
      <c r="A6" s="436"/>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8"/>
      <c r="N6" s="438"/>
      <c r="O6" s="442"/>
    </row>
    <row r="7" spans="1:15" ht="15" customHeight="1" thickBot="1" x14ac:dyDescent="0.35">
      <c r="A7" s="436"/>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9"/>
      <c r="N7" s="439"/>
      <c r="O7" s="443"/>
    </row>
    <row r="8" spans="1:15" ht="14.55" customHeight="1" x14ac:dyDescent="0.3">
      <c r="A8" s="451"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4" t="s">
        <v>368</v>
      </c>
      <c r="N8" s="447" t="s">
        <v>20</v>
      </c>
      <c r="O8" s="449">
        <f ca="1">($G8+$G9+$G10+$G13)</f>
        <v>960</v>
      </c>
    </row>
    <row r="9" spans="1:15" ht="14.55" customHeight="1" x14ac:dyDescent="0.3">
      <c r="A9" s="452"/>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445"/>
      <c r="N9" s="438"/>
      <c r="O9" s="442"/>
    </row>
    <row r="10" spans="1:15" ht="14.55" customHeight="1" x14ac:dyDescent="0.3">
      <c r="A10" s="452"/>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445"/>
      <c r="N10" s="438"/>
      <c r="O10" s="442"/>
    </row>
    <row r="11" spans="1:15" ht="14.55" customHeight="1" x14ac:dyDescent="0.3">
      <c r="A11" s="452"/>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5"/>
      <c r="N11" s="438"/>
      <c r="O11" s="442"/>
    </row>
    <row r="12" spans="1:15" ht="14.55" customHeight="1" x14ac:dyDescent="0.3">
      <c r="A12" s="452"/>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6"/>
      <c r="N12" s="448"/>
      <c r="O12" s="450"/>
    </row>
    <row r="13" spans="1:15" ht="14.55" customHeight="1" thickBot="1" x14ac:dyDescent="0.35">
      <c r="A13" s="453"/>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446"/>
      <c r="N13" s="448"/>
      <c r="O13" s="450"/>
    </row>
    <row r="14" spans="1:15" ht="14.55" customHeight="1" x14ac:dyDescent="0.3">
      <c r="A14" s="454" t="s">
        <v>23</v>
      </c>
      <c r="B14" s="34" t="s">
        <v>24</v>
      </c>
      <c r="C14" s="36" t="s">
        <v>613</v>
      </c>
      <c r="D14" s="456" t="s">
        <v>25</v>
      </c>
      <c r="E14" s="121"/>
      <c r="F14" s="111" t="s">
        <v>26</v>
      </c>
      <c r="G14" s="60">
        <f ca="1">IF($C14="No Param",32,VLOOKUP($C14,INDIRECT(Config!$B$1),HLOOKUP(D$1,INDIRECT(Config!$E$1),2,FALSE),FALSE)*32)</f>
        <v>32</v>
      </c>
      <c r="H14" s="24" t="s">
        <v>27</v>
      </c>
      <c r="I14" s="24" t="s">
        <v>28</v>
      </c>
      <c r="J14" s="24" t="s">
        <v>1080</v>
      </c>
      <c r="K14" s="24" t="s">
        <v>1092</v>
      </c>
      <c r="L14" s="236" t="str">
        <f ca="1">IF(VLOOKUP("EXT_FUSE_PULL_SUPP", INDIRECT(Config!$B$1),HLOOKUP(D$1,INDIRECT(Config!$E$1),2,FALSE),FALSE)=1, IF(G14&gt;0,CONCATENATE("CSME_HW_FW_Config_fuses[",G14-1,":0]"), ""), "")</f>
        <v/>
      </c>
      <c r="M14" s="437" t="s">
        <v>369</v>
      </c>
      <c r="N14" s="440" t="s">
        <v>29</v>
      </c>
      <c r="O14" s="441">
        <f ca="1">(4*32+G18+G19+G20+G21+G22+G23)</f>
        <v>160</v>
      </c>
    </row>
    <row r="15" spans="1:15" ht="14.55" customHeight="1" x14ac:dyDescent="0.3">
      <c r="A15" s="455"/>
      <c r="B15" s="35" t="s">
        <v>30</v>
      </c>
      <c r="C15" s="37" t="s">
        <v>613</v>
      </c>
      <c r="D15" s="45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58"/>
      <c r="N15" s="438"/>
      <c r="O15" s="442"/>
    </row>
    <row r="16" spans="1:15" ht="14.55" customHeight="1" x14ac:dyDescent="0.3">
      <c r="A16" s="455"/>
      <c r="B16" s="35" t="s">
        <v>31</v>
      </c>
      <c r="C16" s="37" t="s">
        <v>613</v>
      </c>
      <c r="D16" s="45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58"/>
      <c r="N16" s="438"/>
      <c r="O16" s="442"/>
    </row>
    <row r="17" spans="1:15" x14ac:dyDescent="0.3">
      <c r="A17" s="455"/>
      <c r="B17" s="35" t="s">
        <v>32</v>
      </c>
      <c r="C17" s="37" t="s">
        <v>613</v>
      </c>
      <c r="D17" s="45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58"/>
      <c r="N17" s="438"/>
      <c r="O17" s="442"/>
    </row>
    <row r="18" spans="1:15" x14ac:dyDescent="0.3">
      <c r="A18" s="455"/>
      <c r="B18" s="35" t="s">
        <v>34</v>
      </c>
      <c r="C18" s="35" t="s">
        <v>253</v>
      </c>
      <c r="D18" s="457"/>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458"/>
      <c r="N18" s="438"/>
      <c r="O18" s="442"/>
    </row>
    <row r="19" spans="1:15" x14ac:dyDescent="0.3">
      <c r="A19" s="455"/>
      <c r="B19" s="35" t="s">
        <v>36</v>
      </c>
      <c r="C19" s="73" t="s">
        <v>214</v>
      </c>
      <c r="D19" s="457"/>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458"/>
      <c r="N19" s="438"/>
      <c r="O19" s="442"/>
    </row>
    <row r="20" spans="1:15" x14ac:dyDescent="0.3">
      <c r="A20" s="455"/>
      <c r="B20" s="73" t="s">
        <v>246</v>
      </c>
      <c r="C20" s="73" t="s">
        <v>205</v>
      </c>
      <c r="D20" s="457"/>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458"/>
      <c r="N20" s="438"/>
      <c r="O20" s="442"/>
    </row>
    <row r="21" spans="1:15" x14ac:dyDescent="0.3">
      <c r="A21" s="455"/>
      <c r="B21" s="73" t="s">
        <v>250</v>
      </c>
      <c r="C21" s="73" t="s">
        <v>390</v>
      </c>
      <c r="D21" s="45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58"/>
      <c r="N21" s="438"/>
      <c r="O21" s="442"/>
    </row>
    <row r="22" spans="1:15" x14ac:dyDescent="0.3">
      <c r="A22" s="455"/>
      <c r="B22" s="73" t="s">
        <v>251</v>
      </c>
      <c r="C22" s="73" t="s">
        <v>390</v>
      </c>
      <c r="D22" s="45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58"/>
      <c r="N22" s="438"/>
      <c r="O22" s="442"/>
    </row>
    <row r="23" spans="1:15" x14ac:dyDescent="0.3">
      <c r="A23" s="455"/>
      <c r="B23" s="73" t="s">
        <v>252</v>
      </c>
      <c r="C23" s="73" t="s">
        <v>390</v>
      </c>
      <c r="D23" s="45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58"/>
      <c r="N23" s="438"/>
      <c r="O23" s="442"/>
    </row>
    <row r="24" spans="1:15" x14ac:dyDescent="0.3">
      <c r="A24" s="455"/>
      <c r="B24" s="35" t="s">
        <v>38</v>
      </c>
      <c r="C24" s="37" t="s">
        <v>613</v>
      </c>
      <c r="D24" s="457"/>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458"/>
      <c r="N24" s="438"/>
      <c r="O24" s="442"/>
    </row>
    <row r="25" spans="1:15" x14ac:dyDescent="0.3">
      <c r="A25" s="454" t="s">
        <v>41</v>
      </c>
      <c r="B25" s="35" t="s">
        <v>42</v>
      </c>
      <c r="C25" s="35" t="s">
        <v>614</v>
      </c>
      <c r="D25" s="457" t="s">
        <v>43</v>
      </c>
      <c r="E25" s="122"/>
      <c r="F25" s="68" t="s">
        <v>44</v>
      </c>
      <c r="G25" s="39">
        <f ca="1">IF($C25="No Param",32,VLOOKUP($C25,INDIRECT(Config!$B$1),HLOOKUP(D$1,INDIRECT(Config!$E$1),2,FALSE),FALSE)*32)</f>
        <v>32</v>
      </c>
      <c r="H25" s="16" t="str">
        <f ca="1">IF(G25=0,"N/A","0x8000")</f>
        <v>0x8000</v>
      </c>
      <c r="I25" s="16" t="s">
        <v>45</v>
      </c>
      <c r="J25" s="16" t="s">
        <v>48</v>
      </c>
      <c r="K25" s="16" t="s">
        <v>387</v>
      </c>
      <c r="L25" s="3"/>
      <c r="M25" s="458" t="s">
        <v>370</v>
      </c>
      <c r="N25" s="438"/>
      <c r="O25" s="442">
        <f ca="1">(G25+G26)</f>
        <v>64</v>
      </c>
    </row>
    <row r="26" spans="1:15" ht="15" thickBot="1" x14ac:dyDescent="0.35">
      <c r="A26" s="459"/>
      <c r="B26" s="74" t="s">
        <v>46</v>
      </c>
      <c r="C26" s="74" t="s">
        <v>615</v>
      </c>
      <c r="D26" s="460"/>
      <c r="E26" s="123"/>
      <c r="F26" s="76" t="s">
        <v>44</v>
      </c>
      <c r="G26" s="75">
        <f ca="1">IF($C26="No Param",32,VLOOKUP($C26,INDIRECT(Config!$B$1),HLOOKUP(D$1,INDIRECT(Config!$E$1),2,FALSE),FALSE)*32)</f>
        <v>32</v>
      </c>
      <c r="H26" s="26" t="str">
        <f ca="1">IF(G26=0,"N/A","0x8004")</f>
        <v>0x8004</v>
      </c>
      <c r="I26" s="26" t="s">
        <v>47</v>
      </c>
      <c r="J26" s="26" t="s">
        <v>48</v>
      </c>
      <c r="K26" s="26" t="s">
        <v>387</v>
      </c>
      <c r="L26" s="237"/>
      <c r="M26" s="439"/>
      <c r="N26" s="439"/>
      <c r="O26" s="443"/>
    </row>
    <row r="27" spans="1:15" ht="15" thickBot="1" x14ac:dyDescent="0.35">
      <c r="A27" s="124"/>
    </row>
    <row r="28" spans="1:15" x14ac:dyDescent="0.3">
      <c r="A28" s="45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40" t="s">
        <v>48</v>
      </c>
      <c r="O28" s="441">
        <f ca="1">SUM(G28:G42)</f>
        <v>576</v>
      </c>
    </row>
    <row r="29" spans="1:15" ht="15" customHeight="1" x14ac:dyDescent="0.3">
      <c r="A29" s="45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8" t="s">
        <v>369</v>
      </c>
      <c r="N29" s="438"/>
      <c r="O29" s="442"/>
    </row>
    <row r="30" spans="1:15" x14ac:dyDescent="0.3">
      <c r="A30" s="45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8"/>
      <c r="N30" s="438"/>
      <c r="O30" s="442"/>
    </row>
    <row r="31" spans="1:15" x14ac:dyDescent="0.3">
      <c r="A31" s="45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8"/>
      <c r="N31" s="438"/>
      <c r="O31" s="442"/>
    </row>
    <row r="32" spans="1:15" x14ac:dyDescent="0.3">
      <c r="A32" s="45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8"/>
      <c r="O32" s="442"/>
    </row>
    <row r="33" spans="1:15" x14ac:dyDescent="0.3">
      <c r="A33" s="45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8"/>
      <c r="O33" s="442"/>
    </row>
    <row r="34" spans="1:15" ht="15" customHeight="1" x14ac:dyDescent="0.3">
      <c r="A34" s="45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8" t="s">
        <v>369</v>
      </c>
      <c r="N34" s="438"/>
      <c r="O34" s="442"/>
    </row>
    <row r="35" spans="1:15" x14ac:dyDescent="0.3">
      <c r="A35" s="45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8"/>
      <c r="N35" s="438"/>
      <c r="O35" s="442"/>
    </row>
    <row r="36" spans="1:15" x14ac:dyDescent="0.3">
      <c r="A36" s="45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8"/>
      <c r="N36" s="438"/>
      <c r="O36" s="442"/>
    </row>
    <row r="37" spans="1:15" x14ac:dyDescent="0.3">
      <c r="A37" s="45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8"/>
      <c r="O37" s="442"/>
    </row>
    <row r="38" spans="1:15" x14ac:dyDescent="0.3">
      <c r="A38" s="45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8"/>
      <c r="O38" s="442"/>
    </row>
    <row r="39" spans="1:15" ht="15" customHeight="1" x14ac:dyDescent="0.3">
      <c r="A39" s="45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8" t="s">
        <v>369</v>
      </c>
      <c r="N39" s="438"/>
      <c r="O39" s="442"/>
    </row>
    <row r="40" spans="1:15" x14ac:dyDescent="0.3">
      <c r="A40" s="45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8"/>
      <c r="N40" s="438"/>
      <c r="O40" s="442"/>
    </row>
    <row r="41" spans="1:15" x14ac:dyDescent="0.3">
      <c r="A41" s="45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8"/>
      <c r="N41" s="438"/>
      <c r="O41" s="442"/>
    </row>
    <row r="42" spans="1:15" ht="15" thickBot="1" x14ac:dyDescent="0.35">
      <c r="A42" s="46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9"/>
      <c r="O42" s="44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4" priority="256" operator="equal">
      <formula>0</formula>
    </cfRule>
  </conditionalFormatting>
  <conditionalFormatting sqref="J28">
    <cfRule type="cellIs" dxfId="313" priority="272" operator="equal">
      <formula>0</formula>
    </cfRule>
  </conditionalFormatting>
  <conditionalFormatting sqref="C3">
    <cfRule type="cellIs" dxfId="312" priority="258" operator="equal">
      <formula>0</formula>
    </cfRule>
  </conditionalFormatting>
  <conditionalFormatting sqref="C4">
    <cfRule type="cellIs" dxfId="311" priority="257" operator="equal">
      <formula>0</formula>
    </cfRule>
  </conditionalFormatting>
  <conditionalFormatting sqref="B3 D3 G14:G26">
    <cfRule type="cellIs" dxfId="310" priority="269" operator="equal">
      <formula>0</formula>
    </cfRule>
  </conditionalFormatting>
  <conditionalFormatting sqref="B4 D4">
    <cfRule type="cellIs" dxfId="309" priority="268" operator="equal">
      <formula>0</formula>
    </cfRule>
  </conditionalFormatting>
  <conditionalFormatting sqref="B5 D5">
    <cfRule type="cellIs" dxfId="308" priority="267" operator="equal">
      <formula>0</formula>
    </cfRule>
  </conditionalFormatting>
  <conditionalFormatting sqref="B7">
    <cfRule type="cellIs" dxfId="307" priority="266" operator="equal">
      <formula>0</formula>
    </cfRule>
  </conditionalFormatting>
  <conditionalFormatting sqref="B8 D8">
    <cfRule type="cellIs" priority="265" operator="equal">
      <formula>0</formula>
    </cfRule>
  </conditionalFormatting>
  <conditionalFormatting sqref="B9 D9">
    <cfRule type="cellIs" dxfId="306" priority="264" operator="equal">
      <formula>0</formula>
    </cfRule>
  </conditionalFormatting>
  <conditionalFormatting sqref="B10 D10">
    <cfRule type="cellIs" dxfId="305" priority="262" operator="equal">
      <formula>0</formula>
    </cfRule>
    <cfRule type="cellIs" dxfId="304" priority="263" operator="equal">
      <formula>0</formula>
    </cfRule>
  </conditionalFormatting>
  <conditionalFormatting sqref="B6 D6">
    <cfRule type="cellIs" dxfId="303" priority="260" operator="equal">
      <formula>0</formula>
    </cfRule>
  </conditionalFormatting>
  <conditionalFormatting sqref="D7">
    <cfRule type="cellIs" dxfId="302" priority="259" operator="equal">
      <formula>0</formula>
    </cfRule>
  </conditionalFormatting>
  <conditionalFormatting sqref="C7">
    <cfRule type="cellIs" dxfId="301" priority="255" operator="equal">
      <formula>0</formula>
    </cfRule>
  </conditionalFormatting>
  <conditionalFormatting sqref="C8">
    <cfRule type="cellIs" priority="254" operator="equal">
      <formula>0</formula>
    </cfRule>
  </conditionalFormatting>
  <conditionalFormatting sqref="C9">
    <cfRule type="cellIs" dxfId="300" priority="253" operator="equal">
      <formula>0</formula>
    </cfRule>
  </conditionalFormatting>
  <conditionalFormatting sqref="C10">
    <cfRule type="cellIs" dxfId="299" priority="251" operator="equal">
      <formula>0</formula>
    </cfRule>
    <cfRule type="cellIs" dxfId="298" priority="252" operator="equal">
      <formula>0</formula>
    </cfRule>
  </conditionalFormatting>
  <conditionalFormatting sqref="C6">
    <cfRule type="cellIs" dxfId="297" priority="250" operator="equal">
      <formula>0</formula>
    </cfRule>
  </conditionalFormatting>
  <conditionalFormatting sqref="G40">
    <cfRule type="cellIs" dxfId="296" priority="170" operator="equal">
      <formula>0</formula>
    </cfRule>
  </conditionalFormatting>
  <conditionalFormatting sqref="G37">
    <cfRule type="cellIs" dxfId="295" priority="169" operator="equal">
      <formula>0</formula>
    </cfRule>
  </conditionalFormatting>
  <conditionalFormatting sqref="G42">
    <cfRule type="cellIs" dxfId="294" priority="168" operator="equal">
      <formula>0</formula>
    </cfRule>
  </conditionalFormatting>
  <conditionalFormatting sqref="L32">
    <cfRule type="cellIs" dxfId="293" priority="211" operator="equal">
      <formula>0</formula>
    </cfRule>
  </conditionalFormatting>
  <conditionalFormatting sqref="L31">
    <cfRule type="cellIs" dxfId="292" priority="210" operator="equal">
      <formula>0</formula>
    </cfRule>
  </conditionalFormatting>
  <conditionalFormatting sqref="L30">
    <cfRule type="cellIs" dxfId="291" priority="209" operator="equal">
      <formula>0</formula>
    </cfRule>
  </conditionalFormatting>
  <conditionalFormatting sqref="L29">
    <cfRule type="cellIs" dxfId="290" priority="208" operator="equal">
      <formula>0</formula>
    </cfRule>
  </conditionalFormatting>
  <conditionalFormatting sqref="L37">
    <cfRule type="cellIs" dxfId="289" priority="207" operator="equal">
      <formula>0</formula>
    </cfRule>
  </conditionalFormatting>
  <conditionalFormatting sqref="L36">
    <cfRule type="cellIs" dxfId="288" priority="206" operator="equal">
      <formula>0</formula>
    </cfRule>
  </conditionalFormatting>
  <conditionalFormatting sqref="L35">
    <cfRule type="cellIs" dxfId="287" priority="205" operator="equal">
      <formula>0</formula>
    </cfRule>
  </conditionalFormatting>
  <conditionalFormatting sqref="L34">
    <cfRule type="cellIs" dxfId="286" priority="204" operator="equal">
      <formula>0</formula>
    </cfRule>
  </conditionalFormatting>
  <conditionalFormatting sqref="L42">
    <cfRule type="cellIs" dxfId="285" priority="203" operator="equal">
      <formula>0</formula>
    </cfRule>
  </conditionalFormatting>
  <conditionalFormatting sqref="L41">
    <cfRule type="cellIs" dxfId="284" priority="202" operator="equal">
      <formula>0</formula>
    </cfRule>
  </conditionalFormatting>
  <conditionalFormatting sqref="L40">
    <cfRule type="cellIs" dxfId="283" priority="201" operator="equal">
      <formula>0</formula>
    </cfRule>
  </conditionalFormatting>
  <conditionalFormatting sqref="L39">
    <cfRule type="cellIs" dxfId="282" priority="200" operator="equal">
      <formula>0</formula>
    </cfRule>
  </conditionalFormatting>
  <conditionalFormatting sqref="G34">
    <cfRule type="cellIs" dxfId="281" priority="182" operator="equal">
      <formula>0</formula>
    </cfRule>
  </conditionalFormatting>
  <conditionalFormatting sqref="G36">
    <cfRule type="cellIs" dxfId="280" priority="181" operator="equal">
      <formula>0</formula>
    </cfRule>
  </conditionalFormatting>
  <conditionalFormatting sqref="G29">
    <cfRule type="cellIs" dxfId="279" priority="175" operator="equal">
      <formula>0</formula>
    </cfRule>
  </conditionalFormatting>
  <conditionalFormatting sqref="G32">
    <cfRule type="cellIs" dxfId="278" priority="179" operator="equal">
      <formula>0</formula>
    </cfRule>
  </conditionalFormatting>
  <conditionalFormatting sqref="G33">
    <cfRule type="cellIs" dxfId="277" priority="178" operator="equal">
      <formula>0</formula>
    </cfRule>
  </conditionalFormatting>
  <conditionalFormatting sqref="G28">
    <cfRule type="cellIs" dxfId="276" priority="180" operator="equal">
      <formula>0</formula>
    </cfRule>
  </conditionalFormatting>
  <conditionalFormatting sqref="G38">
    <cfRule type="cellIs" dxfId="275" priority="177" operator="equal">
      <formula>0</formula>
    </cfRule>
  </conditionalFormatting>
  <conditionalFormatting sqref="G35">
    <cfRule type="cellIs" dxfId="274" priority="176" operator="equal">
      <formula>0</formula>
    </cfRule>
  </conditionalFormatting>
  <conditionalFormatting sqref="G31">
    <cfRule type="cellIs" dxfId="273" priority="174" operator="equal">
      <formula>0</formula>
    </cfRule>
  </conditionalFormatting>
  <conditionalFormatting sqref="G30">
    <cfRule type="cellIs" dxfId="272" priority="173" operator="equal">
      <formula>0</formula>
    </cfRule>
  </conditionalFormatting>
  <conditionalFormatting sqref="G39">
    <cfRule type="cellIs" dxfId="271" priority="172" operator="equal">
      <formula>0</formula>
    </cfRule>
  </conditionalFormatting>
  <conditionalFormatting sqref="G41">
    <cfRule type="cellIs" dxfId="270" priority="171" operator="equal">
      <formula>0</formula>
    </cfRule>
  </conditionalFormatting>
  <conditionalFormatting sqref="E10">
    <cfRule type="cellIs" priority="131" operator="equal">
      <formula>0</formula>
    </cfRule>
  </conditionalFormatting>
  <conditionalFormatting sqref="E3">
    <cfRule type="cellIs" dxfId="269" priority="146" operator="equal">
      <formula>0</formula>
    </cfRule>
  </conditionalFormatting>
  <conditionalFormatting sqref="E3">
    <cfRule type="cellIs" priority="145" operator="equal">
      <formula>0</formula>
    </cfRule>
  </conditionalFormatting>
  <conditionalFormatting sqref="E5">
    <cfRule type="cellIs" dxfId="268" priority="142" operator="equal">
      <formula>0</formula>
    </cfRule>
  </conditionalFormatting>
  <conditionalFormatting sqref="E5">
    <cfRule type="cellIs" priority="141" operator="equal">
      <formula>0</formula>
    </cfRule>
  </conditionalFormatting>
  <conditionalFormatting sqref="E7">
    <cfRule type="cellIs" dxfId="267" priority="138" operator="equal">
      <formula>0</formula>
    </cfRule>
  </conditionalFormatting>
  <conditionalFormatting sqref="E7">
    <cfRule type="cellIs" priority="137" operator="equal">
      <formula>0</formula>
    </cfRule>
  </conditionalFormatting>
  <conditionalFormatting sqref="E9">
    <cfRule type="cellIs" dxfId="266" priority="134" operator="equal">
      <formula>0</formula>
    </cfRule>
  </conditionalFormatting>
  <conditionalFormatting sqref="E9">
    <cfRule type="cellIs" priority="133" operator="equal">
      <formula>0</formula>
    </cfRule>
  </conditionalFormatting>
  <conditionalFormatting sqref="E4">
    <cfRule type="cellIs" dxfId="265" priority="144" operator="equal">
      <formula>0</formula>
    </cfRule>
  </conditionalFormatting>
  <conditionalFormatting sqref="E4">
    <cfRule type="cellIs" priority="143" operator="equal">
      <formula>0</formula>
    </cfRule>
  </conditionalFormatting>
  <conditionalFormatting sqref="E6">
    <cfRule type="cellIs" dxfId="264" priority="140" operator="equal">
      <formula>0</formula>
    </cfRule>
  </conditionalFormatting>
  <conditionalFormatting sqref="E6">
    <cfRule type="cellIs" priority="139" operator="equal">
      <formula>0</formula>
    </cfRule>
  </conditionalFormatting>
  <conditionalFormatting sqref="E8">
    <cfRule type="cellIs" dxfId="263" priority="136" operator="equal">
      <formula>0</formula>
    </cfRule>
  </conditionalFormatting>
  <conditionalFormatting sqref="E8">
    <cfRule type="cellIs" priority="135" operator="equal">
      <formula>0</formula>
    </cfRule>
  </conditionalFormatting>
  <conditionalFormatting sqref="E10">
    <cfRule type="cellIs" dxfId="262" priority="132" operator="equal">
      <formula>0</formula>
    </cfRule>
  </conditionalFormatting>
  <conditionalFormatting sqref="G4:G10">
    <cfRule type="cellIs" dxfId="261" priority="122" operator="equal">
      <formula>0</formula>
    </cfRule>
  </conditionalFormatting>
  <conditionalFormatting sqref="F6">
    <cfRule type="cellIs" dxfId="260" priority="113" operator="equal">
      <formula>0</formula>
    </cfRule>
  </conditionalFormatting>
  <conditionalFormatting sqref="F3">
    <cfRule type="cellIs" dxfId="259" priority="121" operator="equal">
      <formula>0</formula>
    </cfRule>
  </conditionalFormatting>
  <conditionalFormatting sqref="F4">
    <cfRule type="cellIs" dxfId="258" priority="120" operator="equal">
      <formula>0</formula>
    </cfRule>
  </conditionalFormatting>
  <conditionalFormatting sqref="F5">
    <cfRule type="cellIs" dxfId="257" priority="119" operator="equal">
      <formula>0</formula>
    </cfRule>
  </conditionalFormatting>
  <conditionalFormatting sqref="F7">
    <cfRule type="cellIs" dxfId="256" priority="118" operator="equal">
      <formula>0</formula>
    </cfRule>
  </conditionalFormatting>
  <conditionalFormatting sqref="F9">
    <cfRule type="cellIs" dxfId="255" priority="116" operator="equal">
      <formula>0</formula>
    </cfRule>
  </conditionalFormatting>
  <conditionalFormatting sqref="G3:I3">
    <cfRule type="cellIs" dxfId="254" priority="112" operator="equal">
      <formula>0</formula>
    </cfRule>
  </conditionalFormatting>
  <conditionalFormatting sqref="F8 H9:H10">
    <cfRule type="cellIs" priority="117" operator="equal">
      <formula>0</formula>
    </cfRule>
  </conditionalFormatting>
  <conditionalFormatting sqref="F10">
    <cfRule type="cellIs" dxfId="253" priority="114" operator="equal">
      <formula>0</formula>
    </cfRule>
    <cfRule type="cellIs" dxfId="252" priority="115" operator="equal">
      <formula>0</formula>
    </cfRule>
  </conditionalFormatting>
  <conditionalFormatting sqref="H7">
    <cfRule type="cellIs" dxfId="251" priority="104" operator="equal">
      <formula>0</formula>
    </cfRule>
  </conditionalFormatting>
  <conditionalFormatting sqref="I6">
    <cfRule type="cellIs" dxfId="250" priority="107" operator="equal">
      <formula>0</formula>
    </cfRule>
  </conditionalFormatting>
  <conditionalFormatting sqref="H5">
    <cfRule type="cellIs" dxfId="249" priority="106" operator="equal">
      <formula>0</formula>
    </cfRule>
  </conditionalFormatting>
  <conditionalFormatting sqref="H4:I4">
    <cfRule type="cellIs" dxfId="248" priority="111" operator="equal">
      <formula>0</formula>
    </cfRule>
  </conditionalFormatting>
  <conditionalFormatting sqref="I5">
    <cfRule type="cellIs" dxfId="247" priority="110" operator="equal">
      <formula>0</formula>
    </cfRule>
  </conditionalFormatting>
  <conditionalFormatting sqref="I7">
    <cfRule type="cellIs" dxfId="246" priority="109" operator="equal">
      <formula>0</formula>
    </cfRule>
  </conditionalFormatting>
  <conditionalFormatting sqref="H8:I8">
    <cfRule type="cellIs" priority="108" operator="equal">
      <formula>0</formula>
    </cfRule>
  </conditionalFormatting>
  <conditionalFormatting sqref="H6">
    <cfRule type="cellIs" dxfId="245" priority="105" operator="equal">
      <formula>0</formula>
    </cfRule>
  </conditionalFormatting>
  <conditionalFormatting sqref="I9:I10">
    <cfRule type="cellIs" priority="101" operator="equal">
      <formula>0</formula>
    </cfRule>
  </conditionalFormatting>
  <conditionalFormatting sqref="E11 G11">
    <cfRule type="cellIs" dxfId="244" priority="88" operator="equal">
      <formula>0</formula>
    </cfRule>
  </conditionalFormatting>
  <conditionalFormatting sqref="I11">
    <cfRule type="cellIs" priority="87" operator="equal">
      <formula>0</formula>
    </cfRule>
  </conditionalFormatting>
  <conditionalFormatting sqref="E13 G13">
    <cfRule type="cellIs" dxfId="24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0" priority="44" operator="equal">
      <formula>0</formula>
    </cfRule>
  </conditionalFormatting>
  <conditionalFormatting sqref="K26">
    <cfRule type="cellIs" dxfId="239" priority="43" operator="equal">
      <formula>0</formula>
    </cfRule>
  </conditionalFormatting>
  <conditionalFormatting sqref="J25">
    <cfRule type="cellIs" dxfId="238" priority="42" operator="equal">
      <formula>0</formula>
    </cfRule>
  </conditionalFormatting>
  <conditionalFormatting sqref="J26">
    <cfRule type="cellIs" dxfId="237" priority="41" operator="equal">
      <formula>0</formula>
    </cfRule>
  </conditionalFormatting>
  <conditionalFormatting sqref="K3:K4">
    <cfRule type="cellIs" dxfId="236" priority="40" operator="equal">
      <formula>0</formula>
    </cfRule>
  </conditionalFormatting>
  <conditionalFormatting sqref="K5">
    <cfRule type="cellIs" dxfId="235" priority="39" operator="equal">
      <formula>0</formula>
    </cfRule>
  </conditionalFormatting>
  <conditionalFormatting sqref="K6">
    <cfRule type="cellIs" dxfId="234" priority="38" operator="equal">
      <formula>0</formula>
    </cfRule>
  </conditionalFormatting>
  <conditionalFormatting sqref="K9">
    <cfRule type="cellIs" dxfId="233" priority="37" operator="equal">
      <formula>0</formula>
    </cfRule>
  </conditionalFormatting>
  <conditionalFormatting sqref="K10">
    <cfRule type="cellIs" dxfId="232" priority="36" operator="equal">
      <formula>0</formula>
    </cfRule>
  </conditionalFormatting>
  <conditionalFormatting sqref="K7">
    <cfRule type="cellIs" dxfId="231" priority="35" operator="equal">
      <formula>0</formula>
    </cfRule>
  </conditionalFormatting>
  <conditionalFormatting sqref="K8">
    <cfRule type="cellIs" dxfId="230" priority="34" operator="equal">
      <formula>0</formula>
    </cfRule>
  </conditionalFormatting>
  <conditionalFormatting sqref="K11">
    <cfRule type="cellIs" dxfId="229" priority="33" operator="equal">
      <formula>0</formula>
    </cfRule>
  </conditionalFormatting>
  <conditionalFormatting sqref="K13">
    <cfRule type="cellIs" dxfId="228" priority="32" operator="equal">
      <formula>0</formula>
    </cfRule>
  </conditionalFormatting>
  <conditionalFormatting sqref="K12">
    <cfRule type="cellIs" dxfId="227" priority="31" operator="equal">
      <formula>0</formula>
    </cfRule>
  </conditionalFormatting>
  <conditionalFormatting sqref="J3:J4">
    <cfRule type="cellIs" dxfId="226" priority="30" operator="equal">
      <formula>0</formula>
    </cfRule>
  </conditionalFormatting>
  <conditionalFormatting sqref="J5">
    <cfRule type="cellIs" dxfId="225" priority="29" operator="equal">
      <formula>0</formula>
    </cfRule>
  </conditionalFormatting>
  <conditionalFormatting sqref="J6">
    <cfRule type="cellIs" dxfId="224" priority="28" operator="equal">
      <formula>0</formula>
    </cfRule>
  </conditionalFormatting>
  <conditionalFormatting sqref="J9">
    <cfRule type="cellIs" dxfId="223" priority="27" operator="equal">
      <formula>0</formula>
    </cfRule>
  </conditionalFormatting>
  <conditionalFormatting sqref="J10">
    <cfRule type="cellIs" dxfId="222" priority="26" operator="equal">
      <formula>0</formula>
    </cfRule>
  </conditionalFormatting>
  <conditionalFormatting sqref="J7">
    <cfRule type="cellIs" dxfId="221" priority="25" operator="equal">
      <formula>0</formula>
    </cfRule>
  </conditionalFormatting>
  <conditionalFormatting sqref="J8">
    <cfRule type="cellIs" dxfId="220" priority="24" operator="equal">
      <formula>0</formula>
    </cfRule>
  </conditionalFormatting>
  <conditionalFormatting sqref="J11">
    <cfRule type="cellIs" dxfId="219" priority="23" operator="equal">
      <formula>0</formula>
    </cfRule>
  </conditionalFormatting>
  <conditionalFormatting sqref="J13">
    <cfRule type="cellIs" dxfId="218" priority="22" operator="equal">
      <formula>0</formula>
    </cfRule>
  </conditionalFormatting>
  <conditionalFormatting sqref="J12">
    <cfRule type="cellIs" dxfId="217" priority="21" operator="equal">
      <formula>0</formula>
    </cfRule>
  </conditionalFormatting>
  <conditionalFormatting sqref="L3:L4">
    <cfRule type="cellIs" dxfId="216" priority="20" operator="equal">
      <formula>0</formula>
    </cfRule>
  </conditionalFormatting>
  <conditionalFormatting sqref="L5">
    <cfRule type="cellIs" dxfId="215" priority="19" operator="equal">
      <formula>0</formula>
    </cfRule>
  </conditionalFormatting>
  <conditionalFormatting sqref="L6">
    <cfRule type="cellIs" dxfId="214" priority="18" operator="equal">
      <formula>0</formula>
    </cfRule>
  </conditionalFormatting>
  <conditionalFormatting sqref="L7">
    <cfRule type="cellIs" dxfId="213" priority="17" operator="equal">
      <formula>0</formula>
    </cfRule>
  </conditionalFormatting>
  <conditionalFormatting sqref="L8:L9">
    <cfRule type="cellIs" dxfId="212" priority="16" operator="equal">
      <formula>0</formula>
    </cfRule>
  </conditionalFormatting>
  <conditionalFormatting sqref="L14">
    <cfRule type="cellIs" dxfId="211" priority="15" operator="equal">
      <formula>0</formula>
    </cfRule>
  </conditionalFormatting>
  <conditionalFormatting sqref="L15">
    <cfRule type="cellIs" dxfId="210" priority="14" operator="equal">
      <formula>0</formula>
    </cfRule>
  </conditionalFormatting>
  <conditionalFormatting sqref="L16">
    <cfRule type="cellIs" dxfId="209" priority="13" operator="equal">
      <formula>0</formula>
    </cfRule>
  </conditionalFormatting>
  <conditionalFormatting sqref="L17">
    <cfRule type="cellIs" dxfId="208" priority="12" operator="equal">
      <formula>0</formula>
    </cfRule>
  </conditionalFormatting>
  <conditionalFormatting sqref="L18">
    <cfRule type="cellIs" dxfId="207" priority="11" operator="equal">
      <formula>0</formula>
    </cfRule>
  </conditionalFormatting>
  <conditionalFormatting sqref="L19">
    <cfRule type="cellIs" dxfId="206" priority="10" operator="equal">
      <formula>0</formula>
    </cfRule>
  </conditionalFormatting>
  <conditionalFormatting sqref="L20">
    <cfRule type="cellIs" dxfId="205" priority="9" operator="equal">
      <formula>0</formula>
    </cfRule>
  </conditionalFormatting>
  <conditionalFormatting sqref="L21">
    <cfRule type="cellIs" dxfId="204" priority="8" operator="equal">
      <formula>0</formula>
    </cfRule>
  </conditionalFormatting>
  <conditionalFormatting sqref="L22">
    <cfRule type="cellIs" dxfId="203" priority="7" operator="equal">
      <formula>0</formula>
    </cfRule>
  </conditionalFormatting>
  <conditionalFormatting sqref="L23">
    <cfRule type="cellIs" dxfId="202" priority="6" operator="equal">
      <formula>0</formula>
    </cfRule>
  </conditionalFormatting>
  <conditionalFormatting sqref="L24">
    <cfRule type="cellIs" dxfId="201" priority="5" operator="equal">
      <formula>0</formula>
    </cfRule>
  </conditionalFormatting>
  <conditionalFormatting sqref="L10">
    <cfRule type="cellIs" dxfId="200" priority="4" operator="equal">
      <formula>0</formula>
    </cfRule>
  </conditionalFormatting>
  <conditionalFormatting sqref="L11">
    <cfRule type="cellIs" dxfId="199" priority="3" operator="equal">
      <formula>0</formula>
    </cfRule>
  </conditionalFormatting>
  <conditionalFormatting sqref="L12">
    <cfRule type="cellIs" dxfId="198" priority="2" operator="equal">
      <formula>0</formula>
    </cfRule>
  </conditionalFormatting>
  <conditionalFormatting sqref="L13">
    <cfRule type="cellIs" dxfId="1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F18" sqref="F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36" t="s">
        <v>810</v>
      </c>
      <c r="B3" s="34" t="s">
        <v>395</v>
      </c>
      <c r="C3" s="34" t="s">
        <v>395</v>
      </c>
      <c r="D3" s="152" t="s">
        <v>10</v>
      </c>
      <c r="E3" s="164" t="str">
        <f>Config!AD56</f>
        <v>This parameter is used to define Security Key Fuses for the Identity. This parameter shows bit size of HVM fuse. 
Current Security Key Fuse size is 512 bits. When this parameter is set to ‘0’, this HVM fuse is removed.</v>
      </c>
      <c r="F3" s="184"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37" t="s">
        <v>367</v>
      </c>
      <c r="N3" s="440" t="s">
        <v>14</v>
      </c>
      <c r="O3" s="441">
        <f ca="1">($G3+$G4+$G5+$G6+$G7)</f>
        <v>801</v>
      </c>
    </row>
    <row r="4" spans="1:15" ht="15" customHeight="1" x14ac:dyDescent="0.3">
      <c r="A4" s="436"/>
      <c r="B4" s="35" t="s">
        <v>396</v>
      </c>
      <c r="C4" s="35" t="s">
        <v>396</v>
      </c>
      <c r="D4" s="153"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38"/>
      <c r="N4" s="438"/>
      <c r="O4" s="442"/>
    </row>
    <row r="5" spans="1:15" ht="15" customHeight="1" x14ac:dyDescent="0.3">
      <c r="A5" s="436"/>
      <c r="B5" s="35" t="s">
        <v>397</v>
      </c>
      <c r="C5" s="35" t="s">
        <v>397</v>
      </c>
      <c r="D5" s="153"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38"/>
      <c r="N5" s="438"/>
      <c r="O5" s="442"/>
    </row>
    <row r="6" spans="1:15" ht="15" customHeight="1" thickBot="1" x14ac:dyDescent="0.35">
      <c r="A6" s="436"/>
      <c r="B6" s="69" t="s">
        <v>398</v>
      </c>
      <c r="C6" s="69" t="s">
        <v>398</v>
      </c>
      <c r="D6" s="153" t="s">
        <v>15</v>
      </c>
      <c r="E6" s="177"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38"/>
      <c r="N6" s="438"/>
      <c r="O6" s="442"/>
    </row>
    <row r="7" spans="1:15" ht="15" customHeight="1" thickBot="1" x14ac:dyDescent="0.35">
      <c r="A7" s="436"/>
      <c r="B7" s="70" t="s">
        <v>422</v>
      </c>
      <c r="C7" s="77" t="s">
        <v>422</v>
      </c>
      <c r="D7" s="155"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4" t="s">
        <v>1165</v>
      </c>
      <c r="G7" s="235">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48"/>
      <c r="N7" s="448"/>
      <c r="O7" s="450"/>
    </row>
    <row r="8" spans="1:15" ht="14.55" customHeight="1" x14ac:dyDescent="0.3">
      <c r="A8" s="475" t="s">
        <v>885</v>
      </c>
      <c r="B8" s="71" t="s">
        <v>16</v>
      </c>
      <c r="C8" s="71" t="s">
        <v>16</v>
      </c>
      <c r="D8" s="152" t="s">
        <v>17</v>
      </c>
      <c r="E8" s="231"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73" t="s">
        <v>368</v>
      </c>
      <c r="N8" s="440" t="s">
        <v>20</v>
      </c>
      <c r="O8" s="441">
        <f ca="1">($G8+$G9+$G10+$G13)</f>
        <v>992</v>
      </c>
    </row>
    <row r="9" spans="1:15" s="133" customFormat="1" ht="14.55" customHeight="1" x14ac:dyDescent="0.3">
      <c r="A9" s="476"/>
      <c r="B9" s="132" t="s">
        <v>399</v>
      </c>
      <c r="C9" s="132" t="s">
        <v>399</v>
      </c>
      <c r="D9" s="178" t="s">
        <v>1162</v>
      </c>
      <c r="E9" s="232"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445"/>
      <c r="N9" s="438"/>
      <c r="O9" s="442"/>
    </row>
    <row r="10" spans="1:15" ht="14.55" customHeight="1" thickBot="1" x14ac:dyDescent="0.35">
      <c r="A10" s="476"/>
      <c r="B10" s="135" t="s">
        <v>22</v>
      </c>
      <c r="C10" s="135" t="s">
        <v>22</v>
      </c>
      <c r="D10" s="179" t="s">
        <v>1158</v>
      </c>
      <c r="E10" s="232"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445"/>
      <c r="N10" s="438"/>
      <c r="O10" s="442"/>
    </row>
    <row r="11" spans="1:15" ht="15" customHeight="1" x14ac:dyDescent="0.3">
      <c r="A11" s="476"/>
      <c r="B11" s="168" t="s">
        <v>21</v>
      </c>
      <c r="C11" s="167" t="s">
        <v>21</v>
      </c>
      <c r="D11" s="15" t="s">
        <v>17</v>
      </c>
      <c r="E11" s="233" t="s">
        <v>516</v>
      </c>
      <c r="F11" s="184"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5"/>
      <c r="N11" s="438"/>
      <c r="O11" s="442"/>
    </row>
    <row r="12" spans="1:15" ht="39.6" customHeight="1" x14ac:dyDescent="0.3">
      <c r="A12" s="476"/>
      <c r="B12" s="72" t="s">
        <v>884</v>
      </c>
      <c r="C12" s="72" t="s">
        <v>884</v>
      </c>
      <c r="D12" s="153" t="s">
        <v>17</v>
      </c>
      <c r="E12" s="234"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45"/>
      <c r="N12" s="438"/>
      <c r="O12" s="442"/>
    </row>
    <row r="13" spans="1:15" ht="15" customHeight="1" thickBot="1" x14ac:dyDescent="0.35">
      <c r="A13" s="477"/>
      <c r="B13" s="169" t="s">
        <v>423</v>
      </c>
      <c r="C13" s="169" t="s">
        <v>423</v>
      </c>
      <c r="D13" s="188" t="s">
        <v>17</v>
      </c>
      <c r="E13" s="190"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74"/>
      <c r="N13" s="439"/>
      <c r="O13" s="443"/>
    </row>
    <row r="14" spans="1:15" ht="15" customHeight="1" thickBot="1" x14ac:dyDescent="0.35">
      <c r="A14" s="454" t="s">
        <v>23</v>
      </c>
      <c r="B14" s="43" t="s">
        <v>24</v>
      </c>
      <c r="C14" s="174" t="s">
        <v>613</v>
      </c>
      <c r="D14" s="469" t="s">
        <v>25</v>
      </c>
      <c r="E14" s="175"/>
      <c r="F14" s="25" t="s">
        <v>1165</v>
      </c>
      <c r="G14" s="65">
        <f ca="1">IF($C14="No Param",32,VLOOKUP($C14,INDIRECT(Config!$B$1),HLOOKUP(D$1,INDIRECT(Config!$E$1),2,FALSE),FALSE)*32)</f>
        <v>32</v>
      </c>
      <c r="H14" s="64" t="s">
        <v>27</v>
      </c>
      <c r="I14" s="64" t="s">
        <v>28</v>
      </c>
      <c r="J14" s="64" t="s">
        <v>1080</v>
      </c>
      <c r="K14" s="64" t="s">
        <v>1094</v>
      </c>
      <c r="L14" s="176" t="str">
        <f ca="1">IF(VLOOKUP("EXT_FUSE_PULL_SUPP", INDIRECT(Config!$B$1),HLOOKUP(D$1,INDIRECT(Config!$E$1),2,FALSE),FALSE)=1, IF(G14&gt;0,CONCATENATE("CSME_HW_FW_Config_fuses[",G14-1,":0]"), ""), "")</f>
        <v>CSME_HW_FW_Config_fuses[31:0]</v>
      </c>
      <c r="M14" s="471" t="s">
        <v>369</v>
      </c>
      <c r="N14" s="447" t="s">
        <v>29</v>
      </c>
      <c r="O14" s="449">
        <f ca="1">(4*32+G18+G19+G20+G21+G22+G23)</f>
        <v>128</v>
      </c>
    </row>
    <row r="15" spans="1:15" x14ac:dyDescent="0.3">
      <c r="A15" s="455"/>
      <c r="B15" s="35" t="s">
        <v>30</v>
      </c>
      <c r="C15" s="37" t="s">
        <v>613</v>
      </c>
      <c r="D15" s="470"/>
      <c r="E15" s="122"/>
      <c r="F15" s="184"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58"/>
      <c r="N15" s="438"/>
      <c r="O15" s="442"/>
    </row>
    <row r="16" spans="1:15" x14ac:dyDescent="0.3">
      <c r="A16" s="455"/>
      <c r="B16" s="35" t="s">
        <v>31</v>
      </c>
      <c r="C16" s="37" t="s">
        <v>613</v>
      </c>
      <c r="D16" s="47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58"/>
      <c r="N16" s="438"/>
      <c r="O16" s="442"/>
    </row>
    <row r="17" spans="1:15" x14ac:dyDescent="0.3">
      <c r="A17" s="455"/>
      <c r="B17" s="35" t="s">
        <v>32</v>
      </c>
      <c r="C17" s="37" t="s">
        <v>613</v>
      </c>
      <c r="D17" s="47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58"/>
      <c r="N17" s="438"/>
      <c r="O17" s="442"/>
    </row>
    <row r="18" spans="1:15" ht="15" thickBot="1" x14ac:dyDescent="0.35">
      <c r="A18" s="455"/>
      <c r="B18" s="35" t="s">
        <v>34</v>
      </c>
      <c r="C18" s="35" t="s">
        <v>253</v>
      </c>
      <c r="D18" s="470"/>
      <c r="E18" s="122"/>
      <c r="F18" s="25" t="s">
        <v>1165</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458"/>
      <c r="N18" s="438"/>
      <c r="O18" s="442"/>
    </row>
    <row r="19" spans="1:15" x14ac:dyDescent="0.3">
      <c r="A19" s="455"/>
      <c r="B19" s="35" t="s">
        <v>36</v>
      </c>
      <c r="C19" s="73" t="s">
        <v>214</v>
      </c>
      <c r="D19" s="470"/>
      <c r="E19" s="122"/>
      <c r="F19" s="184" t="s">
        <v>1165</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458"/>
      <c r="N19" s="438"/>
      <c r="O19" s="442"/>
    </row>
    <row r="20" spans="1:15" x14ac:dyDescent="0.3">
      <c r="A20" s="455"/>
      <c r="B20" s="73" t="s">
        <v>246</v>
      </c>
      <c r="C20" s="73" t="s">
        <v>205</v>
      </c>
      <c r="D20" s="470"/>
      <c r="E20" s="122"/>
      <c r="F20" s="25" t="s">
        <v>1165</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458"/>
      <c r="N20" s="438"/>
      <c r="O20" s="442"/>
    </row>
    <row r="21" spans="1:15" x14ac:dyDescent="0.3">
      <c r="A21" s="455"/>
      <c r="B21" s="73" t="s">
        <v>250</v>
      </c>
      <c r="C21" s="73" t="s">
        <v>390</v>
      </c>
      <c r="D21" s="47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58"/>
      <c r="N21" s="438"/>
      <c r="O21" s="442"/>
    </row>
    <row r="22" spans="1:15" ht="15" thickBot="1" x14ac:dyDescent="0.35">
      <c r="A22" s="455"/>
      <c r="B22" s="73" t="s">
        <v>251</v>
      </c>
      <c r="C22" s="73" t="s">
        <v>390</v>
      </c>
      <c r="D22" s="47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58"/>
      <c r="N22" s="438"/>
      <c r="O22" s="442"/>
    </row>
    <row r="23" spans="1:15" x14ac:dyDescent="0.3">
      <c r="A23" s="455"/>
      <c r="B23" s="73" t="s">
        <v>252</v>
      </c>
      <c r="C23" s="73" t="s">
        <v>390</v>
      </c>
      <c r="D23" s="470"/>
      <c r="E23" s="122"/>
      <c r="F23" s="184"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58"/>
      <c r="N23" s="438"/>
      <c r="O23" s="442"/>
    </row>
    <row r="24" spans="1:15" x14ac:dyDescent="0.3">
      <c r="A24" s="468"/>
      <c r="B24" s="35" t="s">
        <v>38</v>
      </c>
      <c r="C24" s="37" t="s">
        <v>613</v>
      </c>
      <c r="D24" s="470"/>
      <c r="E24" s="122"/>
      <c r="F24" s="25" t="s">
        <v>1165</v>
      </c>
      <c r="G24" s="39">
        <f ca="1">IF($C24="No Param",32,VLOOKUP($C24,INDIRECT(Config!$B$1),HLOOKUP(D$1,INDIRECT(Config!$E$1),2,FALSE),FALSE)*32)</f>
        <v>32</v>
      </c>
      <c r="H24" s="16" t="s">
        <v>39</v>
      </c>
      <c r="I24" s="16" t="s">
        <v>40</v>
      </c>
      <c r="J24" s="16" t="s">
        <v>48</v>
      </c>
      <c r="K24" s="198" t="s">
        <v>1085</v>
      </c>
      <c r="L24" s="139" t="str">
        <f ca="1">IF(VLOOKUP("EXT_FUSE_PULL_SUPP", INDIRECT(Config!$B$1),HLOOKUP(D$1,INDIRECT(Config!$E$1),2,FALSE),FALSE)=1, IF(G24&gt;0,CONCATENATE("CSME_HW_FW_INT_CHK[",G24-1,":0]"),""), "")</f>
        <v>CSME_HW_FW_INT_CHK[31:0]</v>
      </c>
      <c r="M24" s="458"/>
      <c r="N24" s="438"/>
      <c r="O24" s="442"/>
    </row>
    <row r="25" spans="1:15" x14ac:dyDescent="0.3">
      <c r="A25" s="454" t="s">
        <v>41</v>
      </c>
      <c r="B25" s="35" t="s">
        <v>42</v>
      </c>
      <c r="C25" s="35" t="s">
        <v>614</v>
      </c>
      <c r="D25" s="470" t="s">
        <v>43</v>
      </c>
      <c r="E25" s="122"/>
      <c r="F25" s="25" t="s">
        <v>44</v>
      </c>
      <c r="G25" s="39">
        <f ca="1">IF($C25="No Param",32,VLOOKUP($C25,INDIRECT(Config!$B$1),HLOOKUP(D$1,INDIRECT(Config!$E$1),2,FALSE),FALSE)*32)</f>
        <v>0</v>
      </c>
      <c r="H25" s="16" t="str">
        <f ca="1">IF(G25=0,"N/A","0x8000")</f>
        <v>N/A</v>
      </c>
      <c r="I25" s="16" t="s">
        <v>45</v>
      </c>
      <c r="J25" s="16" t="s">
        <v>48</v>
      </c>
      <c r="K25" s="16" t="s">
        <v>387</v>
      </c>
      <c r="L25" s="16"/>
      <c r="M25" s="458" t="s">
        <v>370</v>
      </c>
      <c r="N25" s="438"/>
      <c r="O25" s="442">
        <f ca="1">(G25+G26)</f>
        <v>0</v>
      </c>
    </row>
    <row r="26" spans="1:15" ht="15" thickBot="1" x14ac:dyDescent="0.35">
      <c r="A26" s="459"/>
      <c r="B26" s="74" t="s">
        <v>46</v>
      </c>
      <c r="C26" s="74" t="s">
        <v>615</v>
      </c>
      <c r="D26" s="472"/>
      <c r="E26" s="123"/>
      <c r="F26" s="180" t="s">
        <v>44</v>
      </c>
      <c r="G26" s="75">
        <f ca="1">IF($C26="No Param",32,VLOOKUP($C26,INDIRECT(Config!$B$1),HLOOKUP(D$1,INDIRECT(Config!$E$1),2,FALSE),FALSE)*32)</f>
        <v>0</v>
      </c>
      <c r="H26" s="26" t="str">
        <f ca="1">IF(G26=0,"N/A","0x8004")</f>
        <v>N/A</v>
      </c>
      <c r="I26" s="26" t="s">
        <v>47</v>
      </c>
      <c r="J26" s="26" t="s">
        <v>48</v>
      </c>
      <c r="K26" s="26" t="s">
        <v>387</v>
      </c>
      <c r="L26" s="26"/>
      <c r="M26" s="439"/>
      <c r="N26" s="439"/>
      <c r="O26" s="443"/>
    </row>
    <row r="27" spans="1:15" ht="15" thickBot="1" x14ac:dyDescent="0.35">
      <c r="A27" s="124"/>
    </row>
    <row r="28" spans="1:15" x14ac:dyDescent="0.3">
      <c r="A28" s="45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40" t="s">
        <v>48</v>
      </c>
      <c r="O28" s="441">
        <f ca="1">SUM(G28:G42)</f>
        <v>0</v>
      </c>
    </row>
    <row r="29" spans="1:15" ht="15" customHeight="1" x14ac:dyDescent="0.3">
      <c r="A29" s="45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58" t="s">
        <v>369</v>
      </c>
      <c r="N29" s="438"/>
      <c r="O29" s="442"/>
    </row>
    <row r="30" spans="1:15" x14ac:dyDescent="0.3">
      <c r="A30" s="45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58"/>
      <c r="N30" s="438"/>
      <c r="O30" s="442"/>
    </row>
    <row r="31" spans="1:15" x14ac:dyDescent="0.3">
      <c r="A31" s="45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58"/>
      <c r="N31" s="438"/>
      <c r="O31" s="442"/>
    </row>
    <row r="32" spans="1:15" x14ac:dyDescent="0.3">
      <c r="A32" s="45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8"/>
      <c r="O32" s="442"/>
    </row>
    <row r="33" spans="1:15" x14ac:dyDescent="0.3">
      <c r="A33" s="45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8"/>
      <c r="O33" s="442"/>
    </row>
    <row r="34" spans="1:15" ht="15" customHeight="1" x14ac:dyDescent="0.3">
      <c r="A34" s="45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58" t="s">
        <v>369</v>
      </c>
      <c r="N34" s="438"/>
      <c r="O34" s="442"/>
    </row>
    <row r="35" spans="1:15" x14ac:dyDescent="0.3">
      <c r="A35" s="45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58"/>
      <c r="N35" s="438"/>
      <c r="O35" s="442"/>
    </row>
    <row r="36" spans="1:15" x14ac:dyDescent="0.3">
      <c r="A36" s="45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58"/>
      <c r="N36" s="438"/>
      <c r="O36" s="442"/>
    </row>
    <row r="37" spans="1:15" x14ac:dyDescent="0.3">
      <c r="A37" s="45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8"/>
      <c r="O37" s="442"/>
    </row>
    <row r="38" spans="1:15" x14ac:dyDescent="0.3">
      <c r="A38" s="45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8"/>
      <c r="O38" s="442"/>
    </row>
    <row r="39" spans="1:15" ht="15" customHeight="1" x14ac:dyDescent="0.3">
      <c r="A39" s="45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58" t="s">
        <v>369</v>
      </c>
      <c r="N39" s="438"/>
      <c r="O39" s="442"/>
    </row>
    <row r="40" spans="1:15" x14ac:dyDescent="0.3">
      <c r="A40" s="45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58"/>
      <c r="N40" s="438"/>
      <c r="O40" s="442"/>
    </row>
    <row r="41" spans="1:15" x14ac:dyDescent="0.3">
      <c r="A41" s="45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58"/>
      <c r="N41" s="438"/>
      <c r="O41" s="442"/>
    </row>
    <row r="42" spans="1:15" ht="15" thickBot="1" x14ac:dyDescent="0.35">
      <c r="A42" s="46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9"/>
      <c r="O42" s="44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7" type="noConversion"/>
  <conditionalFormatting sqref="C5">
    <cfRule type="cellIs" dxfId="196" priority="286" operator="equal">
      <formula>0</formula>
    </cfRule>
  </conditionalFormatting>
  <conditionalFormatting sqref="J28">
    <cfRule type="cellIs" dxfId="195" priority="302" operator="equal">
      <formula>0</formula>
    </cfRule>
  </conditionalFormatting>
  <conditionalFormatting sqref="C3">
    <cfRule type="cellIs" dxfId="194" priority="288" operator="equal">
      <formula>0</formula>
    </cfRule>
  </conditionalFormatting>
  <conditionalFormatting sqref="C4">
    <cfRule type="cellIs" dxfId="193" priority="287" operator="equal">
      <formula>0</formula>
    </cfRule>
  </conditionalFormatting>
  <conditionalFormatting sqref="B3 D3 G14:G26">
    <cfRule type="cellIs" dxfId="192" priority="299" operator="equal">
      <formula>0</formula>
    </cfRule>
  </conditionalFormatting>
  <conditionalFormatting sqref="B4 D4">
    <cfRule type="cellIs" dxfId="191" priority="298" operator="equal">
      <formula>0</formula>
    </cfRule>
  </conditionalFormatting>
  <conditionalFormatting sqref="B5 D5">
    <cfRule type="cellIs" dxfId="190" priority="297" operator="equal">
      <formula>0</formula>
    </cfRule>
  </conditionalFormatting>
  <conditionalFormatting sqref="B7">
    <cfRule type="cellIs" dxfId="189" priority="296" operator="equal">
      <formula>0</formula>
    </cfRule>
  </conditionalFormatting>
  <conditionalFormatting sqref="B8 D8">
    <cfRule type="cellIs" priority="295" operator="equal">
      <formula>0</formula>
    </cfRule>
  </conditionalFormatting>
  <conditionalFormatting sqref="B9 D9">
    <cfRule type="cellIs" dxfId="188" priority="294" operator="equal">
      <formula>0</formula>
    </cfRule>
  </conditionalFormatting>
  <conditionalFormatting sqref="B10 D10">
    <cfRule type="cellIs" dxfId="187" priority="292" operator="equal">
      <formula>0</formula>
    </cfRule>
    <cfRule type="cellIs" dxfId="186" priority="293" operator="equal">
      <formula>0</formula>
    </cfRule>
  </conditionalFormatting>
  <conditionalFormatting sqref="L3:L4">
    <cfRule type="cellIs" dxfId="185" priority="291" operator="equal">
      <formula>0</formula>
    </cfRule>
  </conditionalFormatting>
  <conditionalFormatting sqref="B6 D6">
    <cfRule type="cellIs" dxfId="184" priority="290" operator="equal">
      <formula>0</formula>
    </cfRule>
  </conditionalFormatting>
  <conditionalFormatting sqref="D7">
    <cfRule type="cellIs" dxfId="183" priority="289" operator="equal">
      <formula>0</formula>
    </cfRule>
  </conditionalFormatting>
  <conditionalFormatting sqref="C7">
    <cfRule type="cellIs" dxfId="182" priority="285" operator="equal">
      <formula>0</formula>
    </cfRule>
  </conditionalFormatting>
  <conditionalFormatting sqref="C8">
    <cfRule type="cellIs" priority="284" operator="equal">
      <formula>0</formula>
    </cfRule>
  </conditionalFormatting>
  <conditionalFormatting sqref="C9">
    <cfRule type="cellIs" dxfId="181" priority="283" operator="equal">
      <formula>0</formula>
    </cfRule>
  </conditionalFormatting>
  <conditionalFormatting sqref="C10">
    <cfRule type="cellIs" dxfId="180" priority="281" operator="equal">
      <formula>0</formula>
    </cfRule>
    <cfRule type="cellIs" dxfId="179" priority="282" operator="equal">
      <formula>0</formula>
    </cfRule>
  </conditionalFormatting>
  <conditionalFormatting sqref="C6">
    <cfRule type="cellIs" dxfId="178" priority="280" operator="equal">
      <formula>0</formula>
    </cfRule>
  </conditionalFormatting>
  <conditionalFormatting sqref="G31">
    <cfRule type="cellIs" dxfId="177" priority="204" operator="equal">
      <formula>0</formula>
    </cfRule>
  </conditionalFormatting>
  <conditionalFormatting sqref="G30">
    <cfRule type="cellIs" dxfId="176" priority="203" operator="equal">
      <formula>0</formula>
    </cfRule>
  </conditionalFormatting>
  <conditionalFormatting sqref="G39">
    <cfRule type="cellIs" dxfId="175" priority="202" operator="equal">
      <formula>0</formula>
    </cfRule>
  </conditionalFormatting>
  <conditionalFormatting sqref="G32">
    <cfRule type="cellIs" dxfId="174" priority="209" operator="equal">
      <formula>0</formula>
    </cfRule>
  </conditionalFormatting>
  <conditionalFormatting sqref="G41">
    <cfRule type="cellIs" dxfId="173" priority="201" operator="equal">
      <formula>0</formula>
    </cfRule>
  </conditionalFormatting>
  <conditionalFormatting sqref="G40">
    <cfRule type="cellIs" dxfId="172" priority="200" operator="equal">
      <formula>0</formula>
    </cfRule>
  </conditionalFormatting>
  <conditionalFormatting sqref="L5">
    <cfRule type="cellIs" dxfId="171" priority="248" operator="equal">
      <formula>0</formula>
    </cfRule>
  </conditionalFormatting>
  <conditionalFormatting sqref="L6">
    <cfRule type="cellIs" dxfId="170" priority="247" operator="equal">
      <formula>0</formula>
    </cfRule>
  </conditionalFormatting>
  <conditionalFormatting sqref="L7">
    <cfRule type="cellIs" dxfId="169" priority="246" operator="equal">
      <formula>0</formula>
    </cfRule>
  </conditionalFormatting>
  <conditionalFormatting sqref="L8:L9">
    <cfRule type="cellIs" dxfId="168" priority="245" operator="equal">
      <formula>0</formula>
    </cfRule>
  </conditionalFormatting>
  <conditionalFormatting sqref="L32">
    <cfRule type="cellIs" dxfId="167" priority="241" operator="equal">
      <formula>0</formula>
    </cfRule>
  </conditionalFormatting>
  <conditionalFormatting sqref="L31">
    <cfRule type="cellIs" dxfId="166" priority="240" operator="equal">
      <formula>0</formula>
    </cfRule>
  </conditionalFormatting>
  <conditionalFormatting sqref="L30">
    <cfRule type="cellIs" dxfId="165" priority="239" operator="equal">
      <formula>0</formula>
    </cfRule>
  </conditionalFormatting>
  <conditionalFormatting sqref="L29">
    <cfRule type="cellIs" dxfId="164" priority="238" operator="equal">
      <formula>0</formula>
    </cfRule>
  </conditionalFormatting>
  <conditionalFormatting sqref="L37">
    <cfRule type="cellIs" dxfId="163" priority="237" operator="equal">
      <formula>0</formula>
    </cfRule>
  </conditionalFormatting>
  <conditionalFormatting sqref="L36">
    <cfRule type="cellIs" dxfId="162" priority="236" operator="equal">
      <formula>0</formula>
    </cfRule>
  </conditionalFormatting>
  <conditionalFormatting sqref="L35">
    <cfRule type="cellIs" dxfId="161" priority="235" operator="equal">
      <formula>0</formula>
    </cfRule>
  </conditionalFormatting>
  <conditionalFormatting sqref="L34">
    <cfRule type="cellIs" dxfId="160" priority="234" operator="equal">
      <formula>0</formula>
    </cfRule>
  </conditionalFormatting>
  <conditionalFormatting sqref="L42">
    <cfRule type="cellIs" dxfId="159" priority="233" operator="equal">
      <formula>0</formula>
    </cfRule>
  </conditionalFormatting>
  <conditionalFormatting sqref="L41">
    <cfRule type="cellIs" dxfId="158" priority="232" operator="equal">
      <formula>0</formula>
    </cfRule>
  </conditionalFormatting>
  <conditionalFormatting sqref="L40">
    <cfRule type="cellIs" dxfId="157" priority="231" operator="equal">
      <formula>0</formula>
    </cfRule>
  </conditionalFormatting>
  <conditionalFormatting sqref="L39">
    <cfRule type="cellIs" dxfId="156" priority="230" operator="equal">
      <formula>0</formula>
    </cfRule>
  </conditionalFormatting>
  <conditionalFormatting sqref="L14">
    <cfRule type="cellIs" dxfId="155" priority="229" operator="equal">
      <formula>0</formula>
    </cfRule>
  </conditionalFormatting>
  <conditionalFormatting sqref="L15">
    <cfRule type="cellIs" dxfId="154" priority="228" operator="equal">
      <formula>0</formula>
    </cfRule>
  </conditionalFormatting>
  <conditionalFormatting sqref="L16">
    <cfRule type="cellIs" dxfId="153" priority="227" operator="equal">
      <formula>0</formula>
    </cfRule>
  </conditionalFormatting>
  <conditionalFormatting sqref="L17">
    <cfRule type="cellIs" dxfId="152" priority="226" operator="equal">
      <formula>0</formula>
    </cfRule>
  </conditionalFormatting>
  <conditionalFormatting sqref="L18">
    <cfRule type="cellIs" dxfId="151" priority="225" operator="equal">
      <formula>0</formula>
    </cfRule>
  </conditionalFormatting>
  <conditionalFormatting sqref="L19">
    <cfRule type="cellIs" dxfId="150" priority="224" operator="equal">
      <formula>0</formula>
    </cfRule>
  </conditionalFormatting>
  <conditionalFormatting sqref="L20">
    <cfRule type="cellIs" dxfId="149" priority="223" operator="equal">
      <formula>0</formula>
    </cfRule>
  </conditionalFormatting>
  <conditionalFormatting sqref="L21">
    <cfRule type="cellIs" dxfId="148" priority="222" operator="equal">
      <formula>0</formula>
    </cfRule>
  </conditionalFormatting>
  <conditionalFormatting sqref="L22">
    <cfRule type="cellIs" dxfId="147" priority="221" operator="equal">
      <formula>0</formula>
    </cfRule>
  </conditionalFormatting>
  <conditionalFormatting sqref="L23">
    <cfRule type="cellIs" dxfId="146" priority="220" operator="equal">
      <formula>0</formula>
    </cfRule>
  </conditionalFormatting>
  <conditionalFormatting sqref="L24">
    <cfRule type="cellIs" dxfId="145" priority="219" operator="equal">
      <formula>0</formula>
    </cfRule>
  </conditionalFormatting>
  <conditionalFormatting sqref="G34">
    <cfRule type="cellIs" dxfId="144" priority="212" operator="equal">
      <formula>0</formula>
    </cfRule>
  </conditionalFormatting>
  <conditionalFormatting sqref="G36">
    <cfRule type="cellIs" dxfId="143" priority="211" operator="equal">
      <formula>0</formula>
    </cfRule>
  </conditionalFormatting>
  <conditionalFormatting sqref="G29">
    <cfRule type="cellIs" dxfId="142" priority="205" operator="equal">
      <formula>0</formula>
    </cfRule>
  </conditionalFormatting>
  <conditionalFormatting sqref="G33">
    <cfRule type="cellIs" dxfId="141" priority="208" operator="equal">
      <formula>0</formula>
    </cfRule>
  </conditionalFormatting>
  <conditionalFormatting sqref="G28">
    <cfRule type="cellIs" dxfId="140" priority="210" operator="equal">
      <formula>0</formula>
    </cfRule>
  </conditionalFormatting>
  <conditionalFormatting sqref="G38">
    <cfRule type="cellIs" dxfId="139" priority="207" operator="equal">
      <formula>0</formula>
    </cfRule>
  </conditionalFormatting>
  <conditionalFormatting sqref="G35">
    <cfRule type="cellIs" dxfId="138" priority="206" operator="equal">
      <formula>0</formula>
    </cfRule>
  </conditionalFormatting>
  <conditionalFormatting sqref="G37">
    <cfRule type="cellIs" dxfId="137" priority="199" operator="equal">
      <formula>0</formula>
    </cfRule>
  </conditionalFormatting>
  <conditionalFormatting sqref="G42">
    <cfRule type="cellIs" dxfId="136" priority="198" operator="equal">
      <formula>0</formula>
    </cfRule>
  </conditionalFormatting>
  <conditionalFormatting sqref="E10">
    <cfRule type="cellIs" priority="155" operator="equal">
      <formula>0</formula>
    </cfRule>
  </conditionalFormatting>
  <conditionalFormatting sqref="E4">
    <cfRule type="cellIs" dxfId="135" priority="168" operator="equal">
      <formula>0</formula>
    </cfRule>
  </conditionalFormatting>
  <conditionalFormatting sqref="E3">
    <cfRule type="cellIs" dxfId="134" priority="170" operator="equal">
      <formula>0</formula>
    </cfRule>
  </conditionalFormatting>
  <conditionalFormatting sqref="E3">
    <cfRule type="cellIs" priority="169" operator="equal">
      <formula>0</formula>
    </cfRule>
  </conditionalFormatting>
  <conditionalFormatting sqref="E5">
    <cfRule type="cellIs" dxfId="133" priority="166" operator="equal">
      <formula>0</formula>
    </cfRule>
  </conditionalFormatting>
  <conditionalFormatting sqref="E5">
    <cfRule type="cellIs" priority="165" operator="equal">
      <formula>0</formula>
    </cfRule>
  </conditionalFormatting>
  <conditionalFormatting sqref="E7">
    <cfRule type="cellIs" dxfId="132" priority="162" operator="equal">
      <formula>0</formula>
    </cfRule>
  </conditionalFormatting>
  <conditionalFormatting sqref="E7">
    <cfRule type="cellIs" priority="161" operator="equal">
      <formula>0</formula>
    </cfRule>
  </conditionalFormatting>
  <conditionalFormatting sqref="E9">
    <cfRule type="cellIs" dxfId="13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0" priority="164" operator="equal">
      <formula>0</formula>
    </cfRule>
  </conditionalFormatting>
  <conditionalFormatting sqref="E6">
    <cfRule type="cellIs" priority="163" operator="equal">
      <formula>0</formula>
    </cfRule>
  </conditionalFormatting>
  <conditionalFormatting sqref="E8">
    <cfRule type="cellIs" dxfId="129" priority="160" operator="equal">
      <formula>0</formula>
    </cfRule>
  </conditionalFormatting>
  <conditionalFormatting sqref="E8">
    <cfRule type="cellIs" priority="159" operator="equal">
      <formula>0</formula>
    </cfRule>
  </conditionalFormatting>
  <conditionalFormatting sqref="E10">
    <cfRule type="cellIs" dxfId="128" priority="156" operator="equal">
      <formula>0</formula>
    </cfRule>
  </conditionalFormatting>
  <conditionalFormatting sqref="G4:G10">
    <cfRule type="cellIs" dxfId="127" priority="122" operator="equal">
      <formula>0</formula>
    </cfRule>
  </conditionalFormatting>
  <conditionalFormatting sqref="F3 F7 F11 F15 F19 F23">
    <cfRule type="cellIs" dxfId="126" priority="121" operator="equal">
      <formula>0</formula>
    </cfRule>
  </conditionalFormatting>
  <conditionalFormatting sqref="F4 F8 F12 F16 F20 F24">
    <cfRule type="cellIs" dxfId="125" priority="120" operator="equal">
      <formula>0</formula>
    </cfRule>
  </conditionalFormatting>
  <conditionalFormatting sqref="H5">
    <cfRule type="cellIs" dxfId="124" priority="106" operator="equal">
      <formula>0</formula>
    </cfRule>
  </conditionalFormatting>
  <conditionalFormatting sqref="I7">
    <cfRule type="cellIs" dxfId="123" priority="109" operator="equal">
      <formula>0</formula>
    </cfRule>
  </conditionalFormatting>
  <conditionalFormatting sqref="F6 F10 F14 F18 F22">
    <cfRule type="cellIs" dxfId="122" priority="113" operator="equal">
      <formula>0</formula>
    </cfRule>
  </conditionalFormatting>
  <conditionalFormatting sqref="G3:I3">
    <cfRule type="cellIs" dxfId="121" priority="112" operator="equal">
      <formula>0</formula>
    </cfRule>
  </conditionalFormatting>
  <conditionalFormatting sqref="H4:I4">
    <cfRule type="cellIs" dxfId="120" priority="111" operator="equal">
      <formula>0</formula>
    </cfRule>
  </conditionalFormatting>
  <conditionalFormatting sqref="I6">
    <cfRule type="cellIs" dxfId="119" priority="107" operator="equal">
      <formula>0</formula>
    </cfRule>
  </conditionalFormatting>
  <conditionalFormatting sqref="H6">
    <cfRule type="cellIs" dxfId="118" priority="105" operator="equal">
      <formula>0</formula>
    </cfRule>
  </conditionalFormatting>
  <conditionalFormatting sqref="I9:I10">
    <cfRule type="cellIs" priority="101" operator="equal">
      <formula>0</formula>
    </cfRule>
  </conditionalFormatting>
  <conditionalFormatting sqref="F5 F9 F13 F17 F21">
    <cfRule type="cellIs" dxfId="117" priority="119" operator="equal">
      <formula>0</formula>
    </cfRule>
  </conditionalFormatting>
  <conditionalFormatting sqref="H9:H10">
    <cfRule type="cellIs" priority="117" operator="equal">
      <formula>0</formula>
    </cfRule>
  </conditionalFormatting>
  <conditionalFormatting sqref="H7">
    <cfRule type="cellIs" dxfId="116" priority="104" operator="equal">
      <formula>0</formula>
    </cfRule>
  </conditionalFormatting>
  <conditionalFormatting sqref="I5">
    <cfRule type="cellIs" dxfId="115" priority="110" operator="equal">
      <formula>0</formula>
    </cfRule>
  </conditionalFormatting>
  <conditionalFormatting sqref="H8:I8">
    <cfRule type="cellIs" priority="108" operator="equal">
      <formula>0</formula>
    </cfRule>
  </conditionalFormatting>
  <conditionalFormatting sqref="E11 G11">
    <cfRule type="cellIs" dxfId="114" priority="84" operator="equal">
      <formula>0</formula>
    </cfRule>
  </conditionalFormatting>
  <conditionalFormatting sqref="I11">
    <cfRule type="cellIs" priority="83" operator="equal">
      <formula>0</formula>
    </cfRule>
  </conditionalFormatting>
  <conditionalFormatting sqref="E13 G13">
    <cfRule type="cellIs" dxfId="1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0" priority="28" operator="equal">
      <formula>0</formula>
    </cfRule>
  </conditionalFormatting>
  <conditionalFormatting sqref="K26">
    <cfRule type="cellIs" dxfId="109" priority="27" operator="equal">
      <formula>0</formula>
    </cfRule>
  </conditionalFormatting>
  <conditionalFormatting sqref="J25">
    <cfRule type="cellIs" dxfId="108" priority="26" operator="equal">
      <formula>0</formula>
    </cfRule>
  </conditionalFormatting>
  <conditionalFormatting sqref="J26">
    <cfRule type="cellIs" dxfId="107" priority="25" operator="equal">
      <formula>0</formula>
    </cfRule>
  </conditionalFormatting>
  <conditionalFormatting sqref="K3:K4">
    <cfRule type="cellIs" dxfId="106" priority="24" operator="equal">
      <formula>0</formula>
    </cfRule>
  </conditionalFormatting>
  <conditionalFormatting sqref="K5">
    <cfRule type="cellIs" dxfId="105" priority="23" operator="equal">
      <formula>0</formula>
    </cfRule>
  </conditionalFormatting>
  <conditionalFormatting sqref="K6">
    <cfRule type="cellIs" dxfId="104" priority="22" operator="equal">
      <formula>0</formula>
    </cfRule>
  </conditionalFormatting>
  <conditionalFormatting sqref="K9">
    <cfRule type="cellIs" dxfId="103" priority="21" operator="equal">
      <formula>0</formula>
    </cfRule>
  </conditionalFormatting>
  <conditionalFormatting sqref="K10">
    <cfRule type="cellIs" dxfId="102" priority="20" operator="equal">
      <formula>0</formula>
    </cfRule>
  </conditionalFormatting>
  <conditionalFormatting sqref="K7">
    <cfRule type="cellIs" dxfId="101" priority="19" operator="equal">
      <formula>0</formula>
    </cfRule>
  </conditionalFormatting>
  <conditionalFormatting sqref="K8">
    <cfRule type="cellIs" dxfId="100" priority="18" operator="equal">
      <formula>0</formula>
    </cfRule>
  </conditionalFormatting>
  <conditionalFormatting sqref="K11">
    <cfRule type="cellIs" dxfId="99" priority="17" operator="equal">
      <formula>0</formula>
    </cfRule>
  </conditionalFormatting>
  <conditionalFormatting sqref="K13">
    <cfRule type="cellIs" dxfId="98" priority="16" operator="equal">
      <formula>0</formula>
    </cfRule>
  </conditionalFormatting>
  <conditionalFormatting sqref="K12">
    <cfRule type="cellIs" dxfId="97" priority="15" operator="equal">
      <formula>0</formula>
    </cfRule>
  </conditionalFormatting>
  <conditionalFormatting sqref="J3:J4">
    <cfRule type="cellIs" dxfId="96" priority="14" operator="equal">
      <formula>0</formula>
    </cfRule>
  </conditionalFormatting>
  <conditionalFormatting sqref="J5">
    <cfRule type="cellIs" dxfId="95" priority="13" operator="equal">
      <formula>0</formula>
    </cfRule>
  </conditionalFormatting>
  <conditionalFormatting sqref="J6">
    <cfRule type="cellIs" dxfId="94" priority="12" operator="equal">
      <formula>0</formula>
    </cfRule>
  </conditionalFormatting>
  <conditionalFormatting sqref="J9">
    <cfRule type="cellIs" dxfId="93" priority="11" operator="equal">
      <formula>0</formula>
    </cfRule>
  </conditionalFormatting>
  <conditionalFormatting sqref="J10">
    <cfRule type="cellIs" dxfId="92" priority="10" operator="equal">
      <formula>0</formula>
    </cfRule>
  </conditionalFormatting>
  <conditionalFormatting sqref="J7">
    <cfRule type="cellIs" dxfId="91" priority="9" operator="equal">
      <formula>0</formula>
    </cfRule>
  </conditionalFormatting>
  <conditionalFormatting sqref="J8">
    <cfRule type="cellIs" dxfId="90" priority="8" operator="equal">
      <formula>0</formula>
    </cfRule>
  </conditionalFormatting>
  <conditionalFormatting sqref="J11">
    <cfRule type="cellIs" dxfId="89" priority="7" operator="equal">
      <formula>0</formula>
    </cfRule>
  </conditionalFormatting>
  <conditionalFormatting sqref="J13">
    <cfRule type="cellIs" dxfId="88" priority="6" operator="equal">
      <formula>0</formula>
    </cfRule>
  </conditionalFormatting>
  <conditionalFormatting sqref="J12">
    <cfRule type="cellIs" dxfId="87" priority="5" operator="equal">
      <formula>0</formula>
    </cfRule>
  </conditionalFormatting>
  <conditionalFormatting sqref="L10">
    <cfRule type="cellIs" dxfId="86" priority="4" operator="equal">
      <formula>0</formula>
    </cfRule>
  </conditionalFormatting>
  <conditionalFormatting sqref="L11">
    <cfRule type="cellIs" dxfId="85" priority="3" operator="equal">
      <formula>0</formula>
    </cfRule>
  </conditionalFormatting>
  <conditionalFormatting sqref="L12">
    <cfRule type="cellIs" dxfId="84" priority="2" operator="equal">
      <formula>0</formula>
    </cfRule>
  </conditionalFormatting>
  <conditionalFormatting sqref="L13">
    <cfRule type="cellIs" dxfId="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topLeftCell="A4" zoomScale="85" zoomScaleNormal="85" workbookViewId="0">
      <selection activeCell="B3" sqref="B3"/>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hidden="1" customWidth="1"/>
    <col min="5" max="5" width="9.5546875" style="15" hidden="1" customWidth="1"/>
    <col min="6" max="6" width="8.6640625" style="15" hidden="1" customWidth="1"/>
    <col min="7" max="7" width="13.5546875" style="15" hidden="1" customWidth="1"/>
    <col min="8" max="10" width="11.33203125" style="15" hidden="1" customWidth="1"/>
    <col min="11" max="11" width="41.109375" style="15" hidden="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5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40" t="s">
        <v>48</v>
      </c>
      <c r="O3" s="441">
        <f ca="1">SUM(F3:F17)</f>
        <v>576</v>
      </c>
    </row>
    <row r="4" spans="1:15" ht="15.45" customHeight="1" x14ac:dyDescent="0.3">
      <c r="A4" s="45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877</v>
      </c>
      <c r="M4" s="458" t="s">
        <v>369</v>
      </c>
      <c r="N4" s="438"/>
      <c r="O4" s="442"/>
    </row>
    <row r="5" spans="1:15" ht="15.45" customHeight="1" x14ac:dyDescent="0.3">
      <c r="A5" s="45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879</v>
      </c>
      <c r="M5" s="458"/>
      <c r="N5" s="438"/>
      <c r="O5" s="442"/>
    </row>
    <row r="6" spans="1:15" ht="15.45" customHeight="1" x14ac:dyDescent="0.3">
      <c r="A6" s="45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58"/>
      <c r="N6" s="438"/>
      <c r="O6" s="442"/>
    </row>
    <row r="7" spans="1:15" ht="15.45" customHeight="1" x14ac:dyDescent="0.3">
      <c r="A7" s="45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38"/>
      <c r="O7" s="442"/>
    </row>
    <row r="8" spans="1:15" ht="15.45" customHeight="1" x14ac:dyDescent="0.3">
      <c r="A8" s="45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38"/>
      <c r="O8" s="442"/>
    </row>
    <row r="9" spans="1:15" ht="15.45" customHeight="1" x14ac:dyDescent="0.3">
      <c r="A9" s="45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876</v>
      </c>
      <c r="M9" s="458" t="s">
        <v>369</v>
      </c>
      <c r="N9" s="438"/>
      <c r="O9" s="442"/>
    </row>
    <row r="10" spans="1:15" ht="15.45" customHeight="1" x14ac:dyDescent="0.3">
      <c r="A10" s="45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881</v>
      </c>
      <c r="M10" s="458"/>
      <c r="N10" s="438"/>
      <c r="O10" s="442"/>
    </row>
    <row r="11" spans="1:15" ht="15.45" customHeight="1" x14ac:dyDescent="0.3">
      <c r="A11" s="45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58"/>
      <c r="N11" s="438"/>
      <c r="O11" s="442"/>
    </row>
    <row r="12" spans="1:15" ht="15.45" customHeight="1" x14ac:dyDescent="0.3">
      <c r="A12" s="45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38"/>
      <c r="O12" s="442"/>
    </row>
    <row r="13" spans="1:15" ht="15.45" customHeight="1" x14ac:dyDescent="0.3">
      <c r="A13" s="45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38"/>
      <c r="O13" s="442"/>
    </row>
    <row r="14" spans="1:15" ht="15.45" customHeight="1" x14ac:dyDescent="0.3">
      <c r="A14" s="45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878</v>
      </c>
      <c r="M14" s="458" t="s">
        <v>369</v>
      </c>
      <c r="N14" s="438"/>
      <c r="O14" s="442"/>
    </row>
    <row r="15" spans="1:15" ht="15.45" customHeight="1" x14ac:dyDescent="0.3">
      <c r="A15" s="45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880</v>
      </c>
      <c r="M15" s="458"/>
      <c r="N15" s="438"/>
      <c r="O15" s="442"/>
    </row>
    <row r="16" spans="1:15" ht="15.45" customHeight="1" x14ac:dyDescent="0.3">
      <c r="A16" s="45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58"/>
      <c r="N16" s="438"/>
      <c r="O16" s="442"/>
    </row>
    <row r="17" spans="1:15" ht="15.45" customHeight="1" thickBot="1" x14ac:dyDescent="0.35">
      <c r="A17" s="46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39"/>
      <c r="O17" s="443"/>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2" priority="138" operator="equal">
      <formula>0</formula>
    </cfRule>
  </conditionalFormatting>
  <conditionalFormatting sqref="K7">
    <cfRule type="cellIs" dxfId="81" priority="75" operator="equal">
      <formula>0</formula>
    </cfRule>
  </conditionalFormatting>
  <conditionalFormatting sqref="K6">
    <cfRule type="cellIs" dxfId="80" priority="74" operator="equal">
      <formula>0</formula>
    </cfRule>
  </conditionalFormatting>
  <conditionalFormatting sqref="K5">
    <cfRule type="cellIs" dxfId="79" priority="73" operator="equal">
      <formula>0</formula>
    </cfRule>
  </conditionalFormatting>
  <conditionalFormatting sqref="K4">
    <cfRule type="cellIs" dxfId="78" priority="72" operator="equal">
      <formula>0</formula>
    </cfRule>
  </conditionalFormatting>
  <conditionalFormatting sqref="K12">
    <cfRule type="cellIs" dxfId="77" priority="71" operator="equal">
      <formula>0</formula>
    </cfRule>
  </conditionalFormatting>
  <conditionalFormatting sqref="K11">
    <cfRule type="cellIs" dxfId="76" priority="70" operator="equal">
      <formula>0</formula>
    </cfRule>
  </conditionalFormatting>
  <conditionalFormatting sqref="K10">
    <cfRule type="cellIs" dxfId="75" priority="69" operator="equal">
      <formula>0</formula>
    </cfRule>
  </conditionalFormatting>
  <conditionalFormatting sqref="K9">
    <cfRule type="cellIs" dxfId="74" priority="68" operator="equal">
      <formula>0</formula>
    </cfRule>
  </conditionalFormatting>
  <conditionalFormatting sqref="K17">
    <cfRule type="cellIs" dxfId="73" priority="67" operator="equal">
      <formula>0</formula>
    </cfRule>
  </conditionalFormatting>
  <conditionalFormatting sqref="K16">
    <cfRule type="cellIs" dxfId="72" priority="66" operator="equal">
      <formula>0</formula>
    </cfRule>
  </conditionalFormatting>
  <conditionalFormatting sqref="K15">
    <cfRule type="cellIs" dxfId="71" priority="65" operator="equal">
      <formula>0</formula>
    </cfRule>
  </conditionalFormatting>
  <conditionalFormatting sqref="K14">
    <cfRule type="cellIs" dxfId="70" priority="64" operator="equal">
      <formula>0</formula>
    </cfRule>
  </conditionalFormatting>
  <conditionalFormatting sqref="L7:L8 L12 L3:L5">
    <cfRule type="cellIs" dxfId="69" priority="42" operator="equal">
      <formula>0</formula>
    </cfRule>
  </conditionalFormatting>
  <conditionalFormatting sqref="L6">
    <cfRule type="cellIs" dxfId="68" priority="41" operator="equal">
      <formula>0</formula>
    </cfRule>
  </conditionalFormatting>
  <conditionalFormatting sqref="L13">
    <cfRule type="cellIs" dxfId="67" priority="34" operator="equal">
      <formula>0</formula>
    </cfRule>
  </conditionalFormatting>
  <conditionalFormatting sqref="L9">
    <cfRule type="cellIs" dxfId="66" priority="39" operator="equal">
      <formula>0</formula>
    </cfRule>
  </conditionalFormatting>
  <conditionalFormatting sqref="L11">
    <cfRule type="cellIs" dxfId="65" priority="38" operator="equal">
      <formula>0</formula>
    </cfRule>
  </conditionalFormatting>
  <conditionalFormatting sqref="L16">
    <cfRule type="cellIs" dxfId="64" priority="36" operator="equal">
      <formula>0</formula>
    </cfRule>
  </conditionalFormatting>
  <conditionalFormatting sqref="F9">
    <cfRule type="cellIs" dxfId="63" priority="18" operator="equal">
      <formula>0</formula>
    </cfRule>
  </conditionalFormatting>
  <conditionalFormatting sqref="F11">
    <cfRule type="cellIs" dxfId="62" priority="17" operator="equal">
      <formula>0</formula>
    </cfRule>
  </conditionalFormatting>
  <conditionalFormatting sqref="F4">
    <cfRule type="cellIs" dxfId="61" priority="11" operator="equal">
      <formula>0</formula>
    </cfRule>
  </conditionalFormatting>
  <conditionalFormatting sqref="F7">
    <cfRule type="cellIs" dxfId="60" priority="15" operator="equal">
      <formula>0</formula>
    </cfRule>
  </conditionalFormatting>
  <conditionalFormatting sqref="F8">
    <cfRule type="cellIs" dxfId="59" priority="14" operator="equal">
      <formula>0</formula>
    </cfRule>
  </conditionalFormatting>
  <conditionalFormatting sqref="F3">
    <cfRule type="cellIs" dxfId="58" priority="16" operator="equal">
      <formula>0</formula>
    </cfRule>
  </conditionalFormatting>
  <conditionalFormatting sqref="F13">
    <cfRule type="cellIs" dxfId="57" priority="13" operator="equal">
      <formula>0</formula>
    </cfRule>
  </conditionalFormatting>
  <conditionalFormatting sqref="F10">
    <cfRule type="cellIs" dxfId="56" priority="12" operator="equal">
      <formula>0</formula>
    </cfRule>
  </conditionalFormatting>
  <conditionalFormatting sqref="F6">
    <cfRule type="cellIs" dxfId="55" priority="10" operator="equal">
      <formula>0</formula>
    </cfRule>
  </conditionalFormatting>
  <conditionalFormatting sqref="F5">
    <cfRule type="cellIs" dxfId="54" priority="9" operator="equal">
      <formula>0</formula>
    </cfRule>
  </conditionalFormatting>
  <conditionalFormatting sqref="F14">
    <cfRule type="cellIs" dxfId="53" priority="8" operator="equal">
      <formula>0</formula>
    </cfRule>
  </conditionalFormatting>
  <conditionalFormatting sqref="F16">
    <cfRule type="cellIs" dxfId="52" priority="7" operator="equal">
      <formula>0</formula>
    </cfRule>
  </conditionalFormatting>
  <conditionalFormatting sqref="F15">
    <cfRule type="cellIs" dxfId="51" priority="6" operator="equal">
      <formula>0</formula>
    </cfRule>
  </conditionalFormatting>
  <conditionalFormatting sqref="F12">
    <cfRule type="cellIs" dxfId="50" priority="5" operator="equal">
      <formula>0</formula>
    </cfRule>
  </conditionalFormatting>
  <conditionalFormatting sqref="F17">
    <cfRule type="cellIs" dxfId="49" priority="4" operator="equal">
      <formula>0</formula>
    </cfRule>
  </conditionalFormatting>
  <conditionalFormatting sqref="L14">
    <cfRule type="cellIs" dxfId="48" priority="3" operator="equal">
      <formula>0</formula>
    </cfRule>
  </conditionalFormatting>
  <conditionalFormatting sqref="L10">
    <cfRule type="cellIs" dxfId="47" priority="2" operator="equal">
      <formula>0</formula>
    </cfRule>
  </conditionalFormatting>
  <conditionalFormatting sqref="L15">
    <cfRule type="cellIs" dxfId="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C16" zoomScale="85" zoomScaleNormal="85" workbookViewId="0">
      <selection activeCell="F1" sqref="F1:F1048576"/>
    </sheetView>
  </sheetViews>
  <sheetFormatPr defaultColWidth="9.109375" defaultRowHeight="14.4" x14ac:dyDescent="0.3"/>
  <cols>
    <col min="1" max="1" width="16.44140625" style="15" customWidth="1"/>
    <col min="2" max="2" width="84.6640625" style="15" customWidth="1"/>
    <col min="3" max="3" width="14" style="15" customWidth="1"/>
    <col min="4" max="4" width="12.6640625" style="15" customWidth="1"/>
    <col min="5" max="5" width="21.44140625" style="251" customWidth="1"/>
    <col min="6" max="6" width="28.109375" style="15" customWidth="1"/>
    <col min="7" max="7" width="17.5546875" style="15" customWidth="1"/>
    <col min="8" max="8" width="34.6640625" style="196" customWidth="1"/>
    <col min="9" max="9" width="10" style="196" customWidth="1"/>
    <col min="10" max="10" width="12.21875" style="197" customWidth="1"/>
    <col min="11" max="11" width="4.44140625" style="197" customWidth="1"/>
    <col min="12" max="12" width="18.88671875" style="15" customWidth="1"/>
    <col min="13" max="13" width="9.21875" style="15" customWidth="1"/>
    <col min="14" max="14" width="7.21875" style="15" customWidth="1"/>
    <col min="15" max="15" width="44.5546875" style="15" customWidth="1"/>
    <col min="16" max="18" width="9" style="15" bestFit="1" customWidth="1"/>
    <col min="19" max="19" width="20" style="15" customWidth="1"/>
    <col min="20" max="16384" width="9.109375" style="15"/>
  </cols>
  <sheetData>
    <row r="1" spans="1:18" ht="20.25" customHeight="1" x14ac:dyDescent="0.3">
      <c r="A1" s="1" t="s">
        <v>57</v>
      </c>
      <c r="B1" s="1" t="s">
        <v>58</v>
      </c>
      <c r="C1" s="204" t="s">
        <v>382</v>
      </c>
      <c r="D1" s="204" t="s">
        <v>383</v>
      </c>
      <c r="E1" s="204" t="s">
        <v>1163</v>
      </c>
      <c r="F1" s="204" t="s">
        <v>59</v>
      </c>
      <c r="G1" s="204" t="s">
        <v>60</v>
      </c>
      <c r="H1" s="205" t="s">
        <v>1127</v>
      </c>
      <c r="I1" s="205" t="s">
        <v>1128</v>
      </c>
      <c r="J1" s="205" t="s">
        <v>372</v>
      </c>
      <c r="K1" s="205" t="s">
        <v>386</v>
      </c>
      <c r="L1" s="204" t="s">
        <v>61</v>
      </c>
      <c r="M1" s="204" t="s">
        <v>62</v>
      </c>
      <c r="N1" s="204" t="s">
        <v>676</v>
      </c>
      <c r="O1" s="204" t="s">
        <v>424</v>
      </c>
      <c r="P1" s="204" t="s">
        <v>609</v>
      </c>
      <c r="Q1" s="204" t="s">
        <v>610</v>
      </c>
      <c r="R1" s="204" t="s">
        <v>611</v>
      </c>
    </row>
    <row r="2" spans="1:18" ht="14.55" customHeight="1" x14ac:dyDescent="0.3">
      <c r="A2" s="482" t="s">
        <v>63</v>
      </c>
      <c r="B2" s="4" t="s">
        <v>613</v>
      </c>
      <c r="C2" s="206">
        <v>0</v>
      </c>
      <c r="D2" s="206">
        <v>1</v>
      </c>
      <c r="E2" s="207" t="s">
        <v>64</v>
      </c>
      <c r="F2" s="207" t="s">
        <v>64</v>
      </c>
      <c r="G2" s="208" t="s">
        <v>65</v>
      </c>
      <c r="H2" s="209" t="s">
        <v>891</v>
      </c>
      <c r="I2" s="209">
        <v>0</v>
      </c>
      <c r="J2" s="209" t="s">
        <v>980</v>
      </c>
      <c r="K2" s="209">
        <v>1</v>
      </c>
      <c r="L2" s="210" t="s">
        <v>17</v>
      </c>
      <c r="M2" s="207" t="s">
        <v>66</v>
      </c>
      <c r="N2" s="207" t="s">
        <v>677</v>
      </c>
      <c r="O2" s="228" t="s">
        <v>425</v>
      </c>
      <c r="P2" s="211">
        <f t="shared" ref="P2:R3" si="0">IF($B2="N/A", "N/A", 1)</f>
        <v>1</v>
      </c>
      <c r="Q2" s="211">
        <f t="shared" si="0"/>
        <v>1</v>
      </c>
      <c r="R2" s="211">
        <f t="shared" si="0"/>
        <v>1</v>
      </c>
    </row>
    <row r="3" spans="1:18" ht="14.55" customHeight="1" x14ac:dyDescent="0.3">
      <c r="A3" s="482"/>
      <c r="B3" s="4" t="s">
        <v>613</v>
      </c>
      <c r="C3" s="206">
        <v>1</v>
      </c>
      <c r="D3" s="206">
        <v>1</v>
      </c>
      <c r="E3" s="207" t="s">
        <v>67</v>
      </c>
      <c r="F3" s="207" t="s">
        <v>67</v>
      </c>
      <c r="G3" s="208" t="s">
        <v>68</v>
      </c>
      <c r="H3" s="209" t="s">
        <v>892</v>
      </c>
      <c r="I3" s="209">
        <v>0</v>
      </c>
      <c r="J3" s="209" t="s">
        <v>981</v>
      </c>
      <c r="K3" s="209">
        <v>1</v>
      </c>
      <c r="L3" s="210" t="s">
        <v>17</v>
      </c>
      <c r="M3" s="207" t="s">
        <v>69</v>
      </c>
      <c r="N3" s="207" t="s">
        <v>678</v>
      </c>
      <c r="O3" s="228" t="s">
        <v>426</v>
      </c>
      <c r="P3" s="211">
        <f t="shared" si="0"/>
        <v>1</v>
      </c>
      <c r="Q3" s="211">
        <f t="shared" si="0"/>
        <v>1</v>
      </c>
      <c r="R3" s="211">
        <f t="shared" si="0"/>
        <v>1</v>
      </c>
    </row>
    <row r="4" spans="1:18" ht="14.55" customHeight="1" x14ac:dyDescent="0.3">
      <c r="A4" s="482"/>
      <c r="B4" s="16" t="s">
        <v>70</v>
      </c>
      <c r="C4" s="206">
        <v>2</v>
      </c>
      <c r="D4" s="206">
        <v>1</v>
      </c>
      <c r="E4" s="207" t="s">
        <v>71</v>
      </c>
      <c r="F4" s="207" t="s">
        <v>71</v>
      </c>
      <c r="G4" s="207" t="s">
        <v>72</v>
      </c>
      <c r="H4" s="209" t="s">
        <v>893</v>
      </c>
      <c r="I4" s="209">
        <v>0</v>
      </c>
      <c r="J4" s="209" t="s">
        <v>982</v>
      </c>
      <c r="K4" s="209">
        <v>0</v>
      </c>
      <c r="L4" s="210" t="s">
        <v>17</v>
      </c>
      <c r="M4" s="207" t="s">
        <v>66</v>
      </c>
      <c r="N4" s="207" t="s">
        <v>679</v>
      </c>
      <c r="O4" s="207" t="s">
        <v>427</v>
      </c>
      <c r="P4" s="210">
        <f ca="1">IF($B4="N/A","N/A",IF(0=VLOOKUP($B4,INDIRECT(Config!$B$1),HLOOKUP(P$1,INDIRECT(Config!$E$1),2,FALSE),FALSE),1,0))</f>
        <v>1</v>
      </c>
      <c r="Q4" s="210">
        <f ca="1">IF($B4="N/A","N/A",IF(0=VLOOKUP($B4,INDIRECT(Config!$B$1),HLOOKUP(Q$1,INDIRECT(Config!$E$1),2,FALSE),FALSE),1,0))</f>
        <v>0</v>
      </c>
      <c r="R4" s="210">
        <f ca="1">IF($B4="N/A","N/A",IF(0=VLOOKUP($B4,INDIRECT(Config!$B$1),HLOOKUP(R$1,INDIRECT(Config!$E$1),2,FALSE),FALSE),1,0))</f>
        <v>1</v>
      </c>
    </row>
    <row r="5" spans="1:18" ht="14.55" customHeight="1" x14ac:dyDescent="0.3">
      <c r="A5" s="482"/>
      <c r="B5" s="4" t="s">
        <v>613</v>
      </c>
      <c r="C5" s="206">
        <v>3</v>
      </c>
      <c r="D5" s="206">
        <v>1</v>
      </c>
      <c r="E5" s="207" t="s">
        <v>73</v>
      </c>
      <c r="F5" s="207" t="s">
        <v>73</v>
      </c>
      <c r="G5" s="208" t="s">
        <v>74</v>
      </c>
      <c r="H5" s="209" t="s">
        <v>894</v>
      </c>
      <c r="I5" s="209">
        <v>0</v>
      </c>
      <c r="J5" s="209" t="s">
        <v>983</v>
      </c>
      <c r="K5" s="209">
        <v>0</v>
      </c>
      <c r="L5" s="210" t="s">
        <v>17</v>
      </c>
      <c r="M5" s="207" t="s">
        <v>66</v>
      </c>
      <c r="N5" s="207" t="s">
        <v>680</v>
      </c>
      <c r="O5" s="207" t="s">
        <v>428</v>
      </c>
      <c r="P5" s="211">
        <f>IF($B5="N/A", "N/A", 1)</f>
        <v>1</v>
      </c>
      <c r="Q5" s="211">
        <f>IF($B5="N/A", "N/A", 1)</f>
        <v>1</v>
      </c>
      <c r="R5" s="211">
        <f>IF($B5="N/A", "N/A", 1)</f>
        <v>1</v>
      </c>
    </row>
    <row r="6" spans="1:18" ht="14.55" customHeight="1" x14ac:dyDescent="0.3">
      <c r="A6" s="482"/>
      <c r="B6" s="7" t="s">
        <v>75</v>
      </c>
      <c r="C6" s="206">
        <v>4</v>
      </c>
      <c r="D6" s="206">
        <v>1</v>
      </c>
      <c r="E6" s="207" t="s">
        <v>77</v>
      </c>
      <c r="F6" s="206" t="s">
        <v>76</v>
      </c>
      <c r="G6" s="207" t="s">
        <v>77</v>
      </c>
      <c r="H6" s="209" t="s">
        <v>895</v>
      </c>
      <c r="I6" s="209">
        <v>0</v>
      </c>
      <c r="J6" s="209" t="s">
        <v>984</v>
      </c>
      <c r="K6" s="209">
        <v>0</v>
      </c>
      <c r="L6" s="210" t="s">
        <v>17</v>
      </c>
      <c r="M6" s="207" t="s">
        <v>78</v>
      </c>
      <c r="N6" s="207" t="s">
        <v>681</v>
      </c>
      <c r="O6" s="207" t="s">
        <v>429</v>
      </c>
      <c r="P6" s="210">
        <f ca="1">IF($B6="N/A", "N/A", VLOOKUP($B6, INDIRECT(Config!$B$1), HLOOKUP(P$1, INDIRECT(Config!$E$1), 2, FALSE),FALSE))</f>
        <v>1</v>
      </c>
      <c r="Q6" s="210">
        <f ca="1">IF($B6="N/A", "N/A", VLOOKUP($B6, INDIRECT(Config!$B$1), HLOOKUP(Q$1, INDIRECT(Config!$E$1), 2, FALSE),FALSE))</f>
        <v>0</v>
      </c>
      <c r="R6" s="210">
        <f ca="1">IF($B6="N/A", "N/A", VLOOKUP($B6, INDIRECT(Config!$B$1), HLOOKUP(R$1, INDIRECT(Config!$E$1), 2, FALSE),FALSE))</f>
        <v>0</v>
      </c>
    </row>
    <row r="7" spans="1:18" ht="14.55" customHeight="1" x14ac:dyDescent="0.3">
      <c r="A7" s="482"/>
      <c r="B7" s="7" t="s">
        <v>75</v>
      </c>
      <c r="C7" s="206">
        <v>5</v>
      </c>
      <c r="D7" s="206">
        <v>1</v>
      </c>
      <c r="E7" s="207" t="s">
        <v>80</v>
      </c>
      <c r="F7" s="206" t="s">
        <v>79</v>
      </c>
      <c r="G7" s="207" t="s">
        <v>80</v>
      </c>
      <c r="H7" s="209" t="s">
        <v>896</v>
      </c>
      <c r="I7" s="209">
        <v>0</v>
      </c>
      <c r="J7" s="209" t="s">
        <v>985</v>
      </c>
      <c r="K7" s="209">
        <v>0</v>
      </c>
      <c r="L7" s="210" t="s">
        <v>17</v>
      </c>
      <c r="M7" s="207" t="s">
        <v>78</v>
      </c>
      <c r="N7" s="207" t="s">
        <v>682</v>
      </c>
      <c r="O7" s="207" t="s">
        <v>430</v>
      </c>
      <c r="P7" s="210">
        <f ca="1">IF($B7="N/A", "N/A", VLOOKUP($B7, INDIRECT(Config!$B$1), HLOOKUP(P$1, INDIRECT(Config!$E$1), 2, FALSE),FALSE))</f>
        <v>1</v>
      </c>
      <c r="Q7" s="210">
        <f ca="1">IF($B7="N/A", "N/A", VLOOKUP($B7, INDIRECT(Config!$B$1), HLOOKUP(Q$1, INDIRECT(Config!$E$1), 2, FALSE),FALSE))</f>
        <v>0</v>
      </c>
      <c r="R7" s="210">
        <f ca="1">IF($B7="N/A", "N/A", VLOOKUP($B7, INDIRECT(Config!$B$1), HLOOKUP(R$1, INDIRECT(Config!$E$1), 2, FALSE),FALSE))</f>
        <v>0</v>
      </c>
    </row>
    <row r="8" spans="1:18" ht="14.55" customHeight="1" x14ac:dyDescent="0.3">
      <c r="A8" s="482"/>
      <c r="B8" s="4" t="s">
        <v>613</v>
      </c>
      <c r="C8" s="206">
        <v>6</v>
      </c>
      <c r="D8" s="206">
        <v>1</v>
      </c>
      <c r="E8" s="207" t="s">
        <v>81</v>
      </c>
      <c r="F8" s="207" t="s">
        <v>81</v>
      </c>
      <c r="G8" s="208" t="s">
        <v>82</v>
      </c>
      <c r="H8" s="209" t="s">
        <v>897</v>
      </c>
      <c r="I8" s="209">
        <v>0</v>
      </c>
      <c r="J8" s="209" t="s">
        <v>986</v>
      </c>
      <c r="K8" s="209">
        <v>0</v>
      </c>
      <c r="L8" s="210" t="s">
        <v>17</v>
      </c>
      <c r="M8" s="207" t="s">
        <v>66</v>
      </c>
      <c r="N8" s="207" t="s">
        <v>683</v>
      </c>
      <c r="O8" s="207" t="s">
        <v>431</v>
      </c>
      <c r="P8" s="211">
        <f t="shared" ref="P8:R10" si="1">IF($B8="N/A", "N/A", 1)</f>
        <v>1</v>
      </c>
      <c r="Q8" s="211">
        <f t="shared" si="1"/>
        <v>1</v>
      </c>
      <c r="R8" s="211">
        <f t="shared" si="1"/>
        <v>1</v>
      </c>
    </row>
    <row r="9" spans="1:18" ht="14.55" customHeight="1" x14ac:dyDescent="0.3">
      <c r="A9" s="482"/>
      <c r="B9" s="4" t="s">
        <v>613</v>
      </c>
      <c r="C9" s="206">
        <v>7</v>
      </c>
      <c r="D9" s="206">
        <v>1</v>
      </c>
      <c r="E9" s="207" t="s">
        <v>83</v>
      </c>
      <c r="F9" s="207" t="s">
        <v>83</v>
      </c>
      <c r="G9" s="208" t="s">
        <v>84</v>
      </c>
      <c r="H9" s="209" t="s">
        <v>898</v>
      </c>
      <c r="I9" s="209">
        <v>1</v>
      </c>
      <c r="J9" s="209" t="s">
        <v>987</v>
      </c>
      <c r="K9" s="209">
        <v>1</v>
      </c>
      <c r="L9" s="210" t="s">
        <v>17</v>
      </c>
      <c r="M9" s="207" t="s">
        <v>66</v>
      </c>
      <c r="N9" s="207" t="s">
        <v>684</v>
      </c>
      <c r="O9" s="207" t="s">
        <v>432</v>
      </c>
      <c r="P9" s="211">
        <f t="shared" si="1"/>
        <v>1</v>
      </c>
      <c r="Q9" s="211">
        <f t="shared" si="1"/>
        <v>1</v>
      </c>
      <c r="R9" s="211">
        <f t="shared" si="1"/>
        <v>1</v>
      </c>
    </row>
    <row r="10" spans="1:18" ht="14.55" customHeight="1" x14ac:dyDescent="0.3">
      <c r="A10" s="482"/>
      <c r="B10" s="4" t="s">
        <v>613</v>
      </c>
      <c r="C10" s="206">
        <v>8</v>
      </c>
      <c r="D10" s="206">
        <v>1</v>
      </c>
      <c r="E10" s="207" t="s">
        <v>85</v>
      </c>
      <c r="F10" s="207" t="s">
        <v>85</v>
      </c>
      <c r="G10" s="208" t="s">
        <v>86</v>
      </c>
      <c r="H10" s="209" t="s">
        <v>899</v>
      </c>
      <c r="I10" s="209">
        <v>0</v>
      </c>
      <c r="J10" s="209" t="s">
        <v>988</v>
      </c>
      <c r="K10" s="209">
        <v>0</v>
      </c>
      <c r="L10" s="212" t="s">
        <v>17</v>
      </c>
      <c r="M10" s="207" t="s">
        <v>87</v>
      </c>
      <c r="N10" s="207" t="s">
        <v>685</v>
      </c>
      <c r="O10" s="207" t="s">
        <v>433</v>
      </c>
      <c r="P10" s="211">
        <f t="shared" si="1"/>
        <v>1</v>
      </c>
      <c r="Q10" s="211">
        <f t="shared" si="1"/>
        <v>1</v>
      </c>
      <c r="R10" s="211">
        <f t="shared" si="1"/>
        <v>1</v>
      </c>
    </row>
    <row r="11" spans="1:18" ht="14.55" customHeight="1" x14ac:dyDescent="0.3">
      <c r="A11" s="482"/>
      <c r="B11" s="3" t="s">
        <v>809</v>
      </c>
      <c r="C11" s="210">
        <v>9</v>
      </c>
      <c r="D11" s="210">
        <v>1</v>
      </c>
      <c r="E11" s="207" t="s">
        <v>88</v>
      </c>
      <c r="F11" s="210" t="s">
        <v>811</v>
      </c>
      <c r="G11" s="210" t="s">
        <v>88</v>
      </c>
      <c r="H11" s="209" t="s">
        <v>900</v>
      </c>
      <c r="I11" s="209">
        <v>0</v>
      </c>
      <c r="J11" s="209" t="s">
        <v>989</v>
      </c>
      <c r="K11" s="209">
        <v>0</v>
      </c>
      <c r="L11" s="212" t="s">
        <v>17</v>
      </c>
      <c r="M11" s="207" t="s">
        <v>87</v>
      </c>
      <c r="N11" s="213" t="s">
        <v>813</v>
      </c>
      <c r="O11" s="213" t="s">
        <v>812</v>
      </c>
      <c r="P11" s="210">
        <f ca="1">IF($B11="N/A", "N/A", VLOOKUP($B11, INDIRECT(Config!$B$1), HLOOKUP(P$1, INDIRECT(Config!$E$1), 2, FALSE),FALSE))</f>
        <v>1</v>
      </c>
      <c r="Q11" s="210">
        <f ca="1">IF($B11="N/A", "N/A", VLOOKUP($B11, INDIRECT(Config!$B$1), HLOOKUP(Q$1, INDIRECT(Config!$E$1), 2, FALSE),FALSE))</f>
        <v>1</v>
      </c>
      <c r="R11" s="210">
        <f ca="1">IF($B11="N/A", "N/A", VLOOKUP($B11, INDIRECT(Config!$B$1), HLOOKUP(R$1, INDIRECT(Config!$E$1), 2, FALSE),FALSE))</f>
        <v>0</v>
      </c>
    </row>
    <row r="12" spans="1:18" ht="14.55" customHeight="1" x14ac:dyDescent="0.3">
      <c r="A12" s="482"/>
      <c r="B12" s="16" t="s">
        <v>647</v>
      </c>
      <c r="C12" s="206">
        <v>10</v>
      </c>
      <c r="D12" s="206">
        <v>1</v>
      </c>
      <c r="E12" s="207" t="s">
        <v>90</v>
      </c>
      <c r="F12" s="207" t="s">
        <v>89</v>
      </c>
      <c r="G12" s="207" t="s">
        <v>90</v>
      </c>
      <c r="H12" s="209" t="s">
        <v>901</v>
      </c>
      <c r="I12" s="209">
        <v>1</v>
      </c>
      <c r="J12" s="209" t="s">
        <v>990</v>
      </c>
      <c r="K12" s="209">
        <v>0</v>
      </c>
      <c r="L12" s="212" t="s">
        <v>17</v>
      </c>
      <c r="M12" s="207" t="s">
        <v>87</v>
      </c>
      <c r="N12" s="207" t="s">
        <v>686</v>
      </c>
      <c r="O12" s="207" t="s">
        <v>434</v>
      </c>
      <c r="P12" s="210">
        <f ca="1">IF($B12="N/A", "N/A", VLOOKUP($B12, INDIRECT(Config!$B$1), HLOOKUP(P$1, INDIRECT(Config!$E$1), 2, FALSE),FALSE))</f>
        <v>1</v>
      </c>
      <c r="Q12" s="210">
        <f ca="1">IF($B12="N/A", "N/A", VLOOKUP($B12, INDIRECT(Config!$B$1), HLOOKUP(Q$1, INDIRECT(Config!$E$1), 2, FALSE),FALSE))</f>
        <v>0</v>
      </c>
      <c r="R12" s="210">
        <f ca="1">IF($B12="N/A", "N/A", VLOOKUP($B12, INDIRECT(Config!$B$1), HLOOKUP(R$1, INDIRECT(Config!$E$1), 2, FALSE),FALSE))</f>
        <v>0</v>
      </c>
    </row>
    <row r="13" spans="1:18" ht="14.55" customHeight="1" x14ac:dyDescent="0.3">
      <c r="A13" s="482"/>
      <c r="B13" s="16" t="s">
        <v>91</v>
      </c>
      <c r="C13" s="206">
        <v>11</v>
      </c>
      <c r="D13" s="206">
        <v>1</v>
      </c>
      <c r="E13" s="207" t="s">
        <v>93</v>
      </c>
      <c r="F13" s="207" t="s">
        <v>92</v>
      </c>
      <c r="G13" s="207" t="s">
        <v>93</v>
      </c>
      <c r="H13" s="209" t="s">
        <v>902</v>
      </c>
      <c r="I13" s="209">
        <v>0</v>
      </c>
      <c r="J13" s="209" t="s">
        <v>991</v>
      </c>
      <c r="K13" s="209">
        <v>0</v>
      </c>
      <c r="L13" s="212" t="s">
        <v>17</v>
      </c>
      <c r="M13" s="207" t="s">
        <v>87</v>
      </c>
      <c r="N13" s="207" t="s">
        <v>687</v>
      </c>
      <c r="O13" s="207" t="s">
        <v>435</v>
      </c>
      <c r="P13" s="210">
        <f ca="1">IF($B13="N/A", "N/A", VLOOKUP($B13, INDIRECT(Config!$B$1), HLOOKUP(P$1, INDIRECT(Config!$E$1), 2, FALSE),FALSE))</f>
        <v>0</v>
      </c>
      <c r="Q13" s="210">
        <f ca="1">IF($B13="N/A", "N/A", VLOOKUP($B13, INDIRECT(Config!$B$1), HLOOKUP(Q$1, INDIRECT(Config!$E$1), 2, FALSE),FALSE))</f>
        <v>0</v>
      </c>
      <c r="R13" s="210">
        <f ca="1">IF($B13="N/A", "N/A", VLOOKUP($B13, INDIRECT(Config!$B$1), HLOOKUP(R$1, INDIRECT(Config!$E$1), 2, FALSE),FALSE))</f>
        <v>0</v>
      </c>
    </row>
    <row r="14" spans="1:18" ht="14.55" customHeight="1" x14ac:dyDescent="0.3">
      <c r="A14" s="482"/>
      <c r="B14" s="16" t="s">
        <v>649</v>
      </c>
      <c r="C14" s="206">
        <v>12</v>
      </c>
      <c r="D14" s="206">
        <v>1</v>
      </c>
      <c r="E14" s="207" t="s">
        <v>95</v>
      </c>
      <c r="F14" s="207" t="s">
        <v>94</v>
      </c>
      <c r="G14" s="207" t="s">
        <v>95</v>
      </c>
      <c r="H14" s="209" t="s">
        <v>903</v>
      </c>
      <c r="I14" s="209">
        <v>1</v>
      </c>
      <c r="J14" s="209" t="s">
        <v>992</v>
      </c>
      <c r="K14" s="209">
        <v>1</v>
      </c>
      <c r="L14" s="212" t="s">
        <v>17</v>
      </c>
      <c r="M14" s="207" t="s">
        <v>87</v>
      </c>
      <c r="N14" s="207" t="s">
        <v>688</v>
      </c>
      <c r="O14" s="207" t="s">
        <v>436</v>
      </c>
      <c r="P14" s="210">
        <f ca="1">IF($B14="N/A", "N/A", VLOOKUP($B14, INDIRECT(Config!$B$1), HLOOKUP(P$1, INDIRECT(Config!$E$1), 2, FALSE),FALSE))</f>
        <v>1</v>
      </c>
      <c r="Q14" s="210">
        <f ca="1">IF($B14="N/A", "N/A", VLOOKUP($B14, INDIRECT(Config!$B$1), HLOOKUP(Q$1, INDIRECT(Config!$E$1), 2, FALSE),FALSE))</f>
        <v>0</v>
      </c>
      <c r="R14" s="210">
        <f ca="1">IF($B14="N/A", "N/A", VLOOKUP($B14, INDIRECT(Config!$B$1), HLOOKUP(R$1, INDIRECT(Config!$E$1), 2, FALSE),FALSE))</f>
        <v>0</v>
      </c>
    </row>
    <row r="15" spans="1:18" ht="14.55" customHeight="1" x14ac:dyDescent="0.3">
      <c r="A15" s="482"/>
      <c r="B15" s="16" t="s">
        <v>172</v>
      </c>
      <c r="C15" s="206">
        <v>13</v>
      </c>
      <c r="D15" s="206">
        <v>1</v>
      </c>
      <c r="E15" s="207" t="s">
        <v>97</v>
      </c>
      <c r="F15" s="207" t="s">
        <v>96</v>
      </c>
      <c r="G15" s="207" t="s">
        <v>97</v>
      </c>
      <c r="H15" s="209" t="s">
        <v>904</v>
      </c>
      <c r="I15" s="209">
        <v>0</v>
      </c>
      <c r="J15" s="209" t="s">
        <v>993</v>
      </c>
      <c r="K15" s="209">
        <v>1</v>
      </c>
      <c r="L15" s="212" t="s">
        <v>17</v>
      </c>
      <c r="M15" s="207" t="s">
        <v>87</v>
      </c>
      <c r="N15" s="207" t="s">
        <v>689</v>
      </c>
      <c r="O15" s="207" t="s">
        <v>437</v>
      </c>
      <c r="P15" s="210">
        <f ca="1">IF($B15="N/A", "N/A", VLOOKUP($B15, INDIRECT(Config!$B$1), HLOOKUP(P$1, INDIRECT(Config!$E$1), 2, FALSE),FALSE))</f>
        <v>1</v>
      </c>
      <c r="Q15" s="210">
        <f ca="1">IF($B15="N/A", "N/A", VLOOKUP($B15, INDIRECT(Config!$B$1), HLOOKUP(Q$1, INDIRECT(Config!$E$1), 2, FALSE),FALSE))</f>
        <v>0</v>
      </c>
      <c r="R15" s="210">
        <f ca="1">IF($B15="N/A", "N/A", VLOOKUP($B15, INDIRECT(Config!$B$1), HLOOKUP(R$1, INDIRECT(Config!$E$1), 2, FALSE),FALSE))</f>
        <v>0</v>
      </c>
    </row>
    <row r="16" spans="1:18" ht="14.55" customHeight="1" x14ac:dyDescent="0.3">
      <c r="A16" s="482"/>
      <c r="B16" s="4" t="s">
        <v>613</v>
      </c>
      <c r="C16" s="206">
        <v>14</v>
      </c>
      <c r="D16" s="206">
        <v>1</v>
      </c>
      <c r="E16" s="207" t="s">
        <v>98</v>
      </c>
      <c r="F16" s="207" t="s">
        <v>98</v>
      </c>
      <c r="G16" s="208" t="s">
        <v>99</v>
      </c>
      <c r="H16" s="209" t="s">
        <v>905</v>
      </c>
      <c r="I16" s="209">
        <v>1</v>
      </c>
      <c r="J16" s="209" t="s">
        <v>994</v>
      </c>
      <c r="K16" s="209">
        <v>1</v>
      </c>
      <c r="L16" s="212" t="s">
        <v>17</v>
      </c>
      <c r="M16" s="206" t="s">
        <v>69</v>
      </c>
      <c r="N16" s="206" t="s">
        <v>690</v>
      </c>
      <c r="O16" s="206" t="s">
        <v>438</v>
      </c>
      <c r="P16" s="211">
        <f>IF($B16="N/A", "N/A", 1)</f>
        <v>1</v>
      </c>
      <c r="Q16" s="211">
        <f>IF($B16="N/A", "N/A", 1)</f>
        <v>1</v>
      </c>
      <c r="R16" s="211">
        <f>IF($B16="N/A", "N/A", 1)</f>
        <v>1</v>
      </c>
    </row>
    <row r="17" spans="1:18" ht="14.55" customHeight="1" x14ac:dyDescent="0.3">
      <c r="A17" s="482"/>
      <c r="B17" s="2" t="s">
        <v>100</v>
      </c>
      <c r="C17" s="208">
        <v>15</v>
      </c>
      <c r="D17" s="208">
        <v>1</v>
      </c>
      <c r="E17" s="207" t="s">
        <v>102</v>
      </c>
      <c r="F17" s="208" t="s">
        <v>101</v>
      </c>
      <c r="G17" s="207" t="s">
        <v>102</v>
      </c>
      <c r="H17" s="209" t="s">
        <v>906</v>
      </c>
      <c r="I17" s="209">
        <v>0</v>
      </c>
      <c r="J17" s="209" t="s">
        <v>995</v>
      </c>
      <c r="K17" s="209">
        <v>0</v>
      </c>
      <c r="L17" s="212" t="s">
        <v>17</v>
      </c>
      <c r="M17" s="206" t="s">
        <v>66</v>
      </c>
      <c r="N17" s="206" t="s">
        <v>691</v>
      </c>
      <c r="O17" s="206" t="s">
        <v>439</v>
      </c>
      <c r="P17" s="210">
        <f ca="1">IF($B17="N/A", "N/A", VLOOKUP($B17, INDIRECT(Config!$B$1), HLOOKUP(P$1, INDIRECT(Config!$E$1), 2, FALSE),FALSE))</f>
        <v>0</v>
      </c>
      <c r="Q17" s="210">
        <f ca="1">IF($B17="N/A", "N/A", VLOOKUP($B17, INDIRECT(Config!$B$1), HLOOKUP(Q$1, INDIRECT(Config!$E$1), 2, FALSE),FALSE))</f>
        <v>0</v>
      </c>
      <c r="R17" s="210">
        <f ca="1">IF($B17="N/A", "N/A", VLOOKUP($B17, INDIRECT(Config!$B$1), HLOOKUP(R$1, INDIRECT(Config!$E$1), 2, FALSE),FALSE))</f>
        <v>0</v>
      </c>
    </row>
    <row r="18" spans="1:18" ht="14.55" customHeight="1" x14ac:dyDescent="0.3">
      <c r="A18" s="482"/>
      <c r="B18" s="4" t="s">
        <v>613</v>
      </c>
      <c r="C18" s="206">
        <v>16</v>
      </c>
      <c r="D18" s="206">
        <v>1</v>
      </c>
      <c r="E18" s="207" t="s">
        <v>103</v>
      </c>
      <c r="F18" s="207" t="s">
        <v>103</v>
      </c>
      <c r="G18" s="208" t="s">
        <v>104</v>
      </c>
      <c r="H18" s="209" t="s">
        <v>907</v>
      </c>
      <c r="I18" s="209">
        <v>1</v>
      </c>
      <c r="J18" s="209" t="s">
        <v>996</v>
      </c>
      <c r="K18" s="209">
        <v>1</v>
      </c>
      <c r="L18" s="210"/>
      <c r="M18" s="206" t="s">
        <v>87</v>
      </c>
      <c r="N18" s="206" t="s">
        <v>692</v>
      </c>
      <c r="O18" s="206" t="s">
        <v>440</v>
      </c>
      <c r="P18" s="211">
        <f t="shared" ref="P18:R19" si="2">IF($B18="N/A", "N/A", 1)</f>
        <v>1</v>
      </c>
      <c r="Q18" s="211">
        <f t="shared" si="2"/>
        <v>1</v>
      </c>
      <c r="R18" s="211">
        <f t="shared" si="2"/>
        <v>1</v>
      </c>
    </row>
    <row r="19" spans="1:18" ht="14.55" customHeight="1" x14ac:dyDescent="0.3">
      <c r="A19" s="482"/>
      <c r="B19" s="4" t="s">
        <v>613</v>
      </c>
      <c r="C19" s="206">
        <v>17</v>
      </c>
      <c r="D19" s="206">
        <v>1</v>
      </c>
      <c r="E19" s="207" t="s">
        <v>105</v>
      </c>
      <c r="F19" s="207" t="s">
        <v>105</v>
      </c>
      <c r="G19" s="208" t="s">
        <v>106</v>
      </c>
      <c r="H19" s="209" t="s">
        <v>908</v>
      </c>
      <c r="I19" s="209">
        <v>1</v>
      </c>
      <c r="J19" s="209" t="s">
        <v>997</v>
      </c>
      <c r="K19" s="209">
        <v>1</v>
      </c>
      <c r="L19" s="210"/>
      <c r="M19" s="206" t="s">
        <v>87</v>
      </c>
      <c r="N19" s="206" t="s">
        <v>693</v>
      </c>
      <c r="O19" s="206" t="s">
        <v>441</v>
      </c>
      <c r="P19" s="211">
        <f t="shared" si="2"/>
        <v>1</v>
      </c>
      <c r="Q19" s="211">
        <f t="shared" si="2"/>
        <v>1</v>
      </c>
      <c r="R19" s="211">
        <f t="shared" si="2"/>
        <v>1</v>
      </c>
    </row>
    <row r="20" spans="1:18" ht="14.55" customHeight="1" x14ac:dyDescent="0.3">
      <c r="A20" s="482"/>
      <c r="B20" s="2" t="s">
        <v>100</v>
      </c>
      <c r="C20" s="208">
        <v>18</v>
      </c>
      <c r="D20" s="208">
        <v>5</v>
      </c>
      <c r="F20" s="252" t="s">
        <v>107</v>
      </c>
      <c r="G20" s="207" t="s">
        <v>1123</v>
      </c>
      <c r="H20" s="214" t="s">
        <v>1124</v>
      </c>
      <c r="I20" s="214">
        <v>3</v>
      </c>
      <c r="J20" s="214" t="s">
        <v>1125</v>
      </c>
      <c r="K20" s="214">
        <v>0</v>
      </c>
      <c r="L20" s="210"/>
      <c r="M20" s="206" t="s">
        <v>66</v>
      </c>
      <c r="N20" s="206" t="s">
        <v>694</v>
      </c>
      <c r="O20" s="206" t="s">
        <v>442</v>
      </c>
      <c r="P20" s="210">
        <f ca="1">IF($B20="N/A", "N/A", VLOOKUP($B20, INDIRECT(Config!$B$1), HLOOKUP(P$1, INDIRECT(Config!$E$1), 2, FALSE),FALSE))</f>
        <v>0</v>
      </c>
      <c r="Q20" s="210">
        <f ca="1">IF($B20="N/A", "N/A", VLOOKUP($B20, INDIRECT(Config!$B$1), HLOOKUP(Q$1, INDIRECT(Config!$E$1), 2, FALSE),FALSE))</f>
        <v>0</v>
      </c>
      <c r="R20" s="210">
        <f ca="1">IF($B20="N/A", "N/A", VLOOKUP($B20, INDIRECT(Config!$B$1), HLOOKUP(R$1, INDIRECT(Config!$E$1), 2, FALSE),FALSE))</f>
        <v>0</v>
      </c>
    </row>
    <row r="21" spans="1:18" ht="14.55" customHeight="1" x14ac:dyDescent="0.3">
      <c r="A21" s="482"/>
      <c r="B21" s="2" t="s">
        <v>108</v>
      </c>
      <c r="C21" s="208">
        <v>18</v>
      </c>
      <c r="D21" s="208">
        <v>1</v>
      </c>
      <c r="E21" s="207" t="s">
        <v>110</v>
      </c>
      <c r="F21" s="208" t="s">
        <v>109</v>
      </c>
      <c r="G21" s="207" t="s">
        <v>110</v>
      </c>
      <c r="H21" s="214" t="s">
        <v>909</v>
      </c>
      <c r="I21" s="214">
        <v>0</v>
      </c>
      <c r="J21" s="214" t="s">
        <v>998</v>
      </c>
      <c r="K21" s="214">
        <v>0</v>
      </c>
      <c r="L21" s="210"/>
      <c r="M21" s="206" t="s">
        <v>87</v>
      </c>
      <c r="N21" s="206" t="s">
        <v>774</v>
      </c>
      <c r="O21" s="206" t="s">
        <v>521</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c r="R21" s="210">
        <f ca="1">IF(VLOOKUP("SAMSUNG_PUF_CONFIG_EN",  INDIRECT(Config!$B$1), HLOOKUP(R$1, INDIRECT(Config!$E$1), 2, FALSE),FALSE)=0, VLOOKUP("IFWI_LAYOUT_1_5_EN",  INDIRECT(Config!$B$1), HLOOKUP(R$1,  INDIRECT(Config!$E$1), 2, FALSE),FALSE), 0)</f>
        <v>0</v>
      </c>
    </row>
    <row r="22" spans="1:18" ht="14.55" customHeight="1" x14ac:dyDescent="0.3">
      <c r="A22" s="482"/>
      <c r="B22" s="2" t="s">
        <v>108</v>
      </c>
      <c r="C22" s="208">
        <v>19</v>
      </c>
      <c r="D22" s="208">
        <v>1</v>
      </c>
      <c r="E22" s="207" t="s">
        <v>112</v>
      </c>
      <c r="F22" s="208" t="s">
        <v>111</v>
      </c>
      <c r="G22" s="207" t="s">
        <v>112</v>
      </c>
      <c r="H22" s="214" t="s">
        <v>910</v>
      </c>
      <c r="I22" s="214">
        <v>0</v>
      </c>
      <c r="J22" s="214" t="s">
        <v>999</v>
      </c>
      <c r="K22" s="214">
        <v>0</v>
      </c>
      <c r="L22" s="210"/>
      <c r="M22" s="206" t="s">
        <v>87</v>
      </c>
      <c r="N22" s="206" t="s">
        <v>775</v>
      </c>
      <c r="O22" s="206" t="s">
        <v>521</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c r="R22" s="210">
        <f ca="1">IF(VLOOKUP("SAMSUNG_PUF_CONFIG_EN",  INDIRECT(Config!$B$1), HLOOKUP(R$1, INDIRECT(Config!$E$1), 2, FALSE),FALSE)=0, VLOOKUP("IFWI_LAYOUT_1_5_EN",  INDIRECT(Config!$B$1), HLOOKUP(R$1,  INDIRECT(Config!$E$1), 2, FALSE),FALSE), 0)</f>
        <v>0</v>
      </c>
    </row>
    <row r="23" spans="1:18" ht="14.55" customHeight="1" x14ac:dyDescent="0.3">
      <c r="A23" s="482"/>
      <c r="B23" s="2" t="s">
        <v>108</v>
      </c>
      <c r="C23" s="208">
        <v>20</v>
      </c>
      <c r="D23" s="208">
        <v>1</v>
      </c>
      <c r="E23" s="207" t="s">
        <v>114</v>
      </c>
      <c r="F23" s="208" t="s">
        <v>113</v>
      </c>
      <c r="G23" s="207" t="s">
        <v>114</v>
      </c>
      <c r="H23" s="214" t="s">
        <v>911</v>
      </c>
      <c r="I23" s="214">
        <v>0</v>
      </c>
      <c r="J23" s="214" t="s">
        <v>1000</v>
      </c>
      <c r="K23" s="214">
        <v>0</v>
      </c>
      <c r="L23" s="210"/>
      <c r="M23" s="206" t="s">
        <v>87</v>
      </c>
      <c r="N23" s="206" t="s">
        <v>776</v>
      </c>
      <c r="O23" s="206" t="s">
        <v>521</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c r="R23" s="210">
        <f ca="1">IF(VLOOKUP("SAMSUNG_PUF_CONFIG_EN",  INDIRECT(Config!$B$1), HLOOKUP(R$1, INDIRECT(Config!$E$1), 2, FALSE),FALSE)=0, VLOOKUP("IFWI_LAYOUT_1_5_EN",  INDIRECT(Config!$B$1), HLOOKUP(R$1,  INDIRECT(Config!$E$1), 2, FALSE),FALSE), 0)</f>
        <v>0</v>
      </c>
    </row>
    <row r="24" spans="1:18" ht="14.55" customHeight="1" x14ac:dyDescent="0.3">
      <c r="A24" s="482"/>
      <c r="B24" s="2" t="s">
        <v>108</v>
      </c>
      <c r="C24" s="208">
        <v>21</v>
      </c>
      <c r="D24" s="208">
        <v>1</v>
      </c>
      <c r="E24" s="207" t="s">
        <v>116</v>
      </c>
      <c r="F24" s="208" t="s">
        <v>115</v>
      </c>
      <c r="G24" s="207" t="s">
        <v>116</v>
      </c>
      <c r="H24" s="214" t="s">
        <v>912</v>
      </c>
      <c r="I24" s="214">
        <v>0</v>
      </c>
      <c r="J24" s="214" t="s">
        <v>1001</v>
      </c>
      <c r="K24" s="214">
        <v>0</v>
      </c>
      <c r="L24" s="210"/>
      <c r="M24" s="206" t="s">
        <v>87</v>
      </c>
      <c r="N24" s="206" t="s">
        <v>777</v>
      </c>
      <c r="O24" s="206" t="s">
        <v>521</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c r="R24" s="210">
        <f ca="1">IF(VLOOKUP("SAMSUNG_PUF_CONFIG_EN",  INDIRECT(Config!$B$1), HLOOKUP(R$1, INDIRECT(Config!$E$1), 2, FALSE),FALSE)=0, VLOOKUP("IFWI_LAYOUT_1_5_EN",  INDIRECT(Config!$B$1), HLOOKUP(R$1,  INDIRECT(Config!$E$1), 2, FALSE),FALSE), 0)</f>
        <v>0</v>
      </c>
    </row>
    <row r="25" spans="1:18" ht="14.55" customHeight="1" x14ac:dyDescent="0.3">
      <c r="A25" s="482"/>
      <c r="B25" s="2" t="s">
        <v>108</v>
      </c>
      <c r="C25" s="208">
        <v>22</v>
      </c>
      <c r="D25" s="208">
        <v>1</v>
      </c>
      <c r="E25" s="207" t="s">
        <v>118</v>
      </c>
      <c r="F25" s="208" t="s">
        <v>117</v>
      </c>
      <c r="G25" s="207" t="s">
        <v>118</v>
      </c>
      <c r="H25" s="214" t="s">
        <v>913</v>
      </c>
      <c r="I25" s="214">
        <v>0</v>
      </c>
      <c r="J25" s="214" t="s">
        <v>1002</v>
      </c>
      <c r="K25" s="214">
        <v>0</v>
      </c>
      <c r="L25" s="210"/>
      <c r="M25" s="206" t="s">
        <v>87</v>
      </c>
      <c r="N25" s="206" t="s">
        <v>778</v>
      </c>
      <c r="O25" s="206" t="s">
        <v>521</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c r="R25" s="210">
        <f ca="1">IF(VLOOKUP("SAMSUNG_PUF_CONFIG_EN",  INDIRECT(Config!$B$1), HLOOKUP(R$1, INDIRECT(Config!$E$1), 2, FALSE),FALSE)=0, VLOOKUP("IFWI_LAYOUT_1_5_EN",  INDIRECT(Config!$B$1), HLOOKUP(R$1,  INDIRECT(Config!$E$1), 2, FALSE),FALSE), 0)</f>
        <v>0</v>
      </c>
    </row>
    <row r="26" spans="1:18" ht="14.55" customHeight="1" x14ac:dyDescent="0.3">
      <c r="A26" s="482"/>
      <c r="B26" s="7" t="s">
        <v>119</v>
      </c>
      <c r="C26" s="206">
        <v>23</v>
      </c>
      <c r="D26" s="206">
        <v>1</v>
      </c>
      <c r="E26" s="207" t="s">
        <v>121</v>
      </c>
      <c r="F26" s="206" t="s">
        <v>120</v>
      </c>
      <c r="G26" s="207" t="s">
        <v>121</v>
      </c>
      <c r="H26" s="214" t="s">
        <v>914</v>
      </c>
      <c r="I26" s="214">
        <v>0</v>
      </c>
      <c r="J26" s="214" t="s">
        <v>1003</v>
      </c>
      <c r="K26" s="214">
        <v>0</v>
      </c>
      <c r="L26" s="210"/>
      <c r="M26" s="206" t="s">
        <v>87</v>
      </c>
      <c r="N26" s="206" t="s">
        <v>779</v>
      </c>
      <c r="O26" s="206" t="s">
        <v>521</v>
      </c>
      <c r="P26" s="210">
        <f ca="1">IF($B26="N/A", "N/A", VLOOKUP($B26, INDIRECT(Config!$B$1), HLOOKUP(P$1, INDIRECT(Config!$E$1), 2, FALSE),FALSE))</f>
        <v>1</v>
      </c>
      <c r="Q26" s="210">
        <f ca="1">IF($B26="N/A", "N/A", VLOOKUP($B26, INDIRECT(Config!$B$1), HLOOKUP(Q$1, INDIRECT(Config!$E$1), 2, FALSE),FALSE))</f>
        <v>1</v>
      </c>
      <c r="R26" s="210">
        <f ca="1">IF($B26="N/A", "N/A", VLOOKUP($B26, INDIRECT(Config!$B$1), HLOOKUP(R$1, INDIRECT(Config!$E$1), 2, FALSE),FALSE))</f>
        <v>0</v>
      </c>
    </row>
    <row r="27" spans="1:18" ht="14.55" customHeight="1" x14ac:dyDescent="0.3">
      <c r="A27" s="482"/>
      <c r="B27" s="7" t="s">
        <v>122</v>
      </c>
      <c r="C27" s="206">
        <v>24</v>
      </c>
      <c r="D27" s="206">
        <v>1</v>
      </c>
      <c r="E27" s="207" t="s">
        <v>124</v>
      </c>
      <c r="F27" s="206" t="s">
        <v>123</v>
      </c>
      <c r="G27" s="207" t="s">
        <v>124</v>
      </c>
      <c r="H27" s="214" t="s">
        <v>915</v>
      </c>
      <c r="I27" s="214">
        <v>1</v>
      </c>
      <c r="J27" s="214" t="s">
        <v>1004</v>
      </c>
      <c r="K27" s="214">
        <v>0</v>
      </c>
      <c r="L27" s="216" t="s">
        <v>1109</v>
      </c>
      <c r="M27" s="206" t="s">
        <v>87</v>
      </c>
      <c r="N27" s="206" t="s">
        <v>780</v>
      </c>
      <c r="O27" s="206" t="s">
        <v>521</v>
      </c>
      <c r="P27" s="210">
        <f ca="1">IF($B27="N/A", "N/A", VLOOKUP($B27, INDIRECT(Config!$B$1), HLOOKUP(P$1, INDIRECT(Config!$E$1), 2, FALSE),FALSE))</f>
        <v>1</v>
      </c>
      <c r="Q27" s="210">
        <f ca="1">IF($B27="N/A", "N/A", VLOOKUP($B27, INDIRECT(Config!$B$1), HLOOKUP(Q$1, INDIRECT(Config!$E$1), 2, FALSE),FALSE))</f>
        <v>1</v>
      </c>
      <c r="R27" s="210">
        <f ca="1">IF($B27="N/A", "N/A", VLOOKUP($B27, INDIRECT(Config!$B$1), HLOOKUP(R$1, INDIRECT(Config!$E$1), 2, FALSE),FALSE))</f>
        <v>0</v>
      </c>
    </row>
    <row r="28" spans="1:18" ht="14.55" customHeight="1" x14ac:dyDescent="0.3">
      <c r="A28" s="482"/>
      <c r="B28" s="16" t="s">
        <v>125</v>
      </c>
      <c r="C28" s="206">
        <v>25</v>
      </c>
      <c r="D28" s="206">
        <v>1</v>
      </c>
      <c r="E28" s="207" t="s">
        <v>127</v>
      </c>
      <c r="F28" s="207" t="s">
        <v>126</v>
      </c>
      <c r="G28" s="207" t="s">
        <v>127</v>
      </c>
      <c r="H28" s="214" t="s">
        <v>916</v>
      </c>
      <c r="I28" s="214">
        <v>1</v>
      </c>
      <c r="J28" s="214" t="s">
        <v>1005</v>
      </c>
      <c r="K28" s="214">
        <v>1</v>
      </c>
      <c r="L28" s="216" t="s">
        <v>1109</v>
      </c>
      <c r="M28" s="206" t="s">
        <v>128</v>
      </c>
      <c r="N28" s="206" t="s">
        <v>695</v>
      </c>
      <c r="O28" s="206" t="s">
        <v>742</v>
      </c>
      <c r="P28" s="210">
        <f ca="1">IF($B28="N/A", "N/A", VLOOKUP($B28, INDIRECT(Config!$B$1), HLOOKUP(P$1, INDIRECT(Config!$E$1), 2, FALSE),FALSE))</f>
        <v>1</v>
      </c>
      <c r="Q28" s="210">
        <f ca="1">IF($B28="N/A", "N/A", VLOOKUP($B28, INDIRECT(Config!$B$1), HLOOKUP(Q$1, INDIRECT(Config!$E$1), 2, FALSE),FALSE))</f>
        <v>0</v>
      </c>
      <c r="R28" s="210">
        <f ca="1">IF($B28="N/A", "N/A", VLOOKUP($B28, INDIRECT(Config!$B$1), HLOOKUP(R$1, INDIRECT(Config!$E$1), 2, FALSE),FALSE))</f>
        <v>0</v>
      </c>
    </row>
    <row r="29" spans="1:18" ht="14.55" customHeight="1" x14ac:dyDescent="0.3">
      <c r="A29" s="482"/>
      <c r="B29" s="2" t="s">
        <v>100</v>
      </c>
      <c r="C29" s="208">
        <v>26</v>
      </c>
      <c r="D29" s="208">
        <v>3</v>
      </c>
      <c r="F29" s="252" t="s">
        <v>129</v>
      </c>
      <c r="G29" s="207" t="s">
        <v>130</v>
      </c>
      <c r="H29" s="214" t="s">
        <v>965</v>
      </c>
      <c r="I29" s="214">
        <v>0</v>
      </c>
      <c r="J29" s="214" t="s">
        <v>1006</v>
      </c>
      <c r="K29" s="214">
        <v>0</v>
      </c>
      <c r="L29" s="216" t="s">
        <v>1109</v>
      </c>
      <c r="M29" s="206" t="s">
        <v>66</v>
      </c>
      <c r="N29" s="206" t="s">
        <v>696</v>
      </c>
      <c r="O29" s="206" t="s">
        <v>743</v>
      </c>
      <c r="P29" s="210">
        <f ca="1">IF($B29="N/A", "N/A", VLOOKUP($B29, INDIRECT(Config!$B$1), HLOOKUP(P$1, INDIRECT(Config!$E$1), 2, FALSE),FALSE))</f>
        <v>0</v>
      </c>
      <c r="Q29" s="210">
        <f ca="1">IF($B29="N/A", "N/A", VLOOKUP($B29, INDIRECT(Config!$B$1), HLOOKUP(Q$1, INDIRECT(Config!$E$1), 2, FALSE),FALSE))</f>
        <v>0</v>
      </c>
      <c r="R29" s="210">
        <f ca="1">IF($B29="N/A", "N/A", VLOOKUP($B29, INDIRECT(Config!$B$1), HLOOKUP(R$1, INDIRECT(Config!$E$1), 2, FALSE),FALSE))</f>
        <v>0</v>
      </c>
    </row>
    <row r="30" spans="1:18" ht="14.55" customHeight="1" x14ac:dyDescent="0.3">
      <c r="A30" s="482"/>
      <c r="B30" s="2" t="s">
        <v>108</v>
      </c>
      <c r="C30" s="208">
        <v>26</v>
      </c>
      <c r="D30" s="208">
        <v>1</v>
      </c>
      <c r="E30" s="207" t="s">
        <v>132</v>
      </c>
      <c r="F30" s="208" t="s">
        <v>131</v>
      </c>
      <c r="G30" s="207" t="s">
        <v>132</v>
      </c>
      <c r="H30" s="214" t="s">
        <v>917</v>
      </c>
      <c r="I30" s="214">
        <v>0</v>
      </c>
      <c r="J30" s="214" t="s">
        <v>1007</v>
      </c>
      <c r="K30" s="214">
        <v>0</v>
      </c>
      <c r="L30" s="216" t="s">
        <v>1109</v>
      </c>
      <c r="M30" s="206" t="s">
        <v>128</v>
      </c>
      <c r="N30" s="206" t="s">
        <v>781</v>
      </c>
      <c r="O30" s="206" t="s">
        <v>522</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c r="R30" s="206">
        <f ca="1">IF(VLOOKUP("SAMSUNG_PUF_CONFIG_EN",  INDIRECT(Config!$B$1), HLOOKUP(R$1, INDIRECT(Config!$E$1), 2, FALSE),FALSE)=0, VLOOKUP("IFWI_LAYOUT_1_5_EN",  INDIRECT(Config!$B$1), HLOOKUP(R$1,  INDIRECT(Config!$E$1), 2, FALSE),FALSE), 0)</f>
        <v>0</v>
      </c>
    </row>
    <row r="31" spans="1:18" ht="14.55" customHeight="1" x14ac:dyDescent="0.3">
      <c r="A31" s="482"/>
      <c r="B31" s="2" t="s">
        <v>48</v>
      </c>
      <c r="C31" s="208">
        <v>27</v>
      </c>
      <c r="D31" s="208">
        <v>1</v>
      </c>
      <c r="E31" s="207" t="s">
        <v>374</v>
      </c>
      <c r="F31" s="208"/>
      <c r="G31" s="206" t="s">
        <v>374</v>
      </c>
      <c r="H31" s="215" t="s">
        <v>918</v>
      </c>
      <c r="I31" s="215">
        <v>0</v>
      </c>
      <c r="J31" s="215" t="s">
        <v>1008</v>
      </c>
      <c r="K31" s="215">
        <v>0</v>
      </c>
      <c r="L31" s="216" t="s">
        <v>1109</v>
      </c>
      <c r="M31" s="206"/>
      <c r="N31" s="206" t="s">
        <v>782</v>
      </c>
      <c r="O31" s="206" t="s">
        <v>460</v>
      </c>
      <c r="P31" s="211" t="str">
        <f ca="1">IF($B31="N/A", "N/A", VLOOKUP($B31, INDIRECT(Config!$B$1), HLOOKUP(P$1, INDIRECT(Config!$E$1), 2, FALSE),FALSE))</f>
        <v>N/A</v>
      </c>
      <c r="Q31" s="211" t="str">
        <f ca="1">IF($B31="N/A", "N/A", VLOOKUP($B31, INDIRECT(Config!$B$1), HLOOKUP(Q$1, INDIRECT(Config!$E$1), 2, FALSE),FALSE))</f>
        <v>N/A</v>
      </c>
      <c r="R31" s="211" t="str">
        <f ca="1">IF($B31="N/A", "N/A", VLOOKUP($B31, INDIRECT(Config!$B$1), HLOOKUP(R$1, INDIRECT(Config!$E$1), 2, FALSE),FALSE))</f>
        <v>N/A</v>
      </c>
    </row>
    <row r="32" spans="1:18" ht="14.55" customHeight="1" x14ac:dyDescent="0.3">
      <c r="A32" s="482"/>
      <c r="B32" s="2" t="s">
        <v>1148</v>
      </c>
      <c r="C32" s="208">
        <v>28</v>
      </c>
      <c r="D32" s="208">
        <v>1</v>
      </c>
      <c r="E32" s="207" t="s">
        <v>375</v>
      </c>
      <c r="F32" s="208" t="s">
        <v>376</v>
      </c>
      <c r="G32" s="206" t="s">
        <v>375</v>
      </c>
      <c r="H32" s="214" t="s">
        <v>919</v>
      </c>
      <c r="I32" s="214">
        <v>1</v>
      </c>
      <c r="J32" s="209" t="s">
        <v>1009</v>
      </c>
      <c r="K32" s="209">
        <v>0</v>
      </c>
      <c r="L32" s="216" t="s">
        <v>1109</v>
      </c>
      <c r="M32" s="206" t="s">
        <v>128</v>
      </c>
      <c r="N32" s="206" t="s">
        <v>783</v>
      </c>
      <c r="O32" s="206" t="s">
        <v>525</v>
      </c>
      <c r="P32" s="210" t="e">
        <f ca="1">IF($B32="N/A", "N/A", VLOOKUP($B32, INDIRECT(Config!$B$1), HLOOKUP(P$1, INDIRECT(Config!$E$1), 2, FALSE),FALSE))</f>
        <v>#N/A</v>
      </c>
      <c r="Q32" s="210" t="e">
        <f ca="1">IF($B32="N/A", "N/A", VLOOKUP($B32, INDIRECT(Config!$B$1), HLOOKUP(Q$1, INDIRECT(Config!$E$1), 2, FALSE),FALSE))</f>
        <v>#N/A</v>
      </c>
      <c r="R32" s="210" t="e">
        <f ca="1">IF($B32="N/A", "N/A", VLOOKUP($B32, INDIRECT(Config!$B$1), HLOOKUP(R$1, INDIRECT(Config!$E$1), 2, FALSE),FALSE))</f>
        <v>#N/A</v>
      </c>
    </row>
    <row r="33" spans="1:18" ht="14.55" customHeight="1" x14ac:dyDescent="0.3">
      <c r="A33" s="482"/>
      <c r="B33" s="3" t="s">
        <v>133</v>
      </c>
      <c r="C33" s="206">
        <v>29</v>
      </c>
      <c r="D33" s="206">
        <v>1</v>
      </c>
      <c r="E33" s="207" t="s">
        <v>135</v>
      </c>
      <c r="F33" s="210" t="s">
        <v>134</v>
      </c>
      <c r="G33" s="207" t="s">
        <v>135</v>
      </c>
      <c r="H33" s="209" t="s">
        <v>920</v>
      </c>
      <c r="I33" s="209">
        <v>1</v>
      </c>
      <c r="J33" s="214" t="s">
        <v>1010</v>
      </c>
      <c r="K33" s="214">
        <v>0</v>
      </c>
      <c r="L33" s="216" t="s">
        <v>1109</v>
      </c>
      <c r="M33" s="206" t="s">
        <v>87</v>
      </c>
      <c r="N33" s="206" t="s">
        <v>784</v>
      </c>
      <c r="O33" s="206" t="s">
        <v>526</v>
      </c>
      <c r="P33" s="210">
        <f ca="1">IF($B33="N/A", "N/A", VLOOKUP($B33, INDIRECT(Config!$B$1), HLOOKUP(P$1, INDIRECT(Config!$E$1), 2, FALSE),FALSE))</f>
        <v>0</v>
      </c>
      <c r="Q33" s="210">
        <f ca="1">IF($B33="N/A", "N/A", VLOOKUP($B33, INDIRECT(Config!$B$1), HLOOKUP(Q$1, INDIRECT(Config!$E$1), 2, FALSE),FALSE))</f>
        <v>0</v>
      </c>
      <c r="R33" s="210">
        <f ca="1">IF($B33="N/A", "N/A", VLOOKUP($B33, INDIRECT(Config!$B$1), HLOOKUP(R$1, INDIRECT(Config!$E$1), 2, FALSE),FALSE))</f>
        <v>0</v>
      </c>
    </row>
    <row r="34" spans="1:18" ht="14.55" customHeight="1" x14ac:dyDescent="0.3">
      <c r="A34" s="482"/>
      <c r="B34" s="16" t="s">
        <v>125</v>
      </c>
      <c r="C34" s="206">
        <v>30</v>
      </c>
      <c r="D34" s="206">
        <v>1</v>
      </c>
      <c r="E34" s="207" t="s">
        <v>137</v>
      </c>
      <c r="F34" s="206" t="s">
        <v>136</v>
      </c>
      <c r="G34" s="207" t="s">
        <v>137</v>
      </c>
      <c r="H34" s="209" t="s">
        <v>921</v>
      </c>
      <c r="I34" s="209">
        <v>1</v>
      </c>
      <c r="J34" s="214" t="s">
        <v>1011</v>
      </c>
      <c r="K34" s="214">
        <v>0</v>
      </c>
      <c r="L34" s="216" t="s">
        <v>1109</v>
      </c>
      <c r="M34" s="206" t="s">
        <v>128</v>
      </c>
      <c r="N34" s="206" t="s">
        <v>785</v>
      </c>
      <c r="O34" s="206" t="s">
        <v>522</v>
      </c>
      <c r="P34" s="210">
        <f ca="1">IF($B34="N/A", "N/A", VLOOKUP($B34, INDIRECT(Config!$B$1), HLOOKUP(P$1, INDIRECT(Config!$E$1), 2, FALSE),FALSE))</f>
        <v>1</v>
      </c>
      <c r="Q34" s="210">
        <f ca="1">IF($B34="N/A", "N/A", VLOOKUP($B34, INDIRECT(Config!$B$1), HLOOKUP(Q$1, INDIRECT(Config!$E$1), 2, FALSE),FALSE))</f>
        <v>0</v>
      </c>
      <c r="R34" s="210">
        <f ca="1">IF($B34="N/A", "N/A", VLOOKUP($B34, INDIRECT(Config!$B$1), HLOOKUP(R$1, INDIRECT(Config!$E$1), 2, FALSE),FALSE))</f>
        <v>0</v>
      </c>
    </row>
    <row r="35" spans="1:18" ht="14.55" customHeight="1" x14ac:dyDescent="0.3">
      <c r="A35" s="482"/>
      <c r="B35" s="4" t="s">
        <v>613</v>
      </c>
      <c r="C35" s="206">
        <v>31</v>
      </c>
      <c r="D35" s="206">
        <v>1</v>
      </c>
      <c r="E35" s="207" t="s">
        <v>138</v>
      </c>
      <c r="F35" s="207" t="s">
        <v>138</v>
      </c>
      <c r="G35" s="208" t="s">
        <v>139</v>
      </c>
      <c r="H35" s="214" t="s">
        <v>922</v>
      </c>
      <c r="I35" s="214">
        <v>0</v>
      </c>
      <c r="J35" s="209" t="s">
        <v>1012</v>
      </c>
      <c r="K35" s="209">
        <v>0</v>
      </c>
      <c r="L35" s="216" t="s">
        <v>668</v>
      </c>
      <c r="M35" s="206" t="s">
        <v>140</v>
      </c>
      <c r="N35" s="206" t="s">
        <v>697</v>
      </c>
      <c r="O35" s="206" t="s">
        <v>744</v>
      </c>
      <c r="P35" s="211">
        <f>IF($B35="N/A", "N/A", 1)</f>
        <v>1</v>
      </c>
      <c r="Q35" s="211">
        <f>IF($B35="N/A", "N/A", 1)</f>
        <v>1</v>
      </c>
      <c r="R35" s="211">
        <f>IF($B35="N/A", "N/A", 1)</f>
        <v>1</v>
      </c>
    </row>
    <row r="36" spans="1:18" ht="14.55" customHeight="1" x14ac:dyDescent="0.3">
      <c r="A36" s="438" t="s">
        <v>141</v>
      </c>
      <c r="B36" s="16" t="s">
        <v>640</v>
      </c>
      <c r="C36" s="206">
        <v>0</v>
      </c>
      <c r="D36" s="206">
        <v>1</v>
      </c>
      <c r="E36" s="207" t="s">
        <v>143</v>
      </c>
      <c r="F36" s="207" t="s">
        <v>142</v>
      </c>
      <c r="G36" s="207" t="s">
        <v>143</v>
      </c>
      <c r="H36" s="214" t="s">
        <v>923</v>
      </c>
      <c r="I36" s="214">
        <v>0</v>
      </c>
      <c r="J36" s="214" t="s">
        <v>1013</v>
      </c>
      <c r="K36" s="214">
        <v>0</v>
      </c>
      <c r="L36" s="210"/>
      <c r="M36" s="206" t="s">
        <v>87</v>
      </c>
      <c r="N36" s="206" t="s">
        <v>698</v>
      </c>
      <c r="O36" s="206" t="s">
        <v>522</v>
      </c>
      <c r="P36" s="210">
        <f ca="1">IF($B36="N/A", "N/A", VLOOKUP($B36, INDIRECT(Config!$B$1), HLOOKUP(P$1, INDIRECT(Config!$E$1), 2, FALSE),FALSE))</f>
        <v>0</v>
      </c>
      <c r="Q36" s="210">
        <f ca="1">IF($B36="N/A", "N/A", VLOOKUP($B36, INDIRECT(Config!$B$1), HLOOKUP(Q$1, INDIRECT(Config!$E$1), 2, FALSE),FALSE))</f>
        <v>0</v>
      </c>
      <c r="R36" s="210">
        <f ca="1">IF($B36="N/A", "N/A", VLOOKUP($B36, INDIRECT(Config!$B$1), HLOOKUP(R$1, INDIRECT(Config!$E$1), 2, FALSE),FALSE))</f>
        <v>0</v>
      </c>
    </row>
    <row r="37" spans="1:18" ht="14.55" customHeight="1" x14ac:dyDescent="0.3">
      <c r="A37" s="438"/>
      <c r="B37" s="16" t="s">
        <v>144</v>
      </c>
      <c r="C37" s="206">
        <v>1</v>
      </c>
      <c r="D37" s="206">
        <v>1</v>
      </c>
      <c r="E37" s="207" t="s">
        <v>146</v>
      </c>
      <c r="F37" s="207" t="s">
        <v>145</v>
      </c>
      <c r="G37" s="207" t="s">
        <v>146</v>
      </c>
      <c r="H37" s="214" t="s">
        <v>924</v>
      </c>
      <c r="I37" s="214">
        <v>0</v>
      </c>
      <c r="J37" s="214" t="s">
        <v>1014</v>
      </c>
      <c r="K37" s="214">
        <v>0</v>
      </c>
      <c r="L37" s="210"/>
      <c r="M37" s="206" t="s">
        <v>87</v>
      </c>
      <c r="N37" s="206" t="s">
        <v>699</v>
      </c>
      <c r="O37" s="206" t="s">
        <v>443</v>
      </c>
      <c r="P37" s="210">
        <f ca="1">IF($B37="N/A", "N/A", VLOOKUP($B37, INDIRECT(Config!$B$1), HLOOKUP(P$1, INDIRECT(Config!$E$1), 2, FALSE),FALSE))</f>
        <v>1</v>
      </c>
      <c r="Q37" s="210">
        <f ca="1">IF($B37="N/A", "N/A", VLOOKUP($B37, INDIRECT(Config!$B$1), HLOOKUP(Q$1, INDIRECT(Config!$E$1), 2, FALSE),FALSE))</f>
        <v>0</v>
      </c>
      <c r="R37" s="210">
        <f ca="1">IF($B37="N/A", "N/A", VLOOKUP($B37, INDIRECT(Config!$B$1), HLOOKUP(R$1, INDIRECT(Config!$E$1), 2, FALSE),FALSE))</f>
        <v>0</v>
      </c>
    </row>
    <row r="38" spans="1:18" ht="14.55" customHeight="1" x14ac:dyDescent="0.3">
      <c r="A38" s="438"/>
      <c r="B38" s="16" t="s">
        <v>147</v>
      </c>
      <c r="C38" s="206">
        <v>2</v>
      </c>
      <c r="D38" s="206">
        <v>1</v>
      </c>
      <c r="E38" s="207" t="s">
        <v>149</v>
      </c>
      <c r="F38" s="207" t="s">
        <v>148</v>
      </c>
      <c r="G38" s="207" t="s">
        <v>149</v>
      </c>
      <c r="H38" s="214" t="s">
        <v>925</v>
      </c>
      <c r="I38" s="214">
        <v>1</v>
      </c>
      <c r="J38" s="214" t="s">
        <v>1015</v>
      </c>
      <c r="K38" s="214">
        <v>0</v>
      </c>
      <c r="L38" s="210"/>
      <c r="M38" s="206" t="s">
        <v>87</v>
      </c>
      <c r="N38" s="206" t="s">
        <v>700</v>
      </c>
      <c r="O38" s="206" t="s">
        <v>444</v>
      </c>
      <c r="P38" s="210">
        <f ca="1">IF($B38="N/A", "N/A", VLOOKUP($B38, INDIRECT(Config!$B$1), HLOOKUP(P$1, INDIRECT(Config!$E$1), 2, FALSE),FALSE))</f>
        <v>1</v>
      </c>
      <c r="Q38" s="210">
        <f ca="1">IF($B38="N/A", "N/A", VLOOKUP($B38, INDIRECT(Config!$B$1), HLOOKUP(Q$1, INDIRECT(Config!$E$1), 2, FALSE),FALSE))</f>
        <v>0</v>
      </c>
      <c r="R38" s="210">
        <f ca="1">IF($B38="N/A", "N/A", VLOOKUP($B38, INDIRECT(Config!$B$1), HLOOKUP(R$1, INDIRECT(Config!$E$1), 2, FALSE),FALSE))</f>
        <v>0</v>
      </c>
    </row>
    <row r="39" spans="1:18" ht="14.55" customHeight="1" x14ac:dyDescent="0.3">
      <c r="A39" s="438"/>
      <c r="B39" s="4" t="s">
        <v>613</v>
      </c>
      <c r="C39" s="206">
        <v>3</v>
      </c>
      <c r="D39" s="206">
        <v>1</v>
      </c>
      <c r="E39" s="249" t="s">
        <v>150</v>
      </c>
      <c r="F39" s="207" t="s">
        <v>150</v>
      </c>
      <c r="G39" s="208" t="s">
        <v>151</v>
      </c>
      <c r="H39" s="214" t="s">
        <v>926</v>
      </c>
      <c r="I39" s="214">
        <v>0</v>
      </c>
      <c r="J39" s="209" t="s">
        <v>1016</v>
      </c>
      <c r="K39" s="209">
        <v>1</v>
      </c>
      <c r="L39" s="210"/>
      <c r="M39" s="206" t="s">
        <v>152</v>
      </c>
      <c r="N39" s="217" t="s">
        <v>1129</v>
      </c>
      <c r="O39" s="206" t="s">
        <v>521</v>
      </c>
      <c r="P39" s="211">
        <f>IF($B39="N/A", "N/A", 1)</f>
        <v>1</v>
      </c>
      <c r="Q39" s="211">
        <f>IF($B39="N/A", "N/A", 1)</f>
        <v>1</v>
      </c>
      <c r="R39" s="211">
        <f>IF($B39="N/A", "N/A", 1)</f>
        <v>1</v>
      </c>
    </row>
    <row r="40" spans="1:18" ht="14.55" customHeight="1" x14ac:dyDescent="0.3">
      <c r="A40" s="438"/>
      <c r="B40" s="16" t="s">
        <v>643</v>
      </c>
      <c r="C40" s="206">
        <v>4</v>
      </c>
      <c r="D40" s="206">
        <v>1</v>
      </c>
      <c r="E40" s="207" t="s">
        <v>154</v>
      </c>
      <c r="F40" s="207" t="s">
        <v>153</v>
      </c>
      <c r="G40" s="207" t="s">
        <v>154</v>
      </c>
      <c r="H40" s="214" t="s">
        <v>927</v>
      </c>
      <c r="I40" s="214">
        <v>1</v>
      </c>
      <c r="J40" s="214" t="s">
        <v>1017</v>
      </c>
      <c r="K40" s="214">
        <v>1</v>
      </c>
      <c r="L40" s="210"/>
      <c r="M40" s="206" t="s">
        <v>87</v>
      </c>
      <c r="N40" s="206" t="s">
        <v>701</v>
      </c>
      <c r="O40" s="206" t="s">
        <v>745</v>
      </c>
      <c r="P40" s="210">
        <f ca="1">IF($B40="N/A", "N/A", VLOOKUP($B40, INDIRECT(Config!$B$1), HLOOKUP(P$1, INDIRECT(Config!$E$1), 2, FALSE),FALSE))</f>
        <v>1</v>
      </c>
      <c r="Q40" s="210">
        <f ca="1">IF($B40="N/A", "N/A", VLOOKUP($B40, INDIRECT(Config!$B$1), HLOOKUP(Q$1, INDIRECT(Config!$E$1), 2, FALSE),FALSE))</f>
        <v>0</v>
      </c>
      <c r="R40" s="210">
        <f ca="1">IF($B40="N/A", "N/A", VLOOKUP($B40, INDIRECT(Config!$B$1), HLOOKUP(R$1, INDIRECT(Config!$E$1), 2, FALSE),FALSE))</f>
        <v>0</v>
      </c>
    </row>
    <row r="41" spans="1:18" ht="14.55" customHeight="1" x14ac:dyDescent="0.3">
      <c r="A41" s="438"/>
      <c r="B41" s="2" t="s">
        <v>636</v>
      </c>
      <c r="C41" s="208">
        <v>5</v>
      </c>
      <c r="D41" s="208">
        <v>1</v>
      </c>
      <c r="E41" s="207" t="s">
        <v>156</v>
      </c>
      <c r="F41" s="208" t="s">
        <v>155</v>
      </c>
      <c r="G41" s="207" t="s">
        <v>156</v>
      </c>
      <c r="H41" s="209" t="s">
        <v>928</v>
      </c>
      <c r="I41" s="209">
        <v>1</v>
      </c>
      <c r="J41" s="209" t="s">
        <v>1018</v>
      </c>
      <c r="K41" s="209">
        <v>0</v>
      </c>
      <c r="L41" s="210"/>
      <c r="M41" s="206" t="s">
        <v>87</v>
      </c>
      <c r="N41" s="206" t="s">
        <v>786</v>
      </c>
      <c r="O41" s="206" t="s">
        <v>521</v>
      </c>
      <c r="P41" s="210">
        <f ca="1">IF($B41="N/A", "N/A", VLOOKUP($B41, INDIRECT(Config!$B$1), HLOOKUP(P$1, INDIRECT(Config!$E$1), 2, FALSE),FALSE))</f>
        <v>0</v>
      </c>
      <c r="Q41" s="210">
        <f ca="1">IF($B41="N/A", "N/A", VLOOKUP($B41, INDIRECT(Config!$B$1), HLOOKUP(Q$1, INDIRECT(Config!$E$1), 2, FALSE),FALSE))</f>
        <v>0</v>
      </c>
      <c r="R41" s="210">
        <f ca="1">IF($B41="N/A", "N/A", VLOOKUP($B41, INDIRECT(Config!$B$1), HLOOKUP(R$1, INDIRECT(Config!$E$1), 2, FALSE),FALSE))</f>
        <v>0</v>
      </c>
    </row>
    <row r="42" spans="1:18" ht="14.55" customHeight="1" x14ac:dyDescent="0.3">
      <c r="A42" s="438"/>
      <c r="B42" s="4" t="s">
        <v>613</v>
      </c>
      <c r="C42" s="206">
        <v>6</v>
      </c>
      <c r="D42" s="206">
        <v>1</v>
      </c>
      <c r="E42" s="207" t="s">
        <v>157</v>
      </c>
      <c r="F42" s="207" t="s">
        <v>157</v>
      </c>
      <c r="G42" s="208" t="s">
        <v>158</v>
      </c>
      <c r="H42" s="209" t="s">
        <v>929</v>
      </c>
      <c r="I42" s="209">
        <v>0</v>
      </c>
      <c r="J42" s="209" t="s">
        <v>1019</v>
      </c>
      <c r="K42" s="209">
        <v>0</v>
      </c>
      <c r="L42" s="210"/>
      <c r="M42" s="206" t="s">
        <v>87</v>
      </c>
      <c r="N42" s="206" t="s">
        <v>702</v>
      </c>
      <c r="O42" s="206" t="s">
        <v>746</v>
      </c>
      <c r="P42" s="211">
        <f>IF($B42="N/A", "N/A", 1)</f>
        <v>1</v>
      </c>
      <c r="Q42" s="211">
        <f>IF($B42="N/A", "N/A", 1)</f>
        <v>1</v>
      </c>
      <c r="R42" s="211">
        <f>IF($B42="N/A", "N/A", 1)</f>
        <v>1</v>
      </c>
    </row>
    <row r="43" spans="1:18" ht="14.55" customHeight="1" x14ac:dyDescent="0.3">
      <c r="A43" s="438"/>
      <c r="B43" s="16" t="s">
        <v>645</v>
      </c>
      <c r="C43" s="206">
        <v>7</v>
      </c>
      <c r="D43" s="206">
        <v>1</v>
      </c>
      <c r="E43" s="207" t="s">
        <v>159</v>
      </c>
      <c r="F43" s="207" t="s">
        <v>159</v>
      </c>
      <c r="G43" s="207" t="s">
        <v>160</v>
      </c>
      <c r="H43" s="214" t="s">
        <v>930</v>
      </c>
      <c r="I43" s="214">
        <v>0</v>
      </c>
      <c r="J43" s="214" t="s">
        <v>1020</v>
      </c>
      <c r="K43" s="214">
        <v>1</v>
      </c>
      <c r="L43" s="210"/>
      <c r="M43" s="206" t="s">
        <v>87</v>
      </c>
      <c r="N43" s="206" t="s">
        <v>703</v>
      </c>
      <c r="O43" s="206" t="s">
        <v>747</v>
      </c>
      <c r="P43" s="210">
        <f ca="1">IF($B43="N/A", "N/A", VLOOKUP($B43, INDIRECT(Config!$B$1), HLOOKUP(P$1, INDIRECT(Config!$E$1), 2, FALSE),FALSE))</f>
        <v>1</v>
      </c>
      <c r="Q43" s="210">
        <f ca="1">IF($B43="N/A", "N/A", VLOOKUP($B43, INDIRECT(Config!$B$1), HLOOKUP(Q$1, INDIRECT(Config!$E$1), 2, FALSE),FALSE))</f>
        <v>0</v>
      </c>
      <c r="R43" s="210">
        <f ca="1">IF($B43="N/A", "N/A", VLOOKUP($B43, INDIRECT(Config!$B$1), HLOOKUP(R$1, INDIRECT(Config!$E$1), 2, FALSE),FALSE))</f>
        <v>1</v>
      </c>
    </row>
    <row r="44" spans="1:18" ht="14.55" customHeight="1" x14ac:dyDescent="0.3">
      <c r="A44" s="438"/>
      <c r="B44" s="2" t="s">
        <v>641</v>
      </c>
      <c r="C44" s="208">
        <v>8</v>
      </c>
      <c r="D44" s="208">
        <v>1</v>
      </c>
      <c r="E44" s="207" t="s">
        <v>162</v>
      </c>
      <c r="F44" s="208" t="s">
        <v>161</v>
      </c>
      <c r="G44" s="207" t="s">
        <v>162</v>
      </c>
      <c r="H44" s="209" t="s">
        <v>931</v>
      </c>
      <c r="I44" s="209">
        <v>0</v>
      </c>
      <c r="J44" s="209" t="s">
        <v>1021</v>
      </c>
      <c r="K44" s="209">
        <v>0</v>
      </c>
      <c r="L44" s="210"/>
      <c r="M44" s="206" t="s">
        <v>87</v>
      </c>
      <c r="N44" s="206" t="s">
        <v>704</v>
      </c>
      <c r="O44" s="206" t="s">
        <v>521</v>
      </c>
      <c r="P44" s="210">
        <f ca="1">IF($B44="N/A", "N/A", VLOOKUP($B44, INDIRECT(Config!$B$1), HLOOKUP(P$1, INDIRECT(Config!$E$1), 2, FALSE),FALSE))</f>
        <v>1</v>
      </c>
      <c r="Q44" s="210">
        <f ca="1">IF($B44="N/A", "N/A", VLOOKUP($B44, INDIRECT(Config!$B$1), HLOOKUP(Q$1, INDIRECT(Config!$E$1), 2, FALSE),FALSE))</f>
        <v>0</v>
      </c>
      <c r="R44" s="210">
        <f ca="1">IF($B44="N/A", "N/A", VLOOKUP($B44, INDIRECT(Config!$B$1), HLOOKUP(R$1, INDIRECT(Config!$E$1), 2, FALSE),FALSE))</f>
        <v>0</v>
      </c>
    </row>
    <row r="45" spans="1:18" ht="14.55" customHeight="1" x14ac:dyDescent="0.3">
      <c r="A45" s="438"/>
      <c r="B45" s="4" t="s">
        <v>613</v>
      </c>
      <c r="C45" s="206">
        <v>9</v>
      </c>
      <c r="D45" s="206">
        <v>3</v>
      </c>
      <c r="E45" s="207" t="s">
        <v>163</v>
      </c>
      <c r="F45" s="207" t="s">
        <v>163</v>
      </c>
      <c r="G45" s="208" t="s">
        <v>164</v>
      </c>
      <c r="H45" s="209" t="s">
        <v>966</v>
      </c>
      <c r="I45" s="209">
        <v>4</v>
      </c>
      <c r="J45" s="209" t="s">
        <v>1022</v>
      </c>
      <c r="K45" s="209">
        <v>0</v>
      </c>
      <c r="L45" s="210"/>
      <c r="M45" s="206" t="s">
        <v>128</v>
      </c>
      <c r="N45" s="206" t="s">
        <v>705</v>
      </c>
      <c r="O45" s="206" t="s">
        <v>748</v>
      </c>
      <c r="P45" s="211">
        <f>IF($B45="N/A", "N/A", 1)</f>
        <v>1</v>
      </c>
      <c r="Q45" s="211">
        <f>IF($B45="N/A", "N/A", 1)</f>
        <v>1</v>
      </c>
      <c r="R45" s="211">
        <f>IF($B45="N/A", "N/A", 1)</f>
        <v>1</v>
      </c>
    </row>
    <row r="46" spans="1:18" ht="14.55" customHeight="1" x14ac:dyDescent="0.3">
      <c r="A46" s="438"/>
      <c r="B46" s="2" t="s">
        <v>642</v>
      </c>
      <c r="C46" s="208">
        <v>12</v>
      </c>
      <c r="D46" s="208">
        <v>1</v>
      </c>
      <c r="E46" s="207" t="s">
        <v>166</v>
      </c>
      <c r="F46" s="208" t="s">
        <v>165</v>
      </c>
      <c r="G46" s="207" t="s">
        <v>166</v>
      </c>
      <c r="H46" s="214" t="s">
        <v>932</v>
      </c>
      <c r="I46" s="214">
        <v>0</v>
      </c>
      <c r="J46" s="214" t="s">
        <v>1023</v>
      </c>
      <c r="K46" s="214">
        <v>0</v>
      </c>
      <c r="L46" s="210"/>
      <c r="M46" s="206" t="s">
        <v>87</v>
      </c>
      <c r="N46" s="206" t="s">
        <v>706</v>
      </c>
      <c r="O46" s="206" t="s">
        <v>522</v>
      </c>
      <c r="P46" s="210">
        <f ca="1">IF($B46="N/A", "N/A", VLOOKUP($B46, INDIRECT(Config!$B$1), HLOOKUP(P$1, INDIRECT(Config!$E$1), 2, FALSE),FALSE))</f>
        <v>0</v>
      </c>
      <c r="Q46" s="210">
        <f ca="1">IF($B46="N/A", "N/A", VLOOKUP($B46, INDIRECT(Config!$B$1), HLOOKUP(Q$1, INDIRECT(Config!$E$1), 2, FALSE),FALSE))</f>
        <v>0</v>
      </c>
      <c r="R46" s="210">
        <f ca="1">IF($B46="N/A", "N/A", VLOOKUP($B46, INDIRECT(Config!$B$1), HLOOKUP(R$1, INDIRECT(Config!$E$1), 2, FALSE),FALSE))</f>
        <v>0</v>
      </c>
    </row>
    <row r="47" spans="1:18" ht="14.55" customHeight="1" x14ac:dyDescent="0.3">
      <c r="A47" s="438"/>
      <c r="B47" s="16" t="s">
        <v>651</v>
      </c>
      <c r="C47" s="206">
        <v>13</v>
      </c>
      <c r="D47" s="206">
        <v>1</v>
      </c>
      <c r="E47" s="207" t="s">
        <v>167</v>
      </c>
      <c r="F47" s="207" t="s">
        <v>167</v>
      </c>
      <c r="G47" s="207" t="s">
        <v>168</v>
      </c>
      <c r="H47" s="214" t="s">
        <v>933</v>
      </c>
      <c r="I47" s="214">
        <v>0</v>
      </c>
      <c r="J47" s="214" t="s">
        <v>1024</v>
      </c>
      <c r="K47" s="214">
        <v>1</v>
      </c>
      <c r="L47" s="210"/>
      <c r="M47" s="206" t="s">
        <v>128</v>
      </c>
      <c r="N47" s="206" t="s">
        <v>707</v>
      </c>
      <c r="O47" s="206" t="s">
        <v>522</v>
      </c>
      <c r="P47" s="210">
        <f ca="1">IF($B47="N/A", "N/A", VLOOKUP($B47, INDIRECT(Config!$B$1), HLOOKUP(P$1, INDIRECT(Config!$E$1), 2, FALSE),FALSE))</f>
        <v>1</v>
      </c>
      <c r="Q47" s="210">
        <f ca="1">IF($B47="N/A", "N/A", VLOOKUP($B47, INDIRECT(Config!$B$1), HLOOKUP(Q$1, INDIRECT(Config!$E$1), 2, FALSE),FALSE))</f>
        <v>0</v>
      </c>
      <c r="R47" s="210">
        <f ca="1">IF($B47="N/A", "N/A", VLOOKUP($B47, INDIRECT(Config!$B$1), HLOOKUP(R$1, INDIRECT(Config!$E$1), 2, FALSE),FALSE))</f>
        <v>1</v>
      </c>
    </row>
    <row r="48" spans="1:18" ht="14.55" customHeight="1" x14ac:dyDescent="0.3">
      <c r="A48" s="438"/>
      <c r="B48" s="2" t="s">
        <v>639</v>
      </c>
      <c r="C48" s="208">
        <v>14</v>
      </c>
      <c r="D48" s="208">
        <v>1</v>
      </c>
      <c r="E48" s="207" t="s">
        <v>170</v>
      </c>
      <c r="F48" s="208" t="s">
        <v>169</v>
      </c>
      <c r="G48" s="207" t="s">
        <v>170</v>
      </c>
      <c r="H48" s="214" t="s">
        <v>934</v>
      </c>
      <c r="I48" s="214">
        <v>1</v>
      </c>
      <c r="J48" s="214" t="s">
        <v>1025</v>
      </c>
      <c r="K48" s="214">
        <v>0</v>
      </c>
      <c r="L48" s="210"/>
      <c r="M48" s="206" t="s">
        <v>87</v>
      </c>
      <c r="N48" s="206" t="s">
        <v>708</v>
      </c>
      <c r="O48" s="206" t="s">
        <v>522</v>
      </c>
      <c r="P48" s="210">
        <f ca="1">IF($B48="N/A", "N/A", VLOOKUP($B48, INDIRECT(Config!$B$1), HLOOKUP(P$1, INDIRECT(Config!$E$1), 2, FALSE),FALSE))</f>
        <v>0</v>
      </c>
      <c r="Q48" s="210">
        <f ca="1">IF($B48="N/A", "N/A", VLOOKUP($B48, INDIRECT(Config!$B$1), HLOOKUP(Q$1, INDIRECT(Config!$E$1), 2, FALSE),FALSE))</f>
        <v>0</v>
      </c>
      <c r="R48" s="210">
        <f ca="1">IF($B48="N/A", "N/A", VLOOKUP($B48, INDIRECT(Config!$B$1), HLOOKUP(R$1, INDIRECT(Config!$E$1), 2, FALSE),FALSE))</f>
        <v>0</v>
      </c>
    </row>
    <row r="49" spans="1:18" ht="14.55" customHeight="1" x14ac:dyDescent="0.3">
      <c r="A49" s="438"/>
      <c r="B49" s="16" t="s">
        <v>637</v>
      </c>
      <c r="C49" s="206">
        <v>15</v>
      </c>
      <c r="D49" s="206">
        <v>1</v>
      </c>
      <c r="E49" s="207" t="s">
        <v>673</v>
      </c>
      <c r="F49" s="207" t="s">
        <v>673</v>
      </c>
      <c r="G49" s="207" t="s">
        <v>171</v>
      </c>
      <c r="H49" s="214" t="s">
        <v>935</v>
      </c>
      <c r="I49" s="214">
        <v>0</v>
      </c>
      <c r="J49" s="214" t="s">
        <v>1026</v>
      </c>
      <c r="K49" s="214">
        <v>1</v>
      </c>
      <c r="L49" s="210"/>
      <c r="M49" s="206" t="s">
        <v>128</v>
      </c>
      <c r="N49" s="206" t="s">
        <v>709</v>
      </c>
      <c r="O49" s="206" t="s">
        <v>522</v>
      </c>
      <c r="P49" s="210">
        <f ca="1">IF($B49="N/A", "N/A", VLOOKUP($B49, INDIRECT(Config!$B$1), HLOOKUP(P$1, INDIRECT(Config!$E$1), 2, FALSE),FALSE))</f>
        <v>1</v>
      </c>
      <c r="Q49" s="210">
        <f ca="1">IF($B49="N/A", "N/A", VLOOKUP($B49, INDIRECT(Config!$B$1), HLOOKUP(Q$1, INDIRECT(Config!$E$1), 2, FALSE),FALSE))</f>
        <v>0</v>
      </c>
      <c r="R49" s="210">
        <f ca="1">IF($B49="N/A", "N/A", VLOOKUP($B49, INDIRECT(Config!$B$1), HLOOKUP(R$1, INDIRECT(Config!$E$1), 2, FALSE),FALSE))</f>
        <v>1</v>
      </c>
    </row>
    <row r="50" spans="1:18" ht="14.55" customHeight="1" x14ac:dyDescent="0.3">
      <c r="A50" s="438"/>
      <c r="B50" s="16" t="s">
        <v>172</v>
      </c>
      <c r="C50" s="206">
        <v>16</v>
      </c>
      <c r="D50" s="206">
        <v>1</v>
      </c>
      <c r="E50" s="207" t="s">
        <v>174</v>
      </c>
      <c r="F50" s="207" t="s">
        <v>173</v>
      </c>
      <c r="G50" s="207" t="s">
        <v>174</v>
      </c>
      <c r="H50" s="214" t="s">
        <v>936</v>
      </c>
      <c r="I50" s="214">
        <v>1</v>
      </c>
      <c r="J50" s="214" t="s">
        <v>1027</v>
      </c>
      <c r="K50" s="214">
        <v>1</v>
      </c>
      <c r="L50" s="210"/>
      <c r="M50" s="206" t="s">
        <v>175</v>
      </c>
      <c r="N50" s="206" t="s">
        <v>710</v>
      </c>
      <c r="O50" s="206" t="s">
        <v>445</v>
      </c>
      <c r="P50" s="210">
        <f ca="1">IF($B50="N/A", "N/A", VLOOKUP($B50, INDIRECT(Config!$B$1), HLOOKUP(P$1, INDIRECT(Config!$E$1), 2, FALSE),FALSE))</f>
        <v>1</v>
      </c>
      <c r="Q50" s="210">
        <f ca="1">IF($B50="N/A", "N/A", VLOOKUP($B50, INDIRECT(Config!$B$1), HLOOKUP(Q$1, INDIRECT(Config!$E$1), 2, FALSE),FALSE))</f>
        <v>0</v>
      </c>
      <c r="R50" s="210">
        <f ca="1">IF($B50="N/A", "N/A", VLOOKUP($B50, INDIRECT(Config!$B$1), HLOOKUP(R$1, INDIRECT(Config!$E$1), 2, FALSE),FALSE))</f>
        <v>0</v>
      </c>
    </row>
    <row r="51" spans="1:18" ht="14.55" customHeight="1" x14ac:dyDescent="0.3">
      <c r="A51" s="438"/>
      <c r="B51" s="16" t="s">
        <v>172</v>
      </c>
      <c r="C51" s="206">
        <v>17</v>
      </c>
      <c r="D51" s="206">
        <v>1</v>
      </c>
      <c r="E51" s="207" t="s">
        <v>177</v>
      </c>
      <c r="F51" s="207" t="s">
        <v>176</v>
      </c>
      <c r="G51" s="207" t="s">
        <v>177</v>
      </c>
      <c r="H51" s="214" t="s">
        <v>937</v>
      </c>
      <c r="I51" s="214">
        <v>0</v>
      </c>
      <c r="J51" s="214" t="s">
        <v>1028</v>
      </c>
      <c r="K51" s="214">
        <v>0</v>
      </c>
      <c r="L51" s="210"/>
      <c r="M51" s="206" t="s">
        <v>175</v>
      </c>
      <c r="N51" s="206" t="s">
        <v>711</v>
      </c>
      <c r="O51" s="206" t="s">
        <v>446</v>
      </c>
      <c r="P51" s="210">
        <f ca="1">IF($B51="N/A", "N/A", VLOOKUP($B51, INDIRECT(Config!$B$1), HLOOKUP(P$1, INDIRECT(Config!$E$1), 2, FALSE),FALSE))</f>
        <v>1</v>
      </c>
      <c r="Q51" s="210">
        <f ca="1">IF($B51="N/A", "N/A", VLOOKUP($B51, INDIRECT(Config!$B$1), HLOOKUP(Q$1, INDIRECT(Config!$E$1), 2, FALSE),FALSE))</f>
        <v>0</v>
      </c>
      <c r="R51" s="210">
        <f ca="1">IF($B51="N/A", "N/A", VLOOKUP($B51, INDIRECT(Config!$B$1), HLOOKUP(R$1, INDIRECT(Config!$E$1), 2, FALSE),FALSE))</f>
        <v>0</v>
      </c>
    </row>
    <row r="52" spans="1:18" ht="14.55" customHeight="1" x14ac:dyDescent="0.3">
      <c r="A52" s="438"/>
      <c r="B52" s="16" t="s">
        <v>172</v>
      </c>
      <c r="C52" s="206">
        <v>18</v>
      </c>
      <c r="D52" s="206">
        <v>1</v>
      </c>
      <c r="E52" s="207" t="s">
        <v>179</v>
      </c>
      <c r="F52" s="207" t="s">
        <v>178</v>
      </c>
      <c r="G52" s="207" t="s">
        <v>179</v>
      </c>
      <c r="H52" s="214" t="s">
        <v>938</v>
      </c>
      <c r="I52" s="214">
        <v>0</v>
      </c>
      <c r="J52" s="214" t="s">
        <v>1029</v>
      </c>
      <c r="K52" s="214">
        <v>0</v>
      </c>
      <c r="L52" s="210"/>
      <c r="M52" s="206" t="s">
        <v>175</v>
      </c>
      <c r="N52" s="206" t="s">
        <v>712</v>
      </c>
      <c r="O52" s="206" t="s">
        <v>447</v>
      </c>
      <c r="P52" s="210">
        <f ca="1">IF($B52="N/A", "N/A", VLOOKUP($B52, INDIRECT(Config!$B$1), HLOOKUP(P$1, INDIRECT(Config!$E$1), 2, FALSE),FALSE))</f>
        <v>1</v>
      </c>
      <c r="Q52" s="210">
        <f ca="1">IF($B52="N/A", "N/A", VLOOKUP($B52, INDIRECT(Config!$B$1), HLOOKUP(Q$1, INDIRECT(Config!$E$1), 2, FALSE),FALSE))</f>
        <v>0</v>
      </c>
      <c r="R52" s="210">
        <f ca="1">IF($B52="N/A", "N/A", VLOOKUP($B52, INDIRECT(Config!$B$1), HLOOKUP(R$1, INDIRECT(Config!$E$1), 2, FALSE),FALSE))</f>
        <v>0</v>
      </c>
    </row>
    <row r="53" spans="1:18" ht="14.55" customHeight="1" x14ac:dyDescent="0.3">
      <c r="A53" s="438"/>
      <c r="B53" s="16" t="s">
        <v>638</v>
      </c>
      <c r="C53" s="206">
        <v>19</v>
      </c>
      <c r="D53" s="206">
        <v>1</v>
      </c>
      <c r="E53" s="207" t="s">
        <v>181</v>
      </c>
      <c r="F53" s="207" t="s">
        <v>180</v>
      </c>
      <c r="G53" s="207" t="s">
        <v>181</v>
      </c>
      <c r="H53" s="214" t="s">
        <v>939</v>
      </c>
      <c r="I53" s="214">
        <v>0</v>
      </c>
      <c r="J53" s="214" t="s">
        <v>1030</v>
      </c>
      <c r="K53" s="214">
        <v>1</v>
      </c>
      <c r="L53" s="210"/>
      <c r="M53" s="206" t="s">
        <v>87</v>
      </c>
      <c r="N53" s="206" t="s">
        <v>713</v>
      </c>
      <c r="O53" s="206" t="s">
        <v>523</v>
      </c>
      <c r="P53" s="210">
        <f ca="1">IF($B53="N/A", "N/A", VLOOKUP($B53, INDIRECT(Config!$B$1), HLOOKUP(P$1, INDIRECT(Config!$E$1), 2, FALSE),FALSE))</f>
        <v>1</v>
      </c>
      <c r="Q53" s="210">
        <f ca="1">IF($B53="N/A", "N/A", VLOOKUP($B53, INDIRECT(Config!$B$1), HLOOKUP(Q$1, INDIRECT(Config!$E$1), 2, FALSE),FALSE))</f>
        <v>0</v>
      </c>
      <c r="R53" s="210">
        <f ca="1">IF($B53="N/A", "N/A", VLOOKUP($B53, INDIRECT(Config!$B$1), HLOOKUP(R$1, INDIRECT(Config!$E$1), 2, FALSE),FALSE))</f>
        <v>0</v>
      </c>
    </row>
    <row r="54" spans="1:18" ht="14.55" customHeight="1" x14ac:dyDescent="0.3">
      <c r="A54" s="438"/>
      <c r="B54" s="16" t="s">
        <v>635</v>
      </c>
      <c r="C54" s="206">
        <v>20</v>
      </c>
      <c r="D54" s="206">
        <v>1</v>
      </c>
      <c r="E54" s="207" t="s">
        <v>183</v>
      </c>
      <c r="F54" s="207" t="s">
        <v>182</v>
      </c>
      <c r="G54" s="207" t="s">
        <v>183</v>
      </c>
      <c r="H54" s="214" t="s">
        <v>940</v>
      </c>
      <c r="I54" s="214">
        <v>0</v>
      </c>
      <c r="J54" s="214" t="s">
        <v>1031</v>
      </c>
      <c r="K54" s="214">
        <v>1</v>
      </c>
      <c r="L54" s="210"/>
      <c r="M54" s="206" t="s">
        <v>87</v>
      </c>
      <c r="N54" s="206" t="s">
        <v>714</v>
      </c>
      <c r="O54" s="206" t="s">
        <v>524</v>
      </c>
      <c r="P54" s="210">
        <f ca="1">IF($B54="N/A", "N/A", VLOOKUP($B54, INDIRECT(Config!$B$1), HLOOKUP(P$1, INDIRECT(Config!$E$1), 2, FALSE),FALSE))</f>
        <v>1</v>
      </c>
      <c r="Q54" s="210">
        <f ca="1">IF($B54="N/A", "N/A", VLOOKUP($B54, INDIRECT(Config!$B$1), HLOOKUP(Q$1, INDIRECT(Config!$E$1), 2, FALSE),FALSE))</f>
        <v>0</v>
      </c>
      <c r="R54" s="210">
        <f ca="1">IF($B54="N/A", "N/A", VLOOKUP($B54, INDIRECT(Config!$B$1), HLOOKUP(R$1, INDIRECT(Config!$E$1), 2, FALSE),FALSE))</f>
        <v>0</v>
      </c>
    </row>
    <row r="55" spans="1:18" ht="14.55" customHeight="1" x14ac:dyDescent="0.3">
      <c r="A55" s="438"/>
      <c r="B55" s="16" t="s">
        <v>644</v>
      </c>
      <c r="C55" s="206">
        <v>21</v>
      </c>
      <c r="D55" s="206">
        <v>1</v>
      </c>
      <c r="E55" s="207" t="s">
        <v>185</v>
      </c>
      <c r="F55" s="207" t="s">
        <v>184</v>
      </c>
      <c r="G55" s="207" t="s">
        <v>185</v>
      </c>
      <c r="H55" s="214" t="s">
        <v>941</v>
      </c>
      <c r="I55" s="214">
        <v>0</v>
      </c>
      <c r="J55" s="214" t="s">
        <v>1032</v>
      </c>
      <c r="K55" s="214">
        <v>1</v>
      </c>
      <c r="L55" s="210"/>
      <c r="M55" s="206" t="s">
        <v>87</v>
      </c>
      <c r="N55" s="206" t="s">
        <v>715</v>
      </c>
      <c r="O55" s="206" t="s">
        <v>448</v>
      </c>
      <c r="P55" s="210">
        <f ca="1">IF($B55="N/A", "N/A", VLOOKUP($B55, INDIRECT(Config!$B$1), HLOOKUP(P$1, INDIRECT(Config!$E$1), 2, FALSE),FALSE))</f>
        <v>1</v>
      </c>
      <c r="Q55" s="210">
        <f ca="1">IF($B55="N/A", "N/A", VLOOKUP($B55, INDIRECT(Config!$B$1), HLOOKUP(Q$1, INDIRECT(Config!$E$1), 2, FALSE),FALSE))</f>
        <v>0</v>
      </c>
      <c r="R55" s="210">
        <f ca="1">IF($B55="N/A", "N/A", VLOOKUP($B55, INDIRECT(Config!$B$1), HLOOKUP(R$1, INDIRECT(Config!$E$1), 2, FALSE),FALSE))</f>
        <v>0</v>
      </c>
    </row>
    <row r="56" spans="1:18" ht="14.55" customHeight="1" x14ac:dyDescent="0.3">
      <c r="A56" s="438"/>
      <c r="B56" s="16" t="s">
        <v>186</v>
      </c>
      <c r="C56" s="206">
        <v>22</v>
      </c>
      <c r="D56" s="206">
        <v>2</v>
      </c>
      <c r="E56" s="207" t="s">
        <v>188</v>
      </c>
      <c r="F56" s="207" t="s">
        <v>187</v>
      </c>
      <c r="G56" s="207" t="s">
        <v>188</v>
      </c>
      <c r="H56" s="209" t="s">
        <v>967</v>
      </c>
      <c r="I56" s="209">
        <v>2</v>
      </c>
      <c r="J56" s="209" t="s">
        <v>1033</v>
      </c>
      <c r="K56" s="209">
        <v>0</v>
      </c>
      <c r="L56" s="210"/>
      <c r="M56" s="206" t="s">
        <v>87</v>
      </c>
      <c r="N56" s="206" t="s">
        <v>716</v>
      </c>
      <c r="O56" s="206" t="s">
        <v>449</v>
      </c>
      <c r="P56" s="210">
        <f ca="1">IF($B56="N/A", "N/A", VLOOKUP($B56, INDIRECT(Config!$B$1), HLOOKUP(P$1, INDIRECT(Config!$E$1), 2, FALSE),FALSE))</f>
        <v>1</v>
      </c>
      <c r="Q56" s="210">
        <f ca="1">IF($B56="N/A", "N/A", VLOOKUP($B56, INDIRECT(Config!$B$1), HLOOKUP(Q$1, INDIRECT(Config!$E$1), 2, FALSE),FALSE))</f>
        <v>0</v>
      </c>
      <c r="R56" s="210">
        <f ca="1">IF($B56="N/A", "N/A", VLOOKUP($B56, INDIRECT(Config!$B$1), HLOOKUP(R$1, INDIRECT(Config!$E$1), 2, FALSE),FALSE))</f>
        <v>0</v>
      </c>
    </row>
    <row r="57" spans="1:18" ht="14.55" customHeight="1" x14ac:dyDescent="0.3">
      <c r="A57" s="438"/>
      <c r="B57" s="4" t="s">
        <v>613</v>
      </c>
      <c r="C57" s="206">
        <v>24</v>
      </c>
      <c r="D57" s="206">
        <v>8</v>
      </c>
      <c r="E57" s="207" t="s">
        <v>189</v>
      </c>
      <c r="F57" s="207" t="s">
        <v>189</v>
      </c>
      <c r="G57" s="208" t="s">
        <v>190</v>
      </c>
      <c r="H57" s="209" t="s">
        <v>1089</v>
      </c>
      <c r="I57" s="209">
        <v>0</v>
      </c>
      <c r="J57" s="209" t="s">
        <v>1088</v>
      </c>
      <c r="K57" s="209">
        <v>0</v>
      </c>
      <c r="L57" s="210" t="s">
        <v>17</v>
      </c>
      <c r="M57" s="206" t="s">
        <v>87</v>
      </c>
      <c r="N57" s="206" t="s">
        <v>717</v>
      </c>
      <c r="O57" s="206" t="s">
        <v>450</v>
      </c>
      <c r="P57" s="211">
        <f>IF($B57="N/A", "N/A", 1)</f>
        <v>1</v>
      </c>
      <c r="Q57" s="211">
        <f>IF($B57="N/A", "N/A", 1)</f>
        <v>1</v>
      </c>
      <c r="R57" s="211">
        <f>IF($B57="N/A", "N/A", 1)</f>
        <v>1</v>
      </c>
    </row>
    <row r="58" spans="1:18" ht="14.55" customHeight="1" x14ac:dyDescent="0.3">
      <c r="A58" s="438" t="s">
        <v>191</v>
      </c>
      <c r="B58" s="16" t="s">
        <v>394</v>
      </c>
      <c r="C58" s="206">
        <v>0</v>
      </c>
      <c r="D58" s="206">
        <v>15</v>
      </c>
      <c r="E58" s="207" t="s">
        <v>192</v>
      </c>
      <c r="F58" s="207" t="s">
        <v>192</v>
      </c>
      <c r="G58" s="208" t="s">
        <v>193</v>
      </c>
      <c r="H58" s="209" t="s">
        <v>968</v>
      </c>
      <c r="I58" s="209" t="s">
        <v>1145</v>
      </c>
      <c r="J58" s="209" t="s">
        <v>1034</v>
      </c>
      <c r="K58" s="209" t="s">
        <v>1145</v>
      </c>
      <c r="L58" s="216" t="s">
        <v>668</v>
      </c>
      <c r="M58" s="206" t="s">
        <v>87</v>
      </c>
      <c r="N58" s="206" t="s">
        <v>718</v>
      </c>
      <c r="O58" s="206" t="s">
        <v>451</v>
      </c>
      <c r="P58" s="210">
        <f ca="1">IF($B58="N/A", "N/A", VLOOKUP($B58, INDIRECT(Config!$B$1), HLOOKUP(P$1, INDIRECT(Config!$E$1), 2, FALSE),FALSE))</f>
        <v>13</v>
      </c>
      <c r="Q58" s="210">
        <f ca="1">IF($B58="N/A", "N/A", VLOOKUP($B58, INDIRECT(Config!$B$1), HLOOKUP(Q$1, INDIRECT(Config!$E$1), 2, FALSE),FALSE))</f>
        <v>4</v>
      </c>
      <c r="R58" s="210">
        <f ca="1">IF($B58="N/A", "N/A", VLOOKUP($B58, INDIRECT(Config!$B$1), HLOOKUP(R$1, INDIRECT(Config!$E$1), 2, FALSE),FALSE))</f>
        <v>5</v>
      </c>
    </row>
    <row r="59" spans="1:18" ht="14.55" customHeight="1" x14ac:dyDescent="0.3">
      <c r="A59" s="438"/>
      <c r="B59" s="16" t="s">
        <v>646</v>
      </c>
      <c r="C59" s="206">
        <v>15</v>
      </c>
      <c r="D59" s="206">
        <v>1</v>
      </c>
      <c r="E59" s="207" t="s">
        <v>195</v>
      </c>
      <c r="F59" s="207" t="s">
        <v>194</v>
      </c>
      <c r="G59" s="207" t="s">
        <v>195</v>
      </c>
      <c r="H59" s="209" t="s">
        <v>942</v>
      </c>
      <c r="I59" s="209">
        <v>0</v>
      </c>
      <c r="J59" s="209" t="s">
        <v>1035</v>
      </c>
      <c r="K59" s="209">
        <v>1</v>
      </c>
      <c r="L59" s="216" t="s">
        <v>1109</v>
      </c>
      <c r="M59" s="206" t="s">
        <v>87</v>
      </c>
      <c r="N59" s="206" t="s">
        <v>719</v>
      </c>
      <c r="O59" s="206" t="s">
        <v>452</v>
      </c>
      <c r="P59" s="210">
        <f ca="1">IF($B59="N/A", "N/A", VLOOKUP($B59, INDIRECT(Config!$B$1), HLOOKUP(P$1, INDIRECT(Config!$E$1), 2, FALSE),FALSE))</f>
        <v>1</v>
      </c>
      <c r="Q59" s="210">
        <f ca="1">IF($B59="N/A", "N/A", VLOOKUP($B59, INDIRECT(Config!$B$1), HLOOKUP(Q$1, INDIRECT(Config!$E$1), 2, FALSE),FALSE))</f>
        <v>0</v>
      </c>
      <c r="R59" s="210">
        <f ca="1">IF($B59="N/A", "N/A", VLOOKUP($B59, INDIRECT(Config!$B$1), HLOOKUP(R$1, INDIRECT(Config!$E$1), 2, FALSE),FALSE))</f>
        <v>0</v>
      </c>
    </row>
    <row r="60" spans="1:18" ht="14.55" customHeight="1" x14ac:dyDescent="0.3">
      <c r="A60" s="438"/>
      <c r="B60" s="16" t="s">
        <v>650</v>
      </c>
      <c r="C60" s="206">
        <v>16</v>
      </c>
      <c r="D60" s="206">
        <v>1</v>
      </c>
      <c r="E60" s="207" t="s">
        <v>197</v>
      </c>
      <c r="F60" s="207" t="s">
        <v>196</v>
      </c>
      <c r="G60" s="207" t="s">
        <v>197</v>
      </c>
      <c r="H60" s="209" t="s">
        <v>943</v>
      </c>
      <c r="I60" s="209">
        <v>0</v>
      </c>
      <c r="J60" s="209" t="s">
        <v>1036</v>
      </c>
      <c r="K60" s="209">
        <v>0</v>
      </c>
      <c r="L60" s="216" t="s">
        <v>1109</v>
      </c>
      <c r="M60" s="206" t="s">
        <v>87</v>
      </c>
      <c r="N60" s="206" t="s">
        <v>720</v>
      </c>
      <c r="O60" s="206" t="s">
        <v>453</v>
      </c>
      <c r="P60" s="210">
        <f ca="1">IF($B60="N/A", "N/A", VLOOKUP($B60, INDIRECT(Config!$B$1), HLOOKUP(P$1, INDIRECT(Config!$E$1), 2, FALSE),FALSE))</f>
        <v>1</v>
      </c>
      <c r="Q60" s="210">
        <f ca="1">IF($B60="N/A", "N/A", VLOOKUP($B60, INDIRECT(Config!$B$1), HLOOKUP(Q$1, INDIRECT(Config!$E$1), 2, FALSE),FALSE))</f>
        <v>0</v>
      </c>
      <c r="R60" s="210">
        <f ca="1">IF($B60="N/A", "N/A", VLOOKUP($B60, INDIRECT(Config!$B$1), HLOOKUP(R$1, INDIRECT(Config!$E$1), 2, FALSE),FALSE))</f>
        <v>0</v>
      </c>
    </row>
    <row r="61" spans="1:18" ht="14.55" customHeight="1" x14ac:dyDescent="0.3">
      <c r="A61" s="438"/>
      <c r="B61" s="7" t="s">
        <v>536</v>
      </c>
      <c r="C61" s="206">
        <v>17</v>
      </c>
      <c r="D61" s="206">
        <v>1</v>
      </c>
      <c r="E61" s="249" t="s">
        <v>237</v>
      </c>
      <c r="F61" s="218" t="s">
        <v>237</v>
      </c>
      <c r="G61" s="206" t="s">
        <v>198</v>
      </c>
      <c r="H61" s="209" t="s">
        <v>944</v>
      </c>
      <c r="I61" s="209">
        <v>0</v>
      </c>
      <c r="J61" s="209" t="s">
        <v>1037</v>
      </c>
      <c r="K61" s="209">
        <v>0</v>
      </c>
      <c r="L61" s="216" t="s">
        <v>668</v>
      </c>
      <c r="M61" s="206" t="s">
        <v>87</v>
      </c>
      <c r="N61" s="206" t="s">
        <v>806</v>
      </c>
      <c r="O61" s="206" t="s">
        <v>544</v>
      </c>
      <c r="P61" s="210">
        <f ca="1">IF($B61="N/A", "N/A", VLOOKUP($B61, INDIRECT(Config!$B$1), HLOOKUP(P$1, INDIRECT(Config!$E$1), 2, FALSE),FALSE))</f>
        <v>0</v>
      </c>
      <c r="Q61" s="210">
        <f ca="1">IF($B61="N/A", "N/A", VLOOKUP($B61, INDIRECT(Config!$B$1), HLOOKUP(Q$1, INDIRECT(Config!$E$1), 2, FALSE),FALSE))</f>
        <v>0</v>
      </c>
      <c r="R61" s="210">
        <f ca="1">IF($B61="N/A", "N/A", VLOOKUP($B61, INDIRECT(Config!$B$1), HLOOKUP(R$1, INDIRECT(Config!$E$1), 2, FALSE),FALSE))</f>
        <v>1</v>
      </c>
    </row>
    <row r="62" spans="1:18" ht="14.55" customHeight="1" x14ac:dyDescent="0.3">
      <c r="A62" s="438"/>
      <c r="B62" s="4" t="s">
        <v>613</v>
      </c>
      <c r="C62" s="206">
        <v>18</v>
      </c>
      <c r="D62" s="206">
        <v>3</v>
      </c>
      <c r="E62" s="207" t="s">
        <v>199</v>
      </c>
      <c r="F62" s="207" t="s">
        <v>199</v>
      </c>
      <c r="G62" s="208" t="s">
        <v>200</v>
      </c>
      <c r="H62" s="209" t="s">
        <v>970</v>
      </c>
      <c r="I62" s="209">
        <v>0</v>
      </c>
      <c r="J62" s="209" t="s">
        <v>1038</v>
      </c>
      <c r="K62" s="209">
        <v>0</v>
      </c>
      <c r="L62" s="216" t="s">
        <v>1109</v>
      </c>
      <c r="M62" s="206" t="s">
        <v>87</v>
      </c>
      <c r="N62" s="206" t="s">
        <v>722</v>
      </c>
      <c r="O62" s="206" t="s">
        <v>454</v>
      </c>
      <c r="P62" s="211">
        <f>IF($B62="N/A", "N/A", 1)</f>
        <v>1</v>
      </c>
      <c r="Q62" s="211">
        <f>IF($B62="N/A", "N/A", 1)</f>
        <v>1</v>
      </c>
      <c r="R62" s="211">
        <f>IF($B62="N/A", "N/A", 1)</f>
        <v>1</v>
      </c>
    </row>
    <row r="63" spans="1:18" ht="14.55" customHeight="1" x14ac:dyDescent="0.3">
      <c r="A63" s="438"/>
      <c r="B63" s="2" t="s">
        <v>48</v>
      </c>
      <c r="C63" s="208">
        <v>21</v>
      </c>
      <c r="D63" s="208">
        <v>1</v>
      </c>
      <c r="E63" s="207" t="s">
        <v>1159</v>
      </c>
      <c r="F63" s="208"/>
      <c r="G63" s="206" t="s">
        <v>1133</v>
      </c>
      <c r="H63" s="215" t="s">
        <v>1134</v>
      </c>
      <c r="I63" s="215">
        <v>0</v>
      </c>
      <c r="J63" s="215" t="s">
        <v>1135</v>
      </c>
      <c r="K63" s="215">
        <v>0</v>
      </c>
      <c r="L63" s="216" t="s">
        <v>1109</v>
      </c>
      <c r="M63" s="206"/>
      <c r="N63" s="206" t="s">
        <v>1136</v>
      </c>
      <c r="O63" s="206" t="s">
        <v>460</v>
      </c>
      <c r="P63" s="211" t="str">
        <f ca="1">IF($B63="N/A", "N/A", VLOOKUP($B63, INDIRECT(Config!$B$1), HLOOKUP(P$1, INDIRECT(Config!$E$1), 2, FALSE),FALSE))</f>
        <v>N/A</v>
      </c>
      <c r="Q63" s="211" t="str">
        <f ca="1">IF($B63="N/A", "N/A", VLOOKUP($B63, INDIRECT(Config!$B$1), HLOOKUP(Q$1, INDIRECT(Config!$E$1), 2, FALSE),FALSE))</f>
        <v>N/A</v>
      </c>
      <c r="R63" s="211" t="str">
        <f ca="1">IF($B63="N/A", "N/A", VLOOKUP($B63, INDIRECT(Config!$B$1), HLOOKUP(R$1, INDIRECT(Config!$E$1), 2, FALSE),FALSE))</f>
        <v>N/A</v>
      </c>
    </row>
    <row r="64" spans="1:18" ht="14.55" customHeight="1" x14ac:dyDescent="0.3">
      <c r="A64" s="438"/>
      <c r="B64" s="2" t="s">
        <v>48</v>
      </c>
      <c r="C64" s="208">
        <v>22</v>
      </c>
      <c r="D64" s="208">
        <v>1</v>
      </c>
      <c r="E64" s="15"/>
      <c r="F64" s="208"/>
      <c r="G64" s="206" t="s">
        <v>1137</v>
      </c>
      <c r="H64" s="215" t="s">
        <v>1139</v>
      </c>
      <c r="I64" s="215">
        <v>0</v>
      </c>
      <c r="J64" s="215" t="s">
        <v>1141</v>
      </c>
      <c r="K64" s="215">
        <v>0</v>
      </c>
      <c r="L64" s="216" t="s">
        <v>1109</v>
      </c>
      <c r="M64" s="206"/>
      <c r="N64" s="206" t="s">
        <v>1143</v>
      </c>
      <c r="O64" s="206" t="s">
        <v>460</v>
      </c>
      <c r="P64" s="211" t="str">
        <f ca="1">IF($B64="N/A", "N/A", VLOOKUP($B64, INDIRECT(Config!$B$1), HLOOKUP(P$1, INDIRECT(Config!$E$1), 2, FALSE),FALSE))</f>
        <v>N/A</v>
      </c>
      <c r="Q64" s="211" t="str">
        <f ca="1">IF($B64="N/A", "N/A", VLOOKUP($B64, INDIRECT(Config!$B$1), HLOOKUP(Q$1, INDIRECT(Config!$E$1), 2, FALSE),FALSE))</f>
        <v>N/A</v>
      </c>
      <c r="R64" s="211" t="str">
        <f ca="1">IF($B64="N/A", "N/A", VLOOKUP($B64, INDIRECT(Config!$B$1), HLOOKUP(R$1, INDIRECT(Config!$E$1), 2, FALSE),FALSE))</f>
        <v>N/A</v>
      </c>
    </row>
    <row r="65" spans="1:18" ht="14.55" customHeight="1" x14ac:dyDescent="0.3">
      <c r="A65" s="438"/>
      <c r="B65" s="2" t="s">
        <v>48</v>
      </c>
      <c r="C65" s="208">
        <v>23</v>
      </c>
      <c r="D65" s="208">
        <v>1</v>
      </c>
      <c r="E65" s="15"/>
      <c r="F65" s="208"/>
      <c r="G65" s="206" t="s">
        <v>1138</v>
      </c>
      <c r="H65" s="215" t="s">
        <v>1140</v>
      </c>
      <c r="I65" s="215">
        <v>0</v>
      </c>
      <c r="J65" s="215" t="s">
        <v>1142</v>
      </c>
      <c r="K65" s="215">
        <v>0</v>
      </c>
      <c r="L65" s="216" t="s">
        <v>1109</v>
      </c>
      <c r="M65" s="206"/>
      <c r="N65" s="206" t="s">
        <v>1144</v>
      </c>
      <c r="O65" s="206" t="s">
        <v>460</v>
      </c>
      <c r="P65" s="211" t="str">
        <f ca="1">IF($B65="N/A", "N/A", VLOOKUP($B65, INDIRECT(Config!$B$1), HLOOKUP(P$1, INDIRECT(Config!$E$1), 2, FALSE),FALSE))</f>
        <v>N/A</v>
      </c>
      <c r="Q65" s="211" t="str">
        <f ca="1">IF($B65="N/A", "N/A", VLOOKUP($B65, INDIRECT(Config!$B$1), HLOOKUP(Q$1, INDIRECT(Config!$E$1), 2, FALSE),FALSE))</f>
        <v>N/A</v>
      </c>
      <c r="R65" s="211" t="str">
        <f ca="1">IF($B65="N/A", "N/A", VLOOKUP($B65, INDIRECT(Config!$B$1), HLOOKUP(R$1, INDIRECT(Config!$E$1), 2, FALSE),FALSE))</f>
        <v>N/A</v>
      </c>
    </row>
    <row r="66" spans="1:18" ht="14.55" customHeight="1" x14ac:dyDescent="0.3">
      <c r="A66" s="438"/>
      <c r="B66" s="4" t="s">
        <v>613</v>
      </c>
      <c r="C66" s="206">
        <v>24</v>
      </c>
      <c r="D66" s="206">
        <v>4</v>
      </c>
      <c r="E66" s="207" t="s">
        <v>201</v>
      </c>
      <c r="F66" s="207" t="s">
        <v>201</v>
      </c>
      <c r="G66" s="208" t="s">
        <v>202</v>
      </c>
      <c r="H66" s="209" t="s">
        <v>971</v>
      </c>
      <c r="I66" s="209">
        <v>0</v>
      </c>
      <c r="J66" s="209" t="s">
        <v>1039</v>
      </c>
      <c r="K66" s="209">
        <v>0</v>
      </c>
      <c r="L66" s="210"/>
      <c r="M66" s="206" t="s">
        <v>87</v>
      </c>
      <c r="N66" s="206" t="s">
        <v>726</v>
      </c>
      <c r="O66" s="206" t="s">
        <v>454</v>
      </c>
      <c r="P66" s="211">
        <f t="shared" ref="P66:R72" si="3">IF($B66="N/A", "N/A", 1)</f>
        <v>1</v>
      </c>
      <c r="Q66" s="211">
        <f t="shared" si="3"/>
        <v>1</v>
      </c>
      <c r="R66" s="211">
        <f t="shared" si="3"/>
        <v>1</v>
      </c>
    </row>
    <row r="67" spans="1:18" ht="14.55" customHeight="1" x14ac:dyDescent="0.3">
      <c r="A67" s="438"/>
      <c r="B67" s="4" t="s">
        <v>613</v>
      </c>
      <c r="C67" s="206">
        <v>28</v>
      </c>
      <c r="D67" s="206">
        <v>4</v>
      </c>
      <c r="E67" s="207" t="s">
        <v>203</v>
      </c>
      <c r="F67" s="207" t="s">
        <v>203</v>
      </c>
      <c r="G67" s="208" t="s">
        <v>204</v>
      </c>
      <c r="H67" s="209" t="s">
        <v>972</v>
      </c>
      <c r="I67" s="209">
        <v>0</v>
      </c>
      <c r="J67" s="209" t="s">
        <v>1040</v>
      </c>
      <c r="K67" s="209">
        <v>0</v>
      </c>
      <c r="L67" s="210"/>
      <c r="M67" s="206" t="s">
        <v>87</v>
      </c>
      <c r="N67" s="206" t="s">
        <v>727</v>
      </c>
      <c r="O67" s="206" t="s">
        <v>454</v>
      </c>
      <c r="P67" s="211">
        <f t="shared" si="3"/>
        <v>1</v>
      </c>
      <c r="Q67" s="211">
        <f t="shared" si="3"/>
        <v>1</v>
      </c>
      <c r="R67" s="211">
        <f t="shared" si="3"/>
        <v>1</v>
      </c>
    </row>
    <row r="68" spans="1:18" ht="14.55" customHeight="1" x14ac:dyDescent="0.3">
      <c r="A68" s="438" t="s">
        <v>32</v>
      </c>
      <c r="B68" s="4" t="s">
        <v>613</v>
      </c>
      <c r="C68" s="206">
        <v>0</v>
      </c>
      <c r="D68" s="206">
        <v>1</v>
      </c>
      <c r="E68" s="207" t="s">
        <v>206</v>
      </c>
      <c r="F68" s="255" t="s">
        <v>1130</v>
      </c>
      <c r="G68" s="207" t="s">
        <v>206</v>
      </c>
      <c r="H68" s="209" t="s">
        <v>945</v>
      </c>
      <c r="I68" s="209">
        <v>0</v>
      </c>
      <c r="J68" s="209" t="s">
        <v>1041</v>
      </c>
      <c r="K68" s="209">
        <v>1</v>
      </c>
      <c r="L68" s="216" t="s">
        <v>1109</v>
      </c>
      <c r="M68" s="206" t="s">
        <v>66</v>
      </c>
      <c r="N68" s="206" t="s">
        <v>728</v>
      </c>
      <c r="O68" s="217" t="s">
        <v>455</v>
      </c>
      <c r="P68" s="211">
        <f t="shared" si="3"/>
        <v>1</v>
      </c>
      <c r="Q68" s="211">
        <f t="shared" si="3"/>
        <v>1</v>
      </c>
      <c r="R68" s="211">
        <v>0</v>
      </c>
    </row>
    <row r="69" spans="1:18" ht="14.55" customHeight="1" x14ac:dyDescent="0.3">
      <c r="A69" s="438"/>
      <c r="B69" s="4" t="s">
        <v>613</v>
      </c>
      <c r="C69" s="206">
        <v>1</v>
      </c>
      <c r="D69" s="206">
        <v>1</v>
      </c>
      <c r="E69" s="207" t="s">
        <v>207</v>
      </c>
      <c r="F69" s="255" t="s">
        <v>1131</v>
      </c>
      <c r="G69" s="207" t="s">
        <v>207</v>
      </c>
      <c r="H69" s="209" t="s">
        <v>946</v>
      </c>
      <c r="I69" s="209">
        <v>0</v>
      </c>
      <c r="J69" s="209" t="s">
        <v>1042</v>
      </c>
      <c r="K69" s="209">
        <v>0</v>
      </c>
      <c r="L69" s="216" t="s">
        <v>1109</v>
      </c>
      <c r="M69" s="206" t="s">
        <v>66</v>
      </c>
      <c r="N69" s="206" t="s">
        <v>729</v>
      </c>
      <c r="O69" s="206" t="s">
        <v>456</v>
      </c>
      <c r="P69" s="211">
        <f t="shared" si="3"/>
        <v>1</v>
      </c>
      <c r="Q69" s="211">
        <f t="shared" si="3"/>
        <v>1</v>
      </c>
      <c r="R69" s="211">
        <v>0</v>
      </c>
    </row>
    <row r="70" spans="1:18" ht="14.55" customHeight="1" x14ac:dyDescent="0.3">
      <c r="A70" s="438"/>
      <c r="B70" s="4" t="s">
        <v>613</v>
      </c>
      <c r="C70" s="206">
        <v>2</v>
      </c>
      <c r="D70" s="206">
        <v>1</v>
      </c>
      <c r="E70" s="207" t="s">
        <v>208</v>
      </c>
      <c r="F70" s="255" t="s">
        <v>1132</v>
      </c>
      <c r="G70" s="207" t="s">
        <v>208</v>
      </c>
      <c r="H70" s="209" t="s">
        <v>947</v>
      </c>
      <c r="I70" s="209">
        <v>0</v>
      </c>
      <c r="J70" s="209" t="s">
        <v>1043</v>
      </c>
      <c r="K70" s="209">
        <v>0</v>
      </c>
      <c r="L70" s="216" t="s">
        <v>1109</v>
      </c>
      <c r="M70" s="206" t="s">
        <v>66</v>
      </c>
      <c r="N70" s="206" t="s">
        <v>730</v>
      </c>
      <c r="O70" s="217" t="s">
        <v>457</v>
      </c>
      <c r="P70" s="211">
        <f t="shared" si="3"/>
        <v>1</v>
      </c>
      <c r="Q70" s="211">
        <f t="shared" si="3"/>
        <v>1</v>
      </c>
      <c r="R70" s="211">
        <v>0</v>
      </c>
    </row>
    <row r="71" spans="1:18" ht="14.55" customHeight="1" x14ac:dyDescent="0.3">
      <c r="A71" s="438"/>
      <c r="B71" s="4" t="s">
        <v>613</v>
      </c>
      <c r="C71" s="206">
        <v>3</v>
      </c>
      <c r="D71" s="206">
        <v>1</v>
      </c>
      <c r="E71" s="207" t="s">
        <v>209</v>
      </c>
      <c r="F71" s="207" t="s">
        <v>209</v>
      </c>
      <c r="G71" s="208" t="s">
        <v>210</v>
      </c>
      <c r="H71" s="209" t="s">
        <v>948</v>
      </c>
      <c r="I71" s="209">
        <v>0</v>
      </c>
      <c r="J71" s="209" t="s">
        <v>1044</v>
      </c>
      <c r="K71" s="209">
        <v>1</v>
      </c>
      <c r="L71" s="216" t="s">
        <v>668</v>
      </c>
      <c r="M71" s="206" t="s">
        <v>69</v>
      </c>
      <c r="N71" s="206" t="s">
        <v>731</v>
      </c>
      <c r="O71" s="206" t="s">
        <v>527</v>
      </c>
      <c r="P71" s="211">
        <f t="shared" si="3"/>
        <v>1</v>
      </c>
      <c r="Q71" s="211">
        <f t="shared" si="3"/>
        <v>1</v>
      </c>
      <c r="R71" s="211">
        <v>1</v>
      </c>
    </row>
    <row r="72" spans="1:18" ht="14.55" customHeight="1" x14ac:dyDescent="0.3">
      <c r="A72" s="438"/>
      <c r="B72" s="4" t="s">
        <v>613</v>
      </c>
      <c r="C72" s="206">
        <v>4</v>
      </c>
      <c r="D72" s="206">
        <v>1</v>
      </c>
      <c r="E72" s="207" t="s">
        <v>211</v>
      </c>
      <c r="F72" s="207" t="s">
        <v>211</v>
      </c>
      <c r="G72" s="208" t="s">
        <v>212</v>
      </c>
      <c r="H72" s="209" t="s">
        <v>949</v>
      </c>
      <c r="I72" s="209">
        <v>0</v>
      </c>
      <c r="J72" s="209" t="s">
        <v>1045</v>
      </c>
      <c r="K72" s="209">
        <v>0</v>
      </c>
      <c r="L72" s="216" t="s">
        <v>1109</v>
      </c>
      <c r="M72" s="206" t="s">
        <v>69</v>
      </c>
      <c r="N72" s="206" t="s">
        <v>732</v>
      </c>
      <c r="O72" s="206" t="s">
        <v>528</v>
      </c>
      <c r="P72" s="211">
        <f t="shared" si="3"/>
        <v>1</v>
      </c>
      <c r="Q72" s="211">
        <f t="shared" si="3"/>
        <v>1</v>
      </c>
      <c r="R72" s="211">
        <f t="shared" si="3"/>
        <v>1</v>
      </c>
    </row>
    <row r="73" spans="1:18" ht="14.55" customHeight="1" x14ac:dyDescent="0.3">
      <c r="A73" s="438"/>
      <c r="B73" s="2" t="s">
        <v>48</v>
      </c>
      <c r="C73" s="208">
        <v>5</v>
      </c>
      <c r="D73" s="208">
        <v>1</v>
      </c>
      <c r="E73" s="207" t="s">
        <v>213</v>
      </c>
      <c r="F73" s="208"/>
      <c r="G73" s="206" t="s">
        <v>213</v>
      </c>
      <c r="H73" s="215" t="s">
        <v>950</v>
      </c>
      <c r="I73" s="215">
        <v>0</v>
      </c>
      <c r="J73" s="215" t="s">
        <v>1046</v>
      </c>
      <c r="K73" s="215">
        <v>0</v>
      </c>
      <c r="L73" s="216" t="s">
        <v>1109</v>
      </c>
      <c r="M73" s="206"/>
      <c r="N73" s="206" t="s">
        <v>788</v>
      </c>
      <c r="O73" s="206" t="s">
        <v>460</v>
      </c>
      <c r="P73" s="211" t="str">
        <f ca="1">IF($B73="N/A", "N/A", VLOOKUP($B73, INDIRECT(Config!$B$1), HLOOKUP(P$1, INDIRECT(Config!$E$1), 2, FALSE),FALSE))</f>
        <v>N/A</v>
      </c>
      <c r="Q73" s="211" t="str">
        <f ca="1">IF($B73="N/A", "N/A", VLOOKUP($B73, INDIRECT(Config!$B$1), HLOOKUP(Q$1, INDIRECT(Config!$E$1), 2, FALSE),FALSE))</f>
        <v>N/A</v>
      </c>
      <c r="R73" s="211" t="str">
        <f ca="1">IF($B73="N/A", "N/A", VLOOKUP($B73, INDIRECT(Config!$B$1), HLOOKUP(R$1, INDIRECT(Config!$E$1), 2, FALSE),FALSE))</f>
        <v>N/A</v>
      </c>
    </row>
    <row r="74" spans="1:18" ht="14.55" customHeight="1" x14ac:dyDescent="0.3">
      <c r="A74" s="438"/>
      <c r="B74" s="2" t="s">
        <v>214</v>
      </c>
      <c r="C74" s="208">
        <v>6</v>
      </c>
      <c r="D74" s="208">
        <v>1</v>
      </c>
      <c r="E74" s="207" t="s">
        <v>216</v>
      </c>
      <c r="F74" s="208" t="s">
        <v>215</v>
      </c>
      <c r="G74" s="207" t="s">
        <v>216</v>
      </c>
      <c r="H74" s="209" t="s">
        <v>951</v>
      </c>
      <c r="I74" s="209">
        <v>1</v>
      </c>
      <c r="J74" s="209" t="s">
        <v>1047</v>
      </c>
      <c r="K74" s="209">
        <v>0</v>
      </c>
      <c r="L74" s="216" t="s">
        <v>1109</v>
      </c>
      <c r="M74" s="206" t="s">
        <v>66</v>
      </c>
      <c r="N74" s="206" t="s">
        <v>733</v>
      </c>
      <c r="O74" s="206" t="s">
        <v>529</v>
      </c>
      <c r="P74" s="210">
        <f ca="1">IF($B74="N/A", "N/A", VLOOKUP($B74, INDIRECT(Config!$B$1), HLOOKUP(P$1, INDIRECT(Config!$E$1), 2, FALSE),FALSE))</f>
        <v>0</v>
      </c>
      <c r="Q74" s="210">
        <f ca="1">IF($B74="N/A", "N/A", VLOOKUP($B74, INDIRECT(Config!$B$1), HLOOKUP(Q$1, INDIRECT(Config!$E$1), 2, FALSE),FALSE))</f>
        <v>0</v>
      </c>
      <c r="R74" s="210">
        <f ca="1">IF($B74="N/A", "N/A", VLOOKUP($B74, INDIRECT(Config!$B$1), HLOOKUP(R$1, INDIRECT(Config!$E$1), 2, FALSE),FALSE))</f>
        <v>0</v>
      </c>
    </row>
    <row r="75" spans="1:18" ht="14.55" customHeight="1" x14ac:dyDescent="0.3">
      <c r="A75" s="438"/>
      <c r="B75" s="2" t="s">
        <v>214</v>
      </c>
      <c r="C75" s="208">
        <v>7</v>
      </c>
      <c r="D75" s="208">
        <v>1</v>
      </c>
      <c r="E75" s="207" t="s">
        <v>218</v>
      </c>
      <c r="F75" s="208" t="s">
        <v>217</v>
      </c>
      <c r="G75" s="206" t="s">
        <v>218</v>
      </c>
      <c r="H75" s="209" t="s">
        <v>952</v>
      </c>
      <c r="I75" s="209">
        <v>1</v>
      </c>
      <c r="J75" s="209" t="s">
        <v>1048</v>
      </c>
      <c r="K75" s="209">
        <v>0</v>
      </c>
      <c r="L75" s="216" t="s">
        <v>1109</v>
      </c>
      <c r="M75" s="206" t="s">
        <v>66</v>
      </c>
      <c r="N75" s="206" t="s">
        <v>734</v>
      </c>
      <c r="O75" s="206" t="s">
        <v>530</v>
      </c>
      <c r="P75" s="210">
        <f ca="1">IF($B75="N/A", "N/A", VLOOKUP($B75, INDIRECT(Config!$B$1), HLOOKUP(P$1, INDIRECT(Config!$E$1), 2, FALSE),FALSE))</f>
        <v>0</v>
      </c>
      <c r="Q75" s="210">
        <f ca="1">IF($B75="N/A", "N/A", VLOOKUP($B75, INDIRECT(Config!$B$1), HLOOKUP(Q$1, INDIRECT(Config!$E$1), 2, FALSE),FALSE))</f>
        <v>0</v>
      </c>
      <c r="R75" s="210">
        <f ca="1">IF($B75="N/A", "N/A", VLOOKUP($B75, INDIRECT(Config!$B$1), HLOOKUP(R$1, INDIRECT(Config!$E$1), 2, FALSE),FALSE))</f>
        <v>0</v>
      </c>
    </row>
    <row r="76" spans="1:18" ht="14.55" customHeight="1" x14ac:dyDescent="0.3">
      <c r="A76" s="438"/>
      <c r="B76" s="4" t="s">
        <v>613</v>
      </c>
      <c r="C76" s="206">
        <v>8</v>
      </c>
      <c r="D76" s="206">
        <v>1</v>
      </c>
      <c r="E76" s="207" t="s">
        <v>219</v>
      </c>
      <c r="F76" s="207" t="s">
        <v>219</v>
      </c>
      <c r="G76" s="208" t="s">
        <v>220</v>
      </c>
      <c r="H76" s="209" t="s">
        <v>953</v>
      </c>
      <c r="I76" s="209">
        <v>0</v>
      </c>
      <c r="J76" s="209" t="s">
        <v>1049</v>
      </c>
      <c r="K76" s="209">
        <v>0</v>
      </c>
      <c r="L76" s="216" t="s">
        <v>668</v>
      </c>
      <c r="M76" s="206" t="s">
        <v>69</v>
      </c>
      <c r="N76" s="206" t="s">
        <v>735</v>
      </c>
      <c r="O76" s="206" t="s">
        <v>531</v>
      </c>
      <c r="P76" s="211">
        <f>IF($B76="N/A", "N/A", 1)</f>
        <v>1</v>
      </c>
      <c r="Q76" s="211">
        <f>IF($B76="N/A", "N/A", 1)</f>
        <v>1</v>
      </c>
      <c r="R76" s="211">
        <f>IF($B76="N/A", "N/A", 1)</f>
        <v>1</v>
      </c>
    </row>
    <row r="77" spans="1:18" ht="14.55" customHeight="1" x14ac:dyDescent="0.3">
      <c r="A77" s="438"/>
      <c r="B77" s="16" t="s">
        <v>221</v>
      </c>
      <c r="C77" s="206">
        <v>9</v>
      </c>
      <c r="D77" s="206">
        <v>7</v>
      </c>
      <c r="E77" s="207" t="s">
        <v>223</v>
      </c>
      <c r="F77" s="207" t="s">
        <v>222</v>
      </c>
      <c r="G77" s="207" t="s">
        <v>223</v>
      </c>
      <c r="H77" s="209" t="s">
        <v>969</v>
      </c>
      <c r="I77" s="209">
        <v>0</v>
      </c>
      <c r="J77" s="209" t="s">
        <v>1050</v>
      </c>
      <c r="K77" s="209">
        <v>0</v>
      </c>
      <c r="L77" s="216" t="s">
        <v>1109</v>
      </c>
      <c r="M77" s="206" t="s">
        <v>87</v>
      </c>
      <c r="N77" s="206" t="s">
        <v>736</v>
      </c>
      <c r="O77" s="206" t="s">
        <v>532</v>
      </c>
      <c r="P77" s="210">
        <f ca="1">IF($B77="N/A", "N/A", VLOOKUP($B77, INDIRECT(Config!$B$1), HLOOKUP(P$1, INDIRECT(Config!$E$1), 2, FALSE),FALSE))</f>
        <v>0</v>
      </c>
      <c r="Q77" s="210">
        <f ca="1">IF($B77="N/A", "N/A", VLOOKUP($B77, INDIRECT(Config!$B$1), HLOOKUP(Q$1, INDIRECT(Config!$E$1), 2, FALSE),FALSE))</f>
        <v>0</v>
      </c>
      <c r="R77" s="210">
        <f ca="1">IF($B77="N/A", "N/A", VLOOKUP($B77, INDIRECT(Config!$B$1), HLOOKUP(R$1, INDIRECT(Config!$E$1), 2, FALSE),FALSE))</f>
        <v>0</v>
      </c>
    </row>
    <row r="78" spans="1:18" ht="14.55" customHeight="1" x14ac:dyDescent="0.3">
      <c r="A78" s="438"/>
      <c r="B78" s="16" t="s">
        <v>224</v>
      </c>
      <c r="C78" s="206">
        <v>16</v>
      </c>
      <c r="D78" s="206">
        <v>1</v>
      </c>
      <c r="E78" s="207" t="s">
        <v>226</v>
      </c>
      <c r="F78" s="207" t="s">
        <v>225</v>
      </c>
      <c r="G78" s="207" t="s">
        <v>226</v>
      </c>
      <c r="H78" s="209" t="s">
        <v>954</v>
      </c>
      <c r="I78" s="209">
        <v>0</v>
      </c>
      <c r="J78" s="209" t="s">
        <v>1051</v>
      </c>
      <c r="K78" s="209">
        <v>0</v>
      </c>
      <c r="L78" s="210" t="s">
        <v>17</v>
      </c>
      <c r="M78" s="206" t="s">
        <v>87</v>
      </c>
      <c r="N78" s="206" t="s">
        <v>737</v>
      </c>
      <c r="O78" s="206" t="s">
        <v>533</v>
      </c>
      <c r="P78" s="210">
        <f ca="1">IF($B78="N/A","N/A",IF(0=VLOOKUP($B78,INDIRECT(Config!$B$1),HLOOKUP(P$1,INDIRECT(Config!$E$1),2,FALSE),FALSE),0,1))</f>
        <v>1</v>
      </c>
      <c r="Q78" s="210">
        <f ca="1">IF($B78="N/A","N/A",IF(0=VLOOKUP($B78,INDIRECT(Config!$B$1),HLOOKUP(Q$1,INDIRECT(Config!$E$1),2,FALSE),FALSE),0,1))</f>
        <v>0</v>
      </c>
      <c r="R78" s="210">
        <f ca="1">IF($B78="N/A","N/A",IF(0=VLOOKUP($B78,INDIRECT(Config!$B$1),HLOOKUP(R$1,INDIRECT(Config!$E$1),2,FALSE),FALSE),0,1))</f>
        <v>0</v>
      </c>
    </row>
    <row r="79" spans="1:18" ht="14.55" customHeight="1" x14ac:dyDescent="0.3">
      <c r="A79" s="438"/>
      <c r="B79" s="4" t="s">
        <v>613</v>
      </c>
      <c r="C79" s="206">
        <v>17</v>
      </c>
      <c r="D79" s="206">
        <v>1</v>
      </c>
      <c r="E79" s="249" t="s">
        <v>674</v>
      </c>
      <c r="F79" s="207" t="s">
        <v>674</v>
      </c>
      <c r="G79" s="208" t="s">
        <v>227</v>
      </c>
      <c r="H79" s="209" t="s">
        <v>955</v>
      </c>
      <c r="I79" s="209">
        <v>0</v>
      </c>
      <c r="J79" s="209" t="s">
        <v>1052</v>
      </c>
      <c r="K79" s="209">
        <v>1</v>
      </c>
      <c r="L79" s="210" t="s">
        <v>17</v>
      </c>
      <c r="M79" s="206" t="s">
        <v>87</v>
      </c>
      <c r="N79" s="206" t="s">
        <v>805</v>
      </c>
      <c r="O79" s="206" t="s">
        <v>675</v>
      </c>
      <c r="P79" s="211">
        <f>IF($B79="N/A", "N/A", 1)</f>
        <v>1</v>
      </c>
      <c r="Q79" s="211">
        <f>IF($B79="N/A", "N/A", 1)</f>
        <v>1</v>
      </c>
      <c r="R79" s="211">
        <f>IF($B79="N/A", "N/A", 1)</f>
        <v>1</v>
      </c>
    </row>
    <row r="80" spans="1:18" ht="14.55" customHeight="1" x14ac:dyDescent="0.3">
      <c r="A80" s="438"/>
      <c r="B80" s="2" t="s">
        <v>100</v>
      </c>
      <c r="C80" s="208">
        <v>18</v>
      </c>
      <c r="D80" s="208">
        <v>1</v>
      </c>
      <c r="E80" s="207" t="s">
        <v>229</v>
      </c>
      <c r="F80" s="208" t="s">
        <v>228</v>
      </c>
      <c r="G80" s="207" t="s">
        <v>229</v>
      </c>
      <c r="H80" s="209" t="s">
        <v>956</v>
      </c>
      <c r="I80" s="209">
        <v>0</v>
      </c>
      <c r="J80" s="209" t="s">
        <v>1053</v>
      </c>
      <c r="K80" s="209">
        <v>0</v>
      </c>
      <c r="L80" s="210" t="s">
        <v>17</v>
      </c>
      <c r="M80" s="206" t="s">
        <v>66</v>
      </c>
      <c r="N80" s="206" t="s">
        <v>738</v>
      </c>
      <c r="O80" s="206" t="s">
        <v>537</v>
      </c>
      <c r="P80" s="210">
        <f ca="1">IF($B80="N/A", "N/A", VLOOKUP($B80, INDIRECT(Config!$B$1), HLOOKUP(P$1, INDIRECT(Config!$E$1), 2, FALSE),FALSE))</f>
        <v>0</v>
      </c>
      <c r="Q80" s="210">
        <f ca="1">IF($B80="N/A", "N/A", VLOOKUP($B80, INDIRECT(Config!$B$1), HLOOKUP(Q$1, INDIRECT(Config!$E$1), 2, FALSE),FALSE))</f>
        <v>0</v>
      </c>
      <c r="R80" s="210">
        <f ca="1">IF($B80="N/A", "N/A", VLOOKUP($B80, INDIRECT(Config!$B$1), HLOOKUP(R$1, INDIRECT(Config!$E$1), 2, FALSE),FALSE))</f>
        <v>0</v>
      </c>
    </row>
    <row r="81" spans="1:18" ht="14.55" customHeight="1" x14ac:dyDescent="0.3">
      <c r="A81" s="438"/>
      <c r="B81" s="2" t="s">
        <v>100</v>
      </c>
      <c r="C81" s="208">
        <v>19</v>
      </c>
      <c r="D81" s="208">
        <v>1</v>
      </c>
      <c r="E81" s="207" t="s">
        <v>231</v>
      </c>
      <c r="F81" s="208" t="s">
        <v>230</v>
      </c>
      <c r="G81" s="207" t="s">
        <v>231</v>
      </c>
      <c r="H81" s="209" t="s">
        <v>957</v>
      </c>
      <c r="I81" s="209">
        <v>0</v>
      </c>
      <c r="J81" s="209" t="s">
        <v>1054</v>
      </c>
      <c r="K81" s="209">
        <v>0</v>
      </c>
      <c r="L81" s="210" t="s">
        <v>17</v>
      </c>
      <c r="M81" s="206" t="s">
        <v>66</v>
      </c>
      <c r="N81" s="206" t="s">
        <v>739</v>
      </c>
      <c r="O81" s="206" t="s">
        <v>538</v>
      </c>
      <c r="P81" s="210">
        <f ca="1">IF($B81="N/A", "N/A", VLOOKUP($B81, INDIRECT(Config!$B$1), HLOOKUP(P$1, INDIRECT(Config!$E$1), 2, FALSE),FALSE))</f>
        <v>0</v>
      </c>
      <c r="Q81" s="210">
        <f ca="1">IF($B81="N/A", "N/A", VLOOKUP($B81, INDIRECT(Config!$B$1), HLOOKUP(Q$1, INDIRECT(Config!$E$1), 2, FALSE),FALSE))</f>
        <v>0</v>
      </c>
      <c r="R81" s="210">
        <f ca="1">IF($B81="N/A", "N/A", VLOOKUP($B81, INDIRECT(Config!$B$1), HLOOKUP(R$1, INDIRECT(Config!$E$1), 2, FALSE),FALSE))</f>
        <v>0</v>
      </c>
    </row>
    <row r="82" spans="1:18" ht="14.55" customHeight="1" x14ac:dyDescent="0.3">
      <c r="A82" s="438"/>
      <c r="B82" s="2" t="s">
        <v>100</v>
      </c>
      <c r="C82" s="208">
        <v>20</v>
      </c>
      <c r="D82" s="208">
        <v>1</v>
      </c>
      <c r="E82" s="207" t="s">
        <v>233</v>
      </c>
      <c r="F82" s="208" t="s">
        <v>232</v>
      </c>
      <c r="G82" s="207" t="s">
        <v>233</v>
      </c>
      <c r="H82" s="209" t="s">
        <v>958</v>
      </c>
      <c r="I82" s="209">
        <v>0</v>
      </c>
      <c r="J82" s="209" t="s">
        <v>1055</v>
      </c>
      <c r="K82" s="209">
        <v>0</v>
      </c>
      <c r="L82" s="210" t="s">
        <v>17</v>
      </c>
      <c r="M82" s="206" t="s">
        <v>66</v>
      </c>
      <c r="N82" s="206" t="s">
        <v>740</v>
      </c>
      <c r="O82" s="206" t="s">
        <v>539</v>
      </c>
      <c r="P82" s="210">
        <f ca="1">IF($B82="N/A", "N/A", VLOOKUP($B82, INDIRECT(Config!$B$1), HLOOKUP(P$1, INDIRECT(Config!$E$1), 2, FALSE),FALSE))</f>
        <v>0</v>
      </c>
      <c r="Q82" s="210">
        <f ca="1">IF($B82="N/A", "N/A", VLOOKUP($B82, INDIRECT(Config!$B$1), HLOOKUP(Q$1, INDIRECT(Config!$E$1), 2, FALSE),FALSE))</f>
        <v>0</v>
      </c>
      <c r="R82" s="210">
        <f ca="1">IF($B82="N/A", "N/A", VLOOKUP($B82, INDIRECT(Config!$B$1), HLOOKUP(R$1, INDIRECT(Config!$E$1), 2, FALSE),FALSE))</f>
        <v>0</v>
      </c>
    </row>
    <row r="83" spans="1:18" ht="14.55" customHeight="1" x14ac:dyDescent="0.3">
      <c r="A83" s="438"/>
      <c r="B83" s="3" t="s">
        <v>234</v>
      </c>
      <c r="C83" s="206">
        <v>21</v>
      </c>
      <c r="D83" s="206">
        <v>1</v>
      </c>
      <c r="E83" s="207" t="s">
        <v>236</v>
      </c>
      <c r="F83" s="210" t="s">
        <v>235</v>
      </c>
      <c r="G83" s="210" t="s">
        <v>236</v>
      </c>
      <c r="H83" s="209" t="s">
        <v>959</v>
      </c>
      <c r="I83" s="209">
        <v>0</v>
      </c>
      <c r="J83" s="209" t="s">
        <v>1056</v>
      </c>
      <c r="K83" s="209">
        <v>1</v>
      </c>
      <c r="L83" s="210" t="s">
        <v>17</v>
      </c>
      <c r="M83" s="206" t="s">
        <v>87</v>
      </c>
      <c r="N83" s="206" t="s">
        <v>741</v>
      </c>
      <c r="O83" s="217" t="s">
        <v>540</v>
      </c>
      <c r="P83" s="210">
        <f ca="1">IF($B83="N/A", "N/A", VLOOKUP($B83, INDIRECT(Config!$B$1), HLOOKUP(P$1, INDIRECT(Config!$E$1), 2, FALSE),FALSE))</f>
        <v>1</v>
      </c>
      <c r="Q83" s="210">
        <f ca="1">IF($B83="N/A", "N/A", VLOOKUP($B83, INDIRECT(Config!$B$1), HLOOKUP(Q$1, INDIRECT(Config!$E$1), 2, FALSE),FALSE))</f>
        <v>1</v>
      </c>
      <c r="R83" s="210">
        <f ca="1">IF($B83="N/A", "N/A", VLOOKUP($B83, INDIRECT(Config!$B$1), HLOOKUP(R$1, INDIRECT(Config!$E$1), 2, FALSE),FALSE))</f>
        <v>0</v>
      </c>
    </row>
    <row r="84" spans="1:18" ht="14.55" customHeight="1" x14ac:dyDescent="0.3">
      <c r="A84" s="438"/>
      <c r="B84" s="2" t="s">
        <v>48</v>
      </c>
      <c r="C84" s="206">
        <v>22</v>
      </c>
      <c r="D84" s="206">
        <v>1</v>
      </c>
      <c r="E84" s="207" t="s">
        <v>1160</v>
      </c>
      <c r="F84" s="219" t="s">
        <v>1107</v>
      </c>
      <c r="G84" s="210" t="s">
        <v>888</v>
      </c>
      <c r="H84" s="215" t="s">
        <v>960</v>
      </c>
      <c r="I84" s="215">
        <v>0</v>
      </c>
      <c r="J84" s="215" t="s">
        <v>1057</v>
      </c>
      <c r="K84" s="215">
        <v>0</v>
      </c>
      <c r="L84" s="210" t="s">
        <v>17</v>
      </c>
      <c r="M84" s="206" t="s">
        <v>87</v>
      </c>
      <c r="N84" s="217" t="s">
        <v>1108</v>
      </c>
      <c r="O84" s="206" t="s">
        <v>890</v>
      </c>
      <c r="P84" s="211" t="str">
        <f ca="1">IF($B84="N/A", "N/A", VLOOKUP($B84, INDIRECT(Config!$B$1), HLOOKUP(P$1, INDIRECT(Config!$E$1), 2, FALSE),FALSE))</f>
        <v>N/A</v>
      </c>
      <c r="Q84" s="211" t="str">
        <f ca="1">IF($B84="N/A", "N/A", VLOOKUP($B84, INDIRECT(Config!$B$1), HLOOKUP(Q$1, INDIRECT(Config!$E$1), 2, FALSE),FALSE))</f>
        <v>N/A</v>
      </c>
      <c r="R84" s="211" t="str">
        <f ca="1">IF($B84="N/A", "N/A", VLOOKUP($B84, INDIRECT(Config!$B$1), HLOOKUP(R$1, INDIRECT(Config!$E$1), 2, FALSE),FALSE))</f>
        <v>N/A</v>
      </c>
    </row>
    <row r="85" spans="1:18" ht="14.55" customHeight="1" x14ac:dyDescent="0.3">
      <c r="A85" s="438"/>
      <c r="B85" s="2" t="s">
        <v>48</v>
      </c>
      <c r="C85" s="206">
        <v>23</v>
      </c>
      <c r="D85" s="206">
        <v>1</v>
      </c>
      <c r="F85" s="208"/>
      <c r="G85" s="210" t="s">
        <v>889</v>
      </c>
      <c r="H85" s="215" t="s">
        <v>961</v>
      </c>
      <c r="I85" s="215">
        <v>0</v>
      </c>
      <c r="J85" s="215" t="s">
        <v>1058</v>
      </c>
      <c r="K85" s="215">
        <v>0</v>
      </c>
      <c r="L85" s="210" t="s">
        <v>17</v>
      </c>
      <c r="M85" s="206"/>
      <c r="N85" s="206" t="s">
        <v>789</v>
      </c>
      <c r="O85" s="206" t="s">
        <v>460</v>
      </c>
      <c r="P85" s="211" t="str">
        <f ca="1">IF($B85="N/A", "N/A", VLOOKUP($B85, INDIRECT(Config!$B$1), HLOOKUP(P$1, INDIRECT(Config!$E$1), 2, FALSE),FALSE))</f>
        <v>N/A</v>
      </c>
      <c r="Q85" s="211" t="str">
        <f ca="1">IF($B85="N/A", "N/A", VLOOKUP($B85, INDIRECT(Config!$B$1), HLOOKUP(Q$1, INDIRECT(Config!$E$1), 2, FALSE),FALSE))</f>
        <v>N/A</v>
      </c>
      <c r="R85" s="211" t="str">
        <f ca="1">IF($B85="N/A", "N/A", VLOOKUP($B85, INDIRECT(Config!$B$1), HLOOKUP(R$1, INDIRECT(Config!$E$1), 2, FALSE),FALSE))</f>
        <v>N/A</v>
      </c>
    </row>
    <row r="86" spans="1:18" ht="14.55" customHeight="1" x14ac:dyDescent="0.3">
      <c r="A86" s="438"/>
      <c r="B86" s="4" t="s">
        <v>613</v>
      </c>
      <c r="C86" s="206">
        <v>24</v>
      </c>
      <c r="D86" s="206">
        <v>1</v>
      </c>
      <c r="E86" s="207" t="s">
        <v>238</v>
      </c>
      <c r="F86" s="220" t="s">
        <v>238</v>
      </c>
      <c r="G86" s="208" t="s">
        <v>239</v>
      </c>
      <c r="H86" s="209" t="s">
        <v>962</v>
      </c>
      <c r="I86" s="209">
        <v>0</v>
      </c>
      <c r="J86" s="209" t="s">
        <v>1059</v>
      </c>
      <c r="K86" s="209">
        <v>1</v>
      </c>
      <c r="L86" s="210"/>
      <c r="M86" s="207" t="s">
        <v>87</v>
      </c>
      <c r="N86" s="207" t="s">
        <v>723</v>
      </c>
      <c r="O86" s="207" t="s">
        <v>541</v>
      </c>
      <c r="P86" s="211">
        <f t="shared" ref="P86:R87" si="4">IF($B86="N/A", "N/A", 1)</f>
        <v>1</v>
      </c>
      <c r="Q86" s="211">
        <f t="shared" si="4"/>
        <v>1</v>
      </c>
      <c r="R86" s="211">
        <f t="shared" si="4"/>
        <v>1</v>
      </c>
    </row>
    <row r="87" spans="1:18" ht="35.4" customHeight="1" x14ac:dyDescent="0.3">
      <c r="A87" s="438"/>
      <c r="B87" s="4" t="s">
        <v>613</v>
      </c>
      <c r="C87" s="206">
        <v>25</v>
      </c>
      <c r="D87" s="206">
        <v>1</v>
      </c>
      <c r="E87" s="250" t="s">
        <v>1161</v>
      </c>
      <c r="F87" s="256" t="s">
        <v>1164</v>
      </c>
      <c r="G87" s="208" t="s">
        <v>240</v>
      </c>
      <c r="H87" s="209" t="s">
        <v>963</v>
      </c>
      <c r="I87" s="209">
        <v>0</v>
      </c>
      <c r="J87" s="209" t="s">
        <v>1060</v>
      </c>
      <c r="K87" s="209">
        <v>1</v>
      </c>
      <c r="L87" s="210"/>
      <c r="M87" s="207" t="s">
        <v>87</v>
      </c>
      <c r="N87" s="207" t="s">
        <v>724</v>
      </c>
      <c r="O87" s="207" t="s">
        <v>542</v>
      </c>
      <c r="P87" s="211">
        <f t="shared" si="4"/>
        <v>1</v>
      </c>
      <c r="Q87" s="211">
        <f t="shared" si="4"/>
        <v>1</v>
      </c>
      <c r="R87" s="211">
        <f t="shared" si="4"/>
        <v>1</v>
      </c>
    </row>
    <row r="88" spans="1:18" ht="14.55" customHeight="1" x14ac:dyDescent="0.3">
      <c r="A88" s="438"/>
      <c r="B88" s="16" t="s">
        <v>241</v>
      </c>
      <c r="C88" s="206">
        <v>26</v>
      </c>
      <c r="D88" s="206">
        <v>5</v>
      </c>
      <c r="E88" s="207" t="s">
        <v>243</v>
      </c>
      <c r="F88" s="207" t="s">
        <v>242</v>
      </c>
      <c r="G88" s="207" t="s">
        <v>243</v>
      </c>
      <c r="H88" s="209" t="s">
        <v>973</v>
      </c>
      <c r="I88" s="209">
        <v>0</v>
      </c>
      <c r="J88" s="209" t="s">
        <v>1061</v>
      </c>
      <c r="K88" s="209">
        <v>0</v>
      </c>
      <c r="L88" s="210"/>
      <c r="M88" s="207" t="s">
        <v>87</v>
      </c>
      <c r="N88" s="207" t="s">
        <v>725</v>
      </c>
      <c r="O88" s="207" t="s">
        <v>543</v>
      </c>
      <c r="P88" s="210">
        <f ca="1">IF($B88="N/A", "N/A", VLOOKUP($B88, INDIRECT(Config!$B$1), HLOOKUP(P$1, INDIRECT(Config!$E$1), 2, FALSE),FALSE))</f>
        <v>0</v>
      </c>
      <c r="Q88" s="210">
        <f ca="1">IF($B88="N/A", "N/A", VLOOKUP($B88, INDIRECT(Config!$B$1), HLOOKUP(Q$1, INDIRECT(Config!$E$1), 2, FALSE),FALSE))</f>
        <v>0</v>
      </c>
      <c r="R88" s="210">
        <f ca="1">IF($B88="N/A", "N/A", VLOOKUP($B88, INDIRECT(Config!$B$1), HLOOKUP(R$1, INDIRECT(Config!$E$1), 2, FALSE),FALSE))</f>
        <v>0</v>
      </c>
    </row>
    <row r="89" spans="1:18" ht="14.55" customHeight="1" x14ac:dyDescent="0.3">
      <c r="A89" s="438"/>
      <c r="B89" s="4" t="s">
        <v>613</v>
      </c>
      <c r="C89" s="206">
        <v>31</v>
      </c>
      <c r="D89" s="206">
        <v>1</v>
      </c>
      <c r="E89" s="249" t="s">
        <v>244</v>
      </c>
      <c r="F89" s="220" t="s">
        <v>244</v>
      </c>
      <c r="G89" s="208" t="s">
        <v>245</v>
      </c>
      <c r="H89" s="209" t="s">
        <v>964</v>
      </c>
      <c r="I89" s="209">
        <v>0</v>
      </c>
      <c r="J89" s="209" t="s">
        <v>1062</v>
      </c>
      <c r="K89" s="209">
        <v>0</v>
      </c>
      <c r="L89" s="210"/>
      <c r="M89" s="207" t="s">
        <v>87</v>
      </c>
      <c r="N89" s="207" t="s">
        <v>804</v>
      </c>
      <c r="O89" s="228" t="s">
        <v>545</v>
      </c>
      <c r="P89" s="211">
        <f>IF($B89="N/A", "N/A", 1)</f>
        <v>1</v>
      </c>
      <c r="Q89" s="211">
        <f>IF($B89="N/A", "N/A", 1)</f>
        <v>1</v>
      </c>
      <c r="R89" s="211">
        <f>IF($B89="N/A", "N/A", 1)</f>
        <v>1</v>
      </c>
    </row>
    <row r="90" spans="1:18" ht="14.55" customHeight="1" x14ac:dyDescent="0.3">
      <c r="A90" s="448" t="s">
        <v>246</v>
      </c>
      <c r="B90" s="7" t="s">
        <v>390</v>
      </c>
      <c r="C90" s="206">
        <v>0</v>
      </c>
      <c r="D90" s="206">
        <v>16</v>
      </c>
      <c r="F90" s="206" t="s">
        <v>247</v>
      </c>
      <c r="G90" s="222" t="s">
        <v>384</v>
      </c>
      <c r="H90" s="223" t="s">
        <v>1098</v>
      </c>
      <c r="I90" s="223"/>
      <c r="J90" s="223" t="s">
        <v>1073</v>
      </c>
      <c r="K90" s="223">
        <v>0</v>
      </c>
      <c r="L90" s="210"/>
      <c r="M90" s="206" t="s">
        <v>66</v>
      </c>
      <c r="N90" s="206" t="s">
        <v>769</v>
      </c>
      <c r="O90" s="206" t="s">
        <v>467</v>
      </c>
      <c r="P90" s="210">
        <f ca="1">IF($B90="N/A", "N/A", VLOOKUP($B90, INDIRECT(Config!$B$1), HLOOKUP(P$1, INDIRECT(Config!$E$1), 2, FALSE),FALSE))</f>
        <v>0</v>
      </c>
      <c r="Q90" s="210">
        <f ca="1">IF($B90="N/A", "N/A", VLOOKUP($B90, INDIRECT(Config!$B$1), HLOOKUP(Q$1, INDIRECT(Config!$E$1), 2, FALSE),FALSE))</f>
        <v>0</v>
      </c>
      <c r="R90" s="210">
        <f ca="1">IF($B90="N/A", "N/A", VLOOKUP($B90, INDIRECT(Config!$B$1), HLOOKUP(R$1, INDIRECT(Config!$E$1), 2, FALSE),FALSE))</f>
        <v>0</v>
      </c>
    </row>
    <row r="91" spans="1:18" ht="14.55" customHeight="1" x14ac:dyDescent="0.3">
      <c r="A91" s="478"/>
      <c r="B91" s="7" t="s">
        <v>390</v>
      </c>
      <c r="C91" s="206">
        <v>16</v>
      </c>
      <c r="D91" s="206">
        <v>8</v>
      </c>
      <c r="F91" s="206" t="s">
        <v>248</v>
      </c>
      <c r="G91" s="222" t="s">
        <v>384</v>
      </c>
      <c r="H91" s="223" t="s">
        <v>974</v>
      </c>
      <c r="I91" s="223"/>
      <c r="J91" s="223" t="s">
        <v>1067</v>
      </c>
      <c r="K91" s="223">
        <v>0</v>
      </c>
      <c r="L91" s="210"/>
      <c r="M91" s="206" t="s">
        <v>66</v>
      </c>
      <c r="N91" s="206" t="s">
        <v>761</v>
      </c>
      <c r="O91" s="206" t="s">
        <v>467</v>
      </c>
      <c r="P91" s="210">
        <f ca="1">IF($B91="N/A", "N/A", VLOOKUP($B91, INDIRECT(Config!$B$1), HLOOKUP(P$1, INDIRECT(Config!$E$1), 2, FALSE),FALSE))</f>
        <v>0</v>
      </c>
      <c r="Q91" s="210">
        <f ca="1">IF($B91="N/A", "N/A", VLOOKUP($B91, INDIRECT(Config!$B$1), HLOOKUP(Q$1, INDIRECT(Config!$E$1), 2, FALSE),FALSE))</f>
        <v>0</v>
      </c>
      <c r="R91" s="210">
        <f ca="1">IF($B91="N/A", "N/A", VLOOKUP($B91, INDIRECT(Config!$B$1), HLOOKUP(R$1, INDIRECT(Config!$E$1), 2, FALSE),FALSE))</f>
        <v>0</v>
      </c>
    </row>
    <row r="92" spans="1:18" ht="14.55" customHeight="1" x14ac:dyDescent="0.3">
      <c r="A92" s="447"/>
      <c r="B92" s="15" t="s">
        <v>205</v>
      </c>
      <c r="C92" s="206">
        <v>24</v>
      </c>
      <c r="D92" s="206">
        <v>8</v>
      </c>
      <c r="F92" s="206" t="s">
        <v>249</v>
      </c>
      <c r="G92" s="222" t="s">
        <v>384</v>
      </c>
      <c r="H92" s="223" t="s">
        <v>975</v>
      </c>
      <c r="I92" s="223"/>
      <c r="J92" s="223" t="s">
        <v>1068</v>
      </c>
      <c r="K92" s="223">
        <v>0</v>
      </c>
      <c r="L92" s="210"/>
      <c r="M92" s="206" t="s">
        <v>66</v>
      </c>
      <c r="N92" s="206" t="s">
        <v>770</v>
      </c>
      <c r="O92" s="206" t="s">
        <v>468</v>
      </c>
      <c r="P92" s="210">
        <f ca="1">IF($B92="N/A", "N/A", VLOOKUP($B92, INDIRECT(Config!$B$1), HLOOKUP(P$1, INDIRECT(Config!$E$1), 2, FALSE),FALSE))</f>
        <v>0</v>
      </c>
      <c r="Q92" s="210">
        <f ca="1">IF($B92="N/A", "N/A", VLOOKUP($B92, INDIRECT(Config!$B$1), HLOOKUP(Q$1, INDIRECT(Config!$E$1), 2, FALSE),FALSE))</f>
        <v>0</v>
      </c>
      <c r="R92" s="210">
        <f ca="1">IF($B92="N/A", "N/A", VLOOKUP($B92, INDIRECT(Config!$B$1), HLOOKUP(R$1, INDIRECT(Config!$E$1), 2, FALSE),FALSE))</f>
        <v>0</v>
      </c>
    </row>
    <row r="93" spans="1:18" ht="14.55" customHeight="1" x14ac:dyDescent="0.3">
      <c r="A93" s="246" t="s">
        <v>250</v>
      </c>
      <c r="B93" s="7" t="s">
        <v>390</v>
      </c>
      <c r="C93" s="206">
        <v>0</v>
      </c>
      <c r="D93" s="206">
        <v>32</v>
      </c>
      <c r="F93" s="206" t="s">
        <v>250</v>
      </c>
      <c r="G93" s="222" t="s">
        <v>384</v>
      </c>
      <c r="H93" s="224" t="s">
        <v>48</v>
      </c>
      <c r="I93" s="229"/>
      <c r="J93" s="223" t="s">
        <v>1076</v>
      </c>
      <c r="K93" s="223">
        <v>0</v>
      </c>
      <c r="L93" s="210"/>
      <c r="M93" s="206" t="s">
        <v>66</v>
      </c>
      <c r="N93" s="206" t="s">
        <v>771</v>
      </c>
      <c r="O93" s="206" t="s">
        <v>469</v>
      </c>
      <c r="P93" s="210">
        <f ca="1">IF($B93="N/A", "N/A", VLOOKUP($B93, INDIRECT(Config!$B$1), HLOOKUP(P$1, INDIRECT(Config!$E$1), 2, FALSE),FALSE))</f>
        <v>0</v>
      </c>
      <c r="Q93" s="210">
        <f ca="1">IF($B93="N/A", "N/A", VLOOKUP($B93, INDIRECT(Config!$B$1), HLOOKUP(Q$1, INDIRECT(Config!$E$1), 2, FALSE),FALSE))</f>
        <v>0</v>
      </c>
      <c r="R93" s="210">
        <f ca="1">IF($B93="N/A", "N/A", VLOOKUP($B93, INDIRECT(Config!$B$1), HLOOKUP(R$1, INDIRECT(Config!$E$1), 2, FALSE),FALSE))</f>
        <v>0</v>
      </c>
    </row>
    <row r="94" spans="1:18" ht="14.55" customHeight="1" x14ac:dyDescent="0.3">
      <c r="A94" s="246" t="s">
        <v>251</v>
      </c>
      <c r="B94" s="7" t="s">
        <v>390</v>
      </c>
      <c r="C94" s="206">
        <v>0</v>
      </c>
      <c r="D94" s="206">
        <v>32</v>
      </c>
      <c r="E94" s="206"/>
      <c r="F94" s="206" t="s">
        <v>251</v>
      </c>
      <c r="G94" s="222" t="s">
        <v>384</v>
      </c>
      <c r="H94" s="223" t="s">
        <v>48</v>
      </c>
      <c r="I94" s="229"/>
      <c r="J94" s="223" t="s">
        <v>1077</v>
      </c>
      <c r="K94" s="223">
        <v>0</v>
      </c>
      <c r="L94" s="210"/>
      <c r="M94" s="206" t="s">
        <v>66</v>
      </c>
      <c r="N94" s="206" t="s">
        <v>772</v>
      </c>
      <c r="O94" s="206" t="s">
        <v>470</v>
      </c>
      <c r="P94" s="210">
        <f ca="1">IF($B94="N/A", "N/A", VLOOKUP($B94, INDIRECT(Config!$B$1), HLOOKUP(P$1, INDIRECT(Config!$E$1), 2, FALSE),FALSE))</f>
        <v>0</v>
      </c>
      <c r="Q94" s="210">
        <f ca="1">IF($B94="N/A", "N/A", VLOOKUP($B94, INDIRECT(Config!$B$1), HLOOKUP(Q$1, INDIRECT(Config!$E$1), 2, FALSE),FALSE))</f>
        <v>0</v>
      </c>
      <c r="R94" s="210">
        <f ca="1">IF($B94="N/A", "N/A", VLOOKUP($B94, INDIRECT(Config!$B$1), HLOOKUP(R$1, INDIRECT(Config!$E$1), 2, FALSE),FALSE))</f>
        <v>0</v>
      </c>
    </row>
    <row r="95" spans="1:18" ht="14.55" customHeight="1" x14ac:dyDescent="0.3">
      <c r="A95" s="246" t="s">
        <v>252</v>
      </c>
      <c r="B95" s="7" t="s">
        <v>390</v>
      </c>
      <c r="C95" s="206">
        <v>0</v>
      </c>
      <c r="D95" s="206">
        <v>32</v>
      </c>
      <c r="E95" s="206"/>
      <c r="F95" s="206" t="s">
        <v>252</v>
      </c>
      <c r="G95" s="222" t="s">
        <v>384</v>
      </c>
      <c r="H95" s="223" t="s">
        <v>48</v>
      </c>
      <c r="I95" s="229"/>
      <c r="J95" s="223" t="s">
        <v>1078</v>
      </c>
      <c r="K95" s="223">
        <v>0</v>
      </c>
      <c r="L95" s="210"/>
      <c r="M95" s="206" t="s">
        <v>66</v>
      </c>
      <c r="N95" s="206" t="s">
        <v>773</v>
      </c>
      <c r="O95" s="206" t="s">
        <v>471</v>
      </c>
      <c r="P95" s="210">
        <f ca="1">IF($B95="N/A", "N/A", VLOOKUP($B95, INDIRECT(Config!$B$1), HLOOKUP(P$1, INDIRECT(Config!$E$1), 2, FALSE),FALSE))</f>
        <v>0</v>
      </c>
      <c r="Q95" s="210">
        <f ca="1">IF($B95="N/A", "N/A", VLOOKUP($B95, INDIRECT(Config!$B$1), HLOOKUP(Q$1, INDIRECT(Config!$E$1), 2, FALSE),FALSE))</f>
        <v>0</v>
      </c>
      <c r="R95" s="210">
        <f ca="1">IF($B95="N/A", "N/A", VLOOKUP($B95, INDIRECT(Config!$B$1), HLOOKUP(R$1, INDIRECT(Config!$E$1), 2, FALSE),FALSE))</f>
        <v>0</v>
      </c>
    </row>
    <row r="96" spans="1:18" ht="14.55" customHeight="1" x14ac:dyDescent="0.3">
      <c r="A96" s="448" t="s">
        <v>34</v>
      </c>
      <c r="B96" s="7" t="s">
        <v>253</v>
      </c>
      <c r="C96" s="206">
        <v>0</v>
      </c>
      <c r="D96" s="206">
        <v>24</v>
      </c>
      <c r="E96" s="206"/>
      <c r="F96" s="206" t="s">
        <v>254</v>
      </c>
      <c r="G96" s="222" t="s">
        <v>384</v>
      </c>
      <c r="H96" s="224" t="s">
        <v>976</v>
      </c>
      <c r="I96" s="224"/>
      <c r="J96" s="223" t="s">
        <v>1063</v>
      </c>
      <c r="K96" s="223">
        <v>0</v>
      </c>
      <c r="L96" s="210" t="s">
        <v>17</v>
      </c>
      <c r="M96" s="206" t="s">
        <v>66</v>
      </c>
      <c r="N96" s="206" t="s">
        <v>764</v>
      </c>
      <c r="O96" s="206" t="s">
        <v>458</v>
      </c>
      <c r="P96" s="210">
        <f ca="1">IF($B96="N/A", "N/A", VLOOKUP($B96, INDIRECT(Config!$B$1), HLOOKUP(P$1, INDIRECT(Config!$E$1), 2, FALSE),FALSE))</f>
        <v>1</v>
      </c>
      <c r="Q96" s="210">
        <f ca="1">IF($B96="N/A", "N/A", VLOOKUP($B96, INDIRECT(Config!$B$1), HLOOKUP(Q$1, INDIRECT(Config!$E$1), 2, FALSE),FALSE))</f>
        <v>1</v>
      </c>
      <c r="R96" s="210">
        <f ca="1">IF($B96="N/A", "N/A", VLOOKUP($B96, INDIRECT(Config!$B$1), HLOOKUP(R$1, INDIRECT(Config!$E$1), 2, FALSE),FALSE))</f>
        <v>0</v>
      </c>
    </row>
    <row r="97" spans="1:18" ht="14.55" customHeight="1" x14ac:dyDescent="0.3">
      <c r="A97" s="478"/>
      <c r="B97" s="7" t="s">
        <v>253</v>
      </c>
      <c r="C97" s="206">
        <v>24</v>
      </c>
      <c r="D97" s="206">
        <v>5</v>
      </c>
      <c r="E97" s="206"/>
      <c r="F97" s="206" t="s">
        <v>255</v>
      </c>
      <c r="G97" s="222" t="s">
        <v>384</v>
      </c>
      <c r="H97" s="224" t="s">
        <v>977</v>
      </c>
      <c r="I97" s="224"/>
      <c r="J97" s="223" t="s">
        <v>1064</v>
      </c>
      <c r="K97" s="223">
        <v>0</v>
      </c>
      <c r="L97" s="210" t="s">
        <v>17</v>
      </c>
      <c r="M97" s="206" t="s">
        <v>66</v>
      </c>
      <c r="N97" s="206" t="s">
        <v>765</v>
      </c>
      <c r="O97" s="206" t="s">
        <v>459</v>
      </c>
      <c r="P97" s="210">
        <f ca="1">IF($B97="N/A", "N/A", VLOOKUP($B97, INDIRECT(Config!$B$1), HLOOKUP(P$1, INDIRECT(Config!$E$1), 2, FALSE),FALSE))</f>
        <v>1</v>
      </c>
      <c r="Q97" s="210">
        <f ca="1">IF($B97="N/A", "N/A", VLOOKUP($B97, INDIRECT(Config!$B$1), HLOOKUP(Q$1, INDIRECT(Config!$E$1), 2, FALSE),FALSE))</f>
        <v>1</v>
      </c>
      <c r="R97" s="210">
        <f ca="1">IF($B97="N/A", "N/A", VLOOKUP($B97, INDIRECT(Config!$B$1), HLOOKUP(R$1, INDIRECT(Config!$E$1), 2, FALSE),FALSE))</f>
        <v>0</v>
      </c>
    </row>
    <row r="98" spans="1:18" ht="14.55" customHeight="1" x14ac:dyDescent="0.3">
      <c r="A98" s="478"/>
      <c r="B98" s="7" t="s">
        <v>253</v>
      </c>
      <c r="C98" s="206">
        <v>29</v>
      </c>
      <c r="D98" s="206">
        <v>2</v>
      </c>
      <c r="E98" s="206"/>
      <c r="F98" s="206" t="s">
        <v>256</v>
      </c>
      <c r="G98" s="222" t="s">
        <v>384</v>
      </c>
      <c r="H98" s="224" t="s">
        <v>978</v>
      </c>
      <c r="I98" s="224"/>
      <c r="J98" s="223" t="s">
        <v>1065</v>
      </c>
      <c r="K98" s="223">
        <v>0</v>
      </c>
      <c r="L98" s="210" t="s">
        <v>17</v>
      </c>
      <c r="M98" s="206" t="s">
        <v>66</v>
      </c>
      <c r="N98" s="206" t="s">
        <v>766</v>
      </c>
      <c r="O98" s="206" t="s">
        <v>462</v>
      </c>
      <c r="P98" s="210">
        <f ca="1">IF($B98="N/A", "N/A", VLOOKUP($B98, INDIRECT(Config!$B$1), HLOOKUP(P$1, INDIRECT(Config!$E$1), 2, FALSE),FALSE))</f>
        <v>1</v>
      </c>
      <c r="Q98" s="210">
        <f ca="1">IF($B98="N/A", "N/A", VLOOKUP($B98, INDIRECT(Config!$B$1), HLOOKUP(Q$1, INDIRECT(Config!$E$1), 2, FALSE),FALSE))</f>
        <v>1</v>
      </c>
      <c r="R98" s="210">
        <f ca="1">IF($B98="N/A", "N/A", VLOOKUP($B98, INDIRECT(Config!$B$1), HLOOKUP(R$1, INDIRECT(Config!$E$1), 2, FALSE),FALSE))</f>
        <v>0</v>
      </c>
    </row>
    <row r="99" spans="1:18" ht="14.55" customHeight="1" x14ac:dyDescent="0.3">
      <c r="A99" s="447"/>
      <c r="B99" s="7" t="s">
        <v>253</v>
      </c>
      <c r="C99" s="206">
        <v>31</v>
      </c>
      <c r="D99" s="206">
        <v>1</v>
      </c>
      <c r="E99" s="206"/>
      <c r="F99" s="206" t="s">
        <v>257</v>
      </c>
      <c r="G99" s="222" t="s">
        <v>384</v>
      </c>
      <c r="H99" s="224" t="s">
        <v>979</v>
      </c>
      <c r="I99" s="224"/>
      <c r="J99" s="223" t="s">
        <v>1066</v>
      </c>
      <c r="K99" s="223">
        <v>0</v>
      </c>
      <c r="L99" s="210" t="s">
        <v>17</v>
      </c>
      <c r="M99" s="206" t="s">
        <v>66</v>
      </c>
      <c r="N99" s="206" t="s">
        <v>767</v>
      </c>
      <c r="O99" s="206" t="s">
        <v>461</v>
      </c>
      <c r="P99" s="210">
        <f ca="1">IF($B99="N/A", "N/A", VLOOKUP($B99, INDIRECT(Config!$B$1), HLOOKUP(P$1, INDIRECT(Config!$E$1), 2, FALSE),FALSE))</f>
        <v>1</v>
      </c>
      <c r="Q99" s="210">
        <f ca="1">IF($B99="N/A", "N/A", VLOOKUP($B99, INDIRECT(Config!$B$1), HLOOKUP(Q$1, INDIRECT(Config!$E$1), 2, FALSE),FALSE))</f>
        <v>1</v>
      </c>
      <c r="R99" s="210">
        <f ca="1">IF($B99="N/A", "N/A", VLOOKUP($B99, INDIRECT(Config!$B$1), HLOOKUP(R$1, INDIRECT(Config!$E$1), 2, FALSE),FALSE))</f>
        <v>0</v>
      </c>
    </row>
    <row r="100" spans="1:18" ht="14.55" customHeight="1" x14ac:dyDescent="0.3">
      <c r="A100" s="438" t="s">
        <v>36</v>
      </c>
      <c r="B100" s="7" t="s">
        <v>214</v>
      </c>
      <c r="C100" s="206">
        <v>0</v>
      </c>
      <c r="D100" s="206">
        <v>8</v>
      </c>
      <c r="E100" s="206"/>
      <c r="F100" s="206" t="s">
        <v>258</v>
      </c>
      <c r="G100" s="222" t="s">
        <v>384</v>
      </c>
      <c r="H100" s="223" t="s">
        <v>1099</v>
      </c>
      <c r="I100" s="223"/>
      <c r="J100" s="223" t="s">
        <v>1069</v>
      </c>
      <c r="K100" s="223">
        <v>0</v>
      </c>
      <c r="L100" s="210"/>
      <c r="M100" s="206" t="s">
        <v>128</v>
      </c>
      <c r="N100" s="206" t="s">
        <v>768</v>
      </c>
      <c r="O100" s="206" t="s">
        <v>463</v>
      </c>
      <c r="P100" s="210">
        <f ca="1">IF($B100="N/A", "N/A", VLOOKUP($B100, INDIRECT(Config!$B$1), HLOOKUP(P$1, INDIRECT(Config!$E$1), 2, FALSE),FALSE))</f>
        <v>0</v>
      </c>
      <c r="Q100" s="210">
        <f ca="1">IF($B100="N/A", "N/A", VLOOKUP($B100, INDIRECT(Config!$B$1), HLOOKUP(Q$1, INDIRECT(Config!$E$1), 2, FALSE),FALSE))</f>
        <v>0</v>
      </c>
      <c r="R100" s="210">
        <f ca="1">IF($B100="N/A", "N/A", VLOOKUP($B100, INDIRECT(Config!$B$1), HLOOKUP(R$1, INDIRECT(Config!$E$1), 2, FALSE),FALSE))</f>
        <v>0</v>
      </c>
    </row>
    <row r="101" spans="1:18" ht="14.55" customHeight="1" x14ac:dyDescent="0.3">
      <c r="A101" s="438"/>
      <c r="B101" s="7" t="s">
        <v>214</v>
      </c>
      <c r="C101" s="206">
        <v>8</v>
      </c>
      <c r="D101" s="206">
        <v>8</v>
      </c>
      <c r="E101" s="206"/>
      <c r="F101" s="206" t="s">
        <v>259</v>
      </c>
      <c r="G101" s="222" t="s">
        <v>384</v>
      </c>
      <c r="H101" s="223" t="s">
        <v>1100</v>
      </c>
      <c r="I101" s="223"/>
      <c r="J101" s="223" t="s">
        <v>1070</v>
      </c>
      <c r="K101" s="223">
        <v>0</v>
      </c>
      <c r="L101" s="210"/>
      <c r="M101" s="206" t="s">
        <v>128</v>
      </c>
      <c r="N101" s="206" t="s">
        <v>768</v>
      </c>
      <c r="O101" s="206" t="s">
        <v>464</v>
      </c>
      <c r="P101" s="210">
        <f ca="1">IF($B101="N/A", "N/A", VLOOKUP($B101, INDIRECT(Config!$B$1), HLOOKUP(P$1, INDIRECT(Config!$E$1), 2, FALSE),FALSE))</f>
        <v>0</v>
      </c>
      <c r="Q101" s="210">
        <f ca="1">IF($B101="N/A", "N/A", VLOOKUP($B101, INDIRECT(Config!$B$1), HLOOKUP(Q$1, INDIRECT(Config!$E$1), 2, FALSE),FALSE))</f>
        <v>0</v>
      </c>
      <c r="R101" s="210">
        <f ca="1">IF($B101="N/A", "N/A", VLOOKUP($B101, INDIRECT(Config!$B$1), HLOOKUP(R$1, INDIRECT(Config!$E$1), 2, FALSE),FALSE))</f>
        <v>0</v>
      </c>
    </row>
    <row r="102" spans="1:18" ht="14.55" customHeight="1" x14ac:dyDescent="0.3">
      <c r="A102" s="478"/>
      <c r="B102" s="5" t="s">
        <v>214</v>
      </c>
      <c r="C102" s="225">
        <v>16</v>
      </c>
      <c r="D102" s="225">
        <v>8</v>
      </c>
      <c r="E102" s="225"/>
      <c r="F102" s="225" t="s">
        <v>260</v>
      </c>
      <c r="G102" s="222" t="s">
        <v>384</v>
      </c>
      <c r="H102" s="223" t="s">
        <v>1074</v>
      </c>
      <c r="I102" s="223"/>
      <c r="J102" s="223" t="s">
        <v>1071</v>
      </c>
      <c r="K102" s="227">
        <v>0</v>
      </c>
      <c r="L102" s="226"/>
      <c r="M102" s="225" t="s">
        <v>66</v>
      </c>
      <c r="N102" s="225" t="s">
        <v>768</v>
      </c>
      <c r="O102" s="225" t="s">
        <v>465</v>
      </c>
      <c r="P102" s="210">
        <f ca="1">IF($B102="N/A", "N/A", VLOOKUP($B102, INDIRECT(Config!$B$1), HLOOKUP(P$1, INDIRECT(Config!$E$1), 2, FALSE),FALSE))</f>
        <v>0</v>
      </c>
      <c r="Q102" s="210">
        <f ca="1">IF($B102="N/A", "N/A", VLOOKUP($B102, INDIRECT(Config!$B$1), HLOOKUP(Q$1, INDIRECT(Config!$E$1), 2, FALSE),FALSE))</f>
        <v>0</v>
      </c>
      <c r="R102" s="210">
        <f ca="1">IF($B102="N/A", "N/A", VLOOKUP($B102, INDIRECT(Config!$B$1), HLOOKUP(R$1, INDIRECT(Config!$E$1), 2, FALSE),FALSE))</f>
        <v>0</v>
      </c>
    </row>
    <row r="103" spans="1:18" ht="14.55" customHeight="1" x14ac:dyDescent="0.3">
      <c r="A103" s="447"/>
      <c r="B103" s="7" t="s">
        <v>214</v>
      </c>
      <c r="C103" s="206">
        <v>24</v>
      </c>
      <c r="D103" s="206">
        <v>8</v>
      </c>
      <c r="E103" s="206"/>
      <c r="F103" s="206" t="s">
        <v>261</v>
      </c>
      <c r="G103" s="222" t="s">
        <v>384</v>
      </c>
      <c r="H103" s="223" t="s">
        <v>1075</v>
      </c>
      <c r="I103" s="223"/>
      <c r="J103" s="223" t="s">
        <v>1072</v>
      </c>
      <c r="K103" s="223">
        <v>0</v>
      </c>
      <c r="L103" s="210"/>
      <c r="M103" s="206" t="s">
        <v>66</v>
      </c>
      <c r="N103" s="206" t="s">
        <v>768</v>
      </c>
      <c r="O103" s="206" t="s">
        <v>466</v>
      </c>
      <c r="P103" s="210">
        <f ca="1">IF($B103="N/A", "N/A", VLOOKUP($B103, INDIRECT(Config!$B$1), HLOOKUP(P$1, INDIRECT(Config!$E$1), 2, FALSE),FALSE))</f>
        <v>0</v>
      </c>
      <c r="Q103" s="210">
        <f ca="1">IF($B103="N/A", "N/A", VLOOKUP($B103, INDIRECT(Config!$B$1), HLOOKUP(Q$1, INDIRECT(Config!$E$1), 2, FALSE),FALSE))</f>
        <v>0</v>
      </c>
      <c r="R103" s="210">
        <f ca="1">IF($B103="N/A", "N/A", VLOOKUP($B103, INDIRECT(Config!$B$1), HLOOKUP(R$1, INDIRECT(Config!$E$1), 2, FALSE),FALSE))</f>
        <v>0</v>
      </c>
    </row>
    <row r="104" spans="1:18" ht="14.55" customHeight="1" x14ac:dyDescent="0.3">
      <c r="A104" s="448" t="s">
        <v>38</v>
      </c>
      <c r="B104" s="4" t="s">
        <v>613</v>
      </c>
      <c r="C104" s="206">
        <v>0</v>
      </c>
      <c r="D104" s="206">
        <v>16</v>
      </c>
      <c r="E104" s="250" t="s">
        <v>262</v>
      </c>
      <c r="F104" s="206" t="s">
        <v>262</v>
      </c>
      <c r="G104" s="479"/>
      <c r="H104" s="209" t="s">
        <v>48</v>
      </c>
      <c r="I104" s="230"/>
      <c r="J104" s="209" t="s">
        <v>51</v>
      </c>
      <c r="K104" s="209" t="s">
        <v>51</v>
      </c>
      <c r="L104" s="216"/>
      <c r="M104" s="206" t="s">
        <v>66</v>
      </c>
      <c r="N104" s="206" t="s">
        <v>760</v>
      </c>
      <c r="O104" s="206" t="s">
        <v>472</v>
      </c>
      <c r="P104" s="211">
        <f t="shared" ref="P104:R107" si="5">IF($B104="N/A", "N/A", 1)</f>
        <v>1</v>
      </c>
      <c r="Q104" s="211">
        <f t="shared" si="5"/>
        <v>1</v>
      </c>
      <c r="R104" s="211">
        <f t="shared" si="5"/>
        <v>1</v>
      </c>
    </row>
    <row r="105" spans="1:18" ht="14.55" customHeight="1" x14ac:dyDescent="0.3">
      <c r="A105" s="478"/>
      <c r="B105" s="4" t="s">
        <v>613</v>
      </c>
      <c r="C105" s="206">
        <v>16</v>
      </c>
      <c r="D105" s="206">
        <v>8</v>
      </c>
      <c r="E105" s="250" t="s">
        <v>263</v>
      </c>
      <c r="F105" s="206" t="s">
        <v>263</v>
      </c>
      <c r="G105" s="480"/>
      <c r="H105" s="209" t="s">
        <v>48</v>
      </c>
      <c r="I105" s="230"/>
      <c r="J105" s="209" t="s">
        <v>1086</v>
      </c>
      <c r="K105" s="209" t="s">
        <v>1086</v>
      </c>
      <c r="L105" s="216"/>
      <c r="M105" s="206" t="s">
        <v>66</v>
      </c>
      <c r="N105" s="206" t="s">
        <v>761</v>
      </c>
      <c r="O105" s="206" t="s">
        <v>473</v>
      </c>
      <c r="P105" s="211">
        <f t="shared" si="5"/>
        <v>1</v>
      </c>
      <c r="Q105" s="211">
        <f t="shared" si="5"/>
        <v>1</v>
      </c>
      <c r="R105" s="211">
        <f t="shared" si="5"/>
        <v>1</v>
      </c>
    </row>
    <row r="106" spans="1:18" ht="14.55" customHeight="1" x14ac:dyDescent="0.3">
      <c r="A106" s="478"/>
      <c r="B106" s="4" t="s">
        <v>613</v>
      </c>
      <c r="C106" s="206">
        <v>24</v>
      </c>
      <c r="D106" s="206">
        <v>4</v>
      </c>
      <c r="E106" s="250" t="s">
        <v>264</v>
      </c>
      <c r="F106" s="206" t="s">
        <v>264</v>
      </c>
      <c r="G106" s="480"/>
      <c r="H106" s="209" t="s">
        <v>48</v>
      </c>
      <c r="I106" s="230"/>
      <c r="J106" s="209" t="s">
        <v>1086</v>
      </c>
      <c r="K106" s="209" t="s">
        <v>1086</v>
      </c>
      <c r="L106" s="216"/>
      <c r="M106" s="206" t="s">
        <v>66</v>
      </c>
      <c r="N106" s="206" t="s">
        <v>762</v>
      </c>
      <c r="O106" s="206" t="s">
        <v>474</v>
      </c>
      <c r="P106" s="211">
        <f t="shared" si="5"/>
        <v>1</v>
      </c>
      <c r="Q106" s="211">
        <f t="shared" si="5"/>
        <v>1</v>
      </c>
      <c r="R106" s="211">
        <f t="shared" si="5"/>
        <v>1</v>
      </c>
    </row>
    <row r="107" spans="1:18" ht="14.55" customHeight="1" x14ac:dyDescent="0.3">
      <c r="A107" s="447"/>
      <c r="B107" s="4" t="s">
        <v>613</v>
      </c>
      <c r="C107" s="206">
        <v>28</v>
      </c>
      <c r="D107" s="206">
        <v>4</v>
      </c>
      <c r="E107" s="250" t="s">
        <v>265</v>
      </c>
      <c r="F107" s="206" t="s">
        <v>265</v>
      </c>
      <c r="G107" s="481"/>
      <c r="H107" s="209" t="s">
        <v>48</v>
      </c>
      <c r="I107" s="230"/>
      <c r="J107" s="209" t="s">
        <v>1087</v>
      </c>
      <c r="K107" s="209" t="s">
        <v>1087</v>
      </c>
      <c r="L107" s="216"/>
      <c r="M107" s="206" t="s">
        <v>66</v>
      </c>
      <c r="N107" s="206" t="s">
        <v>763</v>
      </c>
      <c r="O107" s="206" t="s">
        <v>473</v>
      </c>
      <c r="P107" s="211">
        <f t="shared" si="5"/>
        <v>1</v>
      </c>
      <c r="Q107" s="211">
        <f t="shared" si="5"/>
        <v>1</v>
      </c>
      <c r="R107" s="211">
        <f t="shared" si="5"/>
        <v>1</v>
      </c>
    </row>
    <row r="108" spans="1:18" ht="14.55" customHeight="1" x14ac:dyDescent="0.3">
      <c r="A108" s="448" t="s">
        <v>52</v>
      </c>
      <c r="B108" s="16" t="s">
        <v>253</v>
      </c>
      <c r="C108" s="207">
        <v>0</v>
      </c>
      <c r="D108" s="207">
        <v>1</v>
      </c>
      <c r="E108" s="207"/>
      <c r="F108" s="207" t="s">
        <v>547</v>
      </c>
      <c r="G108" s="222" t="s">
        <v>384</v>
      </c>
      <c r="H108" s="214" t="s">
        <v>48</v>
      </c>
      <c r="I108" s="230"/>
      <c r="J108" s="214" t="s">
        <v>48</v>
      </c>
      <c r="K108" s="230"/>
      <c r="L108" s="210" t="s">
        <v>17</v>
      </c>
      <c r="M108" s="206" t="s">
        <v>66</v>
      </c>
      <c r="N108" s="206" t="s">
        <v>749</v>
      </c>
      <c r="O108" s="206" t="s">
        <v>534</v>
      </c>
      <c r="P108" s="210">
        <f ca="1">IF($B108="N/A", "N/A", VLOOKUP($B108, INDIRECT(Config!$B$1), HLOOKUP(P$1, INDIRECT(Config!$E$1), 2, FALSE),FALSE))</f>
        <v>1</v>
      </c>
      <c r="Q108" s="210">
        <f ca="1">IF($B108="N/A", "N/A", VLOOKUP($B108, INDIRECT(Config!$B$1), HLOOKUP(Q$1, INDIRECT(Config!$E$1), 2, FALSE),FALSE))</f>
        <v>1</v>
      </c>
      <c r="R108" s="210">
        <f ca="1">IF($B108="N/A", "N/A", VLOOKUP($B108, INDIRECT(Config!$B$1), HLOOKUP(R$1, INDIRECT(Config!$E$1), 2, FALSE),FALSE))</f>
        <v>0</v>
      </c>
    </row>
    <row r="109" spans="1:18" ht="14.55" customHeight="1" x14ac:dyDescent="0.3">
      <c r="A109" s="478"/>
      <c r="B109" s="16" t="s">
        <v>253</v>
      </c>
      <c r="C109" s="207">
        <v>1</v>
      </c>
      <c r="D109" s="207">
        <v>1</v>
      </c>
      <c r="E109" s="207"/>
      <c r="F109" s="207" t="s">
        <v>548</v>
      </c>
      <c r="G109" s="222" t="s">
        <v>384</v>
      </c>
      <c r="H109" s="214" t="s">
        <v>48</v>
      </c>
      <c r="I109" s="230"/>
      <c r="J109" s="214" t="s">
        <v>48</v>
      </c>
      <c r="K109" s="230" t="s">
        <v>1146</v>
      </c>
      <c r="L109" s="210" t="s">
        <v>17</v>
      </c>
      <c r="M109" s="206" t="s">
        <v>66</v>
      </c>
      <c r="N109" s="206" t="s">
        <v>750</v>
      </c>
      <c r="O109" s="206" t="s">
        <v>535</v>
      </c>
      <c r="P109" s="210">
        <f ca="1">IF($B109="N/A", "N/A", VLOOKUP($B109, INDIRECT(Config!$B$1), HLOOKUP(P$1, INDIRECT(Config!$E$1), 2, FALSE),FALSE))</f>
        <v>1</v>
      </c>
      <c r="Q109" s="210">
        <f ca="1">IF($B109="N/A", "N/A", VLOOKUP($B109, INDIRECT(Config!$B$1), HLOOKUP(Q$1, INDIRECT(Config!$E$1), 2, FALSE),FALSE))</f>
        <v>1</v>
      </c>
      <c r="R109" s="210">
        <f ca="1">IF($B109="N/A", "N/A", VLOOKUP($B109, INDIRECT(Config!$B$1), HLOOKUP(R$1, INDIRECT(Config!$E$1), 2, FALSE),FALSE))</f>
        <v>0</v>
      </c>
    </row>
    <row r="110" spans="1:18" ht="14.55" customHeight="1" x14ac:dyDescent="0.3">
      <c r="A110" s="447"/>
      <c r="B110" s="16" t="s">
        <v>253</v>
      </c>
      <c r="C110" s="207">
        <v>2</v>
      </c>
      <c r="D110" s="207">
        <v>30</v>
      </c>
      <c r="E110" s="207"/>
      <c r="F110" s="207" t="s">
        <v>665</v>
      </c>
      <c r="G110" s="222" t="s">
        <v>384</v>
      </c>
      <c r="H110" s="214" t="s">
        <v>48</v>
      </c>
      <c r="I110" s="230"/>
      <c r="J110" s="214" t="s">
        <v>48</v>
      </c>
      <c r="K110" s="230"/>
      <c r="L110" s="210" t="s">
        <v>17</v>
      </c>
      <c r="M110" s="206" t="s">
        <v>66</v>
      </c>
      <c r="N110" s="206" t="s">
        <v>751</v>
      </c>
      <c r="O110" s="206" t="s">
        <v>535</v>
      </c>
      <c r="P110" s="210">
        <f ca="1">IF($B110="N/A", "N/A", VLOOKUP($B110, INDIRECT(Config!$B$1), HLOOKUP(P$1, INDIRECT(Config!$E$1), 2, FALSE),FALSE))</f>
        <v>1</v>
      </c>
      <c r="Q110" s="210">
        <f ca="1">IF($B110="N/A", "N/A", VLOOKUP($B110, INDIRECT(Config!$B$1), HLOOKUP(Q$1, INDIRECT(Config!$E$1), 2, FALSE),FALSE))</f>
        <v>1</v>
      </c>
      <c r="R110" s="210">
        <f ca="1">IF($B110="N/A", "N/A", VLOOKUP($B110, INDIRECT(Config!$B$1), HLOOKUP(R$1, INDIRECT(Config!$E$1), 2, FALSE),FALSE))</f>
        <v>0</v>
      </c>
    </row>
    <row r="111" spans="1:18" ht="14.55" customHeight="1" x14ac:dyDescent="0.3">
      <c r="A111" s="448" t="s">
        <v>353</v>
      </c>
      <c r="B111" s="16" t="s">
        <v>253</v>
      </c>
      <c r="C111" s="207">
        <v>0</v>
      </c>
      <c r="D111" s="207">
        <v>1</v>
      </c>
      <c r="E111" s="207"/>
      <c r="F111" s="207" t="s">
        <v>549</v>
      </c>
      <c r="G111" s="222" t="s">
        <v>384</v>
      </c>
      <c r="H111" s="214" t="s">
        <v>48</v>
      </c>
      <c r="I111" s="230"/>
      <c r="J111" s="214" t="s">
        <v>48</v>
      </c>
      <c r="K111" s="230"/>
      <c r="L111" s="210" t="s">
        <v>17</v>
      </c>
      <c r="M111" s="206" t="s">
        <v>66</v>
      </c>
      <c r="N111" s="206" t="s">
        <v>752</v>
      </c>
      <c r="O111" s="206" t="s">
        <v>546</v>
      </c>
      <c r="P111" s="210">
        <f ca="1">IF($B111="N/A", "N/A", VLOOKUP($B111, INDIRECT(Config!$B$1), HLOOKUP(P$1, INDIRECT(Config!$E$1), 2, FALSE),FALSE))</f>
        <v>1</v>
      </c>
      <c r="Q111" s="210">
        <f ca="1">IF($B111="N/A", "N/A", VLOOKUP($B111, INDIRECT(Config!$B$1), HLOOKUP(Q$1, INDIRECT(Config!$E$1), 2, FALSE),FALSE))</f>
        <v>1</v>
      </c>
      <c r="R111" s="210">
        <f ca="1">IF($B111="N/A", "N/A", VLOOKUP($B111, INDIRECT(Config!$B$1), HLOOKUP(R$1, INDIRECT(Config!$E$1), 2, FALSE),FALSE))</f>
        <v>0</v>
      </c>
    </row>
    <row r="112" spans="1:18" ht="14.55" customHeight="1" x14ac:dyDescent="0.3">
      <c r="A112" s="447"/>
      <c r="B112" s="16" t="s">
        <v>253</v>
      </c>
      <c r="C112" s="207">
        <v>1</v>
      </c>
      <c r="D112" s="207">
        <v>31</v>
      </c>
      <c r="E112" s="207"/>
      <c r="F112" s="207" t="s">
        <v>664</v>
      </c>
      <c r="G112" s="222" t="s">
        <v>384</v>
      </c>
      <c r="H112" s="214" t="s">
        <v>48</v>
      </c>
      <c r="I112" s="230"/>
      <c r="J112" s="214" t="s">
        <v>48</v>
      </c>
      <c r="K112" s="230"/>
      <c r="L112" s="210" t="s">
        <v>17</v>
      </c>
      <c r="M112" s="206" t="s">
        <v>66</v>
      </c>
      <c r="N112" s="206" t="s">
        <v>753</v>
      </c>
      <c r="O112" s="206" t="s">
        <v>546</v>
      </c>
      <c r="P112" s="210">
        <f ca="1">IF($B112="N/A", "N/A", VLOOKUP($B112, INDIRECT(Config!$B$1), HLOOKUP(P$1, INDIRECT(Config!$E$1), 2, FALSE),FALSE))</f>
        <v>1</v>
      </c>
      <c r="Q112" s="210">
        <f ca="1">IF($B112="N/A", "N/A", VLOOKUP($B112, INDIRECT(Config!$B$1), HLOOKUP(Q$1, INDIRECT(Config!$E$1), 2, FALSE),FALSE))</f>
        <v>1</v>
      </c>
      <c r="R112" s="210">
        <f ca="1">IF($B112="N/A", "N/A", VLOOKUP($B112, INDIRECT(Config!$B$1), HLOOKUP(R$1, INDIRECT(Config!$E$1), 2, FALSE),FALSE))</f>
        <v>0</v>
      </c>
    </row>
    <row r="113" spans="1:18" ht="14.55" customHeight="1" x14ac:dyDescent="0.3">
      <c r="A113" s="448" t="s">
        <v>354</v>
      </c>
      <c r="B113" s="16" t="s">
        <v>355</v>
      </c>
      <c r="C113" s="207">
        <v>0</v>
      </c>
      <c r="D113" s="207">
        <v>1</v>
      </c>
      <c r="E113" s="207"/>
      <c r="F113" s="207" t="s">
        <v>547</v>
      </c>
      <c r="G113" s="222" t="s">
        <v>384</v>
      </c>
      <c r="H113" s="214" t="s">
        <v>48</v>
      </c>
      <c r="I113" s="230"/>
      <c r="J113" s="214" t="s">
        <v>48</v>
      </c>
      <c r="K113" s="230"/>
      <c r="L113" s="210" t="s">
        <v>17</v>
      </c>
      <c r="M113" s="206" t="s">
        <v>66</v>
      </c>
      <c r="N113" s="206" t="s">
        <v>754</v>
      </c>
      <c r="O113" s="206" t="s">
        <v>534</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c r="R113" s="210">
        <f ca="1">IF(VLOOKUP("PARAM_INT_IFP_TRIPLE_RDD_DIS", INDIRECT(Config!$B$1), HLOOKUP(R$1, INDIRECT(Config!$E$1), 2, FALSE),FALSE)=0, VLOOKUP("TRC_PRESENT", INDIRECT(Config!$B$1), HLOOKUP(R$1, INDIRECT(Config!$E$1), 2, FALSE),FALSE), 0)</f>
        <v>0</v>
      </c>
    </row>
    <row r="114" spans="1:18" ht="14.55" customHeight="1" x14ac:dyDescent="0.3">
      <c r="A114" s="478"/>
      <c r="B114" s="16" t="s">
        <v>355</v>
      </c>
      <c r="C114" s="207">
        <v>1</v>
      </c>
      <c r="D114" s="207">
        <v>1</v>
      </c>
      <c r="E114" s="207"/>
      <c r="F114" s="207" t="s">
        <v>548</v>
      </c>
      <c r="G114" s="222" t="s">
        <v>384</v>
      </c>
      <c r="H114" s="214" t="s">
        <v>48</v>
      </c>
      <c r="I114" s="230"/>
      <c r="J114" s="214" t="s">
        <v>48</v>
      </c>
      <c r="K114" s="230"/>
      <c r="L114" s="210" t="s">
        <v>17</v>
      </c>
      <c r="M114" s="206" t="s">
        <v>66</v>
      </c>
      <c r="N114" s="206" t="s">
        <v>755</v>
      </c>
      <c r="O114" s="206" t="s">
        <v>535</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c r="R114" s="210">
        <f ca="1">IF(VLOOKUP("PARAM_INT_IFP_TRIPLE_RDD_DIS", INDIRECT(Config!$B$1), HLOOKUP(R$1, INDIRECT(Config!$E$1), 2, FALSE),FALSE)=0, VLOOKUP("TRC_PRESENT", INDIRECT(Config!$B$1), HLOOKUP(R$1, INDIRECT(Config!$E$1), 2, FALSE),FALSE), 0)</f>
        <v>0</v>
      </c>
    </row>
    <row r="115" spans="1:18" ht="14.55" customHeight="1" x14ac:dyDescent="0.3">
      <c r="A115" s="447"/>
      <c r="B115" s="16" t="s">
        <v>355</v>
      </c>
      <c r="C115" s="207">
        <v>2</v>
      </c>
      <c r="D115" s="207">
        <v>30</v>
      </c>
      <c r="E115" s="207"/>
      <c r="F115" s="207" t="s">
        <v>665</v>
      </c>
      <c r="G115" s="222" t="s">
        <v>384</v>
      </c>
      <c r="H115" s="214" t="s">
        <v>48</v>
      </c>
      <c r="I115" s="230"/>
      <c r="J115" s="214" t="s">
        <v>48</v>
      </c>
      <c r="K115" s="230"/>
      <c r="L115" s="210" t="s">
        <v>17</v>
      </c>
      <c r="M115" s="206" t="s">
        <v>66</v>
      </c>
      <c r="N115" s="206" t="s">
        <v>751</v>
      </c>
      <c r="O115" s="206" t="s">
        <v>535</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c r="R115" s="210">
        <f ca="1">IF(VLOOKUP("PARAM_INT_IFP_TRIPLE_RDD_DIS", INDIRECT(Config!$B$1), HLOOKUP(R$1, INDIRECT(Config!$E$1), 2, FALSE),FALSE)=0, VLOOKUP("TRC_PRESENT", INDIRECT(Config!$B$1), HLOOKUP(R$1, INDIRECT(Config!$E$1), 2, FALSE),FALSE), 0)</f>
        <v>0</v>
      </c>
    </row>
    <row r="116" spans="1:18" ht="14.55" customHeight="1" x14ac:dyDescent="0.3">
      <c r="A116" s="448" t="s">
        <v>356</v>
      </c>
      <c r="B116" s="16" t="s">
        <v>355</v>
      </c>
      <c r="C116" s="207">
        <v>0</v>
      </c>
      <c r="D116" s="207">
        <v>1</v>
      </c>
      <c r="E116" s="207"/>
      <c r="F116" s="207" t="s">
        <v>549</v>
      </c>
      <c r="G116" s="222" t="s">
        <v>384</v>
      </c>
      <c r="H116" s="214" t="s">
        <v>48</v>
      </c>
      <c r="I116" s="230"/>
      <c r="J116" s="214" t="s">
        <v>48</v>
      </c>
      <c r="K116" s="230"/>
      <c r="L116" s="210" t="s">
        <v>17</v>
      </c>
      <c r="M116" s="206" t="s">
        <v>66</v>
      </c>
      <c r="N116" s="206" t="s">
        <v>756</v>
      </c>
      <c r="O116" s="206" t="s">
        <v>546</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c r="R116" s="210">
        <f ca="1">IF(VLOOKUP("PARAM_INT_IFP_TRIPLE_RDD_DIS", INDIRECT(Config!$B$1), HLOOKUP(R$1, INDIRECT(Config!$E$1), 2, FALSE),FALSE)=0, VLOOKUP("TRC_PRESENT", INDIRECT(Config!$B$1), HLOOKUP(R$1, INDIRECT(Config!$E$1), 2, FALSE),FALSE), 0)</f>
        <v>0</v>
      </c>
    </row>
    <row r="117" spans="1:18" ht="14.55" customHeight="1" x14ac:dyDescent="0.3">
      <c r="A117" s="447"/>
      <c r="B117" s="16" t="s">
        <v>355</v>
      </c>
      <c r="C117" s="207">
        <v>1</v>
      </c>
      <c r="D117" s="207">
        <v>31</v>
      </c>
      <c r="E117" s="207"/>
      <c r="F117" s="207" t="s">
        <v>664</v>
      </c>
      <c r="G117" s="222" t="s">
        <v>384</v>
      </c>
      <c r="H117" s="214" t="s">
        <v>48</v>
      </c>
      <c r="I117" s="230"/>
      <c r="J117" s="214" t="s">
        <v>48</v>
      </c>
      <c r="K117" s="230"/>
      <c r="L117" s="210" t="s">
        <v>17</v>
      </c>
      <c r="M117" s="206" t="s">
        <v>66</v>
      </c>
      <c r="N117" s="206" t="s">
        <v>753</v>
      </c>
      <c r="O117" s="206" t="s">
        <v>546</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c r="R117" s="210">
        <f ca="1">IF(VLOOKUP("PARAM_INT_IFP_TRIPLE_RDD_DIS", INDIRECT(Config!$B$1), HLOOKUP(R$1, INDIRECT(Config!$E$1), 2, FALSE),FALSE)=0, VLOOKUP("TRC_PRESENT", INDIRECT(Config!$B$1), HLOOKUP(R$1, INDIRECT(Config!$E$1), 2, FALSE),FALSE), 0)</f>
        <v>0</v>
      </c>
    </row>
    <row r="118" spans="1:18" ht="14.55" customHeight="1" x14ac:dyDescent="0.3">
      <c r="A118" s="448" t="s">
        <v>357</v>
      </c>
      <c r="B118" s="16" t="s">
        <v>355</v>
      </c>
      <c r="C118" s="207">
        <v>0</v>
      </c>
      <c r="D118" s="207">
        <v>1</v>
      </c>
      <c r="E118" s="207"/>
      <c r="F118" s="207" t="s">
        <v>547</v>
      </c>
      <c r="G118" s="222" t="s">
        <v>384</v>
      </c>
      <c r="H118" s="214" t="s">
        <v>48</v>
      </c>
      <c r="I118" s="230"/>
      <c r="J118" s="214" t="s">
        <v>48</v>
      </c>
      <c r="K118" s="230"/>
      <c r="L118" s="210" t="s">
        <v>17</v>
      </c>
      <c r="M118" s="206" t="s">
        <v>66</v>
      </c>
      <c r="N118" s="206" t="s">
        <v>757</v>
      </c>
      <c r="O118" s="206" t="s">
        <v>534</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c r="R118" s="210">
        <f ca="1">IF(VLOOKUP("PARAM_INT_IFP_TRIPLE_RDD_DIS", INDIRECT(Config!$B$1), HLOOKUP(R$1, INDIRECT(Config!$E$1), 2, FALSE),FALSE)=0, VLOOKUP("TRC_PRESENT", INDIRECT(Config!$B$1), HLOOKUP(R$1, INDIRECT(Config!$E$1), 2, FALSE),FALSE), 0)</f>
        <v>0</v>
      </c>
    </row>
    <row r="119" spans="1:18" ht="14.55" customHeight="1" x14ac:dyDescent="0.3">
      <c r="A119" s="478"/>
      <c r="B119" s="16" t="s">
        <v>355</v>
      </c>
      <c r="C119" s="207">
        <v>1</v>
      </c>
      <c r="D119" s="207">
        <v>1</v>
      </c>
      <c r="E119" s="207"/>
      <c r="F119" s="207" t="s">
        <v>548</v>
      </c>
      <c r="G119" s="222" t="s">
        <v>384</v>
      </c>
      <c r="H119" s="214" t="s">
        <v>48</v>
      </c>
      <c r="I119" s="230"/>
      <c r="J119" s="214" t="s">
        <v>48</v>
      </c>
      <c r="K119" s="230"/>
      <c r="L119" s="210" t="s">
        <v>17</v>
      </c>
      <c r="M119" s="206" t="s">
        <v>66</v>
      </c>
      <c r="N119" s="206" t="s">
        <v>758</v>
      </c>
      <c r="O119" s="206" t="s">
        <v>535</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c r="R119" s="210">
        <f ca="1">IF(VLOOKUP("PARAM_INT_IFP_TRIPLE_RDD_DIS", INDIRECT(Config!$B$1), HLOOKUP(R$1, INDIRECT(Config!$E$1), 2, FALSE),FALSE)=0, VLOOKUP("TRC_PRESENT", INDIRECT(Config!$B$1), HLOOKUP(R$1, INDIRECT(Config!$E$1), 2, FALSE),FALSE), 0)</f>
        <v>0</v>
      </c>
    </row>
    <row r="120" spans="1:18" ht="14.55" customHeight="1" x14ac:dyDescent="0.3">
      <c r="A120" s="447"/>
      <c r="B120" s="16" t="s">
        <v>355</v>
      </c>
      <c r="C120" s="207">
        <v>2</v>
      </c>
      <c r="D120" s="207">
        <v>30</v>
      </c>
      <c r="E120" s="207"/>
      <c r="F120" s="207" t="s">
        <v>665</v>
      </c>
      <c r="G120" s="222" t="s">
        <v>384</v>
      </c>
      <c r="H120" s="214" t="s">
        <v>48</v>
      </c>
      <c r="I120" s="230"/>
      <c r="J120" s="214" t="s">
        <v>48</v>
      </c>
      <c r="K120" s="230"/>
      <c r="L120" s="210" t="s">
        <v>17</v>
      </c>
      <c r="M120" s="206" t="s">
        <v>66</v>
      </c>
      <c r="N120" s="206" t="s">
        <v>751</v>
      </c>
      <c r="O120" s="206" t="s">
        <v>535</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c r="R120" s="210">
        <f ca="1">IF(VLOOKUP("PARAM_INT_IFP_TRIPLE_RDD_DIS", INDIRECT(Config!$B$1), HLOOKUP(R$1, INDIRECT(Config!$E$1), 2, FALSE),FALSE)=0, VLOOKUP("TRC_PRESENT", INDIRECT(Config!$B$1), HLOOKUP(R$1, INDIRECT(Config!$E$1), 2, FALSE),FALSE), 0)</f>
        <v>0</v>
      </c>
    </row>
    <row r="121" spans="1:18" ht="14.55" customHeight="1" x14ac:dyDescent="0.3">
      <c r="A121" s="448" t="s">
        <v>358</v>
      </c>
      <c r="B121" s="16" t="s">
        <v>355</v>
      </c>
      <c r="C121" s="207">
        <v>0</v>
      </c>
      <c r="D121" s="207">
        <v>1</v>
      </c>
      <c r="E121" s="207"/>
      <c r="F121" s="207" t="s">
        <v>549</v>
      </c>
      <c r="G121" s="222" t="s">
        <v>384</v>
      </c>
      <c r="H121" s="214" t="s">
        <v>48</v>
      </c>
      <c r="I121" s="230"/>
      <c r="J121" s="214" t="s">
        <v>48</v>
      </c>
      <c r="K121" s="230"/>
      <c r="L121" s="210" t="s">
        <v>17</v>
      </c>
      <c r="M121" s="206" t="s">
        <v>66</v>
      </c>
      <c r="N121" s="206" t="s">
        <v>759</v>
      </c>
      <c r="O121" s="206" t="s">
        <v>546</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c r="R121" s="210">
        <f ca="1">IF(VLOOKUP("PARAM_INT_IFP_TRIPLE_RDD_DIS", INDIRECT(Config!$B$1), HLOOKUP(R$1, INDIRECT(Config!$E$1), 2, FALSE),FALSE)=0, VLOOKUP("TRC_PRESENT", INDIRECT(Config!$B$1), HLOOKUP(R$1, INDIRECT(Config!$E$1), 2, FALSE),FALSE), 0)</f>
        <v>0</v>
      </c>
    </row>
    <row r="122" spans="1:18" ht="14.55" customHeight="1" x14ac:dyDescent="0.3">
      <c r="A122" s="447"/>
      <c r="B122" s="16" t="s">
        <v>355</v>
      </c>
      <c r="C122" s="207">
        <v>1</v>
      </c>
      <c r="D122" s="207">
        <v>31</v>
      </c>
      <c r="E122" s="207"/>
      <c r="F122" s="207" t="s">
        <v>664</v>
      </c>
      <c r="G122" s="222" t="s">
        <v>384</v>
      </c>
      <c r="H122" s="214" t="s">
        <v>48</v>
      </c>
      <c r="I122" s="230"/>
      <c r="J122" s="214" t="s">
        <v>48</v>
      </c>
      <c r="K122" s="230"/>
      <c r="L122" s="210" t="s">
        <v>17</v>
      </c>
      <c r="M122" s="206" t="s">
        <v>66</v>
      </c>
      <c r="N122" s="206" t="s">
        <v>753</v>
      </c>
      <c r="O122" s="206" t="s">
        <v>546</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c r="R122" s="210">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7">
        <v>0</v>
      </c>
      <c r="D123" s="207">
        <f>32*8</f>
        <v>256</v>
      </c>
      <c r="E123" s="207"/>
      <c r="F123" s="207" t="s">
        <v>361</v>
      </c>
      <c r="G123" s="222" t="s">
        <v>384</v>
      </c>
      <c r="H123" s="214" t="s">
        <v>48</v>
      </c>
      <c r="I123" s="230"/>
      <c r="J123" s="214" t="s">
        <v>48</v>
      </c>
      <c r="K123" s="230"/>
      <c r="L123" s="207" t="s">
        <v>551</v>
      </c>
      <c r="M123" s="207" t="s">
        <v>128</v>
      </c>
      <c r="N123" s="207" t="s">
        <v>787</v>
      </c>
      <c r="O123" s="207" t="s">
        <v>550</v>
      </c>
      <c r="P123" s="210">
        <f ca="1">IF($B123="N/A", "N/A", VLOOKUP($B123, INDIRECT(Config!$B$1), HLOOKUP(P$1, INDIRECT(Config!$E$1), 2, FALSE),FALSE))</f>
        <v>0</v>
      </c>
      <c r="Q123" s="210">
        <f ca="1">IF($B123="N/A", "N/A", VLOOKUP($B123, INDIRECT(Config!$B$1), HLOOKUP(Q$1, INDIRECT(Config!$E$1), 2, FALSE),FALSE))</f>
        <v>0</v>
      </c>
      <c r="R123" s="210">
        <f ca="1">IF($B123="N/A", "N/A", VLOOKUP($B123, INDIRECT(Config!$B$1), HLOOKUP(R$1, INDIRECT(Config!$E$1), 2, FALSE),FALSE))</f>
        <v>0</v>
      </c>
    </row>
    <row r="124" spans="1:18" ht="14.55" customHeight="1" x14ac:dyDescent="0.3">
      <c r="A124" s="16" t="s">
        <v>362</v>
      </c>
      <c r="B124" s="16" t="s">
        <v>363</v>
      </c>
      <c r="C124" s="207">
        <v>0</v>
      </c>
      <c r="D124" s="207">
        <f>32*8</f>
        <v>256</v>
      </c>
      <c r="E124" s="207"/>
      <c r="F124" s="207" t="s">
        <v>364</v>
      </c>
      <c r="G124" s="222" t="s">
        <v>384</v>
      </c>
      <c r="H124" s="214" t="s">
        <v>48</v>
      </c>
      <c r="I124" s="230"/>
      <c r="J124" s="214" t="s">
        <v>48</v>
      </c>
      <c r="K124" s="230"/>
      <c r="L124" s="207" t="s">
        <v>551</v>
      </c>
      <c r="M124" s="207" t="s">
        <v>128</v>
      </c>
      <c r="N124" s="207" t="s">
        <v>787</v>
      </c>
      <c r="O124" s="207" t="s">
        <v>550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c r="R124" s="210">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7">
        <v>0</v>
      </c>
      <c r="D125" s="207">
        <f>32*8</f>
        <v>256</v>
      </c>
      <c r="E125" s="207"/>
      <c r="F125" s="207" t="s">
        <v>366</v>
      </c>
      <c r="G125" s="222" t="s">
        <v>384</v>
      </c>
      <c r="H125" s="214" t="s">
        <v>48</v>
      </c>
      <c r="I125" s="230"/>
      <c r="J125" s="214" t="s">
        <v>48</v>
      </c>
      <c r="K125" s="230"/>
      <c r="L125" s="207" t="s">
        <v>551</v>
      </c>
      <c r="M125" s="207" t="s">
        <v>128</v>
      </c>
      <c r="N125" s="207" t="s">
        <v>787</v>
      </c>
      <c r="O125" s="207" t="s">
        <v>550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c r="R125" s="210">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5" priority="6" operator="equal">
      <formula>"N/A"</formula>
    </cfRule>
  </conditionalFormatting>
  <conditionalFormatting sqref="P119:R119">
    <cfRule type="cellIs" dxfId="44" priority="5" operator="equal">
      <formula>"N/A"</formula>
    </cfRule>
  </conditionalFormatting>
  <conditionalFormatting sqref="P121:R121">
    <cfRule type="cellIs" dxfId="43" priority="4" operator="equal">
      <formula>"N/A"</formula>
    </cfRule>
  </conditionalFormatting>
  <conditionalFormatting sqref="P84:R84">
    <cfRule type="cellIs" dxfId="42" priority="3" operator="equal">
      <formula>"N/A"</formula>
    </cfRule>
  </conditionalFormatting>
  <conditionalFormatting sqref="P64:R64">
    <cfRule type="cellIs" dxfId="41" priority="2" operator="equal">
      <formula>"N/A"</formula>
    </cfRule>
  </conditionalFormatting>
  <conditionalFormatting sqref="P65:R65">
    <cfRule type="cellIs" dxfId="40" priority="1" operator="equal">
      <formula>"N/A"</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1" zoomScale="85" zoomScaleNormal="85" workbookViewId="0">
      <selection activeCell="O4" sqref="O4"/>
    </sheetView>
  </sheetViews>
  <sheetFormatPr defaultColWidth="9.109375" defaultRowHeight="14.4" x14ac:dyDescent="0.3"/>
  <cols>
    <col min="1" max="1" width="29.7773437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6" hidden="1" customWidth="1"/>
    <col min="8" max="8" width="3.44140625" style="196" hidden="1" customWidth="1"/>
    <col min="9" max="9" width="27.88671875" style="197" hidden="1" customWidth="1"/>
    <col min="10" max="10" width="4.44140625" style="197" hidden="1" customWidth="1"/>
    <col min="11" max="11" width="18.88671875" style="6" hidden="1" customWidth="1"/>
    <col min="12" max="12" width="9.21875" style="6" hidden="1" customWidth="1"/>
    <col min="13" max="13" width="44.6640625" style="15" hidden="1"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4" t="s">
        <v>382</v>
      </c>
      <c r="D1" s="204" t="s">
        <v>383</v>
      </c>
      <c r="E1" s="204" t="s">
        <v>59</v>
      </c>
      <c r="F1" s="204" t="s">
        <v>60</v>
      </c>
      <c r="G1" s="205" t="s">
        <v>1127</v>
      </c>
      <c r="H1" s="205" t="s">
        <v>1128</v>
      </c>
      <c r="I1" s="205" t="s">
        <v>372</v>
      </c>
      <c r="J1" s="205" t="s">
        <v>386</v>
      </c>
      <c r="K1" s="204" t="s">
        <v>61</v>
      </c>
      <c r="L1" s="204" t="s">
        <v>62</v>
      </c>
      <c r="M1" s="204" t="s">
        <v>676</v>
      </c>
      <c r="N1" s="204" t="s">
        <v>424</v>
      </c>
      <c r="O1" s="204" t="s">
        <v>609</v>
      </c>
      <c r="P1" s="204" t="s">
        <v>610</v>
      </c>
      <c r="Q1" s="204" t="s">
        <v>611</v>
      </c>
    </row>
    <row r="2" spans="1:17" ht="14.55" customHeight="1" x14ac:dyDescent="0.3">
      <c r="A2" s="482" t="s">
        <v>63</v>
      </c>
      <c r="B2" s="4" t="s">
        <v>613</v>
      </c>
      <c r="C2" s="206">
        <v>0</v>
      </c>
      <c r="D2" s="206">
        <v>1</v>
      </c>
      <c r="E2" s="207" t="s">
        <v>64</v>
      </c>
      <c r="F2" s="208" t="s">
        <v>65</v>
      </c>
      <c r="G2" s="209" t="s">
        <v>891</v>
      </c>
      <c r="H2" s="209">
        <v>0</v>
      </c>
      <c r="I2" s="209" t="s">
        <v>980</v>
      </c>
      <c r="J2" s="209">
        <v>1</v>
      </c>
      <c r="K2" s="210" t="s">
        <v>17</v>
      </c>
      <c r="L2" s="207" t="s">
        <v>66</v>
      </c>
      <c r="M2" s="207" t="s">
        <v>677</v>
      </c>
      <c r="N2" s="228" t="s">
        <v>425</v>
      </c>
      <c r="O2" s="211">
        <f t="shared" ref="O2:Q3" si="0">IF($B2="N/A", "N/A", 1)</f>
        <v>1</v>
      </c>
      <c r="P2" s="211">
        <f t="shared" si="0"/>
        <v>1</v>
      </c>
      <c r="Q2" s="211">
        <f t="shared" si="0"/>
        <v>1</v>
      </c>
    </row>
    <row r="3" spans="1:17" ht="14.55" customHeight="1" x14ac:dyDescent="0.3">
      <c r="A3" s="482"/>
      <c r="B3" s="4" t="s">
        <v>613</v>
      </c>
      <c r="C3" s="206">
        <v>1</v>
      </c>
      <c r="D3" s="206">
        <v>1</v>
      </c>
      <c r="E3" s="207" t="s">
        <v>67</v>
      </c>
      <c r="F3" s="208" t="s">
        <v>68</v>
      </c>
      <c r="G3" s="209" t="s">
        <v>892</v>
      </c>
      <c r="H3" s="209">
        <v>0</v>
      </c>
      <c r="I3" s="209" t="s">
        <v>981</v>
      </c>
      <c r="J3" s="209">
        <v>1</v>
      </c>
      <c r="K3" s="210" t="s">
        <v>17</v>
      </c>
      <c r="L3" s="207" t="s">
        <v>69</v>
      </c>
      <c r="M3" s="207" t="s">
        <v>678</v>
      </c>
      <c r="N3" s="228" t="s">
        <v>426</v>
      </c>
      <c r="O3" s="211">
        <f t="shared" si="0"/>
        <v>1</v>
      </c>
      <c r="P3" s="211">
        <f t="shared" si="0"/>
        <v>1</v>
      </c>
      <c r="Q3" s="211">
        <f t="shared" si="0"/>
        <v>1</v>
      </c>
    </row>
    <row r="4" spans="1:17" ht="14.55" customHeight="1" x14ac:dyDescent="0.3">
      <c r="A4" s="482"/>
      <c r="B4" s="16" t="s">
        <v>70</v>
      </c>
      <c r="C4" s="206">
        <v>2</v>
      </c>
      <c r="D4" s="206">
        <v>1</v>
      </c>
      <c r="E4" s="207" t="s">
        <v>71</v>
      </c>
      <c r="F4" s="207" t="s">
        <v>72</v>
      </c>
      <c r="G4" s="209" t="s">
        <v>893</v>
      </c>
      <c r="H4" s="209">
        <v>0</v>
      </c>
      <c r="I4" s="209" t="s">
        <v>982</v>
      </c>
      <c r="J4" s="209">
        <v>0</v>
      </c>
      <c r="K4" s="210" t="s">
        <v>17</v>
      </c>
      <c r="L4" s="207" t="s">
        <v>66</v>
      </c>
      <c r="M4" s="207" t="s">
        <v>679</v>
      </c>
      <c r="N4" s="207" t="s">
        <v>427</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5" customHeight="1" x14ac:dyDescent="0.3">
      <c r="A5" s="482"/>
      <c r="B5" s="4" t="s">
        <v>613</v>
      </c>
      <c r="C5" s="206">
        <v>3</v>
      </c>
      <c r="D5" s="206">
        <v>1</v>
      </c>
      <c r="E5" s="207" t="s">
        <v>73</v>
      </c>
      <c r="F5" s="208" t="s">
        <v>74</v>
      </c>
      <c r="G5" s="209" t="s">
        <v>894</v>
      </c>
      <c r="H5" s="209">
        <v>0</v>
      </c>
      <c r="I5" s="209" t="s">
        <v>983</v>
      </c>
      <c r="J5" s="209">
        <v>0</v>
      </c>
      <c r="K5" s="210" t="s">
        <v>17</v>
      </c>
      <c r="L5" s="207" t="s">
        <v>66</v>
      </c>
      <c r="M5" s="207" t="s">
        <v>680</v>
      </c>
      <c r="N5" s="207" t="s">
        <v>428</v>
      </c>
      <c r="O5" s="211">
        <f>IF($B5="N/A", "N/A", 1)</f>
        <v>1</v>
      </c>
      <c r="P5" s="211">
        <f>IF($B5="N/A", "N/A", 1)</f>
        <v>1</v>
      </c>
      <c r="Q5" s="211">
        <f>IF($B5="N/A", "N/A", 1)</f>
        <v>1</v>
      </c>
    </row>
    <row r="6" spans="1:17" ht="14.55" customHeight="1" x14ac:dyDescent="0.3">
      <c r="A6" s="482"/>
      <c r="B6" s="7" t="s">
        <v>75</v>
      </c>
      <c r="C6" s="206">
        <v>4</v>
      </c>
      <c r="D6" s="206">
        <v>1</v>
      </c>
      <c r="E6" s="206" t="s">
        <v>76</v>
      </c>
      <c r="F6" s="207" t="s">
        <v>77</v>
      </c>
      <c r="G6" s="209" t="s">
        <v>895</v>
      </c>
      <c r="H6" s="209">
        <v>0</v>
      </c>
      <c r="I6" s="209" t="s">
        <v>984</v>
      </c>
      <c r="J6" s="209">
        <v>0</v>
      </c>
      <c r="K6" s="210" t="s">
        <v>17</v>
      </c>
      <c r="L6" s="207" t="s">
        <v>78</v>
      </c>
      <c r="M6" s="207" t="s">
        <v>681</v>
      </c>
      <c r="N6" s="207" t="s">
        <v>429</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5" customHeight="1" x14ac:dyDescent="0.3">
      <c r="A7" s="482"/>
      <c r="B7" s="7" t="s">
        <v>75</v>
      </c>
      <c r="C7" s="206">
        <v>5</v>
      </c>
      <c r="D7" s="206">
        <v>1</v>
      </c>
      <c r="E7" s="206" t="s">
        <v>79</v>
      </c>
      <c r="F7" s="207" t="s">
        <v>80</v>
      </c>
      <c r="G7" s="209" t="s">
        <v>896</v>
      </c>
      <c r="H7" s="209">
        <v>0</v>
      </c>
      <c r="I7" s="209" t="s">
        <v>985</v>
      </c>
      <c r="J7" s="209">
        <v>0</v>
      </c>
      <c r="K7" s="210" t="s">
        <v>17</v>
      </c>
      <c r="L7" s="207" t="s">
        <v>78</v>
      </c>
      <c r="M7" s="207" t="s">
        <v>682</v>
      </c>
      <c r="N7" s="207" t="s">
        <v>430</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5" customHeight="1" x14ac:dyDescent="0.3">
      <c r="A8" s="482"/>
      <c r="B8" s="4" t="s">
        <v>613</v>
      </c>
      <c r="C8" s="206">
        <v>6</v>
      </c>
      <c r="D8" s="206">
        <v>1</v>
      </c>
      <c r="E8" s="207" t="s">
        <v>81</v>
      </c>
      <c r="F8" s="208" t="s">
        <v>82</v>
      </c>
      <c r="G8" s="209" t="s">
        <v>897</v>
      </c>
      <c r="H8" s="209">
        <v>0</v>
      </c>
      <c r="I8" s="209" t="s">
        <v>986</v>
      </c>
      <c r="J8" s="209">
        <v>0</v>
      </c>
      <c r="K8" s="210" t="s">
        <v>17</v>
      </c>
      <c r="L8" s="207" t="s">
        <v>66</v>
      </c>
      <c r="M8" s="207" t="s">
        <v>683</v>
      </c>
      <c r="N8" s="207" t="s">
        <v>431</v>
      </c>
      <c r="O8" s="211">
        <f t="shared" ref="O8:Q10" si="1">IF($B8="N/A", "N/A", 1)</f>
        <v>1</v>
      </c>
      <c r="P8" s="211">
        <f t="shared" si="1"/>
        <v>1</v>
      </c>
      <c r="Q8" s="211">
        <f t="shared" si="1"/>
        <v>1</v>
      </c>
    </row>
    <row r="9" spans="1:17" ht="14.55" customHeight="1" x14ac:dyDescent="0.3">
      <c r="A9" s="482"/>
      <c r="B9" s="4" t="s">
        <v>613</v>
      </c>
      <c r="C9" s="206">
        <v>7</v>
      </c>
      <c r="D9" s="206">
        <v>1</v>
      </c>
      <c r="E9" s="207" t="s">
        <v>83</v>
      </c>
      <c r="F9" s="208" t="s">
        <v>84</v>
      </c>
      <c r="G9" s="209" t="s">
        <v>898</v>
      </c>
      <c r="H9" s="209">
        <v>1</v>
      </c>
      <c r="I9" s="209" t="s">
        <v>987</v>
      </c>
      <c r="J9" s="209">
        <v>1</v>
      </c>
      <c r="K9" s="210" t="s">
        <v>17</v>
      </c>
      <c r="L9" s="207" t="s">
        <v>66</v>
      </c>
      <c r="M9" s="207" t="s">
        <v>684</v>
      </c>
      <c r="N9" s="207" t="s">
        <v>432</v>
      </c>
      <c r="O9" s="211">
        <f t="shared" si="1"/>
        <v>1</v>
      </c>
      <c r="P9" s="211">
        <f t="shared" si="1"/>
        <v>1</v>
      </c>
      <c r="Q9" s="211">
        <f t="shared" si="1"/>
        <v>1</v>
      </c>
    </row>
    <row r="10" spans="1:17" ht="14.55" customHeight="1" x14ac:dyDescent="0.3">
      <c r="A10" s="482"/>
      <c r="B10" s="4" t="s">
        <v>613</v>
      </c>
      <c r="C10" s="206">
        <v>8</v>
      </c>
      <c r="D10" s="206">
        <v>1</v>
      </c>
      <c r="E10" s="207" t="s">
        <v>85</v>
      </c>
      <c r="F10" s="208" t="s">
        <v>86</v>
      </c>
      <c r="G10" s="209" t="s">
        <v>899</v>
      </c>
      <c r="H10" s="209">
        <v>0</v>
      </c>
      <c r="I10" s="209" t="s">
        <v>988</v>
      </c>
      <c r="J10" s="209">
        <v>0</v>
      </c>
      <c r="K10" s="212" t="s">
        <v>17</v>
      </c>
      <c r="L10" s="207" t="s">
        <v>87</v>
      </c>
      <c r="M10" s="207" t="s">
        <v>685</v>
      </c>
      <c r="N10" s="207" t="s">
        <v>433</v>
      </c>
      <c r="O10" s="211">
        <f t="shared" si="1"/>
        <v>1</v>
      </c>
      <c r="P10" s="211">
        <f t="shared" si="1"/>
        <v>1</v>
      </c>
      <c r="Q10" s="211">
        <f t="shared" si="1"/>
        <v>1</v>
      </c>
    </row>
    <row r="11" spans="1:17" ht="14.55" customHeight="1" x14ac:dyDescent="0.3">
      <c r="A11" s="482"/>
      <c r="B11" s="3" t="s">
        <v>809</v>
      </c>
      <c r="C11" s="210">
        <v>9</v>
      </c>
      <c r="D11" s="210">
        <v>1</v>
      </c>
      <c r="E11" s="210" t="s">
        <v>811</v>
      </c>
      <c r="F11" s="210" t="s">
        <v>88</v>
      </c>
      <c r="G11" s="209" t="s">
        <v>900</v>
      </c>
      <c r="H11" s="209">
        <v>0</v>
      </c>
      <c r="I11" s="209" t="s">
        <v>989</v>
      </c>
      <c r="J11" s="209">
        <v>0</v>
      </c>
      <c r="K11" s="212" t="s">
        <v>17</v>
      </c>
      <c r="L11" s="207" t="s">
        <v>87</v>
      </c>
      <c r="M11" s="213" t="s">
        <v>813</v>
      </c>
      <c r="N11" s="213" t="s">
        <v>812</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5" customHeight="1" x14ac:dyDescent="0.3">
      <c r="A12" s="482"/>
      <c r="B12" s="16" t="s">
        <v>647</v>
      </c>
      <c r="C12" s="206">
        <v>10</v>
      </c>
      <c r="D12" s="206">
        <v>1</v>
      </c>
      <c r="E12" s="207" t="s">
        <v>89</v>
      </c>
      <c r="F12" s="207" t="s">
        <v>90</v>
      </c>
      <c r="G12" s="209" t="s">
        <v>901</v>
      </c>
      <c r="H12" s="209">
        <v>1</v>
      </c>
      <c r="I12" s="209" t="s">
        <v>990</v>
      </c>
      <c r="J12" s="209">
        <v>0</v>
      </c>
      <c r="K12" s="212" t="s">
        <v>17</v>
      </c>
      <c r="L12" s="207" t="s">
        <v>87</v>
      </c>
      <c r="M12" s="207" t="s">
        <v>686</v>
      </c>
      <c r="N12" s="207" t="s">
        <v>434</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5" customHeight="1" x14ac:dyDescent="0.3">
      <c r="A13" s="482"/>
      <c r="B13" s="16" t="s">
        <v>91</v>
      </c>
      <c r="C13" s="206">
        <v>11</v>
      </c>
      <c r="D13" s="206">
        <v>1</v>
      </c>
      <c r="E13" s="207" t="s">
        <v>92</v>
      </c>
      <c r="F13" s="207" t="s">
        <v>93</v>
      </c>
      <c r="G13" s="209" t="s">
        <v>902</v>
      </c>
      <c r="H13" s="209">
        <v>0</v>
      </c>
      <c r="I13" s="209" t="s">
        <v>991</v>
      </c>
      <c r="J13" s="209">
        <v>0</v>
      </c>
      <c r="K13" s="212" t="s">
        <v>17</v>
      </c>
      <c r="L13" s="207" t="s">
        <v>87</v>
      </c>
      <c r="M13" s="207" t="s">
        <v>687</v>
      </c>
      <c r="N13" s="207" t="s">
        <v>435</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5" customHeight="1" x14ac:dyDescent="0.3">
      <c r="A14" s="482"/>
      <c r="B14" s="16" t="s">
        <v>649</v>
      </c>
      <c r="C14" s="206">
        <v>12</v>
      </c>
      <c r="D14" s="206">
        <v>1</v>
      </c>
      <c r="E14" s="207" t="s">
        <v>94</v>
      </c>
      <c r="F14" s="207" t="s">
        <v>95</v>
      </c>
      <c r="G14" s="209" t="s">
        <v>903</v>
      </c>
      <c r="H14" s="209">
        <v>1</v>
      </c>
      <c r="I14" s="209" t="s">
        <v>992</v>
      </c>
      <c r="J14" s="209">
        <v>1</v>
      </c>
      <c r="K14" s="212" t="s">
        <v>17</v>
      </c>
      <c r="L14" s="207" t="s">
        <v>87</v>
      </c>
      <c r="M14" s="207" t="s">
        <v>688</v>
      </c>
      <c r="N14" s="207" t="s">
        <v>436</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5" customHeight="1" x14ac:dyDescent="0.3">
      <c r="A15" s="482"/>
      <c r="B15" s="16" t="s">
        <v>172</v>
      </c>
      <c r="C15" s="206">
        <v>13</v>
      </c>
      <c r="D15" s="206">
        <v>1</v>
      </c>
      <c r="E15" s="207" t="s">
        <v>96</v>
      </c>
      <c r="F15" s="207" t="s">
        <v>97</v>
      </c>
      <c r="G15" s="209" t="s">
        <v>904</v>
      </c>
      <c r="H15" s="209">
        <v>0</v>
      </c>
      <c r="I15" s="209" t="s">
        <v>993</v>
      </c>
      <c r="J15" s="209">
        <v>1</v>
      </c>
      <c r="K15" s="212" t="s">
        <v>17</v>
      </c>
      <c r="L15" s="207" t="s">
        <v>87</v>
      </c>
      <c r="M15" s="207" t="s">
        <v>689</v>
      </c>
      <c r="N15" s="207" t="s">
        <v>437</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5" customHeight="1" x14ac:dyDescent="0.3">
      <c r="A16" s="482"/>
      <c r="B16" s="4" t="s">
        <v>613</v>
      </c>
      <c r="C16" s="206">
        <v>14</v>
      </c>
      <c r="D16" s="206">
        <v>1</v>
      </c>
      <c r="E16" s="207" t="s">
        <v>98</v>
      </c>
      <c r="F16" s="208" t="s">
        <v>99</v>
      </c>
      <c r="G16" s="209" t="s">
        <v>905</v>
      </c>
      <c r="H16" s="209">
        <v>1</v>
      </c>
      <c r="I16" s="209" t="s">
        <v>994</v>
      </c>
      <c r="J16" s="209">
        <v>1</v>
      </c>
      <c r="K16" s="212" t="s">
        <v>17</v>
      </c>
      <c r="L16" s="206" t="s">
        <v>69</v>
      </c>
      <c r="M16" s="206" t="s">
        <v>690</v>
      </c>
      <c r="N16" s="206" t="s">
        <v>438</v>
      </c>
      <c r="O16" s="211">
        <f>IF($B16="N/A", "N/A", 1)</f>
        <v>1</v>
      </c>
      <c r="P16" s="211">
        <f>IF($B16="N/A", "N/A", 1)</f>
        <v>1</v>
      </c>
      <c r="Q16" s="211">
        <f>IF($B16="N/A", "N/A", 1)</f>
        <v>1</v>
      </c>
    </row>
    <row r="17" spans="1:17" ht="14.55" customHeight="1" x14ac:dyDescent="0.3">
      <c r="A17" s="482"/>
      <c r="B17" s="2" t="s">
        <v>100</v>
      </c>
      <c r="C17" s="208">
        <v>15</v>
      </c>
      <c r="D17" s="208">
        <v>1</v>
      </c>
      <c r="E17" s="208" t="s">
        <v>101</v>
      </c>
      <c r="F17" s="207" t="s">
        <v>102</v>
      </c>
      <c r="G17" s="209" t="s">
        <v>906</v>
      </c>
      <c r="H17" s="209">
        <v>0</v>
      </c>
      <c r="I17" s="209" t="s">
        <v>995</v>
      </c>
      <c r="J17" s="209">
        <v>0</v>
      </c>
      <c r="K17" s="212" t="s">
        <v>17</v>
      </c>
      <c r="L17" s="206" t="s">
        <v>66</v>
      </c>
      <c r="M17" s="206" t="s">
        <v>691</v>
      </c>
      <c r="N17" s="206" t="s">
        <v>439</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5" customHeight="1" x14ac:dyDescent="0.3">
      <c r="A18" s="482"/>
      <c r="B18" s="4" t="s">
        <v>613</v>
      </c>
      <c r="C18" s="206">
        <v>16</v>
      </c>
      <c r="D18" s="206">
        <v>1</v>
      </c>
      <c r="E18" s="207" t="s">
        <v>103</v>
      </c>
      <c r="F18" s="208" t="s">
        <v>104</v>
      </c>
      <c r="G18" s="209" t="s">
        <v>907</v>
      </c>
      <c r="H18" s="209">
        <v>1</v>
      </c>
      <c r="I18" s="209" t="s">
        <v>996</v>
      </c>
      <c r="J18" s="209">
        <v>1</v>
      </c>
      <c r="K18" s="210"/>
      <c r="L18" s="206" t="s">
        <v>87</v>
      </c>
      <c r="M18" s="206" t="s">
        <v>692</v>
      </c>
      <c r="N18" s="206" t="s">
        <v>440</v>
      </c>
      <c r="O18" s="211">
        <f t="shared" ref="O18:Q19" si="2">IF($B18="N/A", "N/A", 1)</f>
        <v>1</v>
      </c>
      <c r="P18" s="211">
        <f t="shared" si="2"/>
        <v>1</v>
      </c>
      <c r="Q18" s="211">
        <f t="shared" si="2"/>
        <v>1</v>
      </c>
    </row>
    <row r="19" spans="1:17" ht="14.55" customHeight="1" x14ac:dyDescent="0.3">
      <c r="A19" s="482"/>
      <c r="B19" s="4" t="s">
        <v>613</v>
      </c>
      <c r="C19" s="206">
        <v>17</v>
      </c>
      <c r="D19" s="206">
        <v>1</v>
      </c>
      <c r="E19" s="207" t="s">
        <v>105</v>
      </c>
      <c r="F19" s="208" t="s">
        <v>106</v>
      </c>
      <c r="G19" s="209" t="s">
        <v>908</v>
      </c>
      <c r="H19" s="209">
        <v>1</v>
      </c>
      <c r="I19" s="209" t="s">
        <v>997</v>
      </c>
      <c r="J19" s="209">
        <v>1</v>
      </c>
      <c r="K19" s="210"/>
      <c r="L19" s="206" t="s">
        <v>87</v>
      </c>
      <c r="M19" s="206" t="s">
        <v>693</v>
      </c>
      <c r="N19" s="206" t="s">
        <v>441</v>
      </c>
      <c r="O19" s="211">
        <f t="shared" si="2"/>
        <v>1</v>
      </c>
      <c r="P19" s="211">
        <f t="shared" si="2"/>
        <v>1</v>
      </c>
      <c r="Q19" s="211">
        <f t="shared" si="2"/>
        <v>1</v>
      </c>
    </row>
    <row r="20" spans="1:17" ht="14.55" customHeight="1" x14ac:dyDescent="0.3">
      <c r="A20" s="482"/>
      <c r="B20" s="2" t="s">
        <v>100</v>
      </c>
      <c r="C20" s="208">
        <v>18</v>
      </c>
      <c r="D20" s="208">
        <v>5</v>
      </c>
      <c r="E20" s="208" t="s">
        <v>107</v>
      </c>
      <c r="F20" s="207" t="s">
        <v>1123</v>
      </c>
      <c r="G20" s="214" t="s">
        <v>1124</v>
      </c>
      <c r="H20" s="214">
        <v>3</v>
      </c>
      <c r="I20" s="214" t="s">
        <v>1125</v>
      </c>
      <c r="J20" s="214">
        <v>0</v>
      </c>
      <c r="K20" s="210"/>
      <c r="L20" s="206" t="s">
        <v>66</v>
      </c>
      <c r="M20" s="206" t="s">
        <v>694</v>
      </c>
      <c r="N20" s="206" t="s">
        <v>442</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5" customHeight="1" x14ac:dyDescent="0.3">
      <c r="A21" s="482"/>
      <c r="B21" s="2" t="s">
        <v>108</v>
      </c>
      <c r="C21" s="208">
        <v>18</v>
      </c>
      <c r="D21" s="208">
        <v>1</v>
      </c>
      <c r="E21" s="208" t="s">
        <v>109</v>
      </c>
      <c r="F21" s="207" t="s">
        <v>110</v>
      </c>
      <c r="G21" s="214" t="s">
        <v>909</v>
      </c>
      <c r="H21" s="214">
        <v>0</v>
      </c>
      <c r="I21" s="214" t="s">
        <v>998</v>
      </c>
      <c r="J21" s="214">
        <v>0</v>
      </c>
      <c r="K21" s="210"/>
      <c r="L21" s="206" t="s">
        <v>87</v>
      </c>
      <c r="M21" s="206" t="s">
        <v>774</v>
      </c>
      <c r="N21" s="206" t="s">
        <v>521</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5" customHeight="1" x14ac:dyDescent="0.3">
      <c r="A22" s="482"/>
      <c r="B22" s="2" t="s">
        <v>108</v>
      </c>
      <c r="C22" s="208">
        <v>19</v>
      </c>
      <c r="D22" s="208">
        <v>1</v>
      </c>
      <c r="E22" s="208" t="s">
        <v>111</v>
      </c>
      <c r="F22" s="207" t="s">
        <v>112</v>
      </c>
      <c r="G22" s="214" t="s">
        <v>910</v>
      </c>
      <c r="H22" s="214">
        <v>0</v>
      </c>
      <c r="I22" s="214" t="s">
        <v>999</v>
      </c>
      <c r="J22" s="214">
        <v>0</v>
      </c>
      <c r="K22" s="210"/>
      <c r="L22" s="206" t="s">
        <v>87</v>
      </c>
      <c r="M22" s="206" t="s">
        <v>775</v>
      </c>
      <c r="N22" s="206" t="s">
        <v>521</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5" customHeight="1" x14ac:dyDescent="0.3">
      <c r="A23" s="482"/>
      <c r="B23" s="2" t="s">
        <v>108</v>
      </c>
      <c r="C23" s="208">
        <v>20</v>
      </c>
      <c r="D23" s="208">
        <v>1</v>
      </c>
      <c r="E23" s="208" t="s">
        <v>113</v>
      </c>
      <c r="F23" s="207" t="s">
        <v>114</v>
      </c>
      <c r="G23" s="214" t="s">
        <v>911</v>
      </c>
      <c r="H23" s="214">
        <v>0</v>
      </c>
      <c r="I23" s="214" t="s">
        <v>1000</v>
      </c>
      <c r="J23" s="214">
        <v>0</v>
      </c>
      <c r="K23" s="210"/>
      <c r="L23" s="206" t="s">
        <v>87</v>
      </c>
      <c r="M23" s="206" t="s">
        <v>776</v>
      </c>
      <c r="N23" s="206" t="s">
        <v>521</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5" customHeight="1" x14ac:dyDescent="0.3">
      <c r="A24" s="482"/>
      <c r="B24" s="2" t="s">
        <v>108</v>
      </c>
      <c r="C24" s="208">
        <v>21</v>
      </c>
      <c r="D24" s="208">
        <v>1</v>
      </c>
      <c r="E24" s="208" t="s">
        <v>115</v>
      </c>
      <c r="F24" s="207" t="s">
        <v>116</v>
      </c>
      <c r="G24" s="214" t="s">
        <v>912</v>
      </c>
      <c r="H24" s="214">
        <v>0</v>
      </c>
      <c r="I24" s="214" t="s">
        <v>1001</v>
      </c>
      <c r="J24" s="214">
        <v>0</v>
      </c>
      <c r="K24" s="210"/>
      <c r="L24" s="206" t="s">
        <v>87</v>
      </c>
      <c r="M24" s="206" t="s">
        <v>777</v>
      </c>
      <c r="N24" s="206" t="s">
        <v>521</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5" customHeight="1" x14ac:dyDescent="0.3">
      <c r="A25" s="482"/>
      <c r="B25" s="2" t="s">
        <v>108</v>
      </c>
      <c r="C25" s="208">
        <v>22</v>
      </c>
      <c r="D25" s="208">
        <v>1</v>
      </c>
      <c r="E25" s="208" t="s">
        <v>117</v>
      </c>
      <c r="F25" s="207" t="s">
        <v>118</v>
      </c>
      <c r="G25" s="214" t="s">
        <v>913</v>
      </c>
      <c r="H25" s="214">
        <v>0</v>
      </c>
      <c r="I25" s="214" t="s">
        <v>1002</v>
      </c>
      <c r="J25" s="214">
        <v>0</v>
      </c>
      <c r="K25" s="210"/>
      <c r="L25" s="206" t="s">
        <v>87</v>
      </c>
      <c r="M25" s="206" t="s">
        <v>778</v>
      </c>
      <c r="N25" s="206" t="s">
        <v>521</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5" customHeight="1" x14ac:dyDescent="0.3">
      <c r="A26" s="482"/>
      <c r="B26" s="7" t="s">
        <v>119</v>
      </c>
      <c r="C26" s="206">
        <v>23</v>
      </c>
      <c r="D26" s="206">
        <v>1</v>
      </c>
      <c r="E26" s="206" t="s">
        <v>120</v>
      </c>
      <c r="F26" s="207" t="s">
        <v>121</v>
      </c>
      <c r="G26" s="214" t="s">
        <v>914</v>
      </c>
      <c r="H26" s="214">
        <v>0</v>
      </c>
      <c r="I26" s="214" t="s">
        <v>1003</v>
      </c>
      <c r="J26" s="214">
        <v>0</v>
      </c>
      <c r="K26" s="210"/>
      <c r="L26" s="206" t="s">
        <v>87</v>
      </c>
      <c r="M26" s="206" t="s">
        <v>779</v>
      </c>
      <c r="N26" s="206" t="s">
        <v>521</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5" customHeight="1" x14ac:dyDescent="0.3">
      <c r="A27" s="482"/>
      <c r="B27" s="7" t="s">
        <v>122</v>
      </c>
      <c r="C27" s="206">
        <v>24</v>
      </c>
      <c r="D27" s="206">
        <v>1</v>
      </c>
      <c r="E27" s="206" t="s">
        <v>123</v>
      </c>
      <c r="F27" s="207" t="s">
        <v>124</v>
      </c>
      <c r="G27" s="214" t="s">
        <v>915</v>
      </c>
      <c r="H27" s="214">
        <v>1</v>
      </c>
      <c r="I27" s="214" t="s">
        <v>1004</v>
      </c>
      <c r="J27" s="214">
        <v>0</v>
      </c>
      <c r="K27" s="216" t="s">
        <v>1109</v>
      </c>
      <c r="L27" s="206" t="s">
        <v>87</v>
      </c>
      <c r="M27" s="206" t="s">
        <v>780</v>
      </c>
      <c r="N27" s="206" t="s">
        <v>521</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5" customHeight="1" x14ac:dyDescent="0.3">
      <c r="A28" s="482"/>
      <c r="B28" s="16" t="s">
        <v>125</v>
      </c>
      <c r="C28" s="206">
        <v>25</v>
      </c>
      <c r="D28" s="206">
        <v>1</v>
      </c>
      <c r="E28" s="207" t="s">
        <v>126</v>
      </c>
      <c r="F28" s="207" t="s">
        <v>127</v>
      </c>
      <c r="G28" s="214" t="s">
        <v>916</v>
      </c>
      <c r="H28" s="214">
        <v>1</v>
      </c>
      <c r="I28" s="214" t="s">
        <v>1005</v>
      </c>
      <c r="J28" s="214">
        <v>1</v>
      </c>
      <c r="K28" s="216" t="s">
        <v>1109</v>
      </c>
      <c r="L28" s="206" t="s">
        <v>128</v>
      </c>
      <c r="M28" s="206" t="s">
        <v>695</v>
      </c>
      <c r="N28" s="206" t="s">
        <v>742</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5" customHeight="1" x14ac:dyDescent="0.3">
      <c r="A29" s="482"/>
      <c r="B29" s="2" t="s">
        <v>100</v>
      </c>
      <c r="C29" s="208">
        <v>26</v>
      </c>
      <c r="D29" s="208">
        <v>3</v>
      </c>
      <c r="E29" s="208" t="s">
        <v>129</v>
      </c>
      <c r="F29" s="207" t="s">
        <v>130</v>
      </c>
      <c r="G29" s="214" t="s">
        <v>965</v>
      </c>
      <c r="H29" s="214">
        <v>0</v>
      </c>
      <c r="I29" s="214" t="s">
        <v>1006</v>
      </c>
      <c r="J29" s="214">
        <v>0</v>
      </c>
      <c r="K29" s="216" t="s">
        <v>1109</v>
      </c>
      <c r="L29" s="206" t="s">
        <v>66</v>
      </c>
      <c r="M29" s="206" t="s">
        <v>696</v>
      </c>
      <c r="N29" s="206" t="s">
        <v>743</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5" customHeight="1" x14ac:dyDescent="0.3">
      <c r="A30" s="482"/>
      <c r="B30" s="2" t="s">
        <v>108</v>
      </c>
      <c r="C30" s="208">
        <v>26</v>
      </c>
      <c r="D30" s="208">
        <v>1</v>
      </c>
      <c r="E30" s="208" t="s">
        <v>131</v>
      </c>
      <c r="F30" s="207" t="s">
        <v>132</v>
      </c>
      <c r="G30" s="214" t="s">
        <v>917</v>
      </c>
      <c r="H30" s="214">
        <v>0</v>
      </c>
      <c r="I30" s="214" t="s">
        <v>1007</v>
      </c>
      <c r="J30" s="214">
        <v>0</v>
      </c>
      <c r="K30" s="216" t="s">
        <v>1109</v>
      </c>
      <c r="L30" s="206" t="s">
        <v>128</v>
      </c>
      <c r="M30" s="206" t="s">
        <v>781</v>
      </c>
      <c r="N30" s="206" t="s">
        <v>522</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5" customHeight="1" x14ac:dyDescent="0.3">
      <c r="A31" s="482"/>
      <c r="B31" s="2" t="s">
        <v>48</v>
      </c>
      <c r="C31" s="208">
        <v>27</v>
      </c>
      <c r="D31" s="208">
        <v>1</v>
      </c>
      <c r="E31" s="208"/>
      <c r="F31" s="206" t="s">
        <v>374</v>
      </c>
      <c r="G31" s="215" t="s">
        <v>918</v>
      </c>
      <c r="H31" s="215">
        <v>0</v>
      </c>
      <c r="I31" s="215" t="s">
        <v>1008</v>
      </c>
      <c r="J31" s="215">
        <v>0</v>
      </c>
      <c r="K31" s="216" t="s">
        <v>1109</v>
      </c>
      <c r="L31" s="206"/>
      <c r="M31" s="206" t="s">
        <v>782</v>
      </c>
      <c r="N31" s="206" t="s">
        <v>460</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5" customHeight="1" x14ac:dyDescent="0.3">
      <c r="A32" s="482"/>
      <c r="B32" s="2" t="s">
        <v>1148</v>
      </c>
      <c r="C32" s="208">
        <v>28</v>
      </c>
      <c r="D32" s="208">
        <v>1</v>
      </c>
      <c r="E32" s="208" t="s">
        <v>376</v>
      </c>
      <c r="F32" s="206" t="s">
        <v>375</v>
      </c>
      <c r="G32" s="214" t="s">
        <v>919</v>
      </c>
      <c r="H32" s="214">
        <v>1</v>
      </c>
      <c r="I32" s="209" t="s">
        <v>1009</v>
      </c>
      <c r="J32" s="209">
        <v>0</v>
      </c>
      <c r="K32" s="216" t="s">
        <v>1109</v>
      </c>
      <c r="L32" s="206" t="s">
        <v>128</v>
      </c>
      <c r="M32" s="206" t="s">
        <v>783</v>
      </c>
      <c r="N32" s="206" t="s">
        <v>525</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5" customHeight="1" x14ac:dyDescent="0.3">
      <c r="A33" s="482"/>
      <c r="B33" s="3" t="s">
        <v>133</v>
      </c>
      <c r="C33" s="206">
        <v>29</v>
      </c>
      <c r="D33" s="206">
        <v>1</v>
      </c>
      <c r="E33" s="210" t="s">
        <v>134</v>
      </c>
      <c r="F33" s="207" t="s">
        <v>135</v>
      </c>
      <c r="G33" s="209" t="s">
        <v>920</v>
      </c>
      <c r="H33" s="209">
        <v>1</v>
      </c>
      <c r="I33" s="214" t="s">
        <v>1010</v>
      </c>
      <c r="J33" s="214">
        <v>0</v>
      </c>
      <c r="K33" s="216" t="s">
        <v>1109</v>
      </c>
      <c r="L33" s="206" t="s">
        <v>87</v>
      </c>
      <c r="M33" s="206" t="s">
        <v>784</v>
      </c>
      <c r="N33" s="206" t="s">
        <v>526</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5" customHeight="1" x14ac:dyDescent="0.3">
      <c r="A34" s="482"/>
      <c r="B34" s="16" t="s">
        <v>125</v>
      </c>
      <c r="C34" s="206">
        <v>30</v>
      </c>
      <c r="D34" s="206">
        <v>1</v>
      </c>
      <c r="E34" s="206" t="s">
        <v>136</v>
      </c>
      <c r="F34" s="207" t="s">
        <v>137</v>
      </c>
      <c r="G34" s="209" t="s">
        <v>921</v>
      </c>
      <c r="H34" s="209">
        <v>1</v>
      </c>
      <c r="I34" s="214" t="s">
        <v>1011</v>
      </c>
      <c r="J34" s="214">
        <v>0</v>
      </c>
      <c r="K34" s="216" t="s">
        <v>1109</v>
      </c>
      <c r="L34" s="206" t="s">
        <v>128</v>
      </c>
      <c r="M34" s="206" t="s">
        <v>785</v>
      </c>
      <c r="N34" s="206" t="s">
        <v>522</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5" customHeight="1" x14ac:dyDescent="0.3">
      <c r="A35" s="482"/>
      <c r="B35" s="4" t="s">
        <v>613</v>
      </c>
      <c r="C35" s="206">
        <v>31</v>
      </c>
      <c r="D35" s="206">
        <v>1</v>
      </c>
      <c r="E35" s="207" t="s">
        <v>138</v>
      </c>
      <c r="F35" s="208" t="s">
        <v>139</v>
      </c>
      <c r="G35" s="214" t="s">
        <v>922</v>
      </c>
      <c r="H35" s="214">
        <v>0</v>
      </c>
      <c r="I35" s="209" t="s">
        <v>1012</v>
      </c>
      <c r="J35" s="209">
        <v>0</v>
      </c>
      <c r="K35" s="216" t="s">
        <v>668</v>
      </c>
      <c r="L35" s="206" t="s">
        <v>140</v>
      </c>
      <c r="M35" s="206" t="s">
        <v>697</v>
      </c>
      <c r="N35" s="206" t="s">
        <v>744</v>
      </c>
      <c r="O35" s="211">
        <f>IF($B35="N/A", "N/A", 1)</f>
        <v>1</v>
      </c>
      <c r="P35" s="211">
        <f>IF($B35="N/A", "N/A", 1)</f>
        <v>1</v>
      </c>
      <c r="Q35" s="211">
        <f>IF($B35="N/A", "N/A", 1)</f>
        <v>1</v>
      </c>
    </row>
    <row r="36" spans="1:17" ht="14.55" customHeight="1" x14ac:dyDescent="0.3">
      <c r="A36" s="438" t="s">
        <v>141</v>
      </c>
      <c r="B36" s="16" t="s">
        <v>640</v>
      </c>
      <c r="C36" s="206">
        <v>0</v>
      </c>
      <c r="D36" s="206">
        <v>1</v>
      </c>
      <c r="E36" s="207" t="s">
        <v>142</v>
      </c>
      <c r="F36" s="207" t="s">
        <v>143</v>
      </c>
      <c r="G36" s="214" t="s">
        <v>923</v>
      </c>
      <c r="H36" s="214">
        <v>0</v>
      </c>
      <c r="I36" s="214" t="s">
        <v>1013</v>
      </c>
      <c r="J36" s="214">
        <v>0</v>
      </c>
      <c r="K36" s="210"/>
      <c r="L36" s="206" t="s">
        <v>87</v>
      </c>
      <c r="M36" s="206" t="s">
        <v>698</v>
      </c>
      <c r="N36" s="206" t="s">
        <v>522</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5" customHeight="1" x14ac:dyDescent="0.3">
      <c r="A37" s="438"/>
      <c r="B37" s="16" t="s">
        <v>144</v>
      </c>
      <c r="C37" s="206">
        <v>1</v>
      </c>
      <c r="D37" s="206">
        <v>1</v>
      </c>
      <c r="E37" s="207" t="s">
        <v>145</v>
      </c>
      <c r="F37" s="207" t="s">
        <v>146</v>
      </c>
      <c r="G37" s="214" t="s">
        <v>924</v>
      </c>
      <c r="H37" s="214">
        <v>0</v>
      </c>
      <c r="I37" s="214" t="s">
        <v>1014</v>
      </c>
      <c r="J37" s="214">
        <v>0</v>
      </c>
      <c r="K37" s="210"/>
      <c r="L37" s="206" t="s">
        <v>87</v>
      </c>
      <c r="M37" s="206" t="s">
        <v>699</v>
      </c>
      <c r="N37" s="206" t="s">
        <v>443</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5" customHeight="1" x14ac:dyDescent="0.3">
      <c r="A38" s="438"/>
      <c r="B38" s="16" t="s">
        <v>147</v>
      </c>
      <c r="C38" s="206">
        <v>2</v>
      </c>
      <c r="D38" s="206">
        <v>1</v>
      </c>
      <c r="E38" s="207" t="s">
        <v>148</v>
      </c>
      <c r="F38" s="207" t="s">
        <v>149</v>
      </c>
      <c r="G38" s="214" t="s">
        <v>925</v>
      </c>
      <c r="H38" s="214">
        <v>1</v>
      </c>
      <c r="I38" s="214" t="s">
        <v>1015</v>
      </c>
      <c r="J38" s="214">
        <v>0</v>
      </c>
      <c r="K38" s="210"/>
      <c r="L38" s="206" t="s">
        <v>87</v>
      </c>
      <c r="M38" s="206" t="s">
        <v>700</v>
      </c>
      <c r="N38" s="206" t="s">
        <v>444</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5" customHeight="1" x14ac:dyDescent="0.3">
      <c r="A39" s="438"/>
      <c r="B39" s="4" t="s">
        <v>613</v>
      </c>
      <c r="C39" s="206">
        <v>3</v>
      </c>
      <c r="D39" s="206">
        <v>1</v>
      </c>
      <c r="E39" s="207" t="s">
        <v>150</v>
      </c>
      <c r="F39" s="208" t="s">
        <v>151</v>
      </c>
      <c r="G39" s="214" t="s">
        <v>926</v>
      </c>
      <c r="H39" s="214">
        <v>0</v>
      </c>
      <c r="I39" s="209" t="s">
        <v>1016</v>
      </c>
      <c r="J39" s="209">
        <v>1</v>
      </c>
      <c r="K39" s="210"/>
      <c r="L39" s="206" t="s">
        <v>152</v>
      </c>
      <c r="M39" s="217" t="s">
        <v>1129</v>
      </c>
      <c r="N39" s="206" t="s">
        <v>521</v>
      </c>
      <c r="O39" s="211">
        <f>IF($B39="N/A", "N/A", 1)</f>
        <v>1</v>
      </c>
      <c r="P39" s="211">
        <f>IF($B39="N/A", "N/A", 1)</f>
        <v>1</v>
      </c>
      <c r="Q39" s="211">
        <f>IF($B39="N/A", "N/A", 1)</f>
        <v>1</v>
      </c>
    </row>
    <row r="40" spans="1:17" ht="14.55" customHeight="1" x14ac:dyDescent="0.3">
      <c r="A40" s="438"/>
      <c r="B40" s="16" t="s">
        <v>643</v>
      </c>
      <c r="C40" s="206">
        <v>4</v>
      </c>
      <c r="D40" s="206">
        <v>1</v>
      </c>
      <c r="E40" s="207" t="s">
        <v>153</v>
      </c>
      <c r="F40" s="207" t="s">
        <v>154</v>
      </c>
      <c r="G40" s="214" t="s">
        <v>927</v>
      </c>
      <c r="H40" s="214">
        <v>1</v>
      </c>
      <c r="I40" s="214" t="s">
        <v>1017</v>
      </c>
      <c r="J40" s="214">
        <v>1</v>
      </c>
      <c r="K40" s="210"/>
      <c r="L40" s="206" t="s">
        <v>87</v>
      </c>
      <c r="M40" s="206" t="s">
        <v>701</v>
      </c>
      <c r="N40" s="206" t="s">
        <v>745</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5" customHeight="1" x14ac:dyDescent="0.3">
      <c r="A41" s="438"/>
      <c r="B41" s="2" t="s">
        <v>636</v>
      </c>
      <c r="C41" s="208">
        <v>5</v>
      </c>
      <c r="D41" s="208">
        <v>1</v>
      </c>
      <c r="E41" s="208" t="s">
        <v>155</v>
      </c>
      <c r="F41" s="207" t="s">
        <v>156</v>
      </c>
      <c r="G41" s="209" t="s">
        <v>928</v>
      </c>
      <c r="H41" s="209">
        <v>1</v>
      </c>
      <c r="I41" s="209" t="s">
        <v>1018</v>
      </c>
      <c r="J41" s="209">
        <v>0</v>
      </c>
      <c r="K41" s="210"/>
      <c r="L41" s="206" t="s">
        <v>87</v>
      </c>
      <c r="M41" s="206" t="s">
        <v>786</v>
      </c>
      <c r="N41" s="206" t="s">
        <v>521</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5" customHeight="1" x14ac:dyDescent="0.3">
      <c r="A42" s="438"/>
      <c r="B42" s="4" t="s">
        <v>613</v>
      </c>
      <c r="C42" s="206">
        <v>6</v>
      </c>
      <c r="D42" s="206">
        <v>1</v>
      </c>
      <c r="E42" s="207" t="s">
        <v>157</v>
      </c>
      <c r="F42" s="208" t="s">
        <v>158</v>
      </c>
      <c r="G42" s="209" t="s">
        <v>929</v>
      </c>
      <c r="H42" s="209">
        <v>0</v>
      </c>
      <c r="I42" s="209" t="s">
        <v>1019</v>
      </c>
      <c r="J42" s="209">
        <v>0</v>
      </c>
      <c r="K42" s="210"/>
      <c r="L42" s="206" t="s">
        <v>87</v>
      </c>
      <c r="M42" s="206" t="s">
        <v>702</v>
      </c>
      <c r="N42" s="206" t="s">
        <v>746</v>
      </c>
      <c r="O42" s="211">
        <f>IF($B42="N/A", "N/A", 1)</f>
        <v>1</v>
      </c>
      <c r="P42" s="211">
        <f>IF($B42="N/A", "N/A", 1)</f>
        <v>1</v>
      </c>
      <c r="Q42" s="211">
        <f>IF($B42="N/A", "N/A", 1)</f>
        <v>1</v>
      </c>
    </row>
    <row r="43" spans="1:17" ht="14.55" customHeight="1" x14ac:dyDescent="0.3">
      <c r="A43" s="438"/>
      <c r="B43" s="16" t="s">
        <v>645</v>
      </c>
      <c r="C43" s="206">
        <v>7</v>
      </c>
      <c r="D43" s="206">
        <v>1</v>
      </c>
      <c r="E43" s="207" t="s">
        <v>159</v>
      </c>
      <c r="F43" s="207" t="s">
        <v>160</v>
      </c>
      <c r="G43" s="214" t="s">
        <v>930</v>
      </c>
      <c r="H43" s="214">
        <v>0</v>
      </c>
      <c r="I43" s="214" t="s">
        <v>1020</v>
      </c>
      <c r="J43" s="214">
        <v>1</v>
      </c>
      <c r="K43" s="210"/>
      <c r="L43" s="206" t="s">
        <v>87</v>
      </c>
      <c r="M43" s="206" t="s">
        <v>703</v>
      </c>
      <c r="N43" s="206" t="s">
        <v>747</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5" customHeight="1" x14ac:dyDescent="0.3">
      <c r="A44" s="438"/>
      <c r="B44" s="2" t="s">
        <v>641</v>
      </c>
      <c r="C44" s="208">
        <v>8</v>
      </c>
      <c r="D44" s="208">
        <v>1</v>
      </c>
      <c r="E44" s="208" t="s">
        <v>161</v>
      </c>
      <c r="F44" s="207" t="s">
        <v>162</v>
      </c>
      <c r="G44" s="209" t="s">
        <v>931</v>
      </c>
      <c r="H44" s="209">
        <v>0</v>
      </c>
      <c r="I44" s="209" t="s">
        <v>1021</v>
      </c>
      <c r="J44" s="209">
        <v>0</v>
      </c>
      <c r="K44" s="210"/>
      <c r="L44" s="206" t="s">
        <v>87</v>
      </c>
      <c r="M44" s="206" t="s">
        <v>704</v>
      </c>
      <c r="N44" s="206" t="s">
        <v>521</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5" customHeight="1" x14ac:dyDescent="0.3">
      <c r="A45" s="438"/>
      <c r="B45" s="4" t="s">
        <v>613</v>
      </c>
      <c r="C45" s="206">
        <v>9</v>
      </c>
      <c r="D45" s="206">
        <v>3</v>
      </c>
      <c r="E45" s="207" t="s">
        <v>163</v>
      </c>
      <c r="F45" s="208" t="s">
        <v>164</v>
      </c>
      <c r="G45" s="209" t="s">
        <v>966</v>
      </c>
      <c r="H45" s="209">
        <v>4</v>
      </c>
      <c r="I45" s="209" t="s">
        <v>1022</v>
      </c>
      <c r="J45" s="209">
        <v>0</v>
      </c>
      <c r="K45" s="210"/>
      <c r="L45" s="206" t="s">
        <v>128</v>
      </c>
      <c r="M45" s="206" t="s">
        <v>705</v>
      </c>
      <c r="N45" s="206" t="s">
        <v>748</v>
      </c>
      <c r="O45" s="211">
        <f>IF($B45="N/A", "N/A", 1)</f>
        <v>1</v>
      </c>
      <c r="P45" s="211">
        <f>IF($B45="N/A", "N/A", 1)</f>
        <v>1</v>
      </c>
      <c r="Q45" s="211">
        <f>IF($B45="N/A", "N/A", 1)</f>
        <v>1</v>
      </c>
    </row>
    <row r="46" spans="1:17" ht="14.55" customHeight="1" x14ac:dyDescent="0.3">
      <c r="A46" s="438"/>
      <c r="B46" s="2" t="s">
        <v>642</v>
      </c>
      <c r="C46" s="208">
        <v>12</v>
      </c>
      <c r="D46" s="208">
        <v>1</v>
      </c>
      <c r="E46" s="208" t="s">
        <v>165</v>
      </c>
      <c r="F46" s="207" t="s">
        <v>166</v>
      </c>
      <c r="G46" s="214" t="s">
        <v>932</v>
      </c>
      <c r="H46" s="214">
        <v>0</v>
      </c>
      <c r="I46" s="214" t="s">
        <v>1023</v>
      </c>
      <c r="J46" s="214">
        <v>0</v>
      </c>
      <c r="K46" s="210"/>
      <c r="L46" s="206" t="s">
        <v>87</v>
      </c>
      <c r="M46" s="206" t="s">
        <v>706</v>
      </c>
      <c r="N46" s="206" t="s">
        <v>522</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5" customHeight="1" x14ac:dyDescent="0.3">
      <c r="A47" s="438"/>
      <c r="B47" s="16" t="s">
        <v>651</v>
      </c>
      <c r="C47" s="206">
        <v>13</v>
      </c>
      <c r="D47" s="206">
        <v>1</v>
      </c>
      <c r="E47" s="207" t="s">
        <v>167</v>
      </c>
      <c r="F47" s="207" t="s">
        <v>168</v>
      </c>
      <c r="G47" s="214" t="s">
        <v>933</v>
      </c>
      <c r="H47" s="214">
        <v>0</v>
      </c>
      <c r="I47" s="214" t="s">
        <v>1024</v>
      </c>
      <c r="J47" s="214">
        <v>1</v>
      </c>
      <c r="K47" s="210"/>
      <c r="L47" s="206" t="s">
        <v>128</v>
      </c>
      <c r="M47" s="206" t="s">
        <v>707</v>
      </c>
      <c r="N47" s="206" t="s">
        <v>522</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5" customHeight="1" x14ac:dyDescent="0.3">
      <c r="A48" s="438"/>
      <c r="B48" s="2" t="s">
        <v>639</v>
      </c>
      <c r="C48" s="208">
        <v>14</v>
      </c>
      <c r="D48" s="208">
        <v>1</v>
      </c>
      <c r="E48" s="208" t="s">
        <v>169</v>
      </c>
      <c r="F48" s="207" t="s">
        <v>170</v>
      </c>
      <c r="G48" s="214" t="s">
        <v>934</v>
      </c>
      <c r="H48" s="214">
        <v>1</v>
      </c>
      <c r="I48" s="214" t="s">
        <v>1025</v>
      </c>
      <c r="J48" s="214">
        <v>0</v>
      </c>
      <c r="K48" s="210"/>
      <c r="L48" s="206" t="s">
        <v>87</v>
      </c>
      <c r="M48" s="206" t="s">
        <v>708</v>
      </c>
      <c r="N48" s="206" t="s">
        <v>522</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5" customHeight="1" x14ac:dyDescent="0.3">
      <c r="A49" s="438"/>
      <c r="B49" s="16" t="s">
        <v>637</v>
      </c>
      <c r="C49" s="206">
        <v>15</v>
      </c>
      <c r="D49" s="206">
        <v>1</v>
      </c>
      <c r="E49" s="207" t="s">
        <v>673</v>
      </c>
      <c r="F49" s="207" t="s">
        <v>171</v>
      </c>
      <c r="G49" s="214" t="s">
        <v>935</v>
      </c>
      <c r="H49" s="214">
        <v>0</v>
      </c>
      <c r="I49" s="214" t="s">
        <v>1026</v>
      </c>
      <c r="J49" s="214">
        <v>1</v>
      </c>
      <c r="K49" s="210"/>
      <c r="L49" s="206" t="s">
        <v>128</v>
      </c>
      <c r="M49" s="206" t="s">
        <v>709</v>
      </c>
      <c r="N49" s="206" t="s">
        <v>522</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5" customHeight="1" x14ac:dyDescent="0.3">
      <c r="A50" s="438"/>
      <c r="B50" s="16" t="s">
        <v>172</v>
      </c>
      <c r="C50" s="206">
        <v>16</v>
      </c>
      <c r="D50" s="206">
        <v>1</v>
      </c>
      <c r="E50" s="207" t="s">
        <v>173</v>
      </c>
      <c r="F50" s="207" t="s">
        <v>174</v>
      </c>
      <c r="G50" s="214" t="s">
        <v>936</v>
      </c>
      <c r="H50" s="214">
        <v>1</v>
      </c>
      <c r="I50" s="214" t="s">
        <v>1027</v>
      </c>
      <c r="J50" s="214">
        <v>1</v>
      </c>
      <c r="K50" s="210"/>
      <c r="L50" s="206" t="s">
        <v>175</v>
      </c>
      <c r="M50" s="206" t="s">
        <v>710</v>
      </c>
      <c r="N50" s="206" t="s">
        <v>445</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5" customHeight="1" x14ac:dyDescent="0.3">
      <c r="A51" s="438"/>
      <c r="B51" s="16" t="s">
        <v>172</v>
      </c>
      <c r="C51" s="206">
        <v>17</v>
      </c>
      <c r="D51" s="206">
        <v>1</v>
      </c>
      <c r="E51" s="207" t="s">
        <v>176</v>
      </c>
      <c r="F51" s="207" t="s">
        <v>177</v>
      </c>
      <c r="G51" s="214" t="s">
        <v>937</v>
      </c>
      <c r="H51" s="214">
        <v>0</v>
      </c>
      <c r="I51" s="214" t="s">
        <v>1028</v>
      </c>
      <c r="J51" s="214">
        <v>0</v>
      </c>
      <c r="K51" s="210"/>
      <c r="L51" s="206" t="s">
        <v>175</v>
      </c>
      <c r="M51" s="206" t="s">
        <v>711</v>
      </c>
      <c r="N51" s="206" t="s">
        <v>446</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5" customHeight="1" x14ac:dyDescent="0.3">
      <c r="A52" s="438"/>
      <c r="B52" s="16" t="s">
        <v>172</v>
      </c>
      <c r="C52" s="206">
        <v>18</v>
      </c>
      <c r="D52" s="206">
        <v>1</v>
      </c>
      <c r="E52" s="207" t="s">
        <v>178</v>
      </c>
      <c r="F52" s="207" t="s">
        <v>179</v>
      </c>
      <c r="G52" s="214" t="s">
        <v>938</v>
      </c>
      <c r="H52" s="214">
        <v>0</v>
      </c>
      <c r="I52" s="214" t="s">
        <v>1029</v>
      </c>
      <c r="J52" s="214">
        <v>0</v>
      </c>
      <c r="K52" s="210"/>
      <c r="L52" s="206" t="s">
        <v>175</v>
      </c>
      <c r="M52" s="206" t="s">
        <v>712</v>
      </c>
      <c r="N52" s="206" t="s">
        <v>447</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5" customHeight="1" x14ac:dyDescent="0.3">
      <c r="A53" s="438"/>
      <c r="B53" s="16" t="s">
        <v>638</v>
      </c>
      <c r="C53" s="206">
        <v>19</v>
      </c>
      <c r="D53" s="206">
        <v>1</v>
      </c>
      <c r="E53" s="207" t="s">
        <v>180</v>
      </c>
      <c r="F53" s="207" t="s">
        <v>181</v>
      </c>
      <c r="G53" s="214" t="s">
        <v>939</v>
      </c>
      <c r="H53" s="214">
        <v>0</v>
      </c>
      <c r="I53" s="214" t="s">
        <v>1030</v>
      </c>
      <c r="J53" s="214">
        <v>1</v>
      </c>
      <c r="K53" s="210"/>
      <c r="L53" s="206" t="s">
        <v>87</v>
      </c>
      <c r="M53" s="206" t="s">
        <v>713</v>
      </c>
      <c r="N53" s="206" t="s">
        <v>523</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5" customHeight="1" x14ac:dyDescent="0.3">
      <c r="A54" s="438"/>
      <c r="B54" s="16" t="s">
        <v>635</v>
      </c>
      <c r="C54" s="206">
        <v>20</v>
      </c>
      <c r="D54" s="206">
        <v>1</v>
      </c>
      <c r="E54" s="207" t="s">
        <v>182</v>
      </c>
      <c r="F54" s="207" t="s">
        <v>183</v>
      </c>
      <c r="G54" s="214" t="s">
        <v>940</v>
      </c>
      <c r="H54" s="214">
        <v>0</v>
      </c>
      <c r="I54" s="214" t="s">
        <v>1031</v>
      </c>
      <c r="J54" s="214">
        <v>1</v>
      </c>
      <c r="K54" s="210"/>
      <c r="L54" s="206" t="s">
        <v>87</v>
      </c>
      <c r="M54" s="206" t="s">
        <v>714</v>
      </c>
      <c r="N54" s="206" t="s">
        <v>524</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5" customHeight="1" x14ac:dyDescent="0.3">
      <c r="A55" s="438"/>
      <c r="B55" s="16" t="s">
        <v>644</v>
      </c>
      <c r="C55" s="206">
        <v>21</v>
      </c>
      <c r="D55" s="206">
        <v>1</v>
      </c>
      <c r="E55" s="207" t="s">
        <v>184</v>
      </c>
      <c r="F55" s="207" t="s">
        <v>185</v>
      </c>
      <c r="G55" s="214" t="s">
        <v>941</v>
      </c>
      <c r="H55" s="214">
        <v>0</v>
      </c>
      <c r="I55" s="214" t="s">
        <v>1032</v>
      </c>
      <c r="J55" s="214">
        <v>1</v>
      </c>
      <c r="K55" s="210"/>
      <c r="L55" s="206" t="s">
        <v>87</v>
      </c>
      <c r="M55" s="206" t="s">
        <v>715</v>
      </c>
      <c r="N55" s="206" t="s">
        <v>448</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5" customHeight="1" x14ac:dyDescent="0.3">
      <c r="A56" s="438"/>
      <c r="B56" s="16" t="s">
        <v>186</v>
      </c>
      <c r="C56" s="206">
        <v>22</v>
      </c>
      <c r="D56" s="206">
        <v>2</v>
      </c>
      <c r="E56" s="207" t="s">
        <v>187</v>
      </c>
      <c r="F56" s="207" t="s">
        <v>188</v>
      </c>
      <c r="G56" s="209" t="s">
        <v>967</v>
      </c>
      <c r="H56" s="209">
        <v>2</v>
      </c>
      <c r="I56" s="209" t="s">
        <v>1033</v>
      </c>
      <c r="J56" s="209">
        <v>0</v>
      </c>
      <c r="K56" s="210"/>
      <c r="L56" s="206" t="s">
        <v>87</v>
      </c>
      <c r="M56" s="206" t="s">
        <v>716</v>
      </c>
      <c r="N56" s="206" t="s">
        <v>449</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5" customHeight="1" x14ac:dyDescent="0.3">
      <c r="A57" s="438"/>
      <c r="B57" s="4" t="s">
        <v>613</v>
      </c>
      <c r="C57" s="206">
        <v>24</v>
      </c>
      <c r="D57" s="206">
        <v>8</v>
      </c>
      <c r="E57" s="207" t="s">
        <v>189</v>
      </c>
      <c r="F57" s="208" t="s">
        <v>190</v>
      </c>
      <c r="G57" s="209" t="s">
        <v>1089</v>
      </c>
      <c r="H57" s="209">
        <v>0</v>
      </c>
      <c r="I57" s="209" t="s">
        <v>1088</v>
      </c>
      <c r="J57" s="209">
        <v>0</v>
      </c>
      <c r="K57" s="210" t="s">
        <v>17</v>
      </c>
      <c r="L57" s="206" t="s">
        <v>87</v>
      </c>
      <c r="M57" s="206" t="s">
        <v>717</v>
      </c>
      <c r="N57" s="206" t="s">
        <v>450</v>
      </c>
      <c r="O57" s="211">
        <f>IF($B57="N/A", "N/A", 1)</f>
        <v>1</v>
      </c>
      <c r="P57" s="211">
        <f>IF($B57="N/A", "N/A", 1)</f>
        <v>1</v>
      </c>
      <c r="Q57" s="211">
        <f>IF($B57="N/A", "N/A", 1)</f>
        <v>1</v>
      </c>
    </row>
    <row r="58" spans="1:17" ht="14.55" customHeight="1" x14ac:dyDescent="0.3">
      <c r="A58" s="438" t="s">
        <v>191</v>
      </c>
      <c r="B58" s="16" t="s">
        <v>394</v>
      </c>
      <c r="C58" s="206">
        <v>0</v>
      </c>
      <c r="D58" s="206">
        <v>15</v>
      </c>
      <c r="E58" s="207" t="s">
        <v>192</v>
      </c>
      <c r="F58" s="208" t="s">
        <v>193</v>
      </c>
      <c r="G58" s="209" t="s">
        <v>968</v>
      </c>
      <c r="H58" s="209" t="s">
        <v>1145</v>
      </c>
      <c r="I58" s="209" t="s">
        <v>1034</v>
      </c>
      <c r="J58" s="209" t="s">
        <v>1145</v>
      </c>
      <c r="K58" s="216" t="s">
        <v>668</v>
      </c>
      <c r="L58" s="206" t="s">
        <v>87</v>
      </c>
      <c r="M58" s="206" t="s">
        <v>718</v>
      </c>
      <c r="N58" s="206" t="s">
        <v>451</v>
      </c>
      <c r="O58" s="210">
        <f ca="1">IF($B58="N/A", "N/A", VLOOKUP($B58, INDIRECT(Config!$B$1), HLOOKUP(O$1, INDIRECT(Config!$E$1), 2, FALSE),FALSE))</f>
        <v>13</v>
      </c>
      <c r="P58" s="210">
        <f ca="1">IF($B58="N/A", "N/A", VLOOKUP($B58, INDIRECT(Config!$B$1), HLOOKUP(P$1, INDIRECT(Config!$E$1), 2, FALSE),FALSE))</f>
        <v>4</v>
      </c>
      <c r="Q58" s="210">
        <f ca="1">IF($B58="N/A", "N/A", VLOOKUP($B58, INDIRECT(Config!$B$1), HLOOKUP(Q$1, INDIRECT(Config!$E$1), 2, FALSE),FALSE))</f>
        <v>5</v>
      </c>
    </row>
    <row r="59" spans="1:17" ht="14.55" customHeight="1" x14ac:dyDescent="0.3">
      <c r="A59" s="438"/>
      <c r="B59" s="16" t="s">
        <v>646</v>
      </c>
      <c r="C59" s="206">
        <v>15</v>
      </c>
      <c r="D59" s="206">
        <v>1</v>
      </c>
      <c r="E59" s="207" t="s">
        <v>194</v>
      </c>
      <c r="F59" s="207" t="s">
        <v>195</v>
      </c>
      <c r="G59" s="209" t="s">
        <v>942</v>
      </c>
      <c r="H59" s="209">
        <v>0</v>
      </c>
      <c r="I59" s="209" t="s">
        <v>1035</v>
      </c>
      <c r="J59" s="209">
        <v>1</v>
      </c>
      <c r="K59" s="216" t="s">
        <v>1109</v>
      </c>
      <c r="L59" s="206" t="s">
        <v>87</v>
      </c>
      <c r="M59" s="206" t="s">
        <v>719</v>
      </c>
      <c r="N59" s="206" t="s">
        <v>452</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5" customHeight="1" x14ac:dyDescent="0.3">
      <c r="A60" s="438"/>
      <c r="B60" s="16" t="s">
        <v>650</v>
      </c>
      <c r="C60" s="206">
        <v>16</v>
      </c>
      <c r="D60" s="206">
        <v>1</v>
      </c>
      <c r="E60" s="207" t="s">
        <v>196</v>
      </c>
      <c r="F60" s="207" t="s">
        <v>197</v>
      </c>
      <c r="G60" s="209" t="s">
        <v>943</v>
      </c>
      <c r="H60" s="209">
        <v>0</v>
      </c>
      <c r="I60" s="209" t="s">
        <v>1036</v>
      </c>
      <c r="J60" s="209">
        <v>0</v>
      </c>
      <c r="K60" s="210"/>
      <c r="L60" s="206" t="s">
        <v>87</v>
      </c>
      <c r="M60" s="206" t="s">
        <v>720</v>
      </c>
      <c r="N60" s="206" t="s">
        <v>453</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5" customHeight="1" x14ac:dyDescent="0.3">
      <c r="A61" s="438"/>
      <c r="B61" s="7" t="s">
        <v>536</v>
      </c>
      <c r="C61" s="206">
        <v>17</v>
      </c>
      <c r="D61" s="206">
        <v>1</v>
      </c>
      <c r="E61" s="218" t="s">
        <v>237</v>
      </c>
      <c r="F61" s="206" t="s">
        <v>198</v>
      </c>
      <c r="G61" s="209" t="s">
        <v>944</v>
      </c>
      <c r="H61" s="209">
        <v>0</v>
      </c>
      <c r="I61" s="209" t="s">
        <v>1037</v>
      </c>
      <c r="J61" s="209">
        <v>0</v>
      </c>
      <c r="K61" s="206"/>
      <c r="L61" s="206" t="s">
        <v>87</v>
      </c>
      <c r="M61" s="206" t="s">
        <v>806</v>
      </c>
      <c r="N61" s="206" t="s">
        <v>544</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5" customHeight="1" x14ac:dyDescent="0.3">
      <c r="A62" s="438"/>
      <c r="B62" s="4" t="s">
        <v>613</v>
      </c>
      <c r="C62" s="206">
        <v>18</v>
      </c>
      <c r="D62" s="206">
        <v>3</v>
      </c>
      <c r="E62" s="207" t="s">
        <v>199</v>
      </c>
      <c r="F62" s="208" t="s">
        <v>200</v>
      </c>
      <c r="G62" s="209" t="s">
        <v>970</v>
      </c>
      <c r="H62" s="209">
        <v>0</v>
      </c>
      <c r="I62" s="209" t="s">
        <v>1038</v>
      </c>
      <c r="J62" s="209">
        <v>0</v>
      </c>
      <c r="K62" s="210"/>
      <c r="L62" s="206" t="s">
        <v>87</v>
      </c>
      <c r="M62" s="206" t="s">
        <v>722</v>
      </c>
      <c r="N62" s="206" t="s">
        <v>454</v>
      </c>
      <c r="O62" s="211">
        <f>IF($B62="N/A", "N/A", 1)</f>
        <v>1</v>
      </c>
      <c r="P62" s="211">
        <f>IF($B62="N/A", "N/A", 1)</f>
        <v>1</v>
      </c>
      <c r="Q62" s="211">
        <f>IF($B62="N/A", "N/A", 1)</f>
        <v>1</v>
      </c>
    </row>
    <row r="63" spans="1:17" ht="14.55" customHeight="1" x14ac:dyDescent="0.3">
      <c r="A63" s="438"/>
      <c r="B63" s="2" t="s">
        <v>48</v>
      </c>
      <c r="C63" s="208">
        <v>21</v>
      </c>
      <c r="D63" s="208">
        <v>1</v>
      </c>
      <c r="E63" s="208"/>
      <c r="F63" s="206" t="s">
        <v>1133</v>
      </c>
      <c r="G63" s="215" t="s">
        <v>1134</v>
      </c>
      <c r="H63" s="215">
        <v>0</v>
      </c>
      <c r="I63" s="215" t="s">
        <v>1135</v>
      </c>
      <c r="J63" s="215">
        <v>0</v>
      </c>
      <c r="K63" s="210"/>
      <c r="L63" s="206"/>
      <c r="M63" s="206" t="s">
        <v>1136</v>
      </c>
      <c r="N63" s="206" t="s">
        <v>460</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5" customHeight="1" x14ac:dyDescent="0.3">
      <c r="A64" s="438"/>
      <c r="B64" s="2" t="s">
        <v>48</v>
      </c>
      <c r="C64" s="208">
        <v>22</v>
      </c>
      <c r="D64" s="208">
        <v>1</v>
      </c>
      <c r="E64" s="208"/>
      <c r="F64" s="206" t="s">
        <v>1137</v>
      </c>
      <c r="G64" s="215" t="s">
        <v>1139</v>
      </c>
      <c r="H64" s="215">
        <v>0</v>
      </c>
      <c r="I64" s="215" t="s">
        <v>1141</v>
      </c>
      <c r="J64" s="215">
        <v>0</v>
      </c>
      <c r="K64" s="210"/>
      <c r="L64" s="206"/>
      <c r="M64" s="206" t="s">
        <v>1143</v>
      </c>
      <c r="N64" s="206" t="s">
        <v>460</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5" customHeight="1" x14ac:dyDescent="0.3">
      <c r="A65" s="438"/>
      <c r="B65" s="2" t="s">
        <v>48</v>
      </c>
      <c r="C65" s="208">
        <v>23</v>
      </c>
      <c r="D65" s="208">
        <v>1</v>
      </c>
      <c r="E65" s="208"/>
      <c r="F65" s="206" t="s">
        <v>1138</v>
      </c>
      <c r="G65" s="215" t="s">
        <v>1140</v>
      </c>
      <c r="H65" s="215">
        <v>0</v>
      </c>
      <c r="I65" s="215" t="s">
        <v>1142</v>
      </c>
      <c r="J65" s="215">
        <v>0</v>
      </c>
      <c r="K65" s="210"/>
      <c r="L65" s="206"/>
      <c r="M65" s="206" t="s">
        <v>1144</v>
      </c>
      <c r="N65" s="206" t="s">
        <v>460</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5" customHeight="1" x14ac:dyDescent="0.3">
      <c r="A66" s="438"/>
      <c r="B66" s="4" t="s">
        <v>613</v>
      </c>
      <c r="C66" s="206">
        <v>24</v>
      </c>
      <c r="D66" s="206">
        <v>4</v>
      </c>
      <c r="E66" s="207" t="s">
        <v>201</v>
      </c>
      <c r="F66" s="208" t="s">
        <v>202</v>
      </c>
      <c r="G66" s="209" t="s">
        <v>971</v>
      </c>
      <c r="H66" s="209">
        <v>0</v>
      </c>
      <c r="I66" s="209" t="s">
        <v>1039</v>
      </c>
      <c r="J66" s="209">
        <v>0</v>
      </c>
      <c r="K66" s="210"/>
      <c r="L66" s="206" t="s">
        <v>87</v>
      </c>
      <c r="M66" s="206" t="s">
        <v>726</v>
      </c>
      <c r="N66" s="206" t="s">
        <v>454</v>
      </c>
      <c r="O66" s="211">
        <f t="shared" ref="O66:Q67" si="3">IF($B66="N/A", "N/A", 1)</f>
        <v>1</v>
      </c>
      <c r="P66" s="211">
        <f t="shared" si="3"/>
        <v>1</v>
      </c>
      <c r="Q66" s="211">
        <f t="shared" si="3"/>
        <v>1</v>
      </c>
    </row>
    <row r="67" spans="1:17" ht="14.55" customHeight="1" x14ac:dyDescent="0.3">
      <c r="A67" s="438"/>
      <c r="B67" s="4" t="s">
        <v>613</v>
      </c>
      <c r="C67" s="206">
        <v>28</v>
      </c>
      <c r="D67" s="206">
        <v>4</v>
      </c>
      <c r="E67" s="207" t="s">
        <v>203</v>
      </c>
      <c r="F67" s="208" t="s">
        <v>204</v>
      </c>
      <c r="G67" s="209" t="s">
        <v>972</v>
      </c>
      <c r="H67" s="209">
        <v>0</v>
      </c>
      <c r="I67" s="209" t="s">
        <v>1040</v>
      </c>
      <c r="J67" s="209">
        <v>0</v>
      </c>
      <c r="K67" s="210"/>
      <c r="L67" s="206" t="s">
        <v>87</v>
      </c>
      <c r="M67" s="206" t="s">
        <v>727</v>
      </c>
      <c r="N67" s="206" t="s">
        <v>454</v>
      </c>
      <c r="O67" s="211">
        <f t="shared" si="3"/>
        <v>1</v>
      </c>
      <c r="P67" s="211">
        <f t="shared" si="3"/>
        <v>1</v>
      </c>
      <c r="Q67" s="211">
        <f t="shared" si="3"/>
        <v>1</v>
      </c>
    </row>
    <row r="68" spans="1:17" ht="14.55" customHeight="1" x14ac:dyDescent="0.3">
      <c r="A68" s="438" t="s">
        <v>32</v>
      </c>
      <c r="B68" s="4" t="s">
        <v>613</v>
      </c>
      <c r="C68" s="206">
        <v>0</v>
      </c>
      <c r="D68" s="206">
        <v>1</v>
      </c>
      <c r="E68" s="221" t="s">
        <v>1130</v>
      </c>
      <c r="F68" s="207" t="s">
        <v>206</v>
      </c>
      <c r="G68" s="209" t="s">
        <v>945</v>
      </c>
      <c r="H68" s="209">
        <v>0</v>
      </c>
      <c r="I68" s="209" t="s">
        <v>1041</v>
      </c>
      <c r="J68" s="209">
        <v>1</v>
      </c>
      <c r="K68" s="216" t="s">
        <v>1109</v>
      </c>
      <c r="L68" s="206" t="s">
        <v>66</v>
      </c>
      <c r="M68" s="206" t="s">
        <v>728</v>
      </c>
      <c r="N68" s="217" t="s">
        <v>455</v>
      </c>
      <c r="O68" s="211">
        <f t="shared" ref="O68:Q70" si="4">IF($B68="N/A", "N/A", 1)</f>
        <v>1</v>
      </c>
      <c r="P68" s="211">
        <f t="shared" si="4"/>
        <v>1</v>
      </c>
      <c r="Q68" s="211">
        <f t="shared" si="4"/>
        <v>1</v>
      </c>
    </row>
    <row r="69" spans="1:17" ht="14.55" customHeight="1" x14ac:dyDescent="0.3">
      <c r="A69" s="438"/>
      <c r="B69" s="4" t="s">
        <v>613</v>
      </c>
      <c r="C69" s="206">
        <v>1</v>
      </c>
      <c r="D69" s="206">
        <v>1</v>
      </c>
      <c r="E69" s="221" t="s">
        <v>1131</v>
      </c>
      <c r="F69" s="207" t="s">
        <v>207</v>
      </c>
      <c r="G69" s="209" t="s">
        <v>946</v>
      </c>
      <c r="H69" s="209">
        <v>0</v>
      </c>
      <c r="I69" s="209" t="s">
        <v>1042</v>
      </c>
      <c r="J69" s="209">
        <v>0</v>
      </c>
      <c r="K69" s="216" t="s">
        <v>1109</v>
      </c>
      <c r="L69" s="206" t="s">
        <v>66</v>
      </c>
      <c r="M69" s="206" t="s">
        <v>729</v>
      </c>
      <c r="N69" s="206" t="s">
        <v>456</v>
      </c>
      <c r="O69" s="211">
        <f t="shared" si="4"/>
        <v>1</v>
      </c>
      <c r="P69" s="211">
        <f t="shared" si="4"/>
        <v>1</v>
      </c>
      <c r="Q69" s="211">
        <f t="shared" si="4"/>
        <v>1</v>
      </c>
    </row>
    <row r="70" spans="1:17" ht="14.55" customHeight="1" x14ac:dyDescent="0.3">
      <c r="A70" s="438"/>
      <c r="B70" s="4" t="s">
        <v>613</v>
      </c>
      <c r="C70" s="206">
        <v>2</v>
      </c>
      <c r="D70" s="206">
        <v>1</v>
      </c>
      <c r="E70" s="221" t="s">
        <v>1132</v>
      </c>
      <c r="F70" s="207" t="s">
        <v>208</v>
      </c>
      <c r="G70" s="209" t="s">
        <v>947</v>
      </c>
      <c r="H70" s="209">
        <v>0</v>
      </c>
      <c r="I70" s="209" t="s">
        <v>1043</v>
      </c>
      <c r="J70" s="209">
        <v>0</v>
      </c>
      <c r="K70" s="216" t="s">
        <v>1109</v>
      </c>
      <c r="L70" s="206" t="s">
        <v>66</v>
      </c>
      <c r="M70" s="206" t="s">
        <v>730</v>
      </c>
      <c r="N70" s="217" t="s">
        <v>457</v>
      </c>
      <c r="O70" s="211">
        <f t="shared" si="4"/>
        <v>1</v>
      </c>
      <c r="P70" s="211">
        <f t="shared" si="4"/>
        <v>1</v>
      </c>
      <c r="Q70" s="211">
        <f t="shared" si="4"/>
        <v>1</v>
      </c>
    </row>
    <row r="71" spans="1:17" ht="14.55" customHeight="1" x14ac:dyDescent="0.3">
      <c r="A71" s="438"/>
      <c r="B71" s="4" t="s">
        <v>613</v>
      </c>
      <c r="C71" s="206">
        <v>3</v>
      </c>
      <c r="D71" s="206">
        <v>1</v>
      </c>
      <c r="E71" s="207" t="s">
        <v>209</v>
      </c>
      <c r="F71" s="208" t="s">
        <v>210</v>
      </c>
      <c r="G71" s="209" t="s">
        <v>948</v>
      </c>
      <c r="H71" s="209">
        <v>0</v>
      </c>
      <c r="I71" s="209" t="s">
        <v>1044</v>
      </c>
      <c r="J71" s="209">
        <v>1</v>
      </c>
      <c r="K71" s="216" t="s">
        <v>668</v>
      </c>
      <c r="L71" s="206" t="s">
        <v>69</v>
      </c>
      <c r="M71" s="206" t="s">
        <v>731</v>
      </c>
      <c r="N71" s="206" t="s">
        <v>527</v>
      </c>
      <c r="O71" s="211">
        <f t="shared" ref="O71:Q72" si="5">IF($B71="N/A", "N/A", 1)</f>
        <v>1</v>
      </c>
      <c r="P71" s="211">
        <f t="shared" si="5"/>
        <v>1</v>
      </c>
      <c r="Q71" s="211">
        <f t="shared" si="5"/>
        <v>1</v>
      </c>
    </row>
    <row r="72" spans="1:17" ht="14.55" customHeight="1" x14ac:dyDescent="0.3">
      <c r="A72" s="438"/>
      <c r="B72" s="4" t="s">
        <v>613</v>
      </c>
      <c r="C72" s="206">
        <v>4</v>
      </c>
      <c r="D72" s="206">
        <v>1</v>
      </c>
      <c r="E72" s="207" t="s">
        <v>211</v>
      </c>
      <c r="F72" s="208" t="s">
        <v>212</v>
      </c>
      <c r="G72" s="209" t="s">
        <v>949</v>
      </c>
      <c r="H72" s="209">
        <v>0</v>
      </c>
      <c r="I72" s="209" t="s">
        <v>1045</v>
      </c>
      <c r="J72" s="209">
        <v>0</v>
      </c>
      <c r="K72" s="216" t="s">
        <v>1109</v>
      </c>
      <c r="L72" s="206" t="s">
        <v>69</v>
      </c>
      <c r="M72" s="206" t="s">
        <v>732</v>
      </c>
      <c r="N72" s="206" t="s">
        <v>528</v>
      </c>
      <c r="O72" s="211">
        <f t="shared" si="5"/>
        <v>1</v>
      </c>
      <c r="P72" s="211">
        <f t="shared" si="5"/>
        <v>1</v>
      </c>
      <c r="Q72" s="211">
        <f t="shared" si="5"/>
        <v>1</v>
      </c>
    </row>
    <row r="73" spans="1:17" ht="14.55" customHeight="1" x14ac:dyDescent="0.3">
      <c r="A73" s="438"/>
      <c r="B73" s="2" t="s">
        <v>48</v>
      </c>
      <c r="C73" s="208">
        <v>5</v>
      </c>
      <c r="D73" s="208">
        <v>1</v>
      </c>
      <c r="E73" s="208"/>
      <c r="F73" s="206" t="s">
        <v>213</v>
      </c>
      <c r="G73" s="215" t="s">
        <v>950</v>
      </c>
      <c r="H73" s="215">
        <v>0</v>
      </c>
      <c r="I73" s="215" t="s">
        <v>1046</v>
      </c>
      <c r="J73" s="215">
        <v>0</v>
      </c>
      <c r="K73" s="216" t="s">
        <v>1109</v>
      </c>
      <c r="L73" s="206"/>
      <c r="M73" s="206" t="s">
        <v>788</v>
      </c>
      <c r="N73" s="206" t="s">
        <v>460</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5" customHeight="1" x14ac:dyDescent="0.3">
      <c r="A74" s="438"/>
      <c r="B74" s="2" t="s">
        <v>214</v>
      </c>
      <c r="C74" s="208">
        <v>6</v>
      </c>
      <c r="D74" s="208">
        <v>1</v>
      </c>
      <c r="E74" s="208" t="s">
        <v>215</v>
      </c>
      <c r="F74" s="207" t="s">
        <v>216</v>
      </c>
      <c r="G74" s="209" t="s">
        <v>951</v>
      </c>
      <c r="H74" s="209">
        <v>1</v>
      </c>
      <c r="I74" s="209" t="s">
        <v>1047</v>
      </c>
      <c r="J74" s="209">
        <v>0</v>
      </c>
      <c r="K74" s="216" t="s">
        <v>1109</v>
      </c>
      <c r="L74" s="206" t="s">
        <v>66</v>
      </c>
      <c r="M74" s="206" t="s">
        <v>733</v>
      </c>
      <c r="N74" s="206" t="s">
        <v>529</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5" customHeight="1" x14ac:dyDescent="0.3">
      <c r="A75" s="438"/>
      <c r="B75" s="2" t="s">
        <v>214</v>
      </c>
      <c r="C75" s="208">
        <v>7</v>
      </c>
      <c r="D75" s="208">
        <v>1</v>
      </c>
      <c r="E75" s="208" t="s">
        <v>217</v>
      </c>
      <c r="F75" s="206" t="s">
        <v>218</v>
      </c>
      <c r="G75" s="209" t="s">
        <v>952</v>
      </c>
      <c r="H75" s="209">
        <v>1</v>
      </c>
      <c r="I75" s="209" t="s">
        <v>1048</v>
      </c>
      <c r="J75" s="209">
        <v>0</v>
      </c>
      <c r="K75" s="216" t="s">
        <v>1109</v>
      </c>
      <c r="L75" s="206" t="s">
        <v>66</v>
      </c>
      <c r="M75" s="206" t="s">
        <v>734</v>
      </c>
      <c r="N75" s="206" t="s">
        <v>530</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5" customHeight="1" x14ac:dyDescent="0.3">
      <c r="A76" s="438"/>
      <c r="B76" s="4" t="s">
        <v>613</v>
      </c>
      <c r="C76" s="206">
        <v>8</v>
      </c>
      <c r="D76" s="206">
        <v>1</v>
      </c>
      <c r="E76" s="207" t="s">
        <v>219</v>
      </c>
      <c r="F76" s="208" t="s">
        <v>220</v>
      </c>
      <c r="G76" s="209" t="s">
        <v>953</v>
      </c>
      <c r="H76" s="209">
        <v>0</v>
      </c>
      <c r="I76" s="209" t="s">
        <v>1049</v>
      </c>
      <c r="J76" s="209">
        <v>0</v>
      </c>
      <c r="K76" s="216" t="s">
        <v>668</v>
      </c>
      <c r="L76" s="206" t="s">
        <v>69</v>
      </c>
      <c r="M76" s="206" t="s">
        <v>735</v>
      </c>
      <c r="N76" s="206" t="s">
        <v>531</v>
      </c>
      <c r="O76" s="211">
        <f>IF($B76="N/A", "N/A", 1)</f>
        <v>1</v>
      </c>
      <c r="P76" s="211">
        <f>IF($B76="N/A", "N/A", 1)</f>
        <v>1</v>
      </c>
      <c r="Q76" s="211">
        <f>IF($B76="N/A", "N/A", 1)</f>
        <v>1</v>
      </c>
    </row>
    <row r="77" spans="1:17" ht="14.55" customHeight="1" x14ac:dyDescent="0.3">
      <c r="A77" s="438"/>
      <c r="B77" s="16" t="s">
        <v>221</v>
      </c>
      <c r="C77" s="206">
        <v>9</v>
      </c>
      <c r="D77" s="206">
        <v>7</v>
      </c>
      <c r="E77" s="207" t="s">
        <v>222</v>
      </c>
      <c r="F77" s="207" t="s">
        <v>223</v>
      </c>
      <c r="G77" s="209" t="s">
        <v>969</v>
      </c>
      <c r="H77" s="209">
        <v>0</v>
      </c>
      <c r="I77" s="209" t="s">
        <v>1050</v>
      </c>
      <c r="J77" s="209">
        <v>0</v>
      </c>
      <c r="K77" s="216" t="s">
        <v>1109</v>
      </c>
      <c r="L77" s="206" t="s">
        <v>87</v>
      </c>
      <c r="M77" s="206" t="s">
        <v>736</v>
      </c>
      <c r="N77" s="206" t="s">
        <v>532</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5" customHeight="1" x14ac:dyDescent="0.3">
      <c r="A78" s="438"/>
      <c r="B78" s="16" t="s">
        <v>224</v>
      </c>
      <c r="C78" s="206">
        <v>16</v>
      </c>
      <c r="D78" s="206">
        <v>1</v>
      </c>
      <c r="E78" s="207" t="s">
        <v>225</v>
      </c>
      <c r="F78" s="207" t="s">
        <v>226</v>
      </c>
      <c r="G78" s="209" t="s">
        <v>954</v>
      </c>
      <c r="H78" s="209">
        <v>0</v>
      </c>
      <c r="I78" s="209" t="s">
        <v>1051</v>
      </c>
      <c r="J78" s="209">
        <v>0</v>
      </c>
      <c r="K78" s="210" t="s">
        <v>17</v>
      </c>
      <c r="L78" s="206" t="s">
        <v>87</v>
      </c>
      <c r="M78" s="206" t="s">
        <v>737</v>
      </c>
      <c r="N78" s="206" t="s">
        <v>533</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5" customHeight="1" x14ac:dyDescent="0.3">
      <c r="A79" s="438"/>
      <c r="B79" s="4" t="s">
        <v>613</v>
      </c>
      <c r="C79" s="206">
        <v>17</v>
      </c>
      <c r="D79" s="206">
        <v>1</v>
      </c>
      <c r="E79" s="207" t="s">
        <v>674</v>
      </c>
      <c r="F79" s="208" t="s">
        <v>227</v>
      </c>
      <c r="G79" s="209" t="s">
        <v>955</v>
      </c>
      <c r="H79" s="209">
        <v>0</v>
      </c>
      <c r="I79" s="209" t="s">
        <v>1052</v>
      </c>
      <c r="J79" s="209">
        <v>1</v>
      </c>
      <c r="K79" s="210" t="s">
        <v>17</v>
      </c>
      <c r="L79" s="206" t="s">
        <v>87</v>
      </c>
      <c r="M79" s="206" t="s">
        <v>805</v>
      </c>
      <c r="N79" s="206" t="s">
        <v>675</v>
      </c>
      <c r="O79" s="211">
        <f>IF($B79="N/A", "N/A", 1)</f>
        <v>1</v>
      </c>
      <c r="P79" s="211">
        <f>IF($B79="N/A", "N/A", 1)</f>
        <v>1</v>
      </c>
      <c r="Q79" s="211">
        <f>IF($B79="N/A", "N/A", 1)</f>
        <v>1</v>
      </c>
    </row>
    <row r="80" spans="1:17" ht="14.55" customHeight="1" x14ac:dyDescent="0.3">
      <c r="A80" s="438"/>
      <c r="B80" s="2" t="s">
        <v>100</v>
      </c>
      <c r="C80" s="208">
        <v>18</v>
      </c>
      <c r="D80" s="208">
        <v>1</v>
      </c>
      <c r="E80" s="208" t="s">
        <v>228</v>
      </c>
      <c r="F80" s="207" t="s">
        <v>229</v>
      </c>
      <c r="G80" s="209" t="s">
        <v>956</v>
      </c>
      <c r="H80" s="209">
        <v>0</v>
      </c>
      <c r="I80" s="209" t="s">
        <v>1053</v>
      </c>
      <c r="J80" s="209">
        <v>0</v>
      </c>
      <c r="K80" s="210" t="s">
        <v>17</v>
      </c>
      <c r="L80" s="206" t="s">
        <v>66</v>
      </c>
      <c r="M80" s="206" t="s">
        <v>738</v>
      </c>
      <c r="N80" s="206" t="s">
        <v>537</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5" customHeight="1" x14ac:dyDescent="0.3">
      <c r="A81" s="438"/>
      <c r="B81" s="2" t="s">
        <v>100</v>
      </c>
      <c r="C81" s="208">
        <v>19</v>
      </c>
      <c r="D81" s="208">
        <v>1</v>
      </c>
      <c r="E81" s="208" t="s">
        <v>230</v>
      </c>
      <c r="F81" s="207" t="s">
        <v>231</v>
      </c>
      <c r="G81" s="209" t="s">
        <v>957</v>
      </c>
      <c r="H81" s="209">
        <v>0</v>
      </c>
      <c r="I81" s="209" t="s">
        <v>1054</v>
      </c>
      <c r="J81" s="209">
        <v>0</v>
      </c>
      <c r="K81" s="210" t="s">
        <v>17</v>
      </c>
      <c r="L81" s="206" t="s">
        <v>66</v>
      </c>
      <c r="M81" s="206" t="s">
        <v>739</v>
      </c>
      <c r="N81" s="206" t="s">
        <v>538</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5" customHeight="1" x14ac:dyDescent="0.3">
      <c r="A82" s="438"/>
      <c r="B82" s="2" t="s">
        <v>100</v>
      </c>
      <c r="C82" s="208">
        <v>20</v>
      </c>
      <c r="D82" s="208">
        <v>1</v>
      </c>
      <c r="E82" s="208" t="s">
        <v>232</v>
      </c>
      <c r="F82" s="207" t="s">
        <v>233</v>
      </c>
      <c r="G82" s="209" t="s">
        <v>958</v>
      </c>
      <c r="H82" s="209">
        <v>0</v>
      </c>
      <c r="I82" s="209" t="s">
        <v>1055</v>
      </c>
      <c r="J82" s="209">
        <v>0</v>
      </c>
      <c r="K82" s="210" t="s">
        <v>17</v>
      </c>
      <c r="L82" s="206" t="s">
        <v>66</v>
      </c>
      <c r="M82" s="206" t="s">
        <v>740</v>
      </c>
      <c r="N82" s="206" t="s">
        <v>539</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5" customHeight="1" x14ac:dyDescent="0.3">
      <c r="A83" s="438"/>
      <c r="B83" s="3" t="s">
        <v>234</v>
      </c>
      <c r="C83" s="206">
        <v>21</v>
      </c>
      <c r="D83" s="206">
        <v>1</v>
      </c>
      <c r="E83" s="210" t="s">
        <v>235</v>
      </c>
      <c r="F83" s="210" t="s">
        <v>236</v>
      </c>
      <c r="G83" s="209" t="s">
        <v>959</v>
      </c>
      <c r="H83" s="209">
        <v>0</v>
      </c>
      <c r="I83" s="209" t="s">
        <v>1056</v>
      </c>
      <c r="J83" s="209">
        <v>1</v>
      </c>
      <c r="K83" s="210" t="s">
        <v>17</v>
      </c>
      <c r="L83" s="206" t="s">
        <v>87</v>
      </c>
      <c r="M83" s="206" t="s">
        <v>741</v>
      </c>
      <c r="N83" s="217" t="s">
        <v>540</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5" customHeight="1" x14ac:dyDescent="0.3">
      <c r="A84" s="438"/>
      <c r="B84" s="2" t="s">
        <v>48</v>
      </c>
      <c r="C84" s="206">
        <v>22</v>
      </c>
      <c r="D84" s="206">
        <v>1</v>
      </c>
      <c r="E84" s="219" t="s">
        <v>1107</v>
      </c>
      <c r="F84" s="210" t="s">
        <v>888</v>
      </c>
      <c r="G84" s="215" t="s">
        <v>960</v>
      </c>
      <c r="H84" s="215">
        <v>0</v>
      </c>
      <c r="I84" s="215" t="s">
        <v>1057</v>
      </c>
      <c r="J84" s="215">
        <v>0</v>
      </c>
      <c r="K84" s="210" t="s">
        <v>17</v>
      </c>
      <c r="L84" s="206" t="s">
        <v>87</v>
      </c>
      <c r="M84" s="217" t="s">
        <v>1108</v>
      </c>
      <c r="N84" s="206" t="s">
        <v>890</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5" customHeight="1" x14ac:dyDescent="0.3">
      <c r="A85" s="438"/>
      <c r="B85" s="2" t="s">
        <v>48</v>
      </c>
      <c r="C85" s="206">
        <v>23</v>
      </c>
      <c r="D85" s="206">
        <v>1</v>
      </c>
      <c r="E85" s="208"/>
      <c r="F85" s="210" t="s">
        <v>889</v>
      </c>
      <c r="G85" s="215" t="s">
        <v>961</v>
      </c>
      <c r="H85" s="215">
        <v>0</v>
      </c>
      <c r="I85" s="215" t="s">
        <v>1058</v>
      </c>
      <c r="J85" s="215">
        <v>0</v>
      </c>
      <c r="K85" s="210" t="s">
        <v>17</v>
      </c>
      <c r="L85" s="206"/>
      <c r="M85" s="206" t="s">
        <v>789</v>
      </c>
      <c r="N85" s="206" t="s">
        <v>460</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5" customHeight="1" x14ac:dyDescent="0.3">
      <c r="A86" s="438"/>
      <c r="B86" s="4" t="s">
        <v>613</v>
      </c>
      <c r="C86" s="206">
        <v>24</v>
      </c>
      <c r="D86" s="206">
        <v>1</v>
      </c>
      <c r="E86" s="220" t="s">
        <v>238</v>
      </c>
      <c r="F86" s="208" t="s">
        <v>239</v>
      </c>
      <c r="G86" s="209" t="s">
        <v>962</v>
      </c>
      <c r="H86" s="209">
        <v>0</v>
      </c>
      <c r="I86" s="209" t="s">
        <v>1059</v>
      </c>
      <c r="J86" s="209">
        <v>1</v>
      </c>
      <c r="K86" s="210"/>
      <c r="L86" s="207" t="s">
        <v>87</v>
      </c>
      <c r="M86" s="207" t="s">
        <v>723</v>
      </c>
      <c r="N86" s="207" t="s">
        <v>541</v>
      </c>
      <c r="O86" s="211">
        <f t="shared" ref="O86:Q87" si="6">IF($B86="N/A", "N/A", 1)</f>
        <v>1</v>
      </c>
      <c r="P86" s="211">
        <f t="shared" si="6"/>
        <v>1</v>
      </c>
      <c r="Q86" s="211">
        <f t="shared" si="6"/>
        <v>1</v>
      </c>
    </row>
    <row r="87" spans="1:17" ht="14.55" customHeight="1" x14ac:dyDescent="0.3">
      <c r="A87" s="438"/>
      <c r="B87" s="4" t="s">
        <v>613</v>
      </c>
      <c r="C87" s="206">
        <v>25</v>
      </c>
      <c r="D87" s="206">
        <v>1</v>
      </c>
      <c r="E87" s="221" t="s">
        <v>1106</v>
      </c>
      <c r="F87" s="208" t="s">
        <v>240</v>
      </c>
      <c r="G87" s="209" t="s">
        <v>963</v>
      </c>
      <c r="H87" s="209">
        <v>0</v>
      </c>
      <c r="I87" s="209" t="s">
        <v>1060</v>
      </c>
      <c r="J87" s="209">
        <v>1</v>
      </c>
      <c r="K87" s="210"/>
      <c r="L87" s="207" t="s">
        <v>87</v>
      </c>
      <c r="M87" s="207" t="s">
        <v>724</v>
      </c>
      <c r="N87" s="207" t="s">
        <v>542</v>
      </c>
      <c r="O87" s="211">
        <f t="shared" si="6"/>
        <v>1</v>
      </c>
      <c r="P87" s="211">
        <f t="shared" si="6"/>
        <v>1</v>
      </c>
      <c r="Q87" s="211">
        <f t="shared" si="6"/>
        <v>1</v>
      </c>
    </row>
    <row r="88" spans="1:17" ht="14.55" customHeight="1" x14ac:dyDescent="0.3">
      <c r="A88" s="438"/>
      <c r="B88" s="16" t="s">
        <v>241</v>
      </c>
      <c r="C88" s="206">
        <v>26</v>
      </c>
      <c r="D88" s="206">
        <v>5</v>
      </c>
      <c r="E88" s="207" t="s">
        <v>242</v>
      </c>
      <c r="F88" s="207" t="s">
        <v>243</v>
      </c>
      <c r="G88" s="209" t="s">
        <v>973</v>
      </c>
      <c r="H88" s="209">
        <v>0</v>
      </c>
      <c r="I88" s="209" t="s">
        <v>1061</v>
      </c>
      <c r="J88" s="209">
        <v>0</v>
      </c>
      <c r="K88" s="210"/>
      <c r="L88" s="207" t="s">
        <v>87</v>
      </c>
      <c r="M88" s="207" t="s">
        <v>725</v>
      </c>
      <c r="N88" s="207" t="s">
        <v>543</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5" customHeight="1" x14ac:dyDescent="0.3">
      <c r="A89" s="438"/>
      <c r="B89" s="4" t="s">
        <v>613</v>
      </c>
      <c r="C89" s="206">
        <v>31</v>
      </c>
      <c r="D89" s="206">
        <v>1</v>
      </c>
      <c r="E89" s="220" t="s">
        <v>244</v>
      </c>
      <c r="F89" s="208" t="s">
        <v>245</v>
      </c>
      <c r="G89" s="209" t="s">
        <v>964</v>
      </c>
      <c r="H89" s="209">
        <v>0</v>
      </c>
      <c r="I89" s="209" t="s">
        <v>1062</v>
      </c>
      <c r="J89" s="209">
        <v>0</v>
      </c>
      <c r="K89" s="210"/>
      <c r="L89" s="207" t="s">
        <v>87</v>
      </c>
      <c r="M89" s="207" t="s">
        <v>804</v>
      </c>
      <c r="N89" s="228" t="s">
        <v>545</v>
      </c>
      <c r="O89" s="211">
        <f>IF($B89="N/A", "N/A", 1)</f>
        <v>1</v>
      </c>
      <c r="P89" s="211">
        <f>IF($B89="N/A", "N/A", 1)</f>
        <v>1</v>
      </c>
      <c r="Q89" s="211">
        <f>IF($B89="N/A", "N/A", 1)</f>
        <v>1</v>
      </c>
    </row>
    <row r="90" spans="1:17" ht="14.55" customHeight="1" x14ac:dyDescent="0.3">
      <c r="A90" s="448" t="s">
        <v>246</v>
      </c>
      <c r="B90" s="7" t="s">
        <v>390</v>
      </c>
      <c r="C90" s="206">
        <v>0</v>
      </c>
      <c r="D90" s="206">
        <v>16</v>
      </c>
      <c r="E90" s="206" t="s">
        <v>247</v>
      </c>
      <c r="F90" s="222" t="s">
        <v>384</v>
      </c>
      <c r="G90" s="223" t="s">
        <v>1098</v>
      </c>
      <c r="H90" s="223"/>
      <c r="I90" s="223" t="s">
        <v>1073</v>
      </c>
      <c r="J90" s="223">
        <v>0</v>
      </c>
      <c r="K90" s="210"/>
      <c r="L90" s="206" t="s">
        <v>66</v>
      </c>
      <c r="M90" s="206" t="s">
        <v>769</v>
      </c>
      <c r="N90" s="206" t="s">
        <v>467</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5" customHeight="1" x14ac:dyDescent="0.3">
      <c r="A91" s="478"/>
      <c r="B91" s="7" t="s">
        <v>390</v>
      </c>
      <c r="C91" s="206">
        <v>16</v>
      </c>
      <c r="D91" s="206">
        <v>8</v>
      </c>
      <c r="E91" s="206" t="s">
        <v>248</v>
      </c>
      <c r="F91" s="222" t="s">
        <v>384</v>
      </c>
      <c r="G91" s="223" t="s">
        <v>974</v>
      </c>
      <c r="H91" s="223"/>
      <c r="I91" s="223" t="s">
        <v>1067</v>
      </c>
      <c r="J91" s="223">
        <v>0</v>
      </c>
      <c r="K91" s="210"/>
      <c r="L91" s="206" t="s">
        <v>66</v>
      </c>
      <c r="M91" s="206" t="s">
        <v>761</v>
      </c>
      <c r="N91" s="206" t="s">
        <v>467</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5" customHeight="1" x14ac:dyDescent="0.3">
      <c r="A92" s="447"/>
      <c r="B92" s="15" t="s">
        <v>205</v>
      </c>
      <c r="C92" s="206">
        <v>24</v>
      </c>
      <c r="D92" s="206">
        <v>8</v>
      </c>
      <c r="E92" s="206" t="s">
        <v>249</v>
      </c>
      <c r="F92" s="222" t="s">
        <v>384</v>
      </c>
      <c r="G92" s="223" t="s">
        <v>975</v>
      </c>
      <c r="H92" s="223"/>
      <c r="I92" s="223" t="s">
        <v>1068</v>
      </c>
      <c r="J92" s="223">
        <v>0</v>
      </c>
      <c r="K92" s="210"/>
      <c r="L92" s="206" t="s">
        <v>66</v>
      </c>
      <c r="M92" s="206" t="s">
        <v>770</v>
      </c>
      <c r="N92" s="206" t="s">
        <v>468</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5" customHeight="1" x14ac:dyDescent="0.3">
      <c r="A93" s="17" t="s">
        <v>250</v>
      </c>
      <c r="B93" s="7" t="s">
        <v>390</v>
      </c>
      <c r="C93" s="206">
        <v>0</v>
      </c>
      <c r="D93" s="206">
        <v>32</v>
      </c>
      <c r="E93" s="206" t="s">
        <v>250</v>
      </c>
      <c r="F93" s="222" t="s">
        <v>384</v>
      </c>
      <c r="G93" s="224" t="s">
        <v>48</v>
      </c>
      <c r="H93" s="229"/>
      <c r="I93" s="223" t="s">
        <v>1076</v>
      </c>
      <c r="J93" s="223">
        <v>0</v>
      </c>
      <c r="K93" s="210"/>
      <c r="L93" s="206" t="s">
        <v>66</v>
      </c>
      <c r="M93" s="206" t="s">
        <v>771</v>
      </c>
      <c r="N93" s="206" t="s">
        <v>469</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5" customHeight="1" x14ac:dyDescent="0.3">
      <c r="A94" s="17" t="s">
        <v>251</v>
      </c>
      <c r="B94" s="7" t="s">
        <v>390</v>
      </c>
      <c r="C94" s="206">
        <v>0</v>
      </c>
      <c r="D94" s="206">
        <v>32</v>
      </c>
      <c r="E94" s="206" t="s">
        <v>251</v>
      </c>
      <c r="F94" s="222" t="s">
        <v>384</v>
      </c>
      <c r="G94" s="223" t="s">
        <v>48</v>
      </c>
      <c r="H94" s="229"/>
      <c r="I94" s="223" t="s">
        <v>1077</v>
      </c>
      <c r="J94" s="223">
        <v>0</v>
      </c>
      <c r="K94" s="210"/>
      <c r="L94" s="206" t="s">
        <v>66</v>
      </c>
      <c r="M94" s="206" t="s">
        <v>772</v>
      </c>
      <c r="N94" s="206" t="s">
        <v>470</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5" customHeight="1" x14ac:dyDescent="0.3">
      <c r="A95" s="17" t="s">
        <v>252</v>
      </c>
      <c r="B95" s="7" t="s">
        <v>390</v>
      </c>
      <c r="C95" s="206">
        <v>0</v>
      </c>
      <c r="D95" s="206">
        <v>32</v>
      </c>
      <c r="E95" s="206" t="s">
        <v>252</v>
      </c>
      <c r="F95" s="222" t="s">
        <v>384</v>
      </c>
      <c r="G95" s="223" t="s">
        <v>48</v>
      </c>
      <c r="H95" s="229"/>
      <c r="I95" s="223" t="s">
        <v>1078</v>
      </c>
      <c r="J95" s="223">
        <v>0</v>
      </c>
      <c r="K95" s="210"/>
      <c r="L95" s="206" t="s">
        <v>66</v>
      </c>
      <c r="M95" s="206" t="s">
        <v>773</v>
      </c>
      <c r="N95" s="206" t="s">
        <v>471</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5" customHeight="1" x14ac:dyDescent="0.3">
      <c r="A96" s="448" t="s">
        <v>34</v>
      </c>
      <c r="B96" s="7" t="s">
        <v>253</v>
      </c>
      <c r="C96" s="206">
        <v>0</v>
      </c>
      <c r="D96" s="206">
        <v>24</v>
      </c>
      <c r="E96" s="206" t="s">
        <v>254</v>
      </c>
      <c r="F96" s="222" t="s">
        <v>384</v>
      </c>
      <c r="G96" s="224" t="s">
        <v>976</v>
      </c>
      <c r="H96" s="224"/>
      <c r="I96" s="223" t="s">
        <v>1063</v>
      </c>
      <c r="J96" s="223">
        <v>0</v>
      </c>
      <c r="K96" s="210" t="s">
        <v>17</v>
      </c>
      <c r="L96" s="206" t="s">
        <v>66</v>
      </c>
      <c r="M96" s="206" t="s">
        <v>764</v>
      </c>
      <c r="N96" s="206" t="s">
        <v>458</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5" customHeight="1" x14ac:dyDescent="0.3">
      <c r="A97" s="478"/>
      <c r="B97" s="7" t="s">
        <v>253</v>
      </c>
      <c r="C97" s="206">
        <v>24</v>
      </c>
      <c r="D97" s="206">
        <v>5</v>
      </c>
      <c r="E97" s="206" t="s">
        <v>255</v>
      </c>
      <c r="F97" s="222" t="s">
        <v>384</v>
      </c>
      <c r="G97" s="224" t="s">
        <v>977</v>
      </c>
      <c r="H97" s="224"/>
      <c r="I97" s="223" t="s">
        <v>1064</v>
      </c>
      <c r="J97" s="223">
        <v>0</v>
      </c>
      <c r="K97" s="210" t="s">
        <v>17</v>
      </c>
      <c r="L97" s="206" t="s">
        <v>66</v>
      </c>
      <c r="M97" s="206" t="s">
        <v>765</v>
      </c>
      <c r="N97" s="206" t="s">
        <v>459</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5" customHeight="1" x14ac:dyDescent="0.3">
      <c r="A98" s="478"/>
      <c r="B98" s="7" t="s">
        <v>253</v>
      </c>
      <c r="C98" s="206">
        <v>29</v>
      </c>
      <c r="D98" s="206">
        <v>2</v>
      </c>
      <c r="E98" s="206" t="s">
        <v>256</v>
      </c>
      <c r="F98" s="222" t="s">
        <v>384</v>
      </c>
      <c r="G98" s="224" t="s">
        <v>978</v>
      </c>
      <c r="H98" s="224"/>
      <c r="I98" s="223" t="s">
        <v>1065</v>
      </c>
      <c r="J98" s="223">
        <v>0</v>
      </c>
      <c r="K98" s="210" t="s">
        <v>17</v>
      </c>
      <c r="L98" s="206" t="s">
        <v>66</v>
      </c>
      <c r="M98" s="206" t="s">
        <v>766</v>
      </c>
      <c r="N98" s="206" t="s">
        <v>462</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5" customHeight="1" x14ac:dyDescent="0.3">
      <c r="A99" s="447"/>
      <c r="B99" s="7" t="s">
        <v>253</v>
      </c>
      <c r="C99" s="206">
        <v>31</v>
      </c>
      <c r="D99" s="206">
        <v>1</v>
      </c>
      <c r="E99" s="206" t="s">
        <v>257</v>
      </c>
      <c r="F99" s="222" t="s">
        <v>384</v>
      </c>
      <c r="G99" s="224" t="s">
        <v>979</v>
      </c>
      <c r="H99" s="224"/>
      <c r="I99" s="223" t="s">
        <v>1066</v>
      </c>
      <c r="J99" s="223">
        <v>0</v>
      </c>
      <c r="K99" s="210" t="s">
        <v>17</v>
      </c>
      <c r="L99" s="206" t="s">
        <v>66</v>
      </c>
      <c r="M99" s="206" t="s">
        <v>767</v>
      </c>
      <c r="N99" s="206" t="s">
        <v>461</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5" customHeight="1" x14ac:dyDescent="0.3">
      <c r="A100" s="438" t="s">
        <v>36</v>
      </c>
      <c r="B100" s="7" t="s">
        <v>214</v>
      </c>
      <c r="C100" s="206">
        <v>0</v>
      </c>
      <c r="D100" s="206">
        <v>8</v>
      </c>
      <c r="E100" s="206" t="s">
        <v>258</v>
      </c>
      <c r="F100" s="222" t="s">
        <v>384</v>
      </c>
      <c r="G100" s="223" t="s">
        <v>1099</v>
      </c>
      <c r="H100" s="223"/>
      <c r="I100" s="223" t="s">
        <v>1069</v>
      </c>
      <c r="J100" s="223">
        <v>0</v>
      </c>
      <c r="K100" s="210"/>
      <c r="L100" s="206" t="s">
        <v>128</v>
      </c>
      <c r="M100" s="206" t="s">
        <v>768</v>
      </c>
      <c r="N100" s="206" t="s">
        <v>463</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5" customHeight="1" x14ac:dyDescent="0.3">
      <c r="A101" s="438"/>
      <c r="B101" s="7" t="s">
        <v>214</v>
      </c>
      <c r="C101" s="206">
        <v>8</v>
      </c>
      <c r="D101" s="206">
        <v>8</v>
      </c>
      <c r="E101" s="206" t="s">
        <v>259</v>
      </c>
      <c r="F101" s="222" t="s">
        <v>384</v>
      </c>
      <c r="G101" s="223" t="s">
        <v>1100</v>
      </c>
      <c r="H101" s="223"/>
      <c r="I101" s="223" t="s">
        <v>1070</v>
      </c>
      <c r="J101" s="223">
        <v>0</v>
      </c>
      <c r="K101" s="210"/>
      <c r="L101" s="206" t="s">
        <v>128</v>
      </c>
      <c r="M101" s="206" t="s">
        <v>768</v>
      </c>
      <c r="N101" s="206" t="s">
        <v>464</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5" customHeight="1" x14ac:dyDescent="0.3">
      <c r="A102" s="478"/>
      <c r="B102" s="5" t="s">
        <v>214</v>
      </c>
      <c r="C102" s="225">
        <v>16</v>
      </c>
      <c r="D102" s="225">
        <v>8</v>
      </c>
      <c r="E102" s="225" t="s">
        <v>260</v>
      </c>
      <c r="F102" s="222" t="s">
        <v>384</v>
      </c>
      <c r="G102" s="223" t="s">
        <v>1074</v>
      </c>
      <c r="H102" s="223"/>
      <c r="I102" s="223" t="s">
        <v>1071</v>
      </c>
      <c r="J102" s="227">
        <v>0</v>
      </c>
      <c r="K102" s="226"/>
      <c r="L102" s="225" t="s">
        <v>66</v>
      </c>
      <c r="M102" s="225" t="s">
        <v>768</v>
      </c>
      <c r="N102" s="225" t="s">
        <v>465</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5" customHeight="1" x14ac:dyDescent="0.3">
      <c r="A103" s="447"/>
      <c r="B103" s="7" t="s">
        <v>214</v>
      </c>
      <c r="C103" s="206">
        <v>24</v>
      </c>
      <c r="D103" s="206">
        <v>8</v>
      </c>
      <c r="E103" s="206" t="s">
        <v>261</v>
      </c>
      <c r="F103" s="222" t="s">
        <v>384</v>
      </c>
      <c r="G103" s="223" t="s">
        <v>1075</v>
      </c>
      <c r="H103" s="223"/>
      <c r="I103" s="223" t="s">
        <v>1072</v>
      </c>
      <c r="J103" s="223">
        <v>0</v>
      </c>
      <c r="K103" s="210"/>
      <c r="L103" s="206" t="s">
        <v>66</v>
      </c>
      <c r="M103" s="206" t="s">
        <v>768</v>
      </c>
      <c r="N103" s="206" t="s">
        <v>466</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5" customHeight="1" x14ac:dyDescent="0.3">
      <c r="A104" s="448" t="s">
        <v>38</v>
      </c>
      <c r="B104" s="4" t="s">
        <v>613</v>
      </c>
      <c r="C104" s="206">
        <v>0</v>
      </c>
      <c r="D104" s="206">
        <v>16</v>
      </c>
      <c r="E104" s="206" t="s">
        <v>262</v>
      </c>
      <c r="F104" s="479"/>
      <c r="G104" s="209" t="s">
        <v>48</v>
      </c>
      <c r="H104" s="230"/>
      <c r="I104" s="209" t="s">
        <v>51</v>
      </c>
      <c r="J104" s="209" t="s">
        <v>51</v>
      </c>
      <c r="K104" s="216"/>
      <c r="L104" s="206" t="s">
        <v>66</v>
      </c>
      <c r="M104" s="206" t="s">
        <v>760</v>
      </c>
      <c r="N104" s="206" t="s">
        <v>472</v>
      </c>
      <c r="O104" s="211">
        <f t="shared" ref="O104:Q107" si="7">IF($B104="N/A", "N/A", 1)</f>
        <v>1</v>
      </c>
      <c r="P104" s="211">
        <f t="shared" si="7"/>
        <v>1</v>
      </c>
      <c r="Q104" s="211">
        <f t="shared" si="7"/>
        <v>1</v>
      </c>
    </row>
    <row r="105" spans="1:17" ht="14.55" customHeight="1" x14ac:dyDescent="0.3">
      <c r="A105" s="478"/>
      <c r="B105" s="4" t="s">
        <v>613</v>
      </c>
      <c r="C105" s="206">
        <v>16</v>
      </c>
      <c r="D105" s="206">
        <v>8</v>
      </c>
      <c r="E105" s="206" t="s">
        <v>263</v>
      </c>
      <c r="F105" s="480"/>
      <c r="G105" s="209" t="s">
        <v>48</v>
      </c>
      <c r="H105" s="230"/>
      <c r="I105" s="209" t="s">
        <v>1086</v>
      </c>
      <c r="J105" s="209" t="s">
        <v>1086</v>
      </c>
      <c r="K105" s="216"/>
      <c r="L105" s="206" t="s">
        <v>66</v>
      </c>
      <c r="M105" s="206" t="s">
        <v>761</v>
      </c>
      <c r="N105" s="206" t="s">
        <v>473</v>
      </c>
      <c r="O105" s="211">
        <f t="shared" si="7"/>
        <v>1</v>
      </c>
      <c r="P105" s="211">
        <f t="shared" si="7"/>
        <v>1</v>
      </c>
      <c r="Q105" s="211">
        <f t="shared" si="7"/>
        <v>1</v>
      </c>
    </row>
    <row r="106" spans="1:17" ht="14.55" customHeight="1" x14ac:dyDescent="0.3">
      <c r="A106" s="478"/>
      <c r="B106" s="4" t="s">
        <v>613</v>
      </c>
      <c r="C106" s="206">
        <v>24</v>
      </c>
      <c r="D106" s="206">
        <v>4</v>
      </c>
      <c r="E106" s="206" t="s">
        <v>264</v>
      </c>
      <c r="F106" s="480"/>
      <c r="G106" s="209" t="s">
        <v>48</v>
      </c>
      <c r="H106" s="230"/>
      <c r="I106" s="209" t="s">
        <v>1086</v>
      </c>
      <c r="J106" s="209" t="s">
        <v>1086</v>
      </c>
      <c r="K106" s="216"/>
      <c r="L106" s="206" t="s">
        <v>66</v>
      </c>
      <c r="M106" s="206" t="s">
        <v>762</v>
      </c>
      <c r="N106" s="206" t="s">
        <v>474</v>
      </c>
      <c r="O106" s="211">
        <f t="shared" si="7"/>
        <v>1</v>
      </c>
      <c r="P106" s="211">
        <f t="shared" si="7"/>
        <v>1</v>
      </c>
      <c r="Q106" s="211">
        <f t="shared" si="7"/>
        <v>1</v>
      </c>
    </row>
    <row r="107" spans="1:17" ht="14.55" customHeight="1" x14ac:dyDescent="0.3">
      <c r="A107" s="447"/>
      <c r="B107" s="4" t="s">
        <v>613</v>
      </c>
      <c r="C107" s="206">
        <v>28</v>
      </c>
      <c r="D107" s="206">
        <v>4</v>
      </c>
      <c r="E107" s="206" t="s">
        <v>265</v>
      </c>
      <c r="F107" s="481"/>
      <c r="G107" s="209" t="s">
        <v>48</v>
      </c>
      <c r="H107" s="230"/>
      <c r="I107" s="209" t="s">
        <v>1087</v>
      </c>
      <c r="J107" s="209" t="s">
        <v>1087</v>
      </c>
      <c r="K107" s="216"/>
      <c r="L107" s="206" t="s">
        <v>66</v>
      </c>
      <c r="M107" s="206" t="s">
        <v>763</v>
      </c>
      <c r="N107" s="206" t="s">
        <v>473</v>
      </c>
      <c r="O107" s="211">
        <f t="shared" si="7"/>
        <v>1</v>
      </c>
      <c r="P107" s="211">
        <f t="shared" si="7"/>
        <v>1</v>
      </c>
      <c r="Q107" s="211">
        <f t="shared" si="7"/>
        <v>1</v>
      </c>
    </row>
    <row r="108" spans="1:17" ht="14.55" customHeight="1" x14ac:dyDescent="0.3">
      <c r="A108" s="448" t="s">
        <v>52</v>
      </c>
      <c r="B108" s="16" t="s">
        <v>253</v>
      </c>
      <c r="C108" s="207">
        <v>0</v>
      </c>
      <c r="D108" s="207">
        <v>1</v>
      </c>
      <c r="E108" s="207" t="s">
        <v>547</v>
      </c>
      <c r="F108" s="222" t="s">
        <v>384</v>
      </c>
      <c r="G108" s="214" t="s">
        <v>48</v>
      </c>
      <c r="H108" s="230"/>
      <c r="I108" s="214" t="s">
        <v>48</v>
      </c>
      <c r="J108" s="230"/>
      <c r="K108" s="210" t="s">
        <v>17</v>
      </c>
      <c r="L108" s="206" t="s">
        <v>66</v>
      </c>
      <c r="M108" s="206" t="s">
        <v>749</v>
      </c>
      <c r="N108" s="206" t="s">
        <v>534</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5" customHeight="1" x14ac:dyDescent="0.3">
      <c r="A109" s="478"/>
      <c r="B109" s="16" t="s">
        <v>253</v>
      </c>
      <c r="C109" s="207">
        <v>1</v>
      </c>
      <c r="D109" s="207">
        <v>1</v>
      </c>
      <c r="E109" s="207" t="s">
        <v>548</v>
      </c>
      <c r="F109" s="222" t="s">
        <v>384</v>
      </c>
      <c r="G109" s="214" t="s">
        <v>48</v>
      </c>
      <c r="H109" s="230"/>
      <c r="I109" s="214" t="s">
        <v>48</v>
      </c>
      <c r="J109" s="230" t="s">
        <v>1146</v>
      </c>
      <c r="K109" s="210" t="s">
        <v>17</v>
      </c>
      <c r="L109" s="206" t="s">
        <v>66</v>
      </c>
      <c r="M109" s="206" t="s">
        <v>750</v>
      </c>
      <c r="N109" s="206" t="s">
        <v>535</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5" customHeight="1" x14ac:dyDescent="0.3">
      <c r="A110" s="447"/>
      <c r="B110" s="16" t="s">
        <v>253</v>
      </c>
      <c r="C110" s="207">
        <v>2</v>
      </c>
      <c r="D110" s="207">
        <v>30</v>
      </c>
      <c r="E110" s="207" t="s">
        <v>665</v>
      </c>
      <c r="F110" s="222" t="s">
        <v>384</v>
      </c>
      <c r="G110" s="214" t="s">
        <v>48</v>
      </c>
      <c r="H110" s="230"/>
      <c r="I110" s="214" t="s">
        <v>48</v>
      </c>
      <c r="J110" s="230"/>
      <c r="K110" s="210" t="s">
        <v>17</v>
      </c>
      <c r="L110" s="206" t="s">
        <v>66</v>
      </c>
      <c r="M110" s="206" t="s">
        <v>751</v>
      </c>
      <c r="N110" s="206" t="s">
        <v>535</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5" customHeight="1" x14ac:dyDescent="0.3">
      <c r="A111" s="448" t="s">
        <v>353</v>
      </c>
      <c r="B111" s="16" t="s">
        <v>253</v>
      </c>
      <c r="C111" s="207">
        <v>0</v>
      </c>
      <c r="D111" s="207">
        <v>1</v>
      </c>
      <c r="E111" s="207" t="s">
        <v>549</v>
      </c>
      <c r="F111" s="222" t="s">
        <v>384</v>
      </c>
      <c r="G111" s="214" t="s">
        <v>48</v>
      </c>
      <c r="H111" s="230"/>
      <c r="I111" s="214" t="s">
        <v>48</v>
      </c>
      <c r="J111" s="230"/>
      <c r="K111" s="210" t="s">
        <v>17</v>
      </c>
      <c r="L111" s="206" t="s">
        <v>66</v>
      </c>
      <c r="M111" s="206" t="s">
        <v>752</v>
      </c>
      <c r="N111" s="206" t="s">
        <v>546</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5" customHeight="1" x14ac:dyDescent="0.3">
      <c r="A112" s="447"/>
      <c r="B112" s="16" t="s">
        <v>253</v>
      </c>
      <c r="C112" s="207">
        <v>1</v>
      </c>
      <c r="D112" s="207">
        <v>31</v>
      </c>
      <c r="E112" s="207" t="s">
        <v>664</v>
      </c>
      <c r="F112" s="222" t="s">
        <v>384</v>
      </c>
      <c r="G112" s="214" t="s">
        <v>48</v>
      </c>
      <c r="H112" s="230"/>
      <c r="I112" s="214" t="s">
        <v>48</v>
      </c>
      <c r="J112" s="230"/>
      <c r="K112" s="210" t="s">
        <v>17</v>
      </c>
      <c r="L112" s="206" t="s">
        <v>66</v>
      </c>
      <c r="M112" s="206" t="s">
        <v>753</v>
      </c>
      <c r="N112" s="206" t="s">
        <v>546</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5" customHeight="1" x14ac:dyDescent="0.3">
      <c r="A113" s="448" t="s">
        <v>354</v>
      </c>
      <c r="B113" s="16" t="s">
        <v>355</v>
      </c>
      <c r="C113" s="207">
        <v>0</v>
      </c>
      <c r="D113" s="207">
        <v>1</v>
      </c>
      <c r="E113" s="207" t="s">
        <v>547</v>
      </c>
      <c r="F113" s="222" t="s">
        <v>384</v>
      </c>
      <c r="G113" s="214" t="s">
        <v>48</v>
      </c>
      <c r="H113" s="230"/>
      <c r="I113" s="214" t="s">
        <v>48</v>
      </c>
      <c r="J113" s="230"/>
      <c r="K113" s="210" t="s">
        <v>17</v>
      </c>
      <c r="L113" s="206" t="s">
        <v>66</v>
      </c>
      <c r="M113" s="206" t="s">
        <v>754</v>
      </c>
      <c r="N113" s="206" t="s">
        <v>534</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5" customHeight="1" x14ac:dyDescent="0.3">
      <c r="A114" s="478"/>
      <c r="B114" s="16" t="s">
        <v>355</v>
      </c>
      <c r="C114" s="207">
        <v>1</v>
      </c>
      <c r="D114" s="207">
        <v>1</v>
      </c>
      <c r="E114" s="207" t="s">
        <v>548</v>
      </c>
      <c r="F114" s="222" t="s">
        <v>384</v>
      </c>
      <c r="G114" s="214" t="s">
        <v>48</v>
      </c>
      <c r="H114" s="230"/>
      <c r="I114" s="214" t="s">
        <v>48</v>
      </c>
      <c r="J114" s="230"/>
      <c r="K114" s="210" t="s">
        <v>17</v>
      </c>
      <c r="L114" s="206" t="s">
        <v>66</v>
      </c>
      <c r="M114" s="206" t="s">
        <v>755</v>
      </c>
      <c r="N114" s="206" t="s">
        <v>535</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5" customHeight="1" x14ac:dyDescent="0.3">
      <c r="A115" s="447"/>
      <c r="B115" s="16" t="s">
        <v>355</v>
      </c>
      <c r="C115" s="207">
        <v>2</v>
      </c>
      <c r="D115" s="207">
        <v>30</v>
      </c>
      <c r="E115" s="207" t="s">
        <v>665</v>
      </c>
      <c r="F115" s="222" t="s">
        <v>384</v>
      </c>
      <c r="G115" s="214" t="s">
        <v>48</v>
      </c>
      <c r="H115" s="230"/>
      <c r="I115" s="214" t="s">
        <v>48</v>
      </c>
      <c r="J115" s="230"/>
      <c r="K115" s="210" t="s">
        <v>17</v>
      </c>
      <c r="L115" s="206" t="s">
        <v>66</v>
      </c>
      <c r="M115" s="206" t="s">
        <v>751</v>
      </c>
      <c r="N115" s="206" t="s">
        <v>535</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5" customHeight="1" x14ac:dyDescent="0.3">
      <c r="A116" s="448" t="s">
        <v>356</v>
      </c>
      <c r="B116" s="16" t="s">
        <v>355</v>
      </c>
      <c r="C116" s="207">
        <v>0</v>
      </c>
      <c r="D116" s="207">
        <v>1</v>
      </c>
      <c r="E116" s="207" t="s">
        <v>549</v>
      </c>
      <c r="F116" s="222" t="s">
        <v>384</v>
      </c>
      <c r="G116" s="214" t="s">
        <v>48</v>
      </c>
      <c r="H116" s="230"/>
      <c r="I116" s="214" t="s">
        <v>48</v>
      </c>
      <c r="J116" s="230"/>
      <c r="K116" s="210" t="s">
        <v>17</v>
      </c>
      <c r="L116" s="206" t="s">
        <v>66</v>
      </c>
      <c r="M116" s="206" t="s">
        <v>756</v>
      </c>
      <c r="N116" s="206" t="s">
        <v>546</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5" customHeight="1" x14ac:dyDescent="0.3">
      <c r="A117" s="447"/>
      <c r="B117" s="16" t="s">
        <v>355</v>
      </c>
      <c r="C117" s="207">
        <v>1</v>
      </c>
      <c r="D117" s="207">
        <v>31</v>
      </c>
      <c r="E117" s="207" t="s">
        <v>664</v>
      </c>
      <c r="F117" s="222" t="s">
        <v>384</v>
      </c>
      <c r="G117" s="214" t="s">
        <v>48</v>
      </c>
      <c r="H117" s="230"/>
      <c r="I117" s="214" t="s">
        <v>48</v>
      </c>
      <c r="J117" s="230"/>
      <c r="K117" s="210" t="s">
        <v>17</v>
      </c>
      <c r="L117" s="206" t="s">
        <v>66</v>
      </c>
      <c r="M117" s="206" t="s">
        <v>753</v>
      </c>
      <c r="N117" s="206" t="s">
        <v>546</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5" customHeight="1" x14ac:dyDescent="0.3">
      <c r="A118" s="448" t="s">
        <v>357</v>
      </c>
      <c r="B118" s="16" t="s">
        <v>355</v>
      </c>
      <c r="C118" s="207">
        <v>0</v>
      </c>
      <c r="D118" s="207">
        <v>1</v>
      </c>
      <c r="E118" s="207" t="s">
        <v>547</v>
      </c>
      <c r="F118" s="222" t="s">
        <v>384</v>
      </c>
      <c r="G118" s="214" t="s">
        <v>48</v>
      </c>
      <c r="H118" s="230"/>
      <c r="I118" s="214" t="s">
        <v>48</v>
      </c>
      <c r="J118" s="230"/>
      <c r="K118" s="210" t="s">
        <v>17</v>
      </c>
      <c r="L118" s="206" t="s">
        <v>66</v>
      </c>
      <c r="M118" s="206" t="s">
        <v>757</v>
      </c>
      <c r="N118" s="206" t="s">
        <v>534</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5" customHeight="1" x14ac:dyDescent="0.3">
      <c r="A119" s="478"/>
      <c r="B119" s="16" t="s">
        <v>355</v>
      </c>
      <c r="C119" s="207">
        <v>1</v>
      </c>
      <c r="D119" s="207">
        <v>1</v>
      </c>
      <c r="E119" s="207" t="s">
        <v>548</v>
      </c>
      <c r="F119" s="222" t="s">
        <v>384</v>
      </c>
      <c r="G119" s="214" t="s">
        <v>48</v>
      </c>
      <c r="H119" s="230"/>
      <c r="I119" s="214" t="s">
        <v>48</v>
      </c>
      <c r="J119" s="230"/>
      <c r="K119" s="210" t="s">
        <v>17</v>
      </c>
      <c r="L119" s="206" t="s">
        <v>66</v>
      </c>
      <c r="M119" s="206" t="s">
        <v>758</v>
      </c>
      <c r="N119" s="206" t="s">
        <v>535</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5" customHeight="1" x14ac:dyDescent="0.3">
      <c r="A120" s="447"/>
      <c r="B120" s="16" t="s">
        <v>355</v>
      </c>
      <c r="C120" s="207">
        <v>2</v>
      </c>
      <c r="D120" s="207">
        <v>30</v>
      </c>
      <c r="E120" s="207" t="s">
        <v>665</v>
      </c>
      <c r="F120" s="222" t="s">
        <v>384</v>
      </c>
      <c r="G120" s="214" t="s">
        <v>48</v>
      </c>
      <c r="H120" s="230"/>
      <c r="I120" s="214" t="s">
        <v>48</v>
      </c>
      <c r="J120" s="230"/>
      <c r="K120" s="210" t="s">
        <v>17</v>
      </c>
      <c r="L120" s="206" t="s">
        <v>66</v>
      </c>
      <c r="M120" s="206" t="s">
        <v>751</v>
      </c>
      <c r="N120" s="206" t="s">
        <v>535</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5" customHeight="1" x14ac:dyDescent="0.3">
      <c r="A121" s="448" t="s">
        <v>358</v>
      </c>
      <c r="B121" s="16" t="s">
        <v>355</v>
      </c>
      <c r="C121" s="207">
        <v>0</v>
      </c>
      <c r="D121" s="207">
        <v>1</v>
      </c>
      <c r="E121" s="207" t="s">
        <v>549</v>
      </c>
      <c r="F121" s="222" t="s">
        <v>384</v>
      </c>
      <c r="G121" s="214" t="s">
        <v>48</v>
      </c>
      <c r="H121" s="230"/>
      <c r="I121" s="214" t="s">
        <v>48</v>
      </c>
      <c r="J121" s="230"/>
      <c r="K121" s="210" t="s">
        <v>17</v>
      </c>
      <c r="L121" s="206" t="s">
        <v>66</v>
      </c>
      <c r="M121" s="206" t="s">
        <v>759</v>
      </c>
      <c r="N121" s="206" t="s">
        <v>546</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5" customHeight="1" x14ac:dyDescent="0.3">
      <c r="A122" s="447"/>
      <c r="B122" s="16" t="s">
        <v>355</v>
      </c>
      <c r="C122" s="207">
        <v>1</v>
      </c>
      <c r="D122" s="207">
        <v>31</v>
      </c>
      <c r="E122" s="207" t="s">
        <v>664</v>
      </c>
      <c r="F122" s="222" t="s">
        <v>384</v>
      </c>
      <c r="G122" s="214" t="s">
        <v>48</v>
      </c>
      <c r="H122" s="230"/>
      <c r="I122" s="214" t="s">
        <v>48</v>
      </c>
      <c r="J122" s="230"/>
      <c r="K122" s="210" t="s">
        <v>17</v>
      </c>
      <c r="L122" s="206" t="s">
        <v>66</v>
      </c>
      <c r="M122" s="206" t="s">
        <v>753</v>
      </c>
      <c r="N122" s="206" t="s">
        <v>546</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7">
        <v>0</v>
      </c>
      <c r="D123" s="207">
        <f>32*8</f>
        <v>256</v>
      </c>
      <c r="E123" s="207" t="s">
        <v>361</v>
      </c>
      <c r="F123" s="222" t="s">
        <v>384</v>
      </c>
      <c r="G123" s="214" t="s">
        <v>48</v>
      </c>
      <c r="H123" s="230"/>
      <c r="I123" s="214" t="s">
        <v>48</v>
      </c>
      <c r="J123" s="230"/>
      <c r="K123" s="207" t="s">
        <v>551</v>
      </c>
      <c r="L123" s="207" t="s">
        <v>128</v>
      </c>
      <c r="M123" s="207" t="s">
        <v>787</v>
      </c>
      <c r="N123" s="207" t="s">
        <v>550</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5" customHeight="1" x14ac:dyDescent="0.3">
      <c r="A124" s="16" t="s">
        <v>362</v>
      </c>
      <c r="B124" s="16" t="s">
        <v>363</v>
      </c>
      <c r="C124" s="207">
        <v>0</v>
      </c>
      <c r="D124" s="207">
        <f>32*8</f>
        <v>256</v>
      </c>
      <c r="E124" s="207" t="s">
        <v>364</v>
      </c>
      <c r="F124" s="222" t="s">
        <v>384</v>
      </c>
      <c r="G124" s="214" t="s">
        <v>48</v>
      </c>
      <c r="H124" s="230"/>
      <c r="I124" s="214" t="s">
        <v>48</v>
      </c>
      <c r="J124" s="230"/>
      <c r="K124" s="207" t="s">
        <v>551</v>
      </c>
      <c r="L124" s="207" t="s">
        <v>128</v>
      </c>
      <c r="M124" s="207" t="s">
        <v>787</v>
      </c>
      <c r="N124" s="207" t="s">
        <v>550</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7">
        <v>0</v>
      </c>
      <c r="D125" s="207">
        <f>32*8</f>
        <v>256</v>
      </c>
      <c r="E125" s="207" t="s">
        <v>366</v>
      </c>
      <c r="F125" s="222" t="s">
        <v>384</v>
      </c>
      <c r="G125" s="214" t="s">
        <v>48</v>
      </c>
      <c r="H125" s="230"/>
      <c r="I125" s="214" t="s">
        <v>48</v>
      </c>
      <c r="J125" s="230"/>
      <c r="K125" s="207" t="s">
        <v>551</v>
      </c>
      <c r="L125" s="207" t="s">
        <v>128</v>
      </c>
      <c r="M125" s="207" t="s">
        <v>787</v>
      </c>
      <c r="N125" s="207" t="s">
        <v>550</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E11" sqref="E11:E13"/>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61" t="s">
        <v>0</v>
      </c>
      <c r="B2" s="33" t="s">
        <v>1</v>
      </c>
      <c r="C2" s="33" t="s">
        <v>371</v>
      </c>
      <c r="D2" s="173" t="s">
        <v>2</v>
      </c>
      <c r="E2" s="161" t="s">
        <v>424</v>
      </c>
      <c r="F2" s="38" t="s">
        <v>3</v>
      </c>
      <c r="G2" s="38" t="s">
        <v>4</v>
      </c>
      <c r="H2" s="27" t="s">
        <v>5</v>
      </c>
      <c r="I2" s="28" t="s">
        <v>6</v>
      </c>
      <c r="J2" s="28" t="s">
        <v>385</v>
      </c>
      <c r="K2" s="157" t="s">
        <v>386</v>
      </c>
      <c r="L2" s="161" t="s">
        <v>7</v>
      </c>
      <c r="M2" s="160" t="s">
        <v>8</v>
      </c>
    </row>
    <row r="3" spans="1:13" x14ac:dyDescent="0.3">
      <c r="A3" s="489" t="s">
        <v>9</v>
      </c>
      <c r="B3" s="34" t="s">
        <v>395</v>
      </c>
      <c r="C3" s="43" t="s">
        <v>395</v>
      </c>
      <c r="D3" s="152" t="s">
        <v>10</v>
      </c>
      <c r="E3" s="162" t="s">
        <v>512</v>
      </c>
      <c r="F3" s="34" t="s">
        <v>11</v>
      </c>
      <c r="G3" s="149">
        <f ca="1">IF($C3="No Param",32,VLOOKUP($C3,INDIRECT(Config!$B$1),HLOOKUP(D$1,INDIRECT(Config!$E$1),2,FALSE),FALSE))</f>
        <v>512</v>
      </c>
      <c r="H3" s="24" t="s">
        <v>12</v>
      </c>
      <c r="I3" s="24" t="s">
        <v>13</v>
      </c>
      <c r="J3" s="24">
        <v>0</v>
      </c>
      <c r="K3" s="147">
        <v>0</v>
      </c>
      <c r="L3" s="483" t="s">
        <v>367</v>
      </c>
      <c r="M3" s="485" t="s">
        <v>14</v>
      </c>
    </row>
    <row r="4" spans="1:13" x14ac:dyDescent="0.3">
      <c r="A4" s="464"/>
      <c r="B4" s="35" t="s">
        <v>396</v>
      </c>
      <c r="C4" s="35" t="s">
        <v>396</v>
      </c>
      <c r="D4" s="153" t="s">
        <v>10</v>
      </c>
      <c r="E4" s="73" t="s">
        <v>513</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464"/>
      <c r="M4" s="486"/>
    </row>
    <row r="5" spans="1:13" x14ac:dyDescent="0.3">
      <c r="A5" s="464"/>
      <c r="B5" s="35" t="s">
        <v>397</v>
      </c>
      <c r="C5" s="35" t="s">
        <v>397</v>
      </c>
      <c r="D5" s="153" t="s">
        <v>15</v>
      </c>
      <c r="E5" s="73" t="s">
        <v>514</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464"/>
      <c r="M5" s="486"/>
    </row>
    <row r="6" spans="1:13" s="15" customFormat="1" x14ac:dyDescent="0.3">
      <c r="A6" s="464"/>
      <c r="B6" s="69" t="s">
        <v>398</v>
      </c>
      <c r="C6" s="69" t="s">
        <v>398</v>
      </c>
      <c r="D6" s="153" t="s">
        <v>15</v>
      </c>
      <c r="E6" s="163" t="s">
        <v>517</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461"/>
      <c r="M6" s="487"/>
    </row>
    <row r="7" spans="1:13" ht="15" thickBot="1" x14ac:dyDescent="0.35">
      <c r="A7" s="484"/>
      <c r="B7" s="143" t="s">
        <v>422</v>
      </c>
      <c r="C7" s="144" t="s">
        <v>422</v>
      </c>
      <c r="D7" s="154" t="s">
        <v>10</v>
      </c>
      <c r="E7" s="144" t="s">
        <v>518</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484"/>
      <c r="M7" s="488"/>
    </row>
    <row r="8" spans="1:13" ht="14.55" customHeight="1" x14ac:dyDescent="0.3">
      <c r="A8" s="466" t="s">
        <v>885</v>
      </c>
      <c r="B8" s="172" t="s">
        <v>16</v>
      </c>
      <c r="C8" s="172" t="s">
        <v>16</v>
      </c>
      <c r="D8" s="152" t="s">
        <v>17</v>
      </c>
      <c r="E8" s="186" t="s">
        <v>835</v>
      </c>
      <c r="F8" s="31" t="s">
        <v>18</v>
      </c>
      <c r="G8" s="97">
        <f ca="1">IF($C8="No Param",32,VLOOKUP($C8,INDIRECT(Config!$B$1),HLOOKUP(D$1,INDIRECT(Config!$E$1),2,FALSE),FALSE))</f>
        <v>768</v>
      </c>
      <c r="H8" s="24" t="s">
        <v>559</v>
      </c>
      <c r="I8" s="24" t="s">
        <v>19</v>
      </c>
      <c r="J8" s="24">
        <v>0</v>
      </c>
      <c r="K8" s="170">
        <v>0</v>
      </c>
      <c r="L8" s="491" t="s">
        <v>368</v>
      </c>
      <c r="M8" s="494" t="s">
        <v>20</v>
      </c>
    </row>
    <row r="9" spans="1:13" x14ac:dyDescent="0.3">
      <c r="A9" s="466"/>
      <c r="B9" s="182" t="s">
        <v>399</v>
      </c>
      <c r="C9" s="182" t="s">
        <v>399</v>
      </c>
      <c r="D9" s="156" t="s">
        <v>17</v>
      </c>
      <c r="E9" s="43" t="s">
        <v>520</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492"/>
      <c r="M9" s="495"/>
    </row>
    <row r="10" spans="1:13" x14ac:dyDescent="0.3">
      <c r="A10" s="466"/>
      <c r="B10" s="44" t="s">
        <v>22</v>
      </c>
      <c r="C10" s="44" t="s">
        <v>22</v>
      </c>
      <c r="D10" s="153"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492"/>
      <c r="M10" s="495"/>
    </row>
    <row r="11" spans="1:13" s="15" customFormat="1" x14ac:dyDescent="0.3">
      <c r="A11" s="466"/>
      <c r="B11" s="168" t="s">
        <v>21</v>
      </c>
      <c r="C11" s="167" t="s">
        <v>21</v>
      </c>
      <c r="D11" s="15" t="s">
        <v>17</v>
      </c>
      <c r="E11" s="78" t="s">
        <v>516</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492"/>
      <c r="M11" s="495"/>
    </row>
    <row r="12" spans="1:13" ht="15.45" customHeight="1" x14ac:dyDescent="0.3">
      <c r="A12" s="466"/>
      <c r="B12" s="72" t="s">
        <v>884</v>
      </c>
      <c r="C12" s="72" t="s">
        <v>884</v>
      </c>
      <c r="D12" s="153" t="s">
        <v>17</v>
      </c>
      <c r="E12" s="187"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492"/>
      <c r="M12" s="495"/>
    </row>
    <row r="13" spans="1:13" s="15" customFormat="1" ht="14.55" customHeight="1" thickBot="1" x14ac:dyDescent="0.35">
      <c r="A13" s="490"/>
      <c r="B13" s="169" t="s">
        <v>423</v>
      </c>
      <c r="C13" s="169" t="s">
        <v>423</v>
      </c>
      <c r="D13" s="188" t="s">
        <v>17</v>
      </c>
      <c r="E13" s="189" t="s">
        <v>519</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493"/>
      <c r="M13" s="496"/>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B1" zoomScale="85" zoomScaleNormal="85" workbookViewId="0">
      <selection activeCell="I2" sqref="I2"/>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4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49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49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49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49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49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49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49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49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49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49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49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49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49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49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49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49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49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49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49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49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49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49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49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49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49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49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49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49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49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49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49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4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478"/>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478"/>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478"/>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478"/>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478"/>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478"/>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478"/>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478"/>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478"/>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478"/>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478"/>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478"/>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478"/>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478"/>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478"/>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478"/>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478"/>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478"/>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478"/>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478"/>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478"/>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478"/>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478"/>
      <c r="B57" s="57" t="s">
        <v>1154</v>
      </c>
      <c r="C57" s="16">
        <v>23</v>
      </c>
      <c r="D57" s="16">
        <v>1</v>
      </c>
      <c r="E57" s="242" t="s">
        <v>1153</v>
      </c>
      <c r="F57" s="16" t="s">
        <v>336</v>
      </c>
      <c r="G57" s="241">
        <v>0</v>
      </c>
      <c r="H57" s="241">
        <v>0</v>
      </c>
      <c r="I57" s="16"/>
      <c r="J57" s="7" t="s">
        <v>87</v>
      </c>
      <c r="K57" s="243"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478"/>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478"/>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478"/>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478"/>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478"/>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478"/>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478"/>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4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7" type="noConversion"/>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499">
        <v>0</v>
      </c>
      <c r="B2" s="57" t="s">
        <v>577</v>
      </c>
      <c r="C2" s="16">
        <v>0</v>
      </c>
      <c r="D2" s="16"/>
      <c r="E2" s="58"/>
    </row>
    <row r="3" spans="1:5" x14ac:dyDescent="0.3">
      <c r="A3" s="499"/>
      <c r="B3" s="16" t="s">
        <v>578</v>
      </c>
      <c r="C3" s="16">
        <v>8</v>
      </c>
      <c r="D3" s="16"/>
      <c r="E3" s="58"/>
    </row>
    <row r="4" spans="1:5" x14ac:dyDescent="0.3">
      <c r="A4" s="499"/>
      <c r="B4" s="99" t="s">
        <v>584</v>
      </c>
      <c r="C4" s="99" t="s">
        <v>585</v>
      </c>
      <c r="D4" s="16"/>
      <c r="E4" s="58"/>
    </row>
    <row r="5" spans="1:5" x14ac:dyDescent="0.3">
      <c r="A5" s="499"/>
      <c r="B5" s="16" t="s">
        <v>586</v>
      </c>
      <c r="C5" s="16" t="s">
        <v>587</v>
      </c>
      <c r="D5" s="16"/>
      <c r="E5" s="58"/>
    </row>
    <row r="6" spans="1:5" x14ac:dyDescent="0.3">
      <c r="A6" s="499"/>
      <c r="B6" s="16" t="s">
        <v>588</v>
      </c>
      <c r="C6" s="16" t="s">
        <v>589</v>
      </c>
      <c r="D6" s="16"/>
      <c r="E6" s="58"/>
    </row>
    <row r="7" spans="1:5" x14ac:dyDescent="0.3">
      <c r="A7" s="499"/>
      <c r="B7" s="16" t="s">
        <v>590</v>
      </c>
      <c r="C7" s="16" t="s">
        <v>591</v>
      </c>
      <c r="D7" s="16"/>
      <c r="E7" s="58"/>
    </row>
    <row r="8" spans="1:5" ht="57.6" x14ac:dyDescent="0.3">
      <c r="A8" s="499">
        <v>1</v>
      </c>
      <c r="B8" s="98" t="s">
        <v>420</v>
      </c>
      <c r="C8" s="16">
        <v>11</v>
      </c>
      <c r="D8" s="16"/>
      <c r="E8" s="58" t="s">
        <v>595</v>
      </c>
    </row>
    <row r="9" spans="1:5" x14ac:dyDescent="0.3">
      <c r="A9" s="499"/>
      <c r="B9" s="98" t="s">
        <v>581</v>
      </c>
      <c r="C9" s="16">
        <v>0</v>
      </c>
      <c r="D9" s="16"/>
      <c r="E9" s="58" t="s">
        <v>599</v>
      </c>
    </row>
    <row r="10" spans="1:5" x14ac:dyDescent="0.3">
      <c r="A10" s="499"/>
      <c r="B10" s="98" t="s">
        <v>582</v>
      </c>
      <c r="C10" s="16">
        <v>0</v>
      </c>
      <c r="D10" s="16"/>
      <c r="E10" s="58" t="s">
        <v>386</v>
      </c>
    </row>
    <row r="11" spans="1:5" x14ac:dyDescent="0.3">
      <c r="A11" s="499"/>
      <c r="B11" s="98" t="s">
        <v>592</v>
      </c>
      <c r="C11" s="16">
        <v>7</v>
      </c>
      <c r="D11" s="16"/>
      <c r="E11" s="58"/>
    </row>
    <row r="12" spans="1:5" x14ac:dyDescent="0.3">
      <c r="A12" s="499"/>
      <c r="B12" s="98" t="s">
        <v>593</v>
      </c>
      <c r="C12" s="16" t="s">
        <v>594</v>
      </c>
      <c r="D12" s="16"/>
      <c r="E12" s="58"/>
    </row>
    <row r="13" spans="1:5" x14ac:dyDescent="0.3">
      <c r="A13" s="499"/>
      <c r="B13" s="16" t="s">
        <v>390</v>
      </c>
      <c r="C13" s="16"/>
      <c r="D13" s="16"/>
      <c r="E13" s="58"/>
    </row>
    <row r="14" spans="1:5" x14ac:dyDescent="0.3">
      <c r="A14" s="499"/>
      <c r="B14" s="16" t="s">
        <v>205</v>
      </c>
      <c r="C14" s="16"/>
      <c r="D14" s="16"/>
      <c r="E14" s="58"/>
    </row>
    <row r="15" spans="1:5" x14ac:dyDescent="0.3">
      <c r="A15" s="499"/>
      <c r="B15" s="16" t="s">
        <v>579</v>
      </c>
      <c r="C15" s="16" t="s">
        <v>580</v>
      </c>
      <c r="D15" s="16"/>
      <c r="E15" s="58"/>
    </row>
    <row r="16" spans="1:5" x14ac:dyDescent="0.3">
      <c r="A16" s="499"/>
      <c r="B16" s="16" t="s">
        <v>598</v>
      </c>
      <c r="C16" s="16"/>
      <c r="D16" s="16"/>
      <c r="E16" s="58"/>
    </row>
    <row r="17" spans="1:5" x14ac:dyDescent="0.3">
      <c r="A17" s="499">
        <v>2</v>
      </c>
      <c r="B17" s="99" t="s">
        <v>566</v>
      </c>
      <c r="C17" s="99">
        <v>128</v>
      </c>
      <c r="D17" s="16" t="s">
        <v>597</v>
      </c>
      <c r="E17" s="58"/>
    </row>
    <row r="18" spans="1:5" x14ac:dyDescent="0.3">
      <c r="A18" s="499"/>
      <c r="B18" s="99" t="s">
        <v>560</v>
      </c>
      <c r="C18" s="99" t="s">
        <v>563</v>
      </c>
      <c r="D18" s="16"/>
      <c r="E18" s="58"/>
    </row>
    <row r="19" spans="1:5" x14ac:dyDescent="0.3">
      <c r="A19" s="499"/>
      <c r="B19" s="16" t="s">
        <v>561</v>
      </c>
      <c r="C19" s="16" t="s">
        <v>562</v>
      </c>
      <c r="D19" s="16"/>
      <c r="E19" s="58"/>
    </row>
    <row r="20" spans="1:5" x14ac:dyDescent="0.3">
      <c r="A20" s="499"/>
      <c r="B20" s="16" t="s">
        <v>564</v>
      </c>
      <c r="C20" s="16" t="s">
        <v>565</v>
      </c>
      <c r="D20" s="16"/>
      <c r="E20" s="58"/>
    </row>
    <row r="21" spans="1:5" x14ac:dyDescent="0.3">
      <c r="A21" s="499">
        <v>3</v>
      </c>
      <c r="B21" s="99" t="s">
        <v>567</v>
      </c>
      <c r="C21" s="99" t="s">
        <v>568</v>
      </c>
      <c r="D21" s="16"/>
      <c r="E21" s="58"/>
    </row>
    <row r="22" spans="1:5" x14ac:dyDescent="0.3">
      <c r="A22" s="499"/>
      <c r="B22" s="99" t="s">
        <v>569</v>
      </c>
      <c r="C22" s="99" t="s">
        <v>570</v>
      </c>
      <c r="D22" s="16"/>
      <c r="E22" s="58"/>
    </row>
    <row r="23" spans="1:5" x14ac:dyDescent="0.3">
      <c r="A23" s="499"/>
      <c r="B23" s="16" t="s">
        <v>571</v>
      </c>
      <c r="C23" s="16" t="s">
        <v>572</v>
      </c>
      <c r="D23" s="16"/>
      <c r="E23" s="58"/>
    </row>
    <row r="24" spans="1:5" x14ac:dyDescent="0.3">
      <c r="A24" s="499"/>
      <c r="B24" s="16" t="s">
        <v>573</v>
      </c>
      <c r="C24" s="16" t="s">
        <v>574</v>
      </c>
      <c r="D24" s="16"/>
      <c r="E24" s="58"/>
    </row>
    <row r="25" spans="1:5" x14ac:dyDescent="0.3">
      <c r="A25" s="499">
        <v>4</v>
      </c>
      <c r="B25" s="98" t="s">
        <v>575</v>
      </c>
      <c r="C25" s="98" t="s">
        <v>576</v>
      </c>
      <c r="D25" s="16"/>
      <c r="E25" s="58"/>
    </row>
    <row r="26" spans="1:5" x14ac:dyDescent="0.3">
      <c r="A26" s="499"/>
      <c r="B26" s="98" t="s">
        <v>421</v>
      </c>
      <c r="C26" s="16">
        <v>2</v>
      </c>
      <c r="D26" s="16"/>
      <c r="E26" s="58" t="s">
        <v>596</v>
      </c>
    </row>
    <row r="27" spans="1:5" x14ac:dyDescent="0.3">
      <c r="A27" s="499"/>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Revision</vt:lpstr>
      <vt:lpstr>Config</vt:lpstr>
      <vt:lpstr>MTL-S</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2020-09-24T20:52:20Z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e53a3e64-8033-4367-8edb-1c9d31bc5061</vt:lpwstr>
  </property>
  <property fmtid="{D5CDD505-2E9C-101B-9397-08002B2CF9AE}" pid="3" name="CTP_TimeStamp">
    <vt:lpwstr>2020-09-03 21:38:18Z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