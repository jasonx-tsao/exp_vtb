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hreadedComments/threadedComment1.xml" ContentType="application/vnd.ms-excel.threadedcomments+xml"/>
  <Override PartName="/xl/comments7.xml" ContentType="application/vnd.openxmlformats-officedocument.spreadsheetml.comments+xml"/>
  <Override PartName="/xl/threadedComments/threadedComment2.xml" ContentType="application/vnd.ms-excel.threaded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A7F8FBD2-5837-423D-9C09-79767404C213}" xr6:coauthVersionLast="45" xr6:coauthVersionMax="45" xr10:uidLastSave="{00000000-0000-0000-0000-000000000000}"/>
  <bookViews>
    <workbookView xWindow="828" yWindow="-108" windowWidth="22320" windowHeight="13176" firstSheet="2" activeTab="8"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GSC)" sheetId="30" r:id="rId9"/>
    <sheet name="Group1" sheetId="7" r:id="rId10"/>
    <sheet name="Group2,3" sheetId="15" r:id="rId11"/>
    <sheet name="Softstrap" sheetId="8" r:id="rId12"/>
    <sheet name="MISC" sheetId="17" r:id="rId13"/>
  </sheets>
  <functionGroups builtInGroupCount="19"/>
  <definedNames>
    <definedName name="_xlnm._FilterDatabase" localSheetId="9" hidden="1">Group1!$A$1:$Q$107</definedName>
    <definedName name="_xlnm._FilterDatabase" localSheetId="8" hidden="1">'Group1 (GSC)'!$A$1:$R$107</definedName>
    <definedName name="_xlnm._FilterDatabase" localSheetId="11"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R71" i="30"/>
  <c r="Q71" i="30"/>
  <c r="P71" i="30"/>
  <c r="R70" i="30"/>
  <c r="Q70" i="30"/>
  <c r="P70" i="30"/>
  <c r="R69" i="30"/>
  <c r="Q69" i="30"/>
  <c r="P69" i="30"/>
  <c r="R68"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R125" i="30"/>
  <c r="Q125" i="30"/>
  <c r="Q123" i="30"/>
  <c r="P121" i="30"/>
  <c r="Q118" i="30"/>
  <c r="R115" i="30"/>
  <c r="P113" i="30"/>
  <c r="Q110" i="30"/>
  <c r="Q102" i="30"/>
  <c r="R99" i="30"/>
  <c r="P97" i="30"/>
  <c r="Q94" i="30"/>
  <c r="R91" i="30"/>
  <c r="R83" i="30"/>
  <c r="P81" i="30"/>
  <c r="Q78" i="30"/>
  <c r="R75" i="30"/>
  <c r="R59" i="30"/>
  <c r="Q54" i="30"/>
  <c r="R51" i="30"/>
  <c r="P49" i="30"/>
  <c r="Q46" i="30"/>
  <c r="R43" i="30"/>
  <c r="P41" i="30"/>
  <c r="Q38" i="30"/>
  <c r="P33" i="30"/>
  <c r="Q30" i="30"/>
  <c r="R27" i="30"/>
  <c r="P25" i="30"/>
  <c r="Q22" i="30"/>
  <c r="P17" i="30"/>
  <c r="Q14" i="30"/>
  <c r="R11" i="30"/>
  <c r="Q6" i="30"/>
  <c r="Q59" i="30"/>
  <c r="R56" i="30"/>
  <c r="Q51" i="30"/>
  <c r="P46" i="30"/>
  <c r="P30" i="30"/>
  <c r="P125" i="30"/>
  <c r="P123" i="30"/>
  <c r="R120" i="30"/>
  <c r="P118" i="30"/>
  <c r="Q115" i="30"/>
  <c r="R112" i="30"/>
  <c r="P110" i="30"/>
  <c r="P102" i="30"/>
  <c r="Q99" i="30"/>
  <c r="R96" i="30"/>
  <c r="P94" i="30"/>
  <c r="Q91" i="30"/>
  <c r="R88" i="30"/>
  <c r="Q83" i="30"/>
  <c r="R80" i="30"/>
  <c r="P78" i="30"/>
  <c r="Q75" i="30"/>
  <c r="P54" i="30"/>
  <c r="R48" i="30"/>
  <c r="Q43" i="30"/>
  <c r="P22" i="30"/>
  <c r="Q120" i="30"/>
  <c r="R117" i="30"/>
  <c r="P115" i="30"/>
  <c r="Q112" i="30"/>
  <c r="R109" i="30"/>
  <c r="R101" i="30"/>
  <c r="P99" i="30"/>
  <c r="Q96" i="30"/>
  <c r="R93" i="30"/>
  <c r="P91" i="30"/>
  <c r="Q88" i="30"/>
  <c r="P83" i="30"/>
  <c r="Q80" i="30"/>
  <c r="R77" i="30"/>
  <c r="P75" i="30"/>
  <c r="R61" i="30"/>
  <c r="P59" i="30"/>
  <c r="Q56" i="30"/>
  <c r="R53" i="30"/>
  <c r="P51" i="30"/>
  <c r="Q48" i="30"/>
  <c r="P43" i="30"/>
  <c r="Q40" i="30"/>
  <c r="R37" i="30"/>
  <c r="Q32" i="30"/>
  <c r="R29" i="30"/>
  <c r="P27" i="30"/>
  <c r="Q24" i="30"/>
  <c r="R21" i="30"/>
  <c r="R13" i="30"/>
  <c r="P11" i="30"/>
  <c r="P61" i="30"/>
  <c r="Q50" i="30"/>
  <c r="R7" i="30"/>
  <c r="R40" i="30"/>
  <c r="P14" i="30"/>
  <c r="R124" i="30"/>
  <c r="R122" i="30"/>
  <c r="P120" i="30"/>
  <c r="Q117" i="30"/>
  <c r="R114" i="30"/>
  <c r="P112" i="30"/>
  <c r="Q109" i="30"/>
  <c r="Q101" i="30"/>
  <c r="R98" i="30"/>
  <c r="P96" i="30"/>
  <c r="Q93" i="30"/>
  <c r="R90" i="30"/>
  <c r="P88" i="30"/>
  <c r="R82" i="30"/>
  <c r="P80" i="30"/>
  <c r="Q77" i="30"/>
  <c r="R74" i="30"/>
  <c r="Q61" i="30"/>
  <c r="R58" i="30"/>
  <c r="P56" i="30"/>
  <c r="Q53" i="30"/>
  <c r="R50" i="30"/>
  <c r="P48" i="30"/>
  <c r="P40" i="30"/>
  <c r="Q37" i="30"/>
  <c r="R34" i="30"/>
  <c r="P32" i="30"/>
  <c r="Q29" i="30"/>
  <c r="R26" i="30"/>
  <c r="P24" i="30"/>
  <c r="Q21" i="30"/>
  <c r="Q13" i="30"/>
  <c r="Q58" i="30"/>
  <c r="R47" i="30"/>
  <c r="Q34" i="30"/>
  <c r="Q26" i="30"/>
  <c r="P21" i="30"/>
  <c r="R15" i="30"/>
  <c r="P4" i="30"/>
  <c r="Q27" i="30"/>
  <c r="Q124" i="30"/>
  <c r="Q122" i="30"/>
  <c r="R119" i="30"/>
  <c r="P117" i="30"/>
  <c r="Q114" i="30"/>
  <c r="R111" i="30"/>
  <c r="P109" i="30"/>
  <c r="R103" i="30"/>
  <c r="P101" i="30"/>
  <c r="Q98" i="30"/>
  <c r="R95" i="30"/>
  <c r="P93" i="30"/>
  <c r="Q90" i="30"/>
  <c r="Q82" i="30"/>
  <c r="P77" i="30"/>
  <c r="Q74" i="30"/>
  <c r="R55" i="30"/>
  <c r="P53" i="30"/>
  <c r="P37" i="30"/>
  <c r="P29" i="30"/>
  <c r="R23" i="30"/>
  <c r="P13" i="30"/>
  <c r="R32" i="30"/>
  <c r="Q11" i="30"/>
  <c r="P124" i="30"/>
  <c r="P122" i="30"/>
  <c r="Q119" i="30"/>
  <c r="R116" i="30"/>
  <c r="P114" i="30"/>
  <c r="Q111" i="30"/>
  <c r="R108" i="30"/>
  <c r="Q103" i="30"/>
  <c r="R100" i="30"/>
  <c r="P98" i="30"/>
  <c r="Q95" i="30"/>
  <c r="R92" i="30"/>
  <c r="P90" i="30"/>
  <c r="P82" i="30"/>
  <c r="P74" i="30"/>
  <c r="R60" i="30"/>
  <c r="P58" i="30"/>
  <c r="Q55" i="30"/>
  <c r="R52" i="30"/>
  <c r="P50" i="30"/>
  <c r="Q47" i="30"/>
  <c r="R44" i="30"/>
  <c r="R36" i="30"/>
  <c r="P34" i="30"/>
  <c r="R28" i="30"/>
  <c r="P26" i="30"/>
  <c r="Q23" i="30"/>
  <c r="R20" i="30"/>
  <c r="Q15" i="30"/>
  <c r="R12" i="30"/>
  <c r="Q7" i="30"/>
  <c r="R4" i="30"/>
  <c r="R123" i="30"/>
  <c r="R118" i="30"/>
  <c r="Q113" i="30"/>
  <c r="R110" i="30"/>
  <c r="P100" i="30"/>
  <c r="Q97" i="30"/>
  <c r="P92" i="30"/>
  <c r="Q81" i="30"/>
  <c r="R78" i="30"/>
  <c r="P60" i="30"/>
  <c r="R54" i="30"/>
  <c r="Q49" i="30"/>
  <c r="R46" i="30"/>
  <c r="Q41" i="30"/>
  <c r="P36" i="30"/>
  <c r="R30" i="30"/>
  <c r="P28" i="30"/>
  <c r="R22" i="30"/>
  <c r="Q17" i="30"/>
  <c r="R14" i="30"/>
  <c r="P38" i="30"/>
  <c r="R121" i="30"/>
  <c r="P119" i="30"/>
  <c r="Q116" i="30"/>
  <c r="R113" i="30"/>
  <c r="P111" i="30"/>
  <c r="Q108" i="30"/>
  <c r="P103" i="30"/>
  <c r="Q100" i="30"/>
  <c r="R97" i="30"/>
  <c r="P95" i="30"/>
  <c r="Q92" i="30"/>
  <c r="R81" i="30"/>
  <c r="Q60" i="30"/>
  <c r="P55" i="30"/>
  <c r="Q52" i="30"/>
  <c r="R49" i="30"/>
  <c r="P47" i="30"/>
  <c r="Q44" i="30"/>
  <c r="R41" i="30"/>
  <c r="Q36" i="30"/>
  <c r="R33" i="30"/>
  <c r="Q28" i="30"/>
  <c r="R25" i="30"/>
  <c r="P23" i="30"/>
  <c r="Q20" i="30"/>
  <c r="R17" i="30"/>
  <c r="P15" i="30"/>
  <c r="Q12" i="30"/>
  <c r="P7" i="30"/>
  <c r="Q4" i="30"/>
  <c r="Q121" i="30"/>
  <c r="P116" i="30"/>
  <c r="P108" i="30"/>
  <c r="R102" i="30"/>
  <c r="R94" i="30"/>
  <c r="P52" i="30"/>
  <c r="P44" i="30"/>
  <c r="R38" i="30"/>
  <c r="Q33" i="30"/>
  <c r="Q25" i="30"/>
  <c r="P20" i="30"/>
  <c r="P12" i="30"/>
  <c r="R6" i="30"/>
  <c r="R24" i="30"/>
  <c r="P6"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2" i="27"/>
  <c r="G37" i="29"/>
  <c r="G5" i="29"/>
  <c r="L17" i="28"/>
  <c r="G5" i="27"/>
  <c r="G8" i="27"/>
  <c r="L41" i="27"/>
  <c r="G36" i="27"/>
  <c r="L36" i="28"/>
  <c r="G32" i="29"/>
  <c r="G35" i="28"/>
  <c r="G3" i="24"/>
  <c r="F9" i="21"/>
  <c r="G4" i="27"/>
  <c r="L39" i="27"/>
  <c r="G26" i="28"/>
  <c r="G13" i="27"/>
  <c r="G13" i="15"/>
  <c r="G10" i="29"/>
  <c r="G8" i="15"/>
  <c r="G11" i="29"/>
  <c r="G37" i="24"/>
  <c r="G21" i="27"/>
  <c r="G6" i="27"/>
  <c r="G13" i="29"/>
  <c r="G33" i="28"/>
  <c r="Q78" i="7"/>
  <c r="G41" i="28"/>
  <c r="L23" i="28"/>
  <c r="G7" i="29"/>
  <c r="G19" i="28"/>
  <c r="G9" i="15"/>
  <c r="L32" i="28"/>
  <c r="G32" i="24"/>
  <c r="L34" i="27"/>
  <c r="L29" i="27"/>
  <c r="G23" i="28"/>
  <c r="L18" i="24"/>
  <c r="L18" i="27"/>
  <c r="L31" i="27"/>
  <c r="G10" i="28"/>
  <c r="G4" i="29"/>
  <c r="G30" i="29"/>
  <c r="G5" i="24"/>
  <c r="L13" i="27"/>
  <c r="G12" i="24"/>
  <c r="G7" i="27"/>
  <c r="L11" i="24"/>
  <c r="L24" i="29"/>
  <c r="L14" i="29"/>
  <c r="G37" i="27"/>
  <c r="L15" i="28"/>
  <c r="G42" i="28"/>
  <c r="G22" i="27"/>
  <c r="Q4" i="7"/>
  <c r="G28" i="29"/>
  <c r="G21" i="29"/>
  <c r="G38" i="29"/>
  <c r="P78" i="7"/>
  <c r="G10" i="15"/>
  <c r="L12" i="28"/>
  <c r="G25" i="27"/>
  <c r="G11" i="27"/>
  <c r="G11" i="28"/>
  <c r="L22" i="27"/>
  <c r="G18" i="29"/>
  <c r="G4" i="28"/>
  <c r="L7" i="27"/>
  <c r="F13" i="21"/>
  <c r="G34" i="28"/>
  <c r="G18" i="27"/>
  <c r="G38" i="28"/>
  <c r="G12" i="28"/>
  <c r="L17" i="24"/>
  <c r="L20" i="27"/>
  <c r="L17" i="29"/>
  <c r="L37" i="28"/>
  <c r="L16" i="24"/>
  <c r="O4" i="7"/>
  <c r="G3" i="29"/>
  <c r="G7" i="28"/>
  <c r="G42" i="24"/>
  <c r="G9" i="29"/>
  <c r="G12" i="15"/>
  <c r="G33" i="29"/>
  <c r="G4" i="24"/>
  <c r="G12" i="27"/>
  <c r="G3" i="27"/>
  <c r="G19" i="27"/>
  <c r="F17" i="21"/>
  <c r="G9" i="24"/>
  <c r="G13" i="24"/>
  <c r="Q11" i="7"/>
  <c r="G11" i="15"/>
  <c r="L9" i="28"/>
  <c r="G26" i="29"/>
  <c r="G23" i="29"/>
  <c r="F8" i="21"/>
  <c r="G32" i="28"/>
  <c r="L10" i="24"/>
  <c r="O90" i="7"/>
  <c r="G40" i="29"/>
  <c r="L21" i="24"/>
  <c r="G37" i="28"/>
  <c r="G8" i="24"/>
  <c r="L8" i="28"/>
  <c r="L21" i="28"/>
  <c r="L5" i="28"/>
  <c r="L15" i="24"/>
  <c r="O11" i="7"/>
  <c r="G22" i="29"/>
  <c r="L21" i="27"/>
  <c r="G39" i="29"/>
  <c r="L5" i="24"/>
  <c r="G33" i="27"/>
  <c r="L6" i="27"/>
  <c r="L16" i="29"/>
  <c r="L37" i="27"/>
  <c r="L13" i="24"/>
  <c r="L19" i="28"/>
  <c r="G40" i="28"/>
  <c r="G28" i="28"/>
  <c r="G25" i="28"/>
  <c r="G20" i="28"/>
  <c r="G10" i="27"/>
  <c r="G8" i="29"/>
  <c r="G9" i="28"/>
  <c r="G18" i="28"/>
  <c r="G28" i="27"/>
  <c r="L3" i="24"/>
  <c r="L4" i="24"/>
  <c r="L35" i="27"/>
  <c r="L17" i="27"/>
  <c r="G38" i="27"/>
  <c r="L10" i="27"/>
  <c r="G41" i="27"/>
  <c r="G12" i="29"/>
  <c r="L7" i="24"/>
  <c r="G31" i="29"/>
  <c r="G13" i="28"/>
  <c r="G35" i="27"/>
  <c r="F11" i="21"/>
  <c r="G32" i="27"/>
  <c r="G34" i="27"/>
  <c r="G22" i="28"/>
  <c r="G29" i="28"/>
  <c r="G35" i="29"/>
  <c r="G20" i="29"/>
  <c r="L14" i="28"/>
  <c r="L31" i="28"/>
  <c r="L30" i="27"/>
  <c r="O78" i="7"/>
  <c r="F7" i="21"/>
  <c r="G8" i="28"/>
  <c r="G30" i="27"/>
  <c r="G41" i="29"/>
  <c r="L3" i="27"/>
  <c r="G7" i="24"/>
  <c r="L20" i="24"/>
  <c r="G34" i="29"/>
  <c r="L11" i="28"/>
  <c r="G36" i="29"/>
  <c r="L12" i="27"/>
  <c r="L24" i="24"/>
  <c r="L29" i="28"/>
  <c r="L18" i="28"/>
  <c r="L11"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10" i="29"/>
  <c r="L7" i="28"/>
  <c r="F14" i="21"/>
  <c r="L41" i="28"/>
  <c r="L15" i="29"/>
  <c r="L22" i="28"/>
  <c r="P11" i="7"/>
  <c r="L24" i="28"/>
  <c r="L16" i="27"/>
  <c r="G42" i="29"/>
  <c r="L8" i="29"/>
  <c r="L22" i="24"/>
  <c r="G39" i="27"/>
  <c r="L8" i="27"/>
  <c r="G23" i="27"/>
  <c r="L19" i="24"/>
  <c r="F5" i="21"/>
  <c r="G10" i="24"/>
  <c r="L20" i="28"/>
  <c r="G31" i="28"/>
  <c r="G6" i="28"/>
  <c r="L32" i="29"/>
  <c r="L31" i="29"/>
  <c r="G26" i="27"/>
  <c r="N57" i="8"/>
  <c r="L23" i="27"/>
  <c r="L14" i="27"/>
  <c r="L42" i="27"/>
  <c r="G11" i="24"/>
  <c r="L40" i="27"/>
  <c r="G6" i="24"/>
  <c r="G6" i="29"/>
  <c r="F6" i="21"/>
  <c r="P4" i="7"/>
  <c r="F12" i="21"/>
  <c r="L4" i="29"/>
  <c r="L12" i="29"/>
  <c r="L42" i="29"/>
  <c r="L10" i="28"/>
  <c r="L3" i="28"/>
  <c r="L7" i="29"/>
  <c r="G30" i="28"/>
  <c r="L30" i="28"/>
  <c r="L5" i="29"/>
  <c r="G31" i="27"/>
  <c r="L6" i="24"/>
  <c r="G21" i="28"/>
  <c r="F3" i="21"/>
  <c r="L40" i="28"/>
  <c r="G9" i="27"/>
  <c r="L23" i="24"/>
  <c r="L12" i="24"/>
  <c r="L9" i="27"/>
  <c r="F4" i="21"/>
  <c r="L21" i="29"/>
  <c r="L20" i="29"/>
  <c r="L22" i="29"/>
  <c r="G29" i="29"/>
  <c r="L57" i="8"/>
  <c r="L4" i="28"/>
  <c r="L9" i="24"/>
  <c r="L14" i="24"/>
  <c r="L19" i="27"/>
  <c r="L32" i="27"/>
  <c r="L41" i="29"/>
  <c r="G36" i="28"/>
  <c r="G19" i="29"/>
  <c r="L37" i="29"/>
  <c r="G29" i="27"/>
  <c r="M57" i="8"/>
  <c r="L16" i="28"/>
  <c r="L5" i="27"/>
  <c r="L36" i="27"/>
  <c r="L42" i="28"/>
  <c r="F16" i="21"/>
  <c r="L35" i="28"/>
  <c r="F10" i="21"/>
  <c r="F15" i="21"/>
  <c r="L11" i="29"/>
  <c r="L13" i="29"/>
  <c r="L9" i="29"/>
  <c r="L30" i="29"/>
  <c r="L29" i="29"/>
  <c r="L36" i="29"/>
  <c r="L35" i="29"/>
  <c r="L4" i="27"/>
  <c r="L6" i="28"/>
  <c r="L34" i="28"/>
  <c r="L24" i="27"/>
  <c r="G5" i="28"/>
  <c r="G25" i="29"/>
  <c r="L8" i="24"/>
  <c r="G20" i="27"/>
  <c r="L39" i="28"/>
  <c r="G39" i="28"/>
  <c r="G3" i="28"/>
  <c r="L3" i="29"/>
  <c r="L34" i="29"/>
  <c r="L39" i="29"/>
  <c r="L15" i="27"/>
  <c r="G40" i="27"/>
  <c r="L13" i="28"/>
  <c r="L40" i="29"/>
  <c r="L6" i="29"/>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100" i="7"/>
  <c r="O92" i="7"/>
  <c r="L32" i="8"/>
  <c r="K11" i="21"/>
  <c r="Q54" i="7"/>
  <c r="O110" i="7"/>
  <c r="L29" i="24"/>
  <c r="K15" i="21"/>
  <c r="L23" i="29"/>
  <c r="L58" i="8"/>
  <c r="G4" i="15"/>
  <c r="M7" i="8"/>
  <c r="N36" i="8"/>
  <c r="O46" i="7"/>
  <c r="P24" i="7"/>
  <c r="Q34" i="7"/>
  <c r="N13" i="8"/>
  <c r="P44" i="7"/>
  <c r="N3" i="8"/>
  <c r="M39" i="8"/>
  <c r="O6" i="7"/>
  <c r="Q103" i="7"/>
  <c r="L42" i="24"/>
  <c r="O40" i="7"/>
  <c r="P120" i="7"/>
  <c r="G38" i="24"/>
  <c r="O37" i="7"/>
  <c r="L37" i="24"/>
  <c r="O96" i="7"/>
  <c r="L39" i="24"/>
  <c r="O101" i="7"/>
  <c r="Q123" i="7"/>
  <c r="Q96" i="7"/>
  <c r="P33" i="7"/>
  <c r="G25" i="24"/>
  <c r="L59" i="8"/>
  <c r="L8" i="8"/>
  <c r="L50" i="8"/>
  <c r="O115" i="7"/>
  <c r="M6" i="8"/>
  <c r="P41" i="7"/>
  <c r="G35" i="24"/>
  <c r="P20" i="7"/>
  <c r="Q24" i="7"/>
  <c r="Q53" i="7"/>
  <c r="L34" i="8"/>
  <c r="O23" i="7"/>
  <c r="L62" i="8"/>
  <c r="P101" i="7"/>
  <c r="Q61" i="7"/>
  <c r="P125" i="7"/>
  <c r="P48" i="7"/>
  <c r="L4" i="8"/>
  <c r="P116" i="7"/>
  <c r="L30" i="24"/>
  <c r="P100" i="7"/>
  <c r="K9" i="21"/>
  <c r="L6" i="8"/>
  <c r="Q49" i="7"/>
  <c r="P96" i="7"/>
  <c r="O20" i="7"/>
  <c r="Q36" i="7"/>
  <c r="M42" i="8"/>
  <c r="P94" i="7"/>
  <c r="Q40" i="7"/>
  <c r="P50" i="7"/>
  <c r="O54" i="7"/>
  <c r="O49" i="7"/>
  <c r="N42" i="8"/>
  <c r="N2" i="8"/>
  <c r="Q108" i="7"/>
  <c r="L41" i="8"/>
  <c r="P124" i="7"/>
  <c r="O32" i="7"/>
  <c r="Q124" i="7"/>
  <c r="P118" i="7"/>
  <c r="Q28" i="7"/>
  <c r="Q90" i="7"/>
  <c r="L35" i="24"/>
  <c r="N31" i="8"/>
  <c r="Q55" i="7"/>
  <c r="L36" i="24"/>
  <c r="O60" i="7"/>
  <c r="Q59" i="7"/>
  <c r="N7" i="8"/>
  <c r="P29" i="7"/>
  <c r="O125" i="7"/>
  <c r="O58" i="7"/>
  <c r="O38" i="7"/>
  <c r="M3" i="8"/>
  <c r="P43" i="7"/>
  <c r="P32" i="7"/>
  <c r="O91" i="7"/>
  <c r="P22" i="7"/>
  <c r="Q47" i="7"/>
  <c r="Q14" i="7"/>
  <c r="Q95" i="7"/>
  <c r="P74" i="7"/>
  <c r="P98" i="7"/>
  <c r="P28" i="7"/>
  <c r="L13" i="8"/>
  <c r="N6" i="8"/>
  <c r="M31" i="8"/>
  <c r="Q30" i="7"/>
  <c r="M8" i="8"/>
  <c r="P110" i="7"/>
  <c r="Q7" i="7"/>
  <c r="O111" i="7"/>
  <c r="Q26" i="7"/>
  <c r="P102" i="7"/>
  <c r="Q113" i="7"/>
  <c r="P122" i="7"/>
  <c r="O108" i="7"/>
  <c r="Q46" i="7"/>
  <c r="Q117" i="7"/>
  <c r="Q83" i="7"/>
  <c r="Q60" i="7"/>
  <c r="M34" i="8"/>
  <c r="P114" i="7"/>
  <c r="Q6" i="7"/>
  <c r="O53" i="7"/>
  <c r="P51" i="7"/>
  <c r="M12" i="8"/>
  <c r="K5" i="21"/>
  <c r="M53" i="8"/>
  <c r="P56" i="7"/>
  <c r="P103" i="7"/>
  <c r="Q80" i="7"/>
  <c r="O120" i="7"/>
  <c r="O7" i="7"/>
  <c r="G23" i="24"/>
  <c r="Q52" i="7"/>
  <c r="M23" i="8"/>
  <c r="O81" i="7"/>
  <c r="N65" i="8"/>
  <c r="Q118" i="7"/>
  <c r="O103" i="7"/>
  <c r="O51" i="7"/>
  <c r="G22" i="24"/>
  <c r="O80" i="7"/>
  <c r="G34" i="24"/>
  <c r="Q38" i="7"/>
  <c r="N53" i="8"/>
  <c r="G6" i="15"/>
  <c r="O75" i="7"/>
  <c r="M36" i="8"/>
  <c r="P15" i="7"/>
  <c r="Q121" i="7"/>
  <c r="P47" i="7"/>
  <c r="P6" i="7"/>
  <c r="Q44" i="7"/>
  <c r="N61" i="8"/>
  <c r="G5" i="15"/>
  <c r="L22" i="8"/>
  <c r="Q82" i="7"/>
  <c r="L18" i="29"/>
  <c r="O56" i="7"/>
  <c r="P46" i="7"/>
  <c r="Q74" i="7"/>
  <c r="L63" i="8"/>
  <c r="L34" i="24"/>
  <c r="L11" i="8"/>
  <c r="G40" i="24"/>
  <c r="K7" i="21"/>
  <c r="M59" i="8"/>
  <c r="L23" i="8"/>
  <c r="N60" i="8"/>
  <c r="P82" i="7"/>
  <c r="M64" i="8"/>
  <c r="L37" i="8"/>
  <c r="O52" i="7"/>
  <c r="L36" i="8"/>
  <c r="M61" i="8"/>
  <c r="N33" i="8"/>
  <c r="O113" i="7"/>
  <c r="P40" i="7"/>
  <c r="O82" i="7"/>
  <c r="P93" i="7"/>
  <c r="N39" i="8"/>
  <c r="M22" i="8"/>
  <c r="P27" i="7"/>
  <c r="Q12" i="7"/>
  <c r="O102" i="7"/>
  <c r="O50" i="7"/>
  <c r="O34" i="7"/>
  <c r="L65" i="8"/>
  <c r="O36" i="7"/>
  <c r="Q111" i="7"/>
  <c r="G31" i="24"/>
  <c r="M43" i="8"/>
  <c r="P109" i="7"/>
  <c r="Q81" i="7"/>
  <c r="M13" i="8"/>
  <c r="O77" i="7"/>
  <c r="M62" i="8"/>
  <c r="O24" i="7"/>
  <c r="P117" i="7"/>
  <c r="O14" i="7"/>
  <c r="Q51" i="7"/>
  <c r="O88" i="7"/>
  <c r="L42" i="8"/>
  <c r="P123" i="7"/>
  <c r="G18" i="24"/>
  <c r="Q101" i="7"/>
  <c r="Q92" i="7"/>
  <c r="Q22" i="7"/>
  <c r="P108" i="7"/>
  <c r="P99" i="7"/>
  <c r="N22" i="8"/>
  <c r="Q43" i="7"/>
  <c r="M37" i="8"/>
  <c r="N62" i="8"/>
  <c r="N37" i="8"/>
  <c r="N19" i="8"/>
  <c r="P91" i="7"/>
  <c r="O94" i="7"/>
  <c r="P61" i="7"/>
  <c r="P75" i="7"/>
  <c r="P52" i="7"/>
  <c r="Q114" i="7"/>
  <c r="P55" i="7"/>
  <c r="O93" i="7"/>
  <c r="P23" i="7"/>
  <c r="G21" i="24"/>
  <c r="M32" i="8"/>
  <c r="M40" i="8"/>
  <c r="P30" i="7"/>
  <c r="P14" i="7"/>
  <c r="M60" i="8"/>
  <c r="Q94" i="7"/>
  <c r="Q58" i="7"/>
  <c r="P88" i="7"/>
  <c r="K4" i="21"/>
  <c r="O83" i="7"/>
  <c r="Q50" i="7"/>
  <c r="G3" i="15"/>
  <c r="G41" i="24"/>
  <c r="L18" i="8"/>
  <c r="K6" i="21"/>
  <c r="N9" i="8"/>
  <c r="P60" i="7"/>
  <c r="P21" i="7"/>
  <c r="N38" i="8"/>
  <c r="L31" i="8"/>
  <c r="M35" i="8"/>
  <c r="G26" i="24"/>
  <c r="P77" i="7"/>
  <c r="Q41" i="7"/>
  <c r="G39" i="24"/>
  <c r="Q115" i="7"/>
  <c r="O48" i="7"/>
  <c r="O13" i="7"/>
  <c r="L12" i="8"/>
  <c r="Q33" i="7"/>
  <c r="G29" i="24"/>
  <c r="L41" i="24"/>
  <c r="P59" i="7"/>
  <c r="Q122" i="7"/>
  <c r="N18" i="8"/>
  <c r="L35" i="8"/>
  <c r="O123" i="7"/>
  <c r="M33" i="8"/>
  <c r="P80" i="7"/>
  <c r="M19" i="8"/>
  <c r="L3" i="8"/>
  <c r="L31" i="24"/>
  <c r="O27" i="7"/>
  <c r="P7" i="7"/>
  <c r="G30" i="24"/>
  <c r="O22" i="7"/>
  <c r="O30" i="7"/>
  <c r="Q37" i="7"/>
  <c r="O119" i="7"/>
  <c r="Q32" i="7"/>
  <c r="O117" i="7"/>
  <c r="N43" i="8"/>
  <c r="O98" i="7"/>
  <c r="O44" i="7"/>
  <c r="O43" i="7"/>
  <c r="N41" i="8"/>
  <c r="L60" i="8"/>
  <c r="O61" i="7"/>
  <c r="O114" i="7"/>
  <c r="Q88" i="7"/>
  <c r="N32" i="8"/>
  <c r="O12" i="7"/>
  <c r="L7" i="8"/>
  <c r="Q125" i="7"/>
  <c r="Q100" i="7"/>
  <c r="O112" i="7"/>
  <c r="O25" i="7"/>
  <c r="O28" i="7"/>
  <c r="L33" i="8"/>
  <c r="M38" i="8"/>
  <c r="N23" i="8"/>
  <c r="G20" i="24"/>
  <c r="P111" i="7"/>
  <c r="N40" i="8"/>
  <c r="O109" i="7"/>
  <c r="N11" i="8"/>
  <c r="O97" i="7"/>
  <c r="O121" i="7"/>
  <c r="O15" i="7"/>
  <c r="Q23" i="7"/>
  <c r="G28" i="24"/>
  <c r="Q77" i="7"/>
  <c r="O47" i="7"/>
  <c r="Q75" i="7"/>
  <c r="Q91" i="7"/>
  <c r="N64" i="8"/>
  <c r="Q29" i="7"/>
  <c r="N35" i="8"/>
  <c r="K16" i="21"/>
  <c r="P54" i="7"/>
  <c r="Q119" i="7"/>
  <c r="L9" i="8"/>
  <c r="L53" i="8"/>
  <c r="G7" i="15"/>
  <c r="N34" i="8"/>
  <c r="P95" i="7"/>
  <c r="P121" i="7"/>
  <c r="P97" i="7"/>
  <c r="Q15" i="7"/>
  <c r="Q97" i="7"/>
  <c r="O55" i="7"/>
  <c r="O124" i="7"/>
  <c r="G36" i="24"/>
  <c r="O99" i="7"/>
  <c r="N50" i="8"/>
  <c r="N12" i="8"/>
  <c r="P92" i="7"/>
  <c r="P53" i="7"/>
  <c r="Q120" i="7"/>
  <c r="L38" i="8"/>
  <c r="Q116" i="7"/>
  <c r="L32" i="24"/>
  <c r="M50" i="8"/>
  <c r="Q110" i="7"/>
  <c r="M11" i="8"/>
  <c r="K12" i="21"/>
  <c r="O29" i="7"/>
  <c r="P112" i="7"/>
  <c r="O122" i="7"/>
  <c r="O116" i="7"/>
  <c r="Q112" i="7"/>
  <c r="Q48" i="7"/>
  <c r="P81" i="7"/>
  <c r="O41" i="7"/>
  <c r="Q21" i="7"/>
  <c r="L40" i="8"/>
  <c r="L2" i="8"/>
  <c r="P12" i="7"/>
  <c r="Q93" i="7"/>
  <c r="P58" i="7"/>
  <c r="P34" i="7"/>
  <c r="Q20" i="7"/>
  <c r="N63" i="8"/>
  <c r="P36" i="7"/>
  <c r="L43" i="8"/>
  <c r="L19" i="8"/>
  <c r="M4" i="8"/>
  <c r="P38" i="7"/>
  <c r="N4" i="8"/>
  <c r="Q109" i="7"/>
  <c r="O17" i="7"/>
  <c r="O33" i="7"/>
  <c r="M41" i="8"/>
  <c r="O26" i="7"/>
  <c r="P13" i="7"/>
  <c r="Q56" i="7"/>
  <c r="O118" i="7"/>
  <c r="P113" i="7"/>
  <c r="Q99" i="7"/>
  <c r="O21" i="7"/>
  <c r="K14" i="21"/>
  <c r="N8" i="8"/>
  <c r="N59" i="8"/>
  <c r="Q27" i="7"/>
  <c r="M18" i="8"/>
  <c r="P49" i="7"/>
  <c r="G19" i="24"/>
  <c r="O74" i="7"/>
  <c r="P115" i="7"/>
  <c r="L39" i="8"/>
  <c r="O95" i="7"/>
  <c r="Q98" i="7"/>
  <c r="P25" i="7"/>
  <c r="M65" i="8"/>
  <c r="M63" i="8"/>
  <c r="L19" i="29"/>
  <c r="M9" i="8"/>
  <c r="M2" i="8"/>
  <c r="L64" i="8"/>
  <c r="P17" i="7"/>
  <c r="M58" i="8"/>
  <c r="P90" i="7"/>
  <c r="L40" i="24"/>
  <c r="P119" i="7"/>
  <c r="Q17" i="7"/>
  <c r="K17" i="21"/>
  <c r="G33" i="24"/>
  <c r="L61" i="8"/>
  <c r="P26" i="7"/>
  <c r="Q25" i="7"/>
  <c r="K10" i="21"/>
  <c r="Q102" i="7"/>
  <c r="O59" i="7"/>
  <c r="N58" i="8"/>
  <c r="Q13" i="7"/>
  <c r="P83" i="7"/>
  <c r="P37"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<sst xmlns="http://schemas.openxmlformats.org/spreadsheetml/2006/main" count="4522" uniqueCount="1165">
  <si>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</si>
  <si>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</si>
  <si>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</si>
  <si>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</si>
  <si>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</si>
  <si>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</si>
  <si>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</si>
  <si>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</si>
  <si>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</si>
  <si>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</si>
  <si>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</si>
  <si>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</si>
  <si>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</si>
  <si>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</si>
  <si>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</si>
  <si>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</si>
  <si>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</si>
  <si>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</si>
  <si>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</si>
  <si>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</si>
  <si>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</si>
  <si>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</si>
  <si>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</si>
  <si>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</si>
  <si>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</si>
  <si>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</si>
  <si>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</si>
  <si>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</si>
  <si>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</si>
  <si>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</si>
  <si>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</si>
  <si>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</si>
  <si>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</si>
  <si>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</si>
  <si>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</si>
  <si>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</si>
  <si>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</si>
  <si>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</si>
  <si>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</si>
  <si>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</si>
  <si>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</si>
  <si>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</si>
  <si>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</si>
  <si>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</si>
  <si>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</si>
  <si>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</si>
  <si>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</si>
  <si>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</si>
  <si>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</si>
  <si>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</si>
  <si>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</si>
  <si>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</si>
  <si>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</si>
  <si>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</si>
  <si>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</si>
  <si>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</si>
  <si>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</si>
  <si>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</si>
  <si>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</si>
  <si>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</si>
  <si>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</si>
  <si>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</si>
  <si>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</si>
  <si>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</si>
  <si>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</si>
  <si>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</si>
  <si>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</si>
  <si>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</si>
  <si>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</si>
  <si>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</si>
  <si>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</si>
  <si>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</si>
  <si>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</si>
  <si>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</si>
  <si>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</si>
  <si>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</si>
  <si>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</si>
  <si>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</si>
  <si>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</si>
  <si>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</si>
  <si>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</si>
  <si>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</si>
  <si>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</si>
  <si>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</si>
  <si>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</si>
  <si>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</si>
  <si>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</si>
  <si>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</si>
  <si>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</si>
  <si>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</si>
  <si>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</si>
  <si>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</si>
  <si>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</si>
  <si>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</si>
  <si>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</si>
  <si>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</si>
  <si>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</si>
  <si>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</si>
  <si>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</si>
  <si>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</si>
  <si>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</si>
  <si>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</si>
  <si>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</si>
  <si>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</si>
  <si>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</si>
  <si>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</si>
  <si>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</si>
  <si>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</si>
  <si>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</si>
  <si>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</si>
  <si>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</si>
  <si>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</si>
  <si>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</si>
  <si>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</si>
  <si>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</si>
  <si>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</si>
  <si>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</si>
  <si>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</si>
  <si>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</si>
  <si>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</si>
  <si>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</si>
  <si>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</si>
  <si>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</si>
  <si>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</si>
  <si>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</si>
  <si>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</si>
  <si>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</si>
  <si>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</si>
  <si>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</si>
  <si>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</si>
  <si>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</si>
  <si>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</si>
  <si>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</si>
  <si>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</si>
  <si>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</si>
  <si>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</si>
  <si>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</si>
  <si>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</si>
  <si>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</si>
  <si>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</si>
  <si>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</si>
  <si>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</si>
  <si>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</si>
  <si>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</si>
  <si>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</si>
  <si>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</si>
  <si>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</si>
  <si>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</si>
  <si>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</si>
  <si>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</si>
  <si>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</si>
  <si>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</si>
  <si>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</si>
  <si>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</si>
  <si>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</si>
  <si>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</si>
  <si>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</si>
  <si>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</si>
  <si>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</si>
  <si>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</si>
  <si>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</si>
  <si>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</si>
  <si>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</si>
  <si>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</si>
  <si>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</si>
  <si>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</si>
  <si>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</si>
  <si>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</si>
  <si>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</si>
  <si>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</si>
  <si>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</si>
  <si>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</si>
  <si>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</si>
  <si>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</si>
  <si>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</si>
  <si>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</si>
  <si>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</si>
  <si>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</si>
  <si>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</si>
  <si>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</si>
  <si>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</si>
  <si>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</si>
  <si>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</si>
  <si>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</si>
  <si>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</si>
  <si>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</si>
  <si>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</si>
  <si>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</si>
  <si>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</si>
  <si>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</si>
  <si>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</si>
  <si>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</si>
  <si>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</si>
  <si>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</si>
  <si>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</si>
  <si>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</si>
  <si>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</si>
  <si>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</si>
  <si>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</si>
  <si>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</si>
  <si>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</si>
  <si>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</si>
  <si>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</si>
  <si>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</si>
  <si>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</si>
  <si>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</si>
  <si>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</si>
  <si>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</si>
  <si>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</si>
  <si>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</si>
  <si>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</si>
  <si>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</si>
  <si>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</si>
  <si>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</si>
  <si>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</si>
  <si>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</si>
  <si>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</si>
  <si>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</si>
  <si>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</si>
  <si>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</si>
  <si>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</si>
  <si>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</si>
  <si>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</si>
  <si>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</si>
  <si>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</si>
  <si>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</si>
  <si>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</si>
  <si>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</si>
  <si>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</si>
  <si>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</si>
  <si>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</si>
  <si>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</si>
  <si>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</si>
  <si>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</si>
  <si>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</si>
  <si>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</si>
  <si>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</si>
  <si>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</si>
  <si>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</si>
  <si>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</si>
  <si>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</si>
  <si>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</si>
  <si>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</si>
  <si>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</si>
  <si>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</si>
  <si>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</si>
  <si>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</si>
  <si>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</si>
  <si>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</si>
  <si>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</si>
  <si>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</si>
  <si>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</si>
  <si>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</si>
  <si>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</si>
  <si>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</si>
  <si>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</si>
  <si>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</si>
  <si>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</si>
  <si>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</si>
  <si>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</si>
  <si>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</si>
  <si>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</si>
  <si>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</si>
  <si>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</si>
  <si>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</si>
  <si>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</si>
  <si>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</si>
  <si>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</si>
  <si>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</si>
  <si>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</si>
  <si>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</si>
  <si>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</si>
  <si>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</si>
  <si>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</si>
  <si>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</si>
  <si>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</si>
  <si>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</si>
  <si>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</si>
  <si>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</si>
  <si>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</si>
  <si>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</si>
  <si>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</si>
  <si>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</si>
  <si>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</si>
  <si>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</si>
  <si>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</si>
  <si>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</si>
  <si>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</si>
  <si>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</si>
  <si>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</si>
  <si>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</si>
  <si>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</si>
  <si>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</si>
  <si>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</si>
  <si>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</si>
  <si>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</si>
  <si>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</si>
  <si>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</si>
  <si>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</si>
  <si>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</si>
  <si>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</si>
  <si>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</si>
  <si>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</si>
  <si>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</si>
  <si>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</si>
  <si>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</si>
  <si>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</si>
  <si>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</si>
  <si>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</si>
  <si>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</si>
  <si>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</si>
  <si>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</si>
  <si>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</si>
  <si>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</si>
  <si>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</si>
  <si>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</si>
  <si>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</si>
  <si>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</si>
  <si>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</si>
  <si>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</si>
  <si>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</si>
  <si>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</si>
  <si>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</si>
  <si>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</si>
  <si>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</si>
  <si>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</si>
  <si>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</si>
  <si>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</si>
  <si>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</si>
  <si>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</si>
  <si>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</si>
  <si>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</si>
  <si>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</si>
  <si>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</si>
  <si>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</si>
  <si>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</si>
  <si>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</si>
  <si>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</si>
  <si>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</si>
  <si>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</si>
  <si>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</si>
  <si>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</si>
  <si>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</si>
  <si>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</si>
  <si>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</si>
  <si>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</si>
  <si>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</si>
  <si>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</si>
  <si>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</si>
  <si>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</si>
  <si>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</si>
  <si>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</si>
  <si>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</si>
  <si>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</si>
  <si>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</si>
  <si>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</si>
  <si>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</si>
  <si>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</si>
  <si>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</si>
  <si>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</si>
  <si>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</si>
  <si>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</si>
  <si>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</si>
  <si>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</si>
  <si>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</si>
  <si>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</si>
  <si>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</si>
  <si>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</si>
  <si>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</si>
  <si>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</si>
  <si>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</si>
  <si>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</si>
  <si>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</si>
  <si>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</si>
  <si>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</si>
  <si>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</si>
  <si>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</si>
  <si>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</si>
  <si>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</si>
  <si>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</si>
  <si>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</si>
  <si>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</si>
  <si>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</si>
  <si>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</si>
  <si>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</si>
  <si>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</si>
  <si>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</si>
  <si>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</si>
  <si>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</si>
  <si>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</si>
  <si>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</si>
  <si>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</si>
  <si>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</si>
  <si>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</si>
  <si>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</si>
  <si>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</si>
  <si>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</si>
  <si>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</si>
  <si>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</si>
  <si>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</si>
  <si>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</si>
  <si>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</si>
  <si>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</si>
  <si>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</si>
  <si>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</si>
  <si>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</si>
  <si>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</si>
  <si>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</si>
  <si>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</si>
  <si>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</si>
  <si>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</si>
  <si>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</si>
  <si>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</si>
  <si>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</si>
  <si>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</si>
  <si>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</si>
  <si>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</si>
  <si>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</si>
  <si>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</si>
  <si>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</si>
  <si>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</si>
  <si>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</si>
  <si>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</si>
  <si>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</si>
  <si>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</si>
  <si>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</si>
  <si>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</si>
  <si>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</si>
  <si>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</si>
  <si>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</si>
  <si>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</si>
  <si>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</si>
  <si>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</si>
  <si>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</si>
  <si>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</si>
  <si>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</si>
  <si>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</si>
  <si>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</si>
  <si>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</si>
  <si>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</si>
  <si>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</si>
  <si>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</si>
  <si>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</si>
  <si>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</si>
  <si>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</si>
  <si>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</si>
  <si>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</si>
  <si>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</si>
  <si>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</si>
  <si>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</si>
  <si>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</si>
  <si>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</si>
  <si>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</si>
  <si>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</si>
  <si>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</si>
  <si>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</si>
  <si>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</si>
  <si>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</si>
  <si>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</si>
  <si>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</si>
  <si>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</si>
  <si>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</si>
  <si>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</si>
  <si>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</si>
  <si>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</si>
  <si>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</si>
  <si>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</si>
  <si>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</si>
  <si>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</si>
  <si>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</si>
  <si>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</si>
  <si>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</si>
  <si>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</si>
  <si>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</si>
  <si>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</si>
  <si>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</si>
  <si>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</si>
  <si>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</si>
  <si>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</si>
  <si>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</si>
  <si>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</si>
  <si>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</si>
  <si>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</si>
  <si>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</si>
  <si>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</si>
  <si>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</si>
  <si>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</si>
  <si>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</si>
  <si>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</si>
  <si>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</si>
  <si>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</si>
  <si>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</si>
  <si>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</si>
  <si>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</si>
  <si>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</si>
  <si>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</si>
  <si>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</si>
  <si>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</si>
  <si>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</si>
  <si>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</si>
  <si>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</si>
  <si>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</si>
  <si>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</si>
  <si>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</si>
  <si>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</si>
  <si>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</si>
  <si>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</si>
  <si>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</si>
  <si>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</si>
  <si>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</si>
  <si>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</si>
  <si>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</si>
  <si>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</si>
  <si>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</si>
  <si>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</si>
  <si>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</si>
  <si>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</si>
  <si>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</si>
  <si>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</si>
  <si>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</si>
  <si>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</si>
  <si>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</si>
  <si>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</si>
  <si>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</si>
  <si>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</si>
  <si>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</si>
  <si>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</si>
  <si>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</si>
  <si>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</si>
  <si>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</si>
  <si>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</si>
  <si>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</si>
  <si>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</si>
  <si>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</si>
  <si>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</si>
  <si>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</si>
  <si>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</si>
  <si>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</si>
  <si>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</si>
  <si>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</si>
  <si>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</si>
  <si>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</si>
  <si>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</si>
  <si>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</si>
  <si>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</si>
  <si>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</si>
  <si>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</si>
  <si>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</si>
  <si>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</si>
  <si>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</si>
  <si>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</si>
  <si>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</si>
  <si>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</si>
  <si>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</si>
  <si>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</si>
  <si>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</si>
  <si>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</si>
  <si>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</si>
  <si>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</si>
  <si>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</si>
  <si>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</si>
  <si>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</si>
  <si>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</si>
  <si>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</si>
  <si>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</si>
  <si>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</si>
  <si>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</si>
  <si>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</si>
  <si>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</si>
  <si>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</si>
  <si>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</si>
  <si>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</si>
  <si>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</si>
  <si>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</si>
  <si>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</si>
  <si>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</si>
  <si>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</si>
  <si>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</si>
  <si>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</si>
  <si>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</si>
  <si>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</si>
  <si>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</si>
  <si>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</si>
  <si>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</si>
  <si>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</si>
  <si>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</si>
  <si>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</si>
  <si>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</si>
  <si>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</si>
  <si>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</si>
  <si>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</si>
  <si>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</si>
  <si>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</si>
  <si>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</si>
  <si>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</si>
  <si>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</si>
  <si>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</si>
  <si>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</si>
  <si>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</si>
  <si>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</si>
  <si>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</si>
  <si>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</si>
  <si>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</si>
  <si>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</si>
  <si>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</si>
  <si>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</si>
  <si>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</si>
  <si>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</si>
  <si>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</si>
  <si>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</si>
  <si>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</si>
  <si>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</si>
  <si>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</si>
  <si>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</si>
  <si>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</si>
  <si>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</si>
  <si>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</si>
  <si>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</si>
  <si>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</si>
  <si>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</si>
  <si>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</si>
  <si>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</si>
  <si>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</si>
  <si>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</si>
  <si>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</si>
  <si>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</si>
  <si>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</si>
  <si>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</si>
  <si>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</si>
  <si>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</si>
  <si>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</si>
  <si>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</si>
  <si>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</si>
  <si>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</si>
  <si>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</si>
  <si>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</si>
  <si>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</si>
  <si>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</si>
  <si>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</si>
  <si>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</si>
  <si>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</si>
  <si>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</si>
  <si>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</si>
  <si>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</si>
  <si>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</si>
  <si>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</si>
  <si>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</si>
  <si>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</si>
  <si>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</si>
  <si>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</si>
  <si>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</si>
  <si>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</si>
  <si>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</si>
  <si>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</si>
  <si>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</si>
  <si>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</si>
  <si>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</si>
  <si>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</si>
  <si>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</si>
  <si>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</si>
  <si>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</si>
  <si>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</si>
  <si>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</si>
  <si>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</si>
  <si>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</si>
  <si>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</si>
  <si>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</si>
  <si>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</si>
  <si>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</si>
  <si>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</si>
  <si>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</si>
  <si>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</si>
  <si>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</si>
  <si>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</si>
  <si>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</si>
  <si>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</si>
  <si>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</si>
  <si>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</si>
  <si>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</si>
  <si>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</si>
  <si>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</si>
  <si>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</si>
  <si>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</si>
  <si>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</si>
  <si>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</si>
  <si>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</si>
  <si>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</si>
  <si>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</si>
  <si>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</si>
  <si>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</si>
  <si>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</si>
  <si>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</si>
  <si>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</si>
  <si>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</si>
  <si>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</si>
  <si>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</si>
  <si>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</si>
  <si>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</si>
  <si>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</si>
  <si>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</si>
  <si>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</si>
  <si>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</si>
  <si>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</si>
  <si>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</si>
  <si>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</si>
  <si>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</si>
  <si>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</si>
  <si>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</si>
  <si>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</si>
  <si>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</si>
  <si>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</si>
  <si>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</si>
  <si>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</si>
  <si>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</si>
  <si>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</si>
  <si>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</si>
  <si>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</si>
  <si>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</si>
  <si>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</si>
  <si>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</si>
  <si>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</si>
  <si>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</si>
  <si>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</si>
  <si>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</si>
  <si>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</si>
  <si>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</si>
  <si>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</si>
  <si>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</si>
  <si>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</si>
  <si>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</si>
  <si>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</si>
  <si>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</si>
  <si>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</si>
  <si>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</si>
  <si>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</si>
  <si>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</si>
  <si>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</si>
  <si>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</si>
  <si>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</si>
  <si>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</si>
  <si>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</si>
  <si>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</si>
  <si>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</si>
  <si>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</si>
  <si>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</si>
  <si>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</si>
  <si>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</si>
  <si>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</si>
  <si>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</si>
  <si>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</si>
  <si>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</si>
  <si>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</si>
  <si>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</si>
  <si>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</si>
  <si>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</si>
  <si>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</si>
  <si>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</si>
  <si>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</si>
  <si>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</si>
  <si>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</si>
  <si>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</si>
  <si>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</si>
  <si>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</si>
  <si>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</si>
  <si>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</si>
  <si>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</si>
  <si>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</si>
  <si>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</si>
  <si>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</si>
  <si>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</si>
  <si>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</si>
  <si>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</si>
  <si>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</si>
  <si>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</si>
  <si>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</si>
  <si>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</si>
  <si>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</si>
  <si>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</si>
  <si>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</si>
  <si>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</si>
  <si>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</si>
  <si>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</si>
  <si>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</si>
  <si>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</si>
  <si>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</si>
  <si>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</si>
  <si>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</si>
  <si>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</si>
  <si>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</si>
  <si>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</si>
  <si>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</si>
  <si>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</si>
  <si>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</si>
  <si>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</si>
  <si>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</si>
  <si>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</si>
  <si>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</si>
  <si>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</si>
  <si>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</si>
  <si>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</si>
  <si>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</si>
  <si>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</si>
  <si>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</si>
  <si>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</si>
  <si>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</si>
  <si>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</si>
  <si>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</si>
  <si>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</si>
  <si>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</si>
  <si>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</si>
  <si>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</si>
  <si>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</si>
  <si>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</si>
  <si>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</si>
  <si>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</si>
  <si>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</si>
  <si>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</si>
  <si>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</si>
  <si>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</si>
  <si>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</si>
  <si>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</si>
  <si>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</si>
  <si>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</si>
  <si>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</si>
  <si>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</si>
  <si>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</si>
  <si>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</si>
  <si>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</si>
  <si>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</si>
  <si>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</si>
  <si>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</si>
  <si>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</si>
  <si>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</si>
  <si>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</si>
  <si>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</si>
  <si>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</si>
  <si>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</si>
  <si>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</si>
  <si>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</si>
  <si>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</si>
  <si>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</si>
  <si>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</si>
  <si>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</si>
  <si>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</si>
  <si>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</si>
  <si>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</si>
  <si>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</si>
  <si>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</si>
  <si>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</si>
  <si>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</si>
  <si>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</si>
  <si>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</si>
  <si>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</si>
  <si>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</si>
  <si>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</si>
  <si>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</si>
  <si>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</si>
  <si>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</si>
  <si>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</si>
  <si>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</si>
  <si>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</si>
  <si>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</si>
  <si>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</si>
  <si>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</si>
  <si>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</si>
  <si>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</si>
  <si>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</si>
  <si>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</si>
  <si>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</si>
  <si>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</si>
  <si>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</si>
  <si>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</si>
  <si>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</si>
  <si>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</si>
  <si>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</si>
  <si>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</si>
  <si>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</si>
  <si>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</si>
  <si>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</si>
  <si>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</si>
  <si>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</si>
  <si>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</si>
  <si>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</si>
  <si>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</si>
  <si>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</si>
  <si>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</si>
  <si>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</si>
  <si>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</si>
  <si>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</si>
  <si>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</si>
  <si>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</si>
  <si>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</si>
  <si>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</si>
  <si>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</si>
  <si>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</si>
  <si>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</si>
  <si>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</si>
  <si>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</si>
  <si>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</si>
  <si>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</si>
  <si>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</si>
  <si>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</si>
  <si>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</si>
  <si>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</si>
  <si>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</si>
  <si>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</si>
  <si>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</si>
  <si>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</si>
  <si>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</si>
  <si>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</si>
  <si>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</si>
  <si>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</si>
  <si>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</si>
  <si>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</si>
  <si>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</si>
  <si>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</si>
  <si>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</si>
  <si>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</si>
  <si>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</si>
  <si>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</si>
  <si>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</si>
  <si>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</si>
  <si>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</si>
  <si>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</si>
  <si>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</si>
  <si>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</si>
  <si>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</si>
  <si>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</si>
  <si>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</si>
  <si>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</si>
  <si>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</si>
  <si>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</si>
  <si>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</si>
  <si>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</si>
  <si>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</si>
  <si>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</si>
  <si>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</si>
  <si>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</si>
  <si>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</si>
  <si>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</si>
  <si>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</si>
  <si>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</si>
  <si>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</si>
  <si>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</si>
  <si>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</si>
  <si>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</si>
  <si>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</si>
  <si>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</si>
  <si>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</si>
  <si>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</si>
  <si>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</si>
  <si>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</si>
  <si>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</si>
  <si>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</si>
  <si>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</si>
  <si>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</si>
  <si>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</si>
  <si>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</si>
  <si>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</si>
  <si>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</si>
  <si>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</si>
  <si>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</si>
  <si>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</si>
  <si>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</si>
  <si>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</si>
  <si>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</si>
  <si>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</si>
  <si>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</si>
  <si>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</si>
  <si>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</si>
  <si>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</si>
  <si>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</si>
  <si>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</si>
  <si>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</si>
  <si>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</si>
  <si>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</si>
  <si>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</si>
  <si>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</si>
  <si>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</si>
  <si>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</si>
  <si>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</si>
  <si>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</si>
  <si>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</si>
  <si>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</si>
  <si>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</si>
  <si>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</si>
  <si>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</si>
  <si>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</si>
  <si>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</si>
  <si>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</si>
  <si>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</si>
  <si>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</si>
  <si>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</si>
  <si>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</si>
  <si>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</si>
  <si>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</si>
  <si>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</si>
  <si>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</si>
  <si>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</si>
  <si>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</si>
  <si>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</si>
  <si>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</si>
  <si>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</si>
  <si>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</si>
  <si>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</si>
  <si>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</si>
  <si>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</si>
  <si>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</si>
  <si>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</si>
  <si>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</si>
  <si>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</si>
  <si>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</si>
  <si>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</si>
  <si>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</si>
  <si>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</si>
  <si>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</si>
  <si>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</si>
  <si>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</si>
  <si>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</si>
  <si>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</si>
  <si>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</si>
  <si>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</si>
  <si>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</si>
  <si>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</si>
  <si>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</si>
  <si>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</si>
  <si>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</si>
  <si>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</si>
  <si>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</si>
  <si>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</si>
  <si>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</si>
  <si>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</si>
  <si>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</si>
  <si>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</si>
  <si>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</si>
  <si>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</si>
  <si>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</si>
  <si>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</si>
  <si>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</si>
  <si>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</si>
  <si>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</si>
  <si>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</si>
  <si>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</si>
  <si>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</si>
  <si>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</si>
  <si>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</si>
  <si>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</si>
  <si>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</si>
  <si>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</si>
  <si>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</si>
  <si>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</si>
  <si>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</si>
  <si>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</si>
  <si>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</si>
  <si>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</si>
  <si>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</si>
  <si>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</si>
  <si>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</si>
  <si>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</si>
  <si>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</si>
  <si>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</si>
  <si>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</si>
  <si>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</si>
  <si>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</si>
  <si>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</si>
  <si>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</si>
  <si>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</si>
  <si>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</si>
  <si>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</si>
  <si>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</si>
  <si>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</si>
  <si>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</si>
  <si>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</si>
  <si>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</si>
  <si>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</si>
  <si>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</si>
  <si>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</si>
  <si>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</si>
  <si>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</si>
  <si>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</si>
  <si>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</si>
  <si>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</si>
  <si>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</si>
  <si>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</si>
  <si>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</si>
  <si>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</si>
  <si>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</si>
  <si>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</si>
  <si>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</si>
  <si>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</si>
  <si>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</si>
  <si>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</si>
  <si>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</si>
  <si>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</si>
  <si>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</si>
  <si>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</si>
  <si>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</si>
  <si>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</si>
  <si>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</si>
  <si>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</si>
  <si>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</si>
  <si>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</si>
  <si>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</si>
  <si>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</si>
  <si>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</si>
  <si>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</si>
  <si>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</si>
  <si>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</si>
  <si>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</si>
  <si>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</si>
  <si>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</si>
  <si>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</si>
  <si>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</si>
  <si>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</si>
  <si>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</si>
  <si>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</si>
  <si>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</si>
  <si>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</si>
  <si>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</si>
  <si>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</si>
  <si>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</si>
  <si>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</si>
  <si>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</si>
  <si>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</si>
  <si>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</si>
  <si>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</si>
  <si>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</si>
  <si>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</si>
  <si>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</si>
  <si>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</si>
  <si>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</si>
  <si>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</si>
  <si>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</si>
  <si>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</si>
  <si>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</si>
  <si>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</si>
  <si>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</si>
  <si>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</si>
  <si>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</si>
  <si>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</si>
  <si>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</si>
  <si>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</si>
  <si>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</si>
  <si>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</si>
  <si>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</si>
  <si>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</si>
  <si>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</si>
  <si>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</si>
  <si>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</si>
  <si>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</si>
  <si>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</si>
  <si>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</si>
  <si>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</si>
  <si>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</si>
  <si>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</si>
  <si>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</si>
  <si>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</si>
  <si>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</si>
  <si>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</si>
  <si>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</si>
  <si>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</si>
  <si>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</si>
  <si>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</si>
  <si>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</si>
  <si>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t>[GSC] Fuse attribute changes for OC and revert back to old fuse names
https://hsdes.intel.com/appstore/article/#/14012245610
Added a new tab group1 (GSC) for group1 fuses  updated the FW_CONFIG_FUSES for gsc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</si>
</sst>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s>
  <fills count="1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s>
  <borders count="6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s>
  <cellStyleXfs count="1">
    <xf numFmtId="0" fontId="0" fillId="0" borderId="0"/>
  </cellStyleXfs>
  <cellXfs count="32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67" xfId="0" applyBorder="1"/>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0" fillId="0" borderId="2" xfId="0" applyBorder="1" applyAlignment="1">
      <alignment horizontal="left"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0" fillId="0" borderId="2" xfId="0" applyBorder="1" applyAlignment="1">
      <alignment horizontal="left" vertical="center"/>
    </xf>
    <xf numFmtId="0" fontId="6" fillId="8" borderId="2" xfId="0" applyFont="1" applyFill="1" applyBorder="1"/>
    <xf numFmtId="0" fontId="0" fillId="0" borderId="2" xfId="0" applyBorder="1" applyAlignment="1">
      <alignment vertical="center"/>
    </xf>
    <xf numFmtId="0" fontId="0" fillId="0" borderId="4" xfId="0" applyFill="1" applyBorder="1" applyAlignment="1">
      <alignment horizontal="left"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25" fillId="2" borderId="2" xfId="0" applyFont="1" applyFill="1" applyBorder="1"/>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0" fillId="0" borderId="4" xfId="0" applyFill="1" applyBorder="1" applyAlignment="1">
      <alignment horizontal="center" vertical="center"/>
    </xf>
    <xf numFmtId="14" fontId="0" fillId="0" borderId="0" xfId="0" applyNumberFormat="1"/>
    <xf numFmtId="0" fontId="0" fillId="0" borderId="4" xfId="0" applyFill="1" applyBorder="1" applyAlignment="1">
      <alignment wrapText="1"/>
    </xf>
  </cellXfs>
  <cellStyles count="1">
    <cellStyle name="Normal" xfId="0" builtinId="0"/>
  </cellStyles>
  <dxfs count="56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2.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 Id="rId4" Type="http://schemas.microsoft.com/office/2017/10/relationships/threadedComment" Target="../threadedComments/threadedComment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4"/>
  <sheetViews>
    <sheetView topLeftCell="A8" workbookViewId="0">
      <selection activeCell="D24" sqref="D24"/>
    </sheetView>
  </sheetViews>
  <sheetFormatPr defaultRowHeight="14.4" x14ac:dyDescent="0.3"/>
  <cols>
    <col min="1" max="1" width="10" bestFit="1" customWidth="1"/>
    <col min="2" max="2" width="10.44140625" bestFit="1" customWidth="1"/>
    <col min="3" max="3" width="20.6640625" customWidth="1"/>
    <col min="4" max="4" width="126.88671875" customWidth="1"/>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s="15" customFormat="1"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6">
        <v>14</v>
      </c>
      <c r="B15" s="137">
        <v>43920</v>
      </c>
      <c r="C15" s="127" t="s">
        <v>555</v>
      </c>
      <c r="D15" s="138" t="s">
        <v>808</v>
      </c>
    </row>
    <row r="16" spans="1:4" ht="86.4" x14ac:dyDescent="0.3">
      <c r="A16" s="136">
        <v>15</v>
      </c>
      <c r="B16" s="137">
        <v>43979</v>
      </c>
      <c r="C16" s="131" t="s">
        <v>555</v>
      </c>
      <c r="D16" s="138" t="s">
        <v>882</v>
      </c>
    </row>
    <row r="17" spans="1:4" ht="43.2" x14ac:dyDescent="0.3">
      <c r="A17" s="136">
        <v>16</v>
      </c>
      <c r="B17" s="137">
        <v>43979</v>
      </c>
      <c r="C17" s="140" t="s">
        <v>555</v>
      </c>
      <c r="D17" s="138" t="s">
        <v>886</v>
      </c>
    </row>
    <row r="18" spans="1:4" x14ac:dyDescent="0.3">
      <c r="A18" s="136">
        <v>17</v>
      </c>
      <c r="B18" s="195">
        <v>43999</v>
      </c>
      <c r="C18" s="16" t="s">
        <v>555</v>
      </c>
      <c r="D18" s="16" t="s">
        <v>887</v>
      </c>
    </row>
    <row r="19" spans="1:4" x14ac:dyDescent="0.3">
      <c r="A19" s="136">
        <v>18</v>
      </c>
      <c r="B19" s="195">
        <v>44012</v>
      </c>
      <c r="C19" s="16" t="s">
        <v>555</v>
      </c>
      <c r="D19" s="16" t="s">
        <v>1105</v>
      </c>
    </row>
    <row r="20" spans="1:4" x14ac:dyDescent="0.3">
      <c r="A20" s="136">
        <v>19</v>
      </c>
      <c r="B20" s="195">
        <v>44018</v>
      </c>
      <c r="C20" s="16" t="s">
        <v>555</v>
      </c>
      <c r="D20" s="16" t="s">
        <v>1147</v>
      </c>
    </row>
    <row r="21" spans="1:4" ht="28.8" x14ac:dyDescent="0.3">
      <c r="A21" s="136">
        <v>20</v>
      </c>
      <c r="B21" s="240">
        <v>44028</v>
      </c>
      <c r="C21" s="239" t="s">
        <v>555</v>
      </c>
      <c r="D21" s="141" t="s">
        <v>1149</v>
      </c>
    </row>
    <row r="22" spans="1:4" ht="28.8" x14ac:dyDescent="0.3">
      <c r="A22" s="136">
        <v>21</v>
      </c>
      <c r="B22" s="240">
        <v>44039</v>
      </c>
      <c r="C22" s="241" t="s">
        <v>555</v>
      </c>
      <c r="D22" s="141" t="s">
        <v>1156</v>
      </c>
    </row>
    <row r="23" spans="1:4" ht="28.8" x14ac:dyDescent="0.3">
      <c r="A23" s="136">
        <v>22</v>
      </c>
      <c r="B23" s="240">
        <v>44042</v>
      </c>
      <c r="C23" s="245" t="s">
        <v>555</v>
      </c>
      <c r="D23" s="141" t="s">
        <v>1157</v>
      </c>
    </row>
    <row r="24" spans="1:4" ht="43.2" x14ac:dyDescent="0.3">
      <c r="A24" s="323">
        <v>23</v>
      </c>
      <c r="B24" s="324">
        <v>44055</v>
      </c>
      <c r="C24" s="248" t="s">
        <v>606</v>
      </c>
      <c r="D24" s="325" t="s">
        <v>1164</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pane xSplit="7" ySplit="4" topLeftCell="AC5" activePane="bottomRight" state="frozen"/>
      <selection pane="topRight" activeCell="H1" sqref="H1"/>
      <selection pane="bottomLeft" activeCell="A5" sqref="A5"/>
      <selection pane="bottomRight" activeCell="A11" sqref="A11"/>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252" t="s">
        <v>634</v>
      </c>
      <c r="D2" s="253"/>
      <c r="E2" s="249" t="s">
        <v>392</v>
      </c>
      <c r="F2" s="250"/>
      <c r="G2" s="251"/>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46"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41"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41"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41"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41"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41"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41"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41"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41"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41"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42"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41"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41"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41"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41"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41"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41"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41"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41"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41" t="s">
        <v>833</v>
      </c>
    </row>
    <row r="67" spans="1:30" s="15" customFormat="1" ht="12.45" customHeight="1" x14ac:dyDescent="0.3">
      <c r="A67" s="185"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41"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41"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41"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41" t="s">
        <v>832</v>
      </c>
    </row>
  </sheetData>
  <mergeCells count="2">
    <mergeCell ref="E2:G2"/>
    <mergeCell ref="C2:D2"/>
  </mergeCells>
  <conditionalFormatting sqref="A56">
    <cfRule type="cellIs" dxfId="560" priority="10" operator="equal">
      <formula>0</formula>
    </cfRule>
  </conditionalFormatting>
  <conditionalFormatting sqref="A57">
    <cfRule type="cellIs" dxfId="559" priority="9" operator="equal">
      <formula>0</formula>
    </cfRule>
  </conditionalFormatting>
  <conditionalFormatting sqref="A58">
    <cfRule type="cellIs" dxfId="558" priority="8" operator="equal">
      <formula>0</formula>
    </cfRule>
  </conditionalFormatting>
  <conditionalFormatting sqref="A60">
    <cfRule type="cellIs" dxfId="557" priority="7" operator="equal">
      <formula>0</formula>
    </cfRule>
  </conditionalFormatting>
  <conditionalFormatting sqref="A62 A67">
    <cfRule type="cellIs" priority="6" operator="equal">
      <formula>0</formula>
    </cfRule>
  </conditionalFormatting>
  <conditionalFormatting sqref="A63">
    <cfRule type="cellIs" dxfId="556" priority="5" operator="equal">
      <formula>0</formula>
    </cfRule>
  </conditionalFormatting>
  <conditionalFormatting sqref="A64">
    <cfRule type="cellIs" dxfId="555" priority="3" operator="equal">
      <formula>0</formula>
    </cfRule>
    <cfRule type="cellIs" dxfId="554" priority="4" operator="equal">
      <formula>0</formula>
    </cfRule>
  </conditionalFormatting>
  <conditionalFormatting sqref="A59">
    <cfRule type="cellIs" dxfId="553"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8"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6" t="s">
        <v>367</v>
      </c>
      <c r="N3" s="257" t="s">
        <v>14</v>
      </c>
      <c r="O3" s="260">
        <f ca="1">($G3+$G4+$G5+$G6+$G7)</f>
        <v>1056</v>
      </c>
    </row>
    <row r="4" spans="1:15" ht="15" customHeight="1" x14ac:dyDescent="0.3">
      <c r="A4" s="268"/>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8"/>
      <c r="N4" s="258"/>
      <c r="O4" s="261"/>
    </row>
    <row r="5" spans="1:15" ht="15" customHeight="1" x14ac:dyDescent="0.3">
      <c r="A5" s="268"/>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8"/>
      <c r="N5" s="258"/>
      <c r="O5" s="261"/>
    </row>
    <row r="6" spans="1:15" ht="15" customHeight="1" x14ac:dyDescent="0.3">
      <c r="A6" s="268"/>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8"/>
      <c r="N6" s="258"/>
      <c r="O6" s="261"/>
    </row>
    <row r="7" spans="1:15" ht="15" customHeight="1" thickBot="1" x14ac:dyDescent="0.35">
      <c r="A7" s="268"/>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9"/>
      <c r="N7" s="259"/>
      <c r="O7" s="262"/>
    </row>
    <row r="8" spans="1:15" ht="14.55" customHeight="1" x14ac:dyDescent="0.3">
      <c r="A8" s="276"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9" t="s">
        <v>368</v>
      </c>
      <c r="N8" s="272" t="s">
        <v>20</v>
      </c>
      <c r="O8" s="274">
        <f ca="1">($G8+$G9+$G10+$G13)</f>
        <v>960</v>
      </c>
    </row>
    <row r="9" spans="1:15" ht="14.55" customHeight="1" x14ac:dyDescent="0.3">
      <c r="A9" s="277"/>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0"/>
      <c r="N9" s="258"/>
      <c r="O9" s="261"/>
    </row>
    <row r="10" spans="1:15" ht="15" customHeight="1" x14ac:dyDescent="0.3">
      <c r="A10" s="277"/>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0"/>
      <c r="N10" s="258"/>
      <c r="O10" s="261"/>
    </row>
    <row r="11" spans="1:15" ht="15" customHeight="1" x14ac:dyDescent="0.3">
      <c r="A11" s="277"/>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58"/>
      <c r="O11" s="261"/>
    </row>
    <row r="12" spans="1:15" ht="15" customHeight="1" x14ac:dyDescent="0.3">
      <c r="A12" s="277"/>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1"/>
      <c r="N12" s="273"/>
      <c r="O12" s="275"/>
    </row>
    <row r="13" spans="1:15" ht="15" customHeight="1" thickBot="1" x14ac:dyDescent="0.35">
      <c r="A13" s="278"/>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1"/>
      <c r="N13" s="273"/>
      <c r="O13" s="275"/>
    </row>
    <row r="14" spans="1:15" ht="15" customHeight="1" x14ac:dyDescent="0.3">
      <c r="A14" s="264" t="s">
        <v>23</v>
      </c>
      <c r="B14" s="34" t="s">
        <v>24</v>
      </c>
      <c r="C14" s="36" t="s">
        <v>613</v>
      </c>
      <c r="D14" s="254" t="s">
        <v>25</v>
      </c>
      <c r="E14" s="102"/>
      <c r="F14" s="111" t="s">
        <v>26</v>
      </c>
      <c r="G14" s="60">
        <f ca="1">IF($C14="No Param",32,VLOOKUP($C14,INDIRECT(Config!$B$1),HLOOKUP(D$1,INDIRECT(Config!$E$1),2,FALSE),FALSE)*32)</f>
        <v>32</v>
      </c>
      <c r="H14" s="24" t="s">
        <v>27</v>
      </c>
      <c r="I14" s="24" t="s">
        <v>28</v>
      </c>
      <c r="J14" s="199" t="s">
        <v>1080</v>
      </c>
      <c r="K14" s="199" t="s">
        <v>1097</v>
      </c>
      <c r="L14" s="237" t="str">
        <f ca="1">IF(VLOOKUP("EXT_FUSE_PULL_SUPP", INDIRECT(Config!$B$1),HLOOKUP(D$1,INDIRECT(Config!$E$1),2,FALSE),FALSE)=1, IF(G14&gt;0,CONCATENATE("CSME_HW_FW_Config_fuses[",G14-1,":0]"), ""), "")</f>
        <v/>
      </c>
      <c r="M14" s="266" t="s">
        <v>369</v>
      </c>
      <c r="N14" s="257" t="s">
        <v>29</v>
      </c>
      <c r="O14" s="260">
        <f ca="1">(4*32+G18+G19+G20+G21+G22+G23)</f>
        <v>160</v>
      </c>
    </row>
    <row r="15" spans="1:15" ht="15" customHeight="1" x14ac:dyDescent="0.3">
      <c r="A15" s="265"/>
      <c r="B15" s="35" t="s">
        <v>30</v>
      </c>
      <c r="C15" s="37" t="s">
        <v>613</v>
      </c>
      <c r="D15" s="255"/>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63"/>
      <c r="N15" s="258"/>
      <c r="O15" s="261"/>
    </row>
    <row r="16" spans="1:15" ht="15" customHeight="1" x14ac:dyDescent="0.3">
      <c r="A16" s="265"/>
      <c r="B16" s="35" t="s">
        <v>31</v>
      </c>
      <c r="C16" s="37" t="s">
        <v>613</v>
      </c>
      <c r="D16" s="255"/>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63"/>
      <c r="N16" s="258"/>
      <c r="O16" s="261"/>
    </row>
    <row r="17" spans="1:15" x14ac:dyDescent="0.3">
      <c r="A17" s="265"/>
      <c r="B17" s="35" t="s">
        <v>32</v>
      </c>
      <c r="C17" s="37" t="s">
        <v>613</v>
      </c>
      <c r="D17" s="255"/>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63"/>
      <c r="N17" s="258"/>
      <c r="O17" s="261"/>
    </row>
    <row r="18" spans="1:15" x14ac:dyDescent="0.3">
      <c r="A18" s="265"/>
      <c r="B18" s="35" t="s">
        <v>34</v>
      </c>
      <c r="C18" s="35" t="s">
        <v>253</v>
      </c>
      <c r="D18" s="255"/>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63"/>
      <c r="N18" s="258"/>
      <c r="O18" s="261"/>
    </row>
    <row r="19" spans="1:15" x14ac:dyDescent="0.3">
      <c r="A19" s="265"/>
      <c r="B19" s="35" t="s">
        <v>36</v>
      </c>
      <c r="C19" s="73" t="s">
        <v>214</v>
      </c>
      <c r="D19" s="255"/>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63"/>
      <c r="N19" s="258"/>
      <c r="O19" s="261"/>
    </row>
    <row r="20" spans="1:15" x14ac:dyDescent="0.3">
      <c r="A20" s="265"/>
      <c r="B20" s="73" t="s">
        <v>246</v>
      </c>
      <c r="C20" s="73" t="s">
        <v>205</v>
      </c>
      <c r="D20" s="255"/>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63"/>
      <c r="N20" s="258"/>
      <c r="O20" s="261"/>
    </row>
    <row r="21" spans="1:15" x14ac:dyDescent="0.3">
      <c r="A21" s="265"/>
      <c r="B21" s="73" t="s">
        <v>250</v>
      </c>
      <c r="C21" s="73" t="s">
        <v>390</v>
      </c>
      <c r="D21" s="255"/>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63"/>
      <c r="N21" s="258"/>
      <c r="O21" s="261"/>
    </row>
    <row r="22" spans="1:15" x14ac:dyDescent="0.3">
      <c r="A22" s="265"/>
      <c r="B22" s="73" t="s">
        <v>251</v>
      </c>
      <c r="C22" s="73" t="s">
        <v>390</v>
      </c>
      <c r="D22" s="255"/>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63"/>
      <c r="N22" s="258"/>
      <c r="O22" s="261"/>
    </row>
    <row r="23" spans="1:15" x14ac:dyDescent="0.3">
      <c r="A23" s="265"/>
      <c r="B23" s="73" t="s">
        <v>252</v>
      </c>
      <c r="C23" s="73" t="s">
        <v>390</v>
      </c>
      <c r="D23" s="255"/>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63"/>
      <c r="N23" s="258"/>
      <c r="O23" s="261"/>
    </row>
    <row r="24" spans="1:15" x14ac:dyDescent="0.3">
      <c r="A24" s="265"/>
      <c r="B24" s="35" t="s">
        <v>38</v>
      </c>
      <c r="C24" s="37" t="s">
        <v>613</v>
      </c>
      <c r="D24" s="255"/>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63"/>
      <c r="N24" s="258"/>
      <c r="O24" s="261"/>
    </row>
    <row r="25" spans="1:15" x14ac:dyDescent="0.3">
      <c r="A25" s="264" t="s">
        <v>41</v>
      </c>
      <c r="B25" s="35" t="s">
        <v>42</v>
      </c>
      <c r="C25" s="35" t="s">
        <v>614</v>
      </c>
      <c r="D25" s="255"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63" t="s">
        <v>370</v>
      </c>
      <c r="N25" s="258"/>
      <c r="O25" s="261">
        <f ca="1">(G25+G26)</f>
        <v>64</v>
      </c>
    </row>
    <row r="26" spans="1:15" ht="15" thickBot="1" x14ac:dyDescent="0.35">
      <c r="A26" s="267"/>
      <c r="B26" s="74" t="s">
        <v>46</v>
      </c>
      <c r="C26" s="74" t="s">
        <v>615</v>
      </c>
      <c r="D26" s="256"/>
      <c r="E26" s="123"/>
      <c r="F26" s="76" t="s">
        <v>44</v>
      </c>
      <c r="G26" s="75">
        <f ca="1">IF($C26="No Param",32,VLOOKUP($C26,INDIRECT(Config!$B$1),HLOOKUP(D$1,INDIRECT(Config!$E$1),2,FALSE),FALSE)*32)</f>
        <v>32</v>
      </c>
      <c r="H26" s="26" t="str">
        <f ca="1">IF(G26=0,"N/A","0x8004")</f>
        <v>0x8004</v>
      </c>
      <c r="I26" s="26" t="s">
        <v>47</v>
      </c>
      <c r="J26" s="203" t="s">
        <v>48</v>
      </c>
      <c r="K26" s="203" t="s">
        <v>387</v>
      </c>
      <c r="L26" s="238"/>
      <c r="M26" s="259"/>
      <c r="N26" s="259"/>
      <c r="O26" s="262"/>
    </row>
    <row r="27" spans="1:15" ht="15" thickBot="1" x14ac:dyDescent="0.35">
      <c r="A27" s="104"/>
    </row>
    <row r="28" spans="1:15" x14ac:dyDescent="0.3">
      <c r="A28" s="25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7" t="s">
        <v>48</v>
      </c>
      <c r="O28" s="260">
        <f ca="1">SUM(G28:G42)</f>
        <v>576</v>
      </c>
    </row>
    <row r="29" spans="1:15" ht="15" customHeight="1" x14ac:dyDescent="0.3">
      <c r="A29" s="25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3" t="s">
        <v>369</v>
      </c>
      <c r="N29" s="258"/>
      <c r="O29" s="261"/>
    </row>
    <row r="30" spans="1:15" x14ac:dyDescent="0.3">
      <c r="A30" s="25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3"/>
      <c r="N30" s="258"/>
      <c r="O30" s="261"/>
    </row>
    <row r="31" spans="1:15" x14ac:dyDescent="0.3">
      <c r="A31" s="25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3"/>
      <c r="N31" s="258"/>
      <c r="O31" s="261"/>
    </row>
    <row r="32" spans="1:15" x14ac:dyDescent="0.3">
      <c r="A32" s="25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8"/>
      <c r="O32" s="261"/>
    </row>
    <row r="33" spans="1:15" x14ac:dyDescent="0.3">
      <c r="A33" s="25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8"/>
      <c r="O33" s="261"/>
    </row>
    <row r="34" spans="1:15" ht="15" customHeight="1" x14ac:dyDescent="0.3">
      <c r="A34" s="25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3" t="s">
        <v>369</v>
      </c>
      <c r="N34" s="258"/>
      <c r="O34" s="261"/>
    </row>
    <row r="35" spans="1:15" x14ac:dyDescent="0.3">
      <c r="A35" s="25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3"/>
      <c r="N35" s="258"/>
      <c r="O35" s="261"/>
    </row>
    <row r="36" spans="1:15" x14ac:dyDescent="0.3">
      <c r="A36" s="25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3"/>
      <c r="N36" s="258"/>
      <c r="O36" s="261"/>
    </row>
    <row r="37" spans="1:15" x14ac:dyDescent="0.3">
      <c r="A37" s="25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8"/>
      <c r="O37" s="261"/>
    </row>
    <row r="38" spans="1:15" x14ac:dyDescent="0.3">
      <c r="A38" s="25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8"/>
      <c r="O38" s="261"/>
    </row>
    <row r="39" spans="1:15" ht="15" customHeight="1" x14ac:dyDescent="0.3">
      <c r="A39" s="25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3" t="s">
        <v>369</v>
      </c>
      <c r="N39" s="258"/>
      <c r="O39" s="261"/>
    </row>
    <row r="40" spans="1:15" x14ac:dyDescent="0.3">
      <c r="A40" s="25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3"/>
      <c r="N40" s="258"/>
      <c r="O40" s="261"/>
    </row>
    <row r="41" spans="1:15" x14ac:dyDescent="0.3">
      <c r="A41" s="25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3"/>
      <c r="N41" s="258"/>
      <c r="O41" s="261"/>
    </row>
    <row r="42" spans="1:15" ht="15" thickBot="1" x14ac:dyDescent="0.35">
      <c r="A42" s="2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9"/>
      <c r="O42" s="26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52" priority="297" operator="equal">
      <formula>0</formula>
    </cfRule>
  </conditionalFormatting>
  <conditionalFormatting sqref="G34">
    <cfRule type="cellIs" dxfId="551" priority="296" operator="equal">
      <formula>0</formula>
    </cfRule>
  </conditionalFormatting>
  <conditionalFormatting sqref="G36">
    <cfRule type="cellIs" dxfId="550" priority="295" operator="equal">
      <formula>0</formula>
    </cfRule>
  </conditionalFormatting>
  <conditionalFormatting sqref="G14:G26">
    <cfRule type="cellIs" dxfId="549" priority="294" operator="equal">
      <formula>0</formula>
    </cfRule>
  </conditionalFormatting>
  <conditionalFormatting sqref="G29">
    <cfRule type="cellIs" dxfId="548" priority="267" operator="equal">
      <formula>0</formula>
    </cfRule>
  </conditionalFormatting>
  <conditionalFormatting sqref="G32">
    <cfRule type="cellIs" dxfId="547" priority="273" operator="equal">
      <formula>0</formula>
    </cfRule>
  </conditionalFormatting>
  <conditionalFormatting sqref="G33">
    <cfRule type="cellIs" dxfId="546" priority="272" operator="equal">
      <formula>0</formula>
    </cfRule>
  </conditionalFormatting>
  <conditionalFormatting sqref="G28">
    <cfRule type="cellIs" dxfId="545" priority="274" operator="equal">
      <formula>0</formula>
    </cfRule>
  </conditionalFormatting>
  <conditionalFormatting sqref="G38">
    <cfRule type="cellIs" dxfId="544" priority="270" operator="equal">
      <formula>0</formula>
    </cfRule>
  </conditionalFormatting>
  <conditionalFormatting sqref="G35">
    <cfRule type="cellIs" dxfId="543" priority="268" operator="equal">
      <formula>0</formula>
    </cfRule>
  </conditionalFormatting>
  <conditionalFormatting sqref="G31">
    <cfRule type="cellIs" dxfId="542" priority="266" operator="equal">
      <formula>0</formula>
    </cfRule>
  </conditionalFormatting>
  <conditionalFormatting sqref="G30">
    <cfRule type="cellIs" dxfId="541" priority="265" operator="equal">
      <formula>0</formula>
    </cfRule>
  </conditionalFormatting>
  <conditionalFormatting sqref="G39">
    <cfRule type="cellIs" dxfId="540" priority="264" operator="equal">
      <formula>0</formula>
    </cfRule>
  </conditionalFormatting>
  <conditionalFormatting sqref="G41">
    <cfRule type="cellIs" dxfId="539" priority="263" operator="equal">
      <formula>0</formula>
    </cfRule>
  </conditionalFormatting>
  <conditionalFormatting sqref="G40">
    <cfRule type="cellIs" dxfId="538" priority="262" operator="equal">
      <formula>0</formula>
    </cfRule>
  </conditionalFormatting>
  <conditionalFormatting sqref="L32">
    <cfRule type="cellIs" dxfId="537" priority="234" operator="equal">
      <formula>0</formula>
    </cfRule>
  </conditionalFormatting>
  <conditionalFormatting sqref="L31">
    <cfRule type="cellIs" dxfId="536" priority="233" operator="equal">
      <formula>0</formula>
    </cfRule>
  </conditionalFormatting>
  <conditionalFormatting sqref="L30">
    <cfRule type="cellIs" dxfId="535" priority="232" operator="equal">
      <formula>0</formula>
    </cfRule>
  </conditionalFormatting>
  <conditionalFormatting sqref="L29">
    <cfRule type="cellIs" dxfId="534" priority="231" operator="equal">
      <formula>0</formula>
    </cfRule>
  </conditionalFormatting>
  <conditionalFormatting sqref="L37">
    <cfRule type="cellIs" dxfId="533" priority="230" operator="equal">
      <formula>0</formula>
    </cfRule>
  </conditionalFormatting>
  <conditionalFormatting sqref="L36">
    <cfRule type="cellIs" dxfId="532" priority="229" operator="equal">
      <formula>0</formula>
    </cfRule>
  </conditionalFormatting>
  <conditionalFormatting sqref="L35">
    <cfRule type="cellIs" dxfId="531" priority="228" operator="equal">
      <formula>0</formula>
    </cfRule>
  </conditionalFormatting>
  <conditionalFormatting sqref="L34">
    <cfRule type="cellIs" dxfId="530" priority="227" operator="equal">
      <formula>0</formula>
    </cfRule>
  </conditionalFormatting>
  <conditionalFormatting sqref="L42">
    <cfRule type="cellIs" dxfId="529" priority="226" operator="equal">
      <formula>0</formula>
    </cfRule>
  </conditionalFormatting>
  <conditionalFormatting sqref="L41">
    <cfRule type="cellIs" dxfId="528" priority="225" operator="equal">
      <formula>0</formula>
    </cfRule>
  </conditionalFormatting>
  <conditionalFormatting sqref="L40">
    <cfRule type="cellIs" dxfId="527" priority="224" operator="equal">
      <formula>0</formula>
    </cfRule>
  </conditionalFormatting>
  <conditionalFormatting sqref="L39">
    <cfRule type="cellIs" dxfId="526" priority="223" operator="equal">
      <formula>0</formula>
    </cfRule>
  </conditionalFormatting>
  <conditionalFormatting sqref="G37">
    <cfRule type="cellIs" dxfId="525" priority="200" operator="equal">
      <formula>0</formula>
    </cfRule>
  </conditionalFormatting>
  <conditionalFormatting sqref="G42">
    <cfRule type="cellIs" dxfId="524" priority="198" operator="equal">
      <formula>0</formula>
    </cfRule>
  </conditionalFormatting>
  <conditionalFormatting sqref="C5">
    <cfRule type="cellIs" dxfId="523" priority="184" operator="equal">
      <formula>0</formula>
    </cfRule>
  </conditionalFormatting>
  <conditionalFormatting sqref="C3">
    <cfRule type="cellIs" dxfId="522" priority="186" operator="equal">
      <formula>0</formula>
    </cfRule>
  </conditionalFormatting>
  <conditionalFormatting sqref="C4">
    <cfRule type="cellIs" dxfId="521" priority="185" operator="equal">
      <formula>0</formula>
    </cfRule>
  </conditionalFormatting>
  <conditionalFormatting sqref="B3 D3">
    <cfRule type="cellIs" dxfId="520" priority="197" operator="equal">
      <formula>0</formula>
    </cfRule>
  </conditionalFormatting>
  <conditionalFormatting sqref="B4 D4">
    <cfRule type="cellIs" dxfId="519" priority="196" operator="equal">
      <formula>0</formula>
    </cfRule>
  </conditionalFormatting>
  <conditionalFormatting sqref="B5 D5">
    <cfRule type="cellIs" dxfId="518" priority="195" operator="equal">
      <formula>0</formula>
    </cfRule>
  </conditionalFormatting>
  <conditionalFormatting sqref="B7">
    <cfRule type="cellIs" dxfId="517" priority="194" operator="equal">
      <formula>0</formula>
    </cfRule>
  </conditionalFormatting>
  <conditionalFormatting sqref="B8 D8">
    <cfRule type="cellIs" priority="193" operator="equal">
      <formula>0</formula>
    </cfRule>
  </conditionalFormatting>
  <conditionalFormatting sqref="B9 D9">
    <cfRule type="cellIs" dxfId="516" priority="192" operator="equal">
      <formula>0</formula>
    </cfRule>
  </conditionalFormatting>
  <conditionalFormatting sqref="B10 D10">
    <cfRule type="cellIs" dxfId="515" priority="190" operator="equal">
      <formula>0</formula>
    </cfRule>
    <cfRule type="cellIs" dxfId="514" priority="191" operator="equal">
      <formula>0</formula>
    </cfRule>
  </conditionalFormatting>
  <conditionalFormatting sqref="B6 D6">
    <cfRule type="cellIs" dxfId="513" priority="188" operator="equal">
      <formula>0</formula>
    </cfRule>
  </conditionalFormatting>
  <conditionalFormatting sqref="D7">
    <cfRule type="cellIs" dxfId="512" priority="187" operator="equal">
      <formula>0</formula>
    </cfRule>
  </conditionalFormatting>
  <conditionalFormatting sqref="C7">
    <cfRule type="cellIs" dxfId="511" priority="183" operator="equal">
      <formula>0</formula>
    </cfRule>
  </conditionalFormatting>
  <conditionalFormatting sqref="C8">
    <cfRule type="cellIs" priority="182" operator="equal">
      <formula>0</formula>
    </cfRule>
  </conditionalFormatting>
  <conditionalFormatting sqref="C9">
    <cfRule type="cellIs" dxfId="510" priority="181" operator="equal">
      <formula>0</formula>
    </cfRule>
  </conditionalFormatting>
  <conditionalFormatting sqref="C10">
    <cfRule type="cellIs" dxfId="509" priority="179" operator="equal">
      <formula>0</formula>
    </cfRule>
    <cfRule type="cellIs" dxfId="508" priority="180" operator="equal">
      <formula>0</formula>
    </cfRule>
  </conditionalFormatting>
  <conditionalFormatting sqref="C6">
    <cfRule type="cellIs" dxfId="507" priority="178" operator="equal">
      <formula>0</formula>
    </cfRule>
  </conditionalFormatting>
  <conditionalFormatting sqref="E10">
    <cfRule type="cellIs" priority="137" operator="equal">
      <formula>0</formula>
    </cfRule>
  </conditionalFormatting>
  <conditionalFormatting sqref="E3">
    <cfRule type="cellIs" dxfId="506" priority="152" operator="equal">
      <formula>0</formula>
    </cfRule>
  </conditionalFormatting>
  <conditionalFormatting sqref="E3">
    <cfRule type="cellIs" priority="151" operator="equal">
      <formula>0</formula>
    </cfRule>
  </conditionalFormatting>
  <conditionalFormatting sqref="E5">
    <cfRule type="cellIs" dxfId="505" priority="148" operator="equal">
      <formula>0</formula>
    </cfRule>
  </conditionalFormatting>
  <conditionalFormatting sqref="E5">
    <cfRule type="cellIs" priority="147" operator="equal">
      <formula>0</formula>
    </cfRule>
  </conditionalFormatting>
  <conditionalFormatting sqref="E7">
    <cfRule type="cellIs" dxfId="504" priority="144" operator="equal">
      <formula>0</formula>
    </cfRule>
  </conditionalFormatting>
  <conditionalFormatting sqref="E7">
    <cfRule type="cellIs" priority="143" operator="equal">
      <formula>0</formula>
    </cfRule>
  </conditionalFormatting>
  <conditionalFormatting sqref="E9">
    <cfRule type="cellIs" dxfId="503" priority="140" operator="equal">
      <formula>0</formula>
    </cfRule>
  </conditionalFormatting>
  <conditionalFormatting sqref="E9">
    <cfRule type="cellIs" priority="139" operator="equal">
      <formula>0</formula>
    </cfRule>
  </conditionalFormatting>
  <conditionalFormatting sqref="E4">
    <cfRule type="cellIs" dxfId="502" priority="150" operator="equal">
      <formula>0</formula>
    </cfRule>
  </conditionalFormatting>
  <conditionalFormatting sqref="E4">
    <cfRule type="cellIs" priority="149" operator="equal">
      <formula>0</formula>
    </cfRule>
  </conditionalFormatting>
  <conditionalFormatting sqref="E6">
    <cfRule type="cellIs" dxfId="501" priority="146" operator="equal">
      <formula>0</formula>
    </cfRule>
  </conditionalFormatting>
  <conditionalFormatting sqref="E6">
    <cfRule type="cellIs" priority="145" operator="equal">
      <formula>0</formula>
    </cfRule>
  </conditionalFormatting>
  <conditionalFormatting sqref="E8">
    <cfRule type="cellIs" dxfId="500" priority="142" operator="equal">
      <formula>0</formula>
    </cfRule>
  </conditionalFormatting>
  <conditionalFormatting sqref="E8">
    <cfRule type="cellIs" priority="141" operator="equal">
      <formula>0</formula>
    </cfRule>
  </conditionalFormatting>
  <conditionalFormatting sqref="E10">
    <cfRule type="cellIs" dxfId="499" priority="138" operator="equal">
      <formula>0</formula>
    </cfRule>
  </conditionalFormatting>
  <conditionalFormatting sqref="G4:G10">
    <cfRule type="cellIs" dxfId="498" priority="128" operator="equal">
      <formula>0</formula>
    </cfRule>
  </conditionalFormatting>
  <conditionalFormatting sqref="F6">
    <cfRule type="cellIs" dxfId="497" priority="119" operator="equal">
      <formula>0</formula>
    </cfRule>
  </conditionalFormatting>
  <conditionalFormatting sqref="F3">
    <cfRule type="cellIs" dxfId="496" priority="127" operator="equal">
      <formula>0</formula>
    </cfRule>
  </conditionalFormatting>
  <conditionalFormatting sqref="F4">
    <cfRule type="cellIs" dxfId="495" priority="126" operator="equal">
      <formula>0</formula>
    </cfRule>
  </conditionalFormatting>
  <conditionalFormatting sqref="F5">
    <cfRule type="cellIs" dxfId="494" priority="125" operator="equal">
      <formula>0</formula>
    </cfRule>
  </conditionalFormatting>
  <conditionalFormatting sqref="F7">
    <cfRule type="cellIs" dxfId="493" priority="124" operator="equal">
      <formula>0</formula>
    </cfRule>
  </conditionalFormatting>
  <conditionalFormatting sqref="F9">
    <cfRule type="cellIs" dxfId="492" priority="122" operator="equal">
      <formula>0</formula>
    </cfRule>
  </conditionalFormatting>
  <conditionalFormatting sqref="G3:I3">
    <cfRule type="cellIs" dxfId="491" priority="118" operator="equal">
      <formula>0</formula>
    </cfRule>
  </conditionalFormatting>
  <conditionalFormatting sqref="F8 H9:H10">
    <cfRule type="cellIs" priority="123" operator="equal">
      <formula>0</formula>
    </cfRule>
  </conditionalFormatting>
  <conditionalFormatting sqref="F10">
    <cfRule type="cellIs" dxfId="490" priority="120" operator="equal">
      <formula>0</formula>
    </cfRule>
    <cfRule type="cellIs" dxfId="489" priority="121" operator="equal">
      <formula>0</formula>
    </cfRule>
  </conditionalFormatting>
  <conditionalFormatting sqref="H7">
    <cfRule type="cellIs" dxfId="488" priority="110" operator="equal">
      <formula>0</formula>
    </cfRule>
  </conditionalFormatting>
  <conditionalFormatting sqref="I6">
    <cfRule type="cellIs" dxfId="487" priority="113" operator="equal">
      <formula>0</formula>
    </cfRule>
  </conditionalFormatting>
  <conditionalFormatting sqref="H5">
    <cfRule type="cellIs" dxfId="486" priority="112" operator="equal">
      <formula>0</formula>
    </cfRule>
  </conditionalFormatting>
  <conditionalFormatting sqref="H4:I4">
    <cfRule type="cellIs" dxfId="485" priority="117" operator="equal">
      <formula>0</formula>
    </cfRule>
  </conditionalFormatting>
  <conditionalFormatting sqref="I5">
    <cfRule type="cellIs" dxfId="484" priority="116" operator="equal">
      <formula>0</formula>
    </cfRule>
  </conditionalFormatting>
  <conditionalFormatting sqref="I7">
    <cfRule type="cellIs" dxfId="483" priority="115" operator="equal">
      <formula>0</formula>
    </cfRule>
  </conditionalFormatting>
  <conditionalFormatting sqref="H8:I8">
    <cfRule type="cellIs" priority="114" operator="equal">
      <formula>0</formula>
    </cfRule>
  </conditionalFormatting>
  <conditionalFormatting sqref="H6">
    <cfRule type="cellIs" dxfId="482" priority="111" operator="equal">
      <formula>0</formula>
    </cfRule>
  </conditionalFormatting>
  <conditionalFormatting sqref="I9:I10">
    <cfRule type="cellIs" priority="107" operator="equal">
      <formula>0</formula>
    </cfRule>
  </conditionalFormatting>
  <conditionalFormatting sqref="E11 G11">
    <cfRule type="cellIs" dxfId="481" priority="94" operator="equal">
      <formula>0</formula>
    </cfRule>
  </conditionalFormatting>
  <conditionalFormatting sqref="I11">
    <cfRule type="cellIs" priority="93" operator="equal">
      <formula>0</formula>
    </cfRule>
  </conditionalFormatting>
  <conditionalFormatting sqref="E13 G13">
    <cfRule type="cellIs" dxfId="480"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9"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8"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7" priority="44" operator="equal">
      <formula>0</formula>
    </cfRule>
  </conditionalFormatting>
  <conditionalFormatting sqref="K5">
    <cfRule type="cellIs" dxfId="476" priority="43" operator="equal">
      <formula>0</formula>
    </cfRule>
  </conditionalFormatting>
  <conditionalFormatting sqref="K6">
    <cfRule type="cellIs" dxfId="475" priority="42" operator="equal">
      <formula>0</formula>
    </cfRule>
  </conditionalFormatting>
  <conditionalFormatting sqref="K9">
    <cfRule type="cellIs" dxfId="474" priority="41" operator="equal">
      <formula>0</formula>
    </cfRule>
  </conditionalFormatting>
  <conditionalFormatting sqref="K10">
    <cfRule type="cellIs" dxfId="473" priority="40" operator="equal">
      <formula>0</formula>
    </cfRule>
  </conditionalFormatting>
  <conditionalFormatting sqref="K7">
    <cfRule type="cellIs" dxfId="472" priority="39" operator="equal">
      <formula>0</formula>
    </cfRule>
  </conditionalFormatting>
  <conditionalFormatting sqref="K8">
    <cfRule type="cellIs" dxfId="471" priority="38" operator="equal">
      <formula>0</formula>
    </cfRule>
  </conditionalFormatting>
  <conditionalFormatting sqref="K11">
    <cfRule type="cellIs" dxfId="470" priority="37" operator="equal">
      <formula>0</formula>
    </cfRule>
  </conditionalFormatting>
  <conditionalFormatting sqref="K13">
    <cfRule type="cellIs" dxfId="469" priority="36" operator="equal">
      <formula>0</formula>
    </cfRule>
  </conditionalFormatting>
  <conditionalFormatting sqref="K12">
    <cfRule type="cellIs" dxfId="468" priority="35" operator="equal">
      <formula>0</formula>
    </cfRule>
  </conditionalFormatting>
  <conditionalFormatting sqref="J3:J4">
    <cfRule type="cellIs" dxfId="467" priority="34" operator="equal">
      <formula>0</formula>
    </cfRule>
  </conditionalFormatting>
  <conditionalFormatting sqref="J5">
    <cfRule type="cellIs" dxfId="466" priority="33" operator="equal">
      <formula>0</formula>
    </cfRule>
  </conditionalFormatting>
  <conditionalFormatting sqref="J6">
    <cfRule type="cellIs" dxfId="465" priority="32" operator="equal">
      <formula>0</formula>
    </cfRule>
  </conditionalFormatting>
  <conditionalFormatting sqref="J9">
    <cfRule type="cellIs" dxfId="464" priority="31" operator="equal">
      <formula>0</formula>
    </cfRule>
  </conditionalFormatting>
  <conditionalFormatting sqref="J10">
    <cfRule type="cellIs" dxfId="463" priority="30" operator="equal">
      <formula>0</formula>
    </cfRule>
  </conditionalFormatting>
  <conditionalFormatting sqref="J7">
    <cfRule type="cellIs" dxfId="462" priority="29" operator="equal">
      <formula>0</formula>
    </cfRule>
  </conditionalFormatting>
  <conditionalFormatting sqref="J8">
    <cfRule type="cellIs" dxfId="461" priority="28" operator="equal">
      <formula>0</formula>
    </cfRule>
  </conditionalFormatting>
  <conditionalFormatting sqref="J11">
    <cfRule type="cellIs" dxfId="460" priority="27" operator="equal">
      <formula>0</formula>
    </cfRule>
  </conditionalFormatting>
  <conditionalFormatting sqref="J13">
    <cfRule type="cellIs" dxfId="459" priority="26" operator="equal">
      <formula>0</formula>
    </cfRule>
  </conditionalFormatting>
  <conditionalFormatting sqref="J12">
    <cfRule type="cellIs" dxfId="458" priority="25" operator="equal">
      <formula>0</formula>
    </cfRule>
  </conditionalFormatting>
  <conditionalFormatting sqref="K25">
    <cfRule type="cellIs" dxfId="457" priority="24" operator="equal">
      <formula>0</formula>
    </cfRule>
  </conditionalFormatting>
  <conditionalFormatting sqref="K26">
    <cfRule type="cellIs" dxfId="456" priority="23" operator="equal">
      <formula>0</formula>
    </cfRule>
  </conditionalFormatting>
  <conditionalFormatting sqref="J25">
    <cfRule type="cellIs" dxfId="455" priority="22" operator="equal">
      <formula>0</formula>
    </cfRule>
  </conditionalFormatting>
  <conditionalFormatting sqref="J26">
    <cfRule type="cellIs" dxfId="454" priority="21" operator="equal">
      <formula>0</formula>
    </cfRule>
  </conditionalFormatting>
  <conditionalFormatting sqref="L3:L4">
    <cfRule type="cellIs" dxfId="453" priority="20" operator="equal">
      <formula>0</formula>
    </cfRule>
  </conditionalFormatting>
  <conditionalFormatting sqref="L5">
    <cfRule type="cellIs" dxfId="452" priority="19" operator="equal">
      <formula>0</formula>
    </cfRule>
  </conditionalFormatting>
  <conditionalFormatting sqref="L6">
    <cfRule type="cellIs" dxfId="451" priority="18" operator="equal">
      <formula>0</formula>
    </cfRule>
  </conditionalFormatting>
  <conditionalFormatting sqref="L7">
    <cfRule type="cellIs" dxfId="450" priority="17" operator="equal">
      <formula>0</formula>
    </cfRule>
  </conditionalFormatting>
  <conditionalFormatting sqref="L8:L9">
    <cfRule type="cellIs" dxfId="449" priority="16" operator="equal">
      <formula>0</formula>
    </cfRule>
  </conditionalFormatting>
  <conditionalFormatting sqref="L14">
    <cfRule type="cellIs" dxfId="448" priority="15" operator="equal">
      <formula>0</formula>
    </cfRule>
  </conditionalFormatting>
  <conditionalFormatting sqref="L15">
    <cfRule type="cellIs" dxfId="447" priority="14" operator="equal">
      <formula>0</formula>
    </cfRule>
  </conditionalFormatting>
  <conditionalFormatting sqref="L16">
    <cfRule type="cellIs" dxfId="446" priority="13" operator="equal">
      <formula>0</formula>
    </cfRule>
  </conditionalFormatting>
  <conditionalFormatting sqref="L17">
    <cfRule type="cellIs" dxfId="445" priority="12" operator="equal">
      <formula>0</formula>
    </cfRule>
  </conditionalFormatting>
  <conditionalFormatting sqref="L18">
    <cfRule type="cellIs" dxfId="444" priority="11" operator="equal">
      <formula>0</formula>
    </cfRule>
  </conditionalFormatting>
  <conditionalFormatting sqref="L19">
    <cfRule type="cellIs" dxfId="443" priority="10" operator="equal">
      <formula>0</formula>
    </cfRule>
  </conditionalFormatting>
  <conditionalFormatting sqref="L20">
    <cfRule type="cellIs" dxfId="442" priority="9" operator="equal">
      <formula>0</formula>
    </cfRule>
  </conditionalFormatting>
  <conditionalFormatting sqref="L21">
    <cfRule type="cellIs" dxfId="441" priority="8" operator="equal">
      <formula>0</formula>
    </cfRule>
  </conditionalFormatting>
  <conditionalFormatting sqref="L22">
    <cfRule type="cellIs" dxfId="440" priority="7" operator="equal">
      <formula>0</formula>
    </cfRule>
  </conditionalFormatting>
  <conditionalFormatting sqref="L23">
    <cfRule type="cellIs" dxfId="439" priority="6" operator="equal">
      <formula>0</formula>
    </cfRule>
  </conditionalFormatting>
  <conditionalFormatting sqref="L24">
    <cfRule type="cellIs" dxfId="438" priority="5" operator="equal">
      <formula>0</formula>
    </cfRule>
  </conditionalFormatting>
  <conditionalFormatting sqref="L10">
    <cfRule type="cellIs" dxfId="437" priority="4" operator="equal">
      <formula>0</formula>
    </cfRule>
  </conditionalFormatting>
  <conditionalFormatting sqref="L11">
    <cfRule type="cellIs" dxfId="436" priority="3" operator="equal">
      <formula>0</formula>
    </cfRule>
  </conditionalFormatting>
  <conditionalFormatting sqref="L12">
    <cfRule type="cellIs" dxfId="435" priority="2" operator="equal">
      <formula>0</formula>
    </cfRule>
  </conditionalFormatting>
  <conditionalFormatting sqref="L13">
    <cfRule type="cellIs" dxfId="43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9" customWidth="1"/>
  </cols>
  <sheetData>
    <row r="1" spans="1:16" x14ac:dyDescent="0.3">
      <c r="A1" s="118" t="s">
        <v>659</v>
      </c>
      <c r="B1" s="118" t="s">
        <v>660</v>
      </c>
      <c r="C1" s="118" t="s">
        <v>661</v>
      </c>
      <c r="D1" s="118" t="s">
        <v>662</v>
      </c>
      <c r="E1" s="118" t="s">
        <v>663</v>
      </c>
      <c r="F1" s="119" t="s">
        <v>611</v>
      </c>
      <c r="G1" s="128"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79"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6" t="s">
        <v>367</v>
      </c>
      <c r="N3" s="257" t="s">
        <v>14</v>
      </c>
      <c r="O3" s="260">
        <f ca="1">($G3+$G4+$G5+$G6+$G7)</f>
        <v>1056</v>
      </c>
    </row>
    <row r="4" spans="1:15" ht="15" customHeight="1" x14ac:dyDescent="0.3">
      <c r="A4" s="279"/>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8"/>
      <c r="N4" s="258"/>
      <c r="O4" s="261"/>
    </row>
    <row r="5" spans="1:15" ht="15" customHeight="1" x14ac:dyDescent="0.3">
      <c r="A5" s="279"/>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8"/>
      <c r="N5" s="258"/>
      <c r="O5" s="261"/>
    </row>
    <row r="6" spans="1:15" ht="15" customHeight="1" x14ac:dyDescent="0.3">
      <c r="A6" s="279"/>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8"/>
      <c r="N6" s="258"/>
      <c r="O6" s="261"/>
    </row>
    <row r="7" spans="1:15" ht="15" customHeight="1" thickBot="1" x14ac:dyDescent="0.35">
      <c r="A7" s="279"/>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9"/>
      <c r="N7" s="259"/>
      <c r="O7" s="262"/>
    </row>
    <row r="8" spans="1:15" ht="15" customHeight="1" x14ac:dyDescent="0.3">
      <c r="A8" s="280"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9" t="s">
        <v>368</v>
      </c>
      <c r="N8" s="272" t="s">
        <v>20</v>
      </c>
      <c r="O8" s="274">
        <f ca="1">($G8+$G9+$G10+$G13)</f>
        <v>960</v>
      </c>
    </row>
    <row r="9" spans="1:15" ht="15" customHeight="1" x14ac:dyDescent="0.3">
      <c r="A9" s="281"/>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0"/>
      <c r="N9" s="258"/>
      <c r="O9" s="261"/>
    </row>
    <row r="10" spans="1:15" ht="15" customHeight="1" x14ac:dyDescent="0.3">
      <c r="A10" s="281"/>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0"/>
      <c r="N10" s="258"/>
      <c r="O10" s="261"/>
    </row>
    <row r="11" spans="1:15" ht="15" customHeight="1" x14ac:dyDescent="0.3">
      <c r="A11" s="281"/>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58"/>
      <c r="O11" s="261"/>
    </row>
    <row r="12" spans="1:15" ht="15" customHeight="1" x14ac:dyDescent="0.3">
      <c r="A12" s="281"/>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1"/>
      <c r="N12" s="273"/>
      <c r="O12" s="275"/>
    </row>
    <row r="13" spans="1:15" ht="15" customHeight="1" thickBot="1" x14ac:dyDescent="0.35">
      <c r="A13" s="282"/>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1"/>
      <c r="N13" s="273"/>
      <c r="O13" s="275"/>
    </row>
    <row r="14" spans="1:15" ht="15" customHeight="1" x14ac:dyDescent="0.3">
      <c r="A14" s="283" t="s">
        <v>23</v>
      </c>
      <c r="B14" s="34" t="s">
        <v>24</v>
      </c>
      <c r="C14" s="36" t="s">
        <v>613</v>
      </c>
      <c r="D14" s="254" t="s">
        <v>25</v>
      </c>
      <c r="E14" s="121"/>
      <c r="F14" s="111" t="s">
        <v>26</v>
      </c>
      <c r="G14" s="60">
        <f ca="1">IF($C14="No Param",32,VLOOKUP($C14,INDIRECT(Config!$B$1),HLOOKUP(D$1,INDIRECT(Config!$E$1),2,FALSE),FALSE)*32)</f>
        <v>32</v>
      </c>
      <c r="H14" s="24" t="s">
        <v>27</v>
      </c>
      <c r="I14" s="24" t="s">
        <v>28</v>
      </c>
      <c r="J14" s="24" t="s">
        <v>1080</v>
      </c>
      <c r="K14" s="24" t="s">
        <v>1093</v>
      </c>
      <c r="L14" s="237" t="str">
        <f ca="1">IF(VLOOKUP("EXT_FUSE_PULL_SUPP", INDIRECT(Config!$B$1),HLOOKUP(D$1,INDIRECT(Config!$E$1),2,FALSE),FALSE)=1, IF(G14&gt;0,CONCATENATE("CSME_HW_FW_Config_fuses[",G14-1,":0]"), ""), "")</f>
        <v/>
      </c>
      <c r="M14" s="266" t="s">
        <v>369</v>
      </c>
      <c r="N14" s="257" t="s">
        <v>29</v>
      </c>
      <c r="O14" s="260">
        <f ca="1">(4*32+G18+G19+G20+G21+G22+G23)</f>
        <v>160</v>
      </c>
    </row>
    <row r="15" spans="1:15" x14ac:dyDescent="0.3">
      <c r="A15" s="284"/>
      <c r="B15" s="35" t="s">
        <v>30</v>
      </c>
      <c r="C15" s="37" t="s">
        <v>613</v>
      </c>
      <c r="D15" s="25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63"/>
      <c r="N15" s="258"/>
      <c r="O15" s="261"/>
    </row>
    <row r="16" spans="1:15" x14ac:dyDescent="0.3">
      <c r="A16" s="284"/>
      <c r="B16" s="35" t="s">
        <v>31</v>
      </c>
      <c r="C16" s="37" t="s">
        <v>613</v>
      </c>
      <c r="D16" s="25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63"/>
      <c r="N16" s="258"/>
      <c r="O16" s="261"/>
    </row>
    <row r="17" spans="1:15" x14ac:dyDescent="0.3">
      <c r="A17" s="284"/>
      <c r="B17" s="35" t="s">
        <v>32</v>
      </c>
      <c r="C17" s="37" t="s">
        <v>613</v>
      </c>
      <c r="D17" s="25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63"/>
      <c r="N17" s="258"/>
      <c r="O17" s="261"/>
    </row>
    <row r="18" spans="1:15" x14ac:dyDescent="0.3">
      <c r="A18" s="284"/>
      <c r="B18" s="35" t="s">
        <v>34</v>
      </c>
      <c r="C18" s="35" t="s">
        <v>253</v>
      </c>
      <c r="D18" s="255"/>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63"/>
      <c r="N18" s="258"/>
      <c r="O18" s="261"/>
    </row>
    <row r="19" spans="1:15" x14ac:dyDescent="0.3">
      <c r="A19" s="284"/>
      <c r="B19" s="35" t="s">
        <v>36</v>
      </c>
      <c r="C19" s="73" t="s">
        <v>214</v>
      </c>
      <c r="D19" s="255"/>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63"/>
      <c r="N19" s="258"/>
      <c r="O19" s="261"/>
    </row>
    <row r="20" spans="1:15" x14ac:dyDescent="0.3">
      <c r="A20" s="284"/>
      <c r="B20" s="73" t="s">
        <v>246</v>
      </c>
      <c r="C20" s="73" t="s">
        <v>205</v>
      </c>
      <c r="D20" s="255"/>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63"/>
      <c r="N20" s="258"/>
      <c r="O20" s="261"/>
    </row>
    <row r="21" spans="1:15" x14ac:dyDescent="0.3">
      <c r="A21" s="284"/>
      <c r="B21" s="73" t="s">
        <v>250</v>
      </c>
      <c r="C21" s="73" t="s">
        <v>390</v>
      </c>
      <c r="D21" s="25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63"/>
      <c r="N21" s="258"/>
      <c r="O21" s="261"/>
    </row>
    <row r="22" spans="1:15" x14ac:dyDescent="0.3">
      <c r="A22" s="284"/>
      <c r="B22" s="73" t="s">
        <v>251</v>
      </c>
      <c r="C22" s="73" t="s">
        <v>390</v>
      </c>
      <c r="D22" s="25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63"/>
      <c r="N22" s="258"/>
      <c r="O22" s="261"/>
    </row>
    <row r="23" spans="1:15" x14ac:dyDescent="0.3">
      <c r="A23" s="284"/>
      <c r="B23" s="73" t="s">
        <v>252</v>
      </c>
      <c r="C23" s="73" t="s">
        <v>390</v>
      </c>
      <c r="D23" s="25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63"/>
      <c r="N23" s="258"/>
      <c r="O23" s="261"/>
    </row>
    <row r="24" spans="1:15" x14ac:dyDescent="0.3">
      <c r="A24" s="284"/>
      <c r="B24" s="35" t="s">
        <v>38</v>
      </c>
      <c r="C24" s="37" t="s">
        <v>613</v>
      </c>
      <c r="D24" s="255"/>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63"/>
      <c r="N24" s="258"/>
      <c r="O24" s="261"/>
    </row>
    <row r="25" spans="1:15" x14ac:dyDescent="0.3">
      <c r="A25" s="283" t="s">
        <v>41</v>
      </c>
      <c r="B25" s="35" t="s">
        <v>42</v>
      </c>
      <c r="C25" s="35" t="s">
        <v>614</v>
      </c>
      <c r="D25" s="255" t="s">
        <v>43</v>
      </c>
      <c r="E25" s="122"/>
      <c r="F25" s="68" t="s">
        <v>44</v>
      </c>
      <c r="G25" s="39">
        <f ca="1">IF($C25="No Param",32,VLOOKUP($C25,INDIRECT(Config!$B$1),HLOOKUP(D$1,INDIRECT(Config!$E$1),2,FALSE),FALSE)*32)</f>
        <v>32</v>
      </c>
      <c r="H25" s="16" t="str">
        <f ca="1">IF(G25=0,"N/A","0x8000")</f>
        <v>0x8000</v>
      </c>
      <c r="I25" s="16" t="s">
        <v>45</v>
      </c>
      <c r="J25" s="16" t="s">
        <v>48</v>
      </c>
      <c r="K25" s="16" t="s">
        <v>387</v>
      </c>
      <c r="L25" s="3"/>
      <c r="M25" s="263" t="s">
        <v>370</v>
      </c>
      <c r="N25" s="258"/>
      <c r="O25" s="261">
        <f ca="1">(G25+G26)</f>
        <v>64</v>
      </c>
    </row>
    <row r="26" spans="1:15" ht="15" thickBot="1" x14ac:dyDescent="0.35">
      <c r="A26" s="285"/>
      <c r="B26" s="74" t="s">
        <v>46</v>
      </c>
      <c r="C26" s="74" t="s">
        <v>615</v>
      </c>
      <c r="D26" s="256"/>
      <c r="E26" s="123"/>
      <c r="F26" s="76" t="s">
        <v>44</v>
      </c>
      <c r="G26" s="75">
        <f ca="1">IF($C26="No Param",32,VLOOKUP($C26,INDIRECT(Config!$B$1),HLOOKUP(D$1,INDIRECT(Config!$E$1),2,FALSE),FALSE)*32)</f>
        <v>32</v>
      </c>
      <c r="H26" s="26" t="str">
        <f ca="1">IF(G26=0,"N/A","0x8004")</f>
        <v>0x8004</v>
      </c>
      <c r="I26" s="26" t="s">
        <v>47</v>
      </c>
      <c r="J26" s="26" t="s">
        <v>48</v>
      </c>
      <c r="K26" s="26" t="s">
        <v>387</v>
      </c>
      <c r="L26" s="238"/>
      <c r="M26" s="259"/>
      <c r="N26" s="259"/>
      <c r="O26" s="262"/>
    </row>
    <row r="27" spans="1:15" ht="15" thickBot="1" x14ac:dyDescent="0.35">
      <c r="A27" s="124"/>
    </row>
    <row r="28" spans="1:15" x14ac:dyDescent="0.3">
      <c r="A28" s="25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7" t="s">
        <v>48</v>
      </c>
      <c r="O28" s="260">
        <f ca="1">SUM(G28:G42)</f>
        <v>576</v>
      </c>
    </row>
    <row r="29" spans="1:15" ht="15" customHeight="1" x14ac:dyDescent="0.3">
      <c r="A29" s="25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3" t="s">
        <v>369</v>
      </c>
      <c r="N29" s="258"/>
      <c r="O29" s="261"/>
    </row>
    <row r="30" spans="1:15" x14ac:dyDescent="0.3">
      <c r="A30" s="25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3"/>
      <c r="N30" s="258"/>
      <c r="O30" s="261"/>
    </row>
    <row r="31" spans="1:15" x14ac:dyDescent="0.3">
      <c r="A31" s="25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3"/>
      <c r="N31" s="258"/>
      <c r="O31" s="261"/>
    </row>
    <row r="32" spans="1:15" x14ac:dyDescent="0.3">
      <c r="A32" s="25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8"/>
      <c r="O32" s="261"/>
    </row>
    <row r="33" spans="1:15" x14ac:dyDescent="0.3">
      <c r="A33" s="25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8"/>
      <c r="O33" s="261"/>
    </row>
    <row r="34" spans="1:15" ht="15" customHeight="1" x14ac:dyDescent="0.3">
      <c r="A34" s="25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3" t="s">
        <v>369</v>
      </c>
      <c r="N34" s="258"/>
      <c r="O34" s="261"/>
    </row>
    <row r="35" spans="1:15" x14ac:dyDescent="0.3">
      <c r="A35" s="25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3"/>
      <c r="N35" s="258"/>
      <c r="O35" s="261"/>
    </row>
    <row r="36" spans="1:15" x14ac:dyDescent="0.3">
      <c r="A36" s="25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3"/>
      <c r="N36" s="258"/>
      <c r="O36" s="261"/>
    </row>
    <row r="37" spans="1:15" x14ac:dyDescent="0.3">
      <c r="A37" s="25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8"/>
      <c r="O37" s="261"/>
    </row>
    <row r="38" spans="1:15" x14ac:dyDescent="0.3">
      <c r="A38" s="25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8"/>
      <c r="O38" s="261"/>
    </row>
    <row r="39" spans="1:15" ht="15" customHeight="1" x14ac:dyDescent="0.3">
      <c r="A39" s="25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3" t="s">
        <v>369</v>
      </c>
      <c r="N39" s="258"/>
      <c r="O39" s="261"/>
    </row>
    <row r="40" spans="1:15" x14ac:dyDescent="0.3">
      <c r="A40" s="25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3"/>
      <c r="N40" s="258"/>
      <c r="O40" s="261"/>
    </row>
    <row r="41" spans="1:15" x14ac:dyDescent="0.3">
      <c r="A41" s="25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3"/>
      <c r="N41" s="258"/>
      <c r="O41" s="261"/>
    </row>
    <row r="42" spans="1:15" ht="15" thickBot="1" x14ac:dyDescent="0.35">
      <c r="A42" s="2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9"/>
      <c r="O42" s="26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3" priority="227" operator="equal">
      <formula>0</formula>
    </cfRule>
  </conditionalFormatting>
  <conditionalFormatting sqref="J28">
    <cfRule type="cellIs" dxfId="432" priority="243" operator="equal">
      <formula>0</formula>
    </cfRule>
  </conditionalFormatting>
  <conditionalFormatting sqref="C3">
    <cfRule type="cellIs" dxfId="431" priority="229" operator="equal">
      <formula>0</formula>
    </cfRule>
  </conditionalFormatting>
  <conditionalFormatting sqref="C4">
    <cfRule type="cellIs" dxfId="430" priority="228" operator="equal">
      <formula>0</formula>
    </cfRule>
  </conditionalFormatting>
  <conditionalFormatting sqref="B3 D3 G14:G26">
    <cfRule type="cellIs" dxfId="429" priority="240" operator="equal">
      <formula>0</formula>
    </cfRule>
  </conditionalFormatting>
  <conditionalFormatting sqref="B4 D4">
    <cfRule type="cellIs" dxfId="428" priority="239" operator="equal">
      <formula>0</formula>
    </cfRule>
  </conditionalFormatting>
  <conditionalFormatting sqref="B5 D5">
    <cfRule type="cellIs" dxfId="427" priority="238" operator="equal">
      <formula>0</formula>
    </cfRule>
  </conditionalFormatting>
  <conditionalFormatting sqref="B7">
    <cfRule type="cellIs" dxfId="426" priority="237" operator="equal">
      <formula>0</formula>
    </cfRule>
  </conditionalFormatting>
  <conditionalFormatting sqref="B8 D8">
    <cfRule type="cellIs" priority="236" operator="equal">
      <formula>0</formula>
    </cfRule>
  </conditionalFormatting>
  <conditionalFormatting sqref="B9 D9">
    <cfRule type="cellIs" dxfId="425" priority="235" operator="equal">
      <formula>0</formula>
    </cfRule>
  </conditionalFormatting>
  <conditionalFormatting sqref="B10 D10">
    <cfRule type="cellIs" dxfId="424" priority="233" operator="equal">
      <formula>0</formula>
    </cfRule>
    <cfRule type="cellIs" dxfId="423" priority="234" operator="equal">
      <formula>0</formula>
    </cfRule>
  </conditionalFormatting>
  <conditionalFormatting sqref="B6 D6">
    <cfRule type="cellIs" dxfId="422" priority="231" operator="equal">
      <formula>0</formula>
    </cfRule>
  </conditionalFormatting>
  <conditionalFormatting sqref="D7">
    <cfRule type="cellIs" dxfId="421" priority="230" operator="equal">
      <formula>0</formula>
    </cfRule>
  </conditionalFormatting>
  <conditionalFormatting sqref="C7">
    <cfRule type="cellIs" dxfId="420" priority="226" operator="equal">
      <formula>0</formula>
    </cfRule>
  </conditionalFormatting>
  <conditionalFormatting sqref="C8">
    <cfRule type="cellIs" priority="225" operator="equal">
      <formula>0</formula>
    </cfRule>
  </conditionalFormatting>
  <conditionalFormatting sqref="C9">
    <cfRule type="cellIs" dxfId="419" priority="224" operator="equal">
      <formula>0</formula>
    </cfRule>
  </conditionalFormatting>
  <conditionalFormatting sqref="C10">
    <cfRule type="cellIs" dxfId="418" priority="222" operator="equal">
      <formula>0</formula>
    </cfRule>
    <cfRule type="cellIs" dxfId="417" priority="223" operator="equal">
      <formula>0</formula>
    </cfRule>
  </conditionalFormatting>
  <conditionalFormatting sqref="C6">
    <cfRule type="cellIs" dxfId="416" priority="221" operator="equal">
      <formula>0</formula>
    </cfRule>
  </conditionalFormatting>
  <conditionalFormatting sqref="G40">
    <cfRule type="cellIs" dxfId="415" priority="141" operator="equal">
      <formula>0</formula>
    </cfRule>
  </conditionalFormatting>
  <conditionalFormatting sqref="G37">
    <cfRule type="cellIs" dxfId="414" priority="140" operator="equal">
      <formula>0</formula>
    </cfRule>
  </conditionalFormatting>
  <conditionalFormatting sqref="G42">
    <cfRule type="cellIs" dxfId="413" priority="139" operator="equal">
      <formula>0</formula>
    </cfRule>
  </conditionalFormatting>
  <conditionalFormatting sqref="L32">
    <cfRule type="cellIs" dxfId="412" priority="182" operator="equal">
      <formula>0</formula>
    </cfRule>
  </conditionalFormatting>
  <conditionalFormatting sqref="L31">
    <cfRule type="cellIs" dxfId="411" priority="181" operator="equal">
      <formula>0</formula>
    </cfRule>
  </conditionalFormatting>
  <conditionalFormatting sqref="L30">
    <cfRule type="cellIs" dxfId="410" priority="180" operator="equal">
      <formula>0</formula>
    </cfRule>
  </conditionalFormatting>
  <conditionalFormatting sqref="L36">
    <cfRule type="cellIs" dxfId="409" priority="177" operator="equal">
      <formula>0</formula>
    </cfRule>
  </conditionalFormatting>
  <conditionalFormatting sqref="L29">
    <cfRule type="cellIs" dxfId="408" priority="179" operator="equal">
      <formula>0</formula>
    </cfRule>
  </conditionalFormatting>
  <conditionalFormatting sqref="L37">
    <cfRule type="cellIs" dxfId="407" priority="178" operator="equal">
      <formula>0</formula>
    </cfRule>
  </conditionalFormatting>
  <conditionalFormatting sqref="L35">
    <cfRule type="cellIs" dxfId="406" priority="176" operator="equal">
      <formula>0</formula>
    </cfRule>
  </conditionalFormatting>
  <conditionalFormatting sqref="L34">
    <cfRule type="cellIs" dxfId="405" priority="175" operator="equal">
      <formula>0</formula>
    </cfRule>
  </conditionalFormatting>
  <conditionalFormatting sqref="L42">
    <cfRule type="cellIs" dxfId="404" priority="174" operator="equal">
      <formula>0</formula>
    </cfRule>
  </conditionalFormatting>
  <conditionalFormatting sqref="L41">
    <cfRule type="cellIs" dxfId="403" priority="173" operator="equal">
      <formula>0</formula>
    </cfRule>
  </conditionalFormatting>
  <conditionalFormatting sqref="L40">
    <cfRule type="cellIs" dxfId="402" priority="172" operator="equal">
      <formula>0</formula>
    </cfRule>
  </conditionalFormatting>
  <conditionalFormatting sqref="L39">
    <cfRule type="cellIs" dxfId="401" priority="171" operator="equal">
      <formula>0</formula>
    </cfRule>
  </conditionalFormatting>
  <conditionalFormatting sqref="K25">
    <cfRule type="cellIs" dxfId="400" priority="158" operator="equal">
      <formula>0</formula>
    </cfRule>
  </conditionalFormatting>
  <conditionalFormatting sqref="K26">
    <cfRule type="cellIs" dxfId="399" priority="156" operator="equal">
      <formula>0</formula>
    </cfRule>
  </conditionalFormatting>
  <conditionalFormatting sqref="G34">
    <cfRule type="cellIs" dxfId="398" priority="153" operator="equal">
      <formula>0</formula>
    </cfRule>
  </conditionalFormatting>
  <conditionalFormatting sqref="G36">
    <cfRule type="cellIs" dxfId="397" priority="152" operator="equal">
      <formula>0</formula>
    </cfRule>
  </conditionalFormatting>
  <conditionalFormatting sqref="G29">
    <cfRule type="cellIs" dxfId="396" priority="146" operator="equal">
      <formula>0</formula>
    </cfRule>
  </conditionalFormatting>
  <conditionalFormatting sqref="G32">
    <cfRule type="cellIs" dxfId="395" priority="150" operator="equal">
      <formula>0</formula>
    </cfRule>
  </conditionalFormatting>
  <conditionalFormatting sqref="G33">
    <cfRule type="cellIs" dxfId="394" priority="149" operator="equal">
      <formula>0</formula>
    </cfRule>
  </conditionalFormatting>
  <conditionalFormatting sqref="G28">
    <cfRule type="cellIs" dxfId="393" priority="151" operator="equal">
      <formula>0</formula>
    </cfRule>
  </conditionalFormatting>
  <conditionalFormatting sqref="G38">
    <cfRule type="cellIs" dxfId="392" priority="148" operator="equal">
      <formula>0</formula>
    </cfRule>
  </conditionalFormatting>
  <conditionalFormatting sqref="G35">
    <cfRule type="cellIs" dxfId="391" priority="147" operator="equal">
      <formula>0</formula>
    </cfRule>
  </conditionalFormatting>
  <conditionalFormatting sqref="G31">
    <cfRule type="cellIs" dxfId="390" priority="145" operator="equal">
      <formula>0</formula>
    </cfRule>
  </conditionalFormatting>
  <conditionalFormatting sqref="G30">
    <cfRule type="cellIs" dxfId="389" priority="144" operator="equal">
      <formula>0</formula>
    </cfRule>
  </conditionalFormatting>
  <conditionalFormatting sqref="G39">
    <cfRule type="cellIs" dxfId="388" priority="143" operator="equal">
      <formula>0</formula>
    </cfRule>
  </conditionalFormatting>
  <conditionalFormatting sqref="G41">
    <cfRule type="cellIs" dxfId="387" priority="142" operator="equal">
      <formula>0</formula>
    </cfRule>
  </conditionalFormatting>
  <conditionalFormatting sqref="G3:I3">
    <cfRule type="cellIs" dxfId="386" priority="70" operator="equal">
      <formula>0</formula>
    </cfRule>
  </conditionalFormatting>
  <conditionalFormatting sqref="H4:I4">
    <cfRule type="cellIs" dxfId="385" priority="69" operator="equal">
      <formula>0</formula>
    </cfRule>
  </conditionalFormatting>
  <conditionalFormatting sqref="I6">
    <cfRule type="cellIs" dxfId="384" priority="65" operator="equal">
      <formula>0</formula>
    </cfRule>
  </conditionalFormatting>
  <conditionalFormatting sqref="H5">
    <cfRule type="cellIs" dxfId="383" priority="64" operator="equal">
      <formula>0</formula>
    </cfRule>
  </conditionalFormatting>
  <conditionalFormatting sqref="H6">
    <cfRule type="cellIs" dxfId="382" priority="63" operator="equal">
      <formula>0</formula>
    </cfRule>
  </conditionalFormatting>
  <conditionalFormatting sqref="K3:K4">
    <cfRule type="cellIs" dxfId="381" priority="121" operator="equal">
      <formula>0</formula>
    </cfRule>
  </conditionalFormatting>
  <conditionalFormatting sqref="K5">
    <cfRule type="cellIs" dxfId="380" priority="119" operator="equal">
      <formula>0</formula>
    </cfRule>
  </conditionalFormatting>
  <conditionalFormatting sqref="K6">
    <cfRule type="cellIs" dxfId="379" priority="117" operator="equal">
      <formula>0</formula>
    </cfRule>
  </conditionalFormatting>
  <conditionalFormatting sqref="K9">
    <cfRule type="cellIs" dxfId="378" priority="115" operator="equal">
      <formula>0</formula>
    </cfRule>
  </conditionalFormatting>
  <conditionalFormatting sqref="K10">
    <cfRule type="cellIs" dxfId="377" priority="113" operator="equal">
      <formula>0</formula>
    </cfRule>
  </conditionalFormatting>
  <conditionalFormatting sqref="K7">
    <cfRule type="cellIs" dxfId="376" priority="109" operator="equal">
      <formula>0</formula>
    </cfRule>
  </conditionalFormatting>
  <conditionalFormatting sqref="K8">
    <cfRule type="cellIs" dxfId="375" priority="107" operator="equal">
      <formula>0</formula>
    </cfRule>
  </conditionalFormatting>
  <conditionalFormatting sqref="E10">
    <cfRule type="cellIs" priority="89" operator="equal">
      <formula>0</formula>
    </cfRule>
  </conditionalFormatting>
  <conditionalFormatting sqref="E3">
    <cfRule type="cellIs" dxfId="374" priority="104" operator="equal">
      <formula>0</formula>
    </cfRule>
  </conditionalFormatting>
  <conditionalFormatting sqref="E3">
    <cfRule type="cellIs" priority="103" operator="equal">
      <formula>0</formula>
    </cfRule>
  </conditionalFormatting>
  <conditionalFormatting sqref="E5">
    <cfRule type="cellIs" dxfId="373" priority="100" operator="equal">
      <formula>0</formula>
    </cfRule>
  </conditionalFormatting>
  <conditionalFormatting sqref="E5">
    <cfRule type="cellIs" priority="99" operator="equal">
      <formula>0</formula>
    </cfRule>
  </conditionalFormatting>
  <conditionalFormatting sqref="E7">
    <cfRule type="cellIs" dxfId="372" priority="96" operator="equal">
      <formula>0</formula>
    </cfRule>
  </conditionalFormatting>
  <conditionalFormatting sqref="E7">
    <cfRule type="cellIs" priority="95" operator="equal">
      <formula>0</formula>
    </cfRule>
  </conditionalFormatting>
  <conditionalFormatting sqref="E9">
    <cfRule type="cellIs" dxfId="371" priority="92" operator="equal">
      <formula>0</formula>
    </cfRule>
  </conditionalFormatting>
  <conditionalFormatting sqref="E9">
    <cfRule type="cellIs" priority="91" operator="equal">
      <formula>0</formula>
    </cfRule>
  </conditionalFormatting>
  <conditionalFormatting sqref="E4">
    <cfRule type="cellIs" dxfId="370" priority="102" operator="equal">
      <formula>0</formula>
    </cfRule>
  </conditionalFormatting>
  <conditionalFormatting sqref="E4">
    <cfRule type="cellIs" priority="101" operator="equal">
      <formula>0</formula>
    </cfRule>
  </conditionalFormatting>
  <conditionalFormatting sqref="E6">
    <cfRule type="cellIs" dxfId="369" priority="98" operator="equal">
      <formula>0</formula>
    </cfRule>
  </conditionalFormatting>
  <conditionalFormatting sqref="E6">
    <cfRule type="cellIs" priority="97" operator="equal">
      <formula>0</formula>
    </cfRule>
  </conditionalFormatting>
  <conditionalFormatting sqref="E8">
    <cfRule type="cellIs" dxfId="368" priority="94" operator="equal">
      <formula>0</formula>
    </cfRule>
  </conditionalFormatting>
  <conditionalFormatting sqref="E8">
    <cfRule type="cellIs" priority="93" operator="equal">
      <formula>0</formula>
    </cfRule>
  </conditionalFormatting>
  <conditionalFormatting sqref="E10">
    <cfRule type="cellIs" dxfId="367" priority="90" operator="equal">
      <formula>0</formula>
    </cfRule>
  </conditionalFormatting>
  <conditionalFormatting sqref="G4:G10">
    <cfRule type="cellIs" dxfId="366" priority="80" operator="equal">
      <formula>0</formula>
    </cfRule>
  </conditionalFormatting>
  <conditionalFormatting sqref="F6">
    <cfRule type="cellIs" dxfId="365" priority="71" operator="equal">
      <formula>0</formula>
    </cfRule>
  </conditionalFormatting>
  <conditionalFormatting sqref="F3">
    <cfRule type="cellIs" dxfId="364" priority="79" operator="equal">
      <formula>0</formula>
    </cfRule>
  </conditionalFormatting>
  <conditionalFormatting sqref="F4">
    <cfRule type="cellIs" dxfId="363" priority="78" operator="equal">
      <formula>0</formula>
    </cfRule>
  </conditionalFormatting>
  <conditionalFormatting sqref="F5">
    <cfRule type="cellIs" dxfId="362" priority="77" operator="equal">
      <formula>0</formula>
    </cfRule>
  </conditionalFormatting>
  <conditionalFormatting sqref="F7">
    <cfRule type="cellIs" dxfId="361" priority="76" operator="equal">
      <formula>0</formula>
    </cfRule>
  </conditionalFormatting>
  <conditionalFormatting sqref="F9">
    <cfRule type="cellIs" dxfId="360" priority="74" operator="equal">
      <formula>0</formula>
    </cfRule>
  </conditionalFormatting>
  <conditionalFormatting sqref="F8 H9:H10">
    <cfRule type="cellIs" priority="75" operator="equal">
      <formula>0</formula>
    </cfRule>
  </conditionalFormatting>
  <conditionalFormatting sqref="F10">
    <cfRule type="cellIs" dxfId="359" priority="72" operator="equal">
      <formula>0</formula>
    </cfRule>
    <cfRule type="cellIs" dxfId="358" priority="73" operator="equal">
      <formula>0</formula>
    </cfRule>
  </conditionalFormatting>
  <conditionalFormatting sqref="H7">
    <cfRule type="cellIs" dxfId="357" priority="62" operator="equal">
      <formula>0</formula>
    </cfRule>
  </conditionalFormatting>
  <conditionalFormatting sqref="I5">
    <cfRule type="cellIs" dxfId="356" priority="68" operator="equal">
      <formula>0</formula>
    </cfRule>
  </conditionalFormatting>
  <conditionalFormatting sqref="I7">
    <cfRule type="cellIs" dxfId="355"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4" priority="46" operator="equal">
      <formula>0</formula>
    </cfRule>
  </conditionalFormatting>
  <conditionalFormatting sqref="I11">
    <cfRule type="cellIs" priority="45" operator="equal">
      <formula>0</formula>
    </cfRule>
  </conditionalFormatting>
  <conditionalFormatting sqref="K13 E13 G13">
    <cfRule type="cellIs" dxfId="353"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52"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51"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50" priority="32" operator="equal">
      <formula>0</formula>
    </cfRule>
  </conditionalFormatting>
  <conditionalFormatting sqref="J5">
    <cfRule type="cellIs" dxfId="349" priority="31" operator="equal">
      <formula>0</formula>
    </cfRule>
  </conditionalFormatting>
  <conditionalFormatting sqref="J6">
    <cfRule type="cellIs" dxfId="348" priority="30" operator="equal">
      <formula>0</formula>
    </cfRule>
  </conditionalFormatting>
  <conditionalFormatting sqref="J9">
    <cfRule type="cellIs" dxfId="347" priority="29" operator="equal">
      <formula>0</formula>
    </cfRule>
  </conditionalFormatting>
  <conditionalFormatting sqref="J10">
    <cfRule type="cellIs" dxfId="346" priority="28" operator="equal">
      <formula>0</formula>
    </cfRule>
  </conditionalFormatting>
  <conditionalFormatting sqref="J7">
    <cfRule type="cellIs" dxfId="345" priority="27" operator="equal">
      <formula>0</formula>
    </cfRule>
  </conditionalFormatting>
  <conditionalFormatting sqref="J8">
    <cfRule type="cellIs" dxfId="344" priority="26" operator="equal">
      <formula>0</formula>
    </cfRule>
  </conditionalFormatting>
  <conditionalFormatting sqref="J11">
    <cfRule type="cellIs" dxfId="343" priority="25" operator="equal">
      <formula>0</formula>
    </cfRule>
  </conditionalFormatting>
  <conditionalFormatting sqref="J13">
    <cfRule type="cellIs" dxfId="342" priority="24" operator="equal">
      <formula>0</formula>
    </cfRule>
  </conditionalFormatting>
  <conditionalFormatting sqref="J12">
    <cfRule type="cellIs" dxfId="341" priority="23" operator="equal">
      <formula>0</formula>
    </cfRule>
  </conditionalFormatting>
  <conditionalFormatting sqref="J25">
    <cfRule type="cellIs" dxfId="340" priority="22" operator="equal">
      <formula>0</formula>
    </cfRule>
  </conditionalFormatting>
  <conditionalFormatting sqref="J26">
    <cfRule type="cellIs" dxfId="339" priority="21" operator="equal">
      <formula>0</formula>
    </cfRule>
  </conditionalFormatting>
  <conditionalFormatting sqref="L3:L4">
    <cfRule type="cellIs" dxfId="338" priority="20" operator="equal">
      <formula>0</formula>
    </cfRule>
  </conditionalFormatting>
  <conditionalFormatting sqref="L5">
    <cfRule type="cellIs" dxfId="337" priority="19" operator="equal">
      <formula>0</formula>
    </cfRule>
  </conditionalFormatting>
  <conditionalFormatting sqref="L6">
    <cfRule type="cellIs" dxfId="336" priority="18" operator="equal">
      <formula>0</formula>
    </cfRule>
  </conditionalFormatting>
  <conditionalFormatting sqref="L7">
    <cfRule type="cellIs" dxfId="335" priority="17" operator="equal">
      <formula>0</formula>
    </cfRule>
  </conditionalFormatting>
  <conditionalFormatting sqref="L8:L9">
    <cfRule type="cellIs" dxfId="334" priority="16" operator="equal">
      <formula>0</formula>
    </cfRule>
  </conditionalFormatting>
  <conditionalFormatting sqref="L14">
    <cfRule type="cellIs" dxfId="333" priority="15" operator="equal">
      <formula>0</formula>
    </cfRule>
  </conditionalFormatting>
  <conditionalFormatting sqref="L15">
    <cfRule type="cellIs" dxfId="332" priority="14" operator="equal">
      <formula>0</formula>
    </cfRule>
  </conditionalFormatting>
  <conditionalFormatting sqref="L16">
    <cfRule type="cellIs" dxfId="331" priority="13" operator="equal">
      <formula>0</formula>
    </cfRule>
  </conditionalFormatting>
  <conditionalFormatting sqref="L17">
    <cfRule type="cellIs" dxfId="330" priority="12" operator="equal">
      <formula>0</formula>
    </cfRule>
  </conditionalFormatting>
  <conditionalFormatting sqref="L18">
    <cfRule type="cellIs" dxfId="329" priority="11" operator="equal">
      <formula>0</formula>
    </cfRule>
  </conditionalFormatting>
  <conditionalFormatting sqref="L19">
    <cfRule type="cellIs" dxfId="328" priority="10" operator="equal">
      <formula>0</formula>
    </cfRule>
  </conditionalFormatting>
  <conditionalFormatting sqref="L20">
    <cfRule type="cellIs" dxfId="327" priority="9" operator="equal">
      <formula>0</formula>
    </cfRule>
  </conditionalFormatting>
  <conditionalFormatting sqref="L21">
    <cfRule type="cellIs" dxfId="326" priority="8" operator="equal">
      <formula>0</formula>
    </cfRule>
  </conditionalFormatting>
  <conditionalFormatting sqref="L22">
    <cfRule type="cellIs" dxfId="325" priority="7" operator="equal">
      <formula>0</formula>
    </cfRule>
  </conditionalFormatting>
  <conditionalFormatting sqref="L23">
    <cfRule type="cellIs" dxfId="324" priority="6" operator="equal">
      <formula>0</formula>
    </cfRule>
  </conditionalFormatting>
  <conditionalFormatting sqref="L24">
    <cfRule type="cellIs" dxfId="323" priority="5" operator="equal">
      <formula>0</formula>
    </cfRule>
  </conditionalFormatting>
  <conditionalFormatting sqref="L10">
    <cfRule type="cellIs" dxfId="322" priority="4" operator="equal">
      <formula>0</formula>
    </cfRule>
  </conditionalFormatting>
  <conditionalFormatting sqref="L11">
    <cfRule type="cellIs" dxfId="321" priority="3" operator="equal">
      <formula>0</formula>
    </cfRule>
  </conditionalFormatting>
  <conditionalFormatting sqref="L12">
    <cfRule type="cellIs" dxfId="320" priority="2" operator="equal">
      <formula>0</formula>
    </cfRule>
  </conditionalFormatting>
  <conditionalFormatting sqref="L13">
    <cfRule type="cellIs" dxfId="319"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D14" sqref="D14:D24"/>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8" t="s">
        <v>810</v>
      </c>
      <c r="B3" s="43" t="s">
        <v>395</v>
      </c>
      <c r="C3" s="43" t="s">
        <v>395</v>
      </c>
      <c r="D3" s="43"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66" t="s">
        <v>367</v>
      </c>
      <c r="N3" s="257" t="s">
        <v>14</v>
      </c>
      <c r="O3" s="260">
        <f ca="1">($G3+$G4+$G5+$G6+$G7)</f>
        <v>1056</v>
      </c>
    </row>
    <row r="4" spans="1:15" ht="15" customHeight="1" x14ac:dyDescent="0.3">
      <c r="A4" s="268"/>
      <c r="B4" s="35" t="s">
        <v>396</v>
      </c>
      <c r="C4" s="35" t="s">
        <v>396</v>
      </c>
      <c r="D4" s="35"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8"/>
      <c r="N4" s="258"/>
      <c r="O4" s="261"/>
    </row>
    <row r="5" spans="1:15" ht="15" customHeight="1" x14ac:dyDescent="0.3">
      <c r="A5" s="268"/>
      <c r="B5" s="35" t="s">
        <v>397</v>
      </c>
      <c r="C5" s="35" t="s">
        <v>397</v>
      </c>
      <c r="D5" s="35"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8"/>
      <c r="N5" s="258"/>
      <c r="O5" s="261"/>
    </row>
    <row r="6" spans="1:15" ht="15" customHeight="1" x14ac:dyDescent="0.3">
      <c r="A6" s="268"/>
      <c r="B6" s="69" t="s">
        <v>398</v>
      </c>
      <c r="C6" s="69" t="s">
        <v>398</v>
      </c>
      <c r="D6" s="35"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8"/>
      <c r="N6" s="258"/>
      <c r="O6" s="261"/>
    </row>
    <row r="7" spans="1:15" ht="15" customHeight="1" thickBot="1" x14ac:dyDescent="0.35">
      <c r="A7" s="268"/>
      <c r="B7" s="70" t="s">
        <v>422</v>
      </c>
      <c r="C7" s="77" t="s">
        <v>422</v>
      </c>
      <c r="D7" s="74"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9"/>
      <c r="N7" s="259"/>
      <c r="O7" s="262"/>
    </row>
    <row r="8" spans="1:15" ht="14.55" customHeight="1" x14ac:dyDescent="0.3">
      <c r="A8" s="276" t="s">
        <v>885</v>
      </c>
      <c r="B8" s="71" t="s">
        <v>16</v>
      </c>
      <c r="C8" s="71" t="s">
        <v>16</v>
      </c>
      <c r="D8" s="34" t="s">
        <v>17</v>
      </c>
      <c r="E8" s="183" t="str">
        <f>Config!AD62</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9" t="s">
        <v>368</v>
      </c>
      <c r="N8" s="272" t="s">
        <v>20</v>
      </c>
      <c r="O8" s="274">
        <f ca="1">($G8+$G9+$G10+$G13)</f>
        <v>960</v>
      </c>
    </row>
    <row r="9" spans="1:15" ht="14.55" customHeight="1" x14ac:dyDescent="0.3">
      <c r="A9" s="277"/>
      <c r="B9" s="72" t="s">
        <v>399</v>
      </c>
      <c r="C9" s="72" t="s">
        <v>399</v>
      </c>
      <c r="D9" s="35" t="s">
        <v>17</v>
      </c>
      <c r="E9" s="177"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70"/>
      <c r="N9" s="258"/>
      <c r="O9" s="261"/>
    </row>
    <row r="10" spans="1:15" ht="14.55" customHeight="1" x14ac:dyDescent="0.3">
      <c r="A10" s="277"/>
      <c r="B10" s="44" t="s">
        <v>22</v>
      </c>
      <c r="C10" s="44" t="s">
        <v>22</v>
      </c>
      <c r="D10" s="35" t="s">
        <v>17</v>
      </c>
      <c r="E10" s="177"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70"/>
      <c r="N10" s="258"/>
      <c r="O10" s="261"/>
    </row>
    <row r="11" spans="1:15" ht="14.55" customHeight="1" x14ac:dyDescent="0.3">
      <c r="A11" s="277"/>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58"/>
      <c r="O11" s="261"/>
    </row>
    <row r="12" spans="1:15" ht="14.55" customHeight="1" x14ac:dyDescent="0.3">
      <c r="A12" s="277"/>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71"/>
      <c r="N12" s="273"/>
      <c r="O12" s="275"/>
    </row>
    <row r="13" spans="1:15" ht="14.55" customHeight="1" thickBot="1" x14ac:dyDescent="0.35">
      <c r="A13" s="278"/>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71"/>
      <c r="N13" s="273"/>
      <c r="O13" s="275"/>
    </row>
    <row r="14" spans="1:15" ht="14.55" customHeight="1" x14ac:dyDescent="0.3">
      <c r="A14" s="264" t="s">
        <v>23</v>
      </c>
      <c r="B14" s="34" t="s">
        <v>24</v>
      </c>
      <c r="C14" s="36" t="s">
        <v>613</v>
      </c>
      <c r="D14" s="254" t="s">
        <v>25</v>
      </c>
      <c r="E14" s="121"/>
      <c r="F14" s="111" t="s">
        <v>26</v>
      </c>
      <c r="G14" s="60">
        <f ca="1">IF($C14="No Param",32,VLOOKUP($C14,INDIRECT(Config!$B$1),HLOOKUP(D$1,INDIRECT(Config!$E$1),2,FALSE),FALSE)*32)</f>
        <v>32</v>
      </c>
      <c r="H14" s="24" t="s">
        <v>27</v>
      </c>
      <c r="I14" s="24" t="s">
        <v>28</v>
      </c>
      <c r="J14" s="24" t="s">
        <v>1080</v>
      </c>
      <c r="K14" s="24" t="s">
        <v>1092</v>
      </c>
      <c r="L14" s="237" t="str">
        <f ca="1">IF(VLOOKUP("EXT_FUSE_PULL_SUPP", INDIRECT(Config!$B$1),HLOOKUP(D$1,INDIRECT(Config!$E$1),2,FALSE),FALSE)=1, IF(G14&gt;0,CONCATENATE("CSME_HW_FW_Config_fuses[",G14-1,":0]"), ""), "")</f>
        <v/>
      </c>
      <c r="M14" s="266" t="s">
        <v>369</v>
      </c>
      <c r="N14" s="257" t="s">
        <v>29</v>
      </c>
      <c r="O14" s="260">
        <f ca="1">(4*32+G18+G19+G20+G21+G22+G23)</f>
        <v>160</v>
      </c>
    </row>
    <row r="15" spans="1:15" ht="14.55" customHeight="1" x14ac:dyDescent="0.3">
      <c r="A15" s="265"/>
      <c r="B15" s="35" t="s">
        <v>30</v>
      </c>
      <c r="C15" s="37" t="s">
        <v>613</v>
      </c>
      <c r="D15" s="25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63"/>
      <c r="N15" s="258"/>
      <c r="O15" s="261"/>
    </row>
    <row r="16" spans="1:15" ht="14.55" customHeight="1" x14ac:dyDescent="0.3">
      <c r="A16" s="265"/>
      <c r="B16" s="35" t="s">
        <v>31</v>
      </c>
      <c r="C16" s="37" t="s">
        <v>613</v>
      </c>
      <c r="D16" s="25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63"/>
      <c r="N16" s="258"/>
      <c r="O16" s="261"/>
    </row>
    <row r="17" spans="1:15" x14ac:dyDescent="0.3">
      <c r="A17" s="265"/>
      <c r="B17" s="35" t="s">
        <v>32</v>
      </c>
      <c r="C17" s="37" t="s">
        <v>613</v>
      </c>
      <c r="D17" s="25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63"/>
      <c r="N17" s="258"/>
      <c r="O17" s="261"/>
    </row>
    <row r="18" spans="1:15" x14ac:dyDescent="0.3">
      <c r="A18" s="265"/>
      <c r="B18" s="35" t="s">
        <v>34</v>
      </c>
      <c r="C18" s="35" t="s">
        <v>253</v>
      </c>
      <c r="D18" s="255"/>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63"/>
      <c r="N18" s="258"/>
      <c r="O18" s="261"/>
    </row>
    <row r="19" spans="1:15" x14ac:dyDescent="0.3">
      <c r="A19" s="265"/>
      <c r="B19" s="35" t="s">
        <v>36</v>
      </c>
      <c r="C19" s="73" t="s">
        <v>214</v>
      </c>
      <c r="D19" s="255"/>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63"/>
      <c r="N19" s="258"/>
      <c r="O19" s="261"/>
    </row>
    <row r="20" spans="1:15" x14ac:dyDescent="0.3">
      <c r="A20" s="265"/>
      <c r="B20" s="73" t="s">
        <v>246</v>
      </c>
      <c r="C20" s="73" t="s">
        <v>205</v>
      </c>
      <c r="D20" s="255"/>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63"/>
      <c r="N20" s="258"/>
      <c r="O20" s="261"/>
    </row>
    <row r="21" spans="1:15" x14ac:dyDescent="0.3">
      <c r="A21" s="265"/>
      <c r="B21" s="73" t="s">
        <v>250</v>
      </c>
      <c r="C21" s="73" t="s">
        <v>390</v>
      </c>
      <c r="D21" s="25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63"/>
      <c r="N21" s="258"/>
      <c r="O21" s="261"/>
    </row>
    <row r="22" spans="1:15" x14ac:dyDescent="0.3">
      <c r="A22" s="265"/>
      <c r="B22" s="73" t="s">
        <v>251</v>
      </c>
      <c r="C22" s="73" t="s">
        <v>390</v>
      </c>
      <c r="D22" s="25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63"/>
      <c r="N22" s="258"/>
      <c r="O22" s="261"/>
    </row>
    <row r="23" spans="1:15" x14ac:dyDescent="0.3">
      <c r="A23" s="265"/>
      <c r="B23" s="73" t="s">
        <v>252</v>
      </c>
      <c r="C23" s="73" t="s">
        <v>390</v>
      </c>
      <c r="D23" s="25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63"/>
      <c r="N23" s="258"/>
      <c r="O23" s="261"/>
    </row>
    <row r="24" spans="1:15" x14ac:dyDescent="0.3">
      <c r="A24" s="265"/>
      <c r="B24" s="35" t="s">
        <v>38</v>
      </c>
      <c r="C24" s="37" t="s">
        <v>613</v>
      </c>
      <c r="D24" s="255"/>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63"/>
      <c r="N24" s="258"/>
      <c r="O24" s="261"/>
    </row>
    <row r="25" spans="1:15" x14ac:dyDescent="0.3">
      <c r="A25" s="264" t="s">
        <v>41</v>
      </c>
      <c r="B25" s="35" t="s">
        <v>42</v>
      </c>
      <c r="C25" s="35" t="s">
        <v>614</v>
      </c>
      <c r="D25" s="255" t="s">
        <v>43</v>
      </c>
      <c r="E25" s="122"/>
      <c r="F25" s="68" t="s">
        <v>44</v>
      </c>
      <c r="G25" s="39">
        <f ca="1">IF($C25="No Param",32,VLOOKUP($C25,INDIRECT(Config!$B$1),HLOOKUP(D$1,INDIRECT(Config!$E$1),2,FALSE),FALSE)*32)</f>
        <v>32</v>
      </c>
      <c r="H25" s="16" t="str">
        <f ca="1">IF(G25=0,"N/A","0x8000")</f>
        <v>0x8000</v>
      </c>
      <c r="I25" s="16" t="s">
        <v>45</v>
      </c>
      <c r="J25" s="16" t="s">
        <v>48</v>
      </c>
      <c r="K25" s="16" t="s">
        <v>387</v>
      </c>
      <c r="L25" s="3"/>
      <c r="M25" s="263" t="s">
        <v>370</v>
      </c>
      <c r="N25" s="258"/>
      <c r="O25" s="261">
        <f ca="1">(G25+G26)</f>
        <v>64</v>
      </c>
    </row>
    <row r="26" spans="1:15" ht="15" thickBot="1" x14ac:dyDescent="0.35">
      <c r="A26" s="267"/>
      <c r="B26" s="74" t="s">
        <v>46</v>
      </c>
      <c r="C26" s="74" t="s">
        <v>615</v>
      </c>
      <c r="D26" s="256"/>
      <c r="E26" s="123"/>
      <c r="F26" s="76" t="s">
        <v>44</v>
      </c>
      <c r="G26" s="75">
        <f ca="1">IF($C26="No Param",32,VLOOKUP($C26,INDIRECT(Config!$B$1),HLOOKUP(D$1,INDIRECT(Config!$E$1),2,FALSE),FALSE)*32)</f>
        <v>32</v>
      </c>
      <c r="H26" s="26" t="str">
        <f ca="1">IF(G26=0,"N/A","0x8004")</f>
        <v>0x8004</v>
      </c>
      <c r="I26" s="26" t="s">
        <v>47</v>
      </c>
      <c r="J26" s="26" t="s">
        <v>48</v>
      </c>
      <c r="K26" s="26" t="s">
        <v>387</v>
      </c>
      <c r="L26" s="238"/>
      <c r="M26" s="259"/>
      <c r="N26" s="259"/>
      <c r="O26" s="262"/>
    </row>
    <row r="27" spans="1:15" ht="15" thickBot="1" x14ac:dyDescent="0.35">
      <c r="A27" s="124"/>
    </row>
    <row r="28" spans="1:15" x14ac:dyDescent="0.3">
      <c r="A28" s="25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57" t="s">
        <v>48</v>
      </c>
      <c r="O28" s="260">
        <f ca="1">SUM(G28:G42)</f>
        <v>576</v>
      </c>
    </row>
    <row r="29" spans="1:15" ht="15" customHeight="1" x14ac:dyDescent="0.3">
      <c r="A29" s="25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3" t="s">
        <v>369</v>
      </c>
      <c r="N29" s="258"/>
      <c r="O29" s="261"/>
    </row>
    <row r="30" spans="1:15" x14ac:dyDescent="0.3">
      <c r="A30" s="25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3"/>
      <c r="N30" s="258"/>
      <c r="O30" s="261"/>
    </row>
    <row r="31" spans="1:15" x14ac:dyDescent="0.3">
      <c r="A31" s="25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3"/>
      <c r="N31" s="258"/>
      <c r="O31" s="261"/>
    </row>
    <row r="32" spans="1:15" x14ac:dyDescent="0.3">
      <c r="A32" s="25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8"/>
      <c r="O32" s="261"/>
    </row>
    <row r="33" spans="1:15" x14ac:dyDescent="0.3">
      <c r="A33" s="25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8"/>
      <c r="O33" s="261"/>
    </row>
    <row r="34" spans="1:15" ht="15" customHeight="1" x14ac:dyDescent="0.3">
      <c r="A34" s="25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3" t="s">
        <v>369</v>
      </c>
      <c r="N34" s="258"/>
      <c r="O34" s="261"/>
    </row>
    <row r="35" spans="1:15" x14ac:dyDescent="0.3">
      <c r="A35" s="25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3"/>
      <c r="N35" s="258"/>
      <c r="O35" s="261"/>
    </row>
    <row r="36" spans="1:15" x14ac:dyDescent="0.3">
      <c r="A36" s="25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3"/>
      <c r="N36" s="258"/>
      <c r="O36" s="261"/>
    </row>
    <row r="37" spans="1:15" x14ac:dyDescent="0.3">
      <c r="A37" s="25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8"/>
      <c r="O37" s="261"/>
    </row>
    <row r="38" spans="1:15" x14ac:dyDescent="0.3">
      <c r="A38" s="25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8"/>
      <c r="O38" s="261"/>
    </row>
    <row r="39" spans="1:15" ht="15" customHeight="1" x14ac:dyDescent="0.3">
      <c r="A39" s="25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3" t="s">
        <v>369</v>
      </c>
      <c r="N39" s="258"/>
      <c r="O39" s="261"/>
    </row>
    <row r="40" spans="1:15" x14ac:dyDescent="0.3">
      <c r="A40" s="25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3"/>
      <c r="N40" s="258"/>
      <c r="O40" s="261"/>
    </row>
    <row r="41" spans="1:15" x14ac:dyDescent="0.3">
      <c r="A41" s="25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3"/>
      <c r="N41" s="258"/>
      <c r="O41" s="261"/>
    </row>
    <row r="42" spans="1:15" ht="15" thickBot="1" x14ac:dyDescent="0.35">
      <c r="A42" s="2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9"/>
      <c r="O42" s="26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8" priority="256" operator="equal">
      <formula>0</formula>
    </cfRule>
  </conditionalFormatting>
  <conditionalFormatting sqref="J28">
    <cfRule type="cellIs" dxfId="317" priority="272" operator="equal">
      <formula>0</formula>
    </cfRule>
  </conditionalFormatting>
  <conditionalFormatting sqref="C3">
    <cfRule type="cellIs" dxfId="316" priority="258" operator="equal">
      <formula>0</formula>
    </cfRule>
  </conditionalFormatting>
  <conditionalFormatting sqref="C4">
    <cfRule type="cellIs" dxfId="315" priority="257" operator="equal">
      <formula>0</formula>
    </cfRule>
  </conditionalFormatting>
  <conditionalFormatting sqref="B3 D3 G14:G26">
    <cfRule type="cellIs" dxfId="314" priority="269" operator="equal">
      <formula>0</formula>
    </cfRule>
  </conditionalFormatting>
  <conditionalFormatting sqref="B4 D4">
    <cfRule type="cellIs" dxfId="313" priority="268" operator="equal">
      <formula>0</formula>
    </cfRule>
  </conditionalFormatting>
  <conditionalFormatting sqref="B5 D5">
    <cfRule type="cellIs" dxfId="312" priority="267" operator="equal">
      <formula>0</formula>
    </cfRule>
  </conditionalFormatting>
  <conditionalFormatting sqref="B7">
    <cfRule type="cellIs" dxfId="311" priority="266" operator="equal">
      <formula>0</formula>
    </cfRule>
  </conditionalFormatting>
  <conditionalFormatting sqref="B8 D8">
    <cfRule type="cellIs" priority="265" operator="equal">
      <formula>0</formula>
    </cfRule>
  </conditionalFormatting>
  <conditionalFormatting sqref="B9 D9">
    <cfRule type="cellIs" dxfId="310" priority="264" operator="equal">
      <formula>0</formula>
    </cfRule>
  </conditionalFormatting>
  <conditionalFormatting sqref="B10 D10">
    <cfRule type="cellIs" dxfId="309" priority="262" operator="equal">
      <formula>0</formula>
    </cfRule>
    <cfRule type="cellIs" dxfId="308" priority="263" operator="equal">
      <formula>0</formula>
    </cfRule>
  </conditionalFormatting>
  <conditionalFormatting sqref="B6 D6">
    <cfRule type="cellIs" dxfId="307" priority="260" operator="equal">
      <formula>0</formula>
    </cfRule>
  </conditionalFormatting>
  <conditionalFormatting sqref="D7">
    <cfRule type="cellIs" dxfId="306" priority="259" operator="equal">
      <formula>0</formula>
    </cfRule>
  </conditionalFormatting>
  <conditionalFormatting sqref="C7">
    <cfRule type="cellIs" dxfId="305" priority="255" operator="equal">
      <formula>0</formula>
    </cfRule>
  </conditionalFormatting>
  <conditionalFormatting sqref="C8">
    <cfRule type="cellIs" priority="254" operator="equal">
      <formula>0</formula>
    </cfRule>
  </conditionalFormatting>
  <conditionalFormatting sqref="C9">
    <cfRule type="cellIs" dxfId="304" priority="253" operator="equal">
      <formula>0</formula>
    </cfRule>
  </conditionalFormatting>
  <conditionalFormatting sqref="C10">
    <cfRule type="cellIs" dxfId="303" priority="251" operator="equal">
      <formula>0</formula>
    </cfRule>
    <cfRule type="cellIs" dxfId="302" priority="252" operator="equal">
      <formula>0</formula>
    </cfRule>
  </conditionalFormatting>
  <conditionalFormatting sqref="C6">
    <cfRule type="cellIs" dxfId="301" priority="250" operator="equal">
      <formula>0</formula>
    </cfRule>
  </conditionalFormatting>
  <conditionalFormatting sqref="G40">
    <cfRule type="cellIs" dxfId="300" priority="170" operator="equal">
      <formula>0</formula>
    </cfRule>
  </conditionalFormatting>
  <conditionalFormatting sqref="G37">
    <cfRule type="cellIs" dxfId="299" priority="169" operator="equal">
      <formula>0</formula>
    </cfRule>
  </conditionalFormatting>
  <conditionalFormatting sqref="G42">
    <cfRule type="cellIs" dxfId="298" priority="168" operator="equal">
      <formula>0</formula>
    </cfRule>
  </conditionalFormatting>
  <conditionalFormatting sqref="L32">
    <cfRule type="cellIs" dxfId="297" priority="211" operator="equal">
      <formula>0</formula>
    </cfRule>
  </conditionalFormatting>
  <conditionalFormatting sqref="L31">
    <cfRule type="cellIs" dxfId="296" priority="210" operator="equal">
      <formula>0</formula>
    </cfRule>
  </conditionalFormatting>
  <conditionalFormatting sqref="L30">
    <cfRule type="cellIs" dxfId="295" priority="209" operator="equal">
      <formula>0</formula>
    </cfRule>
  </conditionalFormatting>
  <conditionalFormatting sqref="L29">
    <cfRule type="cellIs" dxfId="294" priority="208" operator="equal">
      <formula>0</formula>
    </cfRule>
  </conditionalFormatting>
  <conditionalFormatting sqref="L37">
    <cfRule type="cellIs" dxfId="293" priority="207" operator="equal">
      <formula>0</formula>
    </cfRule>
  </conditionalFormatting>
  <conditionalFormatting sqref="L36">
    <cfRule type="cellIs" dxfId="292" priority="206" operator="equal">
      <formula>0</formula>
    </cfRule>
  </conditionalFormatting>
  <conditionalFormatting sqref="L35">
    <cfRule type="cellIs" dxfId="291" priority="205" operator="equal">
      <formula>0</formula>
    </cfRule>
  </conditionalFormatting>
  <conditionalFormatting sqref="L34">
    <cfRule type="cellIs" dxfId="290" priority="204" operator="equal">
      <formula>0</formula>
    </cfRule>
  </conditionalFormatting>
  <conditionalFormatting sqref="L42">
    <cfRule type="cellIs" dxfId="289" priority="203" operator="equal">
      <formula>0</formula>
    </cfRule>
  </conditionalFormatting>
  <conditionalFormatting sqref="L41">
    <cfRule type="cellIs" dxfId="288" priority="202" operator="equal">
      <formula>0</formula>
    </cfRule>
  </conditionalFormatting>
  <conditionalFormatting sqref="L40">
    <cfRule type="cellIs" dxfId="287" priority="201" operator="equal">
      <formula>0</formula>
    </cfRule>
  </conditionalFormatting>
  <conditionalFormatting sqref="L39">
    <cfRule type="cellIs" dxfId="286" priority="200" operator="equal">
      <formula>0</formula>
    </cfRule>
  </conditionalFormatting>
  <conditionalFormatting sqref="G34">
    <cfRule type="cellIs" dxfId="285" priority="182" operator="equal">
      <formula>0</formula>
    </cfRule>
  </conditionalFormatting>
  <conditionalFormatting sqref="G36">
    <cfRule type="cellIs" dxfId="284" priority="181" operator="equal">
      <formula>0</formula>
    </cfRule>
  </conditionalFormatting>
  <conditionalFormatting sqref="G29">
    <cfRule type="cellIs" dxfId="283" priority="175" operator="equal">
      <formula>0</formula>
    </cfRule>
  </conditionalFormatting>
  <conditionalFormatting sqref="G32">
    <cfRule type="cellIs" dxfId="282" priority="179" operator="equal">
      <formula>0</formula>
    </cfRule>
  </conditionalFormatting>
  <conditionalFormatting sqref="G33">
    <cfRule type="cellIs" dxfId="281" priority="178" operator="equal">
      <formula>0</formula>
    </cfRule>
  </conditionalFormatting>
  <conditionalFormatting sqref="G28">
    <cfRule type="cellIs" dxfId="280" priority="180" operator="equal">
      <formula>0</formula>
    </cfRule>
  </conditionalFormatting>
  <conditionalFormatting sqref="G38">
    <cfRule type="cellIs" dxfId="279" priority="177" operator="equal">
      <formula>0</formula>
    </cfRule>
  </conditionalFormatting>
  <conditionalFormatting sqref="G35">
    <cfRule type="cellIs" dxfId="278" priority="176" operator="equal">
      <formula>0</formula>
    </cfRule>
  </conditionalFormatting>
  <conditionalFormatting sqref="G31">
    <cfRule type="cellIs" dxfId="277" priority="174" operator="equal">
      <formula>0</formula>
    </cfRule>
  </conditionalFormatting>
  <conditionalFormatting sqref="G30">
    <cfRule type="cellIs" dxfId="276" priority="173" operator="equal">
      <formula>0</formula>
    </cfRule>
  </conditionalFormatting>
  <conditionalFormatting sqref="G39">
    <cfRule type="cellIs" dxfId="275" priority="172" operator="equal">
      <formula>0</formula>
    </cfRule>
  </conditionalFormatting>
  <conditionalFormatting sqref="G41">
    <cfRule type="cellIs" dxfId="274" priority="171" operator="equal">
      <formula>0</formula>
    </cfRule>
  </conditionalFormatting>
  <conditionalFormatting sqref="E10">
    <cfRule type="cellIs" priority="131" operator="equal">
      <formula>0</formula>
    </cfRule>
  </conditionalFormatting>
  <conditionalFormatting sqref="E3">
    <cfRule type="cellIs" dxfId="273" priority="146" operator="equal">
      <formula>0</formula>
    </cfRule>
  </conditionalFormatting>
  <conditionalFormatting sqref="E3">
    <cfRule type="cellIs" priority="145" operator="equal">
      <formula>0</formula>
    </cfRule>
  </conditionalFormatting>
  <conditionalFormatting sqref="E5">
    <cfRule type="cellIs" dxfId="272" priority="142" operator="equal">
      <formula>0</formula>
    </cfRule>
  </conditionalFormatting>
  <conditionalFormatting sqref="E5">
    <cfRule type="cellIs" priority="141" operator="equal">
      <formula>0</formula>
    </cfRule>
  </conditionalFormatting>
  <conditionalFormatting sqref="E7">
    <cfRule type="cellIs" dxfId="271" priority="138" operator="equal">
      <formula>0</formula>
    </cfRule>
  </conditionalFormatting>
  <conditionalFormatting sqref="E7">
    <cfRule type="cellIs" priority="137" operator="equal">
      <formula>0</formula>
    </cfRule>
  </conditionalFormatting>
  <conditionalFormatting sqref="E9">
    <cfRule type="cellIs" dxfId="270" priority="134" operator="equal">
      <formula>0</formula>
    </cfRule>
  </conditionalFormatting>
  <conditionalFormatting sqref="E9">
    <cfRule type="cellIs" priority="133" operator="equal">
      <formula>0</formula>
    </cfRule>
  </conditionalFormatting>
  <conditionalFormatting sqref="E4">
    <cfRule type="cellIs" dxfId="269" priority="144" operator="equal">
      <formula>0</formula>
    </cfRule>
  </conditionalFormatting>
  <conditionalFormatting sqref="E4">
    <cfRule type="cellIs" priority="143" operator="equal">
      <formula>0</formula>
    </cfRule>
  </conditionalFormatting>
  <conditionalFormatting sqref="E6">
    <cfRule type="cellIs" dxfId="268" priority="140" operator="equal">
      <formula>0</formula>
    </cfRule>
  </conditionalFormatting>
  <conditionalFormatting sqref="E6">
    <cfRule type="cellIs" priority="139" operator="equal">
      <formula>0</formula>
    </cfRule>
  </conditionalFormatting>
  <conditionalFormatting sqref="E8">
    <cfRule type="cellIs" dxfId="267" priority="136" operator="equal">
      <formula>0</formula>
    </cfRule>
  </conditionalFormatting>
  <conditionalFormatting sqref="E8">
    <cfRule type="cellIs" priority="135" operator="equal">
      <formula>0</formula>
    </cfRule>
  </conditionalFormatting>
  <conditionalFormatting sqref="E10">
    <cfRule type="cellIs" dxfId="266" priority="132" operator="equal">
      <formula>0</formula>
    </cfRule>
  </conditionalFormatting>
  <conditionalFormatting sqref="G4:G10">
    <cfRule type="cellIs" dxfId="265" priority="122" operator="equal">
      <formula>0</formula>
    </cfRule>
  </conditionalFormatting>
  <conditionalFormatting sqref="F6">
    <cfRule type="cellIs" dxfId="264" priority="113" operator="equal">
      <formula>0</formula>
    </cfRule>
  </conditionalFormatting>
  <conditionalFormatting sqref="F3">
    <cfRule type="cellIs" dxfId="263" priority="121" operator="equal">
      <formula>0</formula>
    </cfRule>
  </conditionalFormatting>
  <conditionalFormatting sqref="F4">
    <cfRule type="cellIs" dxfId="262" priority="120" operator="equal">
      <formula>0</formula>
    </cfRule>
  </conditionalFormatting>
  <conditionalFormatting sqref="F5">
    <cfRule type="cellIs" dxfId="261" priority="119" operator="equal">
      <formula>0</formula>
    </cfRule>
  </conditionalFormatting>
  <conditionalFormatting sqref="F7">
    <cfRule type="cellIs" dxfId="260" priority="118" operator="equal">
      <formula>0</formula>
    </cfRule>
  </conditionalFormatting>
  <conditionalFormatting sqref="F9">
    <cfRule type="cellIs" dxfId="259" priority="116" operator="equal">
      <formula>0</formula>
    </cfRule>
  </conditionalFormatting>
  <conditionalFormatting sqref="G3:I3">
    <cfRule type="cellIs" dxfId="258" priority="112" operator="equal">
      <formula>0</formula>
    </cfRule>
  </conditionalFormatting>
  <conditionalFormatting sqref="F8 H9:H10">
    <cfRule type="cellIs" priority="117" operator="equal">
      <formula>0</formula>
    </cfRule>
  </conditionalFormatting>
  <conditionalFormatting sqref="F10">
    <cfRule type="cellIs" dxfId="257" priority="114" operator="equal">
      <formula>0</formula>
    </cfRule>
    <cfRule type="cellIs" dxfId="256" priority="115" operator="equal">
      <formula>0</formula>
    </cfRule>
  </conditionalFormatting>
  <conditionalFormatting sqref="H7">
    <cfRule type="cellIs" dxfId="255" priority="104" operator="equal">
      <formula>0</formula>
    </cfRule>
  </conditionalFormatting>
  <conditionalFormatting sqref="I6">
    <cfRule type="cellIs" dxfId="254" priority="107" operator="equal">
      <formula>0</formula>
    </cfRule>
  </conditionalFormatting>
  <conditionalFormatting sqref="H5">
    <cfRule type="cellIs" dxfId="253" priority="106" operator="equal">
      <formula>0</formula>
    </cfRule>
  </conditionalFormatting>
  <conditionalFormatting sqref="H4:I4">
    <cfRule type="cellIs" dxfId="252" priority="111" operator="equal">
      <formula>0</formula>
    </cfRule>
  </conditionalFormatting>
  <conditionalFormatting sqref="I5">
    <cfRule type="cellIs" dxfId="251" priority="110" operator="equal">
      <formula>0</formula>
    </cfRule>
  </conditionalFormatting>
  <conditionalFormatting sqref="I7">
    <cfRule type="cellIs" dxfId="250" priority="109" operator="equal">
      <formula>0</formula>
    </cfRule>
  </conditionalFormatting>
  <conditionalFormatting sqref="H8:I8">
    <cfRule type="cellIs" priority="108" operator="equal">
      <formula>0</formula>
    </cfRule>
  </conditionalFormatting>
  <conditionalFormatting sqref="H6">
    <cfRule type="cellIs" dxfId="249" priority="105" operator="equal">
      <formula>0</formula>
    </cfRule>
  </conditionalFormatting>
  <conditionalFormatting sqref="I9:I10">
    <cfRule type="cellIs" priority="101" operator="equal">
      <formula>0</formula>
    </cfRule>
  </conditionalFormatting>
  <conditionalFormatting sqref="E11 G11">
    <cfRule type="cellIs" dxfId="248" priority="88" operator="equal">
      <formula>0</formula>
    </cfRule>
  </conditionalFormatting>
  <conditionalFormatting sqref="I11">
    <cfRule type="cellIs" priority="87" operator="equal">
      <formula>0</formula>
    </cfRule>
  </conditionalFormatting>
  <conditionalFormatting sqref="E13 G13">
    <cfRule type="cellIs" dxfId="247"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6"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5"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4" priority="44" operator="equal">
      <formula>0</formula>
    </cfRule>
  </conditionalFormatting>
  <conditionalFormatting sqref="K26">
    <cfRule type="cellIs" dxfId="243" priority="43" operator="equal">
      <formula>0</formula>
    </cfRule>
  </conditionalFormatting>
  <conditionalFormatting sqref="J25">
    <cfRule type="cellIs" dxfId="242" priority="42" operator="equal">
      <formula>0</formula>
    </cfRule>
  </conditionalFormatting>
  <conditionalFormatting sqref="J26">
    <cfRule type="cellIs" dxfId="241" priority="41" operator="equal">
      <formula>0</formula>
    </cfRule>
  </conditionalFormatting>
  <conditionalFormatting sqref="K3:K4">
    <cfRule type="cellIs" dxfId="240" priority="40" operator="equal">
      <formula>0</formula>
    </cfRule>
  </conditionalFormatting>
  <conditionalFormatting sqref="K5">
    <cfRule type="cellIs" dxfId="239" priority="39" operator="equal">
      <formula>0</formula>
    </cfRule>
  </conditionalFormatting>
  <conditionalFormatting sqref="K6">
    <cfRule type="cellIs" dxfId="238" priority="38" operator="equal">
      <formula>0</formula>
    </cfRule>
  </conditionalFormatting>
  <conditionalFormatting sqref="K9">
    <cfRule type="cellIs" dxfId="237" priority="37" operator="equal">
      <formula>0</formula>
    </cfRule>
  </conditionalFormatting>
  <conditionalFormatting sqref="K10">
    <cfRule type="cellIs" dxfId="236" priority="36" operator="equal">
      <formula>0</formula>
    </cfRule>
  </conditionalFormatting>
  <conditionalFormatting sqref="K7">
    <cfRule type="cellIs" dxfId="235" priority="35" operator="equal">
      <formula>0</formula>
    </cfRule>
  </conditionalFormatting>
  <conditionalFormatting sqref="K8">
    <cfRule type="cellIs" dxfId="234" priority="34" operator="equal">
      <formula>0</formula>
    </cfRule>
  </conditionalFormatting>
  <conditionalFormatting sqref="K11">
    <cfRule type="cellIs" dxfId="233" priority="33" operator="equal">
      <formula>0</formula>
    </cfRule>
  </conditionalFormatting>
  <conditionalFormatting sqref="K13">
    <cfRule type="cellIs" dxfId="232" priority="32" operator="equal">
      <formula>0</formula>
    </cfRule>
  </conditionalFormatting>
  <conditionalFormatting sqref="K12">
    <cfRule type="cellIs" dxfId="231" priority="31" operator="equal">
      <formula>0</formula>
    </cfRule>
  </conditionalFormatting>
  <conditionalFormatting sqref="J3:J4">
    <cfRule type="cellIs" dxfId="230" priority="30" operator="equal">
      <formula>0</formula>
    </cfRule>
  </conditionalFormatting>
  <conditionalFormatting sqref="J5">
    <cfRule type="cellIs" dxfId="229" priority="29" operator="equal">
      <formula>0</formula>
    </cfRule>
  </conditionalFormatting>
  <conditionalFormatting sqref="J6">
    <cfRule type="cellIs" dxfId="228" priority="28" operator="equal">
      <formula>0</formula>
    </cfRule>
  </conditionalFormatting>
  <conditionalFormatting sqref="J9">
    <cfRule type="cellIs" dxfId="227" priority="27" operator="equal">
      <formula>0</formula>
    </cfRule>
  </conditionalFormatting>
  <conditionalFormatting sqref="J10">
    <cfRule type="cellIs" dxfId="226" priority="26" operator="equal">
      <formula>0</formula>
    </cfRule>
  </conditionalFormatting>
  <conditionalFormatting sqref="J7">
    <cfRule type="cellIs" dxfId="225" priority="25" operator="equal">
      <formula>0</formula>
    </cfRule>
  </conditionalFormatting>
  <conditionalFormatting sqref="J8">
    <cfRule type="cellIs" dxfId="224" priority="24" operator="equal">
      <formula>0</formula>
    </cfRule>
  </conditionalFormatting>
  <conditionalFormatting sqref="J11">
    <cfRule type="cellIs" dxfId="223" priority="23" operator="equal">
      <formula>0</formula>
    </cfRule>
  </conditionalFormatting>
  <conditionalFormatting sqref="J13">
    <cfRule type="cellIs" dxfId="222" priority="22" operator="equal">
      <formula>0</formula>
    </cfRule>
  </conditionalFormatting>
  <conditionalFormatting sqref="J12">
    <cfRule type="cellIs" dxfId="221" priority="21" operator="equal">
      <formula>0</formula>
    </cfRule>
  </conditionalFormatting>
  <conditionalFormatting sqref="L3:L4">
    <cfRule type="cellIs" dxfId="220" priority="20" operator="equal">
      <formula>0</formula>
    </cfRule>
  </conditionalFormatting>
  <conditionalFormatting sqref="L5">
    <cfRule type="cellIs" dxfId="219" priority="19" operator="equal">
      <formula>0</formula>
    </cfRule>
  </conditionalFormatting>
  <conditionalFormatting sqref="L6">
    <cfRule type="cellIs" dxfId="218" priority="18" operator="equal">
      <formula>0</formula>
    </cfRule>
  </conditionalFormatting>
  <conditionalFormatting sqref="L7">
    <cfRule type="cellIs" dxfId="217" priority="17" operator="equal">
      <formula>0</formula>
    </cfRule>
  </conditionalFormatting>
  <conditionalFormatting sqref="L8:L9">
    <cfRule type="cellIs" dxfId="216" priority="16" operator="equal">
      <formula>0</formula>
    </cfRule>
  </conditionalFormatting>
  <conditionalFormatting sqref="L14">
    <cfRule type="cellIs" dxfId="215" priority="15" operator="equal">
      <formula>0</formula>
    </cfRule>
  </conditionalFormatting>
  <conditionalFormatting sqref="L15">
    <cfRule type="cellIs" dxfId="214" priority="14" operator="equal">
      <formula>0</formula>
    </cfRule>
  </conditionalFormatting>
  <conditionalFormatting sqref="L16">
    <cfRule type="cellIs" dxfId="213" priority="13" operator="equal">
      <formula>0</formula>
    </cfRule>
  </conditionalFormatting>
  <conditionalFormatting sqref="L17">
    <cfRule type="cellIs" dxfId="212" priority="12" operator="equal">
      <formula>0</formula>
    </cfRule>
  </conditionalFormatting>
  <conditionalFormatting sqref="L18">
    <cfRule type="cellIs" dxfId="211" priority="11" operator="equal">
      <formula>0</formula>
    </cfRule>
  </conditionalFormatting>
  <conditionalFormatting sqref="L19">
    <cfRule type="cellIs" dxfId="210" priority="10" operator="equal">
      <formula>0</formula>
    </cfRule>
  </conditionalFormatting>
  <conditionalFormatting sqref="L20">
    <cfRule type="cellIs" dxfId="209" priority="9" operator="equal">
      <formula>0</formula>
    </cfRule>
  </conditionalFormatting>
  <conditionalFormatting sqref="L21">
    <cfRule type="cellIs" dxfId="208" priority="8" operator="equal">
      <formula>0</formula>
    </cfRule>
  </conditionalFormatting>
  <conditionalFormatting sqref="L22">
    <cfRule type="cellIs" dxfId="207" priority="7" operator="equal">
      <formula>0</formula>
    </cfRule>
  </conditionalFormatting>
  <conditionalFormatting sqref="L23">
    <cfRule type="cellIs" dxfId="206" priority="6" operator="equal">
      <formula>0</formula>
    </cfRule>
  </conditionalFormatting>
  <conditionalFormatting sqref="L24">
    <cfRule type="cellIs" dxfId="205" priority="5" operator="equal">
      <formula>0</formula>
    </cfRule>
  </conditionalFormatting>
  <conditionalFormatting sqref="L10">
    <cfRule type="cellIs" dxfId="204" priority="4" operator="equal">
      <formula>0</formula>
    </cfRule>
  </conditionalFormatting>
  <conditionalFormatting sqref="L11">
    <cfRule type="cellIs" dxfId="203" priority="3" operator="equal">
      <formula>0</formula>
    </cfRule>
  </conditionalFormatting>
  <conditionalFormatting sqref="L12">
    <cfRule type="cellIs" dxfId="202" priority="2" operator="equal">
      <formula>0</formula>
    </cfRule>
  </conditionalFormatting>
  <conditionalFormatting sqref="L13">
    <cfRule type="cellIs" dxfId="20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election activeCell="B26" sqref="B2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268" t="s">
        <v>810</v>
      </c>
      <c r="B3" s="34" t="s">
        <v>395</v>
      </c>
      <c r="C3" s="34" t="s">
        <v>395</v>
      </c>
      <c r="D3" s="152" t="s">
        <v>10</v>
      </c>
      <c r="E3" s="164" t="str">
        <f>Config!AD56</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66" t="s">
        <v>367</v>
      </c>
      <c r="N3" s="257" t="s">
        <v>14</v>
      </c>
      <c r="O3" s="260">
        <f ca="1">($G3+$G4+$G5+$G6+$G7)</f>
        <v>801</v>
      </c>
    </row>
    <row r="4" spans="1:15" ht="15" customHeight="1" x14ac:dyDescent="0.3">
      <c r="A4" s="268"/>
      <c r="B4" s="35" t="s">
        <v>396</v>
      </c>
      <c r="C4" s="35" t="s">
        <v>396</v>
      </c>
      <c r="D4" s="153" t="s">
        <v>10</v>
      </c>
      <c r="E4" s="177"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58"/>
      <c r="N4" s="258"/>
      <c r="O4" s="261"/>
    </row>
    <row r="5" spans="1:15" ht="15" customHeight="1" x14ac:dyDescent="0.3">
      <c r="A5" s="268"/>
      <c r="B5" s="35" t="s">
        <v>397</v>
      </c>
      <c r="C5" s="35" t="s">
        <v>397</v>
      </c>
      <c r="D5" s="153" t="s">
        <v>15</v>
      </c>
      <c r="E5" s="177"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58"/>
      <c r="N5" s="258"/>
      <c r="O5" s="261"/>
    </row>
    <row r="6" spans="1:15" ht="15" customHeight="1" x14ac:dyDescent="0.3">
      <c r="A6" s="268"/>
      <c r="B6" s="69" t="s">
        <v>398</v>
      </c>
      <c r="C6" s="69" t="s">
        <v>398</v>
      </c>
      <c r="D6" s="153" t="s">
        <v>15</v>
      </c>
      <c r="E6" s="177"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58"/>
      <c r="N6" s="258"/>
      <c r="O6" s="261"/>
    </row>
    <row r="7" spans="1:15" ht="15" customHeight="1" thickBot="1" x14ac:dyDescent="0.35">
      <c r="A7" s="268"/>
      <c r="B7" s="70" t="s">
        <v>422</v>
      </c>
      <c r="C7" s="77" t="s">
        <v>422</v>
      </c>
      <c r="D7" s="155" t="s">
        <v>10</v>
      </c>
      <c r="E7" s="165"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35" t="s">
        <v>11</v>
      </c>
      <c r="G7" s="236">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73"/>
      <c r="N7" s="273"/>
      <c r="O7" s="275"/>
    </row>
    <row r="8" spans="1:15" ht="14.55" customHeight="1" x14ac:dyDescent="0.3">
      <c r="A8" s="288" t="s">
        <v>885</v>
      </c>
      <c r="B8" s="71" t="s">
        <v>16</v>
      </c>
      <c r="C8" s="71" t="s">
        <v>16</v>
      </c>
      <c r="D8" s="152" t="s">
        <v>17</v>
      </c>
      <c r="E8" s="231" t="str">
        <f>Config!AD62</f>
        <v xml:space="preserve">This parameter is used to define iKGF signature for On Die CA. This parameter shows bit size of HVM fuse. 
Current signature size is 768 bits. When this parameter is set to ‘0’, this HVM fuse is removed. </v>
      </c>
      <c r="F8" s="184" t="s">
        <v>18</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86" t="s">
        <v>368</v>
      </c>
      <c r="N8" s="257" t="s">
        <v>20</v>
      </c>
      <c r="O8" s="260">
        <f ca="1">($G8+$G9+$G10+$G13)</f>
        <v>992</v>
      </c>
    </row>
    <row r="9" spans="1:15" s="133" customFormat="1" ht="14.55" customHeight="1" x14ac:dyDescent="0.3">
      <c r="A9" s="289"/>
      <c r="B9" s="132" t="s">
        <v>399</v>
      </c>
      <c r="C9" s="132" t="s">
        <v>399</v>
      </c>
      <c r="D9" s="178" t="s">
        <v>1162</v>
      </c>
      <c r="E9" s="232"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70"/>
      <c r="N9" s="258"/>
      <c r="O9" s="261"/>
    </row>
    <row r="10" spans="1:15" ht="14.55" customHeight="1" x14ac:dyDescent="0.3">
      <c r="A10" s="289"/>
      <c r="B10" s="135" t="s">
        <v>22</v>
      </c>
      <c r="C10" s="135" t="s">
        <v>22</v>
      </c>
      <c r="D10" s="179" t="s">
        <v>1158</v>
      </c>
      <c r="E10" s="232"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70"/>
      <c r="N10" s="258"/>
      <c r="O10" s="261"/>
    </row>
    <row r="11" spans="1:15" ht="15" customHeight="1" x14ac:dyDescent="0.3">
      <c r="A11" s="289"/>
      <c r="B11" s="168" t="s">
        <v>21</v>
      </c>
      <c r="C11" s="167" t="s">
        <v>21</v>
      </c>
      <c r="D11" s="15" t="s">
        <v>17</v>
      </c>
      <c r="E11" s="233" t="s">
        <v>516</v>
      </c>
      <c r="F11" s="25"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70"/>
      <c r="N11" s="258"/>
      <c r="O11" s="261"/>
    </row>
    <row r="12" spans="1:15" ht="39.6" customHeight="1" x14ac:dyDescent="0.3">
      <c r="A12" s="289"/>
      <c r="B12" s="72" t="s">
        <v>884</v>
      </c>
      <c r="C12" s="72" t="s">
        <v>884</v>
      </c>
      <c r="D12" s="153" t="s">
        <v>17</v>
      </c>
      <c r="E12" s="234" t="s">
        <v>883</v>
      </c>
      <c r="F12" s="25" t="s">
        <v>18</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70"/>
      <c r="N12" s="258"/>
      <c r="O12" s="261"/>
    </row>
    <row r="13" spans="1:15" ht="15" customHeight="1" thickBot="1" x14ac:dyDescent="0.35">
      <c r="A13" s="290"/>
      <c r="B13" s="169" t="s">
        <v>423</v>
      </c>
      <c r="C13" s="169" t="s">
        <v>423</v>
      </c>
      <c r="D13" s="188" t="s">
        <v>17</v>
      </c>
      <c r="E13" s="190" t="s">
        <v>519</v>
      </c>
      <c r="F13" s="180" t="s">
        <v>18</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87"/>
      <c r="N13" s="259"/>
      <c r="O13" s="262"/>
    </row>
    <row r="14" spans="1:15" ht="15" customHeight="1" x14ac:dyDescent="0.3">
      <c r="A14" s="264" t="s">
        <v>23</v>
      </c>
      <c r="B14" s="43" t="s">
        <v>24</v>
      </c>
      <c r="C14" s="174" t="s">
        <v>613</v>
      </c>
      <c r="D14" s="292" t="s">
        <v>25</v>
      </c>
      <c r="E14" s="175"/>
      <c r="F14" s="181" t="s">
        <v>26</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94" t="s">
        <v>369</v>
      </c>
      <c r="N14" s="272" t="s">
        <v>29</v>
      </c>
      <c r="O14" s="274">
        <f ca="1">(4*32+G18+G19+G20+G21+G22+G23)</f>
        <v>128</v>
      </c>
    </row>
    <row r="15" spans="1:15" x14ac:dyDescent="0.3">
      <c r="A15" s="265"/>
      <c r="B15" s="35" t="s">
        <v>30</v>
      </c>
      <c r="C15" s="37" t="s">
        <v>613</v>
      </c>
      <c r="D15" s="293"/>
      <c r="E15" s="122"/>
      <c r="F15" s="25"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63"/>
      <c r="N15" s="258"/>
      <c r="O15" s="261"/>
    </row>
    <row r="16" spans="1:15" x14ac:dyDescent="0.3">
      <c r="A16" s="265"/>
      <c r="B16" s="35" t="s">
        <v>31</v>
      </c>
      <c r="C16" s="37" t="s">
        <v>613</v>
      </c>
      <c r="D16" s="293"/>
      <c r="E16" s="122"/>
      <c r="F16" s="25"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63"/>
      <c r="N16" s="258"/>
      <c r="O16" s="261"/>
    </row>
    <row r="17" spans="1:15" x14ac:dyDescent="0.3">
      <c r="A17" s="265"/>
      <c r="B17" s="35" t="s">
        <v>32</v>
      </c>
      <c r="C17" s="37" t="s">
        <v>613</v>
      </c>
      <c r="D17" s="293"/>
      <c r="E17" s="122"/>
      <c r="F17" s="25" t="s">
        <v>26</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63"/>
      <c r="N17" s="258"/>
      <c r="O17" s="261"/>
    </row>
    <row r="18" spans="1:15" x14ac:dyDescent="0.3">
      <c r="A18" s="265"/>
      <c r="B18" s="35" t="s">
        <v>34</v>
      </c>
      <c r="C18" s="35" t="s">
        <v>253</v>
      </c>
      <c r="D18" s="293"/>
      <c r="E18" s="122"/>
      <c r="F18" s="25" t="s">
        <v>26</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63"/>
      <c r="N18" s="258"/>
      <c r="O18" s="261"/>
    </row>
    <row r="19" spans="1:15" x14ac:dyDescent="0.3">
      <c r="A19" s="265"/>
      <c r="B19" s="35" t="s">
        <v>36</v>
      </c>
      <c r="C19" s="73" t="s">
        <v>214</v>
      </c>
      <c r="D19" s="293"/>
      <c r="E19" s="122"/>
      <c r="F19" s="25" t="s">
        <v>26</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63"/>
      <c r="N19" s="258"/>
      <c r="O19" s="261"/>
    </row>
    <row r="20" spans="1:15" x14ac:dyDescent="0.3">
      <c r="A20" s="265"/>
      <c r="B20" s="73" t="s">
        <v>246</v>
      </c>
      <c r="C20" s="73" t="s">
        <v>205</v>
      </c>
      <c r="D20" s="293"/>
      <c r="E20" s="122"/>
      <c r="F20" s="25" t="s">
        <v>26</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63"/>
      <c r="N20" s="258"/>
      <c r="O20" s="261"/>
    </row>
    <row r="21" spans="1:15" x14ac:dyDescent="0.3">
      <c r="A21" s="265"/>
      <c r="B21" s="73" t="s">
        <v>250</v>
      </c>
      <c r="C21" s="73" t="s">
        <v>390</v>
      </c>
      <c r="D21" s="293"/>
      <c r="E21" s="122"/>
      <c r="F21" s="25" t="s">
        <v>26</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63"/>
      <c r="N21" s="258"/>
      <c r="O21" s="261"/>
    </row>
    <row r="22" spans="1:15" x14ac:dyDescent="0.3">
      <c r="A22" s="265"/>
      <c r="B22" s="73" t="s">
        <v>251</v>
      </c>
      <c r="C22" s="73" t="s">
        <v>390</v>
      </c>
      <c r="D22" s="293"/>
      <c r="E22" s="122"/>
      <c r="F22" s="25"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63"/>
      <c r="N22" s="258"/>
      <c r="O22" s="261"/>
    </row>
    <row r="23" spans="1:15" x14ac:dyDescent="0.3">
      <c r="A23" s="265"/>
      <c r="B23" s="73" t="s">
        <v>252</v>
      </c>
      <c r="C23" s="73" t="s">
        <v>390</v>
      </c>
      <c r="D23" s="293"/>
      <c r="E23" s="122"/>
      <c r="F23" s="25"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63"/>
      <c r="N23" s="258"/>
      <c r="O23" s="261"/>
    </row>
    <row r="24" spans="1:15" x14ac:dyDescent="0.3">
      <c r="A24" s="291"/>
      <c r="B24" s="35" t="s">
        <v>38</v>
      </c>
      <c r="C24" s="37" t="s">
        <v>613</v>
      </c>
      <c r="D24" s="293"/>
      <c r="E24" s="122"/>
      <c r="F24" s="25" t="s">
        <v>26</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63"/>
      <c r="N24" s="258"/>
      <c r="O24" s="261"/>
    </row>
    <row r="25" spans="1:15" x14ac:dyDescent="0.3">
      <c r="A25" s="264" t="s">
        <v>41</v>
      </c>
      <c r="B25" s="35" t="s">
        <v>42</v>
      </c>
      <c r="C25" s="35" t="s">
        <v>614</v>
      </c>
      <c r="D25" s="293" t="s">
        <v>43</v>
      </c>
      <c r="E25" s="122"/>
      <c r="F25" s="25" t="s">
        <v>44</v>
      </c>
      <c r="G25" s="39">
        <f ca="1">IF($C25="No Param",32,VLOOKUP($C25,INDIRECT(Config!$B$1),HLOOKUP(D$1,INDIRECT(Config!$E$1),2,FALSE),FALSE)*32)</f>
        <v>0</v>
      </c>
      <c r="H25" s="16" t="str">
        <f ca="1">IF(G25=0,"N/A","0x8000")</f>
        <v>N/A</v>
      </c>
      <c r="I25" s="16" t="s">
        <v>45</v>
      </c>
      <c r="J25" s="16" t="s">
        <v>48</v>
      </c>
      <c r="K25" s="16" t="s">
        <v>387</v>
      </c>
      <c r="L25" s="16"/>
      <c r="M25" s="263" t="s">
        <v>370</v>
      </c>
      <c r="N25" s="258"/>
      <c r="O25" s="261">
        <f ca="1">(G25+G26)</f>
        <v>0</v>
      </c>
    </row>
    <row r="26" spans="1:15" ht="15" thickBot="1" x14ac:dyDescent="0.35">
      <c r="A26" s="267"/>
      <c r="B26" s="74" t="s">
        <v>46</v>
      </c>
      <c r="C26" s="74" t="s">
        <v>615</v>
      </c>
      <c r="D26" s="295"/>
      <c r="E26" s="123"/>
      <c r="F26" s="180" t="s">
        <v>44</v>
      </c>
      <c r="G26" s="75">
        <f ca="1">IF($C26="No Param",32,VLOOKUP($C26,INDIRECT(Config!$B$1),HLOOKUP(D$1,INDIRECT(Config!$E$1),2,FALSE),FALSE)*32)</f>
        <v>0</v>
      </c>
      <c r="H26" s="26" t="str">
        <f ca="1">IF(G26=0,"N/A","0x8004")</f>
        <v>N/A</v>
      </c>
      <c r="I26" s="26" t="s">
        <v>47</v>
      </c>
      <c r="J26" s="26" t="s">
        <v>48</v>
      </c>
      <c r="K26" s="26" t="s">
        <v>387</v>
      </c>
      <c r="L26" s="26"/>
      <c r="M26" s="259"/>
      <c r="N26" s="259"/>
      <c r="O26" s="262"/>
    </row>
    <row r="27" spans="1:15" ht="15" thickBot="1" x14ac:dyDescent="0.35">
      <c r="A27" s="124"/>
    </row>
    <row r="28" spans="1:15" x14ac:dyDescent="0.3">
      <c r="A28" s="254"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57" t="s">
        <v>48</v>
      </c>
      <c r="O28" s="260">
        <f ca="1">SUM(G28:G42)</f>
        <v>0</v>
      </c>
    </row>
    <row r="29" spans="1:15" ht="15" customHeight="1" x14ac:dyDescent="0.3">
      <c r="A29" s="25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63" t="s">
        <v>369</v>
      </c>
      <c r="N29" s="258"/>
      <c r="O29" s="261"/>
    </row>
    <row r="30" spans="1:15" x14ac:dyDescent="0.3">
      <c r="A30" s="25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63"/>
      <c r="N30" s="258"/>
      <c r="O30" s="261"/>
    </row>
    <row r="31" spans="1:15" x14ac:dyDescent="0.3">
      <c r="A31" s="25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63"/>
      <c r="N31" s="258"/>
      <c r="O31" s="261"/>
    </row>
    <row r="32" spans="1:15" x14ac:dyDescent="0.3">
      <c r="A32" s="25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8"/>
      <c r="O32" s="261"/>
    </row>
    <row r="33" spans="1:15" x14ac:dyDescent="0.3">
      <c r="A33" s="25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8"/>
      <c r="O33" s="261"/>
    </row>
    <row r="34" spans="1:15" ht="15" customHeight="1" x14ac:dyDescent="0.3">
      <c r="A34" s="25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63" t="s">
        <v>369</v>
      </c>
      <c r="N34" s="258"/>
      <c r="O34" s="261"/>
    </row>
    <row r="35" spans="1:15" x14ac:dyDescent="0.3">
      <c r="A35" s="25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63"/>
      <c r="N35" s="258"/>
      <c r="O35" s="261"/>
    </row>
    <row r="36" spans="1:15" x14ac:dyDescent="0.3">
      <c r="A36" s="25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63"/>
      <c r="N36" s="258"/>
      <c r="O36" s="261"/>
    </row>
    <row r="37" spans="1:15" x14ac:dyDescent="0.3">
      <c r="A37" s="25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8"/>
      <c r="O37" s="261"/>
    </row>
    <row r="38" spans="1:15" x14ac:dyDescent="0.3">
      <c r="A38" s="25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8"/>
      <c r="O38" s="261"/>
    </row>
    <row r="39" spans="1:15" ht="15" customHeight="1" x14ac:dyDescent="0.3">
      <c r="A39" s="25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63" t="s">
        <v>369</v>
      </c>
      <c r="N39" s="258"/>
      <c r="O39" s="261"/>
    </row>
    <row r="40" spans="1:15" x14ac:dyDescent="0.3">
      <c r="A40" s="25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63"/>
      <c r="N40" s="258"/>
      <c r="O40" s="261"/>
    </row>
    <row r="41" spans="1:15" x14ac:dyDescent="0.3">
      <c r="A41" s="25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63"/>
      <c r="N41" s="258"/>
      <c r="O41" s="261"/>
    </row>
    <row r="42" spans="1:15" ht="15" thickBot="1" x14ac:dyDescent="0.35">
      <c r="A42" s="2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9"/>
      <c r="O42" s="26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200" priority="286" operator="equal">
      <formula>0</formula>
    </cfRule>
  </conditionalFormatting>
  <conditionalFormatting sqref="J28">
    <cfRule type="cellIs" dxfId="199" priority="302" operator="equal">
      <formula>0</formula>
    </cfRule>
  </conditionalFormatting>
  <conditionalFormatting sqref="C3">
    <cfRule type="cellIs" dxfId="198" priority="288" operator="equal">
      <formula>0</formula>
    </cfRule>
  </conditionalFormatting>
  <conditionalFormatting sqref="C4">
    <cfRule type="cellIs" dxfId="197" priority="287" operator="equal">
      <formula>0</formula>
    </cfRule>
  </conditionalFormatting>
  <conditionalFormatting sqref="B3 D3 G14:G26">
    <cfRule type="cellIs" dxfId="196" priority="299" operator="equal">
      <formula>0</formula>
    </cfRule>
  </conditionalFormatting>
  <conditionalFormatting sqref="B4 D4">
    <cfRule type="cellIs" dxfId="195" priority="298" operator="equal">
      <formula>0</formula>
    </cfRule>
  </conditionalFormatting>
  <conditionalFormatting sqref="B5 D5">
    <cfRule type="cellIs" dxfId="194" priority="297" operator="equal">
      <formula>0</formula>
    </cfRule>
  </conditionalFormatting>
  <conditionalFormatting sqref="B7">
    <cfRule type="cellIs" dxfId="193" priority="296" operator="equal">
      <formula>0</formula>
    </cfRule>
  </conditionalFormatting>
  <conditionalFormatting sqref="B8 D8">
    <cfRule type="cellIs" priority="295" operator="equal">
      <formula>0</formula>
    </cfRule>
  </conditionalFormatting>
  <conditionalFormatting sqref="B9 D9">
    <cfRule type="cellIs" dxfId="192" priority="294" operator="equal">
      <formula>0</formula>
    </cfRule>
  </conditionalFormatting>
  <conditionalFormatting sqref="B10 D10">
    <cfRule type="cellIs" dxfId="191" priority="292" operator="equal">
      <formula>0</formula>
    </cfRule>
    <cfRule type="cellIs" dxfId="190" priority="293" operator="equal">
      <formula>0</formula>
    </cfRule>
  </conditionalFormatting>
  <conditionalFormatting sqref="L3:L4">
    <cfRule type="cellIs" dxfId="189" priority="291" operator="equal">
      <formula>0</formula>
    </cfRule>
  </conditionalFormatting>
  <conditionalFormatting sqref="B6 D6">
    <cfRule type="cellIs" dxfId="188" priority="290" operator="equal">
      <formula>0</formula>
    </cfRule>
  </conditionalFormatting>
  <conditionalFormatting sqref="D7">
    <cfRule type="cellIs" dxfId="187" priority="289" operator="equal">
      <formula>0</formula>
    </cfRule>
  </conditionalFormatting>
  <conditionalFormatting sqref="C7">
    <cfRule type="cellIs" dxfId="186" priority="285" operator="equal">
      <formula>0</formula>
    </cfRule>
  </conditionalFormatting>
  <conditionalFormatting sqref="C8">
    <cfRule type="cellIs" priority="284" operator="equal">
      <formula>0</formula>
    </cfRule>
  </conditionalFormatting>
  <conditionalFormatting sqref="C9">
    <cfRule type="cellIs" dxfId="185" priority="283" operator="equal">
      <formula>0</formula>
    </cfRule>
  </conditionalFormatting>
  <conditionalFormatting sqref="C10">
    <cfRule type="cellIs" dxfId="184" priority="281" operator="equal">
      <formula>0</formula>
    </cfRule>
    <cfRule type="cellIs" dxfId="183" priority="282" operator="equal">
      <formula>0</formula>
    </cfRule>
  </conditionalFormatting>
  <conditionalFormatting sqref="C6">
    <cfRule type="cellIs" dxfId="182" priority="280" operator="equal">
      <formula>0</formula>
    </cfRule>
  </conditionalFormatting>
  <conditionalFormatting sqref="G31">
    <cfRule type="cellIs" dxfId="181" priority="204" operator="equal">
      <formula>0</formula>
    </cfRule>
  </conditionalFormatting>
  <conditionalFormatting sqref="G30">
    <cfRule type="cellIs" dxfId="180" priority="203" operator="equal">
      <formula>0</formula>
    </cfRule>
  </conditionalFormatting>
  <conditionalFormatting sqref="G39">
    <cfRule type="cellIs" dxfId="179" priority="202" operator="equal">
      <formula>0</formula>
    </cfRule>
  </conditionalFormatting>
  <conditionalFormatting sqref="G32">
    <cfRule type="cellIs" dxfId="178" priority="209" operator="equal">
      <formula>0</formula>
    </cfRule>
  </conditionalFormatting>
  <conditionalFormatting sqref="G41">
    <cfRule type="cellIs" dxfId="177" priority="201" operator="equal">
      <formula>0</formula>
    </cfRule>
  </conditionalFormatting>
  <conditionalFormatting sqref="G40">
    <cfRule type="cellIs" dxfId="176" priority="200" operator="equal">
      <formula>0</formula>
    </cfRule>
  </conditionalFormatting>
  <conditionalFormatting sqref="L5">
    <cfRule type="cellIs" dxfId="175" priority="248" operator="equal">
      <formula>0</formula>
    </cfRule>
  </conditionalFormatting>
  <conditionalFormatting sqref="L6">
    <cfRule type="cellIs" dxfId="174" priority="247" operator="equal">
      <formula>0</formula>
    </cfRule>
  </conditionalFormatting>
  <conditionalFormatting sqref="L7">
    <cfRule type="cellIs" dxfId="173" priority="246" operator="equal">
      <formula>0</formula>
    </cfRule>
  </conditionalFormatting>
  <conditionalFormatting sqref="L8:L9">
    <cfRule type="cellIs" dxfId="172" priority="245" operator="equal">
      <formula>0</formula>
    </cfRule>
  </conditionalFormatting>
  <conditionalFormatting sqref="L32">
    <cfRule type="cellIs" dxfId="171" priority="241" operator="equal">
      <formula>0</formula>
    </cfRule>
  </conditionalFormatting>
  <conditionalFormatting sqref="L31">
    <cfRule type="cellIs" dxfId="170" priority="240" operator="equal">
      <formula>0</formula>
    </cfRule>
  </conditionalFormatting>
  <conditionalFormatting sqref="L30">
    <cfRule type="cellIs" dxfId="169" priority="239" operator="equal">
      <formula>0</formula>
    </cfRule>
  </conditionalFormatting>
  <conditionalFormatting sqref="L29">
    <cfRule type="cellIs" dxfId="168" priority="238" operator="equal">
      <formula>0</formula>
    </cfRule>
  </conditionalFormatting>
  <conditionalFormatting sqref="L37">
    <cfRule type="cellIs" dxfId="167" priority="237" operator="equal">
      <formula>0</formula>
    </cfRule>
  </conditionalFormatting>
  <conditionalFormatting sqref="L36">
    <cfRule type="cellIs" dxfId="166" priority="236" operator="equal">
      <formula>0</formula>
    </cfRule>
  </conditionalFormatting>
  <conditionalFormatting sqref="L35">
    <cfRule type="cellIs" dxfId="165" priority="235" operator="equal">
      <formula>0</formula>
    </cfRule>
  </conditionalFormatting>
  <conditionalFormatting sqref="L34">
    <cfRule type="cellIs" dxfId="164" priority="234" operator="equal">
      <formula>0</formula>
    </cfRule>
  </conditionalFormatting>
  <conditionalFormatting sqref="L42">
    <cfRule type="cellIs" dxfId="163" priority="233" operator="equal">
      <formula>0</formula>
    </cfRule>
  </conditionalFormatting>
  <conditionalFormatting sqref="L41">
    <cfRule type="cellIs" dxfId="162" priority="232" operator="equal">
      <formula>0</formula>
    </cfRule>
  </conditionalFormatting>
  <conditionalFormatting sqref="L40">
    <cfRule type="cellIs" dxfId="161" priority="231" operator="equal">
      <formula>0</formula>
    </cfRule>
  </conditionalFormatting>
  <conditionalFormatting sqref="L39">
    <cfRule type="cellIs" dxfId="160" priority="230" operator="equal">
      <formula>0</formula>
    </cfRule>
  </conditionalFormatting>
  <conditionalFormatting sqref="L14">
    <cfRule type="cellIs" dxfId="159" priority="229" operator="equal">
      <formula>0</formula>
    </cfRule>
  </conditionalFormatting>
  <conditionalFormatting sqref="L15">
    <cfRule type="cellIs" dxfId="158" priority="228" operator="equal">
      <formula>0</formula>
    </cfRule>
  </conditionalFormatting>
  <conditionalFormatting sqref="L16">
    <cfRule type="cellIs" dxfId="157" priority="227" operator="equal">
      <formula>0</formula>
    </cfRule>
  </conditionalFormatting>
  <conditionalFormatting sqref="L17">
    <cfRule type="cellIs" dxfId="156" priority="226" operator="equal">
      <formula>0</formula>
    </cfRule>
  </conditionalFormatting>
  <conditionalFormatting sqref="L18">
    <cfRule type="cellIs" dxfId="155" priority="225" operator="equal">
      <formula>0</formula>
    </cfRule>
  </conditionalFormatting>
  <conditionalFormatting sqref="L19">
    <cfRule type="cellIs" dxfId="154" priority="224" operator="equal">
      <formula>0</formula>
    </cfRule>
  </conditionalFormatting>
  <conditionalFormatting sqref="L20">
    <cfRule type="cellIs" dxfId="153" priority="223" operator="equal">
      <formula>0</formula>
    </cfRule>
  </conditionalFormatting>
  <conditionalFormatting sqref="L21">
    <cfRule type="cellIs" dxfId="152" priority="222" operator="equal">
      <formula>0</formula>
    </cfRule>
  </conditionalFormatting>
  <conditionalFormatting sqref="L22">
    <cfRule type="cellIs" dxfId="151" priority="221" operator="equal">
      <formula>0</formula>
    </cfRule>
  </conditionalFormatting>
  <conditionalFormatting sqref="L23">
    <cfRule type="cellIs" dxfId="150" priority="220" operator="equal">
      <formula>0</formula>
    </cfRule>
  </conditionalFormatting>
  <conditionalFormatting sqref="L24">
    <cfRule type="cellIs" dxfId="149" priority="219" operator="equal">
      <formula>0</formula>
    </cfRule>
  </conditionalFormatting>
  <conditionalFormatting sqref="G34">
    <cfRule type="cellIs" dxfId="148" priority="212" operator="equal">
      <formula>0</formula>
    </cfRule>
  </conditionalFormatting>
  <conditionalFormatting sqref="G36">
    <cfRule type="cellIs" dxfId="147" priority="211" operator="equal">
      <formula>0</formula>
    </cfRule>
  </conditionalFormatting>
  <conditionalFormatting sqref="G29">
    <cfRule type="cellIs" dxfId="146" priority="205" operator="equal">
      <formula>0</formula>
    </cfRule>
  </conditionalFormatting>
  <conditionalFormatting sqref="G33">
    <cfRule type="cellIs" dxfId="145" priority="208" operator="equal">
      <formula>0</formula>
    </cfRule>
  </conditionalFormatting>
  <conditionalFormatting sqref="G28">
    <cfRule type="cellIs" dxfId="144" priority="210" operator="equal">
      <formula>0</formula>
    </cfRule>
  </conditionalFormatting>
  <conditionalFormatting sqref="G38">
    <cfRule type="cellIs" dxfId="143" priority="207" operator="equal">
      <formula>0</formula>
    </cfRule>
  </conditionalFormatting>
  <conditionalFormatting sqref="G35">
    <cfRule type="cellIs" dxfId="142" priority="206" operator="equal">
      <formula>0</formula>
    </cfRule>
  </conditionalFormatting>
  <conditionalFormatting sqref="G37">
    <cfRule type="cellIs" dxfId="141" priority="199" operator="equal">
      <formula>0</formula>
    </cfRule>
  </conditionalFormatting>
  <conditionalFormatting sqref="G42">
    <cfRule type="cellIs" dxfId="140" priority="198" operator="equal">
      <formula>0</formula>
    </cfRule>
  </conditionalFormatting>
  <conditionalFormatting sqref="E10">
    <cfRule type="cellIs" priority="155" operator="equal">
      <formula>0</formula>
    </cfRule>
  </conditionalFormatting>
  <conditionalFormatting sqref="E4">
    <cfRule type="cellIs" dxfId="139" priority="168" operator="equal">
      <formula>0</formula>
    </cfRule>
  </conditionalFormatting>
  <conditionalFormatting sqref="E3">
    <cfRule type="cellIs" dxfId="138" priority="170" operator="equal">
      <formula>0</formula>
    </cfRule>
  </conditionalFormatting>
  <conditionalFormatting sqref="E3">
    <cfRule type="cellIs" priority="169" operator="equal">
      <formula>0</formula>
    </cfRule>
  </conditionalFormatting>
  <conditionalFormatting sqref="E5">
    <cfRule type="cellIs" dxfId="137" priority="166" operator="equal">
      <formula>0</formula>
    </cfRule>
  </conditionalFormatting>
  <conditionalFormatting sqref="E5">
    <cfRule type="cellIs" priority="165" operator="equal">
      <formula>0</formula>
    </cfRule>
  </conditionalFormatting>
  <conditionalFormatting sqref="E7">
    <cfRule type="cellIs" dxfId="136" priority="162" operator="equal">
      <formula>0</formula>
    </cfRule>
  </conditionalFormatting>
  <conditionalFormatting sqref="E7">
    <cfRule type="cellIs" priority="161" operator="equal">
      <formula>0</formula>
    </cfRule>
  </conditionalFormatting>
  <conditionalFormatting sqref="E9">
    <cfRule type="cellIs" dxfId="135"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4" priority="164" operator="equal">
      <formula>0</formula>
    </cfRule>
  </conditionalFormatting>
  <conditionalFormatting sqref="E6">
    <cfRule type="cellIs" priority="163" operator="equal">
      <formula>0</formula>
    </cfRule>
  </conditionalFormatting>
  <conditionalFormatting sqref="E8">
    <cfRule type="cellIs" dxfId="133" priority="160" operator="equal">
      <formula>0</formula>
    </cfRule>
  </conditionalFormatting>
  <conditionalFormatting sqref="E8">
    <cfRule type="cellIs" priority="159" operator="equal">
      <formula>0</formula>
    </cfRule>
  </conditionalFormatting>
  <conditionalFormatting sqref="E10">
    <cfRule type="cellIs" dxfId="132" priority="156" operator="equal">
      <formula>0</formula>
    </cfRule>
  </conditionalFormatting>
  <conditionalFormatting sqref="G4:G10">
    <cfRule type="cellIs" dxfId="131" priority="122" operator="equal">
      <formula>0</formula>
    </cfRule>
  </conditionalFormatting>
  <conditionalFormatting sqref="F3">
    <cfRule type="cellIs" dxfId="130" priority="121" operator="equal">
      <formula>0</formula>
    </cfRule>
  </conditionalFormatting>
  <conditionalFormatting sqref="F4">
    <cfRule type="cellIs" dxfId="129" priority="120" operator="equal">
      <formula>0</formula>
    </cfRule>
  </conditionalFormatting>
  <conditionalFormatting sqref="F7">
    <cfRule type="cellIs" dxfId="128" priority="118" operator="equal">
      <formula>0</formula>
    </cfRule>
  </conditionalFormatting>
  <conditionalFormatting sqref="H5">
    <cfRule type="cellIs" dxfId="127" priority="106" operator="equal">
      <formula>0</formula>
    </cfRule>
  </conditionalFormatting>
  <conditionalFormatting sqref="I7">
    <cfRule type="cellIs" dxfId="126" priority="109" operator="equal">
      <formula>0</formula>
    </cfRule>
  </conditionalFormatting>
  <conditionalFormatting sqref="F6">
    <cfRule type="cellIs" dxfId="125" priority="113" operator="equal">
      <formula>0</formula>
    </cfRule>
  </conditionalFormatting>
  <conditionalFormatting sqref="G3:I3">
    <cfRule type="cellIs" dxfId="124" priority="112" operator="equal">
      <formula>0</formula>
    </cfRule>
  </conditionalFormatting>
  <conditionalFormatting sqref="H4:I4">
    <cfRule type="cellIs" dxfId="123" priority="111" operator="equal">
      <formula>0</formula>
    </cfRule>
  </conditionalFormatting>
  <conditionalFormatting sqref="I6">
    <cfRule type="cellIs" dxfId="122" priority="107" operator="equal">
      <formula>0</formula>
    </cfRule>
  </conditionalFormatting>
  <conditionalFormatting sqref="H6">
    <cfRule type="cellIs" dxfId="121" priority="105" operator="equal">
      <formula>0</formula>
    </cfRule>
  </conditionalFormatting>
  <conditionalFormatting sqref="I9:I10">
    <cfRule type="cellIs" priority="101" operator="equal">
      <formula>0</formula>
    </cfRule>
  </conditionalFormatting>
  <conditionalFormatting sqref="F5">
    <cfRule type="cellIs" dxfId="120" priority="119" operator="equal">
      <formula>0</formula>
    </cfRule>
  </conditionalFormatting>
  <conditionalFormatting sqref="F9">
    <cfRule type="cellIs" dxfId="119" priority="116" operator="equal">
      <formula>0</formula>
    </cfRule>
  </conditionalFormatting>
  <conditionalFormatting sqref="F8 H9:H10">
    <cfRule type="cellIs" priority="117" operator="equal">
      <formula>0</formula>
    </cfRule>
  </conditionalFormatting>
  <conditionalFormatting sqref="F10">
    <cfRule type="cellIs" dxfId="118" priority="114" operator="equal">
      <formula>0</formula>
    </cfRule>
    <cfRule type="cellIs" dxfId="117" priority="115"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F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254"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57" t="s">
        <v>48</v>
      </c>
      <c r="O3" s="260">
        <f ca="1">SUM(F3:F17)</f>
        <v>576</v>
      </c>
    </row>
    <row r="4" spans="1:15" ht="15.45" customHeight="1" x14ac:dyDescent="0.3">
      <c r="A4" s="255"/>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63" t="s">
        <v>369</v>
      </c>
      <c r="N4" s="258"/>
      <c r="O4" s="261"/>
    </row>
    <row r="5" spans="1:15" ht="15.45" customHeight="1" x14ac:dyDescent="0.3">
      <c r="A5" s="255"/>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63"/>
      <c r="N5" s="258"/>
      <c r="O5" s="261"/>
    </row>
    <row r="6" spans="1:15" ht="15.45" customHeight="1" x14ac:dyDescent="0.3">
      <c r="A6" s="255"/>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63"/>
      <c r="N6" s="258"/>
      <c r="O6" s="261"/>
    </row>
    <row r="7" spans="1:15" ht="15.45" customHeight="1" x14ac:dyDescent="0.3">
      <c r="A7" s="255"/>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58"/>
      <c r="O7" s="261"/>
    </row>
    <row r="8" spans="1:15" ht="15.45" customHeight="1" x14ac:dyDescent="0.3">
      <c r="A8" s="255"/>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58"/>
      <c r="O8" s="261"/>
    </row>
    <row r="9" spans="1:15" ht="15.45" customHeight="1" x14ac:dyDescent="0.3">
      <c r="A9" s="255"/>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63" t="s">
        <v>369</v>
      </c>
      <c r="N9" s="258"/>
      <c r="O9" s="261"/>
    </row>
    <row r="10" spans="1:15" ht="15.45" customHeight="1" x14ac:dyDescent="0.3">
      <c r="A10" s="255"/>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63"/>
      <c r="N10" s="258"/>
      <c r="O10" s="261"/>
    </row>
    <row r="11" spans="1:15" ht="15.45" customHeight="1" x14ac:dyDescent="0.3">
      <c r="A11" s="255"/>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63"/>
      <c r="N11" s="258"/>
      <c r="O11" s="261"/>
    </row>
    <row r="12" spans="1:15" ht="15.45" customHeight="1" x14ac:dyDescent="0.3">
      <c r="A12" s="255"/>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58"/>
      <c r="O12" s="261"/>
    </row>
    <row r="13" spans="1:15" ht="15.45" customHeight="1" x14ac:dyDescent="0.3">
      <c r="A13" s="255"/>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58"/>
      <c r="O13" s="261"/>
    </row>
    <row r="14" spans="1:15" ht="15.45" customHeight="1" x14ac:dyDescent="0.3">
      <c r="A14" s="255"/>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63" t="s">
        <v>369</v>
      </c>
      <c r="N14" s="258"/>
      <c r="O14" s="261"/>
    </row>
    <row r="15" spans="1:15" ht="15.45" customHeight="1" x14ac:dyDescent="0.3">
      <c r="A15" s="255"/>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63"/>
      <c r="N15" s="258"/>
      <c r="O15" s="261"/>
    </row>
    <row r="16" spans="1:15" ht="15.45" customHeight="1" x14ac:dyDescent="0.3">
      <c r="A16" s="255"/>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63"/>
      <c r="N16" s="258"/>
      <c r="O16" s="261"/>
    </row>
    <row r="17" spans="1:15" ht="15.45" customHeight="1" thickBot="1" x14ac:dyDescent="0.35">
      <c r="A17" s="25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59"/>
      <c r="O17" s="26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abSelected="1" zoomScale="85" zoomScaleNormal="85" workbookViewId="0">
      <selection activeCell="E89" sqref="E89"/>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321" customWidth="1"/>
    <col min="6" max="6" width="28.109375" style="15" customWidth="1"/>
    <col min="7" max="7" width="17.5546875" style="15" customWidth="1"/>
    <col min="8" max="8" width="21.109375" style="196" customWidth="1"/>
    <col min="9" max="9" width="10" style="196" customWidth="1"/>
    <col min="10" max="10" width="12.21875" style="197" customWidth="1"/>
    <col min="11" max="11" width="4.44140625" style="197"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4" t="s">
        <v>382</v>
      </c>
      <c r="D1" s="204" t="s">
        <v>383</v>
      </c>
      <c r="E1" s="204" t="s">
        <v>1163</v>
      </c>
      <c r="F1" s="204" t="s">
        <v>59</v>
      </c>
      <c r="G1" s="204" t="s">
        <v>60</v>
      </c>
      <c r="H1" s="205" t="s">
        <v>1127</v>
      </c>
      <c r="I1" s="205" t="s">
        <v>1128</v>
      </c>
      <c r="J1" s="205" t="s">
        <v>372</v>
      </c>
      <c r="K1" s="205" t="s">
        <v>386</v>
      </c>
      <c r="L1" s="204" t="s">
        <v>61</v>
      </c>
      <c r="M1" s="204" t="s">
        <v>62</v>
      </c>
      <c r="N1" s="204" t="s">
        <v>676</v>
      </c>
      <c r="O1" s="204" t="s">
        <v>424</v>
      </c>
      <c r="P1" s="204" t="s">
        <v>609</v>
      </c>
      <c r="Q1" s="204" t="s">
        <v>610</v>
      </c>
      <c r="R1" s="204" t="s">
        <v>611</v>
      </c>
    </row>
    <row r="2" spans="1:18" ht="14.55" customHeight="1" x14ac:dyDescent="0.3">
      <c r="A2" s="296" t="s">
        <v>63</v>
      </c>
      <c r="B2" s="4" t="s">
        <v>613</v>
      </c>
      <c r="C2" s="206">
        <v>0</v>
      </c>
      <c r="D2" s="206">
        <v>1</v>
      </c>
      <c r="E2" s="207" t="s">
        <v>64</v>
      </c>
      <c r="F2" s="207" t="s">
        <v>64</v>
      </c>
      <c r="G2" s="208" t="s">
        <v>65</v>
      </c>
      <c r="H2" s="209" t="s">
        <v>891</v>
      </c>
      <c r="I2" s="209">
        <v>0</v>
      </c>
      <c r="J2" s="209" t="s">
        <v>980</v>
      </c>
      <c r="K2" s="209">
        <v>1</v>
      </c>
      <c r="L2" s="210" t="s">
        <v>17</v>
      </c>
      <c r="M2" s="207" t="s">
        <v>66</v>
      </c>
      <c r="N2" s="207" t="s">
        <v>677</v>
      </c>
      <c r="O2" s="228" t="s">
        <v>425</v>
      </c>
      <c r="P2" s="211">
        <f t="shared" ref="P2:R3" si="0">IF($B2="N/A", "N/A", 1)</f>
        <v>1</v>
      </c>
      <c r="Q2" s="211">
        <f t="shared" si="0"/>
        <v>1</v>
      </c>
      <c r="R2" s="211">
        <f t="shared" si="0"/>
        <v>1</v>
      </c>
    </row>
    <row r="3" spans="1:18" ht="14.55" customHeight="1" x14ac:dyDescent="0.3">
      <c r="A3" s="296"/>
      <c r="B3" s="4" t="s">
        <v>613</v>
      </c>
      <c r="C3" s="206">
        <v>1</v>
      </c>
      <c r="D3" s="206">
        <v>1</v>
      </c>
      <c r="E3" s="207" t="s">
        <v>67</v>
      </c>
      <c r="F3" s="207" t="s">
        <v>67</v>
      </c>
      <c r="G3" s="208" t="s">
        <v>68</v>
      </c>
      <c r="H3" s="209" t="s">
        <v>892</v>
      </c>
      <c r="I3" s="209">
        <v>0</v>
      </c>
      <c r="J3" s="209" t="s">
        <v>981</v>
      </c>
      <c r="K3" s="209">
        <v>1</v>
      </c>
      <c r="L3" s="210" t="s">
        <v>17</v>
      </c>
      <c r="M3" s="207" t="s">
        <v>69</v>
      </c>
      <c r="N3" s="207" t="s">
        <v>678</v>
      </c>
      <c r="O3" s="228" t="s">
        <v>426</v>
      </c>
      <c r="P3" s="211">
        <f t="shared" si="0"/>
        <v>1</v>
      </c>
      <c r="Q3" s="211">
        <f t="shared" si="0"/>
        <v>1</v>
      </c>
      <c r="R3" s="211">
        <f t="shared" si="0"/>
        <v>1</v>
      </c>
    </row>
    <row r="4" spans="1:18" ht="14.55" customHeight="1" x14ac:dyDescent="0.3">
      <c r="A4" s="296"/>
      <c r="B4" s="16" t="s">
        <v>70</v>
      </c>
      <c r="C4" s="206">
        <v>2</v>
      </c>
      <c r="D4" s="206">
        <v>1</v>
      </c>
      <c r="E4" s="207" t="s">
        <v>71</v>
      </c>
      <c r="F4" s="207" t="s">
        <v>71</v>
      </c>
      <c r="G4" s="207" t="s">
        <v>72</v>
      </c>
      <c r="H4" s="209" t="s">
        <v>893</v>
      </c>
      <c r="I4" s="209">
        <v>0</v>
      </c>
      <c r="J4" s="209" t="s">
        <v>982</v>
      </c>
      <c r="K4" s="209">
        <v>0</v>
      </c>
      <c r="L4" s="210" t="s">
        <v>17</v>
      </c>
      <c r="M4" s="207" t="s">
        <v>66</v>
      </c>
      <c r="N4" s="207" t="s">
        <v>679</v>
      </c>
      <c r="O4" s="207" t="s">
        <v>427</v>
      </c>
      <c r="P4" s="210">
        <f ca="1">IF($B4="N/A","N/A",IF(0=VLOOKUP($B4,INDIRECT(Config!$B$1),HLOOKUP(P$1,INDIRECT(Config!$E$1),2,FALSE),FALSE),1,0))</f>
        <v>1</v>
      </c>
      <c r="Q4" s="210">
        <f ca="1">IF($B4="N/A","N/A",IF(0=VLOOKUP($B4,INDIRECT(Config!$B$1),HLOOKUP(Q$1,INDIRECT(Config!$E$1),2,FALSE),FALSE),1,0))</f>
        <v>0</v>
      </c>
      <c r="R4" s="210">
        <f ca="1">IF($B4="N/A","N/A",IF(0=VLOOKUP($B4,INDIRECT(Config!$B$1),HLOOKUP(R$1,INDIRECT(Config!$E$1),2,FALSE),FALSE),1,0))</f>
        <v>1</v>
      </c>
    </row>
    <row r="5" spans="1:18" ht="14.55" customHeight="1" x14ac:dyDescent="0.3">
      <c r="A5" s="296"/>
      <c r="B5" s="4" t="s">
        <v>613</v>
      </c>
      <c r="C5" s="206">
        <v>3</v>
      </c>
      <c r="D5" s="206">
        <v>1</v>
      </c>
      <c r="E5" s="207" t="s">
        <v>73</v>
      </c>
      <c r="F5" s="207" t="s">
        <v>73</v>
      </c>
      <c r="G5" s="208" t="s">
        <v>74</v>
      </c>
      <c r="H5" s="209" t="s">
        <v>894</v>
      </c>
      <c r="I5" s="209">
        <v>0</v>
      </c>
      <c r="J5" s="209" t="s">
        <v>983</v>
      </c>
      <c r="K5" s="209">
        <v>0</v>
      </c>
      <c r="L5" s="210" t="s">
        <v>17</v>
      </c>
      <c r="M5" s="207" t="s">
        <v>66</v>
      </c>
      <c r="N5" s="207" t="s">
        <v>680</v>
      </c>
      <c r="O5" s="207" t="s">
        <v>428</v>
      </c>
      <c r="P5" s="211">
        <f>IF($B5="N/A", "N/A", 1)</f>
        <v>1</v>
      </c>
      <c r="Q5" s="211">
        <f>IF($B5="N/A", "N/A", 1)</f>
        <v>1</v>
      </c>
      <c r="R5" s="211">
        <f>IF($B5="N/A", "N/A", 1)</f>
        <v>1</v>
      </c>
    </row>
    <row r="6" spans="1:18" ht="14.55" customHeight="1" x14ac:dyDescent="0.3">
      <c r="A6" s="296"/>
      <c r="B6" s="7" t="s">
        <v>75</v>
      </c>
      <c r="C6" s="206">
        <v>4</v>
      </c>
      <c r="D6" s="206">
        <v>1</v>
      </c>
      <c r="E6" s="207" t="s">
        <v>77</v>
      </c>
      <c r="F6" s="206" t="s">
        <v>76</v>
      </c>
      <c r="G6" s="207" t="s">
        <v>77</v>
      </c>
      <c r="H6" s="209" t="s">
        <v>895</v>
      </c>
      <c r="I6" s="209">
        <v>0</v>
      </c>
      <c r="J6" s="209" t="s">
        <v>984</v>
      </c>
      <c r="K6" s="209">
        <v>0</v>
      </c>
      <c r="L6" s="210" t="s">
        <v>17</v>
      </c>
      <c r="M6" s="207" t="s">
        <v>78</v>
      </c>
      <c r="N6" s="207" t="s">
        <v>681</v>
      </c>
      <c r="O6" s="207" t="s">
        <v>429</v>
      </c>
      <c r="P6" s="210">
        <f ca="1">IF($B6="N/A", "N/A", VLOOKUP($B6, INDIRECT(Config!$B$1), HLOOKUP(P$1, INDIRECT(Config!$E$1), 2, FALSE),FALSE))</f>
        <v>1</v>
      </c>
      <c r="Q6" s="210">
        <f ca="1">IF($B6="N/A", "N/A", VLOOKUP($B6, INDIRECT(Config!$B$1), HLOOKUP(Q$1, INDIRECT(Config!$E$1), 2, FALSE),FALSE))</f>
        <v>0</v>
      </c>
      <c r="R6" s="210">
        <f ca="1">IF($B6="N/A", "N/A", VLOOKUP($B6, INDIRECT(Config!$B$1), HLOOKUP(R$1, INDIRECT(Config!$E$1), 2, FALSE),FALSE))</f>
        <v>0</v>
      </c>
    </row>
    <row r="7" spans="1:18" ht="14.55" customHeight="1" x14ac:dyDescent="0.3">
      <c r="A7" s="296"/>
      <c r="B7" s="7" t="s">
        <v>75</v>
      </c>
      <c r="C7" s="206">
        <v>5</v>
      </c>
      <c r="D7" s="206">
        <v>1</v>
      </c>
      <c r="E7" s="207" t="s">
        <v>80</v>
      </c>
      <c r="F7" s="206" t="s">
        <v>79</v>
      </c>
      <c r="G7" s="207" t="s">
        <v>80</v>
      </c>
      <c r="H7" s="209" t="s">
        <v>896</v>
      </c>
      <c r="I7" s="209">
        <v>0</v>
      </c>
      <c r="J7" s="209" t="s">
        <v>985</v>
      </c>
      <c r="K7" s="209">
        <v>0</v>
      </c>
      <c r="L7" s="210" t="s">
        <v>17</v>
      </c>
      <c r="M7" s="207" t="s">
        <v>78</v>
      </c>
      <c r="N7" s="207" t="s">
        <v>682</v>
      </c>
      <c r="O7" s="207" t="s">
        <v>430</v>
      </c>
      <c r="P7" s="210">
        <f ca="1">IF($B7="N/A", "N/A", VLOOKUP($B7, INDIRECT(Config!$B$1), HLOOKUP(P$1, INDIRECT(Config!$E$1), 2, FALSE),FALSE))</f>
        <v>1</v>
      </c>
      <c r="Q7" s="210">
        <f ca="1">IF($B7="N/A", "N/A", VLOOKUP($B7, INDIRECT(Config!$B$1), HLOOKUP(Q$1, INDIRECT(Config!$E$1), 2, FALSE),FALSE))</f>
        <v>0</v>
      </c>
      <c r="R7" s="210">
        <f ca="1">IF($B7="N/A", "N/A", VLOOKUP($B7, INDIRECT(Config!$B$1), HLOOKUP(R$1, INDIRECT(Config!$E$1), 2, FALSE),FALSE))</f>
        <v>0</v>
      </c>
    </row>
    <row r="8" spans="1:18" ht="14.55" customHeight="1" x14ac:dyDescent="0.3">
      <c r="A8" s="296"/>
      <c r="B8" s="4" t="s">
        <v>613</v>
      </c>
      <c r="C8" s="206">
        <v>6</v>
      </c>
      <c r="D8" s="206">
        <v>1</v>
      </c>
      <c r="E8" s="207" t="s">
        <v>81</v>
      </c>
      <c r="F8" s="207" t="s">
        <v>81</v>
      </c>
      <c r="G8" s="208" t="s">
        <v>82</v>
      </c>
      <c r="H8" s="209" t="s">
        <v>897</v>
      </c>
      <c r="I8" s="209">
        <v>0</v>
      </c>
      <c r="J8" s="209" t="s">
        <v>986</v>
      </c>
      <c r="K8" s="209">
        <v>0</v>
      </c>
      <c r="L8" s="210" t="s">
        <v>17</v>
      </c>
      <c r="M8" s="207" t="s">
        <v>66</v>
      </c>
      <c r="N8" s="207" t="s">
        <v>683</v>
      </c>
      <c r="O8" s="207" t="s">
        <v>431</v>
      </c>
      <c r="P8" s="211">
        <f t="shared" ref="P8:R10" si="1">IF($B8="N/A", "N/A", 1)</f>
        <v>1</v>
      </c>
      <c r="Q8" s="211">
        <f t="shared" si="1"/>
        <v>1</v>
      </c>
      <c r="R8" s="211">
        <f t="shared" si="1"/>
        <v>1</v>
      </c>
    </row>
    <row r="9" spans="1:18" ht="14.55" customHeight="1" x14ac:dyDescent="0.3">
      <c r="A9" s="296"/>
      <c r="B9" s="4" t="s">
        <v>613</v>
      </c>
      <c r="C9" s="206">
        <v>7</v>
      </c>
      <c r="D9" s="206">
        <v>1</v>
      </c>
      <c r="E9" s="207" t="s">
        <v>83</v>
      </c>
      <c r="F9" s="207" t="s">
        <v>83</v>
      </c>
      <c r="G9" s="208" t="s">
        <v>84</v>
      </c>
      <c r="H9" s="209" t="s">
        <v>898</v>
      </c>
      <c r="I9" s="209">
        <v>1</v>
      </c>
      <c r="J9" s="209" t="s">
        <v>987</v>
      </c>
      <c r="K9" s="209">
        <v>1</v>
      </c>
      <c r="L9" s="210" t="s">
        <v>17</v>
      </c>
      <c r="M9" s="207" t="s">
        <v>66</v>
      </c>
      <c r="N9" s="207" t="s">
        <v>684</v>
      </c>
      <c r="O9" s="207" t="s">
        <v>432</v>
      </c>
      <c r="P9" s="211">
        <f t="shared" si="1"/>
        <v>1</v>
      </c>
      <c r="Q9" s="211">
        <f t="shared" si="1"/>
        <v>1</v>
      </c>
      <c r="R9" s="211">
        <f t="shared" si="1"/>
        <v>1</v>
      </c>
    </row>
    <row r="10" spans="1:18" ht="14.55" customHeight="1" x14ac:dyDescent="0.3">
      <c r="A10" s="296"/>
      <c r="B10" s="4" t="s">
        <v>613</v>
      </c>
      <c r="C10" s="206">
        <v>8</v>
      </c>
      <c r="D10" s="206">
        <v>1</v>
      </c>
      <c r="E10" s="207" t="s">
        <v>85</v>
      </c>
      <c r="F10" s="207" t="s">
        <v>85</v>
      </c>
      <c r="G10" s="208" t="s">
        <v>86</v>
      </c>
      <c r="H10" s="209" t="s">
        <v>899</v>
      </c>
      <c r="I10" s="209">
        <v>0</v>
      </c>
      <c r="J10" s="209" t="s">
        <v>988</v>
      </c>
      <c r="K10" s="209">
        <v>0</v>
      </c>
      <c r="L10" s="212" t="s">
        <v>17</v>
      </c>
      <c r="M10" s="207" t="s">
        <v>87</v>
      </c>
      <c r="N10" s="207" t="s">
        <v>685</v>
      </c>
      <c r="O10" s="207" t="s">
        <v>433</v>
      </c>
      <c r="P10" s="211">
        <f t="shared" si="1"/>
        <v>1</v>
      </c>
      <c r="Q10" s="211">
        <f t="shared" si="1"/>
        <v>1</v>
      </c>
      <c r="R10" s="211">
        <f t="shared" si="1"/>
        <v>1</v>
      </c>
    </row>
    <row r="11" spans="1:18" ht="14.55" customHeight="1" x14ac:dyDescent="0.3">
      <c r="A11" s="296"/>
      <c r="B11" s="3" t="s">
        <v>809</v>
      </c>
      <c r="C11" s="210">
        <v>9</v>
      </c>
      <c r="D11" s="210">
        <v>1</v>
      </c>
      <c r="E11" s="207" t="s">
        <v>88</v>
      </c>
      <c r="F11" s="210" t="s">
        <v>811</v>
      </c>
      <c r="G11" s="210" t="s">
        <v>88</v>
      </c>
      <c r="H11" s="209" t="s">
        <v>900</v>
      </c>
      <c r="I11" s="209">
        <v>0</v>
      </c>
      <c r="J11" s="209" t="s">
        <v>989</v>
      </c>
      <c r="K11" s="209">
        <v>0</v>
      </c>
      <c r="L11" s="212" t="s">
        <v>17</v>
      </c>
      <c r="M11" s="207" t="s">
        <v>87</v>
      </c>
      <c r="N11" s="213" t="s">
        <v>813</v>
      </c>
      <c r="O11" s="213" t="s">
        <v>812</v>
      </c>
      <c r="P11" s="210">
        <f ca="1">IF($B11="N/A", "N/A", VLOOKUP($B11, INDIRECT(Config!$B$1), HLOOKUP(P$1, INDIRECT(Config!$E$1), 2, FALSE),FALSE))</f>
        <v>1</v>
      </c>
      <c r="Q11" s="210">
        <f ca="1">IF($B11="N/A", "N/A", VLOOKUP($B11, INDIRECT(Config!$B$1), HLOOKUP(Q$1, INDIRECT(Config!$E$1), 2, FALSE),FALSE))</f>
        <v>1</v>
      </c>
      <c r="R11" s="210">
        <f ca="1">IF($B11="N/A", "N/A", VLOOKUP($B11, INDIRECT(Config!$B$1), HLOOKUP(R$1, INDIRECT(Config!$E$1), 2, FALSE),FALSE))</f>
        <v>0</v>
      </c>
    </row>
    <row r="12" spans="1:18" ht="14.55" customHeight="1" x14ac:dyDescent="0.3">
      <c r="A12" s="296"/>
      <c r="B12" s="16" t="s">
        <v>647</v>
      </c>
      <c r="C12" s="206">
        <v>10</v>
      </c>
      <c r="D12" s="206">
        <v>1</v>
      </c>
      <c r="E12" s="207" t="s">
        <v>90</v>
      </c>
      <c r="F12" s="207" t="s">
        <v>89</v>
      </c>
      <c r="G12" s="207" t="s">
        <v>90</v>
      </c>
      <c r="H12" s="209" t="s">
        <v>901</v>
      </c>
      <c r="I12" s="209">
        <v>1</v>
      </c>
      <c r="J12" s="209" t="s">
        <v>990</v>
      </c>
      <c r="K12" s="209">
        <v>0</v>
      </c>
      <c r="L12" s="212" t="s">
        <v>17</v>
      </c>
      <c r="M12" s="207" t="s">
        <v>87</v>
      </c>
      <c r="N12" s="207" t="s">
        <v>686</v>
      </c>
      <c r="O12" s="207" t="s">
        <v>434</v>
      </c>
      <c r="P12" s="210">
        <f ca="1">IF($B12="N/A", "N/A", VLOOKUP($B12, INDIRECT(Config!$B$1), HLOOKUP(P$1, INDIRECT(Config!$E$1), 2, FALSE),FALSE))</f>
        <v>1</v>
      </c>
      <c r="Q12" s="210">
        <f ca="1">IF($B12="N/A", "N/A", VLOOKUP($B12, INDIRECT(Config!$B$1), HLOOKUP(Q$1, INDIRECT(Config!$E$1), 2, FALSE),FALSE))</f>
        <v>0</v>
      </c>
      <c r="R12" s="210">
        <f ca="1">IF($B12="N/A", "N/A", VLOOKUP($B12, INDIRECT(Config!$B$1), HLOOKUP(R$1, INDIRECT(Config!$E$1), 2, FALSE),FALSE))</f>
        <v>0</v>
      </c>
    </row>
    <row r="13" spans="1:18" ht="14.55" customHeight="1" x14ac:dyDescent="0.3">
      <c r="A13" s="296"/>
      <c r="B13" s="16" t="s">
        <v>91</v>
      </c>
      <c r="C13" s="206">
        <v>11</v>
      </c>
      <c r="D13" s="206">
        <v>1</v>
      </c>
      <c r="E13" s="207" t="s">
        <v>93</v>
      </c>
      <c r="F13" s="207" t="s">
        <v>92</v>
      </c>
      <c r="G13" s="207" t="s">
        <v>93</v>
      </c>
      <c r="H13" s="209" t="s">
        <v>902</v>
      </c>
      <c r="I13" s="209">
        <v>0</v>
      </c>
      <c r="J13" s="209" t="s">
        <v>991</v>
      </c>
      <c r="K13" s="209">
        <v>0</v>
      </c>
      <c r="L13" s="212" t="s">
        <v>17</v>
      </c>
      <c r="M13" s="207" t="s">
        <v>87</v>
      </c>
      <c r="N13" s="207" t="s">
        <v>687</v>
      </c>
      <c r="O13" s="207" t="s">
        <v>435</v>
      </c>
      <c r="P13" s="210">
        <f ca="1">IF($B13="N/A", "N/A", VLOOKUP($B13, INDIRECT(Config!$B$1), HLOOKUP(P$1, INDIRECT(Config!$E$1), 2, FALSE),FALSE))</f>
        <v>0</v>
      </c>
      <c r="Q13" s="210">
        <f ca="1">IF($B13="N/A", "N/A", VLOOKUP($B13, INDIRECT(Config!$B$1), HLOOKUP(Q$1, INDIRECT(Config!$E$1), 2, FALSE),FALSE))</f>
        <v>0</v>
      </c>
      <c r="R13" s="210">
        <f ca="1">IF($B13="N/A", "N/A", VLOOKUP($B13, INDIRECT(Config!$B$1), HLOOKUP(R$1, INDIRECT(Config!$E$1), 2, FALSE),FALSE))</f>
        <v>0</v>
      </c>
    </row>
    <row r="14" spans="1:18" ht="14.55" customHeight="1" x14ac:dyDescent="0.3">
      <c r="A14" s="296"/>
      <c r="B14" s="16" t="s">
        <v>649</v>
      </c>
      <c r="C14" s="206">
        <v>12</v>
      </c>
      <c r="D14" s="206">
        <v>1</v>
      </c>
      <c r="E14" s="207" t="s">
        <v>95</v>
      </c>
      <c r="F14" s="207" t="s">
        <v>94</v>
      </c>
      <c r="G14" s="207" t="s">
        <v>95</v>
      </c>
      <c r="H14" s="209" t="s">
        <v>903</v>
      </c>
      <c r="I14" s="209">
        <v>1</v>
      </c>
      <c r="J14" s="209" t="s">
        <v>992</v>
      </c>
      <c r="K14" s="209">
        <v>1</v>
      </c>
      <c r="L14" s="212" t="s">
        <v>17</v>
      </c>
      <c r="M14" s="207" t="s">
        <v>87</v>
      </c>
      <c r="N14" s="207" t="s">
        <v>688</v>
      </c>
      <c r="O14" s="207" t="s">
        <v>436</v>
      </c>
      <c r="P14" s="210">
        <f ca="1">IF($B14="N/A", "N/A", VLOOKUP($B14, INDIRECT(Config!$B$1), HLOOKUP(P$1, INDIRECT(Config!$E$1), 2, FALSE),FALSE))</f>
        <v>1</v>
      </c>
      <c r="Q14" s="210">
        <f ca="1">IF($B14="N/A", "N/A", VLOOKUP($B14, INDIRECT(Config!$B$1), HLOOKUP(Q$1, INDIRECT(Config!$E$1), 2, FALSE),FALSE))</f>
        <v>0</v>
      </c>
      <c r="R14" s="210">
        <f ca="1">IF($B14="N/A", "N/A", VLOOKUP($B14, INDIRECT(Config!$B$1), HLOOKUP(R$1, INDIRECT(Config!$E$1), 2, FALSE),FALSE))</f>
        <v>0</v>
      </c>
    </row>
    <row r="15" spans="1:18" ht="14.55" customHeight="1" x14ac:dyDescent="0.3">
      <c r="A15" s="296"/>
      <c r="B15" s="16" t="s">
        <v>172</v>
      </c>
      <c r="C15" s="206">
        <v>13</v>
      </c>
      <c r="D15" s="206">
        <v>1</v>
      </c>
      <c r="E15" s="207" t="s">
        <v>97</v>
      </c>
      <c r="F15" s="207" t="s">
        <v>96</v>
      </c>
      <c r="G15" s="207" t="s">
        <v>97</v>
      </c>
      <c r="H15" s="209" t="s">
        <v>904</v>
      </c>
      <c r="I15" s="209">
        <v>0</v>
      </c>
      <c r="J15" s="209" t="s">
        <v>993</v>
      </c>
      <c r="K15" s="209">
        <v>1</v>
      </c>
      <c r="L15" s="212" t="s">
        <v>17</v>
      </c>
      <c r="M15" s="207" t="s">
        <v>87</v>
      </c>
      <c r="N15" s="207" t="s">
        <v>689</v>
      </c>
      <c r="O15" s="207" t="s">
        <v>437</v>
      </c>
      <c r="P15" s="210">
        <f ca="1">IF($B15="N/A", "N/A", VLOOKUP($B15, INDIRECT(Config!$B$1), HLOOKUP(P$1, INDIRECT(Config!$E$1), 2, FALSE),FALSE))</f>
        <v>1</v>
      </c>
      <c r="Q15" s="210">
        <f ca="1">IF($B15="N/A", "N/A", VLOOKUP($B15, INDIRECT(Config!$B$1), HLOOKUP(Q$1, INDIRECT(Config!$E$1), 2, FALSE),FALSE))</f>
        <v>0</v>
      </c>
      <c r="R15" s="210">
        <f ca="1">IF($B15="N/A", "N/A", VLOOKUP($B15, INDIRECT(Config!$B$1), HLOOKUP(R$1, INDIRECT(Config!$E$1), 2, FALSE),FALSE))</f>
        <v>0</v>
      </c>
    </row>
    <row r="16" spans="1:18" ht="14.55" customHeight="1" x14ac:dyDescent="0.3">
      <c r="A16" s="296"/>
      <c r="B16" s="4" t="s">
        <v>613</v>
      </c>
      <c r="C16" s="206">
        <v>14</v>
      </c>
      <c r="D16" s="206">
        <v>1</v>
      </c>
      <c r="E16" s="207" t="s">
        <v>98</v>
      </c>
      <c r="F16" s="207" t="s">
        <v>98</v>
      </c>
      <c r="G16" s="208" t="s">
        <v>99</v>
      </c>
      <c r="H16" s="209" t="s">
        <v>905</v>
      </c>
      <c r="I16" s="209">
        <v>1</v>
      </c>
      <c r="J16" s="209" t="s">
        <v>994</v>
      </c>
      <c r="K16" s="209">
        <v>1</v>
      </c>
      <c r="L16" s="212" t="s">
        <v>17</v>
      </c>
      <c r="M16" s="206" t="s">
        <v>69</v>
      </c>
      <c r="N16" s="206" t="s">
        <v>690</v>
      </c>
      <c r="O16" s="206" t="s">
        <v>438</v>
      </c>
      <c r="P16" s="211">
        <f>IF($B16="N/A", "N/A", 1)</f>
        <v>1</v>
      </c>
      <c r="Q16" s="211">
        <f>IF($B16="N/A", "N/A", 1)</f>
        <v>1</v>
      </c>
      <c r="R16" s="211">
        <f>IF($B16="N/A", "N/A", 1)</f>
        <v>1</v>
      </c>
    </row>
    <row r="17" spans="1:18" ht="14.55" customHeight="1" x14ac:dyDescent="0.3">
      <c r="A17" s="296"/>
      <c r="B17" s="2" t="s">
        <v>100</v>
      </c>
      <c r="C17" s="208">
        <v>15</v>
      </c>
      <c r="D17" s="208">
        <v>1</v>
      </c>
      <c r="E17" s="207" t="s">
        <v>102</v>
      </c>
      <c r="F17" s="208" t="s">
        <v>101</v>
      </c>
      <c r="G17" s="207" t="s">
        <v>102</v>
      </c>
      <c r="H17" s="209" t="s">
        <v>906</v>
      </c>
      <c r="I17" s="209">
        <v>0</v>
      </c>
      <c r="J17" s="209" t="s">
        <v>995</v>
      </c>
      <c r="K17" s="209">
        <v>0</v>
      </c>
      <c r="L17" s="212" t="s">
        <v>17</v>
      </c>
      <c r="M17" s="206" t="s">
        <v>66</v>
      </c>
      <c r="N17" s="206" t="s">
        <v>691</v>
      </c>
      <c r="O17" s="206" t="s">
        <v>439</v>
      </c>
      <c r="P17" s="210">
        <f ca="1">IF($B17="N/A", "N/A", VLOOKUP($B17, INDIRECT(Config!$B$1), HLOOKUP(P$1, INDIRECT(Config!$E$1), 2, FALSE),FALSE))</f>
        <v>0</v>
      </c>
      <c r="Q17" s="210">
        <f ca="1">IF($B17="N/A", "N/A", VLOOKUP($B17, INDIRECT(Config!$B$1), HLOOKUP(Q$1, INDIRECT(Config!$E$1), 2, FALSE),FALSE))</f>
        <v>0</v>
      </c>
      <c r="R17" s="210">
        <f ca="1">IF($B17="N/A", "N/A", VLOOKUP($B17, INDIRECT(Config!$B$1), HLOOKUP(R$1, INDIRECT(Config!$E$1), 2, FALSE),FALSE))</f>
        <v>0</v>
      </c>
    </row>
    <row r="18" spans="1:18" ht="14.55" customHeight="1" x14ac:dyDescent="0.3">
      <c r="A18" s="296"/>
      <c r="B18" s="4" t="s">
        <v>613</v>
      </c>
      <c r="C18" s="206">
        <v>16</v>
      </c>
      <c r="D18" s="206">
        <v>1</v>
      </c>
      <c r="E18" s="207" t="s">
        <v>103</v>
      </c>
      <c r="F18" s="207" t="s">
        <v>103</v>
      </c>
      <c r="G18" s="208" t="s">
        <v>104</v>
      </c>
      <c r="H18" s="209" t="s">
        <v>907</v>
      </c>
      <c r="I18" s="209">
        <v>1</v>
      </c>
      <c r="J18" s="209" t="s">
        <v>996</v>
      </c>
      <c r="K18" s="209">
        <v>1</v>
      </c>
      <c r="L18" s="210"/>
      <c r="M18" s="206" t="s">
        <v>87</v>
      </c>
      <c r="N18" s="206" t="s">
        <v>692</v>
      </c>
      <c r="O18" s="206" t="s">
        <v>440</v>
      </c>
      <c r="P18" s="211">
        <f t="shared" ref="P18:R19" si="2">IF($B18="N/A", "N/A", 1)</f>
        <v>1</v>
      </c>
      <c r="Q18" s="211">
        <f t="shared" si="2"/>
        <v>1</v>
      </c>
      <c r="R18" s="211">
        <f t="shared" si="2"/>
        <v>1</v>
      </c>
    </row>
    <row r="19" spans="1:18" ht="14.55" customHeight="1" x14ac:dyDescent="0.3">
      <c r="A19" s="296"/>
      <c r="B19" s="4" t="s">
        <v>613</v>
      </c>
      <c r="C19" s="206">
        <v>17</v>
      </c>
      <c r="D19" s="206">
        <v>1</v>
      </c>
      <c r="E19" s="207" t="s">
        <v>105</v>
      </c>
      <c r="F19" s="207" t="s">
        <v>105</v>
      </c>
      <c r="G19" s="208" t="s">
        <v>106</v>
      </c>
      <c r="H19" s="209" t="s">
        <v>908</v>
      </c>
      <c r="I19" s="209">
        <v>1</v>
      </c>
      <c r="J19" s="209" t="s">
        <v>997</v>
      </c>
      <c r="K19" s="209">
        <v>1</v>
      </c>
      <c r="L19" s="210"/>
      <c r="M19" s="206" t="s">
        <v>87</v>
      </c>
      <c r="N19" s="206" t="s">
        <v>693</v>
      </c>
      <c r="O19" s="206" t="s">
        <v>441</v>
      </c>
      <c r="P19" s="211">
        <f t="shared" si="2"/>
        <v>1</v>
      </c>
      <c r="Q19" s="211">
        <f t="shared" si="2"/>
        <v>1</v>
      </c>
      <c r="R19" s="211">
        <f t="shared" si="2"/>
        <v>1</v>
      </c>
    </row>
    <row r="20" spans="1:18" ht="14.55" customHeight="1" x14ac:dyDescent="0.3">
      <c r="A20" s="296"/>
      <c r="B20" s="2" t="s">
        <v>100</v>
      </c>
      <c r="C20" s="208">
        <v>18</v>
      </c>
      <c r="D20" s="208">
        <v>5</v>
      </c>
      <c r="F20" s="322" t="s">
        <v>107</v>
      </c>
      <c r="G20" s="207" t="s">
        <v>1123</v>
      </c>
      <c r="H20" s="214" t="s">
        <v>1124</v>
      </c>
      <c r="I20" s="214">
        <v>3</v>
      </c>
      <c r="J20" s="214" t="s">
        <v>1125</v>
      </c>
      <c r="K20" s="214">
        <v>0</v>
      </c>
      <c r="L20" s="210"/>
      <c r="M20" s="206" t="s">
        <v>66</v>
      </c>
      <c r="N20" s="206" t="s">
        <v>694</v>
      </c>
      <c r="O20" s="206" t="s">
        <v>442</v>
      </c>
      <c r="P20" s="210">
        <f ca="1">IF($B20="N/A", "N/A", VLOOKUP($B20, INDIRECT(Config!$B$1), HLOOKUP(P$1, INDIRECT(Config!$E$1), 2, FALSE),FALSE))</f>
        <v>0</v>
      </c>
      <c r="Q20" s="210">
        <f ca="1">IF($B20="N/A", "N/A", VLOOKUP($B20, INDIRECT(Config!$B$1), HLOOKUP(Q$1, INDIRECT(Config!$E$1), 2, FALSE),FALSE))</f>
        <v>0</v>
      </c>
      <c r="R20" s="210">
        <f ca="1">IF($B20="N/A", "N/A", VLOOKUP($B20, INDIRECT(Config!$B$1), HLOOKUP(R$1, INDIRECT(Config!$E$1), 2, FALSE),FALSE))</f>
        <v>0</v>
      </c>
    </row>
    <row r="21" spans="1:18" ht="14.55" customHeight="1" x14ac:dyDescent="0.3">
      <c r="A21" s="296"/>
      <c r="B21" s="2" t="s">
        <v>108</v>
      </c>
      <c r="C21" s="208">
        <v>18</v>
      </c>
      <c r="D21" s="208">
        <v>1</v>
      </c>
      <c r="E21" s="207" t="s">
        <v>110</v>
      </c>
      <c r="F21" s="208" t="s">
        <v>109</v>
      </c>
      <c r="G21" s="207" t="s">
        <v>110</v>
      </c>
      <c r="H21" s="214" t="s">
        <v>909</v>
      </c>
      <c r="I21" s="214">
        <v>0</v>
      </c>
      <c r="J21" s="214" t="s">
        <v>998</v>
      </c>
      <c r="K21" s="214">
        <v>0</v>
      </c>
      <c r="L21" s="210"/>
      <c r="M21" s="206" t="s">
        <v>87</v>
      </c>
      <c r="N21" s="206" t="s">
        <v>774</v>
      </c>
      <c r="O21" s="206" t="s">
        <v>521</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c r="R21" s="210">
        <f ca="1">IF(VLOOKUP("SAMSUNG_PUF_CONFIG_EN",  INDIRECT(Config!$B$1), HLOOKUP(R$1, INDIRECT(Config!$E$1), 2, FALSE),FALSE)=0, VLOOKUP("IFWI_LAYOUT_1_5_EN",  INDIRECT(Config!$B$1), HLOOKUP(R$1,  INDIRECT(Config!$E$1), 2, FALSE),FALSE), 0)</f>
        <v>0</v>
      </c>
    </row>
    <row r="22" spans="1:18" ht="14.55" customHeight="1" x14ac:dyDescent="0.3">
      <c r="A22" s="296"/>
      <c r="B22" s="2" t="s">
        <v>108</v>
      </c>
      <c r="C22" s="208">
        <v>19</v>
      </c>
      <c r="D22" s="208">
        <v>1</v>
      </c>
      <c r="E22" s="207" t="s">
        <v>112</v>
      </c>
      <c r="F22" s="208" t="s">
        <v>111</v>
      </c>
      <c r="G22" s="207" t="s">
        <v>112</v>
      </c>
      <c r="H22" s="214" t="s">
        <v>910</v>
      </c>
      <c r="I22" s="214">
        <v>0</v>
      </c>
      <c r="J22" s="214" t="s">
        <v>999</v>
      </c>
      <c r="K22" s="214">
        <v>0</v>
      </c>
      <c r="L22" s="210"/>
      <c r="M22" s="206" t="s">
        <v>87</v>
      </c>
      <c r="N22" s="206" t="s">
        <v>775</v>
      </c>
      <c r="O22" s="206" t="s">
        <v>521</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c r="R22" s="210">
        <f ca="1">IF(VLOOKUP("SAMSUNG_PUF_CONFIG_EN",  INDIRECT(Config!$B$1), HLOOKUP(R$1, INDIRECT(Config!$E$1), 2, FALSE),FALSE)=0, VLOOKUP("IFWI_LAYOUT_1_5_EN",  INDIRECT(Config!$B$1), HLOOKUP(R$1,  INDIRECT(Config!$E$1), 2, FALSE),FALSE), 0)</f>
        <v>0</v>
      </c>
    </row>
    <row r="23" spans="1:18" ht="14.55" customHeight="1" x14ac:dyDescent="0.3">
      <c r="A23" s="296"/>
      <c r="B23" s="2" t="s">
        <v>108</v>
      </c>
      <c r="C23" s="208">
        <v>20</v>
      </c>
      <c r="D23" s="208">
        <v>1</v>
      </c>
      <c r="E23" s="207" t="s">
        <v>114</v>
      </c>
      <c r="F23" s="208" t="s">
        <v>113</v>
      </c>
      <c r="G23" s="207" t="s">
        <v>114</v>
      </c>
      <c r="H23" s="214" t="s">
        <v>911</v>
      </c>
      <c r="I23" s="214">
        <v>0</v>
      </c>
      <c r="J23" s="214" t="s">
        <v>1000</v>
      </c>
      <c r="K23" s="214">
        <v>0</v>
      </c>
      <c r="L23" s="210"/>
      <c r="M23" s="206" t="s">
        <v>87</v>
      </c>
      <c r="N23" s="206" t="s">
        <v>776</v>
      </c>
      <c r="O23" s="206" t="s">
        <v>521</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c r="R23" s="210">
        <f ca="1">IF(VLOOKUP("SAMSUNG_PUF_CONFIG_EN",  INDIRECT(Config!$B$1), HLOOKUP(R$1, INDIRECT(Config!$E$1), 2, FALSE),FALSE)=0, VLOOKUP("IFWI_LAYOUT_1_5_EN",  INDIRECT(Config!$B$1), HLOOKUP(R$1,  INDIRECT(Config!$E$1), 2, FALSE),FALSE), 0)</f>
        <v>0</v>
      </c>
    </row>
    <row r="24" spans="1:18" ht="14.55" customHeight="1" x14ac:dyDescent="0.3">
      <c r="A24" s="296"/>
      <c r="B24" s="2" t="s">
        <v>108</v>
      </c>
      <c r="C24" s="208">
        <v>21</v>
      </c>
      <c r="D24" s="208">
        <v>1</v>
      </c>
      <c r="E24" s="207" t="s">
        <v>116</v>
      </c>
      <c r="F24" s="208" t="s">
        <v>115</v>
      </c>
      <c r="G24" s="207" t="s">
        <v>116</v>
      </c>
      <c r="H24" s="214" t="s">
        <v>912</v>
      </c>
      <c r="I24" s="214">
        <v>0</v>
      </c>
      <c r="J24" s="214" t="s">
        <v>1001</v>
      </c>
      <c r="K24" s="214">
        <v>0</v>
      </c>
      <c r="L24" s="210"/>
      <c r="M24" s="206" t="s">
        <v>87</v>
      </c>
      <c r="N24" s="206" t="s">
        <v>777</v>
      </c>
      <c r="O24" s="206" t="s">
        <v>521</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c r="R24" s="210">
        <f ca="1">IF(VLOOKUP("SAMSUNG_PUF_CONFIG_EN",  INDIRECT(Config!$B$1), HLOOKUP(R$1, INDIRECT(Config!$E$1), 2, FALSE),FALSE)=0, VLOOKUP("IFWI_LAYOUT_1_5_EN",  INDIRECT(Config!$B$1), HLOOKUP(R$1,  INDIRECT(Config!$E$1), 2, FALSE),FALSE), 0)</f>
        <v>0</v>
      </c>
    </row>
    <row r="25" spans="1:18" ht="14.55" customHeight="1" x14ac:dyDescent="0.3">
      <c r="A25" s="296"/>
      <c r="B25" s="2" t="s">
        <v>108</v>
      </c>
      <c r="C25" s="208">
        <v>22</v>
      </c>
      <c r="D25" s="208">
        <v>1</v>
      </c>
      <c r="E25" s="207" t="s">
        <v>118</v>
      </c>
      <c r="F25" s="208" t="s">
        <v>117</v>
      </c>
      <c r="G25" s="207" t="s">
        <v>118</v>
      </c>
      <c r="H25" s="214" t="s">
        <v>913</v>
      </c>
      <c r="I25" s="214">
        <v>0</v>
      </c>
      <c r="J25" s="214" t="s">
        <v>1002</v>
      </c>
      <c r="K25" s="214">
        <v>0</v>
      </c>
      <c r="L25" s="210"/>
      <c r="M25" s="206" t="s">
        <v>87</v>
      </c>
      <c r="N25" s="206" t="s">
        <v>778</v>
      </c>
      <c r="O25" s="206" t="s">
        <v>521</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c r="R25" s="210">
        <f ca="1">IF(VLOOKUP("SAMSUNG_PUF_CONFIG_EN",  INDIRECT(Config!$B$1), HLOOKUP(R$1, INDIRECT(Config!$E$1), 2, FALSE),FALSE)=0, VLOOKUP("IFWI_LAYOUT_1_5_EN",  INDIRECT(Config!$B$1), HLOOKUP(R$1,  INDIRECT(Config!$E$1), 2, FALSE),FALSE), 0)</f>
        <v>0</v>
      </c>
    </row>
    <row r="26" spans="1:18" ht="14.55" customHeight="1" x14ac:dyDescent="0.3">
      <c r="A26" s="296"/>
      <c r="B26" s="7" t="s">
        <v>119</v>
      </c>
      <c r="C26" s="206">
        <v>23</v>
      </c>
      <c r="D26" s="206">
        <v>1</v>
      </c>
      <c r="E26" s="207" t="s">
        <v>121</v>
      </c>
      <c r="F26" s="206" t="s">
        <v>120</v>
      </c>
      <c r="G26" s="207" t="s">
        <v>121</v>
      </c>
      <c r="H26" s="214" t="s">
        <v>914</v>
      </c>
      <c r="I26" s="214">
        <v>0</v>
      </c>
      <c r="J26" s="214" t="s">
        <v>1003</v>
      </c>
      <c r="K26" s="214">
        <v>0</v>
      </c>
      <c r="L26" s="210"/>
      <c r="M26" s="206" t="s">
        <v>87</v>
      </c>
      <c r="N26" s="206" t="s">
        <v>779</v>
      </c>
      <c r="O26" s="206" t="s">
        <v>521</v>
      </c>
      <c r="P26" s="210">
        <f ca="1">IF($B26="N/A", "N/A", VLOOKUP($B26, INDIRECT(Config!$B$1), HLOOKUP(P$1, INDIRECT(Config!$E$1), 2, FALSE),FALSE))</f>
        <v>1</v>
      </c>
      <c r="Q26" s="210">
        <f ca="1">IF($B26="N/A", "N/A", VLOOKUP($B26, INDIRECT(Config!$B$1), HLOOKUP(Q$1, INDIRECT(Config!$E$1), 2, FALSE),FALSE))</f>
        <v>1</v>
      </c>
      <c r="R26" s="210">
        <f ca="1">IF($B26="N/A", "N/A", VLOOKUP($B26, INDIRECT(Config!$B$1), HLOOKUP(R$1, INDIRECT(Config!$E$1), 2, FALSE),FALSE))</f>
        <v>0</v>
      </c>
    </row>
    <row r="27" spans="1:18" ht="14.55" customHeight="1" x14ac:dyDescent="0.3">
      <c r="A27" s="296"/>
      <c r="B27" s="7" t="s">
        <v>122</v>
      </c>
      <c r="C27" s="206">
        <v>24</v>
      </c>
      <c r="D27" s="206">
        <v>1</v>
      </c>
      <c r="E27" s="207" t="s">
        <v>124</v>
      </c>
      <c r="F27" s="206" t="s">
        <v>123</v>
      </c>
      <c r="G27" s="207" t="s">
        <v>124</v>
      </c>
      <c r="H27" s="214" t="s">
        <v>915</v>
      </c>
      <c r="I27" s="214">
        <v>1</v>
      </c>
      <c r="J27" s="214" t="s">
        <v>1004</v>
      </c>
      <c r="K27" s="214">
        <v>0</v>
      </c>
      <c r="L27" s="216" t="s">
        <v>1109</v>
      </c>
      <c r="M27" s="206" t="s">
        <v>87</v>
      </c>
      <c r="N27" s="206" t="s">
        <v>780</v>
      </c>
      <c r="O27" s="206" t="s">
        <v>521</v>
      </c>
      <c r="P27" s="210">
        <f ca="1">IF($B27="N/A", "N/A", VLOOKUP($B27, INDIRECT(Config!$B$1), HLOOKUP(P$1, INDIRECT(Config!$E$1), 2, FALSE),FALSE))</f>
        <v>1</v>
      </c>
      <c r="Q27" s="210">
        <f ca="1">IF($B27="N/A", "N/A", VLOOKUP($B27, INDIRECT(Config!$B$1), HLOOKUP(Q$1, INDIRECT(Config!$E$1), 2, FALSE),FALSE))</f>
        <v>1</v>
      </c>
      <c r="R27" s="210">
        <f ca="1">IF($B27="N/A", "N/A", VLOOKUP($B27, INDIRECT(Config!$B$1), HLOOKUP(R$1, INDIRECT(Config!$E$1), 2, FALSE),FALSE))</f>
        <v>0</v>
      </c>
    </row>
    <row r="28" spans="1:18" ht="14.55" customHeight="1" x14ac:dyDescent="0.3">
      <c r="A28" s="296"/>
      <c r="B28" s="16" t="s">
        <v>125</v>
      </c>
      <c r="C28" s="206">
        <v>25</v>
      </c>
      <c r="D28" s="206">
        <v>1</v>
      </c>
      <c r="E28" s="207" t="s">
        <v>127</v>
      </c>
      <c r="F28" s="207" t="s">
        <v>126</v>
      </c>
      <c r="G28" s="207" t="s">
        <v>127</v>
      </c>
      <c r="H28" s="214" t="s">
        <v>916</v>
      </c>
      <c r="I28" s="214">
        <v>1</v>
      </c>
      <c r="J28" s="214" t="s">
        <v>1005</v>
      </c>
      <c r="K28" s="214">
        <v>1</v>
      </c>
      <c r="L28" s="216" t="s">
        <v>1109</v>
      </c>
      <c r="M28" s="206" t="s">
        <v>128</v>
      </c>
      <c r="N28" s="206" t="s">
        <v>695</v>
      </c>
      <c r="O28" s="206" t="s">
        <v>742</v>
      </c>
      <c r="P28" s="210">
        <f ca="1">IF($B28="N/A", "N/A", VLOOKUP($B28, INDIRECT(Config!$B$1), HLOOKUP(P$1, INDIRECT(Config!$E$1), 2, FALSE),FALSE))</f>
        <v>1</v>
      </c>
      <c r="Q28" s="210">
        <f ca="1">IF($B28="N/A", "N/A", VLOOKUP($B28, INDIRECT(Config!$B$1), HLOOKUP(Q$1, INDIRECT(Config!$E$1), 2, FALSE),FALSE))</f>
        <v>0</v>
      </c>
      <c r="R28" s="210">
        <f ca="1">IF($B28="N/A", "N/A", VLOOKUP($B28, INDIRECT(Config!$B$1), HLOOKUP(R$1, INDIRECT(Config!$E$1), 2, FALSE),FALSE))</f>
        <v>0</v>
      </c>
    </row>
    <row r="29" spans="1:18" ht="14.55" customHeight="1" x14ac:dyDescent="0.3">
      <c r="A29" s="296"/>
      <c r="B29" s="2" t="s">
        <v>100</v>
      </c>
      <c r="C29" s="208">
        <v>26</v>
      </c>
      <c r="D29" s="208">
        <v>3</v>
      </c>
      <c r="F29" s="322" t="s">
        <v>129</v>
      </c>
      <c r="G29" s="207" t="s">
        <v>130</v>
      </c>
      <c r="H29" s="214" t="s">
        <v>965</v>
      </c>
      <c r="I29" s="214">
        <v>0</v>
      </c>
      <c r="J29" s="214" t="s">
        <v>1006</v>
      </c>
      <c r="K29" s="214">
        <v>0</v>
      </c>
      <c r="L29" s="216" t="s">
        <v>1109</v>
      </c>
      <c r="M29" s="206" t="s">
        <v>66</v>
      </c>
      <c r="N29" s="206" t="s">
        <v>696</v>
      </c>
      <c r="O29" s="206" t="s">
        <v>743</v>
      </c>
      <c r="P29" s="210">
        <f ca="1">IF($B29="N/A", "N/A", VLOOKUP($B29, INDIRECT(Config!$B$1), HLOOKUP(P$1, INDIRECT(Config!$E$1), 2, FALSE),FALSE))</f>
        <v>0</v>
      </c>
      <c r="Q29" s="210">
        <f ca="1">IF($B29="N/A", "N/A", VLOOKUP($B29, INDIRECT(Config!$B$1), HLOOKUP(Q$1, INDIRECT(Config!$E$1), 2, FALSE),FALSE))</f>
        <v>0</v>
      </c>
      <c r="R29" s="210">
        <f ca="1">IF($B29="N/A", "N/A", VLOOKUP($B29, INDIRECT(Config!$B$1), HLOOKUP(R$1, INDIRECT(Config!$E$1), 2, FALSE),FALSE))</f>
        <v>0</v>
      </c>
    </row>
    <row r="30" spans="1:18" ht="14.55" customHeight="1" x14ac:dyDescent="0.3">
      <c r="A30" s="296"/>
      <c r="B30" s="2" t="s">
        <v>108</v>
      </c>
      <c r="C30" s="208">
        <v>26</v>
      </c>
      <c r="D30" s="208">
        <v>1</v>
      </c>
      <c r="E30" s="207" t="s">
        <v>132</v>
      </c>
      <c r="F30" s="208" t="s">
        <v>131</v>
      </c>
      <c r="G30" s="207" t="s">
        <v>132</v>
      </c>
      <c r="H30" s="214" t="s">
        <v>917</v>
      </c>
      <c r="I30" s="214">
        <v>0</v>
      </c>
      <c r="J30" s="214" t="s">
        <v>1007</v>
      </c>
      <c r="K30" s="214">
        <v>0</v>
      </c>
      <c r="L30" s="216" t="s">
        <v>1109</v>
      </c>
      <c r="M30" s="206" t="s">
        <v>128</v>
      </c>
      <c r="N30" s="206" t="s">
        <v>781</v>
      </c>
      <c r="O30" s="206" t="s">
        <v>522</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c r="R30" s="206">
        <f ca="1">IF(VLOOKUP("SAMSUNG_PUF_CONFIG_EN",  INDIRECT(Config!$B$1), HLOOKUP(R$1, INDIRECT(Config!$E$1), 2, FALSE),FALSE)=0, VLOOKUP("IFWI_LAYOUT_1_5_EN",  INDIRECT(Config!$B$1), HLOOKUP(R$1,  INDIRECT(Config!$E$1), 2, FALSE),FALSE), 0)</f>
        <v>0</v>
      </c>
    </row>
    <row r="31" spans="1:18" ht="14.55" customHeight="1" x14ac:dyDescent="0.3">
      <c r="A31" s="296"/>
      <c r="B31" s="2" t="s">
        <v>48</v>
      </c>
      <c r="C31" s="208">
        <v>27</v>
      </c>
      <c r="D31" s="208">
        <v>1</v>
      </c>
      <c r="E31" s="207" t="s">
        <v>374</v>
      </c>
      <c r="F31" s="208"/>
      <c r="G31" s="206" t="s">
        <v>374</v>
      </c>
      <c r="H31" s="215" t="s">
        <v>918</v>
      </c>
      <c r="I31" s="215">
        <v>0</v>
      </c>
      <c r="J31" s="215" t="s">
        <v>1008</v>
      </c>
      <c r="K31" s="215">
        <v>0</v>
      </c>
      <c r="L31" s="216" t="s">
        <v>1109</v>
      </c>
      <c r="M31" s="206"/>
      <c r="N31" s="206" t="s">
        <v>782</v>
      </c>
      <c r="O31" s="206" t="s">
        <v>460</v>
      </c>
      <c r="P31" s="211" t="str">
        <f ca="1">IF($B31="N/A", "N/A", VLOOKUP($B31, INDIRECT(Config!$B$1), HLOOKUP(P$1, INDIRECT(Config!$E$1), 2, FALSE),FALSE))</f>
        <v>N/A</v>
      </c>
      <c r="Q31" s="211" t="str">
        <f ca="1">IF($B31="N/A", "N/A", VLOOKUP($B31, INDIRECT(Config!$B$1), HLOOKUP(Q$1, INDIRECT(Config!$E$1), 2, FALSE),FALSE))</f>
        <v>N/A</v>
      </c>
      <c r="R31" s="211" t="str">
        <f ca="1">IF($B31="N/A", "N/A", VLOOKUP($B31, INDIRECT(Config!$B$1), HLOOKUP(R$1, INDIRECT(Config!$E$1), 2, FALSE),FALSE))</f>
        <v>N/A</v>
      </c>
    </row>
    <row r="32" spans="1:18" ht="14.55" customHeight="1" x14ac:dyDescent="0.3">
      <c r="A32" s="296"/>
      <c r="B32" s="2" t="s">
        <v>1148</v>
      </c>
      <c r="C32" s="208">
        <v>28</v>
      </c>
      <c r="D32" s="208">
        <v>1</v>
      </c>
      <c r="E32" s="207" t="s">
        <v>375</v>
      </c>
      <c r="F32" s="208" t="s">
        <v>376</v>
      </c>
      <c r="G32" s="206" t="s">
        <v>375</v>
      </c>
      <c r="H32" s="214" t="s">
        <v>919</v>
      </c>
      <c r="I32" s="214">
        <v>1</v>
      </c>
      <c r="J32" s="209" t="s">
        <v>1009</v>
      </c>
      <c r="K32" s="209">
        <v>0</v>
      </c>
      <c r="L32" s="216" t="s">
        <v>1109</v>
      </c>
      <c r="M32" s="206" t="s">
        <v>128</v>
      </c>
      <c r="N32" s="206" t="s">
        <v>783</v>
      </c>
      <c r="O32" s="206" t="s">
        <v>525</v>
      </c>
      <c r="P32" s="210" t="e">
        <f ca="1">IF($B32="N/A", "N/A", VLOOKUP($B32, INDIRECT(Config!$B$1), HLOOKUP(P$1, INDIRECT(Config!$E$1), 2, FALSE),FALSE))</f>
        <v>#N/A</v>
      </c>
      <c r="Q32" s="210" t="e">
        <f ca="1">IF($B32="N/A", "N/A", VLOOKUP($B32, INDIRECT(Config!$B$1), HLOOKUP(Q$1, INDIRECT(Config!$E$1), 2, FALSE),FALSE))</f>
        <v>#N/A</v>
      </c>
      <c r="R32" s="210" t="e">
        <f ca="1">IF($B32="N/A", "N/A", VLOOKUP($B32, INDIRECT(Config!$B$1), HLOOKUP(R$1, INDIRECT(Config!$E$1), 2, FALSE),FALSE))</f>
        <v>#N/A</v>
      </c>
    </row>
    <row r="33" spans="1:18" ht="14.55" customHeight="1" x14ac:dyDescent="0.3">
      <c r="A33" s="296"/>
      <c r="B33" s="3" t="s">
        <v>133</v>
      </c>
      <c r="C33" s="206">
        <v>29</v>
      </c>
      <c r="D33" s="206">
        <v>1</v>
      </c>
      <c r="E33" s="207" t="s">
        <v>135</v>
      </c>
      <c r="F33" s="210" t="s">
        <v>134</v>
      </c>
      <c r="G33" s="207" t="s">
        <v>135</v>
      </c>
      <c r="H33" s="209" t="s">
        <v>920</v>
      </c>
      <c r="I33" s="209">
        <v>1</v>
      </c>
      <c r="J33" s="214" t="s">
        <v>1010</v>
      </c>
      <c r="K33" s="214">
        <v>0</v>
      </c>
      <c r="L33" s="216" t="s">
        <v>1109</v>
      </c>
      <c r="M33" s="206" t="s">
        <v>87</v>
      </c>
      <c r="N33" s="206" t="s">
        <v>784</v>
      </c>
      <c r="O33" s="206" t="s">
        <v>526</v>
      </c>
      <c r="P33" s="210">
        <f ca="1">IF($B33="N/A", "N/A", VLOOKUP($B33, INDIRECT(Config!$B$1), HLOOKUP(P$1, INDIRECT(Config!$E$1), 2, FALSE),FALSE))</f>
        <v>0</v>
      </c>
      <c r="Q33" s="210">
        <f ca="1">IF($B33="N/A", "N/A", VLOOKUP($B33, INDIRECT(Config!$B$1), HLOOKUP(Q$1, INDIRECT(Config!$E$1), 2, FALSE),FALSE))</f>
        <v>0</v>
      </c>
      <c r="R33" s="210">
        <f ca="1">IF($B33="N/A", "N/A", VLOOKUP($B33, INDIRECT(Config!$B$1), HLOOKUP(R$1, INDIRECT(Config!$E$1), 2, FALSE),FALSE))</f>
        <v>0</v>
      </c>
    </row>
    <row r="34" spans="1:18" ht="14.55" customHeight="1" x14ac:dyDescent="0.3">
      <c r="A34" s="296"/>
      <c r="B34" s="16" t="s">
        <v>125</v>
      </c>
      <c r="C34" s="206">
        <v>30</v>
      </c>
      <c r="D34" s="206">
        <v>1</v>
      </c>
      <c r="E34" s="207" t="s">
        <v>137</v>
      </c>
      <c r="F34" s="206" t="s">
        <v>136</v>
      </c>
      <c r="G34" s="207" t="s">
        <v>137</v>
      </c>
      <c r="H34" s="209" t="s">
        <v>921</v>
      </c>
      <c r="I34" s="209">
        <v>1</v>
      </c>
      <c r="J34" s="214" t="s">
        <v>1011</v>
      </c>
      <c r="K34" s="214">
        <v>0</v>
      </c>
      <c r="L34" s="216" t="s">
        <v>1109</v>
      </c>
      <c r="M34" s="206" t="s">
        <v>128</v>
      </c>
      <c r="N34" s="206" t="s">
        <v>785</v>
      </c>
      <c r="O34" s="206" t="s">
        <v>522</v>
      </c>
      <c r="P34" s="210">
        <f ca="1">IF($B34="N/A", "N/A", VLOOKUP($B34, INDIRECT(Config!$B$1), HLOOKUP(P$1, INDIRECT(Config!$E$1), 2, FALSE),FALSE))</f>
        <v>1</v>
      </c>
      <c r="Q34" s="210">
        <f ca="1">IF($B34="N/A", "N/A", VLOOKUP($B34, INDIRECT(Config!$B$1), HLOOKUP(Q$1, INDIRECT(Config!$E$1), 2, FALSE),FALSE))</f>
        <v>0</v>
      </c>
      <c r="R34" s="210">
        <f ca="1">IF($B34="N/A", "N/A", VLOOKUP($B34, INDIRECT(Config!$B$1), HLOOKUP(R$1, INDIRECT(Config!$E$1), 2, FALSE),FALSE))</f>
        <v>0</v>
      </c>
    </row>
    <row r="35" spans="1:18" ht="14.55" customHeight="1" x14ac:dyDescent="0.3">
      <c r="A35" s="296"/>
      <c r="B35" s="4" t="s">
        <v>613</v>
      </c>
      <c r="C35" s="206">
        <v>31</v>
      </c>
      <c r="D35" s="206">
        <v>1</v>
      </c>
      <c r="E35" s="207" t="s">
        <v>138</v>
      </c>
      <c r="F35" s="207" t="s">
        <v>138</v>
      </c>
      <c r="G35" s="208" t="s">
        <v>139</v>
      </c>
      <c r="H35" s="214" t="s">
        <v>922</v>
      </c>
      <c r="I35" s="214">
        <v>0</v>
      </c>
      <c r="J35" s="209" t="s">
        <v>1012</v>
      </c>
      <c r="K35" s="209">
        <v>0</v>
      </c>
      <c r="L35" s="216" t="s">
        <v>668</v>
      </c>
      <c r="M35" s="206" t="s">
        <v>140</v>
      </c>
      <c r="N35" s="206" t="s">
        <v>697</v>
      </c>
      <c r="O35" s="206" t="s">
        <v>744</v>
      </c>
      <c r="P35" s="211">
        <f>IF($B35="N/A", "N/A", 1)</f>
        <v>1</v>
      </c>
      <c r="Q35" s="211">
        <f>IF($B35="N/A", "N/A", 1)</f>
        <v>1</v>
      </c>
      <c r="R35" s="211">
        <f>IF($B35="N/A", "N/A", 1)</f>
        <v>1</v>
      </c>
    </row>
    <row r="36" spans="1:18" ht="14.55" customHeight="1" x14ac:dyDescent="0.3">
      <c r="A36" s="258" t="s">
        <v>141</v>
      </c>
      <c r="B36" s="16" t="s">
        <v>640</v>
      </c>
      <c r="C36" s="206">
        <v>0</v>
      </c>
      <c r="D36" s="206">
        <v>1</v>
      </c>
      <c r="E36" s="207" t="s">
        <v>143</v>
      </c>
      <c r="F36" s="207" t="s">
        <v>142</v>
      </c>
      <c r="G36" s="207" t="s">
        <v>143</v>
      </c>
      <c r="H36" s="214" t="s">
        <v>923</v>
      </c>
      <c r="I36" s="214">
        <v>0</v>
      </c>
      <c r="J36" s="214" t="s">
        <v>1013</v>
      </c>
      <c r="K36" s="214">
        <v>0</v>
      </c>
      <c r="L36" s="210"/>
      <c r="M36" s="206" t="s">
        <v>87</v>
      </c>
      <c r="N36" s="206" t="s">
        <v>698</v>
      </c>
      <c r="O36" s="206" t="s">
        <v>522</v>
      </c>
      <c r="P36" s="210">
        <f ca="1">IF($B36="N/A", "N/A", VLOOKUP($B36, INDIRECT(Config!$B$1), HLOOKUP(P$1, INDIRECT(Config!$E$1), 2, FALSE),FALSE))</f>
        <v>0</v>
      </c>
      <c r="Q36" s="210">
        <f ca="1">IF($B36="N/A", "N/A", VLOOKUP($B36, INDIRECT(Config!$B$1), HLOOKUP(Q$1, INDIRECT(Config!$E$1), 2, FALSE),FALSE))</f>
        <v>0</v>
      </c>
      <c r="R36" s="210">
        <f ca="1">IF($B36="N/A", "N/A", VLOOKUP($B36, INDIRECT(Config!$B$1), HLOOKUP(R$1, INDIRECT(Config!$E$1), 2, FALSE),FALSE))</f>
        <v>0</v>
      </c>
    </row>
    <row r="37" spans="1:18" ht="14.55" customHeight="1" x14ac:dyDescent="0.3">
      <c r="A37" s="258"/>
      <c r="B37" s="16" t="s">
        <v>144</v>
      </c>
      <c r="C37" s="206">
        <v>1</v>
      </c>
      <c r="D37" s="206">
        <v>1</v>
      </c>
      <c r="E37" s="207" t="s">
        <v>146</v>
      </c>
      <c r="F37" s="207" t="s">
        <v>145</v>
      </c>
      <c r="G37" s="207" t="s">
        <v>146</v>
      </c>
      <c r="H37" s="214" t="s">
        <v>924</v>
      </c>
      <c r="I37" s="214">
        <v>0</v>
      </c>
      <c r="J37" s="214" t="s">
        <v>1014</v>
      </c>
      <c r="K37" s="214">
        <v>0</v>
      </c>
      <c r="L37" s="210"/>
      <c r="M37" s="206" t="s">
        <v>87</v>
      </c>
      <c r="N37" s="206" t="s">
        <v>699</v>
      </c>
      <c r="O37" s="206" t="s">
        <v>443</v>
      </c>
      <c r="P37" s="210">
        <f ca="1">IF($B37="N/A", "N/A", VLOOKUP($B37, INDIRECT(Config!$B$1), HLOOKUP(P$1, INDIRECT(Config!$E$1), 2, FALSE),FALSE))</f>
        <v>1</v>
      </c>
      <c r="Q37" s="210">
        <f ca="1">IF($B37="N/A", "N/A", VLOOKUP($B37, INDIRECT(Config!$B$1), HLOOKUP(Q$1, INDIRECT(Config!$E$1), 2, FALSE),FALSE))</f>
        <v>0</v>
      </c>
      <c r="R37" s="210">
        <f ca="1">IF($B37="N/A", "N/A", VLOOKUP($B37, INDIRECT(Config!$B$1), HLOOKUP(R$1, INDIRECT(Config!$E$1), 2, FALSE),FALSE))</f>
        <v>0</v>
      </c>
    </row>
    <row r="38" spans="1:18" ht="14.55" customHeight="1" x14ac:dyDescent="0.3">
      <c r="A38" s="258"/>
      <c r="B38" s="16" t="s">
        <v>147</v>
      </c>
      <c r="C38" s="206">
        <v>2</v>
      </c>
      <c r="D38" s="206">
        <v>1</v>
      </c>
      <c r="E38" s="207" t="s">
        <v>149</v>
      </c>
      <c r="F38" s="207" t="s">
        <v>148</v>
      </c>
      <c r="G38" s="207" t="s">
        <v>149</v>
      </c>
      <c r="H38" s="214" t="s">
        <v>925</v>
      </c>
      <c r="I38" s="214">
        <v>1</v>
      </c>
      <c r="J38" s="214" t="s">
        <v>1015</v>
      </c>
      <c r="K38" s="214">
        <v>0</v>
      </c>
      <c r="L38" s="210"/>
      <c r="M38" s="206" t="s">
        <v>87</v>
      </c>
      <c r="N38" s="206" t="s">
        <v>700</v>
      </c>
      <c r="O38" s="206" t="s">
        <v>444</v>
      </c>
      <c r="P38" s="210">
        <f ca="1">IF($B38="N/A", "N/A", VLOOKUP($B38, INDIRECT(Config!$B$1), HLOOKUP(P$1, INDIRECT(Config!$E$1), 2, FALSE),FALSE))</f>
        <v>1</v>
      </c>
      <c r="Q38" s="210">
        <f ca="1">IF($B38="N/A", "N/A", VLOOKUP($B38, INDIRECT(Config!$B$1), HLOOKUP(Q$1, INDIRECT(Config!$E$1), 2, FALSE),FALSE))</f>
        <v>0</v>
      </c>
      <c r="R38" s="210">
        <f ca="1">IF($B38="N/A", "N/A", VLOOKUP($B38, INDIRECT(Config!$B$1), HLOOKUP(R$1, INDIRECT(Config!$E$1), 2, FALSE),FALSE))</f>
        <v>0</v>
      </c>
    </row>
    <row r="39" spans="1:18" ht="14.55" customHeight="1" x14ac:dyDescent="0.3">
      <c r="A39" s="258"/>
      <c r="B39" s="4" t="s">
        <v>613</v>
      </c>
      <c r="C39" s="206">
        <v>3</v>
      </c>
      <c r="D39" s="206">
        <v>1</v>
      </c>
      <c r="E39" s="319" t="s">
        <v>150</v>
      </c>
      <c r="F39" s="207" t="s">
        <v>150</v>
      </c>
      <c r="G39" s="208" t="s">
        <v>151</v>
      </c>
      <c r="H39" s="214" t="s">
        <v>926</v>
      </c>
      <c r="I39" s="214">
        <v>0</v>
      </c>
      <c r="J39" s="209" t="s">
        <v>1016</v>
      </c>
      <c r="K39" s="209">
        <v>1</v>
      </c>
      <c r="L39" s="210"/>
      <c r="M39" s="206" t="s">
        <v>152</v>
      </c>
      <c r="N39" s="217" t="s">
        <v>1129</v>
      </c>
      <c r="O39" s="206" t="s">
        <v>521</v>
      </c>
      <c r="P39" s="211">
        <f>IF($B39="N/A", "N/A", 1)</f>
        <v>1</v>
      </c>
      <c r="Q39" s="211">
        <f>IF($B39="N/A", "N/A", 1)</f>
        <v>1</v>
      </c>
      <c r="R39" s="211">
        <f>IF($B39="N/A", "N/A", 1)</f>
        <v>1</v>
      </c>
    </row>
    <row r="40" spans="1:18" ht="14.55" customHeight="1" x14ac:dyDescent="0.3">
      <c r="A40" s="258"/>
      <c r="B40" s="16" t="s">
        <v>643</v>
      </c>
      <c r="C40" s="206">
        <v>4</v>
      </c>
      <c r="D40" s="206">
        <v>1</v>
      </c>
      <c r="E40" s="207" t="s">
        <v>154</v>
      </c>
      <c r="F40" s="207" t="s">
        <v>153</v>
      </c>
      <c r="G40" s="207" t="s">
        <v>154</v>
      </c>
      <c r="H40" s="214" t="s">
        <v>927</v>
      </c>
      <c r="I40" s="214">
        <v>1</v>
      </c>
      <c r="J40" s="214" t="s">
        <v>1017</v>
      </c>
      <c r="K40" s="214">
        <v>1</v>
      </c>
      <c r="L40" s="210"/>
      <c r="M40" s="206" t="s">
        <v>87</v>
      </c>
      <c r="N40" s="206" t="s">
        <v>701</v>
      </c>
      <c r="O40" s="206" t="s">
        <v>745</v>
      </c>
      <c r="P40" s="210">
        <f ca="1">IF($B40="N/A", "N/A", VLOOKUP($B40, INDIRECT(Config!$B$1), HLOOKUP(P$1, INDIRECT(Config!$E$1), 2, FALSE),FALSE))</f>
        <v>1</v>
      </c>
      <c r="Q40" s="210">
        <f ca="1">IF($B40="N/A", "N/A", VLOOKUP($B40, INDIRECT(Config!$B$1), HLOOKUP(Q$1, INDIRECT(Config!$E$1), 2, FALSE),FALSE))</f>
        <v>0</v>
      </c>
      <c r="R40" s="210">
        <f ca="1">IF($B40="N/A", "N/A", VLOOKUP($B40, INDIRECT(Config!$B$1), HLOOKUP(R$1, INDIRECT(Config!$E$1), 2, FALSE),FALSE))</f>
        <v>0</v>
      </c>
    </row>
    <row r="41" spans="1:18" ht="14.55" customHeight="1" x14ac:dyDescent="0.3">
      <c r="A41" s="258"/>
      <c r="B41" s="2" t="s">
        <v>636</v>
      </c>
      <c r="C41" s="208">
        <v>5</v>
      </c>
      <c r="D41" s="208">
        <v>1</v>
      </c>
      <c r="E41" s="207" t="s">
        <v>156</v>
      </c>
      <c r="F41" s="208" t="s">
        <v>155</v>
      </c>
      <c r="G41" s="207" t="s">
        <v>156</v>
      </c>
      <c r="H41" s="209" t="s">
        <v>928</v>
      </c>
      <c r="I41" s="209">
        <v>1</v>
      </c>
      <c r="J41" s="209" t="s">
        <v>1018</v>
      </c>
      <c r="K41" s="209">
        <v>0</v>
      </c>
      <c r="L41" s="210"/>
      <c r="M41" s="206" t="s">
        <v>87</v>
      </c>
      <c r="N41" s="206" t="s">
        <v>786</v>
      </c>
      <c r="O41" s="206" t="s">
        <v>521</v>
      </c>
      <c r="P41" s="210">
        <f ca="1">IF($B41="N/A", "N/A", VLOOKUP($B41, INDIRECT(Config!$B$1), HLOOKUP(P$1, INDIRECT(Config!$E$1), 2, FALSE),FALSE))</f>
        <v>0</v>
      </c>
      <c r="Q41" s="210">
        <f ca="1">IF($B41="N/A", "N/A", VLOOKUP($B41, INDIRECT(Config!$B$1), HLOOKUP(Q$1, INDIRECT(Config!$E$1), 2, FALSE),FALSE))</f>
        <v>0</v>
      </c>
      <c r="R41" s="210">
        <f ca="1">IF($B41="N/A", "N/A", VLOOKUP($B41, INDIRECT(Config!$B$1), HLOOKUP(R$1, INDIRECT(Config!$E$1), 2, FALSE),FALSE))</f>
        <v>0</v>
      </c>
    </row>
    <row r="42" spans="1:18" ht="14.55" customHeight="1" x14ac:dyDescent="0.3">
      <c r="A42" s="258"/>
      <c r="B42" s="4" t="s">
        <v>613</v>
      </c>
      <c r="C42" s="206">
        <v>6</v>
      </c>
      <c r="D42" s="206">
        <v>1</v>
      </c>
      <c r="E42" s="207" t="s">
        <v>157</v>
      </c>
      <c r="F42" s="207" t="s">
        <v>157</v>
      </c>
      <c r="G42" s="208" t="s">
        <v>158</v>
      </c>
      <c r="H42" s="209" t="s">
        <v>929</v>
      </c>
      <c r="I42" s="209">
        <v>0</v>
      </c>
      <c r="J42" s="209" t="s">
        <v>1019</v>
      </c>
      <c r="K42" s="209">
        <v>0</v>
      </c>
      <c r="L42" s="210"/>
      <c r="M42" s="206" t="s">
        <v>87</v>
      </c>
      <c r="N42" s="206" t="s">
        <v>702</v>
      </c>
      <c r="O42" s="206" t="s">
        <v>746</v>
      </c>
      <c r="P42" s="211">
        <f>IF($B42="N/A", "N/A", 1)</f>
        <v>1</v>
      </c>
      <c r="Q42" s="211">
        <f>IF($B42="N/A", "N/A", 1)</f>
        <v>1</v>
      </c>
      <c r="R42" s="211">
        <f>IF($B42="N/A", "N/A", 1)</f>
        <v>1</v>
      </c>
    </row>
    <row r="43" spans="1:18" ht="14.55" customHeight="1" x14ac:dyDescent="0.3">
      <c r="A43" s="258"/>
      <c r="B43" s="16" t="s">
        <v>645</v>
      </c>
      <c r="C43" s="206">
        <v>7</v>
      </c>
      <c r="D43" s="206">
        <v>1</v>
      </c>
      <c r="E43" s="207" t="s">
        <v>159</v>
      </c>
      <c r="F43" s="207" t="s">
        <v>159</v>
      </c>
      <c r="G43" s="207" t="s">
        <v>160</v>
      </c>
      <c r="H43" s="214" t="s">
        <v>930</v>
      </c>
      <c r="I43" s="214">
        <v>0</v>
      </c>
      <c r="J43" s="214" t="s">
        <v>1020</v>
      </c>
      <c r="K43" s="214">
        <v>1</v>
      </c>
      <c r="L43" s="210"/>
      <c r="M43" s="206" t="s">
        <v>87</v>
      </c>
      <c r="N43" s="206" t="s">
        <v>703</v>
      </c>
      <c r="O43" s="206" t="s">
        <v>747</v>
      </c>
      <c r="P43" s="210">
        <f ca="1">IF($B43="N/A", "N/A", VLOOKUP($B43, INDIRECT(Config!$B$1), HLOOKUP(P$1, INDIRECT(Config!$E$1), 2, FALSE),FALSE))</f>
        <v>1</v>
      </c>
      <c r="Q43" s="210">
        <f ca="1">IF($B43="N/A", "N/A", VLOOKUP($B43, INDIRECT(Config!$B$1), HLOOKUP(Q$1, INDIRECT(Config!$E$1), 2, FALSE),FALSE))</f>
        <v>0</v>
      </c>
      <c r="R43" s="210">
        <f ca="1">IF($B43="N/A", "N/A", VLOOKUP($B43, INDIRECT(Config!$B$1), HLOOKUP(R$1, INDIRECT(Config!$E$1), 2, FALSE),FALSE))</f>
        <v>1</v>
      </c>
    </row>
    <row r="44" spans="1:18" ht="14.55" customHeight="1" x14ac:dyDescent="0.3">
      <c r="A44" s="258"/>
      <c r="B44" s="2" t="s">
        <v>641</v>
      </c>
      <c r="C44" s="208">
        <v>8</v>
      </c>
      <c r="D44" s="208">
        <v>1</v>
      </c>
      <c r="E44" s="207" t="s">
        <v>162</v>
      </c>
      <c r="F44" s="208" t="s">
        <v>161</v>
      </c>
      <c r="G44" s="207" t="s">
        <v>162</v>
      </c>
      <c r="H44" s="209" t="s">
        <v>931</v>
      </c>
      <c r="I44" s="209">
        <v>0</v>
      </c>
      <c r="J44" s="209" t="s">
        <v>1021</v>
      </c>
      <c r="K44" s="209">
        <v>0</v>
      </c>
      <c r="L44" s="210"/>
      <c r="M44" s="206" t="s">
        <v>87</v>
      </c>
      <c r="N44" s="206" t="s">
        <v>704</v>
      </c>
      <c r="O44" s="206" t="s">
        <v>521</v>
      </c>
      <c r="P44" s="210">
        <f ca="1">IF($B44="N/A", "N/A", VLOOKUP($B44, INDIRECT(Config!$B$1), HLOOKUP(P$1, INDIRECT(Config!$E$1), 2, FALSE),FALSE))</f>
        <v>1</v>
      </c>
      <c r="Q44" s="210">
        <f ca="1">IF($B44="N/A", "N/A", VLOOKUP($B44, INDIRECT(Config!$B$1), HLOOKUP(Q$1, INDIRECT(Config!$E$1), 2, FALSE),FALSE))</f>
        <v>0</v>
      </c>
      <c r="R44" s="210">
        <f ca="1">IF($B44="N/A", "N/A", VLOOKUP($B44, INDIRECT(Config!$B$1), HLOOKUP(R$1, INDIRECT(Config!$E$1), 2, FALSE),FALSE))</f>
        <v>0</v>
      </c>
    </row>
    <row r="45" spans="1:18" ht="14.55" customHeight="1" x14ac:dyDescent="0.3">
      <c r="A45" s="258"/>
      <c r="B45" s="4" t="s">
        <v>613</v>
      </c>
      <c r="C45" s="206">
        <v>9</v>
      </c>
      <c r="D45" s="206">
        <v>3</v>
      </c>
      <c r="E45" s="207" t="s">
        <v>163</v>
      </c>
      <c r="F45" s="207" t="s">
        <v>163</v>
      </c>
      <c r="G45" s="208" t="s">
        <v>164</v>
      </c>
      <c r="H45" s="209" t="s">
        <v>966</v>
      </c>
      <c r="I45" s="209">
        <v>4</v>
      </c>
      <c r="J45" s="209" t="s">
        <v>1022</v>
      </c>
      <c r="K45" s="209">
        <v>0</v>
      </c>
      <c r="L45" s="210"/>
      <c r="M45" s="206" t="s">
        <v>128</v>
      </c>
      <c r="N45" s="206" t="s">
        <v>705</v>
      </c>
      <c r="O45" s="206" t="s">
        <v>748</v>
      </c>
      <c r="P45" s="211">
        <f>IF($B45="N/A", "N/A", 1)</f>
        <v>1</v>
      </c>
      <c r="Q45" s="211">
        <f>IF($B45="N/A", "N/A", 1)</f>
        <v>1</v>
      </c>
      <c r="R45" s="211">
        <f>IF($B45="N/A", "N/A", 1)</f>
        <v>1</v>
      </c>
    </row>
    <row r="46" spans="1:18" ht="14.55" customHeight="1" x14ac:dyDescent="0.3">
      <c r="A46" s="258"/>
      <c r="B46" s="2" t="s">
        <v>642</v>
      </c>
      <c r="C46" s="208">
        <v>12</v>
      </c>
      <c r="D46" s="208">
        <v>1</v>
      </c>
      <c r="E46" s="207" t="s">
        <v>166</v>
      </c>
      <c r="F46" s="208" t="s">
        <v>165</v>
      </c>
      <c r="G46" s="207" t="s">
        <v>166</v>
      </c>
      <c r="H46" s="214" t="s">
        <v>932</v>
      </c>
      <c r="I46" s="214">
        <v>0</v>
      </c>
      <c r="J46" s="214" t="s">
        <v>1023</v>
      </c>
      <c r="K46" s="214">
        <v>0</v>
      </c>
      <c r="L46" s="210"/>
      <c r="M46" s="206" t="s">
        <v>87</v>
      </c>
      <c r="N46" s="206" t="s">
        <v>706</v>
      </c>
      <c r="O46" s="206" t="s">
        <v>522</v>
      </c>
      <c r="P46" s="210">
        <f ca="1">IF($B46="N/A", "N/A", VLOOKUP($B46, INDIRECT(Config!$B$1), HLOOKUP(P$1, INDIRECT(Config!$E$1), 2, FALSE),FALSE))</f>
        <v>0</v>
      </c>
      <c r="Q46" s="210">
        <f ca="1">IF($B46="N/A", "N/A", VLOOKUP($B46, INDIRECT(Config!$B$1), HLOOKUP(Q$1, INDIRECT(Config!$E$1), 2, FALSE),FALSE))</f>
        <v>0</v>
      </c>
      <c r="R46" s="210">
        <f ca="1">IF($B46="N/A", "N/A", VLOOKUP($B46, INDIRECT(Config!$B$1), HLOOKUP(R$1, INDIRECT(Config!$E$1), 2, FALSE),FALSE))</f>
        <v>0</v>
      </c>
    </row>
    <row r="47" spans="1:18" ht="14.55" customHeight="1" x14ac:dyDescent="0.3">
      <c r="A47" s="258"/>
      <c r="B47" s="16" t="s">
        <v>651</v>
      </c>
      <c r="C47" s="206">
        <v>13</v>
      </c>
      <c r="D47" s="206">
        <v>1</v>
      </c>
      <c r="E47" s="207" t="s">
        <v>167</v>
      </c>
      <c r="F47" s="207" t="s">
        <v>167</v>
      </c>
      <c r="G47" s="207" t="s">
        <v>168</v>
      </c>
      <c r="H47" s="214" t="s">
        <v>933</v>
      </c>
      <c r="I47" s="214">
        <v>0</v>
      </c>
      <c r="J47" s="214" t="s">
        <v>1024</v>
      </c>
      <c r="K47" s="214">
        <v>1</v>
      </c>
      <c r="L47" s="210"/>
      <c r="M47" s="206" t="s">
        <v>128</v>
      </c>
      <c r="N47" s="206" t="s">
        <v>707</v>
      </c>
      <c r="O47" s="206" t="s">
        <v>522</v>
      </c>
      <c r="P47" s="210">
        <f ca="1">IF($B47="N/A", "N/A", VLOOKUP($B47, INDIRECT(Config!$B$1), HLOOKUP(P$1, INDIRECT(Config!$E$1), 2, FALSE),FALSE))</f>
        <v>1</v>
      </c>
      <c r="Q47" s="210">
        <f ca="1">IF($B47="N/A", "N/A", VLOOKUP($B47, INDIRECT(Config!$B$1), HLOOKUP(Q$1, INDIRECT(Config!$E$1), 2, FALSE),FALSE))</f>
        <v>0</v>
      </c>
      <c r="R47" s="210">
        <f ca="1">IF($B47="N/A", "N/A", VLOOKUP($B47, INDIRECT(Config!$B$1), HLOOKUP(R$1, INDIRECT(Config!$E$1), 2, FALSE),FALSE))</f>
        <v>1</v>
      </c>
    </row>
    <row r="48" spans="1:18" ht="14.55" customHeight="1" x14ac:dyDescent="0.3">
      <c r="A48" s="258"/>
      <c r="B48" s="2" t="s">
        <v>639</v>
      </c>
      <c r="C48" s="208">
        <v>14</v>
      </c>
      <c r="D48" s="208">
        <v>1</v>
      </c>
      <c r="E48" s="207" t="s">
        <v>170</v>
      </c>
      <c r="F48" s="208" t="s">
        <v>169</v>
      </c>
      <c r="G48" s="207" t="s">
        <v>170</v>
      </c>
      <c r="H48" s="214" t="s">
        <v>934</v>
      </c>
      <c r="I48" s="214">
        <v>1</v>
      </c>
      <c r="J48" s="214" t="s">
        <v>1025</v>
      </c>
      <c r="K48" s="214">
        <v>0</v>
      </c>
      <c r="L48" s="210"/>
      <c r="M48" s="206" t="s">
        <v>87</v>
      </c>
      <c r="N48" s="206" t="s">
        <v>708</v>
      </c>
      <c r="O48" s="206" t="s">
        <v>522</v>
      </c>
      <c r="P48" s="210">
        <f ca="1">IF($B48="N/A", "N/A", VLOOKUP($B48, INDIRECT(Config!$B$1), HLOOKUP(P$1, INDIRECT(Config!$E$1), 2, FALSE),FALSE))</f>
        <v>0</v>
      </c>
      <c r="Q48" s="210">
        <f ca="1">IF($B48="N/A", "N/A", VLOOKUP($B48, INDIRECT(Config!$B$1), HLOOKUP(Q$1, INDIRECT(Config!$E$1), 2, FALSE),FALSE))</f>
        <v>0</v>
      </c>
      <c r="R48" s="210">
        <f ca="1">IF($B48="N/A", "N/A", VLOOKUP($B48, INDIRECT(Config!$B$1), HLOOKUP(R$1, INDIRECT(Config!$E$1), 2, FALSE),FALSE))</f>
        <v>0</v>
      </c>
    </row>
    <row r="49" spans="1:18" ht="14.55" customHeight="1" x14ac:dyDescent="0.3">
      <c r="A49" s="258"/>
      <c r="B49" s="16" t="s">
        <v>637</v>
      </c>
      <c r="C49" s="206">
        <v>15</v>
      </c>
      <c r="D49" s="206">
        <v>1</v>
      </c>
      <c r="E49" s="207" t="s">
        <v>673</v>
      </c>
      <c r="F49" s="207" t="s">
        <v>673</v>
      </c>
      <c r="G49" s="207" t="s">
        <v>171</v>
      </c>
      <c r="H49" s="214" t="s">
        <v>935</v>
      </c>
      <c r="I49" s="214">
        <v>0</v>
      </c>
      <c r="J49" s="214" t="s">
        <v>1026</v>
      </c>
      <c r="K49" s="214">
        <v>1</v>
      </c>
      <c r="L49" s="210"/>
      <c r="M49" s="206" t="s">
        <v>128</v>
      </c>
      <c r="N49" s="206" t="s">
        <v>709</v>
      </c>
      <c r="O49" s="206" t="s">
        <v>522</v>
      </c>
      <c r="P49" s="210">
        <f ca="1">IF($B49="N/A", "N/A", VLOOKUP($B49, INDIRECT(Config!$B$1), HLOOKUP(P$1, INDIRECT(Config!$E$1), 2, FALSE),FALSE))</f>
        <v>1</v>
      </c>
      <c r="Q49" s="210">
        <f ca="1">IF($B49="N/A", "N/A", VLOOKUP($B49, INDIRECT(Config!$B$1), HLOOKUP(Q$1, INDIRECT(Config!$E$1), 2, FALSE),FALSE))</f>
        <v>0</v>
      </c>
      <c r="R49" s="210">
        <f ca="1">IF($B49="N/A", "N/A", VLOOKUP($B49, INDIRECT(Config!$B$1), HLOOKUP(R$1, INDIRECT(Config!$E$1), 2, FALSE),FALSE))</f>
        <v>1</v>
      </c>
    </row>
    <row r="50" spans="1:18" ht="14.55" customHeight="1" x14ac:dyDescent="0.3">
      <c r="A50" s="258"/>
      <c r="B50" s="16" t="s">
        <v>172</v>
      </c>
      <c r="C50" s="206">
        <v>16</v>
      </c>
      <c r="D50" s="206">
        <v>1</v>
      </c>
      <c r="E50" s="207" t="s">
        <v>174</v>
      </c>
      <c r="F50" s="207" t="s">
        <v>173</v>
      </c>
      <c r="G50" s="207" t="s">
        <v>174</v>
      </c>
      <c r="H50" s="214" t="s">
        <v>936</v>
      </c>
      <c r="I50" s="214">
        <v>1</v>
      </c>
      <c r="J50" s="214" t="s">
        <v>1027</v>
      </c>
      <c r="K50" s="214">
        <v>1</v>
      </c>
      <c r="L50" s="210"/>
      <c r="M50" s="206" t="s">
        <v>175</v>
      </c>
      <c r="N50" s="206" t="s">
        <v>710</v>
      </c>
      <c r="O50" s="206" t="s">
        <v>445</v>
      </c>
      <c r="P50" s="210">
        <f ca="1">IF($B50="N/A", "N/A", VLOOKUP($B50, INDIRECT(Config!$B$1), HLOOKUP(P$1, INDIRECT(Config!$E$1), 2, FALSE),FALSE))</f>
        <v>1</v>
      </c>
      <c r="Q50" s="210">
        <f ca="1">IF($B50="N/A", "N/A", VLOOKUP($B50, INDIRECT(Config!$B$1), HLOOKUP(Q$1, INDIRECT(Config!$E$1), 2, FALSE),FALSE))</f>
        <v>0</v>
      </c>
      <c r="R50" s="210">
        <f ca="1">IF($B50="N/A", "N/A", VLOOKUP($B50, INDIRECT(Config!$B$1), HLOOKUP(R$1, INDIRECT(Config!$E$1), 2, FALSE),FALSE))</f>
        <v>0</v>
      </c>
    </row>
    <row r="51" spans="1:18" ht="14.55" customHeight="1" x14ac:dyDescent="0.3">
      <c r="A51" s="258"/>
      <c r="B51" s="16" t="s">
        <v>172</v>
      </c>
      <c r="C51" s="206">
        <v>17</v>
      </c>
      <c r="D51" s="206">
        <v>1</v>
      </c>
      <c r="E51" s="207" t="s">
        <v>177</v>
      </c>
      <c r="F51" s="207" t="s">
        <v>176</v>
      </c>
      <c r="G51" s="207" t="s">
        <v>177</v>
      </c>
      <c r="H51" s="214" t="s">
        <v>937</v>
      </c>
      <c r="I51" s="214">
        <v>0</v>
      </c>
      <c r="J51" s="214" t="s">
        <v>1028</v>
      </c>
      <c r="K51" s="214">
        <v>0</v>
      </c>
      <c r="L51" s="210"/>
      <c r="M51" s="206" t="s">
        <v>175</v>
      </c>
      <c r="N51" s="206" t="s">
        <v>711</v>
      </c>
      <c r="O51" s="206" t="s">
        <v>446</v>
      </c>
      <c r="P51" s="210">
        <f ca="1">IF($B51="N/A", "N/A", VLOOKUP($B51, INDIRECT(Config!$B$1), HLOOKUP(P$1, INDIRECT(Config!$E$1), 2, FALSE),FALSE))</f>
        <v>1</v>
      </c>
      <c r="Q51" s="210">
        <f ca="1">IF($B51="N/A", "N/A", VLOOKUP($B51, INDIRECT(Config!$B$1), HLOOKUP(Q$1, INDIRECT(Config!$E$1), 2, FALSE),FALSE))</f>
        <v>0</v>
      </c>
      <c r="R51" s="210">
        <f ca="1">IF($B51="N/A", "N/A", VLOOKUP($B51, INDIRECT(Config!$B$1), HLOOKUP(R$1, INDIRECT(Config!$E$1), 2, FALSE),FALSE))</f>
        <v>0</v>
      </c>
    </row>
    <row r="52" spans="1:18" ht="14.55" customHeight="1" x14ac:dyDescent="0.3">
      <c r="A52" s="258"/>
      <c r="B52" s="16" t="s">
        <v>172</v>
      </c>
      <c r="C52" s="206">
        <v>18</v>
      </c>
      <c r="D52" s="206">
        <v>1</v>
      </c>
      <c r="E52" s="207" t="s">
        <v>179</v>
      </c>
      <c r="F52" s="207" t="s">
        <v>178</v>
      </c>
      <c r="G52" s="207" t="s">
        <v>179</v>
      </c>
      <c r="H52" s="214" t="s">
        <v>938</v>
      </c>
      <c r="I52" s="214">
        <v>0</v>
      </c>
      <c r="J52" s="214" t="s">
        <v>1029</v>
      </c>
      <c r="K52" s="214">
        <v>0</v>
      </c>
      <c r="L52" s="210"/>
      <c r="M52" s="206" t="s">
        <v>175</v>
      </c>
      <c r="N52" s="206" t="s">
        <v>712</v>
      </c>
      <c r="O52" s="206" t="s">
        <v>447</v>
      </c>
      <c r="P52" s="210">
        <f ca="1">IF($B52="N/A", "N/A", VLOOKUP($B52, INDIRECT(Config!$B$1), HLOOKUP(P$1, INDIRECT(Config!$E$1), 2, FALSE),FALSE))</f>
        <v>1</v>
      </c>
      <c r="Q52" s="210">
        <f ca="1">IF($B52="N/A", "N/A", VLOOKUP($B52, INDIRECT(Config!$B$1), HLOOKUP(Q$1, INDIRECT(Config!$E$1), 2, FALSE),FALSE))</f>
        <v>0</v>
      </c>
      <c r="R52" s="210">
        <f ca="1">IF($B52="N/A", "N/A", VLOOKUP($B52, INDIRECT(Config!$B$1), HLOOKUP(R$1, INDIRECT(Config!$E$1), 2, FALSE),FALSE))</f>
        <v>0</v>
      </c>
    </row>
    <row r="53" spans="1:18" ht="14.55" customHeight="1" x14ac:dyDescent="0.3">
      <c r="A53" s="258"/>
      <c r="B53" s="16" t="s">
        <v>638</v>
      </c>
      <c r="C53" s="206">
        <v>19</v>
      </c>
      <c r="D53" s="206">
        <v>1</v>
      </c>
      <c r="E53" s="207" t="s">
        <v>181</v>
      </c>
      <c r="F53" s="207" t="s">
        <v>180</v>
      </c>
      <c r="G53" s="207" t="s">
        <v>181</v>
      </c>
      <c r="H53" s="214" t="s">
        <v>939</v>
      </c>
      <c r="I53" s="214">
        <v>0</v>
      </c>
      <c r="J53" s="214" t="s">
        <v>1030</v>
      </c>
      <c r="K53" s="214">
        <v>1</v>
      </c>
      <c r="L53" s="210"/>
      <c r="M53" s="206" t="s">
        <v>87</v>
      </c>
      <c r="N53" s="206" t="s">
        <v>713</v>
      </c>
      <c r="O53" s="206" t="s">
        <v>523</v>
      </c>
      <c r="P53" s="210">
        <f ca="1">IF($B53="N/A", "N/A", VLOOKUP($B53, INDIRECT(Config!$B$1), HLOOKUP(P$1, INDIRECT(Config!$E$1), 2, FALSE),FALSE))</f>
        <v>1</v>
      </c>
      <c r="Q53" s="210">
        <f ca="1">IF($B53="N/A", "N/A", VLOOKUP($B53, INDIRECT(Config!$B$1), HLOOKUP(Q$1, INDIRECT(Config!$E$1), 2, FALSE),FALSE))</f>
        <v>0</v>
      </c>
      <c r="R53" s="210">
        <f ca="1">IF($B53="N/A", "N/A", VLOOKUP($B53, INDIRECT(Config!$B$1), HLOOKUP(R$1, INDIRECT(Config!$E$1), 2, FALSE),FALSE))</f>
        <v>0</v>
      </c>
    </row>
    <row r="54" spans="1:18" ht="14.55" customHeight="1" x14ac:dyDescent="0.3">
      <c r="A54" s="258"/>
      <c r="B54" s="16" t="s">
        <v>635</v>
      </c>
      <c r="C54" s="206">
        <v>20</v>
      </c>
      <c r="D54" s="206">
        <v>1</v>
      </c>
      <c r="E54" s="207" t="s">
        <v>183</v>
      </c>
      <c r="F54" s="207" t="s">
        <v>182</v>
      </c>
      <c r="G54" s="207" t="s">
        <v>183</v>
      </c>
      <c r="H54" s="214" t="s">
        <v>940</v>
      </c>
      <c r="I54" s="214">
        <v>0</v>
      </c>
      <c r="J54" s="214" t="s">
        <v>1031</v>
      </c>
      <c r="K54" s="214">
        <v>1</v>
      </c>
      <c r="L54" s="210"/>
      <c r="M54" s="206" t="s">
        <v>87</v>
      </c>
      <c r="N54" s="206" t="s">
        <v>714</v>
      </c>
      <c r="O54" s="206" t="s">
        <v>524</v>
      </c>
      <c r="P54" s="210">
        <f ca="1">IF($B54="N/A", "N/A", VLOOKUP($B54, INDIRECT(Config!$B$1), HLOOKUP(P$1, INDIRECT(Config!$E$1), 2, FALSE),FALSE))</f>
        <v>1</v>
      </c>
      <c r="Q54" s="210">
        <f ca="1">IF($B54="N/A", "N/A", VLOOKUP($B54, INDIRECT(Config!$B$1), HLOOKUP(Q$1, INDIRECT(Config!$E$1), 2, FALSE),FALSE))</f>
        <v>0</v>
      </c>
      <c r="R54" s="210">
        <f ca="1">IF($B54="N/A", "N/A", VLOOKUP($B54, INDIRECT(Config!$B$1), HLOOKUP(R$1, INDIRECT(Config!$E$1), 2, FALSE),FALSE))</f>
        <v>0</v>
      </c>
    </row>
    <row r="55" spans="1:18" ht="14.55" customHeight="1" x14ac:dyDescent="0.3">
      <c r="A55" s="258"/>
      <c r="B55" s="16" t="s">
        <v>644</v>
      </c>
      <c r="C55" s="206">
        <v>21</v>
      </c>
      <c r="D55" s="206">
        <v>1</v>
      </c>
      <c r="E55" s="207" t="s">
        <v>185</v>
      </c>
      <c r="F55" s="207" t="s">
        <v>184</v>
      </c>
      <c r="G55" s="207" t="s">
        <v>185</v>
      </c>
      <c r="H55" s="214" t="s">
        <v>941</v>
      </c>
      <c r="I55" s="214">
        <v>0</v>
      </c>
      <c r="J55" s="214" t="s">
        <v>1032</v>
      </c>
      <c r="K55" s="214">
        <v>1</v>
      </c>
      <c r="L55" s="210"/>
      <c r="M55" s="206" t="s">
        <v>87</v>
      </c>
      <c r="N55" s="206" t="s">
        <v>715</v>
      </c>
      <c r="O55" s="206" t="s">
        <v>448</v>
      </c>
      <c r="P55" s="210">
        <f ca="1">IF($B55="N/A", "N/A", VLOOKUP($B55, INDIRECT(Config!$B$1), HLOOKUP(P$1, INDIRECT(Config!$E$1), 2, FALSE),FALSE))</f>
        <v>1</v>
      </c>
      <c r="Q55" s="210">
        <f ca="1">IF($B55="N/A", "N/A", VLOOKUP($B55, INDIRECT(Config!$B$1), HLOOKUP(Q$1, INDIRECT(Config!$E$1), 2, FALSE),FALSE))</f>
        <v>0</v>
      </c>
      <c r="R55" s="210">
        <f ca="1">IF($B55="N/A", "N/A", VLOOKUP($B55, INDIRECT(Config!$B$1), HLOOKUP(R$1, INDIRECT(Config!$E$1), 2, FALSE),FALSE))</f>
        <v>0</v>
      </c>
    </row>
    <row r="56" spans="1:18" ht="14.55" customHeight="1" x14ac:dyDescent="0.3">
      <c r="A56" s="258"/>
      <c r="B56" s="16" t="s">
        <v>186</v>
      </c>
      <c r="C56" s="206">
        <v>22</v>
      </c>
      <c r="D56" s="206">
        <v>2</v>
      </c>
      <c r="E56" s="207" t="s">
        <v>188</v>
      </c>
      <c r="F56" s="207" t="s">
        <v>187</v>
      </c>
      <c r="G56" s="207" t="s">
        <v>188</v>
      </c>
      <c r="H56" s="209" t="s">
        <v>967</v>
      </c>
      <c r="I56" s="209">
        <v>2</v>
      </c>
      <c r="J56" s="209" t="s">
        <v>1033</v>
      </c>
      <c r="K56" s="209">
        <v>0</v>
      </c>
      <c r="L56" s="210"/>
      <c r="M56" s="206" t="s">
        <v>87</v>
      </c>
      <c r="N56" s="206" t="s">
        <v>716</v>
      </c>
      <c r="O56" s="206" t="s">
        <v>449</v>
      </c>
      <c r="P56" s="210">
        <f ca="1">IF($B56="N/A", "N/A", VLOOKUP($B56, INDIRECT(Config!$B$1), HLOOKUP(P$1, INDIRECT(Config!$E$1), 2, FALSE),FALSE))</f>
        <v>1</v>
      </c>
      <c r="Q56" s="210">
        <f ca="1">IF($B56="N/A", "N/A", VLOOKUP($B56, INDIRECT(Config!$B$1), HLOOKUP(Q$1, INDIRECT(Config!$E$1), 2, FALSE),FALSE))</f>
        <v>0</v>
      </c>
      <c r="R56" s="210">
        <f ca="1">IF($B56="N/A", "N/A", VLOOKUP($B56, INDIRECT(Config!$B$1), HLOOKUP(R$1, INDIRECT(Config!$E$1), 2, FALSE),FALSE))</f>
        <v>0</v>
      </c>
    </row>
    <row r="57" spans="1:18" ht="14.55" customHeight="1" x14ac:dyDescent="0.3">
      <c r="A57" s="258"/>
      <c r="B57" s="4" t="s">
        <v>613</v>
      </c>
      <c r="C57" s="206">
        <v>24</v>
      </c>
      <c r="D57" s="206">
        <v>8</v>
      </c>
      <c r="E57" s="207" t="s">
        <v>189</v>
      </c>
      <c r="F57" s="207" t="s">
        <v>189</v>
      </c>
      <c r="G57" s="208" t="s">
        <v>190</v>
      </c>
      <c r="H57" s="209" t="s">
        <v>1089</v>
      </c>
      <c r="I57" s="209">
        <v>0</v>
      </c>
      <c r="J57" s="209" t="s">
        <v>1088</v>
      </c>
      <c r="K57" s="209">
        <v>0</v>
      </c>
      <c r="L57" s="210" t="s">
        <v>17</v>
      </c>
      <c r="M57" s="206" t="s">
        <v>87</v>
      </c>
      <c r="N57" s="206" t="s">
        <v>717</v>
      </c>
      <c r="O57" s="206" t="s">
        <v>450</v>
      </c>
      <c r="P57" s="211">
        <f>IF($B57="N/A", "N/A", 1)</f>
        <v>1</v>
      </c>
      <c r="Q57" s="211">
        <f>IF($B57="N/A", "N/A", 1)</f>
        <v>1</v>
      </c>
      <c r="R57" s="211">
        <f>IF($B57="N/A", "N/A", 1)</f>
        <v>1</v>
      </c>
    </row>
    <row r="58" spans="1:18" ht="14.55" customHeight="1" x14ac:dyDescent="0.3">
      <c r="A58" s="258" t="s">
        <v>191</v>
      </c>
      <c r="B58" s="16" t="s">
        <v>394</v>
      </c>
      <c r="C58" s="206">
        <v>0</v>
      </c>
      <c r="D58" s="206">
        <v>15</v>
      </c>
      <c r="E58" s="207" t="s">
        <v>192</v>
      </c>
      <c r="F58" s="207" t="s">
        <v>192</v>
      </c>
      <c r="G58" s="208" t="s">
        <v>193</v>
      </c>
      <c r="H58" s="209" t="s">
        <v>968</v>
      </c>
      <c r="I58" s="209" t="s">
        <v>1145</v>
      </c>
      <c r="J58" s="209" t="s">
        <v>1034</v>
      </c>
      <c r="K58" s="209" t="s">
        <v>1145</v>
      </c>
      <c r="L58" s="318" t="s">
        <v>668</v>
      </c>
      <c r="M58" s="206" t="s">
        <v>87</v>
      </c>
      <c r="N58" s="206" t="s">
        <v>718</v>
      </c>
      <c r="O58" s="206" t="s">
        <v>451</v>
      </c>
      <c r="P58" s="210">
        <f ca="1">IF($B58="N/A", "N/A", VLOOKUP($B58, INDIRECT(Config!$B$1), HLOOKUP(P$1, INDIRECT(Config!$E$1), 2, FALSE),FALSE))</f>
        <v>13</v>
      </c>
      <c r="Q58" s="210">
        <f ca="1">IF($B58="N/A", "N/A", VLOOKUP($B58, INDIRECT(Config!$B$1), HLOOKUP(Q$1, INDIRECT(Config!$E$1), 2, FALSE),FALSE))</f>
        <v>4</v>
      </c>
      <c r="R58" s="210">
        <f ca="1">IF($B58="N/A", "N/A", VLOOKUP($B58, INDIRECT(Config!$B$1), HLOOKUP(R$1, INDIRECT(Config!$E$1), 2, FALSE),FALSE))</f>
        <v>5</v>
      </c>
    </row>
    <row r="59" spans="1:18" ht="14.55" customHeight="1" x14ac:dyDescent="0.3">
      <c r="A59" s="258"/>
      <c r="B59" s="16" t="s">
        <v>646</v>
      </c>
      <c r="C59" s="206">
        <v>15</v>
      </c>
      <c r="D59" s="206">
        <v>1</v>
      </c>
      <c r="E59" s="207" t="s">
        <v>195</v>
      </c>
      <c r="F59" s="207" t="s">
        <v>194</v>
      </c>
      <c r="G59" s="207" t="s">
        <v>195</v>
      </c>
      <c r="H59" s="209" t="s">
        <v>942</v>
      </c>
      <c r="I59" s="209">
        <v>0</v>
      </c>
      <c r="J59" s="209" t="s">
        <v>1035</v>
      </c>
      <c r="K59" s="209">
        <v>1</v>
      </c>
      <c r="L59" s="318" t="s">
        <v>1109</v>
      </c>
      <c r="M59" s="206" t="s">
        <v>87</v>
      </c>
      <c r="N59" s="206" t="s">
        <v>719</v>
      </c>
      <c r="O59" s="206" t="s">
        <v>452</v>
      </c>
      <c r="P59" s="210">
        <f ca="1">IF($B59="N/A", "N/A", VLOOKUP($B59, INDIRECT(Config!$B$1), HLOOKUP(P$1, INDIRECT(Config!$E$1), 2, FALSE),FALSE))</f>
        <v>1</v>
      </c>
      <c r="Q59" s="210">
        <f ca="1">IF($B59="N/A", "N/A", VLOOKUP($B59, INDIRECT(Config!$B$1), HLOOKUP(Q$1, INDIRECT(Config!$E$1), 2, FALSE),FALSE))</f>
        <v>0</v>
      </c>
      <c r="R59" s="210">
        <f ca="1">IF($B59="N/A", "N/A", VLOOKUP($B59, INDIRECT(Config!$B$1), HLOOKUP(R$1, INDIRECT(Config!$E$1), 2, FALSE),FALSE))</f>
        <v>0</v>
      </c>
    </row>
    <row r="60" spans="1:18" ht="14.55" customHeight="1" x14ac:dyDescent="0.3">
      <c r="A60" s="258"/>
      <c r="B60" s="16" t="s">
        <v>650</v>
      </c>
      <c r="C60" s="206">
        <v>16</v>
      </c>
      <c r="D60" s="206">
        <v>1</v>
      </c>
      <c r="E60" s="207" t="s">
        <v>197</v>
      </c>
      <c r="F60" s="207" t="s">
        <v>196</v>
      </c>
      <c r="G60" s="207" t="s">
        <v>197</v>
      </c>
      <c r="H60" s="209" t="s">
        <v>943</v>
      </c>
      <c r="I60" s="209">
        <v>0</v>
      </c>
      <c r="J60" s="209" t="s">
        <v>1036</v>
      </c>
      <c r="K60" s="209">
        <v>0</v>
      </c>
      <c r="L60" s="210"/>
      <c r="M60" s="206" t="s">
        <v>87</v>
      </c>
      <c r="N60" s="206" t="s">
        <v>720</v>
      </c>
      <c r="O60" s="206" t="s">
        <v>453</v>
      </c>
      <c r="P60" s="210">
        <f ca="1">IF($B60="N/A", "N/A", VLOOKUP($B60, INDIRECT(Config!$B$1), HLOOKUP(P$1, INDIRECT(Config!$E$1), 2, FALSE),FALSE))</f>
        <v>1</v>
      </c>
      <c r="Q60" s="210">
        <f ca="1">IF($B60="N/A", "N/A", VLOOKUP($B60, INDIRECT(Config!$B$1), HLOOKUP(Q$1, INDIRECT(Config!$E$1), 2, FALSE),FALSE))</f>
        <v>0</v>
      </c>
      <c r="R60" s="210">
        <f ca="1">IF($B60="N/A", "N/A", VLOOKUP($B60, INDIRECT(Config!$B$1), HLOOKUP(R$1, INDIRECT(Config!$E$1), 2, FALSE),FALSE))</f>
        <v>0</v>
      </c>
    </row>
    <row r="61" spans="1:18" ht="14.55" customHeight="1" x14ac:dyDescent="0.3">
      <c r="A61" s="258"/>
      <c r="B61" s="7" t="s">
        <v>536</v>
      </c>
      <c r="C61" s="206">
        <v>17</v>
      </c>
      <c r="D61" s="206">
        <v>1</v>
      </c>
      <c r="E61" s="319" t="s">
        <v>237</v>
      </c>
      <c r="F61" s="218" t="s">
        <v>237</v>
      </c>
      <c r="G61" s="206" t="s">
        <v>198</v>
      </c>
      <c r="H61" s="209" t="s">
        <v>944</v>
      </c>
      <c r="I61" s="209">
        <v>0</v>
      </c>
      <c r="J61" s="209" t="s">
        <v>1037</v>
      </c>
      <c r="K61" s="209">
        <v>0</v>
      </c>
      <c r="L61" s="206"/>
      <c r="M61" s="206" t="s">
        <v>87</v>
      </c>
      <c r="N61" s="206" t="s">
        <v>806</v>
      </c>
      <c r="O61" s="206" t="s">
        <v>544</v>
      </c>
      <c r="P61" s="210">
        <f ca="1">IF($B61="N/A", "N/A", VLOOKUP($B61, INDIRECT(Config!$B$1), HLOOKUP(P$1, INDIRECT(Config!$E$1), 2, FALSE),FALSE))</f>
        <v>0</v>
      </c>
      <c r="Q61" s="210">
        <f ca="1">IF($B61="N/A", "N/A", VLOOKUP($B61, INDIRECT(Config!$B$1), HLOOKUP(Q$1, INDIRECT(Config!$E$1), 2, FALSE),FALSE))</f>
        <v>0</v>
      </c>
      <c r="R61" s="210">
        <f ca="1">IF($B61="N/A", "N/A", VLOOKUP($B61, INDIRECT(Config!$B$1), HLOOKUP(R$1, INDIRECT(Config!$E$1), 2, FALSE),FALSE))</f>
        <v>1</v>
      </c>
    </row>
    <row r="62" spans="1:18" ht="14.55" customHeight="1" x14ac:dyDescent="0.3">
      <c r="A62" s="258"/>
      <c r="B62" s="4" t="s">
        <v>613</v>
      </c>
      <c r="C62" s="206">
        <v>18</v>
      </c>
      <c r="D62" s="206">
        <v>3</v>
      </c>
      <c r="E62" s="207" t="s">
        <v>199</v>
      </c>
      <c r="F62" s="207" t="s">
        <v>199</v>
      </c>
      <c r="G62" s="208" t="s">
        <v>200</v>
      </c>
      <c r="H62" s="209" t="s">
        <v>970</v>
      </c>
      <c r="I62" s="209">
        <v>0</v>
      </c>
      <c r="J62" s="209" t="s">
        <v>1038</v>
      </c>
      <c r="K62" s="209">
        <v>0</v>
      </c>
      <c r="L62" s="210"/>
      <c r="M62" s="206" t="s">
        <v>87</v>
      </c>
      <c r="N62" s="206" t="s">
        <v>722</v>
      </c>
      <c r="O62" s="206" t="s">
        <v>454</v>
      </c>
      <c r="P62" s="211">
        <f>IF($B62="N/A", "N/A", 1)</f>
        <v>1</v>
      </c>
      <c r="Q62" s="211">
        <f>IF($B62="N/A", "N/A", 1)</f>
        <v>1</v>
      </c>
      <c r="R62" s="211">
        <f>IF($B62="N/A", "N/A", 1)</f>
        <v>1</v>
      </c>
    </row>
    <row r="63" spans="1:18" ht="14.55" customHeight="1" x14ac:dyDescent="0.3">
      <c r="A63" s="258"/>
      <c r="B63" s="2" t="s">
        <v>48</v>
      </c>
      <c r="C63" s="208">
        <v>21</v>
      </c>
      <c r="D63" s="208">
        <v>1</v>
      </c>
      <c r="E63" s="207" t="s">
        <v>1159</v>
      </c>
      <c r="F63" s="208"/>
      <c r="G63" s="206" t="s">
        <v>1133</v>
      </c>
      <c r="H63" s="215" t="s">
        <v>1134</v>
      </c>
      <c r="I63" s="215">
        <v>0</v>
      </c>
      <c r="J63" s="215" t="s">
        <v>1135</v>
      </c>
      <c r="K63" s="215">
        <v>0</v>
      </c>
      <c r="L63" s="210"/>
      <c r="M63" s="206"/>
      <c r="N63" s="206" t="s">
        <v>1136</v>
      </c>
      <c r="O63" s="206" t="s">
        <v>460</v>
      </c>
      <c r="P63" s="211" t="str">
        <f ca="1">IF($B63="N/A", "N/A", VLOOKUP($B63, INDIRECT(Config!$B$1), HLOOKUP(P$1, INDIRECT(Config!$E$1), 2, FALSE),FALSE))</f>
        <v>N/A</v>
      </c>
      <c r="Q63" s="211" t="str">
        <f ca="1">IF($B63="N/A", "N/A", VLOOKUP($B63, INDIRECT(Config!$B$1), HLOOKUP(Q$1, INDIRECT(Config!$E$1), 2, FALSE),FALSE))</f>
        <v>N/A</v>
      </c>
      <c r="R63" s="211" t="str">
        <f ca="1">IF($B63="N/A", "N/A", VLOOKUP($B63, INDIRECT(Config!$B$1), HLOOKUP(R$1, INDIRECT(Config!$E$1), 2, FALSE),FALSE))</f>
        <v>N/A</v>
      </c>
    </row>
    <row r="64" spans="1:18" ht="14.55" customHeight="1" x14ac:dyDescent="0.3">
      <c r="A64" s="258"/>
      <c r="B64" s="2" t="s">
        <v>48</v>
      </c>
      <c r="C64" s="208">
        <v>22</v>
      </c>
      <c r="D64" s="208">
        <v>1</v>
      </c>
      <c r="E64" s="15"/>
      <c r="F64" s="208"/>
      <c r="G64" s="206" t="s">
        <v>1137</v>
      </c>
      <c r="H64" s="215" t="s">
        <v>1139</v>
      </c>
      <c r="I64" s="215">
        <v>0</v>
      </c>
      <c r="J64" s="215" t="s">
        <v>1141</v>
      </c>
      <c r="K64" s="215">
        <v>0</v>
      </c>
      <c r="L64" s="210"/>
      <c r="M64" s="206"/>
      <c r="N64" s="206" t="s">
        <v>1143</v>
      </c>
      <c r="O64" s="206" t="s">
        <v>460</v>
      </c>
      <c r="P64" s="211" t="str">
        <f ca="1">IF($B64="N/A", "N/A", VLOOKUP($B64, INDIRECT(Config!$B$1), HLOOKUP(P$1, INDIRECT(Config!$E$1), 2, FALSE),FALSE))</f>
        <v>N/A</v>
      </c>
      <c r="Q64" s="211" t="str">
        <f ca="1">IF($B64="N/A", "N/A", VLOOKUP($B64, INDIRECT(Config!$B$1), HLOOKUP(Q$1, INDIRECT(Config!$E$1), 2, FALSE),FALSE))</f>
        <v>N/A</v>
      </c>
      <c r="R64" s="211" t="str">
        <f ca="1">IF($B64="N/A", "N/A", VLOOKUP($B64, INDIRECT(Config!$B$1), HLOOKUP(R$1, INDIRECT(Config!$E$1), 2, FALSE),FALSE))</f>
        <v>N/A</v>
      </c>
    </row>
    <row r="65" spans="1:18" ht="14.55" customHeight="1" x14ac:dyDescent="0.3">
      <c r="A65" s="258"/>
      <c r="B65" s="2" t="s">
        <v>48</v>
      </c>
      <c r="C65" s="208">
        <v>23</v>
      </c>
      <c r="D65" s="208">
        <v>1</v>
      </c>
      <c r="E65" s="15"/>
      <c r="F65" s="208"/>
      <c r="G65" s="206" t="s">
        <v>1138</v>
      </c>
      <c r="H65" s="215" t="s">
        <v>1140</v>
      </c>
      <c r="I65" s="215">
        <v>0</v>
      </c>
      <c r="J65" s="215" t="s">
        <v>1142</v>
      </c>
      <c r="K65" s="215">
        <v>0</v>
      </c>
      <c r="L65" s="210"/>
      <c r="M65" s="206"/>
      <c r="N65" s="206" t="s">
        <v>1144</v>
      </c>
      <c r="O65" s="206" t="s">
        <v>460</v>
      </c>
      <c r="P65" s="211" t="str">
        <f ca="1">IF($B65="N/A", "N/A", VLOOKUP($B65, INDIRECT(Config!$B$1), HLOOKUP(P$1, INDIRECT(Config!$E$1), 2, FALSE),FALSE))</f>
        <v>N/A</v>
      </c>
      <c r="Q65" s="211" t="str">
        <f ca="1">IF($B65="N/A", "N/A", VLOOKUP($B65, INDIRECT(Config!$B$1), HLOOKUP(Q$1, INDIRECT(Config!$E$1), 2, FALSE),FALSE))</f>
        <v>N/A</v>
      </c>
      <c r="R65" s="211" t="str">
        <f ca="1">IF($B65="N/A", "N/A", VLOOKUP($B65, INDIRECT(Config!$B$1), HLOOKUP(R$1, INDIRECT(Config!$E$1), 2, FALSE),FALSE))</f>
        <v>N/A</v>
      </c>
    </row>
    <row r="66" spans="1:18" ht="14.55" customHeight="1" x14ac:dyDescent="0.3">
      <c r="A66" s="258"/>
      <c r="B66" s="4" t="s">
        <v>613</v>
      </c>
      <c r="C66" s="206">
        <v>24</v>
      </c>
      <c r="D66" s="206">
        <v>4</v>
      </c>
      <c r="E66" s="207" t="s">
        <v>201</v>
      </c>
      <c r="F66" s="207" t="s">
        <v>201</v>
      </c>
      <c r="G66" s="208" t="s">
        <v>202</v>
      </c>
      <c r="H66" s="209" t="s">
        <v>971</v>
      </c>
      <c r="I66" s="209">
        <v>0</v>
      </c>
      <c r="J66" s="209" t="s">
        <v>1039</v>
      </c>
      <c r="K66" s="209">
        <v>0</v>
      </c>
      <c r="L66" s="210"/>
      <c r="M66" s="206" t="s">
        <v>87</v>
      </c>
      <c r="N66" s="206" t="s">
        <v>726</v>
      </c>
      <c r="O66" s="206" t="s">
        <v>454</v>
      </c>
      <c r="P66" s="211">
        <f t="shared" ref="P66:R72" si="3">IF($B66="N/A", "N/A", 1)</f>
        <v>1</v>
      </c>
      <c r="Q66" s="211">
        <f t="shared" si="3"/>
        <v>1</v>
      </c>
      <c r="R66" s="211">
        <f t="shared" si="3"/>
        <v>1</v>
      </c>
    </row>
    <row r="67" spans="1:18" ht="14.55" customHeight="1" x14ac:dyDescent="0.3">
      <c r="A67" s="258"/>
      <c r="B67" s="4" t="s">
        <v>613</v>
      </c>
      <c r="C67" s="206">
        <v>28</v>
      </c>
      <c r="D67" s="206">
        <v>4</v>
      </c>
      <c r="E67" s="207" t="s">
        <v>203</v>
      </c>
      <c r="F67" s="207" t="s">
        <v>203</v>
      </c>
      <c r="G67" s="208" t="s">
        <v>204</v>
      </c>
      <c r="H67" s="209" t="s">
        <v>972</v>
      </c>
      <c r="I67" s="209">
        <v>0</v>
      </c>
      <c r="J67" s="209" t="s">
        <v>1040</v>
      </c>
      <c r="K67" s="209">
        <v>0</v>
      </c>
      <c r="L67" s="210"/>
      <c r="M67" s="206" t="s">
        <v>87</v>
      </c>
      <c r="N67" s="206" t="s">
        <v>727</v>
      </c>
      <c r="O67" s="206" t="s">
        <v>454</v>
      </c>
      <c r="P67" s="211">
        <f t="shared" si="3"/>
        <v>1</v>
      </c>
      <c r="Q67" s="211">
        <f t="shared" si="3"/>
        <v>1</v>
      </c>
      <c r="R67" s="211">
        <f t="shared" si="3"/>
        <v>1</v>
      </c>
    </row>
    <row r="68" spans="1:18" ht="14.55" customHeight="1" x14ac:dyDescent="0.3">
      <c r="A68" s="258" t="s">
        <v>32</v>
      </c>
      <c r="B68" s="4" t="s">
        <v>613</v>
      </c>
      <c r="C68" s="206">
        <v>0</v>
      </c>
      <c r="D68" s="206">
        <v>1</v>
      </c>
      <c r="E68" s="207" t="s">
        <v>206</v>
      </c>
      <c r="F68" s="221" t="s">
        <v>1130</v>
      </c>
      <c r="G68" s="207" t="s">
        <v>206</v>
      </c>
      <c r="H68" s="209" t="s">
        <v>945</v>
      </c>
      <c r="I68" s="209">
        <v>0</v>
      </c>
      <c r="J68" s="209" t="s">
        <v>1041</v>
      </c>
      <c r="K68" s="209">
        <v>1</v>
      </c>
      <c r="L68" s="216" t="s">
        <v>1109</v>
      </c>
      <c r="M68" s="206" t="s">
        <v>66</v>
      </c>
      <c r="N68" s="206" t="s">
        <v>728</v>
      </c>
      <c r="O68" s="217" t="s">
        <v>455</v>
      </c>
      <c r="P68" s="211">
        <f t="shared" si="3"/>
        <v>1</v>
      </c>
      <c r="Q68" s="211">
        <f t="shared" si="3"/>
        <v>1</v>
      </c>
      <c r="R68" s="211">
        <f t="shared" si="3"/>
        <v>1</v>
      </c>
    </row>
    <row r="69" spans="1:18" ht="14.55" customHeight="1" x14ac:dyDescent="0.3">
      <c r="A69" s="258"/>
      <c r="B69" s="4" t="s">
        <v>613</v>
      </c>
      <c r="C69" s="206">
        <v>1</v>
      </c>
      <c r="D69" s="206">
        <v>1</v>
      </c>
      <c r="E69" s="207" t="s">
        <v>207</v>
      </c>
      <c r="F69" s="221" t="s">
        <v>1131</v>
      </c>
      <c r="G69" s="207" t="s">
        <v>207</v>
      </c>
      <c r="H69" s="209" t="s">
        <v>946</v>
      </c>
      <c r="I69" s="209">
        <v>0</v>
      </c>
      <c r="J69" s="209" t="s">
        <v>1042</v>
      </c>
      <c r="K69" s="209">
        <v>0</v>
      </c>
      <c r="L69" s="216" t="s">
        <v>1109</v>
      </c>
      <c r="M69" s="206" t="s">
        <v>66</v>
      </c>
      <c r="N69" s="206" t="s">
        <v>729</v>
      </c>
      <c r="O69" s="206" t="s">
        <v>456</v>
      </c>
      <c r="P69" s="211">
        <f t="shared" si="3"/>
        <v>1</v>
      </c>
      <c r="Q69" s="211">
        <f t="shared" si="3"/>
        <v>1</v>
      </c>
      <c r="R69" s="211">
        <f t="shared" si="3"/>
        <v>1</v>
      </c>
    </row>
    <row r="70" spans="1:18" ht="14.55" customHeight="1" x14ac:dyDescent="0.3">
      <c r="A70" s="258"/>
      <c r="B70" s="4" t="s">
        <v>613</v>
      </c>
      <c r="C70" s="206">
        <v>2</v>
      </c>
      <c r="D70" s="206">
        <v>1</v>
      </c>
      <c r="E70" s="207" t="s">
        <v>208</v>
      </c>
      <c r="F70" s="221" t="s">
        <v>1132</v>
      </c>
      <c r="G70" s="207" t="s">
        <v>208</v>
      </c>
      <c r="H70" s="209" t="s">
        <v>947</v>
      </c>
      <c r="I70" s="209">
        <v>0</v>
      </c>
      <c r="J70" s="209" t="s">
        <v>1043</v>
      </c>
      <c r="K70" s="209">
        <v>0</v>
      </c>
      <c r="L70" s="216" t="s">
        <v>1109</v>
      </c>
      <c r="M70" s="206" t="s">
        <v>66</v>
      </c>
      <c r="N70" s="206" t="s">
        <v>730</v>
      </c>
      <c r="O70" s="217" t="s">
        <v>457</v>
      </c>
      <c r="P70" s="211">
        <f t="shared" si="3"/>
        <v>1</v>
      </c>
      <c r="Q70" s="211">
        <f t="shared" si="3"/>
        <v>1</v>
      </c>
      <c r="R70" s="211">
        <f t="shared" si="3"/>
        <v>1</v>
      </c>
    </row>
    <row r="71" spans="1:18" ht="14.55" customHeight="1" x14ac:dyDescent="0.3">
      <c r="A71" s="258"/>
      <c r="B71" s="4" t="s">
        <v>613</v>
      </c>
      <c r="C71" s="206">
        <v>3</v>
      </c>
      <c r="D71" s="206">
        <v>1</v>
      </c>
      <c r="E71" s="207" t="s">
        <v>209</v>
      </c>
      <c r="F71" s="207" t="s">
        <v>209</v>
      </c>
      <c r="G71" s="208" t="s">
        <v>210</v>
      </c>
      <c r="H71" s="209" t="s">
        <v>948</v>
      </c>
      <c r="I71" s="209">
        <v>0</v>
      </c>
      <c r="J71" s="209" t="s">
        <v>1044</v>
      </c>
      <c r="K71" s="209">
        <v>1</v>
      </c>
      <c r="L71" s="216" t="s">
        <v>668</v>
      </c>
      <c r="M71" s="206" t="s">
        <v>69</v>
      </c>
      <c r="N71" s="206" t="s">
        <v>731</v>
      </c>
      <c r="O71" s="206" t="s">
        <v>527</v>
      </c>
      <c r="P71" s="211">
        <f t="shared" si="3"/>
        <v>1</v>
      </c>
      <c r="Q71" s="211">
        <f t="shared" si="3"/>
        <v>1</v>
      </c>
      <c r="R71" s="211">
        <f t="shared" si="3"/>
        <v>1</v>
      </c>
    </row>
    <row r="72" spans="1:18" ht="14.55" customHeight="1" x14ac:dyDescent="0.3">
      <c r="A72" s="258"/>
      <c r="B72" s="4" t="s">
        <v>613</v>
      </c>
      <c r="C72" s="206">
        <v>4</v>
      </c>
      <c r="D72" s="206">
        <v>1</v>
      </c>
      <c r="E72" s="207" t="s">
        <v>211</v>
      </c>
      <c r="F72" s="207" t="s">
        <v>211</v>
      </c>
      <c r="G72" s="208" t="s">
        <v>212</v>
      </c>
      <c r="H72" s="209" t="s">
        <v>949</v>
      </c>
      <c r="I72" s="209">
        <v>0</v>
      </c>
      <c r="J72" s="209" t="s">
        <v>1045</v>
      </c>
      <c r="K72" s="209">
        <v>0</v>
      </c>
      <c r="L72" s="216" t="s">
        <v>1109</v>
      </c>
      <c r="M72" s="206" t="s">
        <v>69</v>
      </c>
      <c r="N72" s="206" t="s">
        <v>732</v>
      </c>
      <c r="O72" s="206" t="s">
        <v>528</v>
      </c>
      <c r="P72" s="211">
        <f t="shared" si="3"/>
        <v>1</v>
      </c>
      <c r="Q72" s="211">
        <f t="shared" si="3"/>
        <v>1</v>
      </c>
      <c r="R72" s="211">
        <f t="shared" si="3"/>
        <v>1</v>
      </c>
    </row>
    <row r="73" spans="1:18" ht="14.55" customHeight="1" x14ac:dyDescent="0.3">
      <c r="A73" s="258"/>
      <c r="B73" s="2" t="s">
        <v>48</v>
      </c>
      <c r="C73" s="208">
        <v>5</v>
      </c>
      <c r="D73" s="208">
        <v>1</v>
      </c>
      <c r="E73" s="207" t="s">
        <v>213</v>
      </c>
      <c r="F73" s="208"/>
      <c r="G73" s="206" t="s">
        <v>213</v>
      </c>
      <c r="H73" s="215" t="s">
        <v>950</v>
      </c>
      <c r="I73" s="215">
        <v>0</v>
      </c>
      <c r="J73" s="215" t="s">
        <v>1046</v>
      </c>
      <c r="K73" s="215">
        <v>0</v>
      </c>
      <c r="L73" s="216" t="s">
        <v>1109</v>
      </c>
      <c r="M73" s="206"/>
      <c r="N73" s="206" t="s">
        <v>788</v>
      </c>
      <c r="O73" s="206" t="s">
        <v>460</v>
      </c>
      <c r="P73" s="211" t="str">
        <f ca="1">IF($B73="N/A", "N/A", VLOOKUP($B73, INDIRECT(Config!$B$1), HLOOKUP(P$1, INDIRECT(Config!$E$1), 2, FALSE),FALSE))</f>
        <v>N/A</v>
      </c>
      <c r="Q73" s="211" t="str">
        <f ca="1">IF($B73="N/A", "N/A", VLOOKUP($B73, INDIRECT(Config!$B$1), HLOOKUP(Q$1, INDIRECT(Config!$E$1), 2, FALSE),FALSE))</f>
        <v>N/A</v>
      </c>
      <c r="R73" s="211" t="str">
        <f ca="1">IF($B73="N/A", "N/A", VLOOKUP($B73, INDIRECT(Config!$B$1), HLOOKUP(R$1, INDIRECT(Config!$E$1), 2, FALSE),FALSE))</f>
        <v>N/A</v>
      </c>
    </row>
    <row r="74" spans="1:18" ht="14.55" customHeight="1" x14ac:dyDescent="0.3">
      <c r="A74" s="258"/>
      <c r="B74" s="2" t="s">
        <v>214</v>
      </c>
      <c r="C74" s="208">
        <v>6</v>
      </c>
      <c r="D74" s="208">
        <v>1</v>
      </c>
      <c r="E74" s="207" t="s">
        <v>216</v>
      </c>
      <c r="F74" s="208" t="s">
        <v>215</v>
      </c>
      <c r="G74" s="207" t="s">
        <v>216</v>
      </c>
      <c r="H74" s="209" t="s">
        <v>951</v>
      </c>
      <c r="I74" s="209">
        <v>1</v>
      </c>
      <c r="J74" s="209" t="s">
        <v>1047</v>
      </c>
      <c r="K74" s="209">
        <v>0</v>
      </c>
      <c r="L74" s="216" t="s">
        <v>1109</v>
      </c>
      <c r="M74" s="206" t="s">
        <v>66</v>
      </c>
      <c r="N74" s="206" t="s">
        <v>733</v>
      </c>
      <c r="O74" s="206" t="s">
        <v>529</v>
      </c>
      <c r="P74" s="210">
        <f ca="1">IF($B74="N/A", "N/A", VLOOKUP($B74, INDIRECT(Config!$B$1), HLOOKUP(P$1, INDIRECT(Config!$E$1), 2, FALSE),FALSE))</f>
        <v>0</v>
      </c>
      <c r="Q74" s="210">
        <f ca="1">IF($B74="N/A", "N/A", VLOOKUP($B74, INDIRECT(Config!$B$1), HLOOKUP(Q$1, INDIRECT(Config!$E$1), 2, FALSE),FALSE))</f>
        <v>0</v>
      </c>
      <c r="R74" s="210">
        <f ca="1">IF($B74="N/A", "N/A", VLOOKUP($B74, INDIRECT(Config!$B$1), HLOOKUP(R$1, INDIRECT(Config!$E$1), 2, FALSE),FALSE))</f>
        <v>0</v>
      </c>
    </row>
    <row r="75" spans="1:18" ht="14.55" customHeight="1" x14ac:dyDescent="0.3">
      <c r="A75" s="258"/>
      <c r="B75" s="2" t="s">
        <v>214</v>
      </c>
      <c r="C75" s="208">
        <v>7</v>
      </c>
      <c r="D75" s="208">
        <v>1</v>
      </c>
      <c r="E75" s="207" t="s">
        <v>218</v>
      </c>
      <c r="F75" s="208" t="s">
        <v>217</v>
      </c>
      <c r="G75" s="206" t="s">
        <v>218</v>
      </c>
      <c r="H75" s="209" t="s">
        <v>952</v>
      </c>
      <c r="I75" s="209">
        <v>1</v>
      </c>
      <c r="J75" s="209" t="s">
        <v>1048</v>
      </c>
      <c r="K75" s="209">
        <v>0</v>
      </c>
      <c r="L75" s="216" t="s">
        <v>1109</v>
      </c>
      <c r="M75" s="206" t="s">
        <v>66</v>
      </c>
      <c r="N75" s="206" t="s">
        <v>734</v>
      </c>
      <c r="O75" s="206" t="s">
        <v>530</v>
      </c>
      <c r="P75" s="210">
        <f ca="1">IF($B75="N/A", "N/A", VLOOKUP($B75, INDIRECT(Config!$B$1), HLOOKUP(P$1, INDIRECT(Config!$E$1), 2, FALSE),FALSE))</f>
        <v>0</v>
      </c>
      <c r="Q75" s="210">
        <f ca="1">IF($B75="N/A", "N/A", VLOOKUP($B75, INDIRECT(Config!$B$1), HLOOKUP(Q$1, INDIRECT(Config!$E$1), 2, FALSE),FALSE))</f>
        <v>0</v>
      </c>
      <c r="R75" s="210">
        <f ca="1">IF($B75="N/A", "N/A", VLOOKUP($B75, INDIRECT(Config!$B$1), HLOOKUP(R$1, INDIRECT(Config!$E$1), 2, FALSE),FALSE))</f>
        <v>0</v>
      </c>
    </row>
    <row r="76" spans="1:18" ht="14.55" customHeight="1" x14ac:dyDescent="0.3">
      <c r="A76" s="258"/>
      <c r="B76" s="4" t="s">
        <v>613</v>
      </c>
      <c r="C76" s="206">
        <v>8</v>
      </c>
      <c r="D76" s="206">
        <v>1</v>
      </c>
      <c r="E76" s="207" t="s">
        <v>219</v>
      </c>
      <c r="F76" s="207" t="s">
        <v>219</v>
      </c>
      <c r="G76" s="208" t="s">
        <v>220</v>
      </c>
      <c r="H76" s="209" t="s">
        <v>953</v>
      </c>
      <c r="I76" s="209">
        <v>0</v>
      </c>
      <c r="J76" s="209" t="s">
        <v>1049</v>
      </c>
      <c r="K76" s="209">
        <v>0</v>
      </c>
      <c r="L76" s="318" t="s">
        <v>668</v>
      </c>
      <c r="M76" s="206" t="s">
        <v>69</v>
      </c>
      <c r="N76" s="206" t="s">
        <v>735</v>
      </c>
      <c r="O76" s="206" t="s">
        <v>531</v>
      </c>
      <c r="P76" s="211">
        <f>IF($B76="N/A", "N/A", 1)</f>
        <v>1</v>
      </c>
      <c r="Q76" s="211">
        <f>IF($B76="N/A", "N/A", 1)</f>
        <v>1</v>
      </c>
      <c r="R76" s="211">
        <f>IF($B76="N/A", "N/A", 1)</f>
        <v>1</v>
      </c>
    </row>
    <row r="77" spans="1:18" ht="14.55" customHeight="1" x14ac:dyDescent="0.3">
      <c r="A77" s="258"/>
      <c r="B77" s="16" t="s">
        <v>221</v>
      </c>
      <c r="C77" s="206">
        <v>9</v>
      </c>
      <c r="D77" s="206">
        <v>7</v>
      </c>
      <c r="E77" s="207" t="s">
        <v>223</v>
      </c>
      <c r="F77" s="207" t="s">
        <v>222</v>
      </c>
      <c r="G77" s="207" t="s">
        <v>223</v>
      </c>
      <c r="H77" s="209" t="s">
        <v>969</v>
      </c>
      <c r="I77" s="209">
        <v>0</v>
      </c>
      <c r="J77" s="209" t="s">
        <v>1050</v>
      </c>
      <c r="K77" s="209">
        <v>0</v>
      </c>
      <c r="L77" s="318" t="s">
        <v>1109</v>
      </c>
      <c r="M77" s="206" t="s">
        <v>87</v>
      </c>
      <c r="N77" s="206" t="s">
        <v>736</v>
      </c>
      <c r="O77" s="206" t="s">
        <v>532</v>
      </c>
      <c r="P77" s="210">
        <f ca="1">IF($B77="N/A", "N/A", VLOOKUP($B77, INDIRECT(Config!$B$1), HLOOKUP(P$1, INDIRECT(Config!$E$1), 2, FALSE),FALSE))</f>
        <v>0</v>
      </c>
      <c r="Q77" s="210">
        <f ca="1">IF($B77="N/A", "N/A", VLOOKUP($B77, INDIRECT(Config!$B$1), HLOOKUP(Q$1, INDIRECT(Config!$E$1), 2, FALSE),FALSE))</f>
        <v>0</v>
      </c>
      <c r="R77" s="210">
        <f ca="1">IF($B77="N/A", "N/A", VLOOKUP($B77, INDIRECT(Config!$B$1), HLOOKUP(R$1, INDIRECT(Config!$E$1), 2, FALSE),FALSE))</f>
        <v>0</v>
      </c>
    </row>
    <row r="78" spans="1:18" ht="14.55" customHeight="1" x14ac:dyDescent="0.3">
      <c r="A78" s="258"/>
      <c r="B78" s="16" t="s">
        <v>224</v>
      </c>
      <c r="C78" s="206">
        <v>16</v>
      </c>
      <c r="D78" s="206">
        <v>1</v>
      </c>
      <c r="E78" s="207" t="s">
        <v>226</v>
      </c>
      <c r="F78" s="207" t="s">
        <v>225</v>
      </c>
      <c r="G78" s="207" t="s">
        <v>226</v>
      </c>
      <c r="H78" s="209" t="s">
        <v>954</v>
      </c>
      <c r="I78" s="209">
        <v>0</v>
      </c>
      <c r="J78" s="209" t="s">
        <v>1051</v>
      </c>
      <c r="K78" s="209">
        <v>0</v>
      </c>
      <c r="L78" s="210" t="s">
        <v>17</v>
      </c>
      <c r="M78" s="206" t="s">
        <v>87</v>
      </c>
      <c r="N78" s="206" t="s">
        <v>737</v>
      </c>
      <c r="O78" s="206" t="s">
        <v>533</v>
      </c>
      <c r="P78" s="210">
        <f ca="1">IF($B78="N/A","N/A",IF(0=VLOOKUP($B78,INDIRECT(Config!$B$1),HLOOKUP(P$1,INDIRECT(Config!$E$1),2,FALSE),FALSE),0,1))</f>
        <v>1</v>
      </c>
      <c r="Q78" s="210">
        <f ca="1">IF($B78="N/A","N/A",IF(0=VLOOKUP($B78,INDIRECT(Config!$B$1),HLOOKUP(Q$1,INDIRECT(Config!$E$1),2,FALSE),FALSE),0,1))</f>
        <v>0</v>
      </c>
      <c r="R78" s="210">
        <f ca="1">IF($B78="N/A","N/A",IF(0=VLOOKUP($B78,INDIRECT(Config!$B$1),HLOOKUP(R$1,INDIRECT(Config!$E$1),2,FALSE),FALSE),0,1))</f>
        <v>0</v>
      </c>
    </row>
    <row r="79" spans="1:18" ht="14.55" customHeight="1" x14ac:dyDescent="0.3">
      <c r="A79" s="258"/>
      <c r="B79" s="4" t="s">
        <v>613</v>
      </c>
      <c r="C79" s="206">
        <v>17</v>
      </c>
      <c r="D79" s="206">
        <v>1</v>
      </c>
      <c r="E79" s="319" t="s">
        <v>674</v>
      </c>
      <c r="F79" s="207" t="s">
        <v>674</v>
      </c>
      <c r="G79" s="208" t="s">
        <v>227</v>
      </c>
      <c r="H79" s="209" t="s">
        <v>955</v>
      </c>
      <c r="I79" s="209">
        <v>0</v>
      </c>
      <c r="J79" s="209" t="s">
        <v>1052</v>
      </c>
      <c r="K79" s="209">
        <v>1</v>
      </c>
      <c r="L79" s="210" t="s">
        <v>17</v>
      </c>
      <c r="M79" s="206" t="s">
        <v>87</v>
      </c>
      <c r="N79" s="206" t="s">
        <v>805</v>
      </c>
      <c r="O79" s="206" t="s">
        <v>675</v>
      </c>
      <c r="P79" s="211">
        <f>IF($B79="N/A", "N/A", 1)</f>
        <v>1</v>
      </c>
      <c r="Q79" s="211">
        <f>IF($B79="N/A", "N/A", 1)</f>
        <v>1</v>
      </c>
      <c r="R79" s="211">
        <f>IF($B79="N/A", "N/A", 1)</f>
        <v>1</v>
      </c>
    </row>
    <row r="80" spans="1:18" ht="14.55" customHeight="1" x14ac:dyDescent="0.3">
      <c r="A80" s="258"/>
      <c r="B80" s="2" t="s">
        <v>100</v>
      </c>
      <c r="C80" s="208">
        <v>18</v>
      </c>
      <c r="D80" s="208">
        <v>1</v>
      </c>
      <c r="E80" s="207" t="s">
        <v>229</v>
      </c>
      <c r="F80" s="208" t="s">
        <v>228</v>
      </c>
      <c r="G80" s="207" t="s">
        <v>229</v>
      </c>
      <c r="H80" s="209" t="s">
        <v>956</v>
      </c>
      <c r="I80" s="209">
        <v>0</v>
      </c>
      <c r="J80" s="209" t="s">
        <v>1053</v>
      </c>
      <c r="K80" s="209">
        <v>0</v>
      </c>
      <c r="L80" s="210" t="s">
        <v>17</v>
      </c>
      <c r="M80" s="206" t="s">
        <v>66</v>
      </c>
      <c r="N80" s="206" t="s">
        <v>738</v>
      </c>
      <c r="O80" s="206" t="s">
        <v>537</v>
      </c>
      <c r="P80" s="210">
        <f ca="1">IF($B80="N/A", "N/A", VLOOKUP($B80, INDIRECT(Config!$B$1), HLOOKUP(P$1, INDIRECT(Config!$E$1), 2, FALSE),FALSE))</f>
        <v>0</v>
      </c>
      <c r="Q80" s="210">
        <f ca="1">IF($B80="N/A", "N/A", VLOOKUP($B80, INDIRECT(Config!$B$1), HLOOKUP(Q$1, INDIRECT(Config!$E$1), 2, FALSE),FALSE))</f>
        <v>0</v>
      </c>
      <c r="R80" s="210">
        <f ca="1">IF($B80="N/A", "N/A", VLOOKUP($B80, INDIRECT(Config!$B$1), HLOOKUP(R$1, INDIRECT(Config!$E$1), 2, FALSE),FALSE))</f>
        <v>0</v>
      </c>
    </row>
    <row r="81" spans="1:18" ht="14.55" customHeight="1" x14ac:dyDescent="0.3">
      <c r="A81" s="258"/>
      <c r="B81" s="2" t="s">
        <v>100</v>
      </c>
      <c r="C81" s="208">
        <v>19</v>
      </c>
      <c r="D81" s="208">
        <v>1</v>
      </c>
      <c r="E81" s="207" t="s">
        <v>231</v>
      </c>
      <c r="F81" s="208" t="s">
        <v>230</v>
      </c>
      <c r="G81" s="207" t="s">
        <v>231</v>
      </c>
      <c r="H81" s="209" t="s">
        <v>957</v>
      </c>
      <c r="I81" s="209">
        <v>0</v>
      </c>
      <c r="J81" s="209" t="s">
        <v>1054</v>
      </c>
      <c r="K81" s="209">
        <v>0</v>
      </c>
      <c r="L81" s="210" t="s">
        <v>17</v>
      </c>
      <c r="M81" s="206" t="s">
        <v>66</v>
      </c>
      <c r="N81" s="206" t="s">
        <v>739</v>
      </c>
      <c r="O81" s="206" t="s">
        <v>538</v>
      </c>
      <c r="P81" s="210">
        <f ca="1">IF($B81="N/A", "N/A", VLOOKUP($B81, INDIRECT(Config!$B$1), HLOOKUP(P$1, INDIRECT(Config!$E$1), 2, FALSE),FALSE))</f>
        <v>0</v>
      </c>
      <c r="Q81" s="210">
        <f ca="1">IF($B81="N/A", "N/A", VLOOKUP($B81, INDIRECT(Config!$B$1), HLOOKUP(Q$1, INDIRECT(Config!$E$1), 2, FALSE),FALSE))</f>
        <v>0</v>
      </c>
      <c r="R81" s="210">
        <f ca="1">IF($B81="N/A", "N/A", VLOOKUP($B81, INDIRECT(Config!$B$1), HLOOKUP(R$1, INDIRECT(Config!$E$1), 2, FALSE),FALSE))</f>
        <v>0</v>
      </c>
    </row>
    <row r="82" spans="1:18" ht="14.55" customHeight="1" x14ac:dyDescent="0.3">
      <c r="A82" s="258"/>
      <c r="B82" s="2" t="s">
        <v>100</v>
      </c>
      <c r="C82" s="208">
        <v>20</v>
      </c>
      <c r="D82" s="208">
        <v>1</v>
      </c>
      <c r="E82" s="207" t="s">
        <v>233</v>
      </c>
      <c r="F82" s="208" t="s">
        <v>232</v>
      </c>
      <c r="G82" s="207" t="s">
        <v>233</v>
      </c>
      <c r="H82" s="209" t="s">
        <v>958</v>
      </c>
      <c r="I82" s="209">
        <v>0</v>
      </c>
      <c r="J82" s="209" t="s">
        <v>1055</v>
      </c>
      <c r="K82" s="209">
        <v>0</v>
      </c>
      <c r="L82" s="210" t="s">
        <v>17</v>
      </c>
      <c r="M82" s="206" t="s">
        <v>66</v>
      </c>
      <c r="N82" s="206" t="s">
        <v>740</v>
      </c>
      <c r="O82" s="206" t="s">
        <v>539</v>
      </c>
      <c r="P82" s="210">
        <f ca="1">IF($B82="N/A", "N/A", VLOOKUP($B82, INDIRECT(Config!$B$1), HLOOKUP(P$1, INDIRECT(Config!$E$1), 2, FALSE),FALSE))</f>
        <v>0</v>
      </c>
      <c r="Q82" s="210">
        <f ca="1">IF($B82="N/A", "N/A", VLOOKUP($B82, INDIRECT(Config!$B$1), HLOOKUP(Q$1, INDIRECT(Config!$E$1), 2, FALSE),FALSE))</f>
        <v>0</v>
      </c>
      <c r="R82" s="210">
        <f ca="1">IF($B82="N/A", "N/A", VLOOKUP($B82, INDIRECT(Config!$B$1), HLOOKUP(R$1, INDIRECT(Config!$E$1), 2, FALSE),FALSE))</f>
        <v>0</v>
      </c>
    </row>
    <row r="83" spans="1:18" ht="14.55" customHeight="1" x14ac:dyDescent="0.3">
      <c r="A83" s="258"/>
      <c r="B83" s="3" t="s">
        <v>234</v>
      </c>
      <c r="C83" s="206">
        <v>21</v>
      </c>
      <c r="D83" s="206">
        <v>1</v>
      </c>
      <c r="E83" s="207" t="s">
        <v>236</v>
      </c>
      <c r="F83" s="210" t="s">
        <v>235</v>
      </c>
      <c r="G83" s="210" t="s">
        <v>236</v>
      </c>
      <c r="H83" s="209" t="s">
        <v>959</v>
      </c>
      <c r="I83" s="209">
        <v>0</v>
      </c>
      <c r="J83" s="209" t="s">
        <v>1056</v>
      </c>
      <c r="K83" s="209">
        <v>1</v>
      </c>
      <c r="L83" s="210" t="s">
        <v>17</v>
      </c>
      <c r="M83" s="206" t="s">
        <v>87</v>
      </c>
      <c r="N83" s="206" t="s">
        <v>741</v>
      </c>
      <c r="O83" s="217" t="s">
        <v>540</v>
      </c>
      <c r="P83" s="210">
        <f ca="1">IF($B83="N/A", "N/A", VLOOKUP($B83, INDIRECT(Config!$B$1), HLOOKUP(P$1, INDIRECT(Config!$E$1), 2, FALSE),FALSE))</f>
        <v>1</v>
      </c>
      <c r="Q83" s="210">
        <f ca="1">IF($B83="N/A", "N/A", VLOOKUP($B83, INDIRECT(Config!$B$1), HLOOKUP(Q$1, INDIRECT(Config!$E$1), 2, FALSE),FALSE))</f>
        <v>1</v>
      </c>
      <c r="R83" s="210">
        <f ca="1">IF($B83="N/A", "N/A", VLOOKUP($B83, INDIRECT(Config!$B$1), HLOOKUP(R$1, INDIRECT(Config!$E$1), 2, FALSE),FALSE))</f>
        <v>0</v>
      </c>
    </row>
    <row r="84" spans="1:18" ht="14.55" customHeight="1" x14ac:dyDescent="0.3">
      <c r="A84" s="258"/>
      <c r="B84" s="2" t="s">
        <v>48</v>
      </c>
      <c r="C84" s="206">
        <v>22</v>
      </c>
      <c r="D84" s="206">
        <v>1</v>
      </c>
      <c r="E84" s="207" t="s">
        <v>1160</v>
      </c>
      <c r="F84" s="219" t="s">
        <v>1107</v>
      </c>
      <c r="G84" s="210" t="s">
        <v>888</v>
      </c>
      <c r="H84" s="215" t="s">
        <v>960</v>
      </c>
      <c r="I84" s="215">
        <v>0</v>
      </c>
      <c r="J84" s="215" t="s">
        <v>1057</v>
      </c>
      <c r="K84" s="215">
        <v>0</v>
      </c>
      <c r="L84" s="210" t="s">
        <v>17</v>
      </c>
      <c r="M84" s="206" t="s">
        <v>87</v>
      </c>
      <c r="N84" s="217" t="s">
        <v>1108</v>
      </c>
      <c r="O84" s="206" t="s">
        <v>890</v>
      </c>
      <c r="P84" s="211" t="str">
        <f ca="1">IF($B84="N/A", "N/A", VLOOKUP($B84, INDIRECT(Config!$B$1), HLOOKUP(P$1, INDIRECT(Config!$E$1), 2, FALSE),FALSE))</f>
        <v>N/A</v>
      </c>
      <c r="Q84" s="211" t="str">
        <f ca="1">IF($B84="N/A", "N/A", VLOOKUP($B84, INDIRECT(Config!$B$1), HLOOKUP(Q$1, INDIRECT(Config!$E$1), 2, FALSE),FALSE))</f>
        <v>N/A</v>
      </c>
      <c r="R84" s="211" t="str">
        <f ca="1">IF($B84="N/A", "N/A", VLOOKUP($B84, INDIRECT(Config!$B$1), HLOOKUP(R$1, INDIRECT(Config!$E$1), 2, FALSE),FALSE))</f>
        <v>N/A</v>
      </c>
    </row>
    <row r="85" spans="1:18" ht="14.55" customHeight="1" x14ac:dyDescent="0.3">
      <c r="A85" s="258"/>
      <c r="B85" s="2" t="s">
        <v>48</v>
      </c>
      <c r="C85" s="206">
        <v>23</v>
      </c>
      <c r="D85" s="206">
        <v>1</v>
      </c>
      <c r="F85" s="208"/>
      <c r="G85" s="210" t="s">
        <v>889</v>
      </c>
      <c r="H85" s="215" t="s">
        <v>961</v>
      </c>
      <c r="I85" s="215">
        <v>0</v>
      </c>
      <c r="J85" s="215" t="s">
        <v>1058</v>
      </c>
      <c r="K85" s="215">
        <v>0</v>
      </c>
      <c r="L85" s="210" t="s">
        <v>17</v>
      </c>
      <c r="M85" s="206"/>
      <c r="N85" s="206" t="s">
        <v>789</v>
      </c>
      <c r="O85" s="206" t="s">
        <v>460</v>
      </c>
      <c r="P85" s="211" t="str">
        <f ca="1">IF($B85="N/A", "N/A", VLOOKUP($B85, INDIRECT(Config!$B$1), HLOOKUP(P$1, INDIRECT(Config!$E$1), 2, FALSE),FALSE))</f>
        <v>N/A</v>
      </c>
      <c r="Q85" s="211" t="str">
        <f ca="1">IF($B85="N/A", "N/A", VLOOKUP($B85, INDIRECT(Config!$B$1), HLOOKUP(Q$1, INDIRECT(Config!$E$1), 2, FALSE),FALSE))</f>
        <v>N/A</v>
      </c>
      <c r="R85" s="211" t="str">
        <f ca="1">IF($B85="N/A", "N/A", VLOOKUP($B85, INDIRECT(Config!$B$1), HLOOKUP(R$1, INDIRECT(Config!$E$1), 2, FALSE),FALSE))</f>
        <v>N/A</v>
      </c>
    </row>
    <row r="86" spans="1:18" ht="14.55" customHeight="1" x14ac:dyDescent="0.3">
      <c r="A86" s="258"/>
      <c r="B86" s="4" t="s">
        <v>613</v>
      </c>
      <c r="C86" s="206">
        <v>24</v>
      </c>
      <c r="D86" s="206">
        <v>1</v>
      </c>
      <c r="E86" s="207" t="s">
        <v>238</v>
      </c>
      <c r="F86" s="220" t="s">
        <v>238</v>
      </c>
      <c r="G86" s="208" t="s">
        <v>239</v>
      </c>
      <c r="H86" s="209" t="s">
        <v>962</v>
      </c>
      <c r="I86" s="209">
        <v>0</v>
      </c>
      <c r="J86" s="209" t="s">
        <v>1059</v>
      </c>
      <c r="K86" s="209">
        <v>1</v>
      </c>
      <c r="L86" s="210"/>
      <c r="M86" s="207" t="s">
        <v>87</v>
      </c>
      <c r="N86" s="207" t="s">
        <v>723</v>
      </c>
      <c r="O86" s="207" t="s">
        <v>541</v>
      </c>
      <c r="P86" s="211">
        <f t="shared" ref="P86:R87" si="4">IF($B86="N/A", "N/A", 1)</f>
        <v>1</v>
      </c>
      <c r="Q86" s="211">
        <f t="shared" si="4"/>
        <v>1</v>
      </c>
      <c r="R86" s="211">
        <f t="shared" si="4"/>
        <v>1</v>
      </c>
    </row>
    <row r="87" spans="1:18" ht="14.55" customHeight="1" x14ac:dyDescent="0.3">
      <c r="A87" s="258"/>
      <c r="B87" s="4" t="s">
        <v>613</v>
      </c>
      <c r="C87" s="206">
        <v>25</v>
      </c>
      <c r="D87" s="206">
        <v>1</v>
      </c>
      <c r="E87" s="320" t="s">
        <v>1161</v>
      </c>
      <c r="F87" s="221" t="s">
        <v>1106</v>
      </c>
      <c r="G87" s="208" t="s">
        <v>240</v>
      </c>
      <c r="H87" s="209" t="s">
        <v>963</v>
      </c>
      <c r="I87" s="209">
        <v>0</v>
      </c>
      <c r="J87" s="209" t="s">
        <v>1060</v>
      </c>
      <c r="K87" s="209">
        <v>1</v>
      </c>
      <c r="L87" s="210"/>
      <c r="M87" s="207" t="s">
        <v>87</v>
      </c>
      <c r="N87" s="207" t="s">
        <v>724</v>
      </c>
      <c r="O87" s="207" t="s">
        <v>542</v>
      </c>
      <c r="P87" s="211">
        <f t="shared" si="4"/>
        <v>1</v>
      </c>
      <c r="Q87" s="211">
        <f t="shared" si="4"/>
        <v>1</v>
      </c>
      <c r="R87" s="211">
        <f t="shared" si="4"/>
        <v>1</v>
      </c>
    </row>
    <row r="88" spans="1:18" ht="14.55" customHeight="1" x14ac:dyDescent="0.3">
      <c r="A88" s="258"/>
      <c r="B88" s="16" t="s">
        <v>241</v>
      </c>
      <c r="C88" s="206">
        <v>26</v>
      </c>
      <c r="D88" s="206">
        <v>5</v>
      </c>
      <c r="E88" s="207" t="s">
        <v>243</v>
      </c>
      <c r="F88" s="207" t="s">
        <v>242</v>
      </c>
      <c r="G88" s="207" t="s">
        <v>243</v>
      </c>
      <c r="H88" s="209" t="s">
        <v>973</v>
      </c>
      <c r="I88" s="209">
        <v>0</v>
      </c>
      <c r="J88" s="209" t="s">
        <v>1061</v>
      </c>
      <c r="K88" s="209">
        <v>0</v>
      </c>
      <c r="L88" s="210"/>
      <c r="M88" s="207" t="s">
        <v>87</v>
      </c>
      <c r="N88" s="207" t="s">
        <v>725</v>
      </c>
      <c r="O88" s="207" t="s">
        <v>543</v>
      </c>
      <c r="P88" s="210">
        <f ca="1">IF($B88="N/A", "N/A", VLOOKUP($B88, INDIRECT(Config!$B$1), HLOOKUP(P$1, INDIRECT(Config!$E$1), 2, FALSE),FALSE))</f>
        <v>0</v>
      </c>
      <c r="Q88" s="210">
        <f ca="1">IF($B88="N/A", "N/A", VLOOKUP($B88, INDIRECT(Config!$B$1), HLOOKUP(Q$1, INDIRECT(Config!$E$1), 2, FALSE),FALSE))</f>
        <v>0</v>
      </c>
      <c r="R88" s="210">
        <f ca="1">IF($B88="N/A", "N/A", VLOOKUP($B88, INDIRECT(Config!$B$1), HLOOKUP(R$1, INDIRECT(Config!$E$1), 2, FALSE),FALSE))</f>
        <v>0</v>
      </c>
    </row>
    <row r="89" spans="1:18" ht="14.55" customHeight="1" x14ac:dyDescent="0.3">
      <c r="A89" s="258"/>
      <c r="B89" s="4" t="s">
        <v>613</v>
      </c>
      <c r="C89" s="206">
        <v>31</v>
      </c>
      <c r="D89" s="206">
        <v>1</v>
      </c>
      <c r="E89" s="319" t="s">
        <v>244</v>
      </c>
      <c r="F89" s="220" t="s">
        <v>244</v>
      </c>
      <c r="G89" s="208" t="s">
        <v>245</v>
      </c>
      <c r="H89" s="209" t="s">
        <v>964</v>
      </c>
      <c r="I89" s="209">
        <v>0</v>
      </c>
      <c r="J89" s="209" t="s">
        <v>1062</v>
      </c>
      <c r="K89" s="209">
        <v>0</v>
      </c>
      <c r="L89" s="210"/>
      <c r="M89" s="207" t="s">
        <v>87</v>
      </c>
      <c r="N89" s="207" t="s">
        <v>804</v>
      </c>
      <c r="O89" s="228" t="s">
        <v>545</v>
      </c>
      <c r="P89" s="211">
        <f>IF($B89="N/A", "N/A", 1)</f>
        <v>1</v>
      </c>
      <c r="Q89" s="211">
        <f>IF($B89="N/A", "N/A", 1)</f>
        <v>1</v>
      </c>
      <c r="R89" s="211">
        <f>IF($B89="N/A", "N/A", 1)</f>
        <v>1</v>
      </c>
    </row>
    <row r="90" spans="1:18" ht="14.55" customHeight="1" x14ac:dyDescent="0.3">
      <c r="A90" s="273" t="s">
        <v>246</v>
      </c>
      <c r="B90" s="7" t="s">
        <v>390</v>
      </c>
      <c r="C90" s="206">
        <v>0</v>
      </c>
      <c r="D90" s="206">
        <v>16</v>
      </c>
      <c r="F90" s="206" t="s">
        <v>247</v>
      </c>
      <c r="G90" s="222" t="s">
        <v>384</v>
      </c>
      <c r="H90" s="223" t="s">
        <v>1098</v>
      </c>
      <c r="I90" s="223"/>
      <c r="J90" s="223" t="s">
        <v>1073</v>
      </c>
      <c r="K90" s="223">
        <v>0</v>
      </c>
      <c r="L90" s="210"/>
      <c r="M90" s="206" t="s">
        <v>66</v>
      </c>
      <c r="N90" s="206" t="s">
        <v>769</v>
      </c>
      <c r="O90" s="206" t="s">
        <v>467</v>
      </c>
      <c r="P90" s="210">
        <f ca="1">IF($B90="N/A", "N/A", VLOOKUP($B90, INDIRECT(Config!$B$1), HLOOKUP(P$1, INDIRECT(Config!$E$1), 2, FALSE),FALSE))</f>
        <v>0</v>
      </c>
      <c r="Q90" s="210">
        <f ca="1">IF($B90="N/A", "N/A", VLOOKUP($B90, INDIRECT(Config!$B$1), HLOOKUP(Q$1, INDIRECT(Config!$E$1), 2, FALSE),FALSE))</f>
        <v>0</v>
      </c>
      <c r="R90" s="210">
        <f ca="1">IF($B90="N/A", "N/A", VLOOKUP($B90, INDIRECT(Config!$B$1), HLOOKUP(R$1, INDIRECT(Config!$E$1), 2, FALSE),FALSE))</f>
        <v>0</v>
      </c>
    </row>
    <row r="91" spans="1:18" ht="14.55" customHeight="1" x14ac:dyDescent="0.3">
      <c r="A91" s="297"/>
      <c r="B91" s="7" t="s">
        <v>390</v>
      </c>
      <c r="C91" s="206">
        <v>16</v>
      </c>
      <c r="D91" s="206">
        <v>8</v>
      </c>
      <c r="F91" s="206" t="s">
        <v>248</v>
      </c>
      <c r="G91" s="222" t="s">
        <v>384</v>
      </c>
      <c r="H91" s="223" t="s">
        <v>974</v>
      </c>
      <c r="I91" s="223"/>
      <c r="J91" s="223" t="s">
        <v>1067</v>
      </c>
      <c r="K91" s="223">
        <v>0</v>
      </c>
      <c r="L91" s="210"/>
      <c r="M91" s="206" t="s">
        <v>66</v>
      </c>
      <c r="N91" s="206" t="s">
        <v>761</v>
      </c>
      <c r="O91" s="206" t="s">
        <v>467</v>
      </c>
      <c r="P91" s="210">
        <f ca="1">IF($B91="N/A", "N/A", VLOOKUP($B91, INDIRECT(Config!$B$1), HLOOKUP(P$1, INDIRECT(Config!$E$1), 2, FALSE),FALSE))</f>
        <v>0</v>
      </c>
      <c r="Q91" s="210">
        <f ca="1">IF($B91="N/A", "N/A", VLOOKUP($B91, INDIRECT(Config!$B$1), HLOOKUP(Q$1, INDIRECT(Config!$E$1), 2, FALSE),FALSE))</f>
        <v>0</v>
      </c>
      <c r="R91" s="210">
        <f ca="1">IF($B91="N/A", "N/A", VLOOKUP($B91, INDIRECT(Config!$B$1), HLOOKUP(R$1, INDIRECT(Config!$E$1), 2, FALSE),FALSE))</f>
        <v>0</v>
      </c>
    </row>
    <row r="92" spans="1:18" ht="14.55" customHeight="1" x14ac:dyDescent="0.3">
      <c r="A92" s="272"/>
      <c r="B92" s="15" t="s">
        <v>205</v>
      </c>
      <c r="C92" s="206">
        <v>24</v>
      </c>
      <c r="D92" s="206">
        <v>8</v>
      </c>
      <c r="F92" s="206" t="s">
        <v>249</v>
      </c>
      <c r="G92" s="222" t="s">
        <v>384</v>
      </c>
      <c r="H92" s="223" t="s">
        <v>975</v>
      </c>
      <c r="I92" s="223"/>
      <c r="J92" s="223" t="s">
        <v>1068</v>
      </c>
      <c r="K92" s="223">
        <v>0</v>
      </c>
      <c r="L92" s="210"/>
      <c r="M92" s="206" t="s">
        <v>66</v>
      </c>
      <c r="N92" s="206" t="s">
        <v>770</v>
      </c>
      <c r="O92" s="206" t="s">
        <v>468</v>
      </c>
      <c r="P92" s="210">
        <f ca="1">IF($B92="N/A", "N/A", VLOOKUP($B92, INDIRECT(Config!$B$1), HLOOKUP(P$1, INDIRECT(Config!$E$1), 2, FALSE),FALSE))</f>
        <v>0</v>
      </c>
      <c r="Q92" s="210">
        <f ca="1">IF($B92="N/A", "N/A", VLOOKUP($B92, INDIRECT(Config!$B$1), HLOOKUP(Q$1, INDIRECT(Config!$E$1), 2, FALSE),FALSE))</f>
        <v>0</v>
      </c>
      <c r="R92" s="210">
        <f ca="1">IF($B92="N/A", "N/A", VLOOKUP($B92, INDIRECT(Config!$B$1), HLOOKUP(R$1, INDIRECT(Config!$E$1), 2, FALSE),FALSE))</f>
        <v>0</v>
      </c>
    </row>
    <row r="93" spans="1:18" ht="14.55" customHeight="1" x14ac:dyDescent="0.3">
      <c r="A93" s="247" t="s">
        <v>250</v>
      </c>
      <c r="B93" s="7" t="s">
        <v>390</v>
      </c>
      <c r="C93" s="206">
        <v>0</v>
      </c>
      <c r="D93" s="206">
        <v>32</v>
      </c>
      <c r="F93" s="206" t="s">
        <v>250</v>
      </c>
      <c r="G93" s="222" t="s">
        <v>384</v>
      </c>
      <c r="H93" s="224" t="s">
        <v>48</v>
      </c>
      <c r="I93" s="229"/>
      <c r="J93" s="223" t="s">
        <v>1076</v>
      </c>
      <c r="K93" s="223">
        <v>0</v>
      </c>
      <c r="L93" s="210"/>
      <c r="M93" s="206" t="s">
        <v>66</v>
      </c>
      <c r="N93" s="206" t="s">
        <v>771</v>
      </c>
      <c r="O93" s="206" t="s">
        <v>469</v>
      </c>
      <c r="P93" s="210">
        <f ca="1">IF($B93="N/A", "N/A", VLOOKUP($B93, INDIRECT(Config!$B$1), HLOOKUP(P$1, INDIRECT(Config!$E$1), 2, FALSE),FALSE))</f>
        <v>0</v>
      </c>
      <c r="Q93" s="210">
        <f ca="1">IF($B93="N/A", "N/A", VLOOKUP($B93, INDIRECT(Config!$B$1), HLOOKUP(Q$1, INDIRECT(Config!$E$1), 2, FALSE),FALSE))</f>
        <v>0</v>
      </c>
      <c r="R93" s="210">
        <f ca="1">IF($B93="N/A", "N/A", VLOOKUP($B93, INDIRECT(Config!$B$1), HLOOKUP(R$1, INDIRECT(Config!$E$1), 2, FALSE),FALSE))</f>
        <v>0</v>
      </c>
    </row>
    <row r="94" spans="1:18" ht="14.55" customHeight="1" x14ac:dyDescent="0.3">
      <c r="A94" s="247" t="s">
        <v>251</v>
      </c>
      <c r="B94" s="7" t="s">
        <v>390</v>
      </c>
      <c r="C94" s="206">
        <v>0</v>
      </c>
      <c r="D94" s="206">
        <v>32</v>
      </c>
      <c r="E94" s="206"/>
      <c r="F94" s="206" t="s">
        <v>251</v>
      </c>
      <c r="G94" s="222" t="s">
        <v>384</v>
      </c>
      <c r="H94" s="223" t="s">
        <v>48</v>
      </c>
      <c r="I94" s="229"/>
      <c r="J94" s="223" t="s">
        <v>1077</v>
      </c>
      <c r="K94" s="223">
        <v>0</v>
      </c>
      <c r="L94" s="210"/>
      <c r="M94" s="206" t="s">
        <v>66</v>
      </c>
      <c r="N94" s="206" t="s">
        <v>772</v>
      </c>
      <c r="O94" s="206" t="s">
        <v>470</v>
      </c>
      <c r="P94" s="210">
        <f ca="1">IF($B94="N/A", "N/A", VLOOKUP($B94, INDIRECT(Config!$B$1), HLOOKUP(P$1, INDIRECT(Config!$E$1), 2, FALSE),FALSE))</f>
        <v>0</v>
      </c>
      <c r="Q94" s="210">
        <f ca="1">IF($B94="N/A", "N/A", VLOOKUP($B94, INDIRECT(Config!$B$1), HLOOKUP(Q$1, INDIRECT(Config!$E$1), 2, FALSE),FALSE))</f>
        <v>0</v>
      </c>
      <c r="R94" s="210">
        <f ca="1">IF($B94="N/A", "N/A", VLOOKUP($B94, INDIRECT(Config!$B$1), HLOOKUP(R$1, INDIRECT(Config!$E$1), 2, FALSE),FALSE))</f>
        <v>0</v>
      </c>
    </row>
    <row r="95" spans="1:18" ht="14.55" customHeight="1" x14ac:dyDescent="0.3">
      <c r="A95" s="247" t="s">
        <v>252</v>
      </c>
      <c r="B95" s="7" t="s">
        <v>390</v>
      </c>
      <c r="C95" s="206">
        <v>0</v>
      </c>
      <c r="D95" s="206">
        <v>32</v>
      </c>
      <c r="E95" s="206"/>
      <c r="F95" s="206" t="s">
        <v>252</v>
      </c>
      <c r="G95" s="222" t="s">
        <v>384</v>
      </c>
      <c r="H95" s="223" t="s">
        <v>48</v>
      </c>
      <c r="I95" s="229"/>
      <c r="J95" s="223" t="s">
        <v>1078</v>
      </c>
      <c r="K95" s="223">
        <v>0</v>
      </c>
      <c r="L95" s="210"/>
      <c r="M95" s="206" t="s">
        <v>66</v>
      </c>
      <c r="N95" s="206" t="s">
        <v>773</v>
      </c>
      <c r="O95" s="206" t="s">
        <v>471</v>
      </c>
      <c r="P95" s="210">
        <f ca="1">IF($B95="N/A", "N/A", VLOOKUP($B95, INDIRECT(Config!$B$1), HLOOKUP(P$1, INDIRECT(Config!$E$1), 2, FALSE),FALSE))</f>
        <v>0</v>
      </c>
      <c r="Q95" s="210">
        <f ca="1">IF($B95="N/A", "N/A", VLOOKUP($B95, INDIRECT(Config!$B$1), HLOOKUP(Q$1, INDIRECT(Config!$E$1), 2, FALSE),FALSE))</f>
        <v>0</v>
      </c>
      <c r="R95" s="210">
        <f ca="1">IF($B95="N/A", "N/A", VLOOKUP($B95, INDIRECT(Config!$B$1), HLOOKUP(R$1, INDIRECT(Config!$E$1), 2, FALSE),FALSE))</f>
        <v>0</v>
      </c>
    </row>
    <row r="96" spans="1:18" ht="14.55" customHeight="1" x14ac:dyDescent="0.3">
      <c r="A96" s="273" t="s">
        <v>34</v>
      </c>
      <c r="B96" s="7" t="s">
        <v>253</v>
      </c>
      <c r="C96" s="206">
        <v>0</v>
      </c>
      <c r="D96" s="206">
        <v>24</v>
      </c>
      <c r="E96" s="206"/>
      <c r="F96" s="206" t="s">
        <v>254</v>
      </c>
      <c r="G96" s="222" t="s">
        <v>384</v>
      </c>
      <c r="H96" s="224" t="s">
        <v>976</v>
      </c>
      <c r="I96" s="224"/>
      <c r="J96" s="223" t="s">
        <v>1063</v>
      </c>
      <c r="K96" s="223">
        <v>0</v>
      </c>
      <c r="L96" s="210" t="s">
        <v>17</v>
      </c>
      <c r="M96" s="206" t="s">
        <v>66</v>
      </c>
      <c r="N96" s="206" t="s">
        <v>764</v>
      </c>
      <c r="O96" s="206" t="s">
        <v>458</v>
      </c>
      <c r="P96" s="210">
        <f ca="1">IF($B96="N/A", "N/A", VLOOKUP($B96, INDIRECT(Config!$B$1), HLOOKUP(P$1, INDIRECT(Config!$E$1), 2, FALSE),FALSE))</f>
        <v>1</v>
      </c>
      <c r="Q96" s="210">
        <f ca="1">IF($B96="N/A", "N/A", VLOOKUP($B96, INDIRECT(Config!$B$1), HLOOKUP(Q$1, INDIRECT(Config!$E$1), 2, FALSE),FALSE))</f>
        <v>1</v>
      </c>
      <c r="R96" s="210">
        <f ca="1">IF($B96="N/A", "N/A", VLOOKUP($B96, INDIRECT(Config!$B$1), HLOOKUP(R$1, INDIRECT(Config!$E$1), 2, FALSE),FALSE))</f>
        <v>0</v>
      </c>
    </row>
    <row r="97" spans="1:18" ht="14.55" customHeight="1" x14ac:dyDescent="0.3">
      <c r="A97" s="297"/>
      <c r="B97" s="7" t="s">
        <v>253</v>
      </c>
      <c r="C97" s="206">
        <v>24</v>
      </c>
      <c r="D97" s="206">
        <v>5</v>
      </c>
      <c r="E97" s="206"/>
      <c r="F97" s="206" t="s">
        <v>255</v>
      </c>
      <c r="G97" s="222" t="s">
        <v>384</v>
      </c>
      <c r="H97" s="224" t="s">
        <v>977</v>
      </c>
      <c r="I97" s="224"/>
      <c r="J97" s="223" t="s">
        <v>1064</v>
      </c>
      <c r="K97" s="223">
        <v>0</v>
      </c>
      <c r="L97" s="210" t="s">
        <v>17</v>
      </c>
      <c r="M97" s="206" t="s">
        <v>66</v>
      </c>
      <c r="N97" s="206" t="s">
        <v>765</v>
      </c>
      <c r="O97" s="206" t="s">
        <v>459</v>
      </c>
      <c r="P97" s="210">
        <f ca="1">IF($B97="N/A", "N/A", VLOOKUP($B97, INDIRECT(Config!$B$1), HLOOKUP(P$1, INDIRECT(Config!$E$1), 2, FALSE),FALSE))</f>
        <v>1</v>
      </c>
      <c r="Q97" s="210">
        <f ca="1">IF($B97="N/A", "N/A", VLOOKUP($B97, INDIRECT(Config!$B$1), HLOOKUP(Q$1, INDIRECT(Config!$E$1), 2, FALSE),FALSE))</f>
        <v>1</v>
      </c>
      <c r="R97" s="210">
        <f ca="1">IF($B97="N/A", "N/A", VLOOKUP($B97, INDIRECT(Config!$B$1), HLOOKUP(R$1, INDIRECT(Config!$E$1), 2, FALSE),FALSE))</f>
        <v>0</v>
      </c>
    </row>
    <row r="98" spans="1:18" ht="14.55" customHeight="1" x14ac:dyDescent="0.3">
      <c r="A98" s="297"/>
      <c r="B98" s="7" t="s">
        <v>253</v>
      </c>
      <c r="C98" s="206">
        <v>29</v>
      </c>
      <c r="D98" s="206">
        <v>2</v>
      </c>
      <c r="E98" s="206"/>
      <c r="F98" s="206" t="s">
        <v>256</v>
      </c>
      <c r="G98" s="222" t="s">
        <v>384</v>
      </c>
      <c r="H98" s="224" t="s">
        <v>978</v>
      </c>
      <c r="I98" s="224"/>
      <c r="J98" s="223" t="s">
        <v>1065</v>
      </c>
      <c r="K98" s="223">
        <v>0</v>
      </c>
      <c r="L98" s="210" t="s">
        <v>17</v>
      </c>
      <c r="M98" s="206" t="s">
        <v>66</v>
      </c>
      <c r="N98" s="206" t="s">
        <v>766</v>
      </c>
      <c r="O98" s="206" t="s">
        <v>462</v>
      </c>
      <c r="P98" s="210">
        <f ca="1">IF($B98="N/A", "N/A", VLOOKUP($B98, INDIRECT(Config!$B$1), HLOOKUP(P$1, INDIRECT(Config!$E$1), 2, FALSE),FALSE))</f>
        <v>1</v>
      </c>
      <c r="Q98" s="210">
        <f ca="1">IF($B98="N/A", "N/A", VLOOKUP($B98, INDIRECT(Config!$B$1), HLOOKUP(Q$1, INDIRECT(Config!$E$1), 2, FALSE),FALSE))</f>
        <v>1</v>
      </c>
      <c r="R98" s="210">
        <f ca="1">IF($B98="N/A", "N/A", VLOOKUP($B98, INDIRECT(Config!$B$1), HLOOKUP(R$1, INDIRECT(Config!$E$1), 2, FALSE),FALSE))</f>
        <v>0</v>
      </c>
    </row>
    <row r="99" spans="1:18" ht="14.55" customHeight="1" x14ac:dyDescent="0.3">
      <c r="A99" s="272"/>
      <c r="B99" s="7" t="s">
        <v>253</v>
      </c>
      <c r="C99" s="206">
        <v>31</v>
      </c>
      <c r="D99" s="206">
        <v>1</v>
      </c>
      <c r="E99" s="206"/>
      <c r="F99" s="206" t="s">
        <v>257</v>
      </c>
      <c r="G99" s="222" t="s">
        <v>384</v>
      </c>
      <c r="H99" s="224" t="s">
        <v>979</v>
      </c>
      <c r="I99" s="224"/>
      <c r="J99" s="223" t="s">
        <v>1066</v>
      </c>
      <c r="K99" s="223">
        <v>0</v>
      </c>
      <c r="L99" s="210" t="s">
        <v>17</v>
      </c>
      <c r="M99" s="206" t="s">
        <v>66</v>
      </c>
      <c r="N99" s="206" t="s">
        <v>767</v>
      </c>
      <c r="O99" s="206" t="s">
        <v>461</v>
      </c>
      <c r="P99" s="210">
        <f ca="1">IF($B99="N/A", "N/A", VLOOKUP($B99, INDIRECT(Config!$B$1), HLOOKUP(P$1, INDIRECT(Config!$E$1), 2, FALSE),FALSE))</f>
        <v>1</v>
      </c>
      <c r="Q99" s="210">
        <f ca="1">IF($B99="N/A", "N/A", VLOOKUP($B99, INDIRECT(Config!$B$1), HLOOKUP(Q$1, INDIRECT(Config!$E$1), 2, FALSE),FALSE))</f>
        <v>1</v>
      </c>
      <c r="R99" s="210">
        <f ca="1">IF($B99="N/A", "N/A", VLOOKUP($B99, INDIRECT(Config!$B$1), HLOOKUP(R$1, INDIRECT(Config!$E$1), 2, FALSE),FALSE))</f>
        <v>0</v>
      </c>
    </row>
    <row r="100" spans="1:18" ht="14.55" customHeight="1" x14ac:dyDescent="0.3">
      <c r="A100" s="258" t="s">
        <v>36</v>
      </c>
      <c r="B100" s="7" t="s">
        <v>214</v>
      </c>
      <c r="C100" s="206">
        <v>0</v>
      </c>
      <c r="D100" s="206">
        <v>8</v>
      </c>
      <c r="E100" s="206"/>
      <c r="F100" s="206" t="s">
        <v>258</v>
      </c>
      <c r="G100" s="222" t="s">
        <v>384</v>
      </c>
      <c r="H100" s="223" t="s">
        <v>1099</v>
      </c>
      <c r="I100" s="223"/>
      <c r="J100" s="223" t="s">
        <v>1069</v>
      </c>
      <c r="K100" s="223">
        <v>0</v>
      </c>
      <c r="L100" s="210"/>
      <c r="M100" s="206" t="s">
        <v>128</v>
      </c>
      <c r="N100" s="206" t="s">
        <v>768</v>
      </c>
      <c r="O100" s="206" t="s">
        <v>463</v>
      </c>
      <c r="P100" s="210">
        <f ca="1">IF($B100="N/A", "N/A", VLOOKUP($B100, INDIRECT(Config!$B$1), HLOOKUP(P$1, INDIRECT(Config!$E$1), 2, FALSE),FALSE))</f>
        <v>0</v>
      </c>
      <c r="Q100" s="210">
        <f ca="1">IF($B100="N/A", "N/A", VLOOKUP($B100, INDIRECT(Config!$B$1), HLOOKUP(Q$1, INDIRECT(Config!$E$1), 2, FALSE),FALSE))</f>
        <v>0</v>
      </c>
      <c r="R100" s="210">
        <f ca="1">IF($B100="N/A", "N/A", VLOOKUP($B100, INDIRECT(Config!$B$1), HLOOKUP(R$1, INDIRECT(Config!$E$1), 2, FALSE),FALSE))</f>
        <v>0</v>
      </c>
    </row>
    <row r="101" spans="1:18" ht="14.55" customHeight="1" x14ac:dyDescent="0.3">
      <c r="A101" s="258"/>
      <c r="B101" s="7" t="s">
        <v>214</v>
      </c>
      <c r="C101" s="206">
        <v>8</v>
      </c>
      <c r="D101" s="206">
        <v>8</v>
      </c>
      <c r="E101" s="206"/>
      <c r="F101" s="206" t="s">
        <v>259</v>
      </c>
      <c r="G101" s="222" t="s">
        <v>384</v>
      </c>
      <c r="H101" s="223" t="s">
        <v>1100</v>
      </c>
      <c r="I101" s="223"/>
      <c r="J101" s="223" t="s">
        <v>1070</v>
      </c>
      <c r="K101" s="223">
        <v>0</v>
      </c>
      <c r="L101" s="210"/>
      <c r="M101" s="206" t="s">
        <v>128</v>
      </c>
      <c r="N101" s="206" t="s">
        <v>768</v>
      </c>
      <c r="O101" s="206" t="s">
        <v>464</v>
      </c>
      <c r="P101" s="210">
        <f ca="1">IF($B101="N/A", "N/A", VLOOKUP($B101, INDIRECT(Config!$B$1), HLOOKUP(P$1, INDIRECT(Config!$E$1), 2, FALSE),FALSE))</f>
        <v>0</v>
      </c>
      <c r="Q101" s="210">
        <f ca="1">IF($B101="N/A", "N/A", VLOOKUP($B101, INDIRECT(Config!$B$1), HLOOKUP(Q$1, INDIRECT(Config!$E$1), 2, FALSE),FALSE))</f>
        <v>0</v>
      </c>
      <c r="R101" s="210">
        <f ca="1">IF($B101="N/A", "N/A", VLOOKUP($B101, INDIRECT(Config!$B$1), HLOOKUP(R$1, INDIRECT(Config!$E$1), 2, FALSE),FALSE))</f>
        <v>0</v>
      </c>
    </row>
    <row r="102" spans="1:18" ht="14.55" customHeight="1" x14ac:dyDescent="0.3">
      <c r="A102" s="297"/>
      <c r="B102" s="5" t="s">
        <v>214</v>
      </c>
      <c r="C102" s="225">
        <v>16</v>
      </c>
      <c r="D102" s="225">
        <v>8</v>
      </c>
      <c r="E102" s="225"/>
      <c r="F102" s="225" t="s">
        <v>260</v>
      </c>
      <c r="G102" s="222" t="s">
        <v>384</v>
      </c>
      <c r="H102" s="223" t="s">
        <v>1074</v>
      </c>
      <c r="I102" s="223"/>
      <c r="J102" s="223" t="s">
        <v>1071</v>
      </c>
      <c r="K102" s="227">
        <v>0</v>
      </c>
      <c r="L102" s="226"/>
      <c r="M102" s="225" t="s">
        <v>66</v>
      </c>
      <c r="N102" s="225" t="s">
        <v>768</v>
      </c>
      <c r="O102" s="225" t="s">
        <v>465</v>
      </c>
      <c r="P102" s="210">
        <f ca="1">IF($B102="N/A", "N/A", VLOOKUP($B102, INDIRECT(Config!$B$1), HLOOKUP(P$1, INDIRECT(Config!$E$1), 2, FALSE),FALSE))</f>
        <v>0</v>
      </c>
      <c r="Q102" s="210">
        <f ca="1">IF($B102="N/A", "N/A", VLOOKUP($B102, INDIRECT(Config!$B$1), HLOOKUP(Q$1, INDIRECT(Config!$E$1), 2, FALSE),FALSE))</f>
        <v>0</v>
      </c>
      <c r="R102" s="210">
        <f ca="1">IF($B102="N/A", "N/A", VLOOKUP($B102, INDIRECT(Config!$B$1), HLOOKUP(R$1, INDIRECT(Config!$E$1), 2, FALSE),FALSE))</f>
        <v>0</v>
      </c>
    </row>
    <row r="103" spans="1:18" ht="14.55" customHeight="1" x14ac:dyDescent="0.3">
      <c r="A103" s="272"/>
      <c r="B103" s="7" t="s">
        <v>214</v>
      </c>
      <c r="C103" s="206">
        <v>24</v>
      </c>
      <c r="D103" s="206">
        <v>8</v>
      </c>
      <c r="E103" s="206"/>
      <c r="F103" s="206" t="s">
        <v>261</v>
      </c>
      <c r="G103" s="222" t="s">
        <v>384</v>
      </c>
      <c r="H103" s="223" t="s">
        <v>1075</v>
      </c>
      <c r="I103" s="223"/>
      <c r="J103" s="223" t="s">
        <v>1072</v>
      </c>
      <c r="K103" s="223">
        <v>0</v>
      </c>
      <c r="L103" s="210"/>
      <c r="M103" s="206" t="s">
        <v>66</v>
      </c>
      <c r="N103" s="206" t="s">
        <v>768</v>
      </c>
      <c r="O103" s="206" t="s">
        <v>466</v>
      </c>
      <c r="P103" s="210">
        <f ca="1">IF($B103="N/A", "N/A", VLOOKUP($B103, INDIRECT(Config!$B$1), HLOOKUP(P$1, INDIRECT(Config!$E$1), 2, FALSE),FALSE))</f>
        <v>0</v>
      </c>
      <c r="Q103" s="210">
        <f ca="1">IF($B103="N/A", "N/A", VLOOKUP($B103, INDIRECT(Config!$B$1), HLOOKUP(Q$1, INDIRECT(Config!$E$1), 2, FALSE),FALSE))</f>
        <v>0</v>
      </c>
      <c r="R103" s="210">
        <f ca="1">IF($B103="N/A", "N/A", VLOOKUP($B103, INDIRECT(Config!$B$1), HLOOKUP(R$1, INDIRECT(Config!$E$1), 2, FALSE),FALSE))</f>
        <v>0</v>
      </c>
    </row>
    <row r="104" spans="1:18" ht="14.55" customHeight="1" x14ac:dyDescent="0.3">
      <c r="A104" s="273" t="s">
        <v>38</v>
      </c>
      <c r="B104" s="4" t="s">
        <v>613</v>
      </c>
      <c r="C104" s="206">
        <v>0</v>
      </c>
      <c r="D104" s="206">
        <v>16</v>
      </c>
      <c r="E104" s="320" t="s">
        <v>262</v>
      </c>
      <c r="F104" s="206" t="s">
        <v>262</v>
      </c>
      <c r="G104" s="298"/>
      <c r="H104" s="209" t="s">
        <v>48</v>
      </c>
      <c r="I104" s="230"/>
      <c r="J104" s="209" t="s">
        <v>51</v>
      </c>
      <c r="K104" s="209" t="s">
        <v>51</v>
      </c>
      <c r="L104" s="216"/>
      <c r="M104" s="206" t="s">
        <v>66</v>
      </c>
      <c r="N104" s="206" t="s">
        <v>760</v>
      </c>
      <c r="O104" s="206" t="s">
        <v>472</v>
      </c>
      <c r="P104" s="211">
        <f t="shared" ref="P104:R107" si="5">IF($B104="N/A", "N/A", 1)</f>
        <v>1</v>
      </c>
      <c r="Q104" s="211">
        <f t="shared" si="5"/>
        <v>1</v>
      </c>
      <c r="R104" s="211">
        <f t="shared" si="5"/>
        <v>1</v>
      </c>
    </row>
    <row r="105" spans="1:18" ht="14.55" customHeight="1" x14ac:dyDescent="0.3">
      <c r="A105" s="297"/>
      <c r="B105" s="4" t="s">
        <v>613</v>
      </c>
      <c r="C105" s="206">
        <v>16</v>
      </c>
      <c r="D105" s="206">
        <v>8</v>
      </c>
      <c r="E105" s="320" t="s">
        <v>263</v>
      </c>
      <c r="F105" s="206" t="s">
        <v>263</v>
      </c>
      <c r="G105" s="299"/>
      <c r="H105" s="209" t="s">
        <v>48</v>
      </c>
      <c r="I105" s="230"/>
      <c r="J105" s="209" t="s">
        <v>1086</v>
      </c>
      <c r="K105" s="209" t="s">
        <v>1086</v>
      </c>
      <c r="L105" s="216"/>
      <c r="M105" s="206" t="s">
        <v>66</v>
      </c>
      <c r="N105" s="206" t="s">
        <v>761</v>
      </c>
      <c r="O105" s="206" t="s">
        <v>473</v>
      </c>
      <c r="P105" s="211">
        <f t="shared" si="5"/>
        <v>1</v>
      </c>
      <c r="Q105" s="211">
        <f t="shared" si="5"/>
        <v>1</v>
      </c>
      <c r="R105" s="211">
        <f t="shared" si="5"/>
        <v>1</v>
      </c>
    </row>
    <row r="106" spans="1:18" ht="14.55" customHeight="1" x14ac:dyDescent="0.3">
      <c r="A106" s="297"/>
      <c r="B106" s="4" t="s">
        <v>613</v>
      </c>
      <c r="C106" s="206">
        <v>24</v>
      </c>
      <c r="D106" s="206">
        <v>4</v>
      </c>
      <c r="E106" s="320" t="s">
        <v>264</v>
      </c>
      <c r="F106" s="206" t="s">
        <v>264</v>
      </c>
      <c r="G106" s="299"/>
      <c r="H106" s="209" t="s">
        <v>48</v>
      </c>
      <c r="I106" s="230"/>
      <c r="J106" s="209" t="s">
        <v>1086</v>
      </c>
      <c r="K106" s="209" t="s">
        <v>1086</v>
      </c>
      <c r="L106" s="216"/>
      <c r="M106" s="206" t="s">
        <v>66</v>
      </c>
      <c r="N106" s="206" t="s">
        <v>762</v>
      </c>
      <c r="O106" s="206" t="s">
        <v>474</v>
      </c>
      <c r="P106" s="211">
        <f t="shared" si="5"/>
        <v>1</v>
      </c>
      <c r="Q106" s="211">
        <f t="shared" si="5"/>
        <v>1</v>
      </c>
      <c r="R106" s="211">
        <f t="shared" si="5"/>
        <v>1</v>
      </c>
    </row>
    <row r="107" spans="1:18" ht="14.55" customHeight="1" x14ac:dyDescent="0.3">
      <c r="A107" s="272"/>
      <c r="B107" s="4" t="s">
        <v>613</v>
      </c>
      <c r="C107" s="206">
        <v>28</v>
      </c>
      <c r="D107" s="206">
        <v>4</v>
      </c>
      <c r="E107" s="320" t="s">
        <v>265</v>
      </c>
      <c r="F107" s="206" t="s">
        <v>265</v>
      </c>
      <c r="G107" s="300"/>
      <c r="H107" s="209" t="s">
        <v>48</v>
      </c>
      <c r="I107" s="230"/>
      <c r="J107" s="209" t="s">
        <v>1087</v>
      </c>
      <c r="K107" s="209" t="s">
        <v>1087</v>
      </c>
      <c r="L107" s="216"/>
      <c r="M107" s="206" t="s">
        <v>66</v>
      </c>
      <c r="N107" s="206" t="s">
        <v>763</v>
      </c>
      <c r="O107" s="206" t="s">
        <v>473</v>
      </c>
      <c r="P107" s="211">
        <f t="shared" si="5"/>
        <v>1</v>
      </c>
      <c r="Q107" s="211">
        <f t="shared" si="5"/>
        <v>1</v>
      </c>
      <c r="R107" s="211">
        <f t="shared" si="5"/>
        <v>1</v>
      </c>
    </row>
    <row r="108" spans="1:18" ht="14.55" customHeight="1" x14ac:dyDescent="0.3">
      <c r="A108" s="273" t="s">
        <v>52</v>
      </c>
      <c r="B108" s="16" t="s">
        <v>253</v>
      </c>
      <c r="C108" s="207">
        <v>0</v>
      </c>
      <c r="D108" s="207">
        <v>1</v>
      </c>
      <c r="E108" s="207"/>
      <c r="F108" s="207" t="s">
        <v>547</v>
      </c>
      <c r="G108" s="222" t="s">
        <v>384</v>
      </c>
      <c r="H108" s="214" t="s">
        <v>48</v>
      </c>
      <c r="I108" s="230"/>
      <c r="J108" s="214" t="s">
        <v>48</v>
      </c>
      <c r="K108" s="230"/>
      <c r="L108" s="210" t="s">
        <v>17</v>
      </c>
      <c r="M108" s="206" t="s">
        <v>66</v>
      </c>
      <c r="N108" s="206" t="s">
        <v>749</v>
      </c>
      <c r="O108" s="206" t="s">
        <v>534</v>
      </c>
      <c r="P108" s="210">
        <f ca="1">IF($B108="N/A", "N/A", VLOOKUP($B108, INDIRECT(Config!$B$1), HLOOKUP(P$1, INDIRECT(Config!$E$1), 2, FALSE),FALSE))</f>
        <v>1</v>
      </c>
      <c r="Q108" s="210">
        <f ca="1">IF($B108="N/A", "N/A", VLOOKUP($B108, INDIRECT(Config!$B$1), HLOOKUP(Q$1, INDIRECT(Config!$E$1), 2, FALSE),FALSE))</f>
        <v>1</v>
      </c>
      <c r="R108" s="210">
        <f ca="1">IF($B108="N/A", "N/A", VLOOKUP($B108, INDIRECT(Config!$B$1), HLOOKUP(R$1, INDIRECT(Config!$E$1), 2, FALSE),FALSE))</f>
        <v>0</v>
      </c>
    </row>
    <row r="109" spans="1:18" ht="14.55" customHeight="1" x14ac:dyDescent="0.3">
      <c r="A109" s="297"/>
      <c r="B109" s="16" t="s">
        <v>253</v>
      </c>
      <c r="C109" s="207">
        <v>1</v>
      </c>
      <c r="D109" s="207">
        <v>1</v>
      </c>
      <c r="E109" s="207"/>
      <c r="F109" s="207" t="s">
        <v>548</v>
      </c>
      <c r="G109" s="222" t="s">
        <v>384</v>
      </c>
      <c r="H109" s="214" t="s">
        <v>48</v>
      </c>
      <c r="I109" s="230"/>
      <c r="J109" s="214" t="s">
        <v>48</v>
      </c>
      <c r="K109" s="230" t="s">
        <v>1146</v>
      </c>
      <c r="L109" s="210" t="s">
        <v>17</v>
      </c>
      <c r="M109" s="206" t="s">
        <v>66</v>
      </c>
      <c r="N109" s="206" t="s">
        <v>750</v>
      </c>
      <c r="O109" s="206" t="s">
        <v>535</v>
      </c>
      <c r="P109" s="210">
        <f ca="1">IF($B109="N/A", "N/A", VLOOKUP($B109, INDIRECT(Config!$B$1), HLOOKUP(P$1, INDIRECT(Config!$E$1), 2, FALSE),FALSE))</f>
        <v>1</v>
      </c>
      <c r="Q109" s="210">
        <f ca="1">IF($B109="N/A", "N/A", VLOOKUP($B109, INDIRECT(Config!$B$1), HLOOKUP(Q$1, INDIRECT(Config!$E$1), 2, FALSE),FALSE))</f>
        <v>1</v>
      </c>
      <c r="R109" s="210">
        <f ca="1">IF($B109="N/A", "N/A", VLOOKUP($B109, INDIRECT(Config!$B$1), HLOOKUP(R$1, INDIRECT(Config!$E$1), 2, FALSE),FALSE))</f>
        <v>0</v>
      </c>
    </row>
    <row r="110" spans="1:18" ht="14.55" customHeight="1" x14ac:dyDescent="0.3">
      <c r="A110" s="272"/>
      <c r="B110" s="16" t="s">
        <v>253</v>
      </c>
      <c r="C110" s="207">
        <v>2</v>
      </c>
      <c r="D110" s="207">
        <v>30</v>
      </c>
      <c r="E110" s="207"/>
      <c r="F110" s="207" t="s">
        <v>665</v>
      </c>
      <c r="G110" s="222" t="s">
        <v>384</v>
      </c>
      <c r="H110" s="214" t="s">
        <v>48</v>
      </c>
      <c r="I110" s="230"/>
      <c r="J110" s="214" t="s">
        <v>48</v>
      </c>
      <c r="K110" s="230"/>
      <c r="L110" s="210" t="s">
        <v>17</v>
      </c>
      <c r="M110" s="206" t="s">
        <v>66</v>
      </c>
      <c r="N110" s="206" t="s">
        <v>751</v>
      </c>
      <c r="O110" s="206" t="s">
        <v>535</v>
      </c>
      <c r="P110" s="210">
        <f ca="1">IF($B110="N/A", "N/A", VLOOKUP($B110, INDIRECT(Config!$B$1), HLOOKUP(P$1, INDIRECT(Config!$E$1), 2, FALSE),FALSE))</f>
        <v>1</v>
      </c>
      <c r="Q110" s="210">
        <f ca="1">IF($B110="N/A", "N/A", VLOOKUP($B110, INDIRECT(Config!$B$1), HLOOKUP(Q$1, INDIRECT(Config!$E$1), 2, FALSE),FALSE))</f>
        <v>1</v>
      </c>
      <c r="R110" s="210">
        <f ca="1">IF($B110="N/A", "N/A", VLOOKUP($B110, INDIRECT(Config!$B$1), HLOOKUP(R$1, INDIRECT(Config!$E$1), 2, FALSE),FALSE))</f>
        <v>0</v>
      </c>
    </row>
    <row r="111" spans="1:18" ht="14.55" customHeight="1" x14ac:dyDescent="0.3">
      <c r="A111" s="273" t="s">
        <v>353</v>
      </c>
      <c r="B111" s="16" t="s">
        <v>253</v>
      </c>
      <c r="C111" s="207">
        <v>0</v>
      </c>
      <c r="D111" s="207">
        <v>1</v>
      </c>
      <c r="E111" s="207"/>
      <c r="F111" s="207" t="s">
        <v>549</v>
      </c>
      <c r="G111" s="222" t="s">
        <v>384</v>
      </c>
      <c r="H111" s="214" t="s">
        <v>48</v>
      </c>
      <c r="I111" s="230"/>
      <c r="J111" s="214" t="s">
        <v>48</v>
      </c>
      <c r="K111" s="230"/>
      <c r="L111" s="210" t="s">
        <v>17</v>
      </c>
      <c r="M111" s="206" t="s">
        <v>66</v>
      </c>
      <c r="N111" s="206" t="s">
        <v>752</v>
      </c>
      <c r="O111" s="206" t="s">
        <v>546</v>
      </c>
      <c r="P111" s="210">
        <f ca="1">IF($B111="N/A", "N/A", VLOOKUP($B111, INDIRECT(Config!$B$1), HLOOKUP(P$1, INDIRECT(Config!$E$1), 2, FALSE),FALSE))</f>
        <v>1</v>
      </c>
      <c r="Q111" s="210">
        <f ca="1">IF($B111="N/A", "N/A", VLOOKUP($B111, INDIRECT(Config!$B$1), HLOOKUP(Q$1, INDIRECT(Config!$E$1), 2, FALSE),FALSE))</f>
        <v>1</v>
      </c>
      <c r="R111" s="210">
        <f ca="1">IF($B111="N/A", "N/A", VLOOKUP($B111, INDIRECT(Config!$B$1), HLOOKUP(R$1, INDIRECT(Config!$E$1), 2, FALSE),FALSE))</f>
        <v>0</v>
      </c>
    </row>
    <row r="112" spans="1:18" ht="14.55" customHeight="1" x14ac:dyDescent="0.3">
      <c r="A112" s="272"/>
      <c r="B112" s="16" t="s">
        <v>253</v>
      </c>
      <c r="C112" s="207">
        <v>1</v>
      </c>
      <c r="D112" s="207">
        <v>31</v>
      </c>
      <c r="E112" s="207"/>
      <c r="F112" s="207" t="s">
        <v>664</v>
      </c>
      <c r="G112" s="222" t="s">
        <v>384</v>
      </c>
      <c r="H112" s="214" t="s">
        <v>48</v>
      </c>
      <c r="I112" s="230"/>
      <c r="J112" s="214" t="s">
        <v>48</v>
      </c>
      <c r="K112" s="230"/>
      <c r="L112" s="210" t="s">
        <v>17</v>
      </c>
      <c r="M112" s="206" t="s">
        <v>66</v>
      </c>
      <c r="N112" s="206" t="s">
        <v>753</v>
      </c>
      <c r="O112" s="206" t="s">
        <v>546</v>
      </c>
      <c r="P112" s="210">
        <f ca="1">IF($B112="N/A", "N/A", VLOOKUP($B112, INDIRECT(Config!$B$1), HLOOKUP(P$1, INDIRECT(Config!$E$1), 2, FALSE),FALSE))</f>
        <v>1</v>
      </c>
      <c r="Q112" s="210">
        <f ca="1">IF($B112="N/A", "N/A", VLOOKUP($B112, INDIRECT(Config!$B$1), HLOOKUP(Q$1, INDIRECT(Config!$E$1), 2, FALSE),FALSE))</f>
        <v>1</v>
      </c>
      <c r="R112" s="210">
        <f ca="1">IF($B112="N/A", "N/A", VLOOKUP($B112, INDIRECT(Config!$B$1), HLOOKUP(R$1, INDIRECT(Config!$E$1), 2, FALSE),FALSE))</f>
        <v>0</v>
      </c>
    </row>
    <row r="113" spans="1:18" ht="14.55" customHeight="1" x14ac:dyDescent="0.3">
      <c r="A113" s="273" t="s">
        <v>354</v>
      </c>
      <c r="B113" s="16" t="s">
        <v>355</v>
      </c>
      <c r="C113" s="207">
        <v>0</v>
      </c>
      <c r="D113" s="207">
        <v>1</v>
      </c>
      <c r="E113" s="207"/>
      <c r="F113" s="207" t="s">
        <v>547</v>
      </c>
      <c r="G113" s="222" t="s">
        <v>384</v>
      </c>
      <c r="H113" s="214" t="s">
        <v>48</v>
      </c>
      <c r="I113" s="230"/>
      <c r="J113" s="214" t="s">
        <v>48</v>
      </c>
      <c r="K113" s="230"/>
      <c r="L113" s="210" t="s">
        <v>17</v>
      </c>
      <c r="M113" s="206" t="s">
        <v>66</v>
      </c>
      <c r="N113" s="206" t="s">
        <v>754</v>
      </c>
      <c r="O113" s="206" t="s">
        <v>534</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c r="R113" s="210">
        <f ca="1">IF(VLOOKUP("PARAM_INT_IFP_TRIPLE_RDD_DIS", INDIRECT(Config!$B$1), HLOOKUP(R$1, INDIRECT(Config!$E$1), 2, FALSE),FALSE)=0, VLOOKUP("TRC_PRESENT", INDIRECT(Config!$B$1), HLOOKUP(R$1, INDIRECT(Config!$E$1), 2, FALSE),FALSE), 0)</f>
        <v>0</v>
      </c>
    </row>
    <row r="114" spans="1:18" ht="14.55" customHeight="1" x14ac:dyDescent="0.3">
      <c r="A114" s="297"/>
      <c r="B114" s="16" t="s">
        <v>355</v>
      </c>
      <c r="C114" s="207">
        <v>1</v>
      </c>
      <c r="D114" s="207">
        <v>1</v>
      </c>
      <c r="E114" s="207"/>
      <c r="F114" s="207" t="s">
        <v>548</v>
      </c>
      <c r="G114" s="222" t="s">
        <v>384</v>
      </c>
      <c r="H114" s="214" t="s">
        <v>48</v>
      </c>
      <c r="I114" s="230"/>
      <c r="J114" s="214" t="s">
        <v>48</v>
      </c>
      <c r="K114" s="230"/>
      <c r="L114" s="210" t="s">
        <v>17</v>
      </c>
      <c r="M114" s="206" t="s">
        <v>66</v>
      </c>
      <c r="N114" s="206" t="s">
        <v>755</v>
      </c>
      <c r="O114" s="206" t="s">
        <v>535</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c r="R114" s="210">
        <f ca="1">IF(VLOOKUP("PARAM_INT_IFP_TRIPLE_RDD_DIS", INDIRECT(Config!$B$1), HLOOKUP(R$1, INDIRECT(Config!$E$1), 2, FALSE),FALSE)=0, VLOOKUP("TRC_PRESENT", INDIRECT(Config!$B$1), HLOOKUP(R$1, INDIRECT(Config!$E$1), 2, FALSE),FALSE), 0)</f>
        <v>0</v>
      </c>
    </row>
    <row r="115" spans="1:18" ht="14.55" customHeight="1" x14ac:dyDescent="0.3">
      <c r="A115" s="272"/>
      <c r="B115" s="16" t="s">
        <v>355</v>
      </c>
      <c r="C115" s="207">
        <v>2</v>
      </c>
      <c r="D115" s="207">
        <v>30</v>
      </c>
      <c r="E115" s="207"/>
      <c r="F115" s="207" t="s">
        <v>665</v>
      </c>
      <c r="G115" s="222" t="s">
        <v>384</v>
      </c>
      <c r="H115" s="214" t="s">
        <v>48</v>
      </c>
      <c r="I115" s="230"/>
      <c r="J115" s="214" t="s">
        <v>48</v>
      </c>
      <c r="K115" s="230"/>
      <c r="L115" s="210" t="s">
        <v>17</v>
      </c>
      <c r="M115" s="206" t="s">
        <v>66</v>
      </c>
      <c r="N115" s="206" t="s">
        <v>751</v>
      </c>
      <c r="O115" s="206" t="s">
        <v>535</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c r="R115" s="210">
        <f ca="1">IF(VLOOKUP("PARAM_INT_IFP_TRIPLE_RDD_DIS", INDIRECT(Config!$B$1), HLOOKUP(R$1, INDIRECT(Config!$E$1), 2, FALSE),FALSE)=0, VLOOKUP("TRC_PRESENT", INDIRECT(Config!$B$1), HLOOKUP(R$1, INDIRECT(Config!$E$1), 2, FALSE),FALSE), 0)</f>
        <v>0</v>
      </c>
    </row>
    <row r="116" spans="1:18" ht="14.55" customHeight="1" x14ac:dyDescent="0.3">
      <c r="A116" s="273" t="s">
        <v>356</v>
      </c>
      <c r="B116" s="16" t="s">
        <v>355</v>
      </c>
      <c r="C116" s="207">
        <v>0</v>
      </c>
      <c r="D116" s="207">
        <v>1</v>
      </c>
      <c r="E116" s="207"/>
      <c r="F116" s="207" t="s">
        <v>549</v>
      </c>
      <c r="G116" s="222" t="s">
        <v>384</v>
      </c>
      <c r="H116" s="214" t="s">
        <v>48</v>
      </c>
      <c r="I116" s="230"/>
      <c r="J116" s="214" t="s">
        <v>48</v>
      </c>
      <c r="K116" s="230"/>
      <c r="L116" s="210" t="s">
        <v>17</v>
      </c>
      <c r="M116" s="206" t="s">
        <v>66</v>
      </c>
      <c r="N116" s="206" t="s">
        <v>756</v>
      </c>
      <c r="O116" s="206" t="s">
        <v>546</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c r="R116" s="210">
        <f ca="1">IF(VLOOKUP("PARAM_INT_IFP_TRIPLE_RDD_DIS", INDIRECT(Config!$B$1), HLOOKUP(R$1, INDIRECT(Config!$E$1), 2, FALSE),FALSE)=0, VLOOKUP("TRC_PRESENT", INDIRECT(Config!$B$1), HLOOKUP(R$1, INDIRECT(Config!$E$1), 2, FALSE),FALSE), 0)</f>
        <v>0</v>
      </c>
    </row>
    <row r="117" spans="1:18" ht="14.55" customHeight="1" x14ac:dyDescent="0.3">
      <c r="A117" s="272"/>
      <c r="B117" s="16" t="s">
        <v>355</v>
      </c>
      <c r="C117" s="207">
        <v>1</v>
      </c>
      <c r="D117" s="207">
        <v>31</v>
      </c>
      <c r="E117" s="207"/>
      <c r="F117" s="207" t="s">
        <v>664</v>
      </c>
      <c r="G117" s="222" t="s">
        <v>384</v>
      </c>
      <c r="H117" s="214" t="s">
        <v>48</v>
      </c>
      <c r="I117" s="230"/>
      <c r="J117" s="214" t="s">
        <v>48</v>
      </c>
      <c r="K117" s="230"/>
      <c r="L117" s="210" t="s">
        <v>17</v>
      </c>
      <c r="M117" s="206" t="s">
        <v>66</v>
      </c>
      <c r="N117" s="206" t="s">
        <v>753</v>
      </c>
      <c r="O117" s="206" t="s">
        <v>546</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c r="R117" s="210">
        <f ca="1">IF(VLOOKUP("PARAM_INT_IFP_TRIPLE_RDD_DIS", INDIRECT(Config!$B$1), HLOOKUP(R$1, INDIRECT(Config!$E$1), 2, FALSE),FALSE)=0, VLOOKUP("TRC_PRESENT", INDIRECT(Config!$B$1), HLOOKUP(R$1, INDIRECT(Config!$E$1), 2, FALSE),FALSE), 0)</f>
        <v>0</v>
      </c>
    </row>
    <row r="118" spans="1:18" ht="14.55" customHeight="1" x14ac:dyDescent="0.3">
      <c r="A118" s="273" t="s">
        <v>357</v>
      </c>
      <c r="B118" s="16" t="s">
        <v>355</v>
      </c>
      <c r="C118" s="207">
        <v>0</v>
      </c>
      <c r="D118" s="207">
        <v>1</v>
      </c>
      <c r="E118" s="207"/>
      <c r="F118" s="207" t="s">
        <v>547</v>
      </c>
      <c r="G118" s="222" t="s">
        <v>384</v>
      </c>
      <c r="H118" s="214" t="s">
        <v>48</v>
      </c>
      <c r="I118" s="230"/>
      <c r="J118" s="214" t="s">
        <v>48</v>
      </c>
      <c r="K118" s="230"/>
      <c r="L118" s="210" t="s">
        <v>17</v>
      </c>
      <c r="M118" s="206" t="s">
        <v>66</v>
      </c>
      <c r="N118" s="206" t="s">
        <v>757</v>
      </c>
      <c r="O118" s="206" t="s">
        <v>534</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c r="R118" s="210">
        <f ca="1">IF(VLOOKUP("PARAM_INT_IFP_TRIPLE_RDD_DIS", INDIRECT(Config!$B$1), HLOOKUP(R$1, INDIRECT(Config!$E$1), 2, FALSE),FALSE)=0, VLOOKUP("TRC_PRESENT", INDIRECT(Config!$B$1), HLOOKUP(R$1, INDIRECT(Config!$E$1), 2, FALSE),FALSE), 0)</f>
        <v>0</v>
      </c>
    </row>
    <row r="119" spans="1:18" ht="14.55" customHeight="1" x14ac:dyDescent="0.3">
      <c r="A119" s="297"/>
      <c r="B119" s="16" t="s">
        <v>355</v>
      </c>
      <c r="C119" s="207">
        <v>1</v>
      </c>
      <c r="D119" s="207">
        <v>1</v>
      </c>
      <c r="E119" s="207"/>
      <c r="F119" s="207" t="s">
        <v>548</v>
      </c>
      <c r="G119" s="222" t="s">
        <v>384</v>
      </c>
      <c r="H119" s="214" t="s">
        <v>48</v>
      </c>
      <c r="I119" s="230"/>
      <c r="J119" s="214" t="s">
        <v>48</v>
      </c>
      <c r="K119" s="230"/>
      <c r="L119" s="210" t="s">
        <v>17</v>
      </c>
      <c r="M119" s="206" t="s">
        <v>66</v>
      </c>
      <c r="N119" s="206" t="s">
        <v>758</v>
      </c>
      <c r="O119" s="206" t="s">
        <v>535</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c r="R119" s="210">
        <f ca="1">IF(VLOOKUP("PARAM_INT_IFP_TRIPLE_RDD_DIS", INDIRECT(Config!$B$1), HLOOKUP(R$1, INDIRECT(Config!$E$1), 2, FALSE),FALSE)=0, VLOOKUP("TRC_PRESENT", INDIRECT(Config!$B$1), HLOOKUP(R$1, INDIRECT(Config!$E$1), 2, FALSE),FALSE), 0)</f>
        <v>0</v>
      </c>
    </row>
    <row r="120" spans="1:18" ht="14.55" customHeight="1" x14ac:dyDescent="0.3">
      <c r="A120" s="272"/>
      <c r="B120" s="16" t="s">
        <v>355</v>
      </c>
      <c r="C120" s="207">
        <v>2</v>
      </c>
      <c r="D120" s="207">
        <v>30</v>
      </c>
      <c r="E120" s="207"/>
      <c r="F120" s="207" t="s">
        <v>665</v>
      </c>
      <c r="G120" s="222" t="s">
        <v>384</v>
      </c>
      <c r="H120" s="214" t="s">
        <v>48</v>
      </c>
      <c r="I120" s="230"/>
      <c r="J120" s="214" t="s">
        <v>48</v>
      </c>
      <c r="K120" s="230"/>
      <c r="L120" s="210" t="s">
        <v>17</v>
      </c>
      <c r="M120" s="206" t="s">
        <v>66</v>
      </c>
      <c r="N120" s="206" t="s">
        <v>751</v>
      </c>
      <c r="O120" s="206" t="s">
        <v>535</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c r="R120" s="210">
        <f ca="1">IF(VLOOKUP("PARAM_INT_IFP_TRIPLE_RDD_DIS", INDIRECT(Config!$B$1), HLOOKUP(R$1, INDIRECT(Config!$E$1), 2, FALSE),FALSE)=0, VLOOKUP("TRC_PRESENT", INDIRECT(Config!$B$1), HLOOKUP(R$1, INDIRECT(Config!$E$1), 2, FALSE),FALSE), 0)</f>
        <v>0</v>
      </c>
    </row>
    <row r="121" spans="1:18" ht="14.55" customHeight="1" x14ac:dyDescent="0.3">
      <c r="A121" s="273" t="s">
        <v>358</v>
      </c>
      <c r="B121" s="16" t="s">
        <v>355</v>
      </c>
      <c r="C121" s="207">
        <v>0</v>
      </c>
      <c r="D121" s="207">
        <v>1</v>
      </c>
      <c r="E121" s="207"/>
      <c r="F121" s="207" t="s">
        <v>549</v>
      </c>
      <c r="G121" s="222" t="s">
        <v>384</v>
      </c>
      <c r="H121" s="214" t="s">
        <v>48</v>
      </c>
      <c r="I121" s="230"/>
      <c r="J121" s="214" t="s">
        <v>48</v>
      </c>
      <c r="K121" s="230"/>
      <c r="L121" s="210" t="s">
        <v>17</v>
      </c>
      <c r="M121" s="206" t="s">
        <v>66</v>
      </c>
      <c r="N121" s="206" t="s">
        <v>759</v>
      </c>
      <c r="O121" s="206" t="s">
        <v>546</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c r="R121" s="210">
        <f ca="1">IF(VLOOKUP("PARAM_INT_IFP_TRIPLE_RDD_DIS", INDIRECT(Config!$B$1), HLOOKUP(R$1, INDIRECT(Config!$E$1), 2, FALSE),FALSE)=0, VLOOKUP("TRC_PRESENT", INDIRECT(Config!$B$1), HLOOKUP(R$1, INDIRECT(Config!$E$1), 2, FALSE),FALSE), 0)</f>
        <v>0</v>
      </c>
    </row>
    <row r="122" spans="1:18" ht="14.55" customHeight="1" x14ac:dyDescent="0.3">
      <c r="A122" s="272"/>
      <c r="B122" s="16" t="s">
        <v>355</v>
      </c>
      <c r="C122" s="207">
        <v>1</v>
      </c>
      <c r="D122" s="207">
        <v>31</v>
      </c>
      <c r="E122" s="207"/>
      <c r="F122" s="207" t="s">
        <v>664</v>
      </c>
      <c r="G122" s="222" t="s">
        <v>384</v>
      </c>
      <c r="H122" s="214" t="s">
        <v>48</v>
      </c>
      <c r="I122" s="230"/>
      <c r="J122" s="214" t="s">
        <v>48</v>
      </c>
      <c r="K122" s="230"/>
      <c r="L122" s="210" t="s">
        <v>17</v>
      </c>
      <c r="M122" s="206" t="s">
        <v>66</v>
      </c>
      <c r="N122" s="206" t="s">
        <v>753</v>
      </c>
      <c r="O122" s="206" t="s">
        <v>546</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c r="R122" s="210">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7">
        <v>0</v>
      </c>
      <c r="D123" s="207">
        <f>32*8</f>
        <v>256</v>
      </c>
      <c r="E123" s="207"/>
      <c r="F123" s="207" t="s">
        <v>361</v>
      </c>
      <c r="G123" s="222" t="s">
        <v>384</v>
      </c>
      <c r="H123" s="214" t="s">
        <v>48</v>
      </c>
      <c r="I123" s="230"/>
      <c r="J123" s="214" t="s">
        <v>48</v>
      </c>
      <c r="K123" s="230"/>
      <c r="L123" s="207" t="s">
        <v>551</v>
      </c>
      <c r="M123" s="207" t="s">
        <v>128</v>
      </c>
      <c r="N123" s="207" t="s">
        <v>787</v>
      </c>
      <c r="O123" s="207" t="s">
        <v>550</v>
      </c>
      <c r="P123" s="210">
        <f ca="1">IF($B123="N/A", "N/A", VLOOKUP($B123, INDIRECT(Config!$B$1), HLOOKUP(P$1, INDIRECT(Config!$E$1), 2, FALSE),FALSE))</f>
        <v>0</v>
      </c>
      <c r="Q123" s="210">
        <f ca="1">IF($B123="N/A", "N/A", VLOOKUP($B123, INDIRECT(Config!$B$1), HLOOKUP(Q$1, INDIRECT(Config!$E$1), 2, FALSE),FALSE))</f>
        <v>0</v>
      </c>
      <c r="R123" s="210">
        <f ca="1">IF($B123="N/A", "N/A", VLOOKUP($B123, INDIRECT(Config!$B$1), HLOOKUP(R$1, INDIRECT(Config!$E$1), 2, FALSE),FALSE))</f>
        <v>0</v>
      </c>
    </row>
    <row r="124" spans="1:18" ht="14.55" customHeight="1" x14ac:dyDescent="0.3">
      <c r="A124" s="16" t="s">
        <v>362</v>
      </c>
      <c r="B124" s="16" t="s">
        <v>363</v>
      </c>
      <c r="C124" s="207">
        <v>0</v>
      </c>
      <c r="D124" s="207">
        <f>32*8</f>
        <v>256</v>
      </c>
      <c r="E124" s="207"/>
      <c r="F124" s="207" t="s">
        <v>364</v>
      </c>
      <c r="G124" s="222" t="s">
        <v>384</v>
      </c>
      <c r="H124" s="214" t="s">
        <v>48</v>
      </c>
      <c r="I124" s="230"/>
      <c r="J124" s="214" t="s">
        <v>48</v>
      </c>
      <c r="K124" s="230"/>
      <c r="L124" s="207" t="s">
        <v>551</v>
      </c>
      <c r="M124" s="207" t="s">
        <v>128</v>
      </c>
      <c r="N124" s="207" t="s">
        <v>787</v>
      </c>
      <c r="O124" s="207" t="s">
        <v>550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c r="R124" s="210">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7">
        <v>0</v>
      </c>
      <c r="D125" s="207">
        <f>32*8</f>
        <v>256</v>
      </c>
      <c r="E125" s="207"/>
      <c r="F125" s="207" t="s">
        <v>366</v>
      </c>
      <c r="G125" s="222" t="s">
        <v>384</v>
      </c>
      <c r="H125" s="214" t="s">
        <v>48</v>
      </c>
      <c r="I125" s="230"/>
      <c r="J125" s="214" t="s">
        <v>48</v>
      </c>
      <c r="K125" s="230"/>
      <c r="L125" s="207" t="s">
        <v>551</v>
      </c>
      <c r="M125" s="207" t="s">
        <v>128</v>
      </c>
      <c r="N125" s="207" t="s">
        <v>787</v>
      </c>
      <c r="O125" s="207" t="s">
        <v>550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c r="R125" s="210">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election activeCell="E35" sqref="E3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6" customWidth="1"/>
    <col min="8" max="8" width="3.44140625" style="196" customWidth="1"/>
    <col min="9" max="9" width="27.88671875" style="197" customWidth="1"/>
    <col min="10" max="10" width="4.44140625" style="197"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5" customHeight="1" x14ac:dyDescent="0.3">
      <c r="A2" s="296"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5" customHeight="1" x14ac:dyDescent="0.3">
      <c r="A3" s="296"/>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5" customHeight="1" x14ac:dyDescent="0.3">
      <c r="A4" s="296"/>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5" customHeight="1" x14ac:dyDescent="0.3">
      <c r="A5" s="296"/>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5" customHeight="1" x14ac:dyDescent="0.3">
      <c r="A6" s="296"/>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5" customHeight="1" x14ac:dyDescent="0.3">
      <c r="A7" s="296"/>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5" customHeight="1" x14ac:dyDescent="0.3">
      <c r="A8" s="296"/>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5" customHeight="1" x14ac:dyDescent="0.3">
      <c r="A9" s="296"/>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5" customHeight="1" x14ac:dyDescent="0.3">
      <c r="A10" s="296"/>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5" customHeight="1" x14ac:dyDescent="0.3">
      <c r="A11" s="296"/>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5" customHeight="1" x14ac:dyDescent="0.3">
      <c r="A12" s="296"/>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5" customHeight="1" x14ac:dyDescent="0.3">
      <c r="A13" s="296"/>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5" customHeight="1" x14ac:dyDescent="0.3">
      <c r="A14" s="296"/>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5" customHeight="1" x14ac:dyDescent="0.3">
      <c r="A15" s="296"/>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5" customHeight="1" x14ac:dyDescent="0.3">
      <c r="A16" s="296"/>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5" customHeight="1" x14ac:dyDescent="0.3">
      <c r="A17" s="296"/>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5" customHeight="1" x14ac:dyDescent="0.3">
      <c r="A18" s="296"/>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5" customHeight="1" x14ac:dyDescent="0.3">
      <c r="A19" s="296"/>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5" customHeight="1" x14ac:dyDescent="0.3">
      <c r="A20" s="296"/>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5" customHeight="1" x14ac:dyDescent="0.3">
      <c r="A21" s="296"/>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5" customHeight="1" x14ac:dyDescent="0.3">
      <c r="A22" s="296"/>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5" customHeight="1" x14ac:dyDescent="0.3">
      <c r="A23" s="296"/>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5" customHeight="1" x14ac:dyDescent="0.3">
      <c r="A24" s="296"/>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5" customHeight="1" x14ac:dyDescent="0.3">
      <c r="A25" s="296"/>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5" customHeight="1" x14ac:dyDescent="0.3">
      <c r="A26" s="296"/>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5" customHeight="1" x14ac:dyDescent="0.3">
      <c r="A27" s="296"/>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5" customHeight="1" x14ac:dyDescent="0.3">
      <c r="A28" s="296"/>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5" customHeight="1" x14ac:dyDescent="0.3">
      <c r="A29" s="296"/>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5" customHeight="1" x14ac:dyDescent="0.3">
      <c r="A30" s="296"/>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5" customHeight="1" x14ac:dyDescent="0.3">
      <c r="A31" s="296"/>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5" customHeight="1" x14ac:dyDescent="0.3">
      <c r="A32" s="296"/>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5" customHeight="1" x14ac:dyDescent="0.3">
      <c r="A33" s="296"/>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5" customHeight="1" x14ac:dyDescent="0.3">
      <c r="A34" s="296"/>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5" customHeight="1" x14ac:dyDescent="0.3">
      <c r="A35" s="296"/>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5" customHeight="1" x14ac:dyDescent="0.3">
      <c r="A36" s="258"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5" customHeight="1" x14ac:dyDescent="0.3">
      <c r="A37" s="258"/>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5" customHeight="1" x14ac:dyDescent="0.3">
      <c r="A38" s="258"/>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5" customHeight="1" x14ac:dyDescent="0.3">
      <c r="A39" s="258"/>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5" customHeight="1" x14ac:dyDescent="0.3">
      <c r="A40" s="258"/>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5" customHeight="1" x14ac:dyDescent="0.3">
      <c r="A41" s="258"/>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5" customHeight="1" x14ac:dyDescent="0.3">
      <c r="A42" s="258"/>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5" customHeight="1" x14ac:dyDescent="0.3">
      <c r="A43" s="258"/>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5" customHeight="1" x14ac:dyDescent="0.3">
      <c r="A44" s="258"/>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5" customHeight="1" x14ac:dyDescent="0.3">
      <c r="A45" s="258"/>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5" customHeight="1" x14ac:dyDescent="0.3">
      <c r="A46" s="258"/>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5" customHeight="1" x14ac:dyDescent="0.3">
      <c r="A47" s="258"/>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5" customHeight="1" x14ac:dyDescent="0.3">
      <c r="A48" s="258"/>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5" customHeight="1" x14ac:dyDescent="0.3">
      <c r="A49" s="258"/>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5" customHeight="1" x14ac:dyDescent="0.3">
      <c r="A50" s="258"/>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5" customHeight="1" x14ac:dyDescent="0.3">
      <c r="A51" s="258"/>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5" customHeight="1" x14ac:dyDescent="0.3">
      <c r="A52" s="258"/>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5" customHeight="1" x14ac:dyDescent="0.3">
      <c r="A53" s="258"/>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5" customHeight="1" x14ac:dyDescent="0.3">
      <c r="A54" s="258"/>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5" customHeight="1" x14ac:dyDescent="0.3">
      <c r="A55" s="258"/>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5" customHeight="1" x14ac:dyDescent="0.3">
      <c r="A56" s="258"/>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5" customHeight="1" x14ac:dyDescent="0.3">
      <c r="A57" s="258"/>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5" customHeight="1" x14ac:dyDescent="0.3">
      <c r="A58" s="258"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4</v>
      </c>
      <c r="Q58" s="210">
        <f ca="1">IF($B58="N/A", "N/A", VLOOKUP($B58, INDIRECT(Config!$B$1), HLOOKUP(Q$1, INDIRECT(Config!$E$1), 2, FALSE),FALSE))</f>
        <v>5</v>
      </c>
    </row>
    <row r="59" spans="1:17" ht="14.55" customHeight="1" x14ac:dyDescent="0.3">
      <c r="A59" s="258"/>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5" customHeight="1" x14ac:dyDescent="0.3">
      <c r="A60" s="258"/>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5" customHeight="1" x14ac:dyDescent="0.3">
      <c r="A61" s="258"/>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5" customHeight="1" x14ac:dyDescent="0.3">
      <c r="A62" s="258"/>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5" customHeight="1" x14ac:dyDescent="0.3">
      <c r="A63" s="258"/>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5" customHeight="1" x14ac:dyDescent="0.3">
      <c r="A64" s="258"/>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5" customHeight="1" x14ac:dyDescent="0.3">
      <c r="A65" s="258"/>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5" customHeight="1" x14ac:dyDescent="0.3">
      <c r="A66" s="258"/>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5" customHeight="1" x14ac:dyDescent="0.3">
      <c r="A67" s="258"/>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5" customHeight="1" x14ac:dyDescent="0.3">
      <c r="A68" s="258"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5" customHeight="1" x14ac:dyDescent="0.3">
      <c r="A69" s="258"/>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5" customHeight="1" x14ac:dyDescent="0.3">
      <c r="A70" s="258"/>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5" customHeight="1" x14ac:dyDescent="0.3">
      <c r="A71" s="258"/>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5" customHeight="1" x14ac:dyDescent="0.3">
      <c r="A72" s="258"/>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5" customHeight="1" x14ac:dyDescent="0.3">
      <c r="A73" s="258"/>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5" customHeight="1" x14ac:dyDescent="0.3">
      <c r="A74" s="258"/>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5" customHeight="1" x14ac:dyDescent="0.3">
      <c r="A75" s="258"/>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5" customHeight="1" x14ac:dyDescent="0.3">
      <c r="A76" s="258"/>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5" customHeight="1" x14ac:dyDescent="0.3">
      <c r="A77" s="258"/>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5" customHeight="1" x14ac:dyDescent="0.3">
      <c r="A78" s="258"/>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5" customHeight="1" x14ac:dyDescent="0.3">
      <c r="A79" s="258"/>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5" customHeight="1" x14ac:dyDescent="0.3">
      <c r="A80" s="258"/>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5" customHeight="1" x14ac:dyDescent="0.3">
      <c r="A81" s="258"/>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5" customHeight="1" x14ac:dyDescent="0.3">
      <c r="A82" s="258"/>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5" customHeight="1" x14ac:dyDescent="0.3">
      <c r="A83" s="258"/>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5" customHeight="1" x14ac:dyDescent="0.3">
      <c r="A84" s="258"/>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5" customHeight="1" x14ac:dyDescent="0.3">
      <c r="A85" s="258"/>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5" customHeight="1" x14ac:dyDescent="0.3">
      <c r="A86" s="258"/>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5" customHeight="1" x14ac:dyDescent="0.3">
      <c r="A87" s="258"/>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5" customHeight="1" x14ac:dyDescent="0.3">
      <c r="A88" s="258"/>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5" customHeight="1" x14ac:dyDescent="0.3">
      <c r="A89" s="258"/>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5" customHeight="1" x14ac:dyDescent="0.3">
      <c r="A90" s="273"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5" customHeight="1" x14ac:dyDescent="0.3">
      <c r="A91" s="297"/>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5" customHeight="1" x14ac:dyDescent="0.3">
      <c r="A92" s="272"/>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5" customHeight="1" x14ac:dyDescent="0.3">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5" customHeight="1" x14ac:dyDescent="0.3">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5" customHeight="1" x14ac:dyDescent="0.3">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5" customHeight="1" x14ac:dyDescent="0.3">
      <c r="A96" s="273"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5" customHeight="1" x14ac:dyDescent="0.3">
      <c r="A97" s="297"/>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5" customHeight="1" x14ac:dyDescent="0.3">
      <c r="A98" s="297"/>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5" customHeight="1" x14ac:dyDescent="0.3">
      <c r="A99" s="272"/>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5" customHeight="1" x14ac:dyDescent="0.3">
      <c r="A100" s="258"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5" customHeight="1" x14ac:dyDescent="0.3">
      <c r="A101" s="258"/>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5" customHeight="1" x14ac:dyDescent="0.3">
      <c r="A102" s="297"/>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5" customHeight="1" x14ac:dyDescent="0.3">
      <c r="A103" s="272"/>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5" customHeight="1" x14ac:dyDescent="0.3">
      <c r="A104" s="273" t="s">
        <v>38</v>
      </c>
      <c r="B104" s="4" t="s">
        <v>613</v>
      </c>
      <c r="C104" s="206">
        <v>0</v>
      </c>
      <c r="D104" s="206">
        <v>16</v>
      </c>
      <c r="E104" s="206" t="s">
        <v>262</v>
      </c>
      <c r="F104" s="298"/>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5" customHeight="1" x14ac:dyDescent="0.3">
      <c r="A105" s="297"/>
      <c r="B105" s="4" t="s">
        <v>613</v>
      </c>
      <c r="C105" s="206">
        <v>16</v>
      </c>
      <c r="D105" s="206">
        <v>8</v>
      </c>
      <c r="E105" s="206" t="s">
        <v>263</v>
      </c>
      <c r="F105" s="299"/>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5" customHeight="1" x14ac:dyDescent="0.3">
      <c r="A106" s="297"/>
      <c r="B106" s="4" t="s">
        <v>613</v>
      </c>
      <c r="C106" s="206">
        <v>24</v>
      </c>
      <c r="D106" s="206">
        <v>4</v>
      </c>
      <c r="E106" s="206" t="s">
        <v>264</v>
      </c>
      <c r="F106" s="299"/>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5" customHeight="1" x14ac:dyDescent="0.3">
      <c r="A107" s="272"/>
      <c r="B107" s="4" t="s">
        <v>613</v>
      </c>
      <c r="C107" s="206">
        <v>28</v>
      </c>
      <c r="D107" s="206">
        <v>4</v>
      </c>
      <c r="E107" s="206" t="s">
        <v>265</v>
      </c>
      <c r="F107" s="300"/>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5" customHeight="1" x14ac:dyDescent="0.3">
      <c r="A108" s="273"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5" customHeight="1" x14ac:dyDescent="0.3">
      <c r="A109" s="297"/>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5" customHeight="1" x14ac:dyDescent="0.3">
      <c r="A110" s="272"/>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5" customHeight="1" x14ac:dyDescent="0.3">
      <c r="A111" s="273"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5" customHeight="1" x14ac:dyDescent="0.3">
      <c r="A112" s="272"/>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5" customHeight="1" x14ac:dyDescent="0.3">
      <c r="A113" s="273"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5" customHeight="1" x14ac:dyDescent="0.3">
      <c r="A114" s="297"/>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5" customHeight="1" x14ac:dyDescent="0.3">
      <c r="A115" s="272"/>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5" customHeight="1" x14ac:dyDescent="0.3">
      <c r="A116" s="273"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5" customHeight="1" x14ac:dyDescent="0.3">
      <c r="A117" s="272"/>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5" customHeight="1" x14ac:dyDescent="0.3">
      <c r="A118" s="273"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5" customHeight="1" x14ac:dyDescent="0.3">
      <c r="A119" s="297"/>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5" customHeight="1" x14ac:dyDescent="0.3">
      <c r="A120" s="272"/>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5" customHeight="1" x14ac:dyDescent="0.3">
      <c r="A121" s="273"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5" customHeight="1" x14ac:dyDescent="0.3">
      <c r="A122" s="272"/>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5" customHeight="1" x14ac:dyDescent="0.3">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
      <c r="A3" s="307"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301" t="s">
        <v>367</v>
      </c>
      <c r="M3" s="303" t="s">
        <v>14</v>
      </c>
    </row>
    <row r="4" spans="1:13" x14ac:dyDescent="0.3">
      <c r="A4" s="279"/>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79"/>
      <c r="M4" s="304"/>
    </row>
    <row r="5" spans="1:13" x14ac:dyDescent="0.3">
      <c r="A5" s="279"/>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79"/>
      <c r="M5" s="304"/>
    </row>
    <row r="6" spans="1:13" s="15" customFormat="1" x14ac:dyDescent="0.3">
      <c r="A6" s="279"/>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83"/>
      <c r="M6" s="305"/>
    </row>
    <row r="7" spans="1:13" ht="15" thickBot="1" x14ac:dyDescent="0.35">
      <c r="A7" s="302"/>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302"/>
      <c r="M7" s="306"/>
    </row>
    <row r="8" spans="1:13" ht="14.55" customHeight="1" x14ac:dyDescent="0.3">
      <c r="A8" s="281"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09" t="s">
        <v>368</v>
      </c>
      <c r="M8" s="312" t="s">
        <v>20</v>
      </c>
    </row>
    <row r="9" spans="1:13" x14ac:dyDescent="0.3">
      <c r="A9" s="281"/>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10"/>
      <c r="M9" s="313"/>
    </row>
    <row r="10" spans="1:13" x14ac:dyDescent="0.3">
      <c r="A10" s="281"/>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10"/>
      <c r="M10" s="313"/>
    </row>
    <row r="11" spans="1:13" s="15" customFormat="1" x14ac:dyDescent="0.3">
      <c r="A11" s="281"/>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10"/>
      <c r="M11" s="313"/>
    </row>
    <row r="12" spans="1:13" ht="15.45" customHeight="1" x14ac:dyDescent="0.3">
      <c r="A12" s="281"/>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10"/>
      <c r="M12" s="313"/>
    </row>
    <row r="13" spans="1:13" s="15" customFormat="1" ht="14.55" customHeight="1" thickBot="1" x14ac:dyDescent="0.35">
      <c r="A13" s="308"/>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11"/>
      <c r="M13" s="314"/>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election activeCell="B57" sqref="B57"/>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27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315"/>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315"/>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315"/>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315"/>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315"/>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315"/>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315"/>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315"/>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315"/>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315"/>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315"/>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315"/>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315"/>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315"/>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315"/>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315"/>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315"/>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315"/>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315"/>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315"/>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315"/>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315"/>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315"/>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315"/>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315"/>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315"/>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315"/>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315"/>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315"/>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315"/>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316"/>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27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297"/>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297"/>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297"/>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297"/>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297"/>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297"/>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297"/>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297"/>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297"/>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297"/>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297"/>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297"/>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297"/>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297"/>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297"/>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297"/>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297"/>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297"/>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297"/>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297"/>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297"/>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297"/>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297"/>
      <c r="B57" s="57" t="s">
        <v>1154</v>
      </c>
      <c r="C57" s="16">
        <v>23</v>
      </c>
      <c r="D57" s="16">
        <v>1</v>
      </c>
      <c r="E57" s="243" t="s">
        <v>1153</v>
      </c>
      <c r="F57" s="16" t="s">
        <v>336</v>
      </c>
      <c r="G57" s="242">
        <v>0</v>
      </c>
      <c r="H57" s="242">
        <v>0</v>
      </c>
      <c r="I57" s="16"/>
      <c r="J57" s="7" t="s">
        <v>87</v>
      </c>
      <c r="K57" s="244"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297"/>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297"/>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297"/>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297"/>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297"/>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297"/>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297"/>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27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317">
        <v>0</v>
      </c>
      <c r="B2" s="57" t="s">
        <v>577</v>
      </c>
      <c r="C2" s="16">
        <v>0</v>
      </c>
      <c r="D2" s="16"/>
      <c r="E2" s="58"/>
    </row>
    <row r="3" spans="1:5" x14ac:dyDescent="0.3">
      <c r="A3" s="317"/>
      <c r="B3" s="16" t="s">
        <v>578</v>
      </c>
      <c r="C3" s="16">
        <v>8</v>
      </c>
      <c r="D3" s="16"/>
      <c r="E3" s="58"/>
    </row>
    <row r="4" spans="1:5" x14ac:dyDescent="0.3">
      <c r="A4" s="317"/>
      <c r="B4" s="99" t="s">
        <v>584</v>
      </c>
      <c r="C4" s="99" t="s">
        <v>585</v>
      </c>
      <c r="D4" s="16"/>
      <c r="E4" s="58"/>
    </row>
    <row r="5" spans="1:5" x14ac:dyDescent="0.3">
      <c r="A5" s="317"/>
      <c r="B5" s="16" t="s">
        <v>586</v>
      </c>
      <c r="C5" s="16" t="s">
        <v>587</v>
      </c>
      <c r="D5" s="16"/>
      <c r="E5" s="58"/>
    </row>
    <row r="6" spans="1:5" x14ac:dyDescent="0.3">
      <c r="A6" s="317"/>
      <c r="B6" s="16" t="s">
        <v>588</v>
      </c>
      <c r="C6" s="16" t="s">
        <v>589</v>
      </c>
      <c r="D6" s="16"/>
      <c r="E6" s="58"/>
    </row>
    <row r="7" spans="1:5" x14ac:dyDescent="0.3">
      <c r="A7" s="317"/>
      <c r="B7" s="16" t="s">
        <v>590</v>
      </c>
      <c r="C7" s="16" t="s">
        <v>591</v>
      </c>
      <c r="D7" s="16"/>
      <c r="E7" s="58"/>
    </row>
    <row r="8" spans="1:5" ht="57.6" x14ac:dyDescent="0.3">
      <c r="A8" s="317">
        <v>1</v>
      </c>
      <c r="B8" s="98" t="s">
        <v>420</v>
      </c>
      <c r="C8" s="16">
        <v>11</v>
      </c>
      <c r="D8" s="16"/>
      <c r="E8" s="58" t="s">
        <v>595</v>
      </c>
    </row>
    <row r="9" spans="1:5" x14ac:dyDescent="0.3">
      <c r="A9" s="317"/>
      <c r="B9" s="98" t="s">
        <v>581</v>
      </c>
      <c r="C9" s="16">
        <v>0</v>
      </c>
      <c r="D9" s="16"/>
      <c r="E9" s="58" t="s">
        <v>599</v>
      </c>
    </row>
    <row r="10" spans="1:5" x14ac:dyDescent="0.3">
      <c r="A10" s="317"/>
      <c r="B10" s="98" t="s">
        <v>582</v>
      </c>
      <c r="C10" s="16">
        <v>0</v>
      </c>
      <c r="D10" s="16"/>
      <c r="E10" s="58" t="s">
        <v>386</v>
      </c>
    </row>
    <row r="11" spans="1:5" x14ac:dyDescent="0.3">
      <c r="A11" s="317"/>
      <c r="B11" s="98" t="s">
        <v>592</v>
      </c>
      <c r="C11" s="16">
        <v>7</v>
      </c>
      <c r="D11" s="16"/>
      <c r="E11" s="58"/>
    </row>
    <row r="12" spans="1:5" x14ac:dyDescent="0.3">
      <c r="A12" s="317"/>
      <c r="B12" s="98" t="s">
        <v>593</v>
      </c>
      <c r="C12" s="16" t="s">
        <v>594</v>
      </c>
      <c r="D12" s="16"/>
      <c r="E12" s="58"/>
    </row>
    <row r="13" spans="1:5" x14ac:dyDescent="0.3">
      <c r="A13" s="317"/>
      <c r="B13" s="16" t="s">
        <v>390</v>
      </c>
      <c r="C13" s="16"/>
      <c r="D13" s="16"/>
      <c r="E13" s="58"/>
    </row>
    <row r="14" spans="1:5" x14ac:dyDescent="0.3">
      <c r="A14" s="317"/>
      <c r="B14" s="16" t="s">
        <v>205</v>
      </c>
      <c r="C14" s="16"/>
      <c r="D14" s="16"/>
      <c r="E14" s="58"/>
    </row>
    <row r="15" spans="1:5" x14ac:dyDescent="0.3">
      <c r="A15" s="317"/>
      <c r="B15" s="16" t="s">
        <v>579</v>
      </c>
      <c r="C15" s="16" t="s">
        <v>580</v>
      </c>
      <c r="D15" s="16"/>
      <c r="E15" s="58"/>
    </row>
    <row r="16" spans="1:5" x14ac:dyDescent="0.3">
      <c r="A16" s="317"/>
      <c r="B16" s="16" t="s">
        <v>598</v>
      </c>
      <c r="C16" s="16"/>
      <c r="D16" s="16"/>
      <c r="E16" s="58"/>
    </row>
    <row r="17" spans="1:5" x14ac:dyDescent="0.3">
      <c r="A17" s="317">
        <v>2</v>
      </c>
      <c r="B17" s="99" t="s">
        <v>566</v>
      </c>
      <c r="C17" s="99">
        <v>128</v>
      </c>
      <c r="D17" s="16" t="s">
        <v>597</v>
      </c>
      <c r="E17" s="58"/>
    </row>
    <row r="18" spans="1:5" x14ac:dyDescent="0.3">
      <c r="A18" s="317"/>
      <c r="B18" s="99" t="s">
        <v>560</v>
      </c>
      <c r="C18" s="99" t="s">
        <v>563</v>
      </c>
      <c r="D18" s="16"/>
      <c r="E18" s="58"/>
    </row>
    <row r="19" spans="1:5" x14ac:dyDescent="0.3">
      <c r="A19" s="317"/>
      <c r="B19" s="16" t="s">
        <v>561</v>
      </c>
      <c r="C19" s="16" t="s">
        <v>562</v>
      </c>
      <c r="D19" s="16"/>
      <c r="E19" s="58"/>
    </row>
    <row r="20" spans="1:5" x14ac:dyDescent="0.3">
      <c r="A20" s="317"/>
      <c r="B20" s="16" t="s">
        <v>564</v>
      </c>
      <c r="C20" s="16" t="s">
        <v>565</v>
      </c>
      <c r="D20" s="16"/>
      <c r="E20" s="58"/>
    </row>
    <row r="21" spans="1:5" x14ac:dyDescent="0.3">
      <c r="A21" s="317">
        <v>3</v>
      </c>
      <c r="B21" s="99" t="s">
        <v>567</v>
      </c>
      <c r="C21" s="99" t="s">
        <v>568</v>
      </c>
      <c r="D21" s="16"/>
      <c r="E21" s="58"/>
    </row>
    <row r="22" spans="1:5" x14ac:dyDescent="0.3">
      <c r="A22" s="317"/>
      <c r="B22" s="99" t="s">
        <v>569</v>
      </c>
      <c r="C22" s="99" t="s">
        <v>570</v>
      </c>
      <c r="D22" s="16"/>
      <c r="E22" s="58"/>
    </row>
    <row r="23" spans="1:5" x14ac:dyDescent="0.3">
      <c r="A23" s="317"/>
      <c r="B23" s="16" t="s">
        <v>571</v>
      </c>
      <c r="C23" s="16" t="s">
        <v>572</v>
      </c>
      <c r="D23" s="16"/>
      <c r="E23" s="58"/>
    </row>
    <row r="24" spans="1:5" x14ac:dyDescent="0.3">
      <c r="A24" s="317"/>
      <c r="B24" s="16" t="s">
        <v>573</v>
      </c>
      <c r="C24" s="16" t="s">
        <v>574</v>
      </c>
      <c r="D24" s="16"/>
      <c r="E24" s="58"/>
    </row>
    <row r="25" spans="1:5" x14ac:dyDescent="0.3">
      <c r="A25" s="317">
        <v>4</v>
      </c>
      <c r="B25" s="98" t="s">
        <v>575</v>
      </c>
      <c r="C25" s="98" t="s">
        <v>576</v>
      </c>
      <c r="D25" s="16"/>
      <c r="E25" s="58"/>
    </row>
    <row r="26" spans="1:5" x14ac:dyDescent="0.3">
      <c r="A26" s="317"/>
      <c r="B26" s="98" t="s">
        <v>421</v>
      </c>
      <c r="C26" s="16">
        <v>2</v>
      </c>
      <c r="D26" s="16"/>
      <c r="E26" s="58" t="s">
        <v>596</v>
      </c>
    </row>
    <row r="27" spans="1:5" x14ac:dyDescent="0.3">
      <c r="A27" s="317"/>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Revision</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2020-08-12T18:12:52Z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