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tables/table2.xml" ContentType="application/vnd.openxmlformats-officedocument.spreadsheetml.table+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4.xml" ContentType="application/vnd.ms-excel.threadedcomments+xml"/>
  <Override PartName="/xl/comments10.xml" ContentType="application/vnd.openxmlformats-officedocument.spreadsheetml.comments+xml"/>
  <Override PartName="/xl/threadedComments/threadedComment5.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sshar14\Perforce\sshar14_sshar14-MOBL_2942\projects\coe\CSME\ArchSpecs\Working\"/>
    </mc:Choice>
  </mc:AlternateContent>
  <xr:revisionPtr revIDLastSave="0" documentId="13_ncr:1_{379FC70A-92F9-482F-B22B-C2DBEA9A3817}" xr6:coauthVersionLast="45" xr6:coauthVersionMax="45" xr10:uidLastSave="{00000000-0000-0000-0000-000000000000}"/>
  <bookViews>
    <workbookView xWindow="828" yWindow="-108" windowWidth="22320" windowHeight="13176" activeTab="1" xr2:uid="{2B594C35-F97C-4EE0-A0C6-60F0B7EACB17}"/>
  </bookViews>
  <sheets>
    <sheet name="Revision" sheetId="33" r:id="rId1"/>
    <sheet name="ConfigNew" sheetId="31" r:id="rId2"/>
    <sheet name="CSxE_ESE_GSC_FuseCfg_1" sheetId="39" r:id="rId3"/>
    <sheet name="CSxE_ESE_GSC_FuseCfg" sheetId="32"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0" i="39" l="1"/>
  <c r="J44" i="39"/>
  <c r="J38" i="39"/>
  <c r="O43" i="31"/>
  <c r="O44" i="31"/>
  <c r="O45" i="31"/>
  <c r="O30" i="31"/>
  <c r="O31" i="31"/>
  <c r="O32" i="31"/>
  <c r="O33" i="31"/>
  <c r="O34" i="31"/>
  <c r="O35" i="31"/>
  <c r="O36" i="31"/>
  <c r="O37" i="31"/>
  <c r="O38" i="31"/>
  <c r="O39" i="31"/>
  <c r="O40" i="31"/>
  <c r="O41" i="31"/>
  <c r="O8" i="31"/>
  <c r="O9" i="31"/>
  <c r="O10" i="31"/>
  <c r="O11" i="31"/>
  <c r="O12" i="31"/>
  <c r="O13" i="31"/>
  <c r="O14" i="31"/>
  <c r="O15" i="31"/>
  <c r="O17" i="31"/>
  <c r="O18" i="31"/>
  <c r="O19" i="31"/>
  <c r="O20" i="31"/>
  <c r="O23" i="31"/>
  <c r="O24" i="31"/>
  <c r="O25" i="31"/>
  <c r="O26" i="31"/>
  <c r="O27" i="31"/>
  <c r="O28" i="31"/>
  <c r="O29" i="31"/>
  <c r="O7" i="31"/>
  <c r="N8" i="31"/>
  <c r="N9" i="31"/>
  <c r="N10" i="31"/>
  <c r="N11" i="31"/>
  <c r="N12" i="31"/>
  <c r="N13" i="31"/>
  <c r="N14" i="31"/>
  <c r="N15" i="31"/>
  <c r="N17" i="31"/>
  <c r="N18" i="31"/>
  <c r="N19" i="31"/>
  <c r="N20" i="31"/>
  <c r="N23" i="31"/>
  <c r="N24" i="31"/>
  <c r="N25" i="31"/>
  <c r="N26" i="31"/>
  <c r="N27" i="31"/>
  <c r="N28" i="31"/>
  <c r="N29" i="31"/>
  <c r="N30" i="31"/>
  <c r="N31" i="31"/>
  <c r="N32" i="31"/>
  <c r="N33" i="31"/>
  <c r="N34" i="31"/>
  <c r="N35" i="31"/>
  <c r="N36" i="31"/>
  <c r="N37" i="31"/>
  <c r="N38" i="31"/>
  <c r="N39" i="31"/>
  <c r="N40" i="31"/>
  <c r="N41" i="31"/>
  <c r="N43" i="31"/>
  <c r="N44" i="31"/>
  <c r="N45" i="31"/>
  <c r="N7"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J38" i="32" l="1"/>
  <c r="J44" i="32"/>
  <c r="J50" i="32"/>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P110" i="30"/>
  <c r="P50" i="30"/>
  <c r="R123" i="30"/>
  <c r="P96" i="30"/>
  <c r="R81" i="30"/>
  <c r="Q22" i="30"/>
  <c r="P28" i="30"/>
  <c r="P53" i="30"/>
  <c r="R55" i="30"/>
  <c r="P26" i="30"/>
  <c r="Q115" i="30"/>
  <c r="Q54" i="30"/>
  <c r="P103" i="30"/>
  <c r="P75" i="30"/>
  <c r="Q41" i="30"/>
  <c r="Q83" i="30"/>
  <c r="Q36" i="30"/>
  <c r="R40" i="30"/>
  <c r="P116" i="30"/>
  <c r="P74" i="30"/>
  <c r="P56" i="30"/>
  <c r="Q30" i="30"/>
  <c r="Q118" i="30"/>
  <c r="P36" i="30"/>
  <c r="Q12" i="30"/>
  <c r="P48" i="30"/>
  <c r="Q112" i="30"/>
  <c r="P112" i="30"/>
  <c r="Q125" i="30"/>
  <c r="R115" i="30"/>
  <c r="P115" i="30"/>
  <c r="P55" i="30"/>
  <c r="R28" i="30"/>
  <c r="R30" i="30"/>
  <c r="P34" i="30"/>
  <c r="P32" i="30"/>
  <c r="P44" i="30"/>
  <c r="R92" i="30"/>
  <c r="Q13" i="30"/>
  <c r="R77" i="30"/>
  <c r="P11" i="30"/>
  <c r="P80" i="30"/>
  <c r="P49" i="30"/>
  <c r="Q43" i="30"/>
  <c r="Q29" i="30"/>
  <c r="R90" i="30"/>
  <c r="Q93" i="30"/>
  <c r="R80" i="30"/>
  <c r="R52" i="30"/>
  <c r="Q61" i="30"/>
  <c r="R56" i="30"/>
  <c r="R59" i="30"/>
  <c r="Q123" i="30"/>
  <c r="P6" i="30"/>
  <c r="P58" i="30"/>
  <c r="R14" i="30"/>
  <c r="P43" i="30"/>
  <c r="R7" i="30"/>
  <c r="R101" i="30"/>
  <c r="P117" i="30"/>
  <c r="Q124" i="30"/>
  <c r="P124" i="30"/>
  <c r="R117" i="30"/>
  <c r="R23" i="30"/>
  <c r="P46" i="30"/>
  <c r="P78" i="30"/>
  <c r="Q46" i="30"/>
  <c r="Q121" i="30"/>
  <c r="R6" i="30"/>
  <c r="Q23" i="30"/>
  <c r="P33" i="30"/>
  <c r="R11" i="30"/>
  <c r="R98" i="30"/>
  <c r="R114" i="30"/>
  <c r="R116" i="30"/>
  <c r="R26" i="30"/>
  <c r="P114" i="30"/>
  <c r="Q52" i="30"/>
  <c r="P54" i="30"/>
  <c r="Q15" i="30"/>
  <c r="Q81" i="30"/>
  <c r="Q74" i="30"/>
  <c r="Q119" i="30"/>
  <c r="Q92" i="30"/>
  <c r="R33" i="30"/>
  <c r="R88" i="30"/>
  <c r="Q103" i="30"/>
  <c r="Q82" i="30"/>
  <c r="Q14" i="30"/>
  <c r="R112" i="30"/>
  <c r="R22" i="30"/>
  <c r="Q100" i="30"/>
  <c r="Q40" i="30"/>
  <c r="P30" i="30"/>
  <c r="R124" i="30"/>
  <c r="Q53" i="30"/>
  <c r="Q60" i="30"/>
  <c r="R36" i="30"/>
  <c r="P90" i="30"/>
  <c r="R47" i="30"/>
  <c r="R38" i="30"/>
  <c r="P51" i="30"/>
  <c r="R113" i="30"/>
  <c r="R94" i="30"/>
  <c r="P59" i="30"/>
  <c r="Q88" i="30"/>
  <c r="R44" i="30"/>
  <c r="Q95" i="30"/>
  <c r="P7" i="30"/>
  <c r="P13" i="30"/>
  <c r="Q122" i="30"/>
  <c r="P108" i="30"/>
  <c r="R93" i="30"/>
  <c r="R15" i="30"/>
  <c r="P41" i="30"/>
  <c r="P118" i="30"/>
  <c r="P95" i="30"/>
  <c r="R20" i="30"/>
  <c r="P29" i="30"/>
  <c r="P4" i="30"/>
  <c r="Q120" i="30"/>
  <c r="Q96" i="30"/>
  <c r="P93" i="30"/>
  <c r="P21" i="30"/>
  <c r="R108" i="30"/>
  <c r="P38" i="30"/>
  <c r="Q47" i="30"/>
  <c r="P125" i="30"/>
  <c r="R97" i="30"/>
  <c r="P98" i="30"/>
  <c r="R120" i="30"/>
  <c r="Q80" i="30"/>
  <c r="Q101" i="30"/>
  <c r="R54" i="30"/>
  <c r="R111" i="30"/>
  <c r="R27" i="30"/>
  <c r="R122" i="30"/>
  <c r="R17" i="30"/>
  <c r="R102" i="30"/>
  <c r="P17" i="30"/>
  <c r="R25" i="30"/>
  <c r="P111" i="30"/>
  <c r="P94" i="30"/>
  <c r="P100" i="30"/>
  <c r="R96" i="30"/>
  <c r="R110" i="30"/>
  <c r="R58" i="30"/>
  <c r="Q26" i="30"/>
  <c r="P122" i="30"/>
  <c r="R103" i="30"/>
  <c r="R60" i="30"/>
  <c r="Q50" i="30"/>
  <c r="P77" i="30"/>
  <c r="P99" i="30"/>
  <c r="Q102" i="30"/>
  <c r="Q113" i="30"/>
  <c r="Q90" i="30"/>
  <c r="R46" i="30"/>
  <c r="R21" i="30"/>
  <c r="P102" i="30"/>
  <c r="P81" i="30"/>
  <c r="Q4" i="30"/>
  <c r="P82" i="30"/>
  <c r="P14" i="30"/>
  <c r="R83" i="30"/>
  <c r="Q21" i="30"/>
  <c r="R99" i="30"/>
  <c r="Q28" i="30"/>
  <c r="P52" i="30"/>
  <c r="Q56" i="30"/>
  <c r="R109" i="30"/>
  <c r="P20" i="30"/>
  <c r="Q6" i="30"/>
  <c r="R125" i="30"/>
  <c r="R91" i="30"/>
  <c r="P24" i="30"/>
  <c r="P15" i="30"/>
  <c r="R95" i="30"/>
  <c r="R100" i="30"/>
  <c r="P60" i="30"/>
  <c r="P88" i="30"/>
  <c r="R50" i="30"/>
  <c r="P97" i="30"/>
  <c r="P12" i="30"/>
  <c r="R43" i="30"/>
  <c r="P83" i="30"/>
  <c r="R61" i="30"/>
  <c r="R78" i="30"/>
  <c r="P23" i="30"/>
  <c r="R24" i="30"/>
  <c r="Q33" i="30"/>
  <c r="Q55" i="30"/>
  <c r="P22" i="30"/>
  <c r="Q110" i="30"/>
  <c r="Q97" i="30"/>
  <c r="Q44" i="30"/>
  <c r="P101" i="30"/>
  <c r="Q51" i="30"/>
  <c r="R4" i="30"/>
  <c r="Q59" i="30"/>
  <c r="Q32" i="30"/>
  <c r="Q49" i="30"/>
  <c r="P109" i="30"/>
  <c r="P37" i="30"/>
  <c r="P40" i="30"/>
  <c r="Q17" i="30"/>
  <c r="R13" i="30"/>
  <c r="P120" i="30"/>
  <c r="R34" i="30"/>
  <c r="Q77" i="30"/>
  <c r="P123" i="30"/>
  <c r="R12" i="30"/>
  <c r="Q111" i="30"/>
  <c r="Q75" i="30"/>
  <c r="R118" i="30"/>
  <c r="Q114" i="30"/>
  <c r="R51" i="30"/>
  <c r="P121" i="30"/>
  <c r="R121" i="30"/>
  <c r="R75" i="30"/>
  <c r="R119" i="30"/>
  <c r="Q116" i="30"/>
  <c r="R49" i="30"/>
  <c r="Q11" i="30"/>
  <c r="Q27" i="30"/>
  <c r="Q99" i="30"/>
  <c r="Q98" i="30"/>
  <c r="Q91" i="30"/>
  <c r="R32" i="30"/>
  <c r="P61" i="30"/>
  <c r="R37" i="30"/>
  <c r="Q20" i="30"/>
  <c r="Q108" i="30"/>
  <c r="Q7" i="30"/>
  <c r="P113" i="30"/>
  <c r="Q58" i="30"/>
  <c r="P25" i="30"/>
  <c r="P27" i="30"/>
  <c r="Q94" i="30"/>
  <c r="R53" i="30"/>
  <c r="R74" i="30"/>
  <c r="Q48" i="30"/>
  <c r="P92" i="30"/>
  <c r="R41" i="30"/>
  <c r="Q24" i="30"/>
  <c r="Q78" i="30"/>
  <c r="Q38" i="30"/>
  <c r="Q117" i="30"/>
  <c r="Q37" i="30"/>
  <c r="R48" i="30"/>
  <c r="Q109" i="30"/>
  <c r="P91" i="30"/>
  <c r="P119" i="30"/>
  <c r="P47" i="30"/>
  <c r="Q25" i="30"/>
  <c r="R29" i="30"/>
  <c r="Q34" i="30"/>
  <c r="R82" i="30"/>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G13" i="28"/>
  <c r="F13" i="21"/>
  <c r="G28" i="28"/>
  <c r="G38" i="28"/>
  <c r="G7" i="29"/>
  <c r="L3" i="27"/>
  <c r="Q11" i="7"/>
  <c r="L7" i="27"/>
  <c r="F17" i="21"/>
  <c r="G37" i="24"/>
  <c r="G34" i="27"/>
  <c r="G10" i="29"/>
  <c r="L37" i="28"/>
  <c r="L10" i="27"/>
  <c r="G13" i="29"/>
  <c r="G19" i="28"/>
  <c r="G37" i="28"/>
  <c r="G41" i="29"/>
  <c r="L16" i="29"/>
  <c r="L24" i="29"/>
  <c r="G12" i="29"/>
  <c r="L15" i="28"/>
  <c r="G8" i="24"/>
  <c r="L29" i="27"/>
  <c r="G20" i="28"/>
  <c r="L17" i="27"/>
  <c r="G7" i="27"/>
  <c r="L13" i="24"/>
  <c r="Q4" i="7"/>
  <c r="L34" i="27"/>
  <c r="G13" i="24"/>
  <c r="G32" i="27"/>
  <c r="G12" i="24"/>
  <c r="G40" i="28"/>
  <c r="G4" i="29"/>
  <c r="G4" i="24"/>
  <c r="G31" i="29"/>
  <c r="L20" i="24"/>
  <c r="G35" i="29"/>
  <c r="G12" i="27"/>
  <c r="G9" i="24"/>
  <c r="G32" i="28"/>
  <c r="G22" i="28"/>
  <c r="G9" i="28"/>
  <c r="G36" i="29"/>
  <c r="L21" i="28"/>
  <c r="G38" i="29"/>
  <c r="G3" i="24"/>
  <c r="G19" i="27"/>
  <c r="L14" i="28"/>
  <c r="G6" i="27"/>
  <c r="G11" i="27"/>
  <c r="G42" i="27"/>
  <c r="G11" i="15"/>
  <c r="G39" i="29"/>
  <c r="L5" i="28"/>
  <c r="L31" i="28"/>
  <c r="L14" i="29"/>
  <c r="G26" i="28"/>
  <c r="G32" i="24"/>
  <c r="L8" i="28"/>
  <c r="Q78" i="7"/>
  <c r="G9" i="29"/>
  <c r="G11" i="28"/>
  <c r="G26" i="29"/>
  <c r="G30" i="29"/>
  <c r="G25" i="27"/>
  <c r="G35" i="27"/>
  <c r="G7" i="28"/>
  <c r="P78" i="7"/>
  <c r="L30" i="27"/>
  <c r="O78" i="7"/>
  <c r="G4" i="27"/>
  <c r="G3" i="29"/>
  <c r="G28" i="27"/>
  <c r="G35" i="28"/>
  <c r="G11" i="29"/>
  <c r="G33" i="27"/>
  <c r="G8" i="27"/>
  <c r="G8" i="15"/>
  <c r="G12" i="28"/>
  <c r="G41" i="27"/>
  <c r="G5" i="24"/>
  <c r="L36" i="28"/>
  <c r="F8" i="21"/>
  <c r="G37" i="29"/>
  <c r="L11" i="28"/>
  <c r="G34" i="29"/>
  <c r="G42" i="28"/>
  <c r="G13" i="15"/>
  <c r="G4" i="28"/>
  <c r="L31" i="27"/>
  <c r="G20" i="29"/>
  <c r="G22" i="29"/>
  <c r="L19" i="28"/>
  <c r="L15" i="24"/>
  <c r="G10" i="27"/>
  <c r="L41" i="27"/>
  <c r="F7" i="21"/>
  <c r="G18" i="28"/>
  <c r="G32" i="29"/>
  <c r="G23" i="29"/>
  <c r="L7" i="24"/>
  <c r="G21" i="29"/>
  <c r="G33" i="29"/>
  <c r="L17" i="29"/>
  <c r="G42" i="24"/>
  <c r="G5" i="27"/>
  <c r="G30" i="27"/>
  <c r="O11" i="7"/>
  <c r="L11" i="27"/>
  <c r="L13" i="27"/>
  <c r="L23" i="28"/>
  <c r="G13" i="27"/>
  <c r="L16" i="24"/>
  <c r="L10" i="24"/>
  <c r="G18" i="29"/>
  <c r="L17" i="28"/>
  <c r="L21" i="27"/>
  <c r="F11" i="21"/>
  <c r="F9" i="21"/>
  <c r="L6" i="27"/>
  <c r="G12" i="15"/>
  <c r="G8" i="28"/>
  <c r="L17" i="24"/>
  <c r="L24" i="24"/>
  <c r="G8" i="29"/>
  <c r="G41" i="28"/>
  <c r="L39" i="27"/>
  <c r="G37" i="27"/>
  <c r="G21" i="27"/>
  <c r="L9" i="28"/>
  <c r="L12" i="28"/>
  <c r="G34" i="28"/>
  <c r="G33" i="28"/>
  <c r="L20" i="27"/>
  <c r="L35" i="27"/>
  <c r="G38" i="27"/>
  <c r="G22" i="27"/>
  <c r="G28" i="29"/>
  <c r="L5" i="24"/>
  <c r="G5" i="29"/>
  <c r="L4" i="24"/>
  <c r="G9" i="15"/>
  <c r="L21" i="24"/>
  <c r="G40" i="29"/>
  <c r="L12" i="27"/>
  <c r="G10" i="15"/>
  <c r="L18" i="27"/>
  <c r="L11" i="24"/>
  <c r="L18" i="28"/>
  <c r="G10" i="28"/>
  <c r="G3" i="27"/>
  <c r="L22" i="27"/>
  <c r="G23" i="28"/>
  <c r="L29" i="28"/>
  <c r="L3" i="24"/>
  <c r="G7" i="24"/>
  <c r="G18" i="27"/>
  <c r="L32" i="28"/>
  <c r="L37" i="27"/>
  <c r="G29" i="28"/>
  <c r="G36" i="27"/>
  <c r="G25" i="28"/>
  <c r="L18" i="24"/>
  <c r="O90" i="7"/>
  <c r="O4" i="7"/>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I7" i="24"/>
  <c r="H7" i="24"/>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L41" i="29"/>
  <c r="L9" i="24"/>
  <c r="F3" i="21"/>
  <c r="G3" i="28"/>
  <c r="G6" i="29"/>
  <c r="G6" i="28"/>
  <c r="G36" i="28"/>
  <c r="G29" i="29"/>
  <c r="L32" i="27"/>
  <c r="G9" i="27"/>
  <c r="L42" i="27"/>
  <c r="N57" i="8"/>
  <c r="G6" i="24"/>
  <c r="G19" i="29"/>
  <c r="L39" i="29"/>
  <c r="L11" i="29"/>
  <c r="L13" i="29"/>
  <c r="L4" i="29"/>
  <c r="F10" i="21"/>
  <c r="L8" i="29"/>
  <c r="G25" i="29"/>
  <c r="L36" i="27"/>
  <c r="F16" i="21"/>
  <c r="L34" i="29"/>
  <c r="G31" i="28"/>
  <c r="L22" i="28"/>
  <c r="L4" i="28"/>
  <c r="L40" i="29"/>
  <c r="G40" i="27"/>
  <c r="G5" i="28"/>
  <c r="L37" i="29"/>
  <c r="L35" i="28"/>
  <c r="L10" i="28"/>
  <c r="L22" i="29"/>
  <c r="F5" i="21"/>
  <c r="F6" i="21"/>
  <c r="L24" i="28"/>
  <c r="L23" i="27"/>
  <c r="L6" i="28"/>
  <c r="L57" i="8"/>
  <c r="P4" i="7"/>
  <c r="L42" i="28"/>
  <c r="L13" i="28"/>
  <c r="L3" i="29"/>
  <c r="G39" i="28"/>
  <c r="L34" i="28"/>
  <c r="F4" i="21"/>
  <c r="L35" i="29"/>
  <c r="L10" i="29"/>
  <c r="L36" i="29"/>
  <c r="L30" i="29"/>
  <c r="L40" i="27"/>
  <c r="L5" i="29"/>
  <c r="G10" i="24"/>
  <c r="G31" i="27"/>
  <c r="L8" i="27"/>
  <c r="L16" i="27"/>
  <c r="L6" i="24"/>
  <c r="G26" i="27"/>
  <c r="G21" i="28"/>
  <c r="L19" i="24"/>
  <c r="L40" i="28"/>
  <c r="M57" i="8"/>
  <c r="G30" i="28"/>
  <c r="L22" i="24"/>
  <c r="L30" i="28"/>
  <c r="L31" i="29"/>
  <c r="L4" i="27"/>
  <c r="F14" i="21"/>
  <c r="L5" i="27"/>
  <c r="G20" i="27"/>
  <c r="L23" i="24"/>
  <c r="L32" i="29"/>
  <c r="L12" i="29"/>
  <c r="G23" i="27"/>
  <c r="P11" i="7"/>
  <c r="L21" i="29"/>
  <c r="L39" i="28"/>
  <c r="L24" i="27"/>
  <c r="G42" i="29"/>
  <c r="L7" i="29"/>
  <c r="L14" i="24"/>
  <c r="L14" i="27"/>
  <c r="L9" i="27"/>
  <c r="L9" i="29"/>
  <c r="G29" i="27"/>
  <c r="L8" i="24"/>
  <c r="G11" i="24"/>
  <c r="L41" i="28"/>
  <c r="L15" i="27"/>
  <c r="L16" i="28"/>
  <c r="L7" i="28"/>
  <c r="L3" i="28"/>
  <c r="L20" i="29"/>
  <c r="F15" i="21"/>
  <c r="L19" i="27"/>
  <c r="F12" i="21"/>
  <c r="L15" i="29"/>
  <c r="G39" i="27"/>
  <c r="L12" i="24"/>
  <c r="L20" i="28"/>
  <c r="I4" i="28" l="1"/>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L40" i="8"/>
  <c r="P28" i="7"/>
  <c r="Q38" i="7"/>
  <c r="P82" i="7"/>
  <c r="M53" i="8"/>
  <c r="O34" i="7"/>
  <c r="N7" i="8"/>
  <c r="N31" i="8"/>
  <c r="P108" i="7"/>
  <c r="L62" i="8"/>
  <c r="P77" i="7"/>
  <c r="M42" i="8"/>
  <c r="Q20" i="7"/>
  <c r="P34" i="7"/>
  <c r="G26" i="24"/>
  <c r="N4" i="8"/>
  <c r="P27" i="7"/>
  <c r="G35" i="24"/>
  <c r="P124" i="7"/>
  <c r="O99" i="7"/>
  <c r="O101" i="7"/>
  <c r="Q91" i="7"/>
  <c r="O108" i="7"/>
  <c r="M4" i="8"/>
  <c r="L13" i="8"/>
  <c r="Q44" i="7"/>
  <c r="Q75" i="7"/>
  <c r="L38" i="8"/>
  <c r="L11" i="8"/>
  <c r="P13" i="7"/>
  <c r="P81" i="7"/>
  <c r="Q113" i="7"/>
  <c r="P56" i="7"/>
  <c r="G36" i="24"/>
  <c r="Q43" i="7"/>
  <c r="O118" i="7"/>
  <c r="O100" i="7"/>
  <c r="P61" i="7"/>
  <c r="P113" i="7"/>
  <c r="P94" i="7"/>
  <c r="L39" i="24"/>
  <c r="M64" i="8"/>
  <c r="Q58" i="7"/>
  <c r="Q74" i="7"/>
  <c r="G28" i="24"/>
  <c r="K4" i="21"/>
  <c r="L30" i="24"/>
  <c r="M7" i="8"/>
  <c r="N2" i="8"/>
  <c r="O102" i="7"/>
  <c r="O120" i="7"/>
  <c r="O124" i="7"/>
  <c r="O28" i="7"/>
  <c r="O91" i="7"/>
  <c r="Q21" i="7"/>
  <c r="P12" i="7"/>
  <c r="Q60" i="7"/>
  <c r="N11" i="8"/>
  <c r="P101" i="7"/>
  <c r="N32" i="8"/>
  <c r="K9" i="21"/>
  <c r="L64" i="8"/>
  <c r="O97" i="7"/>
  <c r="G5" i="15"/>
  <c r="N8" i="8"/>
  <c r="N3" i="8"/>
  <c r="G3" i="15"/>
  <c r="O92" i="7"/>
  <c r="P41" i="7"/>
  <c r="O27" i="7"/>
  <c r="P26" i="7"/>
  <c r="P109" i="7"/>
  <c r="M2" i="8"/>
  <c r="L41" i="8"/>
  <c r="L33" i="8"/>
  <c r="G40" i="24"/>
  <c r="Q40" i="7"/>
  <c r="Q122" i="7"/>
  <c r="P22" i="7"/>
  <c r="O93" i="7"/>
  <c r="N42" i="8"/>
  <c r="M8" i="8"/>
  <c r="L36" i="8"/>
  <c r="Q46" i="7"/>
  <c r="P111" i="7"/>
  <c r="P121" i="7"/>
  <c r="N18" i="8"/>
  <c r="P53" i="7"/>
  <c r="L23" i="29"/>
  <c r="P15" i="7"/>
  <c r="L37" i="8"/>
  <c r="P54" i="7"/>
  <c r="L65" i="8"/>
  <c r="O98" i="7"/>
  <c r="L32" i="8"/>
  <c r="O32" i="7"/>
  <c r="G4" i="15"/>
  <c r="P117" i="7"/>
  <c r="O125" i="7"/>
  <c r="Q120" i="7"/>
  <c r="Q32" i="7"/>
  <c r="N40" i="8"/>
  <c r="O112" i="7"/>
  <c r="Q41" i="7"/>
  <c r="L50" i="8"/>
  <c r="O23" i="7"/>
  <c r="O33" i="7"/>
  <c r="Q23" i="7"/>
  <c r="N63" i="8"/>
  <c r="Q61" i="7"/>
  <c r="Q92" i="7"/>
  <c r="O96" i="7"/>
  <c r="P118" i="7"/>
  <c r="L34" i="24"/>
  <c r="Q108" i="7"/>
  <c r="P14" i="7"/>
  <c r="Q47" i="7"/>
  <c r="G33" i="24"/>
  <c r="L29" i="29"/>
  <c r="O58" i="7"/>
  <c r="G38" i="24"/>
  <c r="N34" i="8"/>
  <c r="L35" i="24"/>
  <c r="L36" i="24"/>
  <c r="P98" i="7"/>
  <c r="P102" i="7"/>
  <c r="M18" i="8"/>
  <c r="L40" i="24"/>
  <c r="M34" i="8"/>
  <c r="P17" i="7"/>
  <c r="M35" i="8"/>
  <c r="P74" i="7"/>
  <c r="P100" i="7"/>
  <c r="N12" i="8"/>
  <c r="P119" i="7"/>
  <c r="L4" i="8"/>
  <c r="N50" i="8"/>
  <c r="Q117" i="7"/>
  <c r="Q7" i="7"/>
  <c r="M3" i="8"/>
  <c r="O29" i="7"/>
  <c r="O109" i="7"/>
  <c r="L18" i="8"/>
  <c r="Q99" i="7"/>
  <c r="Q54" i="7"/>
  <c r="P59" i="7"/>
  <c r="O55" i="7"/>
  <c r="Q55" i="7"/>
  <c r="P75" i="7"/>
  <c r="O53" i="7"/>
  <c r="P95" i="7"/>
  <c r="N41" i="8"/>
  <c r="K14" i="21"/>
  <c r="M43" i="8"/>
  <c r="G30" i="24"/>
  <c r="P47" i="7"/>
  <c r="L23" i="8"/>
  <c r="L3" i="8"/>
  <c r="P90" i="7"/>
  <c r="L6" i="29"/>
  <c r="L42" i="8"/>
  <c r="N36" i="8"/>
  <c r="O7" i="7"/>
  <c r="O15" i="7"/>
  <c r="P32" i="7"/>
  <c r="G21" i="24"/>
  <c r="L19" i="29"/>
  <c r="O60" i="7"/>
  <c r="G19" i="24"/>
  <c r="Q94" i="7"/>
  <c r="P50" i="7"/>
  <c r="O21" i="7"/>
  <c r="Q100" i="7"/>
  <c r="P125" i="7"/>
  <c r="K5" i="21"/>
  <c r="M22" i="8"/>
  <c r="O38" i="7"/>
  <c r="Q121" i="7"/>
  <c r="Q115" i="7"/>
  <c r="P80" i="7"/>
  <c r="N43" i="8"/>
  <c r="P52" i="7"/>
  <c r="O61" i="7"/>
  <c r="P96" i="7"/>
  <c r="G25" i="24"/>
  <c r="N64" i="8"/>
  <c r="L39" i="8"/>
  <c r="L19" i="8"/>
  <c r="M9" i="8"/>
  <c r="G41" i="24"/>
  <c r="Q51" i="7"/>
  <c r="P38" i="7"/>
  <c r="O110" i="7"/>
  <c r="M38" i="8"/>
  <c r="Q112" i="7"/>
  <c r="Q102" i="7"/>
  <c r="O80" i="7"/>
  <c r="O41" i="7"/>
  <c r="K12" i="21"/>
  <c r="P37" i="7"/>
  <c r="L42" i="24"/>
  <c r="M58" i="8"/>
  <c r="O103" i="7"/>
  <c r="Q81" i="7"/>
  <c r="Q101" i="7"/>
  <c r="M50" i="8"/>
  <c r="N6" i="8"/>
  <c r="Q37" i="7"/>
  <c r="Q123" i="7"/>
  <c r="K16" i="21"/>
  <c r="L7" i="8"/>
  <c r="O121" i="7"/>
  <c r="O36" i="7"/>
  <c r="Q56" i="7"/>
  <c r="G29" i="24"/>
  <c r="P120" i="7"/>
  <c r="L41" i="24"/>
  <c r="L8" i="8"/>
  <c r="P43" i="7"/>
  <c r="Q83" i="7"/>
  <c r="Q59" i="7"/>
  <c r="O122" i="7"/>
  <c r="N58" i="8"/>
  <c r="P46" i="7"/>
  <c r="Q124" i="7"/>
  <c r="P110" i="7"/>
  <c r="M19" i="8"/>
  <c r="P88" i="7"/>
  <c r="M23" i="8"/>
  <c r="N53" i="8"/>
  <c r="O46" i="7"/>
  <c r="O48" i="7"/>
  <c r="K15" i="21"/>
  <c r="Q98" i="7"/>
  <c r="O77" i="7"/>
  <c r="Q103" i="7"/>
  <c r="K17" i="21"/>
  <c r="O111" i="7"/>
  <c r="O59" i="7"/>
  <c r="M39" i="8"/>
  <c r="K11" i="21"/>
  <c r="O43" i="7"/>
  <c r="O115" i="7"/>
  <c r="O12" i="7"/>
  <c r="G39" i="24"/>
  <c r="M41" i="8"/>
  <c r="L35" i="8"/>
  <c r="O94" i="7"/>
  <c r="Q114" i="7"/>
  <c r="Q24" i="7"/>
  <c r="Q6" i="7"/>
  <c r="G22" i="24"/>
  <c r="P44" i="7"/>
  <c r="G7" i="15"/>
  <c r="N38" i="8"/>
  <c r="P49" i="7"/>
  <c r="P83" i="7"/>
  <c r="Q111" i="7"/>
  <c r="P30" i="7"/>
  <c r="N39" i="8"/>
  <c r="M6" i="8"/>
  <c r="L9" i="8"/>
  <c r="N22" i="8"/>
  <c r="P122" i="7"/>
  <c r="P25" i="7"/>
  <c r="P114" i="7"/>
  <c r="M59" i="8"/>
  <c r="Q97" i="7"/>
  <c r="O14" i="7"/>
  <c r="P23" i="7"/>
  <c r="P33" i="7"/>
  <c r="Q119" i="7"/>
  <c r="N59" i="8"/>
  <c r="O114" i="7"/>
  <c r="Q49" i="7"/>
  <c r="P112" i="7"/>
  <c r="L59" i="8"/>
  <c r="L18" i="29"/>
  <c r="O52" i="7"/>
  <c r="P51" i="7"/>
  <c r="L2" i="8"/>
  <c r="O82" i="7"/>
  <c r="O56" i="7"/>
  <c r="M62" i="8"/>
  <c r="O123" i="7"/>
  <c r="Q125" i="7"/>
  <c r="P58" i="7"/>
  <c r="O22" i="7"/>
  <c r="Q17" i="7"/>
  <c r="G23" i="24"/>
  <c r="Q53" i="7"/>
  <c r="Q28" i="7"/>
  <c r="M33" i="8"/>
  <c r="O25" i="7"/>
  <c r="P21" i="7"/>
  <c r="Q25" i="7"/>
  <c r="Q13" i="7"/>
  <c r="P123" i="7"/>
  <c r="M60" i="8"/>
  <c r="M11" i="8"/>
  <c r="O20" i="7"/>
  <c r="L43" i="8"/>
  <c r="L53" i="8"/>
  <c r="K6" i="21"/>
  <c r="Q14" i="7"/>
  <c r="Q48" i="7"/>
  <c r="P116" i="7"/>
  <c r="L31" i="24"/>
  <c r="Q50" i="7"/>
  <c r="K7" i="21"/>
  <c r="L32" i="24"/>
  <c r="O54" i="7"/>
  <c r="L63" i="8"/>
  <c r="O47" i="7"/>
  <c r="O40" i="7"/>
  <c r="L60" i="8"/>
  <c r="Q109" i="7"/>
  <c r="M40" i="8"/>
  <c r="O74" i="7"/>
  <c r="L12" i="8"/>
  <c r="M32" i="8"/>
  <c r="L29" i="24"/>
  <c r="O51" i="7"/>
  <c r="P92" i="7"/>
  <c r="M61" i="8"/>
  <c r="P40" i="7"/>
  <c r="L58" i="8"/>
  <c r="N61" i="8"/>
  <c r="N65" i="8"/>
  <c r="Q15" i="7"/>
  <c r="Q33" i="7"/>
  <c r="G20" i="24"/>
  <c r="Q29" i="7"/>
  <c r="L37" i="24"/>
  <c r="O81" i="7"/>
  <c r="N19" i="8"/>
  <c r="M31" i="8"/>
  <c r="P55" i="7"/>
  <c r="N13" i="8"/>
  <c r="O26" i="7"/>
  <c r="Q90" i="7"/>
  <c r="N60" i="8"/>
  <c r="O95" i="7"/>
  <c r="Q80" i="7"/>
  <c r="N62" i="8"/>
  <c r="Q96" i="7"/>
  <c r="K10" i="21"/>
  <c r="P29" i="7"/>
  <c r="O83" i="7"/>
  <c r="O37" i="7"/>
  <c r="M13" i="8"/>
  <c r="O30" i="7"/>
  <c r="Q116" i="7"/>
  <c r="P103" i="7"/>
  <c r="P36" i="7"/>
  <c r="L34" i="8"/>
  <c r="M37" i="8"/>
  <c r="O24" i="7"/>
  <c r="P48" i="7"/>
  <c r="O6" i="7"/>
  <c r="O117" i="7"/>
  <c r="Q95" i="7"/>
  <c r="Q12" i="7"/>
  <c r="N9" i="8"/>
  <c r="Q22" i="7"/>
  <c r="P115" i="7"/>
  <c r="O75" i="7"/>
  <c r="O50" i="7"/>
  <c r="Q52" i="7"/>
  <c r="Q34" i="7"/>
  <c r="N35" i="8"/>
  <c r="L42" i="29"/>
  <c r="M36" i="8"/>
  <c r="P60" i="7"/>
  <c r="Q82" i="7"/>
  <c r="L31" i="8"/>
  <c r="Q27" i="7"/>
  <c r="L61" i="8"/>
  <c r="P93" i="7"/>
  <c r="P97" i="7"/>
  <c r="N33" i="8"/>
  <c r="O116" i="7"/>
  <c r="M65" i="8"/>
  <c r="M12" i="8"/>
  <c r="G31" i="24"/>
  <c r="O17" i="7"/>
  <c r="N37" i="8"/>
  <c r="Q30" i="7"/>
  <c r="G6" i="15"/>
  <c r="G34" i="24"/>
  <c r="Q77" i="7"/>
  <c r="G18" i="24"/>
  <c r="Q118" i="7"/>
  <c r="P91" i="7"/>
  <c r="P99" i="7"/>
  <c r="P7" i="7"/>
  <c r="Q88" i="7"/>
  <c r="M63" i="8"/>
  <c r="O119" i="7"/>
  <c r="N23" i="8"/>
  <c r="P24" i="7"/>
  <c r="O113" i="7"/>
  <c r="Q110" i="7"/>
  <c r="Q36" i="7"/>
  <c r="P6" i="7"/>
  <c r="L6" i="8"/>
  <c r="O49" i="7"/>
  <c r="Q93" i="7"/>
  <c r="L22" i="8"/>
  <c r="O88" i="7"/>
  <c r="O13" i="7"/>
  <c r="O44" i="7"/>
  <c r="Q26" i="7"/>
  <c r="P20" i="7"/>
  <c r="K18" i="24" l="1"/>
  <c r="I7" i="15"/>
  <c r="I6" i="15"/>
  <c r="I5" i="15"/>
  <c r="I4" i="15"/>
  <c r="H7" i="15"/>
  <c r="H6" i="15"/>
  <c r="H5" i="15"/>
  <c r="O28" i="24"/>
  <c r="O3" i="24"/>
  <c r="H26" i="24"/>
  <c r="H19" i="24"/>
  <c r="H20" i="24"/>
  <c r="H25" i="24"/>
  <c r="O25" i="24"/>
  <c r="H23" i="24"/>
  <c r="H18" i="24"/>
  <c r="O14" i="24"/>
  <c r="H21" i="24"/>
  <c r="O8" i="24"/>
  <c r="H22" i="24"/>
  <c r="H4"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tc={F2B7F024-B903-407C-80E2-43EF9ED8C702}</author>
    <author>tc={FC90B090-EC07-4CF0-B57A-24B816C8E269}</author>
    <author>tc={075E0309-8EF5-4731-AB74-41411E933874}</author>
    <author>Kakeda, Masahide</author>
    <author>tc={AAD9B433-651F-4766-B13B-C310CF9DAF9A}</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M5" authorId="0" shapeId="0" xr:uid="{E85760D9-A8A5-4B82-A00C-EFB37821C4A7}">
      <text>
        <r>
          <rPr>
            <b/>
            <sz val="9"/>
            <color indexed="81"/>
            <rFont val="Tahoma"/>
            <family val="2"/>
          </rPr>
          <t>Shui, Yaxin:</t>
        </r>
        <r>
          <rPr>
            <sz val="9"/>
            <color indexed="81"/>
            <rFont val="Tahoma"/>
            <family val="2"/>
          </rPr>
          <t xml:space="preserve">
Place holder. It is same as MTL-SOC-M GSC</t>
        </r>
      </text>
    </comment>
    <comment ref="A16" authorId="0" shapeId="0" xr:uid="{59ADA0B1-3155-41DF-B3AD-F24465260321}">
      <text>
        <r>
          <rPr>
            <b/>
            <sz val="9"/>
            <color indexed="81"/>
            <rFont val="Tahoma"/>
            <family val="2"/>
          </rPr>
          <t>Shui, Yaxin:</t>
        </r>
        <r>
          <rPr>
            <sz val="9"/>
            <color indexed="81"/>
            <rFont val="Tahoma"/>
            <family val="2"/>
          </rPr>
          <t xml:space="preserve">
parmeter _DIS parity issue. 1:remove or fuse vale to be "1" to disable the feature</t>
        </r>
      </text>
    </comment>
    <comment ref="H17" authorId="0" shapeId="0" xr:uid="{0282FF5C-8E85-4B22-91E1-648E209327AC}">
      <text>
        <r>
          <rPr>
            <b/>
            <sz val="9"/>
            <color indexed="81"/>
            <rFont val="Tahoma"/>
            <family val="2"/>
          </rPr>
          <t>Shui, Yaxin:</t>
        </r>
        <r>
          <rPr>
            <sz val="9"/>
            <color indexed="81"/>
            <rFont val="Tahoma"/>
            <family val="2"/>
          </rPr>
          <t xml:space="preserve">
No HSIO support from MTL</t>
        </r>
      </text>
    </comment>
    <comment ref="A22" authorId="0" shapeId="0" xr:uid="{3A21E0C4-5559-4F38-B15B-4CEC3A9A8253}">
      <text>
        <r>
          <rPr>
            <b/>
            <sz val="9"/>
            <color indexed="81"/>
            <rFont val="Tahoma"/>
            <family val="2"/>
          </rPr>
          <t>Shui, Yaxin:</t>
        </r>
        <r>
          <rPr>
            <sz val="9"/>
            <color indexed="81"/>
            <rFont val="Tahoma"/>
            <family val="2"/>
          </rPr>
          <t xml:space="preserve">
not be used</t>
        </r>
      </text>
    </comment>
    <comment ref="A23"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H24" authorId="0" shapeId="0" xr:uid="{1AC05216-6731-4FA5-B5C8-8689142B6FF2}">
      <text>
        <r>
          <rPr>
            <b/>
            <sz val="9"/>
            <color indexed="81"/>
            <rFont val="Tahoma"/>
            <family val="2"/>
          </rPr>
          <t>Shui, Yaxin:</t>
        </r>
        <r>
          <rPr>
            <sz val="9"/>
            <color indexed="81"/>
            <rFont val="Tahoma"/>
            <family val="2"/>
          </rPr>
          <t xml:space="preserve">
ISH is in PCH, not in SOC</t>
        </r>
      </text>
    </comment>
    <comment ref="H26"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H28"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H35"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H36"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38"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H38" authorId="0" shapeId="0" xr:uid="{22A3189F-1C71-4E97-95E7-F8EB892CF050}">
      <text>
        <r>
          <rPr>
            <b/>
            <sz val="9"/>
            <color indexed="81"/>
            <rFont val="Tahoma"/>
            <family val="2"/>
          </rPr>
          <t>Shui, Yaxin:</t>
        </r>
        <r>
          <rPr>
            <sz val="9"/>
            <color indexed="81"/>
            <rFont val="Tahoma"/>
            <family val="2"/>
          </rPr>
          <t xml:space="preserve">
same as ADP-S, BUF</t>
        </r>
      </text>
    </comment>
    <comment ref="A42"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4"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H55" authorId="0" shapeId="0" xr:uid="{95BB4A08-A73D-4DCD-9447-FED542986EA3}">
      <text>
        <r>
          <rPr>
            <b/>
            <sz val="9"/>
            <color indexed="81"/>
            <rFont val="Tahoma"/>
            <family val="2"/>
          </rPr>
          <t>Shui, Yaxin:</t>
        </r>
        <r>
          <rPr>
            <sz val="9"/>
            <color indexed="81"/>
            <rFont val="Tahoma"/>
            <family val="2"/>
          </rPr>
          <t xml:space="preserve">
Chaitu : need from FW team</t>
        </r>
      </text>
    </comment>
    <comment ref="H59" authorId="0" shapeId="0" xr:uid="{E1C7C11F-004D-4E5E-8427-92E7D0AF5088}">
      <text>
        <r>
          <rPr>
            <b/>
            <sz val="9"/>
            <color indexed="81"/>
            <rFont val="Tahoma"/>
            <family val="2"/>
          </rPr>
          <t>Shui, Yaxin:</t>
        </r>
        <r>
          <rPr>
            <sz val="9"/>
            <color indexed="81"/>
            <rFont val="Tahoma"/>
            <family val="2"/>
          </rPr>
          <t xml:space="preserve">
Chaitu: confirm with Kah Meng</t>
        </r>
      </text>
    </comment>
    <comment ref="A60" authorId="1" shapeId="0" xr:uid="{F2B7F024-B903-407C-80E2-43EF9ED8C702}">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H64"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H66" authorId="0" shapeId="0" xr:uid="{43B058FB-8D3C-4BEB-9074-9BFAF6F2BB45}">
      <text>
        <r>
          <rPr>
            <b/>
            <sz val="9"/>
            <color indexed="81"/>
            <rFont val="Tahoma"/>
            <family val="2"/>
          </rPr>
          <t>Shui, Yaxin:</t>
        </r>
        <r>
          <rPr>
            <sz val="9"/>
            <color indexed="81"/>
            <rFont val="Tahoma"/>
            <family val="2"/>
          </rPr>
          <t xml:space="preserve">
PCR 1308104826 - Support Fuse Controller Gen 3.0, 4Kb IntelIFP and 2Kb OEMIFP in MTL-S PCH</t>
        </r>
      </text>
    </comment>
    <comment ref="A71"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H71"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J71"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H72"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J72"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H73"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75"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H75"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H76"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I76" authorId="0" shapeId="0" xr:uid="{932680D4-BCE7-4FC4-A166-6D3F901B67BC}">
      <text>
        <r>
          <rPr>
            <b/>
            <sz val="9"/>
            <color indexed="81"/>
            <rFont val="Tahoma"/>
            <family val="2"/>
          </rPr>
          <t>Shui, Yaxin:</t>
        </r>
        <r>
          <rPr>
            <sz val="9"/>
            <color indexed="81"/>
            <rFont val="Tahoma"/>
            <family val="2"/>
          </rPr>
          <t xml:space="preserve">
No Clink </t>
        </r>
      </text>
    </comment>
    <comment ref="J76" authorId="0" shapeId="0" xr:uid="{2A350FB0-9CBC-4A29-8F8B-2455A60055BC}">
      <text>
        <r>
          <rPr>
            <b/>
            <sz val="9"/>
            <color indexed="81"/>
            <rFont val="Tahoma"/>
            <family val="2"/>
          </rPr>
          <t>Shui, Yaxin:</t>
        </r>
        <r>
          <rPr>
            <sz val="9"/>
            <color indexed="81"/>
            <rFont val="Tahoma"/>
            <family val="2"/>
          </rPr>
          <t xml:space="preserve">
No Clink </t>
        </r>
      </text>
    </comment>
    <comment ref="K76" authorId="0" shapeId="0" xr:uid="{32F47547-E1EE-4BF5-B204-B998BF7DA593}">
      <text>
        <r>
          <rPr>
            <b/>
            <sz val="9"/>
            <color indexed="81"/>
            <rFont val="Tahoma"/>
            <family val="2"/>
          </rPr>
          <t>Shui, Yaxin:</t>
        </r>
        <r>
          <rPr>
            <sz val="9"/>
            <color indexed="81"/>
            <rFont val="Tahoma"/>
            <family val="2"/>
          </rPr>
          <t xml:space="preserve">
No Clink </t>
        </r>
      </text>
    </comment>
    <comment ref="L76" authorId="0" shapeId="0" xr:uid="{CA075824-6F47-4D6A-AA2D-8AAAEB02CE3F}">
      <text>
        <r>
          <rPr>
            <b/>
            <sz val="9"/>
            <color indexed="81"/>
            <rFont val="Tahoma"/>
            <family val="2"/>
          </rPr>
          <t>Shui, Yaxin:</t>
        </r>
        <r>
          <rPr>
            <sz val="9"/>
            <color indexed="81"/>
            <rFont val="Tahoma"/>
            <family val="2"/>
          </rPr>
          <t xml:space="preserve">
No Clink </t>
        </r>
      </text>
    </comment>
    <comment ref="H77"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78"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80"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H83"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84"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85"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85"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86"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H87"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89" authorId="6"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H89"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Kakeda, Masahide</author>
    <author>tc={455372B5-9F9E-4CD0-A998-16B0971769BD}</author>
    <author>tc={5F61125A-8E8B-48BE-9ACF-757E3B6C8EAF}</author>
  </authors>
  <commentList>
    <comment ref="C6" authorId="0" shapeId="0" xr:uid="{4B674484-44D4-41DE-9DBC-E5A70242C4F2}">
      <text>
        <r>
          <rPr>
            <b/>
            <sz val="9"/>
            <color indexed="81"/>
            <rFont val="Tahoma"/>
            <family val="2"/>
          </rPr>
          <t>Shui, Yaxin:</t>
        </r>
        <r>
          <rPr>
            <sz val="9"/>
            <color indexed="81"/>
            <rFont val="Tahoma"/>
            <family val="2"/>
          </rPr>
          <t xml:space="preserve">
Virtual fuse must be IntelHVM</t>
        </r>
      </text>
    </comment>
    <comment ref="E32"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P33"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33"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33"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33"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33"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33"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33"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35" authorId="0" shapeId="0" xr:uid="{C8B8225B-084A-4CEB-A010-C96EADD6A8B2}">
      <text>
        <r>
          <rPr>
            <b/>
            <sz val="9"/>
            <color indexed="81"/>
            <rFont val="Tahoma"/>
            <family val="2"/>
          </rPr>
          <t>Shui, Yaxin:</t>
        </r>
        <r>
          <rPr>
            <sz val="9"/>
            <color indexed="81"/>
            <rFont val="Tahoma"/>
            <family val="2"/>
          </rPr>
          <t xml:space="preserve">
name not same as Group1 Page</t>
        </r>
      </text>
    </comment>
    <comment ref="P36"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Q39"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39"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V39"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Q45"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45"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53"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7"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R57"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8"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F67"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70" authorId="3" shapeId="0" xr:uid="{B0727BE6-C5C8-4291-9845-DD738E9797F5}">
      <text>
        <r>
          <rPr>
            <b/>
            <sz val="9"/>
            <color indexed="81"/>
            <rFont val="Tahoma"/>
            <family val="2"/>
          </rPr>
          <t>Kakeda, Masahide:</t>
        </r>
        <r>
          <rPr>
            <sz val="9"/>
            <color indexed="81"/>
            <rFont val="Tahoma"/>
            <family val="2"/>
          </rPr>
          <t xml:space="preserve">
SAMSUNG_PUF_CONFIG_EN and IFWI_LAYOUT_1_5_EN are
mutualy exclusive </t>
        </r>
      </text>
    </comment>
    <comment ref="E71" authorId="3" shapeId="0" xr:uid="{9E1324CB-C308-4774-BC0F-8AD65B4C1831}">
      <text>
        <r>
          <rPr>
            <b/>
            <sz val="9"/>
            <color indexed="81"/>
            <rFont val="Tahoma"/>
            <family val="2"/>
          </rPr>
          <t>Kakeda, Masahide:</t>
        </r>
        <r>
          <rPr>
            <sz val="9"/>
            <color indexed="81"/>
            <rFont val="Tahoma"/>
            <family val="2"/>
          </rPr>
          <t xml:space="preserve">
SAMSUNG_PUF_CONFIG_EN and IFWI_LAYOUT_1_5_EN are
mutualy exclusive </t>
        </r>
      </text>
    </comment>
    <comment ref="E72" authorId="3" shapeId="0" xr:uid="{A68A3F1C-43B1-4FC3-AB97-D0D62155D1DF}">
      <text>
        <r>
          <rPr>
            <b/>
            <sz val="9"/>
            <color indexed="81"/>
            <rFont val="Tahoma"/>
            <family val="2"/>
          </rPr>
          <t>Kakeda, Masahide:</t>
        </r>
        <r>
          <rPr>
            <sz val="9"/>
            <color indexed="81"/>
            <rFont val="Tahoma"/>
            <family val="2"/>
          </rPr>
          <t xml:space="preserve">
SAMSUNG_PUF_CONFIG_EN and IFWI_LAYOUT_1_5_EN are
mutualy exclusive </t>
        </r>
      </text>
    </comment>
    <comment ref="E73" authorId="3" shapeId="0" xr:uid="{70B46351-D9AD-4558-8CB7-AF73B9222336}">
      <text>
        <r>
          <rPr>
            <b/>
            <sz val="9"/>
            <color indexed="81"/>
            <rFont val="Tahoma"/>
            <family val="2"/>
          </rPr>
          <t>Kakeda, Masahide:</t>
        </r>
        <r>
          <rPr>
            <sz val="9"/>
            <color indexed="81"/>
            <rFont val="Tahoma"/>
            <family val="2"/>
          </rPr>
          <t xml:space="preserve">
SAMSUNG_PUF_CONFIG_EN and IFWI_LAYOUT_1_5_EN are
mutualy exclusive </t>
        </r>
      </text>
    </comment>
    <comment ref="E74" authorId="3" shapeId="0" xr:uid="{2A0614AF-7B44-4BED-8FCC-42B1194529CC}">
      <text>
        <r>
          <rPr>
            <b/>
            <sz val="9"/>
            <color indexed="81"/>
            <rFont val="Tahoma"/>
            <family val="2"/>
          </rPr>
          <t>Kakeda, Masahide:</t>
        </r>
        <r>
          <rPr>
            <sz val="9"/>
            <color indexed="81"/>
            <rFont val="Tahoma"/>
            <family val="2"/>
          </rPr>
          <t xml:space="preserve">
SAMSUNG_PUF_CONFIG_EN and IFWI_LAYOUT_1_5_EN are
mutualy exclusive </t>
        </r>
      </text>
    </comment>
    <comment ref="E79" authorId="3" shapeId="0" xr:uid="{9FB2C29A-546C-4D7C-ABFC-BE500F48DD3F}">
      <text>
        <r>
          <rPr>
            <b/>
            <sz val="9"/>
            <color indexed="81"/>
            <rFont val="Tahoma"/>
            <family val="2"/>
          </rPr>
          <t>Kakeda, Masahide:</t>
        </r>
        <r>
          <rPr>
            <sz val="9"/>
            <color indexed="81"/>
            <rFont val="Tahoma"/>
            <family val="2"/>
          </rPr>
          <t xml:space="preserve">
SAMSUNG_PUF_CONFIG_EN and IFWI_LAYOUT_1_5_EN are
mutualy exclusive </t>
        </r>
      </text>
    </comment>
    <comment ref="E81" authorId="3" shapeId="0" xr:uid="{0484D8E1-36D9-4B0D-95E1-4203322AFB8F}">
      <text>
        <r>
          <rPr>
            <b/>
            <sz val="9"/>
            <color indexed="81"/>
            <rFont val="Tahoma"/>
            <family val="2"/>
          </rPr>
          <t>Kakeda, Masahide:</t>
        </r>
        <r>
          <rPr>
            <sz val="9"/>
            <color indexed="81"/>
            <rFont val="Tahoma"/>
            <family val="2"/>
          </rPr>
          <t xml:space="preserve">
used in EBG</t>
        </r>
      </text>
    </comment>
    <comment ref="D92"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E107" authorId="3" shapeId="0" xr:uid="{E9952A2D-01F5-401C-9E56-150F00DE0CFD}">
      <text>
        <r>
          <rPr>
            <b/>
            <sz val="9"/>
            <color indexed="81"/>
            <rFont val="Tahoma"/>
            <family val="2"/>
          </rPr>
          <t>Kakeda, Masahide:</t>
        </r>
        <r>
          <rPr>
            <sz val="9"/>
            <color indexed="81"/>
            <rFont val="Tahoma"/>
            <family val="2"/>
          </rPr>
          <t xml:space="preserve">
(1 &lt;&lt; x ) - 1
</t>
        </r>
      </text>
    </comment>
    <comment ref="G107" authorId="3" shapeId="0" xr:uid="{CFCC1BEE-98D3-4CCA-BE8F-9BEEDC12A2D2}">
      <text>
        <r>
          <rPr>
            <b/>
            <sz val="9"/>
            <color indexed="81"/>
            <rFont val="Tahoma"/>
            <family val="2"/>
          </rPr>
          <t>Kakeda, Masahide:</t>
        </r>
        <r>
          <rPr>
            <sz val="9"/>
            <color indexed="81"/>
            <rFont val="Tahoma"/>
            <family val="2"/>
          </rPr>
          <t xml:space="preserve">
(1 &lt;&lt; x ) - 1
</t>
        </r>
      </text>
    </comment>
    <comment ref="D117"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8"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9"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2" authorId="5"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E126" authorId="3" shapeId="0" xr:uid="{267BF3B8-7A69-4CF2-8DA1-8A0431763A23}">
      <text>
        <r>
          <rPr>
            <b/>
            <sz val="9"/>
            <color indexed="81"/>
            <rFont val="Tahoma"/>
            <family val="2"/>
          </rPr>
          <t>Kakeda, Masahide:</t>
        </r>
        <r>
          <rPr>
            <sz val="9"/>
            <color indexed="81"/>
            <rFont val="Tahoma"/>
            <family val="2"/>
          </rPr>
          <t xml:space="preserve">
For SPS FW</t>
        </r>
      </text>
    </comment>
    <comment ref="D133" authorId="3" shapeId="0" xr:uid="{02BE58DE-E98D-4676-8CA5-35A10884F63E}">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
YS: this bit presents in ADP-S and MTL-M CSEM and ESE Kaigen sheet but was strikethrough in Kakeda's Group1 Page, it shall be keep it. need sync-up with Kakeda </t>
        </r>
      </text>
    </comment>
    <comment ref="D135" authorId="3" shapeId="0" xr:uid="{EF9725EF-74CA-4C0F-B090-5D5AA08DEE3E}">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D136" authorId="0" shapeId="0" xr:uid="{0B591C24-C530-4672-A9F8-1268586FA605}">
      <text>
        <r>
          <rPr>
            <b/>
            <sz val="9"/>
            <color indexed="81"/>
            <rFont val="Tahoma"/>
            <family val="2"/>
          </rPr>
          <t>Shui, Yaxin:</t>
        </r>
        <r>
          <rPr>
            <sz val="9"/>
            <color indexed="81"/>
            <rFont val="Tahoma"/>
            <family val="2"/>
          </rPr>
          <t xml:space="preserve">
this bit RSA_SKIP_DISABLED presents in ADP-S and MTL-M CSME and ESE not used in Kaigen sheet but was strikethrough in Kakeda's Group1 Page, it shall be keep it. need sync-up with Kakeda 
IP_external_ROM_Bypass intented to replace RSA_SKIP_DISABLED in Group1Page, but this bit is not used in Kaigen sheet. need sync-up</t>
        </r>
      </text>
    </comment>
    <comment ref="D138" authorId="3" shapeId="0" xr:uid="{50AB4F0C-A75C-417E-84D1-5D619C659549}">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K158" authorId="0" shapeId="0" xr:uid="{6FFA8A58-9F6E-4481-AFEF-B7258A6A50FE}">
      <text>
        <r>
          <rPr>
            <b/>
            <sz val="9"/>
            <color indexed="81"/>
            <rFont val="Tahoma"/>
            <family val="2"/>
          </rPr>
          <t>Shui, Yaxin:</t>
        </r>
        <r>
          <rPr>
            <sz val="9"/>
            <color indexed="81"/>
            <rFont val="Tahoma"/>
            <family val="2"/>
          </rPr>
          <t xml:space="preserve">
same fuse bit, different fuse address starting from MTL-M 
ADP-S 16'h6068
MTL-M 16'h6040</t>
        </r>
      </text>
    </comment>
    <comment ref="K159" authorId="0" shapeId="0" xr:uid="{40C836AF-DB72-4EB7-93F9-F3ACF36F210B}">
      <text>
        <r>
          <rPr>
            <b/>
            <sz val="9"/>
            <color indexed="81"/>
            <rFont val="Tahoma"/>
            <family val="2"/>
          </rPr>
          <t>Shui, Yaxin:</t>
        </r>
        <r>
          <rPr>
            <sz val="9"/>
            <color indexed="81"/>
            <rFont val="Tahoma"/>
            <family val="2"/>
          </rPr>
          <t xml:space="preserve">
same fuse bit, different fuse address starting from MTL-M 
ADP-S 16'h6070
MTL-M 16'h6044</t>
        </r>
      </text>
    </comment>
    <comment ref="R160"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D191" authorId="0" shapeId="0" xr:uid="{EECC40A5-2646-4C17-B46F-E0ECD70598A3}">
      <text>
        <r>
          <rPr>
            <b/>
            <sz val="9"/>
            <color indexed="81"/>
            <rFont val="Tahoma"/>
            <family val="2"/>
          </rPr>
          <t>Shui, Yaxin:</t>
        </r>
        <r>
          <rPr>
            <sz val="9"/>
            <color indexed="81"/>
            <rFont val="Tahoma"/>
            <family val="2"/>
          </rPr>
          <t xml:space="preserve">
PCR #: 14011013671
[CSME] RS2 DMA support from CSME to ESE</t>
        </r>
      </text>
    </comment>
    <comment ref="P198"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tc={926BDF14-A141-46E9-BD1F-5F1BC62C0080}</author>
  </authors>
  <commentList>
    <comment ref="C6" authorId="0" shapeId="0" xr:uid="{4DDFAD89-864C-46A8-9FEF-7E78D5066452}">
      <text>
        <r>
          <rPr>
            <b/>
            <sz val="9"/>
            <color indexed="81"/>
            <rFont val="Tahoma"/>
            <family val="2"/>
          </rPr>
          <t>Shui, Yaxin:</t>
        </r>
        <r>
          <rPr>
            <sz val="9"/>
            <color indexed="81"/>
            <rFont val="Tahoma"/>
            <family val="2"/>
          </rPr>
          <t xml:space="preserve">
Virtual fuse must be IntelHVM</t>
        </r>
      </text>
    </comment>
    <comment ref="E32" authorId="0" shapeId="0" xr:uid="{F4A5595E-C269-4869-89C4-5A2665EAD505}">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P33" authorId="0" shapeId="0" xr:uid="{46DC9E90-0C4B-477A-9935-9224CEDB0D6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33" authorId="0" shapeId="0" xr:uid="{14AEB16C-DDBB-4EE2-8FCB-13742967FC5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33" authorId="0" shapeId="0" xr:uid="{D3B1F0B3-E417-4B8E-97C8-1DC254CE326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33" authorId="0" shapeId="0" xr:uid="{E549E2FC-54DE-49BE-8800-0C9B328FB04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33" authorId="0" shapeId="0" xr:uid="{AF015150-FF7E-43E2-A547-C63B969F6FAF}">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35" authorId="0" shapeId="0" xr:uid="{570D83F2-EDFC-418D-ACA1-38B0CAB5DC1F}">
      <text>
        <r>
          <rPr>
            <b/>
            <sz val="9"/>
            <color indexed="81"/>
            <rFont val="Tahoma"/>
            <family val="2"/>
          </rPr>
          <t>Shui, Yaxin:</t>
        </r>
        <r>
          <rPr>
            <sz val="9"/>
            <color indexed="81"/>
            <rFont val="Tahoma"/>
            <family val="2"/>
          </rPr>
          <t xml:space="preserve">
name not same as Group1 Page</t>
        </r>
      </text>
    </comment>
    <comment ref="P36" authorId="0" shapeId="0" xr:uid="{84757CE8-0F6B-412D-A3CB-7A336F03BFEE}">
      <text>
        <r>
          <rPr>
            <b/>
            <sz val="9"/>
            <color indexed="81"/>
            <rFont val="Tahoma"/>
            <family val="2"/>
          </rPr>
          <t>Shui, Yaxin:</t>
        </r>
        <r>
          <rPr>
            <sz val="9"/>
            <color indexed="81"/>
            <rFont val="Tahoma"/>
            <family val="2"/>
          </rPr>
          <t xml:space="preserve">
yes or replace by GSK_TRC_DIS ?</t>
        </r>
      </text>
    </comment>
    <comment ref="R53" authorId="0" shapeId="0" xr:uid="{F4672130-59B7-4B58-9978-A72534CA820C}">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7" authorId="0" shapeId="0" xr:uid="{A8328570-CAA5-44D6-81BC-9B0DD8F14BD7}">
      <text>
        <r>
          <rPr>
            <b/>
            <sz val="9"/>
            <color indexed="81"/>
            <rFont val="Tahoma"/>
            <family val="2"/>
          </rPr>
          <t>Shui, Yaxin:</t>
        </r>
        <r>
          <rPr>
            <sz val="9"/>
            <color indexed="81"/>
            <rFont val="Tahoma"/>
            <family val="2"/>
          </rPr>
          <t xml:space="preserve">
CONFIG_OCS_DISABLE_GKEY2 RTL config</t>
        </r>
      </text>
    </comment>
    <comment ref="R57" authorId="0" shapeId="0" xr:uid="{E93901EE-4D7B-47B0-B085-1C7FFE3102DE}">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8" authorId="0" shapeId="0" xr:uid="{984D38A5-0BAA-47F1-91FE-F54424F7881C}">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F67" authorId="0" shapeId="0" xr:uid="{DC45B7E7-63F1-4826-BD72-5C18553B21D2}">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70" authorId="1" shapeId="0" xr:uid="{40197736-04C7-4922-B6E2-66BBA0FEDC0F}">
      <text>
        <r>
          <rPr>
            <b/>
            <sz val="9"/>
            <color indexed="81"/>
            <rFont val="Tahoma"/>
            <family val="2"/>
          </rPr>
          <t>Kakeda, Masahide:</t>
        </r>
        <r>
          <rPr>
            <sz val="9"/>
            <color indexed="81"/>
            <rFont val="Tahoma"/>
            <family val="2"/>
          </rPr>
          <t xml:space="preserve">
SAMSUNG_PUF_CONFIG_EN and IFWI_LAYOUT_1_5_EN are
mutualy exclusive </t>
        </r>
      </text>
    </comment>
    <comment ref="E71" authorId="1" shapeId="0" xr:uid="{288EE697-A3FD-492C-B2C4-17CCB640CD46}">
      <text>
        <r>
          <rPr>
            <b/>
            <sz val="9"/>
            <color indexed="81"/>
            <rFont val="Tahoma"/>
            <family val="2"/>
          </rPr>
          <t>Kakeda, Masahide:</t>
        </r>
        <r>
          <rPr>
            <sz val="9"/>
            <color indexed="81"/>
            <rFont val="Tahoma"/>
            <family val="2"/>
          </rPr>
          <t xml:space="preserve">
SAMSUNG_PUF_CONFIG_EN and IFWI_LAYOUT_1_5_EN are
mutualy exclusive </t>
        </r>
      </text>
    </comment>
    <comment ref="E72" authorId="1" shapeId="0" xr:uid="{F8BE6E0E-5107-467B-A620-36E3882366D3}">
      <text>
        <r>
          <rPr>
            <b/>
            <sz val="9"/>
            <color indexed="81"/>
            <rFont val="Tahoma"/>
            <family val="2"/>
          </rPr>
          <t>Kakeda, Masahide:</t>
        </r>
        <r>
          <rPr>
            <sz val="9"/>
            <color indexed="81"/>
            <rFont val="Tahoma"/>
            <family val="2"/>
          </rPr>
          <t xml:space="preserve">
SAMSUNG_PUF_CONFIG_EN and IFWI_LAYOUT_1_5_EN are
mutualy exclusive </t>
        </r>
      </text>
    </comment>
    <comment ref="E73" authorId="1" shapeId="0" xr:uid="{02E78B3A-8966-413A-B4A7-ABE057DE0D81}">
      <text>
        <r>
          <rPr>
            <b/>
            <sz val="9"/>
            <color indexed="81"/>
            <rFont val="Tahoma"/>
            <family val="2"/>
          </rPr>
          <t>Kakeda, Masahide:</t>
        </r>
        <r>
          <rPr>
            <sz val="9"/>
            <color indexed="81"/>
            <rFont val="Tahoma"/>
            <family val="2"/>
          </rPr>
          <t xml:space="preserve">
SAMSUNG_PUF_CONFIG_EN and IFWI_LAYOUT_1_5_EN are
mutualy exclusive </t>
        </r>
      </text>
    </comment>
    <comment ref="E74" authorId="1" shapeId="0" xr:uid="{1AABDB83-C9F0-43FA-A389-6748FAF12E2E}">
      <text>
        <r>
          <rPr>
            <b/>
            <sz val="9"/>
            <color indexed="81"/>
            <rFont val="Tahoma"/>
            <family val="2"/>
          </rPr>
          <t>Kakeda, Masahide:</t>
        </r>
        <r>
          <rPr>
            <sz val="9"/>
            <color indexed="81"/>
            <rFont val="Tahoma"/>
            <family val="2"/>
          </rPr>
          <t xml:space="preserve">
SAMSUNG_PUF_CONFIG_EN and IFWI_LAYOUT_1_5_EN are
mutualy exclusive </t>
        </r>
      </text>
    </comment>
    <comment ref="E79" authorId="1" shapeId="0" xr:uid="{246D77BC-C9DE-4604-A47E-1D559D47A986}">
      <text>
        <r>
          <rPr>
            <b/>
            <sz val="9"/>
            <color indexed="81"/>
            <rFont val="Tahoma"/>
            <family val="2"/>
          </rPr>
          <t>Kakeda, Masahide:</t>
        </r>
        <r>
          <rPr>
            <sz val="9"/>
            <color indexed="81"/>
            <rFont val="Tahoma"/>
            <family val="2"/>
          </rPr>
          <t xml:space="preserve">
SAMSUNG_PUF_CONFIG_EN and IFWI_LAYOUT_1_5_EN are
mutualy exclusive </t>
        </r>
      </text>
    </comment>
    <comment ref="E81" authorId="1" shapeId="0" xr:uid="{EB465F8C-0702-412C-81A9-EF8B0F368068}">
      <text>
        <r>
          <rPr>
            <b/>
            <sz val="9"/>
            <color indexed="81"/>
            <rFont val="Tahoma"/>
            <family val="2"/>
          </rPr>
          <t>Kakeda, Masahide:</t>
        </r>
        <r>
          <rPr>
            <sz val="9"/>
            <color indexed="81"/>
            <rFont val="Tahoma"/>
            <family val="2"/>
          </rPr>
          <t xml:space="preserve">
used in EBG</t>
        </r>
      </text>
    </comment>
    <comment ref="E107" authorId="1" shapeId="0" xr:uid="{A9CD946A-D438-4EA4-BD3D-137A9C49A410}">
      <text>
        <r>
          <rPr>
            <b/>
            <sz val="9"/>
            <color indexed="81"/>
            <rFont val="Tahoma"/>
            <family val="2"/>
          </rPr>
          <t>Kakeda, Masahide:</t>
        </r>
        <r>
          <rPr>
            <sz val="9"/>
            <color indexed="81"/>
            <rFont val="Tahoma"/>
            <family val="2"/>
          </rPr>
          <t xml:space="preserve">
(1 &lt;&lt; x ) - 1
</t>
        </r>
      </text>
    </comment>
    <comment ref="G107" authorId="1" shapeId="0" xr:uid="{686D18A4-CD0F-4D8F-BEBE-EBF388C82383}">
      <text>
        <r>
          <rPr>
            <b/>
            <sz val="9"/>
            <color indexed="81"/>
            <rFont val="Tahoma"/>
            <family val="2"/>
          </rPr>
          <t>Kakeda, Masahide:</t>
        </r>
        <r>
          <rPr>
            <sz val="9"/>
            <color indexed="81"/>
            <rFont val="Tahoma"/>
            <family val="2"/>
          </rPr>
          <t xml:space="preserve">
(1 &lt;&lt; x ) - 1
</t>
        </r>
      </text>
    </comment>
    <comment ref="D117" authorId="0" shapeId="0" xr:uid="{7CE4C129-A62F-432C-9C07-C55F7C67C684}">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8" authorId="0" shapeId="0" xr:uid="{BBD9CA6C-A51D-49A2-B5FF-E3DBBE7FB8B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9" authorId="0" shapeId="0" xr:uid="{583520F8-7269-4C1F-B5A6-FE793B3F219A}">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2" authorId="2" shapeId="0" xr:uid="{926BDF14-A141-46E9-BD1F-5F1BC62C0080}">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E126" authorId="1" shapeId="0" xr:uid="{519C51CE-6898-41EA-9F5F-F3AEB2E9D112}">
      <text>
        <r>
          <rPr>
            <b/>
            <sz val="9"/>
            <color indexed="81"/>
            <rFont val="Tahoma"/>
            <family val="2"/>
          </rPr>
          <t>Kakeda, Masahide:</t>
        </r>
        <r>
          <rPr>
            <sz val="9"/>
            <color indexed="81"/>
            <rFont val="Tahoma"/>
            <family val="2"/>
          </rPr>
          <t xml:space="preserve">
For SPS FW</t>
        </r>
      </text>
    </comment>
    <comment ref="D133" authorId="1" shapeId="0" xr:uid="{1DFCD03A-A2F2-44D0-BA0B-B411E3AEF092}">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
YS: this bit presents in ADP-S and MTL-M CSEM and ESE Kaigen sheet but was strikethrough in Kakeda's Group1 Page, it shall be keep it. need sync-up with Kakeda </t>
        </r>
      </text>
    </comment>
    <comment ref="D135" authorId="1" shapeId="0" xr:uid="{54355791-3647-459C-A586-DD07A3CD999C}">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D136" authorId="0" shapeId="0" xr:uid="{D054EA4B-9258-42D9-8B60-DEC5E3F651EB}">
      <text>
        <r>
          <rPr>
            <b/>
            <sz val="9"/>
            <color indexed="81"/>
            <rFont val="Tahoma"/>
            <family val="2"/>
          </rPr>
          <t>Shui, Yaxin:</t>
        </r>
        <r>
          <rPr>
            <sz val="9"/>
            <color indexed="81"/>
            <rFont val="Tahoma"/>
            <family val="2"/>
          </rPr>
          <t xml:space="preserve">
this bit RSA_SKIP_DISABLED presents in ADP-S and MTL-M CSME and ESE not used in Kaigen sheet but was strikethrough in Kakeda's Group1 Page, it shall be keep it. need sync-up with Kakeda 
IP_external_ROM_Bypass intented to replace RSA_SKIP_DISABLED in Group1Page, but this bit is not used in Kaigen sheet. need sync-up</t>
        </r>
      </text>
    </comment>
    <comment ref="D138" authorId="1" shapeId="0" xr:uid="{119034A9-9CDE-428D-8CD8-596B22C5BB3F}">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K158" authorId="0" shapeId="0" xr:uid="{36D6EC9D-0F54-4531-9957-0910716843FA}">
      <text>
        <r>
          <rPr>
            <b/>
            <sz val="9"/>
            <color indexed="81"/>
            <rFont val="Tahoma"/>
            <family val="2"/>
          </rPr>
          <t>Shui, Yaxin:</t>
        </r>
        <r>
          <rPr>
            <sz val="9"/>
            <color indexed="81"/>
            <rFont val="Tahoma"/>
            <family val="2"/>
          </rPr>
          <t xml:space="preserve">
same fuse bit, different fuse address starting from MTL-M 
ADP-S 16'h6068
MTL-M 16'h6040</t>
        </r>
      </text>
    </comment>
    <comment ref="K159" authorId="0" shapeId="0" xr:uid="{CEA295D3-5FBD-43B2-BBD8-96D9595A0396}">
      <text>
        <r>
          <rPr>
            <b/>
            <sz val="9"/>
            <color indexed="81"/>
            <rFont val="Tahoma"/>
            <family val="2"/>
          </rPr>
          <t>Shui, Yaxin:</t>
        </r>
        <r>
          <rPr>
            <sz val="9"/>
            <color indexed="81"/>
            <rFont val="Tahoma"/>
            <family val="2"/>
          </rPr>
          <t xml:space="preserve">
same fuse bit, different fuse address starting from MTL-M 
ADP-S 16'h6070
MTL-M 16'h6044</t>
        </r>
      </text>
    </comment>
    <comment ref="R160" authorId="0" shapeId="0" xr:uid="{7C72BE26-214E-41C0-8B7F-DD9FDF7279DC}">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D191" authorId="0" shapeId="0" xr:uid="{6669BACC-7384-4187-BE48-7AC2D5974821}">
      <text>
        <r>
          <rPr>
            <b/>
            <sz val="9"/>
            <color indexed="81"/>
            <rFont val="Tahoma"/>
            <family val="2"/>
          </rPr>
          <t>Shui, Yaxin:</t>
        </r>
        <r>
          <rPr>
            <sz val="9"/>
            <color indexed="81"/>
            <rFont val="Tahoma"/>
            <family val="2"/>
          </rPr>
          <t xml:space="preserve">
PCR #: 14011013671
[CSME] RS2 DMA support from CSME to ESE</t>
        </r>
      </text>
    </comment>
    <comment ref="P198" authorId="0" shapeId="0" xr:uid="{642605BA-2E2C-4C68-82E2-B6436256F9CD}">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<sst xmlns="http://schemas.openxmlformats.org/spreadsheetml/2006/main" count="12064" uniqueCount="1623">
  <si>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</si>
  <si>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</si>
  <si>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</si>
  <si>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</si>
  <si>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</si>
  <si>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</si>
  <si>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</si>
  <si>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</si>
  <si>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</si>
  <si>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</si>
  <si>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</si>
  <si>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</si>
  <si>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</si>
  <si>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</si>
  <si>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</si>
  <si>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</si>
  <si>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</si>
  <si>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</si>
  <si>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</si>
  <si>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</si>
  <si>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</si>
  <si>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</si>
  <si>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</si>
  <si>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</si>
  <si>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</si>
  <si>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</si>
  <si>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</si>
  <si>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</si>
  <si>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</si>
  <si>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</si>
  <si>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</si>
  <si>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</si>
  <si>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</si>
  <si>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</si>
  <si>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</si>
  <si>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</si>
  <si>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</si>
  <si>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</si>
  <si>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</si>
  <si>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</si>
  <si>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</si>
  <si>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</si>
  <si>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</si>
  <si>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</si>
  <si>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</si>
  <si>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</si>
  <si>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</si>
  <si>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</si>
  <si>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</si>
  <si>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</si>
  <si>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</si>
  <si>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</si>
  <si>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</si>
  <si>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</si>
  <si>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</si>
  <si>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</si>
  <si>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</si>
  <si>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</si>
  <si>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</si>
  <si>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</si>
  <si>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</si>
  <si>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</si>
  <si>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</si>
  <si>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</si>
  <si>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</si>
  <si>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</si>
  <si>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</si>
  <si>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</si>
  <si>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</si>
  <si>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</si>
  <si>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</si>
  <si>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</si>
  <si>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</si>
  <si>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</si>
  <si>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</si>
  <si>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</si>
  <si>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</si>
  <si>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</si>
  <si>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</si>
  <si>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</si>
  <si>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</si>
  <si>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</si>
  <si>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</si>
  <si>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</si>
  <si>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</si>
  <si>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</si>
  <si>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</si>
  <si>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</si>
  <si>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</si>
  <si>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</si>
  <si>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</si>
  <si>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</si>
  <si>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</si>
  <si>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</si>
  <si>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</si>
  <si>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</si>
  <si>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</si>
  <si>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</si>
  <si>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</si>
  <si>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</si>
  <si>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</si>
  <si>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</si>
  <si>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</si>
  <si>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</si>
  <si>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</si>
  <si>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</si>
  <si>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</si>
  <si>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</si>
  <si>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</si>
  <si>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</si>
  <si>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</si>
  <si>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</si>
  <si>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</si>
  <si>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</si>
  <si>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</si>
  <si>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</si>
  <si>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</si>
  <si>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</si>
  <si>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</si>
  <si>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</si>
  <si>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</si>
  <si>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</si>
  <si>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</si>
  <si>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</si>
  <si>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</si>
  <si>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</si>
  <si>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</si>
  <si>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</si>
  <si>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</si>
  <si>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</si>
  <si>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</si>
  <si>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</si>
  <si>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</si>
  <si>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</si>
  <si>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</si>
  <si>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</si>
  <si>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</si>
  <si>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</si>
  <si>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</si>
  <si>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</si>
  <si>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</si>
  <si>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</si>
  <si>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</si>
  <si>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</si>
  <si>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</si>
  <si>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</si>
  <si>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</si>
  <si>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</si>
  <si>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</si>
  <si>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</si>
  <si>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</si>
  <si>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</si>
  <si>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</si>
  <si>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</si>
  <si>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</si>
  <si>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</si>
  <si>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</si>
  <si>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</si>
  <si>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</si>
  <si>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</si>
  <si>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</si>
  <si>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</si>
  <si>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</si>
  <si>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</si>
  <si>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</si>
  <si>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</si>
  <si>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</si>
  <si>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</si>
  <si>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</si>
  <si>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</si>
  <si>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</si>
  <si>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</si>
  <si>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</si>
  <si>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</si>
  <si>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</si>
  <si>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</si>
  <si>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</si>
  <si>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</si>
  <si>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</si>
  <si>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</si>
  <si>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</si>
  <si>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</si>
  <si>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</si>
  <si>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</si>
  <si>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</si>
  <si>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</si>
  <si>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</si>
  <si>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</si>
  <si>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</si>
  <si>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</si>
  <si>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</si>
  <si>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</si>
  <si>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</si>
  <si>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</si>
  <si>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</si>
  <si>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</si>
  <si>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</si>
  <si>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</si>
  <si>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</si>
  <si>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</si>
  <si>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</si>
  <si>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</si>
  <si>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</si>
  <si>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</si>
  <si>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</si>
  <si>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</si>
  <si>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</si>
  <si>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</si>
  <si>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</si>
  <si>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</si>
  <si>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</si>
  <si>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</si>
  <si>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</si>
  <si>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</si>
  <si>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</si>
  <si>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</si>
  <si>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</si>
  <si>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</si>
  <si>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</si>
  <si>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</si>
  <si>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</si>
  <si>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</si>
  <si>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</si>
  <si>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</si>
  <si>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</si>
  <si>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</si>
  <si>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</si>
  <si>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</si>
  <si>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</si>
  <si>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</si>
  <si>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</si>
  <si>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</si>
  <si>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</si>
  <si>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</si>
  <si>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</si>
  <si>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</si>
  <si>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</si>
  <si>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</si>
  <si>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</si>
  <si>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</si>
  <si>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</si>
  <si>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</si>
  <si>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</si>
  <si>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</si>
  <si>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</si>
  <si>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</si>
  <si>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</si>
  <si>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</si>
  <si>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</si>
  <si>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</si>
  <si>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</si>
  <si>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</si>
  <si>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</si>
  <si>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</si>
  <si>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</si>
  <si>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</si>
  <si>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</si>
  <si>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</si>
  <si>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</si>
  <si>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</si>
  <si>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</si>
  <si>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</si>
  <si>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</si>
  <si>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</si>
  <si>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</si>
  <si>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</si>
  <si>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</si>
  <si>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</si>
  <si>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</si>
  <si>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</si>
  <si>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</si>
  <si>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</si>
  <si>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</si>
  <si>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</si>
  <si>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</si>
  <si>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</si>
  <si>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</si>
  <si>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</si>
  <si>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</si>
  <si>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</si>
  <si>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</si>
  <si>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</si>
  <si>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</si>
  <si>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</si>
  <si>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</si>
  <si>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</si>
  <si>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</si>
  <si>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</si>
  <si>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</si>
  <si>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</si>
  <si>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</si>
  <si>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</si>
  <si>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</si>
  <si>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</si>
  <si>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</si>
  <si>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</si>
  <si>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</si>
  <si>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</si>
  <si>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</si>
  <si>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</si>
  <si>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</si>
  <si>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</si>
  <si>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</si>
  <si>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</si>
  <si>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</si>
  <si>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</si>
  <si>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</si>
  <si>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</si>
  <si>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</si>
  <si>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</si>
  <si>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</si>
  <si>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</si>
  <si>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</si>
  <si>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</si>
  <si>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</si>
  <si>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</si>
  <si>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</si>
  <si>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</si>
  <si>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</si>
  <si>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</si>
  <si>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</si>
  <si>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</si>
  <si>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</si>
  <si>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</si>
  <si>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</si>
  <si>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</si>
  <si>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</si>
  <si>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</si>
  <si>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</si>
  <si>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</si>
  <si>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</si>
  <si>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</si>
  <si>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</si>
  <si>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</si>
  <si>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</si>
  <si>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</si>
  <si>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</si>
  <si>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</si>
  <si>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</si>
  <si>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</si>
  <si>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</si>
  <si>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</si>
  <si>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</si>
  <si>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</si>
  <si>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</si>
  <si>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</si>
  <si>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</si>
  <si>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</si>
  <si>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</si>
  <si>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</si>
  <si>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</si>
  <si>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</si>
  <si>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</si>
  <si>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</si>
  <si>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</si>
  <si>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</si>
  <si>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</si>
  <si>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</si>
  <si>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</si>
  <si>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</si>
  <si>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</si>
  <si>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</si>
  <si>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</si>
  <si>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</si>
  <si>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</si>
  <si>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</si>
  <si>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</si>
  <si>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</si>
  <si>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</si>
  <si>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</si>
  <si>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</si>
  <si>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</si>
  <si>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</si>
  <si>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</si>
  <si>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</si>
  <si>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</si>
  <si>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</si>
  <si>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</si>
  <si>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</si>
  <si>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</si>
  <si>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</si>
  <si>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</si>
  <si>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</si>
  <si>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</si>
  <si>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</si>
  <si>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</si>
  <si>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</si>
  <si>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</si>
  <si>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</si>
  <si>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</si>
  <si>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</si>
  <si>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</si>
  <si>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</si>
  <si>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</si>
  <si>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</si>
  <si>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</si>
  <si>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</si>
  <si>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</si>
  <si>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</si>
  <si>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</si>
  <si>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</si>
  <si>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</si>
  <si>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</si>
  <si>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</si>
  <si>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</si>
  <si>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</si>
  <si>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</si>
  <si>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</si>
  <si>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</si>
  <si>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</si>
  <si>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</si>
  <si>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</si>
  <si>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</si>
  <si>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</si>
  <si>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</si>
  <si>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</si>
  <si>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</si>
  <si>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</si>
  <si>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</si>
  <si>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</si>
  <si>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</si>
  <si>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</si>
  <si>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</si>
  <si>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</si>
  <si>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</si>
  <si>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</si>
  <si>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</si>
  <si>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</si>
  <si>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</si>
  <si>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</si>
  <si>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</si>
  <si>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</si>
  <si>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</si>
  <si>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</si>
  <si>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</si>
  <si>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</si>
  <si>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</si>
  <si>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</si>
  <si>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</si>
  <si>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</si>
  <si>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</si>
  <si>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</si>
  <si>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</si>
  <si>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</si>
  <si>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</si>
  <si>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</si>
  <si>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</si>
  <si>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</si>
  <si>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</si>
  <si>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</si>
  <si>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</si>
  <si>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</si>
  <si>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</si>
  <si>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</si>
  <si>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</si>
  <si>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</si>
  <si>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</si>
  <si>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</si>
  <si>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</si>
  <si>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</si>
  <si>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</si>
  <si>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</si>
  <si>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</si>
  <si>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</si>
  <si>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</si>
  <si>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</si>
  <si>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</si>
  <si>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</si>
  <si>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</si>
  <si>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</si>
  <si>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</si>
  <si>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</si>
  <si>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</si>
  <si>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</si>
  <si>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</si>
  <si>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</si>
  <si>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</si>
  <si>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</si>
  <si>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</si>
  <si>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</si>
  <si>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</si>
  <si>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</si>
  <si>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</si>
  <si>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</si>
  <si>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</si>
  <si>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</si>
  <si>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</si>
  <si>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</si>
  <si>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</si>
  <si>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</si>
  <si>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</si>
  <si>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</si>
  <si>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</si>
  <si>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</si>
  <si>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</si>
  <si>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</si>
  <si>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</si>
  <si>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</si>
  <si>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</si>
  <si>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</si>
  <si>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</si>
  <si>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</si>
  <si>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</si>
  <si>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</si>
  <si>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</si>
  <si>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</si>
  <si>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</si>
  <si>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</si>
  <si>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</si>
  <si>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</si>
  <si>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</si>
  <si>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</si>
  <si>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</si>
  <si>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</si>
  <si>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</si>
  <si>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</si>
  <si>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</si>
  <si>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</si>
  <si>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</si>
  <si>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</si>
  <si>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</si>
  <si>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</si>
  <si>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</si>
  <si>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</si>
  <si>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</si>
  <si>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</si>
  <si>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</si>
  <si>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</si>
  <si>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</si>
  <si>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</si>
  <si>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</si>
  <si>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</si>
  <si>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</si>
  <si>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</si>
  <si>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</si>
  <si>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</si>
  <si>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</si>
  <si>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</si>
  <si>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</si>
  <si>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</si>
  <si>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</si>
  <si>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</si>
  <si>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</si>
  <si>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</si>
  <si>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</si>
  <si>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</si>
  <si>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</si>
  <si>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</si>
  <si>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</si>
  <si>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</si>
  <si>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</si>
  <si>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</si>
  <si>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</si>
  <si>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</si>
  <si>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</si>
  <si>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</si>
  <si>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</si>
  <si>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</si>
  <si>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</si>
  <si>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</si>
  <si>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</si>
  <si>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</si>
  <si>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</si>
  <si>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</si>
  <si>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</si>
  <si>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</si>
  <si>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</si>
  <si>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</si>
  <si>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</si>
  <si>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</si>
  <si>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</si>
  <si>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</si>
  <si>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</si>
  <si>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</si>
  <si>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</si>
  <si>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</si>
  <si>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</si>
  <si>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</si>
  <si>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</si>
  <si>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</si>
  <si>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</si>
  <si>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</si>
  <si>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</si>
  <si>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</si>
  <si>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</si>
  <si>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</si>
  <si>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</si>
  <si>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</si>
  <si>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</si>
  <si>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</si>
  <si>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</si>
  <si>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</si>
  <si>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</si>
  <si>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</si>
  <si>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</si>
  <si>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</si>
  <si>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</si>
  <si>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</si>
  <si>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</si>
  <si>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</si>
  <si>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</si>
  <si>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</si>
  <si>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</si>
  <si>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</si>
  <si>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</si>
  <si>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</si>
  <si>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</si>
  <si>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</si>
  <si>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</si>
  <si>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</si>
  <si>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</si>
  <si>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</si>
  <si>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</si>
  <si>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</si>
  <si>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</si>
  <si>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</si>
  <si>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</si>
  <si>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</si>
  <si>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</si>
  <si>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</si>
  <si>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</si>
  <si>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</si>
  <si>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</si>
  <si>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</si>
  <si>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</si>
  <si>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</si>
  <si>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</si>
  <si>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</si>
  <si>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</si>
  <si>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</si>
  <si>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</si>
  <si>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</si>
  <si>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</si>
  <si>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</si>
  <si>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</si>
  <si>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</si>
  <si>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</si>
  <si>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</si>
  <si>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</si>
  <si>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</si>
  <si>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</si>
  <si>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</si>
  <si>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</si>
  <si>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</si>
  <si>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</si>
  <si>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</si>
  <si>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</si>
  <si>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</si>
  <si>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</si>
  <si>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</si>
  <si>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</si>
  <si>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</si>
  <si>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</si>
  <si>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</si>
  <si>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</si>
  <si>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</si>
  <si>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</si>
  <si>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</si>
  <si>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</si>
  <si>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</si>
  <si>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</si>
  <si>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</si>
  <si>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</si>
  <si>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</si>
  <si>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</si>
  <si>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</si>
  <si>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</si>
  <si>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</si>
  <si>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</si>
  <si>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</si>
  <si>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</si>
  <si>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</si>
  <si>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</si>
  <si>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</si>
  <si>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</si>
  <si>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</si>
  <si>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</si>
  <si>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</si>
  <si>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</si>
  <si>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</si>
  <si>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</si>
  <si>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</si>
  <si>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</si>
  <si>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</si>
  <si>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</si>
  <si>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</si>
  <si>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</si>
  <si>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</si>
  <si>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</si>
  <si>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</si>
  <si>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</si>
  <si>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</si>
  <si>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</si>
  <si>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</si>
  <si>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</si>
  <si>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</si>
  <si>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</si>
  <si>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</si>
  <si>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</si>
  <si>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</si>
  <si>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</si>
  <si>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</si>
  <si>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</si>
  <si>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</si>
  <si>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</si>
  <si>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</si>
  <si>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</si>
  <si>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</si>
  <si>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</si>
  <si>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</si>
  <si>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</si>
  <si>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</si>
  <si>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</si>
  <si>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</si>
  <si>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</si>
  <si>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</si>
  <si>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</si>
  <si>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</si>
  <si>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</si>
  <si>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</si>
  <si>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</si>
  <si>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</si>
  <si>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</si>
  <si>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</si>
  <si>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</si>
  <si>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</si>
  <si>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</si>
  <si>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</si>
  <si>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</si>
  <si>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</si>
  <si>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</si>
  <si>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</si>
  <si>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</si>
  <si>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</si>
  <si>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</si>
  <si>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</si>
  <si>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</si>
  <si>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</si>
  <si>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</si>
  <si>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</si>
  <si>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</si>
  <si>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</si>
  <si>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</si>
  <si>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</si>
  <si>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</si>
  <si>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</si>
  <si>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</si>
  <si>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</si>
  <si>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</si>
  <si>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</si>
  <si>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</si>
  <si>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</si>
  <si>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</si>
  <si>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</si>
  <si>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</si>
  <si>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</si>
  <si>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</si>
  <si>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</si>
  <si>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</si>
  <si>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</si>
  <si>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</si>
  <si>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</si>
  <si>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</si>
  <si>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</si>
  <si>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</si>
  <si>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</si>
  <si>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</si>
  <si>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</si>
  <si>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</si>
  <si>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</si>
  <si>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</si>
  <si>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</si>
  <si>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</si>
  <si>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</si>
  <si>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</si>
  <si>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</si>
  <si>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</si>
  <si>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</si>
  <si>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</si>
  <si>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</si>
  <si>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</si>
  <si>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</si>
  <si>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</si>
  <si>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</si>
  <si>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</si>
  <si>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</si>
  <si>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</si>
  <si>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</si>
  <si>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</si>
  <si>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</si>
  <si>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</si>
  <si>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</si>
  <si>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</si>
  <si>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</si>
  <si>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</si>
  <si>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</si>
  <si>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</si>
  <si>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</si>
  <si>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</si>
  <si>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</si>
  <si>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</si>
  <si>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</si>
  <si>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</si>
  <si>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</si>
  <si>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</si>
  <si>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</si>
  <si>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</si>
  <si>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</si>
  <si>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</si>
  <si>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</si>
  <si>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</si>
  <si>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</si>
  <si>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</si>
  <si>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</si>
  <si>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</si>
  <si>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</si>
  <si>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</si>
  <si>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</si>
  <si>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</si>
  <si>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</si>
  <si>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</si>
  <si>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</si>
  <si>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</si>
  <si>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</si>
  <si>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</si>
  <si>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</si>
  <si>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</si>
  <si>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</si>
  <si>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</si>
  <si>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</si>
  <si>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</si>
  <si>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</si>
  <si>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</si>
  <si>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</si>
  <si>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</si>
  <si>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</si>
  <si>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</si>
  <si>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</si>
  <si>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</si>
  <si>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</si>
  <si>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</si>
  <si>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</si>
  <si>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</si>
  <si>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</si>
  <si>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</si>
  <si>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</si>
  <si>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</si>
  <si>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</si>
  <si>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</si>
  <si>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</si>
  <si>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</si>
  <si>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</si>
  <si>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</si>
  <si>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</si>
  <si>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</si>
  <si>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</si>
  <si>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</si>
  <si>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</si>
  <si>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</si>
  <si>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</si>
  <si>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</si>
  <si>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</si>
  <si>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</si>
  <si>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</si>
  <si>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</si>
  <si>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</si>
  <si>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</si>
  <si>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</si>
  <si>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</si>
  <si>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</si>
  <si>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</si>
  <si>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</si>
  <si>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</si>
  <si>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</si>
  <si>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</si>
  <si>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</si>
  <si>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</si>
  <si>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</si>
  <si>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</si>
  <si>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</si>
  <si>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</si>
  <si>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</si>
  <si>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</si>
  <si>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</si>
  <si>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</si>
  <si>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</si>
  <si>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</si>
  <si>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</si>
  <si>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</si>
  <si>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</si>
  <si>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</si>
  <si>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</si>
  <si>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</si>
  <si>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</si>
  <si>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</si>
  <si>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</si>
  <si>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</si>
  <si>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</si>
  <si>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</si>
  <si>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</si>
  <si>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</si>
  <si>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</si>
  <si>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</si>
  <si>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</si>
  <si>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</si>
  <si>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</si>
  <si>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</si>
  <si>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</si>
  <si>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</si>
  <si>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</si>
  <si>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</si>
  <si>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</si>
  <si>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</si>
  <si>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</si>
  <si>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</si>
  <si>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</si>
  <si>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</si>
  <si>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</si>
  <si>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</si>
  <si>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</si>
  <si>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</si>
  <si>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</si>
  <si>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</si>
  <si>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</si>
  <si>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</si>
  <si>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</si>
  <si>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</si>
  <si>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</si>
  <si>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</si>
  <si>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</si>
  <si>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</si>
  <si>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</si>
  <si>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</si>
  <si>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</si>
  <si>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</si>
  <si>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</si>
  <si>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</si>
  <si>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</si>
  <si>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</si>
  <si>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</si>
  <si>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</si>
  <si>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</si>
  <si>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</si>
  <si>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</si>
  <si>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</si>
  <si>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</si>
  <si>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</si>
  <si>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</si>
  <si>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</si>
  <si>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</si>
  <si>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</si>
  <si>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</si>
  <si>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</si>
  <si>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</si>
  <si>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</si>
  <si>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</si>
  <si>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</si>
  <si>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</si>
  <si>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</si>
  <si>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</si>
  <si>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</si>
  <si>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</si>
  <si>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</si>
  <si>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</si>
  <si>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</si>
  <si>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</si>
  <si>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</si>
  <si>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</si>
  <si>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</si>
  <si>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</si>
  <si>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</si>
  <si>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</si>
  <si>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</si>
  <si>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</si>
  <si>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</si>
  <si>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</si>
  <si>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</si>
  <si>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</si>
  <si>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</si>
  <si>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</si>
  <si>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</si>
  <si>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</si>
  <si>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</si>
  <si>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</si>
  <si>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</si>
  <si>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</si>
  <si>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</si>
  <si>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</si>
  <si>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</si>
  <si>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</si>
  <si>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</si>
  <si>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</si>
  <si>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</si>
  <si>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</si>
  <si>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</si>
  <si>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</si>
  <si>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</si>
  <si>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</si>
  <si>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</si>
  <si>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</si>
  <si>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</si>
  <si>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</si>
  <si>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</si>
  <si>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</si>
  <si>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</si>
  <si>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</si>
  <si>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</si>
  <si>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</si>
  <si>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</si>
  <si>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</si>
  <si>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</si>
  <si>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</si>
  <si>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</si>
  <si>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</si>
  <si>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</si>
  <si>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</si>
  <si>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</si>
  <si>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</si>
  <si>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</si>
  <si>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</si>
  <si>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</si>
  <si>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</si>
  <si>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</si>
  <si>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</si>
  <si>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</si>
  <si>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</si>
  <si>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</si>
  <si>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</si>
  <si>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</si>
  <si>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</si>
  <si>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</si>
  <si>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</si>
  <si>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</si>
  <si>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</si>
  <si>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</si>
  <si>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</si>
  <si>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</si>
  <si>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</si>
  <si>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</si>
  <si>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</si>
  <si>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</si>
  <si>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</si>
  <si>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</si>
  <si>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</si>
  <si>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</si>
  <si>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</si>
  <si>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</si>
  <si>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</si>
  <si>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</si>
  <si>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</si>
  <si>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</si>
  <si>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</si>
  <si>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</si>
  <si>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</si>
  <si>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</si>
  <si>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</si>
  <si>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</si>
  <si>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</si>
  <si>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</si>
  <si>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</si>
  <si>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</si>
  <si>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</si>
  <si>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</si>
  <si>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</si>
  <si>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</si>
  <si>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</si>
  <si>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</si>
  <si>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</si>
  <si>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</si>
  <si>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</si>
  <si>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</si>
  <si>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</si>
  <si>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</si>
  <si>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</si>
  <si>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</si>
  <si>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</si>
  <si>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</si>
  <si>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</si>
  <si>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</si>
  <si>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</si>
  <si>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</si>
  <si>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</si>
  <si>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</si>
  <si>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</si>
  <si>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</si>
  <si>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</si>
  <si>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</si>
  <si>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</si>
  <si>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</si>
  <si>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</si>
  <si>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</si>
  <si>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</si>
  <si>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</si>
  <si>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</si>
  <si>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</si>
  <si>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</si>
  <si>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</si>
  <si>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</si>
  <si>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</si>
  <si>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</si>
  <si>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</si>
  <si>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</si>
  <si>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</si>
  <si>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</si>
  <si>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</si>
  <si>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</si>
  <si>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</si>
  <si>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</si>
  <si>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</si>
  <si>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</si>
  <si>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</si>
  <si>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</si>
  <si>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</si>
  <si>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</si>
  <si>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</si>
  <si>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</si>
  <si>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</si>
  <si>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</si>
  <si>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</si>
  <si>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</si>
  <si>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</si>
  <si>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</si>
  <si>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</si>
  <si>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</si>
  <si>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</si>
  <si>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</si>
  <si>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</si>
  <si>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</si>
  <si>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</si>
  <si>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</si>
  <si>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</si>
  <si>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</si>
  <si>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</si>
  <si>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</si>
  <si>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</si>
  <si>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</si>
  <si>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</si>
  <si>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</si>
  <si>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</si>
  <si>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</si>
  <si>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</si>
  <si>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</si>
  <si>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</si>
  <si>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</si>
  <si>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</si>
  <si>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</si>
  <si>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</si>
  <si>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</si>
  <si>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</si>
  <si>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</si>
  <si>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</si>
  <si>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</si>
  <si>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</si>
  <si>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</si>
  <si>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</si>
  <si>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</si>
  <si>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</si>
  <si>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</si>
  <si>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</si>
  <si>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</si>
  <si>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</si>
  <si>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</si>
  <si>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</si>
  <si>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</si>
  <si>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</si>
  <si>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</si>
  <si>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</si>
  <si>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</si>
  <si>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</si>
  <si>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</si>
  <si>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</si>
  <si>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</si>
  <si>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CSE</t>
  </si>
  <si>
    <t>MTL-SOC-S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</si>
  <si>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</si>
  <si>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</si>
  <si>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</si>
  <si>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</si>
  <si>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</si>
  <si>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</si>
  <si>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</si>
  <si>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</si>
  <si>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</si>
  <si>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</si>
  <si>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</si>
  <si>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</si>
  <si>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</si>
  <si>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</si>
  <si>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</si>
  <si>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</si>
  <si>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</si>
  <si>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</si>
  <si>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Spare_Softstraps_23</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</si>
  <si>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</si>
  <si>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</si>
  <si>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</si>
  <si>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</si>
  <si>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</si>
  <si>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</si>
  <si>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</si>
  <si>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</si>
  <si>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</si>
  <si>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</si>
  <si>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</si>
  <si>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</si>
  <si>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</si>
  <si>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</si>
  <si>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</si>
  <si>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</si>
  <si>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</si>
  <si>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</si>
  <si>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</si>
  <si>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</si>
  <si>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</si>
  <si>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</si>
  <si>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</si>
  <si>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</si>
  <si>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</si>
  <si>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</si>
  <si>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 xml:space="preserve"> SOFTSTRAP1_EN &amp; EMBED_SYS_RS2_OVERWRITE_EN</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</si>
  <si>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</si>
  <si>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</si>
  <si>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</si>
  <si>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</si>
  <si>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</si>
  <si>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</si>
  <si>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</si>
  <si>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</si>
  <si>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</si>
  <si>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</si>
  <si>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</si>
  <si>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Reserved_Softstrap_8</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</si>
  <si>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</si>
  <si>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</si>
  <si>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</si>
  <si>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</si>
  <si>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</si>
  <si>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</si>
  <si>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</si>
  <si>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</si>
  <si>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</si>
  <si>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</si>
  <si>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</si>
  <si>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GSC only ? Confirm with Shalini &amp; Kakeda</t>
  </si>
  <si>
    <t>??</t>
  </si>
  <si>
    <t>IntelHVM Security</t>
  </si>
  <si>
    <t>(16'h6A00)</t>
  </si>
  <si>
    <t xml:space="preserve">This parameter is used to define iKGF TBS attributes for On Die CA. This parameter shows bit size of HVM fuse. 
Current attribute size is 320 bits. When this parameter is set to ‘0’, this HVM fuse is remove. </t>
  </si>
  <si>
    <t>16'h6878</t>
  </si>
  <si>
    <t>16'h6874</t>
  </si>
  <si>
    <t>Rename to PACKAGE_ID to make sure that it’s not repurposed to other usages.</t>
  </si>
  <si>
    <t xml:space="preserve">XiaoYu confirmed </t>
  </si>
  <si>
    <t>16'h6860</t>
  </si>
  <si>
    <t>AR Yaxin: Ask Xiaoyu</t>
  </si>
  <si>
    <t>AR Yaxin: Ask Yanai and Thripthi</t>
  </si>
  <si>
    <t xml:space="preserve">decription for punit. Need for SOC CSE/ESE only, not in PCH </t>
  </si>
  <si>
    <t>16'h6064</t>
  </si>
  <si>
    <t>CSME_Debug_Enabled_Security_Key (in address 16'h6070)</t>
  </si>
  <si>
    <t>16'6044
(16'h6070)</t>
  </si>
  <si>
    <t>Security_Keys_Fuse_Check_Hash</t>
  </si>
  <si>
    <t>CSME_Security_Keys_Fuse_Check_Hash (in address 16'h6068)</t>
  </si>
  <si>
    <t>16'h6040
(16'h6068)</t>
  </si>
  <si>
    <t>Ask Yaxin: Yanai and Thripthi</t>
  </si>
  <si>
    <t>CSME_Security_Keys</t>
  </si>
  <si>
    <t>16'h6000</t>
  </si>
  <si>
    <t>CSE_INTCHK_RSVD_31_28</t>
  </si>
  <si>
    <t>16'h27FF</t>
  </si>
  <si>
    <t>IntelHVM</t>
  </si>
  <si>
    <t>JtagRd, SBRd, JtagWr, SBWr</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</si>
  <si>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</si>
  <si>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</si>
  <si>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</si>
  <si>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</si>
  <si>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</si>
  <si>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</si>
  <si>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</si>
  <si>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</si>
  <si>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</si>
  <si>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</si>
  <si>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</si>
  <si>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</si>
  <si>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</si>
  <si>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</si>
  <si>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</si>
  <si>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</si>
  <si>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</si>
  <si>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</si>
  <si>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</si>
  <si>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</si>
  <si>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</si>
  <si>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</si>
  <si>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</si>
  <si>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</si>
  <si>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</si>
  <si>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</si>
  <si>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JtagRd, SBRd, JtagWr</t>
  </si>
  <si>
    <t>Does this not exist on MTL -M CSME??? Supposed to be relevant to PCH-CSME and SoC-CSE.</t>
  </si>
  <si>
    <t>MTL-M CSME shall be yes as well</t>
  </si>
  <si>
    <r>
      <rPr>
        <sz val="11"/>
        <color rgb="FFFF0000"/>
        <rFont val="Calibri"/>
        <family val="2"/>
        <scheme val="minor"/>
      </rPr>
      <t xml:space="preserve">RSA_SKIP_DISABLED </t>
    </r>
    <r>
      <rPr>
        <strike/>
        <sz val="11"/>
        <color rgb="FFFF0000"/>
        <rFont val="Calibri"/>
        <family val="2"/>
        <scheme val="minor"/>
      </rPr>
      <t xml:space="preserve">
</t>
    </r>
    <r>
      <rPr>
        <sz val="11"/>
        <color rgb="FFFF0000"/>
        <rFont val="Calibri"/>
        <family val="2"/>
        <scheme val="minor"/>
      </rPr>
      <t>(IP_external_ROM_Bypass?)</t>
    </r>
  </si>
  <si>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</si>
  <si>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</si>
  <si>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</si>
  <si>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</si>
  <si>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</si>
  <si>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</si>
  <si>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</si>
  <si>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</si>
  <si>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</si>
  <si>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</si>
  <si>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</si>
  <si>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</si>
  <si>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</si>
  <si>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</si>
  <si>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</si>
  <si>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</si>
  <si>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</si>
  <si>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</si>
  <si>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</si>
  <si>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</si>
  <si>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</si>
  <si>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</si>
  <si>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</si>
  <si>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</si>
  <si>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</si>
  <si>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</si>
  <si>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</si>
  <si>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</si>
  <si>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</si>
  <si>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</si>
  <si>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</si>
  <si>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</si>
  <si>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</si>
  <si>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</si>
  <si>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</si>
  <si>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</si>
  <si>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</si>
  <si>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</si>
  <si>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</si>
  <si>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</si>
  <si>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</si>
  <si>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</si>
  <si>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</si>
  <si>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</si>
  <si>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</si>
  <si>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</si>
  <si>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</si>
  <si>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</si>
  <si>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</si>
  <si>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</si>
  <si>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</si>
  <si>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</si>
  <si>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</si>
  <si>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</si>
  <si>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</si>
  <si>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</si>
  <si>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</si>
  <si>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</si>
  <si>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</si>
  <si>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</si>
  <si>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</si>
  <si>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</si>
  <si>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</si>
  <si>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</si>
  <si>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</si>
  <si>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</si>
  <si>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</si>
  <si>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</si>
  <si>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</si>
  <si>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</si>
  <si>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</si>
  <si>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</si>
  <si>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</si>
  <si>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</si>
  <si>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remove </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</si>
  <si>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</si>
  <si>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</si>
  <si>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</si>
  <si>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</si>
  <si>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</si>
  <si>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</si>
  <si>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</si>
  <si>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</si>
  <si>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</si>
  <si>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</si>
  <si>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</si>
  <si>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</si>
  <si>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</si>
  <si>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</si>
  <si>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</si>
  <si>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</si>
  <si>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</si>
  <si>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</si>
  <si>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</si>
  <si>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</si>
  <si>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</si>
  <si>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</si>
  <si>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</si>
  <si>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</si>
  <si>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</si>
  <si>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</si>
  <si>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</si>
  <si>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</si>
  <si>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</si>
  <si>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</si>
  <si>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</si>
  <si>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</si>
  <si>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</si>
  <si>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</si>
  <si>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</si>
  <si>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</si>
  <si>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</si>
  <si>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</si>
  <si>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</si>
  <si>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no (only for pch)</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</si>
  <si>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</si>
  <si>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</si>
  <si>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</si>
  <si>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</si>
  <si>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</si>
  <si>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</si>
  <si>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</si>
  <si>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</si>
  <si>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</si>
  <si>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</si>
  <si>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</si>
  <si>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</si>
  <si>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</si>
  <si>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</si>
  <si>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</si>
  <si>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</si>
  <si>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</si>
  <si>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</si>
  <si>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</si>
  <si>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</si>
  <si>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</si>
  <si>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</si>
  <si>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</si>
  <si>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</si>
  <si>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</si>
  <si>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</si>
  <si>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</si>
  <si>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</si>
  <si>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</si>
  <si>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</si>
  <si>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</si>
  <si>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</si>
  <si>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</si>
  <si>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</si>
  <si>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</si>
  <si>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</si>
  <si>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</si>
  <si>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</si>
  <si>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</si>
  <si>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</si>
  <si>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</si>
  <si>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</si>
  <si>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</si>
  <si>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</si>
  <si>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</si>
  <si>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</si>
  <si>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</si>
  <si>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</si>
  <si>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</si>
  <si>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</si>
  <si>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</si>
  <si>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</si>
  <si>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</si>
  <si>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</si>
  <si>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</si>
  <si>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</si>
  <si>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</si>
  <si>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</si>
  <si>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</si>
  <si>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</si>
  <si>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</si>
  <si>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</si>
  <si>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</si>
  <si>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HW Arch: Khee Wooi HW arch WG</t>
  </si>
  <si>
    <t>HW design FuseDB: Durgaraju, Chaitanya &lt;chaitanya.durgaraju@intel.com&gt;; Patel, Mohit V &lt;mohit.v.patel@intel.com&gt;; Effendy, Jusak &lt;jusak.effendy@intel.com&gt;</t>
  </si>
  <si>
    <t>FuseBoard/Fuse Controler: Loke, Eng Hong &lt;eng.hong.loke@intel.com&gt;; Naki, Yehudit &lt;yehudit.naki@intel.com&gt;</t>
  </si>
  <si>
    <t>FW/SYS: Kupermann, Eli &lt;eli.kupermann@intel.com&gt;; Berger, Michael &lt;michael.berger@intel.com&gt;; Moyal, Yanai &lt;yanai.moyal@intel.com&gt;; Hod, Bracha &lt;Bracha.Hod@intel.com&gt;; Agranovsky, Elena &lt;elena.agranovsky@intel.com&gt;; Rubin, Hadas &lt;hadas.rubin@intel.com&gt;</t>
  </si>
  <si>
    <r>
      <t>ROM: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</si>
  <si>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t xml:space="preserve">Reviewers </t>
  </si>
  <si>
    <t>PCR/DCN physically removed fuse wire</t>
  </si>
  <si>
    <t>can be  disconnected for the future DCN due to no longer be used for future projects or keep as reserved.</t>
  </si>
  <si>
    <t>reserve : not used but reserve for configuration of furture use</t>
  </si>
  <si>
    <t>in use</t>
  </si>
  <si>
    <t xml:space="preserve"> Notation</t>
  </si>
  <si>
    <t>Configure per project</t>
  </si>
  <si>
    <t>Soft Straps</t>
  </si>
  <si>
    <t>Group 4</t>
  </si>
  <si>
    <t>ROM Security HVM Fuse</t>
  </si>
  <si>
    <t>General ROM/FW HVM fuse</t>
  </si>
  <si>
    <t>ROM/HW Cfg HVM Fuse + HW IFP</t>
  </si>
  <si>
    <t>ROM/FW IFP</t>
  </si>
  <si>
    <t>Notation</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</si>
  <si>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</si>
  <si>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</si>
  <si>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</si>
  <si>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</si>
  <si>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</si>
  <si>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</si>
  <si>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</si>
  <si>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</si>
  <si>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</si>
  <si>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</si>
  <si>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</si>
  <si>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</si>
  <si>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</si>
  <si>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</si>
  <si>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</si>
  <si>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</si>
  <si>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</si>
  <si>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</si>
  <si>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</si>
  <si>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</si>
  <si>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</si>
  <si>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</si>
  <si>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</si>
  <si>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</si>
  <si>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</si>
  <si>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</si>
  <si>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</si>
  <si>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</si>
  <si>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</si>
  <si>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</si>
  <si>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</si>
  <si>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</si>
  <si>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t>(1 &lt;&lt; cse_sram_num_banks) - 1</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</si>
  <si>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</si>
  <si>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</si>
  <si>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</si>
  <si>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</si>
  <si>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</si>
  <si>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</si>
  <si>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</si>
  <si>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</si>
  <si>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</si>
  <si>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</si>
  <si>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</si>
  <si>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</si>
  <si>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</si>
  <si>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</si>
  <si>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</si>
  <si>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</si>
  <si>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</si>
  <si>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</si>
  <si>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</si>
  <si>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</si>
  <si>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</si>
  <si>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</si>
  <si>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</si>
  <si>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</si>
  <si>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</si>
  <si>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</si>
  <si>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</si>
  <si>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</si>
  <si>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</si>
  <si>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</si>
  <si>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</si>
  <si>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</si>
  <si>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</si>
  <si>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</si>
  <si>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</si>
  <si>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</si>
  <si>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</si>
  <si>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Attributes (eg: BOD=True, others=False or others = based on parameter)</t>
  </si>
  <si>
    <t>OCS_INCLUDE_TRNG</t>
  </si>
  <si>
    <t>OCS_FOUNDRY_PUF_ENABLE</t>
  </si>
  <si>
    <t>TRNG_ZEROIZE_EN</t>
  </si>
  <si>
    <t xml:space="preserve">SpareFuse </t>
  </si>
  <si>
    <t xml:space="preserve">N/A </t>
  </si>
  <si>
    <t xml:space="preserve">Reserved
</t>
  </si>
  <si>
    <t xml:space="preserve">JtagWr , SBWr </t>
  </si>
  <si>
    <t>Attributes (eg: BOD=True, others=False )</t>
  </si>
  <si>
    <t xml:space="preserve"> 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</si>
  <si>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</si>
  <si>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</si>
  <si>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</si>
  <si>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</si>
  <si>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</si>
  <si>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</si>
  <si>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</si>
  <si>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</si>
  <si>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</si>
  <si>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</si>
  <si>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</si>
  <si>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</si>
  <si>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</si>
  <si>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</si>
  <si>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</si>
  <si>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</si>
  <si>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</si>
  <si>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</si>
  <si>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</si>
  <si>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</si>
  <si>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</si>
  <si>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</si>
  <si>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</si>
  <si>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</si>
  <si>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</si>
  <si>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</si>
  <si>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</si>
  <si>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</si>
  <si>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</si>
  <si>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</si>
  <si>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</si>
  <si>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</si>
  <si>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</si>
  <si>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</si>
  <si>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</si>
  <si>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</si>
  <si>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</si>
  <si>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PCR/DCN physically removed fuse wire and the Fuse has been deprecated.
And only exists in this spreadsheet to show the previous SOCs which use that fuse.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</si>
  <si>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</si>
  <si>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</si>
  <si>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This parameter is used to define if the FW_CONFIG_FUSES are overridable. If this is set to 1 then FW_config_fuses are overridable through SB write to the Fuse Controller.</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</si>
  <si>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</si>
  <si>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</si>
  <si>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</si>
  <si>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 xml:space="preserve">JtagWr, SBWr </t>
  </si>
  <si>
    <t>JtagWr, SBWr==(FW_CONFIG_FUSE_OWR_EN ? True : false)</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</si>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</sst>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s>
  <fills count="3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s>
  <borders count="80">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top style="thin">
        <color auto="1"/>
      </top>
      <bottom style="medium">
        <color indexed="64"/>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right style="thick">
        <color indexed="64"/>
      </right>
      <top/>
      <bottom/>
      <diagonal/>
    </border>
    <border>
      <left style="thick">
        <color indexed="64"/>
      </left>
      <right/>
      <top style="thin">
        <color indexed="64"/>
      </top>
      <bottom style="thick">
        <color indexed="64"/>
      </bottom>
      <diagonal/>
    </border>
    <border>
      <left/>
      <right style="thick">
        <color indexed="64"/>
      </right>
      <top style="thin">
        <color indexed="64"/>
      </top>
      <bottom style="thick">
        <color indexed="64"/>
      </bottom>
      <diagonal/>
    </border>
  </borders>
  <cellStyleXfs count="1">
    <xf numFmtId="0" fontId="0" fillId="0" borderId="0"/>
  </cellStyleXfs>
  <cellXfs count="528">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0" fillId="19" borderId="2" xfId="0"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0" borderId="15" xfId="0" applyBorder="1" applyAlignment="1">
      <alignment vertical="top" wrapText="1"/>
    </xf>
    <xf numFmtId="0" fontId="0" fillId="0" borderId="67" xfId="0" applyBorder="1" applyAlignment="1">
      <alignment vertical="top" wrapText="1"/>
    </xf>
    <xf numFmtId="0" fontId="0" fillId="0" borderId="14" xfId="0" applyBorder="1" applyAlignment="1">
      <alignment vertical="top" wrapText="1"/>
    </xf>
    <xf numFmtId="0" fontId="0" fillId="0" borderId="14" xfId="0" applyBorder="1" applyAlignment="1">
      <alignment horizontal="left" vertical="top" wrapText="1"/>
    </xf>
    <xf numFmtId="0" fontId="0" fillId="0" borderId="14" xfId="0" applyBorder="1" applyAlignment="1">
      <alignment wrapText="1"/>
    </xf>
    <xf numFmtId="0" fontId="0" fillId="0" borderId="13" xfId="0" applyBorder="1" applyAlignment="1">
      <alignmen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center" vertical="top" wrapText="1"/>
    </xf>
    <xf numFmtId="0" fontId="0" fillId="20" borderId="2" xfId="0" applyFill="1" applyBorder="1" applyAlignment="1">
      <alignment horizontal="center" vertical="top" wrapText="1"/>
    </xf>
    <xf numFmtId="0" fontId="0" fillId="20" borderId="11" xfId="0" applyFill="1" applyBorder="1" applyAlignment="1">
      <alignment horizontal="left" vertical="top" wrapText="1"/>
    </xf>
    <xf numFmtId="0" fontId="6" fillId="21" borderId="2" xfId="0" applyFont="1" applyFill="1" applyBorder="1" applyAlignment="1">
      <alignment vertical="top" wrapText="1"/>
    </xf>
    <xf numFmtId="0" fontId="0" fillId="6" borderId="7"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6" fillId="20" borderId="2" xfId="0" applyFont="1" applyFill="1" applyBorder="1" applyAlignment="1">
      <alignmen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0" fillId="6"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2" borderId="12" xfId="0" applyFill="1" applyBorder="1" applyAlignment="1">
      <alignment vertical="top" wrapText="1"/>
    </xf>
    <xf numFmtId="0" fontId="6" fillId="22" borderId="2" xfId="0" applyFont="1" applyFill="1" applyBorder="1" applyAlignment="1">
      <alignment horizontal="left" vertical="top" wrapText="1"/>
    </xf>
    <xf numFmtId="0" fontId="0" fillId="22" borderId="2" xfId="0" applyFill="1" applyBorder="1" applyAlignment="1">
      <alignment vertical="top" wrapText="1"/>
    </xf>
    <xf numFmtId="0" fontId="0" fillId="22" borderId="2" xfId="0" applyFill="1" applyBorder="1" applyAlignment="1">
      <alignment horizontal="left" vertical="top" wrapText="1"/>
    </xf>
    <xf numFmtId="0" fontId="0" fillId="22" borderId="34" xfId="0" applyFill="1" applyBorder="1" applyAlignment="1">
      <alignment vertical="top" wrapText="1"/>
    </xf>
    <xf numFmtId="0" fontId="0" fillId="22" borderId="2" xfId="0" applyFill="1" applyBorder="1" applyAlignment="1">
      <alignment horizontal="center" vertical="top" wrapText="1"/>
    </xf>
    <xf numFmtId="0" fontId="0" fillId="22" borderId="11" xfId="0" applyFill="1" applyBorder="1" applyAlignment="1">
      <alignment horizontal="left" vertical="top" wrapText="1"/>
    </xf>
    <xf numFmtId="0" fontId="0" fillId="22" borderId="43" xfId="0" applyFill="1" applyBorder="1" applyAlignment="1">
      <alignment vertical="top" wrapText="1"/>
    </xf>
    <xf numFmtId="0" fontId="0" fillId="22" borderId="27" xfId="0" applyFill="1" applyBorder="1" applyAlignment="1">
      <alignment vertical="top" wrapText="1"/>
    </xf>
    <xf numFmtId="0" fontId="5" fillId="22" borderId="2" xfId="0" applyFont="1" applyFill="1" applyBorder="1" applyAlignment="1">
      <alignment horizontal="left" vertical="top" wrapText="1"/>
    </xf>
    <xf numFmtId="0" fontId="6" fillId="22" borderId="2" xfId="0" applyFont="1" applyFill="1" applyBorder="1" applyAlignment="1">
      <alignment horizontal="center"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43"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9" borderId="11" xfId="0" applyFill="1" applyBorder="1" applyAlignment="1">
      <alignment horizontal="left" vertical="top" wrapText="1"/>
    </xf>
    <xf numFmtId="0" fontId="0" fillId="9" borderId="27" xfId="0" applyFill="1" applyBorder="1" applyAlignment="1">
      <alignment vertical="top" wrapText="1"/>
    </xf>
    <xf numFmtId="0" fontId="6" fillId="9" borderId="2" xfId="0" applyFont="1" applyFill="1" applyBorder="1" applyAlignment="1">
      <alignment horizontal="center" vertical="top" wrapText="1"/>
    </xf>
    <xf numFmtId="0" fontId="0" fillId="9" borderId="25" xfId="0" applyFill="1" applyBorder="1" applyAlignment="1">
      <alignmen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20" fillId="5" borderId="2" xfId="0" applyFont="1" applyFill="1" applyBorder="1" applyAlignment="1">
      <alignment horizontal="left"/>
    </xf>
    <xf numFmtId="0" fontId="21" fillId="5" borderId="2" xfId="0" applyFont="1" applyFill="1" applyBorder="1" applyAlignment="1">
      <alignment horizontal="left" vertical="top" wrapText="1"/>
    </xf>
    <xf numFmtId="0" fontId="0" fillId="5" borderId="11" xfId="0" applyFill="1" applyBorder="1" applyAlignment="1">
      <alignment horizontal="left" vertical="top" wrapText="1"/>
    </xf>
    <xf numFmtId="0" fontId="30" fillId="5" borderId="2" xfId="0" applyFont="1" applyFill="1" applyBorder="1" applyAlignment="1">
      <alignment vertical="top" wrapText="1"/>
    </xf>
    <xf numFmtId="0" fontId="23" fillId="5" borderId="2" xfId="0" applyFont="1" applyFill="1" applyBorder="1" applyAlignment="1">
      <alignment horizontal="left"/>
    </xf>
    <xf numFmtId="0" fontId="20" fillId="5" borderId="2" xfId="0" applyFont="1" applyFill="1" applyBorder="1" applyAlignment="1">
      <alignment horizontal="left" vertical="top" wrapText="1"/>
    </xf>
    <xf numFmtId="0" fontId="0" fillId="5" borderId="11" xfId="0" applyFill="1" applyBorder="1" applyAlignment="1">
      <alignment vertical="top" wrapText="1"/>
    </xf>
    <xf numFmtId="0" fontId="23" fillId="5" borderId="1" xfId="0" applyFont="1" applyFill="1" applyBorder="1" applyAlignment="1">
      <alignment horizontal="left"/>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8"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11" fillId="5" borderId="2" xfId="0" applyFont="1" applyFill="1" applyBorder="1" applyAlignment="1">
      <alignment vertical="top" wrapText="1"/>
    </xf>
    <xf numFmtId="0" fontId="5" fillId="5" borderId="2" xfId="0" applyFont="1" applyFill="1" applyBorder="1" applyAlignment="1">
      <alignment horizontal="left" vertical="top" wrapText="1"/>
    </xf>
    <xf numFmtId="0" fontId="0" fillId="6" borderId="7" xfId="0" applyFill="1" applyBorder="1" applyAlignment="1">
      <alignment vertical="top" wrapText="1"/>
    </xf>
    <xf numFmtId="0" fontId="5" fillId="5" borderId="2" xfId="0" applyFont="1" applyFill="1" applyBorder="1" applyAlignment="1">
      <alignment vertical="top" wrapText="1"/>
    </xf>
    <xf numFmtId="0" fontId="30" fillId="6" borderId="7" xfId="0" applyFont="1" applyFill="1" applyBorder="1" applyAlignment="1">
      <alignment horizontal="left" vertical="top"/>
    </xf>
    <xf numFmtId="0" fontId="30" fillId="5" borderId="2" xfId="0" applyFont="1" applyFill="1" applyBorder="1" applyAlignment="1">
      <alignment horizontal="left" vertical="top"/>
    </xf>
    <xf numFmtId="0" fontId="0" fillId="8" borderId="12" xfId="0" applyFill="1" applyBorder="1" applyAlignment="1">
      <alignment vertical="top" wrapText="1"/>
    </xf>
    <xf numFmtId="0" fontId="0" fillId="8" borderId="2" xfId="0" applyFill="1" applyBorder="1" applyAlignment="1">
      <alignment horizontal="left" vertical="top" wrapText="1"/>
    </xf>
    <xf numFmtId="0" fontId="6" fillId="8" borderId="2" xfId="0" applyFont="1" applyFill="1" applyBorder="1" applyAlignment="1">
      <alignment horizontal="left" vertical="top" wrapText="1"/>
    </xf>
    <xf numFmtId="0" fontId="0" fillId="19" borderId="2" xfId="0" applyFill="1" applyBorder="1" applyAlignment="1">
      <alignment vertical="top" wrapText="1"/>
    </xf>
    <xf numFmtId="0" fontId="0" fillId="19" borderId="2" xfId="0" applyFill="1" applyBorder="1" applyAlignment="1">
      <alignment horizontal="left" vertical="top" wrapText="1"/>
    </xf>
    <xf numFmtId="0" fontId="0" fillId="8" borderId="2" xfId="0" applyFill="1" applyBorder="1" applyAlignment="1">
      <alignment vertical="top" wrapText="1"/>
    </xf>
    <xf numFmtId="0" fontId="0" fillId="19" borderId="2" xfId="0" applyFill="1" applyBorder="1" applyAlignment="1">
      <alignment horizontal="center" vertical="top" wrapText="1"/>
    </xf>
    <xf numFmtId="0" fontId="5" fillId="19" borderId="2" xfId="0" applyFont="1" applyFill="1" applyBorder="1" applyAlignment="1">
      <alignment horizontal="left" vertical="top" wrapText="1"/>
    </xf>
    <xf numFmtId="0" fontId="20" fillId="8" borderId="2" xfId="0" applyFont="1" applyFill="1" applyBorder="1" applyAlignment="1">
      <alignment horizontal="left"/>
    </xf>
    <xf numFmtId="0" fontId="21" fillId="8" borderId="2" xfId="0" applyFont="1" applyFill="1" applyBorder="1" applyAlignment="1">
      <alignment horizontal="left" vertical="top" wrapText="1"/>
    </xf>
    <xf numFmtId="0" fontId="6" fillId="0" borderId="0" xfId="0" applyFont="1" applyAlignment="1">
      <alignment vertical="top" wrapText="1"/>
    </xf>
    <xf numFmtId="0" fontId="0" fillId="19" borderId="12" xfId="0" applyFill="1" applyBorder="1" applyAlignment="1">
      <alignment vertical="top" wrapText="1"/>
    </xf>
    <xf numFmtId="0" fontId="20" fillId="19" borderId="2" xfId="0" applyFont="1" applyFill="1" applyBorder="1" applyAlignment="1">
      <alignment horizontal="left" vertical="top" wrapText="1"/>
    </xf>
    <xf numFmtId="0" fontId="0" fillId="11" borderId="11" xfId="0" applyFill="1" applyBorder="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20" fillId="11" borderId="2" xfId="0" applyFont="1" applyFill="1" applyBorder="1" applyAlignment="1">
      <alignment horizontal="left" vertical="top" wrapText="1"/>
    </xf>
    <xf numFmtId="0" fontId="0" fillId="11" borderId="11" xfId="0" applyFill="1" applyBorder="1" applyAlignment="1">
      <alignment horizontal="left"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64" xfId="0" applyFont="1" applyBorder="1" applyAlignment="1">
      <alignment wrapText="1"/>
    </xf>
    <xf numFmtId="0" fontId="32" fillId="0" borderId="10" xfId="0" applyFont="1" applyBorder="1" applyAlignment="1">
      <alignment horizontal="left" vertical="top" wrapText="1"/>
    </xf>
    <xf numFmtId="0" fontId="33" fillId="7" borderId="53" xfId="0" applyFont="1" applyFill="1" applyBorder="1" applyAlignment="1">
      <alignment vertical="center" wrapText="1"/>
    </xf>
    <xf numFmtId="0" fontId="33" fillId="7" borderId="9" xfId="0" applyFont="1" applyFill="1" applyBorder="1" applyAlignment="1">
      <alignment vertical="center" wrapText="1"/>
    </xf>
    <xf numFmtId="0" fontId="33" fillId="7" borderId="9" xfId="0" applyFont="1" applyFill="1" applyBorder="1" applyAlignment="1">
      <alignment horizontal="left" vertical="center" wrapText="1"/>
    </xf>
    <xf numFmtId="0" fontId="33" fillId="7" borderId="9" xfId="0" applyFont="1" applyFill="1" applyBorder="1" applyAlignment="1">
      <alignment vertical="top" wrapText="1"/>
    </xf>
    <xf numFmtId="0" fontId="33" fillId="7" borderId="8" xfId="0" applyFont="1" applyFill="1" applyBorder="1" applyAlignment="1">
      <alignment vertical="center"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69" xfId="0" applyBorder="1" applyAlignment="1">
      <alignment vertical="top" wrapText="1"/>
    </xf>
    <xf numFmtId="0" fontId="0" fillId="0" borderId="70" xfId="0" applyBorder="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4" xfId="0" applyBorder="1" applyAlignment="1">
      <alignment horizontal="left" vertical="top" wrapText="1"/>
    </xf>
    <xf numFmtId="0" fontId="0" fillId="0" borderId="73" xfId="0" applyBorder="1" applyAlignment="1">
      <alignment wrapText="1"/>
    </xf>
    <xf numFmtId="0" fontId="0" fillId="0" borderId="74" xfId="0" applyBorder="1" applyAlignment="1">
      <alignment horizontal="left" vertical="center" wrapText="1"/>
    </xf>
    <xf numFmtId="0" fontId="31" fillId="0" borderId="75" xfId="0" applyFont="1" applyBorder="1" applyAlignment="1">
      <alignment horizontal="left" vertical="top"/>
    </xf>
    <xf numFmtId="0" fontId="31" fillId="0" borderId="76" xfId="0" applyFont="1" applyBorder="1" applyAlignment="1">
      <alignment wrapText="1"/>
    </xf>
    <xf numFmtId="0" fontId="0" fillId="0" borderId="69" xfId="0" applyBorder="1" applyAlignment="1">
      <alignment horizontal="left" vertical="top"/>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1" fillId="0" borderId="73" xfId="0" applyFont="1" applyBorder="1" applyAlignment="1">
      <alignment vertical="center"/>
    </xf>
    <xf numFmtId="0" fontId="0" fillId="0" borderId="74" xfId="0" applyBorder="1" applyAlignment="1">
      <alignment wrapText="1"/>
    </xf>
    <xf numFmtId="0" fontId="0" fillId="0" borderId="73" xfId="0" applyBorder="1" applyAlignment="1">
      <alignment horizontal="left" vertical="top"/>
    </xf>
    <xf numFmtId="0" fontId="0" fillId="0" borderId="74"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7" fillId="9" borderId="11" xfId="0" applyFont="1" applyFill="1" applyBorder="1" applyAlignment="1">
      <alignment wrapText="1"/>
    </xf>
    <xf numFmtId="0" fontId="36" fillId="0" borderId="0" xfId="0" applyFont="1" applyAlignment="1">
      <alignment wrapText="1"/>
    </xf>
    <xf numFmtId="0" fontId="7" fillId="23" borderId="11" xfId="0" applyFont="1" applyFill="1" applyBorder="1" applyAlignment="1">
      <alignment wrapText="1"/>
    </xf>
    <xf numFmtId="0" fontId="7" fillId="11" borderId="11" xfId="0" applyFont="1" applyFill="1" applyBorder="1" applyAlignment="1">
      <alignment wrapText="1"/>
    </xf>
    <xf numFmtId="0" fontId="31" fillId="0" borderId="10" xfId="0" applyFont="1" applyBorder="1" applyAlignment="1">
      <alignment wrapText="1"/>
    </xf>
    <xf numFmtId="0" fontId="31" fillId="0" borderId="8" xfId="0" applyFont="1" applyBorder="1" applyAlignment="1">
      <alignment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4" borderId="2" xfId="0" applyFill="1" applyBorder="1"/>
    <xf numFmtId="0" fontId="0" fillId="5" borderId="2" xfId="0" applyFill="1" applyBorder="1" applyAlignment="1">
      <alignment wrapText="1"/>
    </xf>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5" borderId="2" xfId="0" applyFont="1" applyFill="1" applyBorder="1" applyAlignment="1">
      <alignment vertical="center" wrapText="1"/>
    </xf>
    <xf numFmtId="0" fontId="1" fillId="26" borderId="2" xfId="0" applyFont="1" applyFill="1" applyBorder="1" applyAlignment="1">
      <alignment vertical="center" wrapText="1"/>
    </xf>
    <xf numFmtId="0" fontId="1" fillId="25" borderId="2" xfId="0" applyFont="1" applyFill="1" applyBorder="1" applyAlignment="1">
      <alignment horizontal="center" vertical="center" wrapText="1"/>
    </xf>
    <xf numFmtId="0" fontId="6" fillId="25" borderId="2" xfId="0" applyFont="1" applyFill="1" applyBorder="1" applyAlignment="1">
      <alignment vertical="center" wrapText="1"/>
    </xf>
    <xf numFmtId="0" fontId="30" fillId="27" borderId="2" xfId="0" applyFont="1" applyFill="1" applyBorder="1"/>
    <xf numFmtId="0" fontId="0" fillId="27" borderId="2" xfId="0" applyFill="1" applyBorder="1"/>
    <xf numFmtId="0" fontId="6" fillId="8" borderId="4" xfId="0" applyFont="1" applyFill="1" applyBorder="1"/>
    <xf numFmtId="0" fontId="0" fillId="28"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2"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2"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0" fillId="5" borderId="7" xfId="0" applyFill="1" applyBorder="1" applyAlignment="1">
      <alignment horizontal="left" vertical="top" wrapText="1"/>
    </xf>
    <xf numFmtId="0" fontId="0" fillId="20" borderId="7" xfId="0"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5" borderId="2" xfId="0" applyFont="1" applyFill="1" applyBorder="1" applyAlignment="1">
      <alignment vertical="center" wrapText="1"/>
    </xf>
    <xf numFmtId="0" fontId="5" fillId="5"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2" borderId="2" xfId="0" applyFont="1" applyFill="1" applyBorder="1" applyAlignment="1">
      <alignment vertical="top" wrapText="1"/>
    </xf>
    <xf numFmtId="0" fontId="5" fillId="20" borderId="7" xfId="0" applyFont="1" applyFill="1" applyBorder="1" applyAlignment="1">
      <alignment horizontal="left" vertical="top" wrapText="1"/>
    </xf>
    <xf numFmtId="0" fontId="5" fillId="6" borderId="7" xfId="0" applyFont="1" applyFill="1" applyBorder="1" applyAlignment="1">
      <alignment horizontal="left" vertical="top" wrapText="1"/>
    </xf>
    <xf numFmtId="0" fontId="5" fillId="29" borderId="7" xfId="0" applyFont="1" applyFill="1" applyBorder="1" applyAlignment="1">
      <alignment vertical="top" wrapText="1"/>
    </xf>
    <xf numFmtId="0" fontId="5" fillId="29" borderId="7" xfId="0" applyFont="1" applyFill="1" applyBorder="1" applyAlignment="1">
      <alignment horizontal="left" vertical="top" wrapText="1"/>
    </xf>
    <xf numFmtId="0" fontId="5" fillId="0" borderId="67" xfId="0" applyFont="1" applyBorder="1" applyAlignment="1">
      <alignment vertical="top" wrapText="1"/>
    </xf>
    <xf numFmtId="0" fontId="0" fillId="5" borderId="0" xfId="0" applyFill="1"/>
    <xf numFmtId="0" fontId="5" fillId="20" borderId="2" xfId="0" applyFont="1" applyFill="1" applyBorder="1" applyAlignment="1">
      <alignment vertical="top" wrapText="1"/>
    </xf>
    <xf numFmtId="0" fontId="5" fillId="25" borderId="3" xfId="0" applyFont="1" applyFill="1" applyBorder="1" applyAlignment="1">
      <alignment vertical="center" wrapText="1"/>
    </xf>
    <xf numFmtId="0" fontId="0" fillId="5" borderId="2" xfId="0" applyFill="1" applyBorder="1" applyAlignment="1">
      <alignment vertical="center"/>
    </xf>
    <xf numFmtId="0" fontId="0" fillId="0" borderId="71" xfId="0" applyBorder="1" applyAlignment="1">
      <alignment vertical="top" wrapText="1"/>
    </xf>
    <xf numFmtId="0" fontId="0" fillId="0" borderId="77" xfId="0" applyBorder="1" applyAlignment="1">
      <alignment wrapText="1"/>
    </xf>
    <xf numFmtId="0" fontId="0" fillId="0" borderId="78" xfId="0" applyBorder="1" applyAlignment="1">
      <alignment horizontal="left" vertical="top" wrapText="1"/>
    </xf>
    <xf numFmtId="0" fontId="0" fillId="0" borderId="79" xfId="0" applyBorder="1"/>
    <xf numFmtId="0" fontId="0" fillId="0" borderId="4" xfId="0" applyFill="1" applyBorder="1" applyAlignment="1">
      <alignment wrapText="1"/>
    </xf>
    <xf numFmtId="0" fontId="0" fillId="0" borderId="0" xfId="0" applyFill="1" applyAlignment="1">
      <alignment wrapText="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1">
    <cellStyle name="Normal" xfId="0" builtinId="0"/>
  </cellStyles>
  <dxfs count="711">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indexed="64"/>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586740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32:Z231" totalsRowShown="0" headerRowDxfId="659" dataDxfId="657" headerRowBorderDxfId="658">
  <autoFilter ref="C32:Z231" xr:uid="{5AC71680-DE96-4D5C-A1F5-D9F97567B45C}">
    <filterColumn colId="19">
      <filters>
        <filter val="yes"/>
      </filters>
    </filterColumn>
  </autoFilter>
  <tableColumns count="24">
    <tableColumn id="1" xr3:uid="{9EDAF894-8331-4743-94F4-7A2C61AEC0A1}" name="Fuse Registers" dataDxfId="656"/>
    <tableColumn id="2" xr3:uid="{56080C49-2132-4BBC-BD70-66605F446E4C}" name="Fuse name" dataDxfId="655"/>
    <tableColumn id="3" xr3:uid="{82A3AB6F-2E1A-4461-9A3C-6FFC945FECF1}" name="Parameter" dataDxfId="654"/>
    <tableColumn id="4" xr3:uid="{BB2BCB78-F408-4B6B-921B-9C4173134BF7}" name="Attributes (eg: BOD=True, others=False or others = based on parameter)" dataDxfId="653"/>
    <tableColumn id="21" xr3:uid="{D7EDDA1C-9A33-4016-9C63-467315747559}" name="Default" dataDxfId="652"/>
    <tableColumn id="20" xr3:uid="{38861B6B-B95F-422E-A032-993645580F06}" name="Category" dataDxfId="651"/>
    <tableColumn id="5" xr3:uid="{3F162C8D-1B65-4512-AE9E-472563802795}" name="Group" dataDxfId="650"/>
    <tableColumn id="6" xr3:uid="{DA79B23D-5FE0-43F6-829B-8D575A2A0C4E}" name="Bit Width" dataDxfId="649"/>
    <tableColumn id="7" xr3:uid="{511BA9F9-3C6B-4C63-866D-52DFBC8525D9}" name="Receiver Addr" dataDxfId="648"/>
    <tableColumn id="18" xr3:uid="{87197C3F-A42F-4DDA-864A-968D83B48D5E}" name="Descriptions " dataDxfId="647"/>
    <tableColumn id="11" xr3:uid="{2C3BC7C9-07FC-405D-8BC0-ED6E89154F90}" name="ADP-S_x000a_(Kaizen Sheet)" dataDxfId="646"/>
    <tableColumn id="8" xr3:uid="{27226D23-4345-4FE7-A41C-5F515779B1C4}" name="MTL-M CSME _x000a_(Kaizen Sheet)" dataDxfId="645"/>
    <tableColumn id="10" xr3:uid="{BF367567-B609-4EB6-BD3D-80CCCDD3DB11}" name="MTL-M ESE _x000a_(Kaizen Sheet)" dataDxfId="644"/>
    <tableColumn id="14" xr3:uid="{EDC8F3D1-15DA-47B8-B419-42C2ECC31D0B}" name="MTP-PCH-S CSME" dataDxfId="643"/>
    <tableColumn id="15" xr3:uid="{51424B1A-17A0-415B-A62E-161C9907ADD7}" name="MTP-PCH-S ESE" dataDxfId="642"/>
    <tableColumn id="17" xr3:uid="{D0DEA104-7BF8-4527-AC3F-3B36CA6A520B}" name="MTL-SOC-S CSE" dataDxfId="641"/>
    <tableColumn id="16" xr3:uid="{3C0A934E-AC5E-4047-B641-7E684018856A}" name="MTL-SOC-S ESE" dataDxfId="640"/>
    <tableColumn id="22" xr3:uid="{06D8154B-4A39-45E2-9FE6-D860FF964ED3}" name="MTL-SOC-S ESE++" dataDxfId="639"/>
    <tableColumn id="25" xr3:uid="{E605F94B-9624-4919-BDD6-32E7668D22F8}" name="Elasti CSC" dataDxfId="638"/>
    <tableColumn id="24" xr3:uid="{D7D9443C-8A8B-4604-A120-9101A4A030AD}" name="Elasti GSC " dataDxfId="637"/>
    <tableColumn id="9" xr3:uid="{025D42BA-8D40-4BF5-A107-32DA8E79D40E}" name="Note" dataDxfId="636"/>
    <tableColumn id="12" xr3:uid="{B4A9B220-D9C2-414A-A890-9AF9449678C0}" name="MB Comment (8/31)" dataDxfId="635"/>
    <tableColumn id="13" xr3:uid="{5BD9F532-FB37-48F7-8624-F84F895D40F2}" name="ELI Comment (8/31)" dataDxfId="634"/>
    <tableColumn id="19" xr3:uid="{8A21F9C7-D960-4B70-90D2-F1220CE4D69C}" name="yanai (9/1)" dataDxfId="633"/>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2D5FBDE-3E72-4FB9-86D6-70F4D0E6507D}" name="Table13" displayName="Table13" ref="C32:X231" totalsRowShown="0" headerRowDxfId="582" dataDxfId="580" headerRowBorderDxfId="581">
  <autoFilter ref="C32:X231" xr:uid="{5AC71680-DE96-4D5C-A1F5-D9F97567B45C}">
    <filterColumn colId="2">
      <filters blank="1">
        <filter val="!PARAM_INT_IFP_TRIPLE_RDD_DIS &amp; OEM_SECRET_KEY_FUSES_LIMIT"/>
        <filter val="!PARAM_INT_IFP_TRIPLE_RDD_DIS &amp; TRC_PRESENT"/>
        <filter val="BADIMAGE_FLOW_EN"/>
        <filter val="BOOT_DEV_CTRL_EN"/>
        <filter val="BTG_CTRL_EN"/>
        <filter val="CLEAN_DATA_ON_ERROR"/>
        <filter val="CONFIG_OCS_DISABLE_GKEY0"/>
        <filter val="CONFIG_OCS_DISABLE_GKEY2"/>
        <filter val="CONFIG_OCS_KEY_LOCKER_ENABLE"/>
        <filter val="cse_sram_num_banks"/>
        <filter val="DCMI_CTRL_EN"/>
        <filter val="Debug_Enabled_Encryption_Key"/>
        <filter val="Debug_Enabled_Security_Key"/>
        <filter val="DSWRAM_EN"/>
        <filter val="ECC_P384_ONDIE_CERT_ATTRIBUTE"/>
        <filter val="ECC_P384_ONDIE_ROM_CERT"/>
        <filter val="EXT_FUSE_PULL_SUPP"/>
        <filter val="FB_MODEL_ID"/>
        <filter val="FB_PLATFORM_ID"/>
        <filter val="FB_STEPPING_ID"/>
        <filter val="from ADP-S Fuse Kaigen Sheet, no parametr"/>
        <filter val="from MTL-M Fuse Kaigen, no parameter"/>
        <filter val="FUSA_DIAG_FEATURE_EN"/>
        <filter val="FUSE_BASED_PATCH_DIS &amp; !SAMSUNG_PUF_CONFIG_EN"/>
        <filter val="FW_CONFIG_FUSES"/>
        <filter val="FW_Fuses_Valid"/>
        <filter val="FW_IFP_GENERAL"/>
        <filter val="GENERAL_FW_FUSES_CHECK"/>
        <filter val="HSIO_SKU_EN"/>
        <filter val="HW_OCS_PUF_ECC"/>
        <filter val="ICC_SKU_EN"/>
        <filter val="ICLS_CTRL_EN"/>
        <filter val="IFP_DIS_CTRL"/>
        <filter val="IFWI_LAYOUT_1_5_EN &amp; !SAMSUNG_PUF_CONFIG_EN"/>
        <filter val="in MTL-M Fuse Kaigen sheet 16'h8002,  16'h8006  in group page under GSK_SW_STRAP"/>
        <filter val="INCLUDE_MROM"/>
        <filter val="IP_SKU_Fuse_6_NET_INFRA_MODE"/>
        <filter val="ISH_DIS_CTRL"/>
        <filter val="MNG_APP_DIS_CTRL"/>
        <filter val="NFC_DIS_CTRL"/>
        <filter val="NM2_0_DIS_CTRL"/>
        <filter val="No Param_x000a_(from ADP-S Fuse RDL not in group page)"/>
        <filter val="OEM_IFP_DIS_CTRL"/>
        <filter val="OEM_SECRET_KEY_FUSES_LIMIT"/>
        <filter val="PAVP_2_0_DIS_CTRL"/>
        <filter val="Platform_Halt_En"/>
        <filter val="PMC_IPC_BOOT_SRVS_MSG"/>
        <filter val="PTT_DIS_CTRL"/>
        <filter val="RF_FUSE_INT_PULL"/>
        <filter val="RMT_WAKE_DIS_CTRL"/>
        <filter val="ROM_BYPASS_AUTHENTICATION_SUPPORT"/>
        <filter val="ROM_DNX_CAP_DIS_CTRL"/>
        <filter val="ROM_INT_FUSE_PULL"/>
        <filter val="ROMB_OEM_Unlock"/>
        <filter val="RPMB_REUSE_DIS_CTRL"/>
        <filter val="SAMSUNG_PUF_CONFIG_EN"/>
        <filter val="Security_Fuses_Valid"/>
        <filter val="Security_Keys"/>
        <filter val="Security_Keys_fuse_Check_Hash"/>
        <filter val="SOC_PM_GRST_CTRL"/>
        <filter val="SOC_PM_M3_EN"/>
        <filter val="SOFTSTRAP0_EN"/>
        <filter val="SOFTSTRAP0_EN &amp; BOOT_DEV_CTRL_EN"/>
        <filter val="SOFTSTRAP0_EN &amp; INCLUDE_MROM"/>
        <filter val="SOFTSTRAP0_EN &amp; ROM_DNX_CAP_DIS_CTRL"/>
        <filter val="SOFTSTRAP0_EN &amp; TRC_PRESENT"/>
        <filter val="SOFTSTRAP1_EN"/>
        <filter val="SOFTSTRAP1_EN &amp; EMBED_SYS_RS2_OVERWRITE_EN"/>
        <filter val="SOFTSTRAP1_EN &amp; INCLUDE_CM"/>
        <filter val="SVR_CHIPSET"/>
        <filter val="TRC_PRESENT"/>
        <filter val="TRC_PRESENT &amp; !PARAM_INT_IFP_TRIPLE_RDD_DIS"/>
        <filter val="UFS_HIGH_SPEED_DIS_CTRL"/>
        <filter val="WIDI_DIS_CTRL"/>
        <filter val="XEON_CPU_SKU_CTRL_EN"/>
      </filters>
    </filterColumn>
  </autoFilter>
  <tableColumns count="22">
    <tableColumn id="1" xr3:uid="{2D4B6E7D-9A7E-4C38-B0D4-CCF250A3AEB5}" name="Fuse Registers" dataDxfId="579"/>
    <tableColumn id="2" xr3:uid="{D21251A0-37C9-45E6-B726-781EC4215022}" name="Fuse name" dataDxfId="578"/>
    <tableColumn id="3" xr3:uid="{3AFE4E5B-76A5-479F-A7A9-F3778F869E06}" name="Parameter" dataDxfId="577"/>
    <tableColumn id="4" xr3:uid="{A4E58B23-35D5-456C-A2A2-847F2791944F}" name="Attributes (eg: BOD=True, others=False )" dataDxfId="576"/>
    <tableColumn id="21" xr3:uid="{74A7BBD5-7BD8-45A4-84B5-1D9D9620F2A3}" name="Default" dataDxfId="575"/>
    <tableColumn id="20" xr3:uid="{F98987BC-4BC6-4168-8FA9-BBC1EE595974}" name="Category" dataDxfId="574"/>
    <tableColumn id="5" xr3:uid="{F05F1131-BEDF-4E26-B06C-B4122ED17ACF}" name="Group" dataDxfId="573"/>
    <tableColumn id="6" xr3:uid="{BA72FD20-41B5-4FB6-A6F5-A443B88D01FD}" name="Bit Width" dataDxfId="572"/>
    <tableColumn id="7" xr3:uid="{2F2A1DB8-C949-47E3-A9CD-756C3A8BCC18}" name="Receiver Addr" dataDxfId="571"/>
    <tableColumn id="18" xr3:uid="{539D630D-BFA4-4BAF-A257-C5D6CE84F52B}" name="Descriptions " dataDxfId="570"/>
    <tableColumn id="11" xr3:uid="{2DCEDA3F-2ECB-4491-B17C-E566F79CB88E}" name="ADP-S_x000a_(Kaizen Sheet)" dataDxfId="569"/>
    <tableColumn id="8" xr3:uid="{A42AEA6B-9531-45CB-B07C-47D6920931C5}" name="MTL-M CSME _x000a_(Kaizen Sheet)" dataDxfId="568"/>
    <tableColumn id="10" xr3:uid="{B6C688F0-B36C-4898-9F87-8AE0551BA7D5}" name="MTL-M ESE _x000a_(Kaizen Sheet)" dataDxfId="567"/>
    <tableColumn id="14" xr3:uid="{E8EA5CD8-D9D6-489D-9D88-675B6C7ADB3C}" name="MTP-PCH-S CSME" dataDxfId="566"/>
    <tableColumn id="15" xr3:uid="{D8BCE37C-9A59-49CD-95E1-41F1F8572D8F}" name="MTP-PCH-S ESE" dataDxfId="565"/>
    <tableColumn id="17" xr3:uid="{F78434EF-A38C-41B8-807D-D702782C86D1}" name="MTL-SOC-S CSE" dataDxfId="564"/>
    <tableColumn id="16" xr3:uid="{2DE7B815-9127-4E3E-AE4F-A7CF8217A8B2}" name="MTL-SOC-S ESE" dataDxfId="563"/>
    <tableColumn id="22" xr3:uid="{D4C31EF1-51C7-4C6A-A4AD-139A52F29BE0}" name="MTL-SOC-S ESE++" dataDxfId="562"/>
    <tableColumn id="9" xr3:uid="{10509C27-1562-4EBF-8A26-26F8C2621A6A}" name="Note" dataDxfId="561"/>
    <tableColumn id="12" xr3:uid="{B2B1AA03-9295-4C91-A65D-0634681820CE}" name="MB Comment (8/31)" dataDxfId="560"/>
    <tableColumn id="13" xr3:uid="{1AF59E81-A695-41D7-8CB4-31104033AD56}" name="ELI Comment (8/31)" dataDxfId="559"/>
    <tableColumn id="19" xr3:uid="{C07F96B9-9FCD-4390-B4C0-C3D63B887D00}"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60" dT="2020-11-23T23:47:38.64" personId="{A2DE5FF8-E295-4803-B02B-F176E08C7223}" id="{F2B7F024-B903-407C-80E2-43EF9ED8C702}">
    <text>Adding a parameter to allow FW_CONFIG fuses to be overriden</text>
  </threadedComment>
  <threadedComment ref="A80"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84" dT="2020-11-23T23:33:22.14" personId="{A2DE5FF8-E295-4803-B02B-F176E08C7223}" id="{075E0309-8EF5-4731-AB74-41411E933874}">
    <text>what is this parameter for REPAIR_FUSE_SUPPORT_EN</text>
  </threadedComment>
  <threadedComment ref="N85" dT="2020-11-24T22:46:52.85" personId="{A2DE5FF8-E295-4803-B02B-F176E08C7223}" id="{AAD9B433-651F-4766-B13B-C310CF9DAF9A}">
    <text>no internal fuse pull for CSC starting DG2</text>
  </threadedComment>
  <threadedComment ref="A89"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U39" dT="2020-12-01T21:42:55.95" personId="{A2DE5FF8-E295-4803-B02B-F176E08C7223}" id="{D47101E2-B0A9-4A5D-986A-11D891BD48EC}">
    <text>Triple Redundancy is handled by Fuse Controller</text>
  </threadedComment>
  <threadedComment ref="V39" dT="2020-12-01T21:42:55.95" personId="{A2DE5FF8-E295-4803-B02B-F176E08C7223}" id="{1AFD0AB3-84A9-409F-AA29-C6CA326F7DA1}">
    <text>Triple Redundancy is handled by Fuse Controller</text>
  </threadedComment>
  <threadedComment ref="D92" dT="2020-12-01T19:29:22.04" personId="{A2DE5FF8-E295-4803-B02B-F176E08C7223}" id="{455372B5-9F9E-4CD0-A998-16B0971769BD}">
    <text>update the description . to stay currently its not used reserved for future pavp services</text>
  </threadedComment>
  <threadedComment ref="D122"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D122" dT="2020-11-23T22:38:52.31" personId="{A2DE5FF8-E295-4803-B02B-F176E08C7223}" id="{926BDF14-A141-46E9-BD1F-5F1BC62C0080}">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3.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5.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40"/>
  <sheetViews>
    <sheetView topLeftCell="A38" workbookViewId="0">
      <selection activeCell="D40" sqref="D40"/>
    </sheetView>
  </sheetViews>
  <sheetFormatPr defaultRowHeight="14.4" x14ac:dyDescent="0.3"/>
  <cols>
    <col min="1" max="1" width="10" style="15" bestFit="1" customWidth="1"/>
    <col min="2" max="2" width="10.6640625" style="15" bestFit="1" customWidth="1"/>
    <col min="3" max="3" width="20.6640625" style="15" customWidth="1"/>
    <col min="4" max="4" width="126.8867187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9" t="s">
        <v>555</v>
      </c>
      <c r="D15" s="136" t="s">
        <v>808</v>
      </c>
    </row>
    <row r="16" spans="1:4" ht="86.4" x14ac:dyDescent="0.3">
      <c r="A16" s="134">
        <v>15</v>
      </c>
      <c r="B16" s="135">
        <v>43979</v>
      </c>
      <c r="C16" s="249" t="s">
        <v>555</v>
      </c>
      <c r="D16" s="136" t="s">
        <v>882</v>
      </c>
    </row>
    <row r="17" spans="1:4" ht="43.2" x14ac:dyDescent="0.3">
      <c r="A17" s="134">
        <v>16</v>
      </c>
      <c r="B17" s="135">
        <v>43979</v>
      </c>
      <c r="C17" s="249"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400">
        <v>44055</v>
      </c>
      <c r="C24" s="247" t="s">
        <v>606</v>
      </c>
      <c r="D24" s="138" t="s">
        <v>1166</v>
      </c>
    </row>
    <row r="25" spans="1:4" ht="28.8" x14ac:dyDescent="0.3">
      <c r="A25" s="134">
        <v>24</v>
      </c>
      <c r="B25" s="400">
        <v>44056</v>
      </c>
      <c r="C25" s="247" t="s">
        <v>606</v>
      </c>
      <c r="D25" s="138" t="s">
        <v>1167</v>
      </c>
    </row>
    <row r="26" spans="1:4" ht="28.8" x14ac:dyDescent="0.3">
      <c r="A26" s="134">
        <v>25</v>
      </c>
      <c r="B26" s="400">
        <v>44056</v>
      </c>
      <c r="C26" s="247" t="s">
        <v>1507</v>
      </c>
      <c r="D26" s="138" t="s">
        <v>1508</v>
      </c>
    </row>
    <row r="27" spans="1:4" ht="100.8" x14ac:dyDescent="0.3">
      <c r="A27" s="134">
        <v>26</v>
      </c>
      <c r="B27" s="400">
        <v>44077</v>
      </c>
      <c r="C27" s="247" t="s">
        <v>1507</v>
      </c>
      <c r="D27" s="138" t="s">
        <v>1509</v>
      </c>
    </row>
    <row r="28" spans="1:4" ht="72" x14ac:dyDescent="0.3">
      <c r="A28" s="134">
        <v>27</v>
      </c>
      <c r="B28" s="401">
        <v>44098</v>
      </c>
      <c r="C28" s="247" t="s">
        <v>1507</v>
      </c>
      <c r="D28" s="138" t="s">
        <v>1510</v>
      </c>
    </row>
    <row r="29" spans="1:4" ht="129.6" x14ac:dyDescent="0.3">
      <c r="A29" s="134">
        <v>28</v>
      </c>
      <c r="B29" s="402">
        <v>44099</v>
      </c>
      <c r="C29" s="247" t="s">
        <v>1507</v>
      </c>
      <c r="D29" s="138" t="s">
        <v>1511</v>
      </c>
    </row>
    <row r="30" spans="1:4" ht="158.4" x14ac:dyDescent="0.3">
      <c r="A30" s="403">
        <v>29</v>
      </c>
      <c r="B30" s="404">
        <v>44125</v>
      </c>
      <c r="C30" s="248" t="s">
        <v>1507</v>
      </c>
      <c r="D30" s="405" t="s">
        <v>1512</v>
      </c>
    </row>
    <row r="31" spans="1:4" ht="115.2" x14ac:dyDescent="0.3">
      <c r="A31" s="95"/>
      <c r="B31" s="95"/>
      <c r="C31" s="95"/>
      <c r="D31" s="406" t="s">
        <v>1513</v>
      </c>
    </row>
    <row r="32" spans="1:4" ht="187.2" x14ac:dyDescent="0.3">
      <c r="A32" s="95"/>
      <c r="B32" s="95"/>
      <c r="C32" s="95"/>
      <c r="D32" s="406" t="s">
        <v>1514</v>
      </c>
    </row>
    <row r="33" spans="1:4" ht="115.2" x14ac:dyDescent="0.3">
      <c r="A33" s="95"/>
      <c r="B33" s="95"/>
      <c r="C33" s="95"/>
      <c r="D33" s="406" t="s">
        <v>1515</v>
      </c>
    </row>
    <row r="34" spans="1:4" x14ac:dyDescent="0.3">
      <c r="A34" s="134">
        <v>30</v>
      </c>
      <c r="B34" s="235">
        <v>44126</v>
      </c>
      <c r="C34" s="247" t="s">
        <v>555</v>
      </c>
      <c r="D34" s="138" t="s">
        <v>1516</v>
      </c>
    </row>
    <row r="35" spans="1:4" ht="216" x14ac:dyDescent="0.3">
      <c r="A35" s="64">
        <v>31</v>
      </c>
      <c r="B35" s="407">
        <v>44153</v>
      </c>
      <c r="C35" s="64" t="s">
        <v>1507</v>
      </c>
      <c r="D35" s="408" t="s">
        <v>1517</v>
      </c>
    </row>
    <row r="36" spans="1:4" ht="230.4" x14ac:dyDescent="0.3">
      <c r="A36" s="16">
        <v>32</v>
      </c>
      <c r="B36" s="411">
        <v>44155</v>
      </c>
      <c r="C36" s="16" t="s">
        <v>1507</v>
      </c>
      <c r="D36" s="138" t="s">
        <v>1529</v>
      </c>
    </row>
    <row r="37" spans="1:4" ht="288" x14ac:dyDescent="0.3">
      <c r="A37" s="413">
        <v>33</v>
      </c>
      <c r="B37" s="414">
        <v>43853</v>
      </c>
      <c r="C37" s="413" t="s">
        <v>606</v>
      </c>
      <c r="D37" s="257" t="s">
        <v>1600</v>
      </c>
    </row>
    <row r="38" spans="1:4" ht="72" x14ac:dyDescent="0.3">
      <c r="A38" s="413">
        <v>34</v>
      </c>
      <c r="B38" s="414">
        <v>44167</v>
      </c>
      <c r="C38" s="413" t="s">
        <v>606</v>
      </c>
      <c r="D38" s="257" t="s">
        <v>1612</v>
      </c>
    </row>
    <row r="39" spans="1:4" ht="72" x14ac:dyDescent="0.3">
      <c r="A39" s="413">
        <v>35</v>
      </c>
      <c r="B39" s="414">
        <v>44168</v>
      </c>
      <c r="C39" s="413" t="s">
        <v>1507</v>
      </c>
      <c r="D39" s="457" t="s">
        <v>1619</v>
      </c>
    </row>
    <row r="40" spans="1:4" ht="72" x14ac:dyDescent="0.3">
      <c r="A40" s="413">
        <v>36</v>
      </c>
      <c r="B40" s="414">
        <v>44169</v>
      </c>
      <c r="C40" s="413" t="s">
        <v>606</v>
      </c>
      <c r="D40" s="257" t="s">
        <v>1622</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E89"/>
  <sheetViews>
    <sheetView tabSelected="1" topLeftCell="A39" workbookViewId="0">
      <selection activeCell="N60" sqref="N60"/>
    </sheetView>
  </sheetViews>
  <sheetFormatPr defaultRowHeight="14.4" x14ac:dyDescent="0.3"/>
  <cols>
    <col min="1" max="1" width="32.6640625" style="15" bestFit="1" customWidth="1"/>
    <col min="2" max="2" width="7.6640625" style="15" customWidth="1"/>
    <col min="3" max="4" width="6.33203125" style="15" customWidth="1"/>
    <col min="5" max="5" width="11.6640625" style="15" customWidth="1"/>
    <col min="6" max="6" width="12.44140625" style="15" customWidth="1"/>
    <col min="7" max="7" width="14.6640625" style="15" customWidth="1"/>
    <col min="8" max="8" width="12.6640625" style="15" customWidth="1"/>
    <col min="9" max="9" width="12" style="15" customWidth="1"/>
    <col min="10" max="10" width="12.33203125" style="15" customWidth="1"/>
    <col min="11" max="11" width="10.6640625" style="15" customWidth="1"/>
    <col min="12" max="12" width="14.33203125" style="15" customWidth="1"/>
    <col min="13" max="13" width="10.44140625" style="15" customWidth="1"/>
    <col min="14" max="14" width="19.5546875" style="15" customWidth="1"/>
    <col min="15" max="15" width="23.44140625" style="15" customWidth="1"/>
    <col min="16" max="16" width="7.44140625" style="15" customWidth="1"/>
    <col min="17" max="30" width="8.88671875" style="15"/>
    <col min="31" max="31" width="124.6640625" style="15" customWidth="1"/>
    <col min="32" max="16384" width="8.88671875" style="15"/>
  </cols>
  <sheetData>
    <row r="1" spans="1:31" ht="20.399999999999999" customHeight="1" x14ac:dyDescent="0.3">
      <c r="A1" s="250" t="s">
        <v>1168</v>
      </c>
    </row>
    <row r="2" spans="1:31" ht="20.399999999999999" customHeight="1" x14ac:dyDescent="0.3">
      <c r="A2" s="251" t="s">
        <v>1169</v>
      </c>
    </row>
    <row r="3" spans="1:31" ht="20.399999999999999" customHeight="1" x14ac:dyDescent="0.3"/>
    <row r="4" spans="1:31" x14ac:dyDescent="0.3">
      <c r="A4" s="18"/>
      <c r="B4" s="18" t="s">
        <v>419</v>
      </c>
      <c r="C4" s="458" t="s">
        <v>634</v>
      </c>
      <c r="D4" s="459"/>
      <c r="E4" s="460" t="s">
        <v>392</v>
      </c>
      <c r="F4" s="461"/>
      <c r="G4" s="462"/>
      <c r="H4" s="458" t="s">
        <v>634</v>
      </c>
      <c r="I4" s="463"/>
      <c r="J4" s="460" t="s">
        <v>392</v>
      </c>
      <c r="K4" s="461"/>
      <c r="L4" s="461"/>
      <c r="M4" s="462"/>
      <c r="N4" s="18"/>
      <c r="O4" s="18"/>
      <c r="P4" s="18"/>
      <c r="Q4" s="18"/>
      <c r="R4" s="18"/>
      <c r="S4" s="18"/>
      <c r="T4" s="18"/>
      <c r="U4" s="18"/>
      <c r="V4" s="18"/>
      <c r="W4" s="18"/>
      <c r="X4" s="18"/>
      <c r="Y4" s="18"/>
      <c r="Z4" s="18"/>
      <c r="AA4" s="18"/>
      <c r="AB4" s="18"/>
      <c r="AC4" s="18"/>
      <c r="AD4" s="18"/>
      <c r="AE4" s="18"/>
    </row>
    <row r="5" spans="1:31" ht="28.8" x14ac:dyDescent="0.3">
      <c r="A5" s="19" t="s">
        <v>391</v>
      </c>
      <c r="B5" s="19" t="s">
        <v>386</v>
      </c>
      <c r="C5" s="105" t="s">
        <v>632</v>
      </c>
      <c r="D5" s="105" t="s">
        <v>633</v>
      </c>
      <c r="E5" s="61" t="s">
        <v>609</v>
      </c>
      <c r="F5" s="61" t="s">
        <v>610</v>
      </c>
      <c r="G5" s="61" t="s">
        <v>611</v>
      </c>
      <c r="H5" s="252" t="s">
        <v>1170</v>
      </c>
      <c r="I5" s="105" t="s">
        <v>1171</v>
      </c>
      <c r="J5" s="61" t="s">
        <v>1172</v>
      </c>
      <c r="K5" s="61" t="s">
        <v>1173</v>
      </c>
      <c r="L5" s="61" t="s">
        <v>1174</v>
      </c>
      <c r="M5" s="61" t="s">
        <v>1175</v>
      </c>
      <c r="N5" s="62" t="s">
        <v>1562</v>
      </c>
      <c r="O5" s="62" t="s">
        <v>1563</v>
      </c>
      <c r="P5" s="62"/>
      <c r="Q5" s="62"/>
      <c r="R5" s="62"/>
      <c r="S5" s="62"/>
      <c r="T5" s="62"/>
      <c r="U5" s="62"/>
      <c r="V5" s="62"/>
      <c r="W5" s="62"/>
      <c r="X5" s="62"/>
      <c r="Y5" s="62"/>
      <c r="Z5" s="62"/>
      <c r="AA5" s="62"/>
      <c r="AB5" s="62"/>
      <c r="AC5" s="62"/>
      <c r="AD5" s="62"/>
      <c r="AE5" s="62"/>
    </row>
    <row r="6" spans="1:31" x14ac:dyDescent="0.3">
      <c r="A6" s="21" t="s">
        <v>393</v>
      </c>
      <c r="B6" s="59">
        <v>2</v>
      </c>
      <c r="C6" s="59">
        <v>3</v>
      </c>
      <c r="D6" s="59">
        <v>4</v>
      </c>
      <c r="E6" s="59">
        <v>5</v>
      </c>
      <c r="F6" s="59">
        <v>6</v>
      </c>
      <c r="G6" s="59">
        <v>7</v>
      </c>
      <c r="H6" s="59">
        <v>8</v>
      </c>
      <c r="I6" s="59">
        <v>9</v>
      </c>
      <c r="J6" s="59">
        <v>10</v>
      </c>
      <c r="K6" s="59">
        <v>11</v>
      </c>
      <c r="L6" s="59">
        <v>12</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t="s">
        <v>424</v>
      </c>
    </row>
    <row r="7" spans="1:31" ht="13.5" customHeight="1" x14ac:dyDescent="0.3">
      <c r="A7" s="40" t="s">
        <v>125</v>
      </c>
      <c r="B7" s="16">
        <v>1</v>
      </c>
      <c r="C7" s="16">
        <v>1</v>
      </c>
      <c r="D7" s="16">
        <v>1</v>
      </c>
      <c r="E7" s="16">
        <v>1</v>
      </c>
      <c r="F7" s="16">
        <v>0</v>
      </c>
      <c r="G7" s="16">
        <v>0</v>
      </c>
      <c r="H7" s="16">
        <v>0</v>
      </c>
      <c r="I7" s="16">
        <v>0</v>
      </c>
      <c r="J7" s="16">
        <v>0</v>
      </c>
      <c r="K7" s="16">
        <v>0</v>
      </c>
      <c r="L7" s="16">
        <v>0</v>
      </c>
      <c r="M7" s="16">
        <v>0</v>
      </c>
      <c r="N7" s="16">
        <f>VLOOKUP(A7,Elasti_CSC_review_new!$G$2:$H$89,2,0)</f>
        <v>1</v>
      </c>
      <c r="O7" s="16">
        <f>VLOOKUP(A7,Elasti_GSC_review!$H$2:$I$89,2,0)</f>
        <v>0</v>
      </c>
      <c r="P7" s="16"/>
      <c r="Q7" s="16"/>
      <c r="R7" s="16"/>
      <c r="S7" s="16"/>
      <c r="T7" s="16"/>
      <c r="U7" s="16"/>
      <c r="V7" s="16"/>
      <c r="W7" s="16"/>
      <c r="X7" s="16"/>
      <c r="Y7" s="16"/>
      <c r="Z7" s="16"/>
      <c r="AA7" s="16"/>
      <c r="AB7" s="16"/>
      <c r="AC7" s="16"/>
      <c r="AD7" s="16"/>
      <c r="AE7" s="16" t="s">
        <v>845</v>
      </c>
    </row>
    <row r="8" spans="1:31" ht="13.5" customHeight="1" x14ac:dyDescent="0.3">
      <c r="A8" s="40" t="s">
        <v>172</v>
      </c>
      <c r="B8" s="16">
        <v>1</v>
      </c>
      <c r="C8" s="16">
        <v>1</v>
      </c>
      <c r="D8" s="16">
        <v>1</v>
      </c>
      <c r="E8" s="16">
        <v>1</v>
      </c>
      <c r="F8" s="16">
        <v>0</v>
      </c>
      <c r="G8" s="16">
        <v>0</v>
      </c>
      <c r="H8" s="16">
        <v>1</v>
      </c>
      <c r="I8" s="16">
        <v>0</v>
      </c>
      <c r="J8" s="16">
        <v>0</v>
      </c>
      <c r="K8" s="16">
        <v>0</v>
      </c>
      <c r="L8" s="16">
        <v>0</v>
      </c>
      <c r="M8" s="16">
        <v>0</v>
      </c>
      <c r="N8" s="16">
        <f>VLOOKUP(A8,Elasti_CSC_review_new!$G$2:$H$89,2,0)</f>
        <v>1</v>
      </c>
      <c r="O8" s="16">
        <f>VLOOKUP(A8,Elasti_GSC_review!$H$2:$I$89,2,0)</f>
        <v>0</v>
      </c>
      <c r="P8" s="16"/>
      <c r="Q8" s="16"/>
      <c r="R8" s="16"/>
      <c r="S8" s="16"/>
      <c r="T8" s="16"/>
      <c r="U8" s="16"/>
      <c r="V8" s="16"/>
      <c r="W8" s="16"/>
      <c r="X8" s="16"/>
      <c r="Y8" s="16"/>
      <c r="Z8" s="16"/>
      <c r="AA8" s="16"/>
      <c r="AB8" s="16"/>
      <c r="AC8" s="16"/>
      <c r="AD8" s="16"/>
      <c r="AE8" s="16" t="s">
        <v>846</v>
      </c>
    </row>
    <row r="9" spans="1:31" ht="13.5" customHeight="1" x14ac:dyDescent="0.3">
      <c r="A9" s="40" t="s">
        <v>635</v>
      </c>
      <c r="B9" s="16">
        <v>1</v>
      </c>
      <c r="C9" s="16">
        <v>1</v>
      </c>
      <c r="D9" s="16">
        <v>1</v>
      </c>
      <c r="E9" s="16">
        <v>1</v>
      </c>
      <c r="F9" s="16">
        <v>0</v>
      </c>
      <c r="G9" s="16">
        <v>0</v>
      </c>
      <c r="H9" s="16">
        <v>1</v>
      </c>
      <c r="I9" s="16">
        <v>0</v>
      </c>
      <c r="J9" s="63">
        <v>1</v>
      </c>
      <c r="K9" s="63">
        <v>0</v>
      </c>
      <c r="L9" s="16">
        <v>0</v>
      </c>
      <c r="M9" s="16">
        <v>0</v>
      </c>
      <c r="N9" s="16">
        <f>VLOOKUP(A9,Elasti_CSC_review_new!$G$2:$H$89,2,0)</f>
        <v>0</v>
      </c>
      <c r="O9" s="16">
        <f>VLOOKUP(A9,Elasti_GSC_review!$H$2:$I$89,2,0)</f>
        <v>0</v>
      </c>
      <c r="P9" s="16"/>
      <c r="Q9" s="16"/>
      <c r="R9" s="16"/>
      <c r="S9" s="16"/>
      <c r="T9" s="16"/>
      <c r="U9" s="16"/>
      <c r="V9" s="16"/>
      <c r="W9" s="16"/>
      <c r="X9" s="16"/>
      <c r="Y9" s="16"/>
      <c r="Z9" s="16"/>
      <c r="AA9" s="16"/>
      <c r="AB9" s="16"/>
      <c r="AC9" s="16"/>
      <c r="AD9" s="16"/>
      <c r="AE9" s="16" t="s">
        <v>847</v>
      </c>
    </row>
    <row r="10" spans="1:31" ht="13.5" customHeight="1" x14ac:dyDescent="0.3">
      <c r="A10" s="40" t="s">
        <v>234</v>
      </c>
      <c r="B10" s="16">
        <v>1</v>
      </c>
      <c r="C10" s="16">
        <v>1</v>
      </c>
      <c r="D10" s="16">
        <v>1</v>
      </c>
      <c r="E10" s="16">
        <v>1</v>
      </c>
      <c r="F10" s="16">
        <v>1</v>
      </c>
      <c r="G10" s="16">
        <v>0</v>
      </c>
      <c r="H10" s="16">
        <v>1</v>
      </c>
      <c r="I10" s="16">
        <v>0</v>
      </c>
      <c r="J10" s="16">
        <v>0</v>
      </c>
      <c r="K10" s="16">
        <v>0</v>
      </c>
      <c r="L10" s="16">
        <v>0</v>
      </c>
      <c r="M10" s="16">
        <v>0</v>
      </c>
      <c r="N10" s="16">
        <f>VLOOKUP(A10,Elasti_CSC_review_new!$G$2:$H$89,2,0)</f>
        <v>1</v>
      </c>
      <c r="O10" s="16">
        <f>VLOOKUP(A10,Elasti_GSC_review!$H$2:$I$89,2,0)</f>
        <v>0</v>
      </c>
      <c r="P10" s="16"/>
      <c r="Q10" s="16"/>
      <c r="R10" s="16"/>
      <c r="S10" s="16"/>
      <c r="T10" s="16"/>
      <c r="U10" s="16"/>
      <c r="V10" s="16"/>
      <c r="W10" s="16"/>
      <c r="X10" s="16"/>
      <c r="Y10" s="16"/>
      <c r="Z10" s="16"/>
      <c r="AA10" s="16"/>
      <c r="AB10" s="16"/>
      <c r="AC10" s="16"/>
      <c r="AD10" s="16"/>
      <c r="AE10" s="16" t="s">
        <v>845</v>
      </c>
    </row>
    <row r="11" spans="1:31" ht="13.5" customHeight="1" x14ac:dyDescent="0.3">
      <c r="A11" s="40" t="s">
        <v>636</v>
      </c>
      <c r="B11" s="16">
        <v>0</v>
      </c>
      <c r="C11" s="16">
        <v>0</v>
      </c>
      <c r="D11" s="16">
        <v>0</v>
      </c>
      <c r="E11" s="16">
        <v>0</v>
      </c>
      <c r="F11" s="16">
        <v>0</v>
      </c>
      <c r="G11" s="16">
        <v>0</v>
      </c>
      <c r="H11" s="16">
        <v>0</v>
      </c>
      <c r="I11" s="16">
        <v>0</v>
      </c>
      <c r="J11" s="16">
        <v>0</v>
      </c>
      <c r="K11" s="16">
        <v>0</v>
      </c>
      <c r="L11" s="16">
        <v>0</v>
      </c>
      <c r="M11" s="16">
        <v>0</v>
      </c>
      <c r="N11" s="16">
        <f>VLOOKUP(A11,Elasti_CSC_review_new!$G$2:$H$89,2,0)</f>
        <v>0</v>
      </c>
      <c r="O11" s="16">
        <f>VLOOKUP(A11,Elasti_GSC_review!$H$2:$I$89,2,0)</f>
        <v>0</v>
      </c>
      <c r="P11" s="16"/>
      <c r="Q11" s="16"/>
      <c r="R11" s="16"/>
      <c r="S11" s="16"/>
      <c r="T11" s="16"/>
      <c r="U11" s="16"/>
      <c r="V11" s="16"/>
      <c r="W11" s="16"/>
      <c r="X11" s="16"/>
      <c r="Y11" s="16"/>
      <c r="Z11" s="16"/>
      <c r="AA11" s="16"/>
      <c r="AB11" s="16"/>
      <c r="AC11" s="16"/>
      <c r="AD11" s="16"/>
      <c r="AE11" s="16" t="s">
        <v>848</v>
      </c>
    </row>
    <row r="12" spans="1:31" ht="13.5" customHeight="1" x14ac:dyDescent="0.3">
      <c r="A12" s="63" t="s">
        <v>203</v>
      </c>
      <c r="B12" s="63">
        <v>1</v>
      </c>
      <c r="C12" s="63">
        <v>1</v>
      </c>
      <c r="D12" s="63">
        <v>1</v>
      </c>
      <c r="E12" s="63">
        <v>1</v>
      </c>
      <c r="F12" s="63">
        <v>1</v>
      </c>
      <c r="G12" s="63">
        <v>1</v>
      </c>
      <c r="H12" s="63">
        <v>1</v>
      </c>
      <c r="I12" s="63">
        <v>0</v>
      </c>
      <c r="J12" s="63">
        <v>1</v>
      </c>
      <c r="K12" s="63">
        <v>0</v>
      </c>
      <c r="L12" s="63">
        <v>0</v>
      </c>
      <c r="M12" s="63">
        <v>1</v>
      </c>
      <c r="N12" s="16">
        <f>VLOOKUP(A12,Elasti_CSC_review_new!$G$2:$H$89,2,0)</f>
        <v>0</v>
      </c>
      <c r="O12" s="16">
        <f>VLOOKUP(A12,Elasti_GSC_review!$H$2:$I$89,2,0)</f>
        <v>1</v>
      </c>
      <c r="P12" s="16"/>
      <c r="Q12" s="16"/>
      <c r="R12" s="16"/>
      <c r="S12" s="16"/>
      <c r="T12" s="16"/>
      <c r="U12" s="16"/>
      <c r="V12" s="16"/>
      <c r="W12" s="16"/>
      <c r="X12" s="16"/>
      <c r="Y12" s="16"/>
      <c r="Z12" s="16"/>
      <c r="AA12" s="16"/>
      <c r="AB12" s="16"/>
      <c r="AC12" s="16"/>
      <c r="AD12" s="16"/>
      <c r="AE12" s="138"/>
    </row>
    <row r="13" spans="1:31" ht="13.5" customHeight="1" x14ac:dyDescent="0.3">
      <c r="A13" s="63" t="s">
        <v>199</v>
      </c>
      <c r="B13" s="63">
        <v>1</v>
      </c>
      <c r="C13" s="63">
        <v>1</v>
      </c>
      <c r="D13" s="63">
        <v>1</v>
      </c>
      <c r="E13" s="63">
        <v>1</v>
      </c>
      <c r="F13" s="63">
        <v>1</v>
      </c>
      <c r="G13" s="63">
        <v>1</v>
      </c>
      <c r="H13" s="63">
        <v>1</v>
      </c>
      <c r="I13" s="63">
        <v>0</v>
      </c>
      <c r="J13" s="63">
        <v>1</v>
      </c>
      <c r="K13" s="63">
        <v>0</v>
      </c>
      <c r="L13" s="63">
        <v>0</v>
      </c>
      <c r="M13" s="63">
        <v>1</v>
      </c>
      <c r="N13" s="16">
        <f>VLOOKUP(A13,Elasti_CSC_review_new!$G$2:$H$89,2,0)</f>
        <v>0</v>
      </c>
      <c r="O13" s="16">
        <f>VLOOKUP(A13,Elasti_GSC_review!$H$2:$I$89,2,0)</f>
        <v>1</v>
      </c>
      <c r="P13" s="16"/>
      <c r="Q13" s="16"/>
      <c r="R13" s="16"/>
      <c r="S13" s="16"/>
      <c r="T13" s="16"/>
      <c r="U13" s="16"/>
      <c r="V13" s="16"/>
      <c r="W13" s="16"/>
      <c r="X13" s="16"/>
      <c r="Y13" s="16"/>
      <c r="Z13" s="16"/>
      <c r="AA13" s="16"/>
      <c r="AB13" s="16"/>
      <c r="AC13" s="16"/>
      <c r="AD13" s="16"/>
      <c r="AE13" s="138"/>
    </row>
    <row r="14" spans="1:31" ht="13.5" customHeight="1" x14ac:dyDescent="0.3">
      <c r="A14" s="63" t="s">
        <v>201</v>
      </c>
      <c r="B14" s="63">
        <v>1</v>
      </c>
      <c r="C14" s="63">
        <v>1</v>
      </c>
      <c r="D14" s="63">
        <v>1</v>
      </c>
      <c r="E14" s="63">
        <v>1</v>
      </c>
      <c r="F14" s="63">
        <v>1</v>
      </c>
      <c r="G14" s="63">
        <v>1</v>
      </c>
      <c r="H14" s="63">
        <v>1</v>
      </c>
      <c r="I14" s="63">
        <v>0</v>
      </c>
      <c r="J14" s="63">
        <v>1</v>
      </c>
      <c r="K14" s="63">
        <v>0</v>
      </c>
      <c r="L14" s="63">
        <v>0</v>
      </c>
      <c r="M14" s="63">
        <v>1</v>
      </c>
      <c r="N14" s="16">
        <f>VLOOKUP(A14,Elasti_CSC_review_new!$G$2:$H$89,2,0)</f>
        <v>0</v>
      </c>
      <c r="O14" s="16">
        <f>VLOOKUP(A14,Elasti_GSC_review!$H$2:$I$89,2,0)</f>
        <v>1</v>
      </c>
      <c r="P14" s="16"/>
      <c r="Q14" s="16"/>
      <c r="R14" s="16"/>
      <c r="S14" s="16"/>
      <c r="T14" s="16"/>
      <c r="U14" s="16"/>
      <c r="V14" s="16"/>
      <c r="W14" s="16"/>
      <c r="X14" s="16"/>
      <c r="Y14" s="16"/>
      <c r="Z14" s="16"/>
      <c r="AA14" s="16"/>
      <c r="AB14" s="16"/>
      <c r="AC14" s="16"/>
      <c r="AD14" s="16"/>
      <c r="AE14" s="138"/>
    </row>
    <row r="15" spans="1:31" ht="13.5" customHeight="1" x14ac:dyDescent="0.3">
      <c r="A15" s="40" t="s">
        <v>147</v>
      </c>
      <c r="B15" s="16">
        <v>1</v>
      </c>
      <c r="C15" s="16">
        <v>1</v>
      </c>
      <c r="D15" s="16">
        <v>1</v>
      </c>
      <c r="E15" s="16">
        <v>1</v>
      </c>
      <c r="F15" s="16">
        <v>0</v>
      </c>
      <c r="G15" s="16">
        <v>0</v>
      </c>
      <c r="H15" s="16">
        <v>1</v>
      </c>
      <c r="I15" s="16">
        <v>0</v>
      </c>
      <c r="J15" s="16">
        <v>0</v>
      </c>
      <c r="K15" s="16">
        <v>0</v>
      </c>
      <c r="L15" s="16">
        <v>0</v>
      </c>
      <c r="M15" s="16">
        <v>0</v>
      </c>
      <c r="N15" s="16">
        <f>VLOOKUP(A15,Elasti_CSC_review_new!$G$2:$H$89,2,0)</f>
        <v>0</v>
      </c>
      <c r="O15" s="16">
        <f>VLOOKUP(A15,Elasti_GSC_review!$H$2:$I$89,2,0)</f>
        <v>0</v>
      </c>
      <c r="P15" s="16"/>
      <c r="Q15" s="16"/>
      <c r="R15" s="16"/>
      <c r="S15" s="16"/>
      <c r="T15" s="16"/>
      <c r="U15" s="16"/>
      <c r="V15" s="16"/>
      <c r="W15" s="16"/>
      <c r="X15" s="16"/>
      <c r="Y15" s="16"/>
      <c r="Z15" s="16"/>
      <c r="AA15" s="16"/>
      <c r="AB15" s="16"/>
      <c r="AC15" s="16"/>
      <c r="AD15" s="16"/>
      <c r="AE15" s="16" t="s">
        <v>850</v>
      </c>
    </row>
    <row r="16" spans="1:31" ht="13.5" customHeight="1" x14ac:dyDescent="0.3">
      <c r="A16" s="239" t="s">
        <v>377</v>
      </c>
      <c r="B16" s="16">
        <v>0</v>
      </c>
      <c r="C16" s="16">
        <v>0</v>
      </c>
      <c r="D16" s="16">
        <v>0</v>
      </c>
      <c r="E16" s="16">
        <v>0</v>
      </c>
      <c r="F16" s="16">
        <v>0</v>
      </c>
      <c r="G16" s="16">
        <v>0</v>
      </c>
      <c r="H16" s="16">
        <v>0</v>
      </c>
      <c r="I16" s="16">
        <v>0</v>
      </c>
      <c r="J16" s="16">
        <v>0</v>
      </c>
      <c r="K16" s="16">
        <v>0</v>
      </c>
      <c r="L16" s="16">
        <v>0</v>
      </c>
      <c r="M16" s="16">
        <v>0</v>
      </c>
      <c r="N16" s="16">
        <v>0</v>
      </c>
      <c r="O16" s="16">
        <v>0</v>
      </c>
      <c r="P16" s="16"/>
      <c r="Q16" s="16"/>
      <c r="R16" s="16"/>
      <c r="S16" s="16"/>
      <c r="T16" s="16"/>
      <c r="U16" s="16"/>
      <c r="V16" s="16"/>
      <c r="W16" s="16"/>
      <c r="X16" s="16"/>
      <c r="Y16" s="16"/>
      <c r="Z16" s="16"/>
      <c r="AA16" s="16"/>
      <c r="AB16" s="16"/>
      <c r="AC16" s="16"/>
      <c r="AD16" s="16"/>
      <c r="AE16" s="16" t="s">
        <v>851</v>
      </c>
    </row>
    <row r="17" spans="1:31" ht="13.5" customHeight="1" x14ac:dyDescent="0.3">
      <c r="A17" s="42" t="s">
        <v>221</v>
      </c>
      <c r="B17" s="16">
        <v>0</v>
      </c>
      <c r="C17" s="16">
        <v>1</v>
      </c>
      <c r="D17" s="16">
        <v>1</v>
      </c>
      <c r="E17" s="16">
        <v>0</v>
      </c>
      <c r="F17" s="16">
        <v>0</v>
      </c>
      <c r="G17" s="16">
        <v>0</v>
      </c>
      <c r="H17" s="16">
        <v>1</v>
      </c>
      <c r="I17" s="16">
        <v>0</v>
      </c>
      <c r="J17" s="16">
        <v>0</v>
      </c>
      <c r="K17" s="16">
        <v>0</v>
      </c>
      <c r="L17" s="16">
        <v>0</v>
      </c>
      <c r="M17" s="16">
        <v>0</v>
      </c>
      <c r="N17" s="16">
        <f>VLOOKUP(A17,Elasti_CSC_review_new!$G$2:$H$89,2,0)</f>
        <v>0</v>
      </c>
      <c r="O17" s="16">
        <f>VLOOKUP(A17,Elasti_GSC_review!$H$2:$I$89,2,0)</f>
        <v>0</v>
      </c>
      <c r="P17" s="16"/>
      <c r="Q17" s="16"/>
      <c r="R17" s="16"/>
      <c r="S17" s="16"/>
      <c r="T17" s="16"/>
      <c r="U17" s="16"/>
      <c r="V17" s="16"/>
      <c r="W17" s="16"/>
      <c r="X17" s="16"/>
      <c r="Y17" s="16"/>
      <c r="Z17" s="16"/>
      <c r="AA17" s="16"/>
      <c r="AB17" s="16"/>
      <c r="AC17" s="16"/>
      <c r="AD17" s="16"/>
      <c r="AE17" s="16" t="s">
        <v>852</v>
      </c>
    </row>
    <row r="18" spans="1:31" ht="13.5" customHeight="1" x14ac:dyDescent="0.3">
      <c r="A18" s="42" t="s">
        <v>186</v>
      </c>
      <c r="B18" s="16">
        <v>1</v>
      </c>
      <c r="C18" s="16">
        <v>1</v>
      </c>
      <c r="D18" s="16">
        <v>1</v>
      </c>
      <c r="E18" s="16">
        <v>1</v>
      </c>
      <c r="F18" s="16">
        <v>0</v>
      </c>
      <c r="G18" s="16">
        <v>0</v>
      </c>
      <c r="H18" s="16">
        <v>0</v>
      </c>
      <c r="I18" s="16">
        <v>0</v>
      </c>
      <c r="J18" s="16">
        <v>0</v>
      </c>
      <c r="K18" s="16">
        <v>0</v>
      </c>
      <c r="L18" s="16">
        <v>0</v>
      </c>
      <c r="M18" s="16">
        <v>0</v>
      </c>
      <c r="N18" s="16">
        <f>VLOOKUP(A18,Elasti_CSC_review_new!$G$2:$H$89,2,0)</f>
        <v>1</v>
      </c>
      <c r="O18" s="16">
        <f>VLOOKUP(A18,Elasti_GSC_review!$H$2:$I$89,2,0)</f>
        <v>0</v>
      </c>
      <c r="P18" s="16"/>
      <c r="Q18" s="16"/>
      <c r="R18" s="16"/>
      <c r="S18" s="16"/>
      <c r="T18" s="16"/>
      <c r="U18" s="16"/>
      <c r="V18" s="16"/>
      <c r="W18" s="16"/>
      <c r="X18" s="16"/>
      <c r="Y18" s="16"/>
      <c r="Z18" s="16"/>
      <c r="AA18" s="16"/>
      <c r="AB18" s="16"/>
      <c r="AC18" s="16"/>
      <c r="AD18" s="16"/>
      <c r="AE18" s="16" t="s">
        <v>853</v>
      </c>
    </row>
    <row r="19" spans="1:31" ht="13.5" customHeight="1" x14ac:dyDescent="0.3">
      <c r="A19" s="40" t="s">
        <v>637</v>
      </c>
      <c r="B19" s="16">
        <v>1</v>
      </c>
      <c r="C19" s="16">
        <v>1</v>
      </c>
      <c r="D19" s="16">
        <v>1</v>
      </c>
      <c r="E19" s="16">
        <v>1</v>
      </c>
      <c r="F19" s="16">
        <v>0</v>
      </c>
      <c r="G19" s="16">
        <v>1</v>
      </c>
      <c r="H19" s="16">
        <v>1</v>
      </c>
      <c r="I19" s="16">
        <v>0</v>
      </c>
      <c r="J19" s="16">
        <v>0</v>
      </c>
      <c r="K19" s="16">
        <v>0</v>
      </c>
      <c r="L19" s="16">
        <v>0</v>
      </c>
      <c r="M19" s="16">
        <v>1</v>
      </c>
      <c r="N19" s="16">
        <f>VLOOKUP(A19,Elasti_CSC_review_new!$G$2:$H$89,2,0)</f>
        <v>0</v>
      </c>
      <c r="O19" s="16">
        <f>VLOOKUP(A19,Elasti_GSC_review!$H$2:$I$89,2,0)</f>
        <v>1</v>
      </c>
      <c r="P19" s="16"/>
      <c r="Q19" s="16"/>
      <c r="R19" s="16"/>
      <c r="S19" s="16"/>
      <c r="T19" s="16"/>
      <c r="U19" s="16"/>
      <c r="V19" s="16"/>
      <c r="W19" s="16"/>
      <c r="X19" s="16"/>
      <c r="Y19" s="16"/>
      <c r="Z19" s="16"/>
      <c r="AA19" s="16"/>
      <c r="AB19" s="16"/>
      <c r="AC19" s="16"/>
      <c r="AD19" s="16"/>
      <c r="AE19" s="16" t="s">
        <v>854</v>
      </c>
    </row>
    <row r="20" spans="1:31" ht="13.5" customHeight="1" x14ac:dyDescent="0.3">
      <c r="A20" s="40" t="s">
        <v>638</v>
      </c>
      <c r="B20" s="16">
        <v>1</v>
      </c>
      <c r="C20" s="16">
        <v>1</v>
      </c>
      <c r="D20" s="16">
        <v>1</v>
      </c>
      <c r="E20" s="16">
        <v>1</v>
      </c>
      <c r="F20" s="16">
        <v>0</v>
      </c>
      <c r="G20" s="16">
        <v>0</v>
      </c>
      <c r="H20" s="16">
        <v>0</v>
      </c>
      <c r="I20" s="16">
        <v>0</v>
      </c>
      <c r="J20" s="16">
        <v>0</v>
      </c>
      <c r="K20" s="16">
        <v>0</v>
      </c>
      <c r="L20" s="16">
        <v>0</v>
      </c>
      <c r="M20" s="16">
        <v>0</v>
      </c>
      <c r="N20" s="16">
        <f>VLOOKUP(A20,Elasti_CSC_review_new!$G$2:$H$89,2,0)</f>
        <v>1</v>
      </c>
      <c r="O20" s="16">
        <f>VLOOKUP(A20,Elasti_GSC_review!$H$2:$I$89,2,0)</f>
        <v>0</v>
      </c>
      <c r="P20" s="16"/>
      <c r="Q20" s="16"/>
      <c r="R20" s="16"/>
      <c r="S20" s="16"/>
      <c r="T20" s="16"/>
      <c r="U20" s="16"/>
      <c r="V20" s="16"/>
      <c r="W20" s="16"/>
      <c r="X20" s="16"/>
      <c r="Y20" s="16"/>
      <c r="Z20" s="16"/>
      <c r="AA20" s="16"/>
      <c r="AB20" s="16"/>
      <c r="AC20" s="16"/>
      <c r="AD20" s="16"/>
      <c r="AE20" s="16" t="s">
        <v>855</v>
      </c>
    </row>
    <row r="21" spans="1:31" ht="13.5" customHeight="1" x14ac:dyDescent="0.3">
      <c r="A21" s="40" t="s">
        <v>388</v>
      </c>
      <c r="B21" s="16">
        <v>0</v>
      </c>
      <c r="C21" s="16">
        <v>0</v>
      </c>
      <c r="D21" s="16">
        <v>0</v>
      </c>
      <c r="E21" s="16">
        <v>0</v>
      </c>
      <c r="F21" s="16">
        <v>0</v>
      </c>
      <c r="G21" s="16">
        <v>0</v>
      </c>
      <c r="H21" s="16">
        <v>0</v>
      </c>
      <c r="I21" s="16">
        <v>0</v>
      </c>
      <c r="J21" s="16">
        <v>0</v>
      </c>
      <c r="K21" s="16">
        <v>0</v>
      </c>
      <c r="L21" s="16">
        <v>0</v>
      </c>
      <c r="M21" s="16">
        <v>0</v>
      </c>
      <c r="N21" s="16">
        <v>0</v>
      </c>
      <c r="O21" s="16">
        <v>0</v>
      </c>
      <c r="P21" s="16"/>
      <c r="Q21" s="16"/>
      <c r="R21" s="16"/>
      <c r="S21" s="16"/>
      <c r="T21" s="16"/>
      <c r="U21" s="16"/>
      <c r="V21" s="16"/>
      <c r="W21" s="16"/>
      <c r="X21" s="16"/>
      <c r="Y21" s="16"/>
      <c r="Z21" s="16"/>
      <c r="AA21" s="16"/>
      <c r="AB21" s="16"/>
      <c r="AC21" s="16"/>
      <c r="AD21" s="16"/>
      <c r="AE21" s="16" t="s">
        <v>856</v>
      </c>
    </row>
    <row r="22" spans="1:31" ht="13.5" customHeight="1" x14ac:dyDescent="0.3">
      <c r="A22" s="239" t="s">
        <v>416</v>
      </c>
      <c r="B22" s="16">
        <v>1</v>
      </c>
      <c r="C22" s="16">
        <v>1</v>
      </c>
      <c r="D22" s="16">
        <v>1</v>
      </c>
      <c r="E22" s="16">
        <v>1</v>
      </c>
      <c r="F22" s="16">
        <v>0</v>
      </c>
      <c r="G22" s="16">
        <v>0</v>
      </c>
      <c r="H22" s="16">
        <v>1</v>
      </c>
      <c r="I22" s="16">
        <v>0</v>
      </c>
      <c r="J22" s="16">
        <v>0</v>
      </c>
      <c r="K22" s="16">
        <v>0</v>
      </c>
      <c r="L22" s="16">
        <v>0</v>
      </c>
      <c r="M22" s="16">
        <v>0</v>
      </c>
      <c r="N22" s="16">
        <v>1</v>
      </c>
      <c r="O22" s="16">
        <v>0</v>
      </c>
      <c r="P22" s="16"/>
      <c r="Q22" s="16"/>
      <c r="R22" s="16"/>
      <c r="S22" s="16"/>
      <c r="T22" s="16"/>
      <c r="U22" s="16"/>
      <c r="V22" s="16"/>
      <c r="W22" s="16"/>
      <c r="X22" s="16"/>
      <c r="Y22" s="16"/>
      <c r="Z22" s="16"/>
      <c r="AA22" s="16"/>
      <c r="AB22" s="16"/>
      <c r="AC22" s="16"/>
      <c r="AD22" s="16"/>
      <c r="AE22" s="16" t="s">
        <v>857</v>
      </c>
    </row>
    <row r="23" spans="1:31" ht="13.5" customHeight="1" x14ac:dyDescent="0.3">
      <c r="A23" s="253" t="s">
        <v>163</v>
      </c>
      <c r="B23" s="63">
        <v>1</v>
      </c>
      <c r="C23" s="63">
        <v>1</v>
      </c>
      <c r="D23" s="63">
        <v>1</v>
      </c>
      <c r="E23" s="63">
        <v>1</v>
      </c>
      <c r="F23" s="63">
        <v>1</v>
      </c>
      <c r="G23" s="63">
        <v>1</v>
      </c>
      <c r="H23" s="63">
        <v>1</v>
      </c>
      <c r="I23" s="63">
        <v>0</v>
      </c>
      <c r="J23" s="63">
        <v>1</v>
      </c>
      <c r="K23" s="63">
        <v>0</v>
      </c>
      <c r="L23" s="63">
        <v>1</v>
      </c>
      <c r="M23" s="63">
        <v>1</v>
      </c>
      <c r="N23" s="16">
        <f>VLOOKUP(A23,Elasti_CSC_review_new!$G$2:$H$89,2,0)</f>
        <v>0</v>
      </c>
      <c r="O23" s="16">
        <f>VLOOKUP(A23,Elasti_GSC_review!$H$2:$I$89,2,0)</f>
        <v>1</v>
      </c>
      <c r="P23" s="16"/>
      <c r="Q23" s="16"/>
      <c r="R23" s="16"/>
      <c r="S23" s="16"/>
      <c r="T23" s="16"/>
      <c r="U23" s="16"/>
      <c r="V23" s="16"/>
      <c r="W23" s="16"/>
      <c r="X23" s="16"/>
      <c r="Y23" s="16"/>
      <c r="Z23" s="16"/>
      <c r="AA23" s="16"/>
      <c r="AB23" s="16"/>
      <c r="AC23" s="16"/>
      <c r="AD23" s="16"/>
      <c r="AE23" s="16"/>
    </row>
    <row r="24" spans="1:31" ht="13.5" customHeight="1" x14ac:dyDescent="0.3">
      <c r="A24" s="40" t="s">
        <v>640</v>
      </c>
      <c r="B24" s="16">
        <v>0</v>
      </c>
      <c r="C24" s="16">
        <v>1</v>
      </c>
      <c r="D24" s="16">
        <v>1</v>
      </c>
      <c r="E24" s="57">
        <v>1</v>
      </c>
      <c r="F24" s="16">
        <v>0</v>
      </c>
      <c r="G24" s="16">
        <v>0</v>
      </c>
      <c r="H24" s="16">
        <v>0</v>
      </c>
      <c r="I24" s="16">
        <v>0</v>
      </c>
      <c r="J24" s="16">
        <v>0</v>
      </c>
      <c r="K24" s="16">
        <v>0</v>
      </c>
      <c r="L24" s="16">
        <v>0</v>
      </c>
      <c r="M24" s="16">
        <v>0</v>
      </c>
      <c r="N24" s="16">
        <f>VLOOKUP(A24,Elasti_CSC_review_new!$G$2:$H$89,2,0)</f>
        <v>0</v>
      </c>
      <c r="O24" s="16">
        <f>VLOOKUP(A24,Elasti_GSC_review!$H$2:$I$89,2,0)</f>
        <v>0</v>
      </c>
      <c r="P24" s="16"/>
      <c r="Q24" s="16"/>
      <c r="R24" s="16"/>
      <c r="S24" s="16"/>
      <c r="T24" s="16"/>
      <c r="U24" s="16"/>
      <c r="V24" s="16"/>
      <c r="W24" s="16"/>
      <c r="X24" s="16"/>
      <c r="Y24" s="16"/>
      <c r="Z24" s="16"/>
      <c r="AA24" s="16"/>
      <c r="AB24" s="16"/>
      <c r="AC24" s="16"/>
      <c r="AD24" s="16"/>
      <c r="AE24" s="16" t="s">
        <v>858</v>
      </c>
    </row>
    <row r="25" spans="1:31" ht="13.5" customHeight="1" x14ac:dyDescent="0.3">
      <c r="A25" s="40" t="s">
        <v>641</v>
      </c>
      <c r="B25" s="16">
        <v>1</v>
      </c>
      <c r="C25" s="16">
        <v>1</v>
      </c>
      <c r="D25" s="16">
        <v>1</v>
      </c>
      <c r="E25" s="16">
        <v>1</v>
      </c>
      <c r="F25" s="16">
        <v>0</v>
      </c>
      <c r="G25" s="16">
        <v>0</v>
      </c>
      <c r="H25" s="16">
        <v>0</v>
      </c>
      <c r="I25" s="16">
        <v>0</v>
      </c>
      <c r="J25" s="16">
        <v>0</v>
      </c>
      <c r="K25" s="16">
        <v>0</v>
      </c>
      <c r="L25" s="16">
        <v>0</v>
      </c>
      <c r="M25" s="16">
        <v>0</v>
      </c>
      <c r="N25" s="16">
        <f>VLOOKUP(A25,Elasti_CSC_review_new!$G$2:$H$89,2,0)</f>
        <v>0</v>
      </c>
      <c r="O25" s="16">
        <f>VLOOKUP(A25,Elasti_GSC_review!$H$2:$I$89,2,0)</f>
        <v>0</v>
      </c>
      <c r="P25" s="16"/>
      <c r="Q25" s="16"/>
      <c r="R25" s="16"/>
      <c r="S25" s="16"/>
      <c r="T25" s="16"/>
      <c r="U25" s="16"/>
      <c r="V25" s="16"/>
      <c r="W25" s="16"/>
      <c r="X25" s="16"/>
      <c r="Y25" s="16"/>
      <c r="Z25" s="16"/>
      <c r="AA25" s="16"/>
      <c r="AB25" s="16"/>
      <c r="AC25" s="16"/>
      <c r="AD25" s="16"/>
      <c r="AE25" s="16" t="s">
        <v>859</v>
      </c>
    </row>
    <row r="26" spans="1:31" ht="13.5" customHeight="1" x14ac:dyDescent="0.3">
      <c r="A26" s="40" t="s">
        <v>642</v>
      </c>
      <c r="B26" s="16">
        <v>0</v>
      </c>
      <c r="C26" s="16">
        <v>1</v>
      </c>
      <c r="D26" s="16">
        <v>1</v>
      </c>
      <c r="E26" s="16">
        <v>0</v>
      </c>
      <c r="F26" s="16">
        <v>0</v>
      </c>
      <c r="G26" s="16">
        <v>0</v>
      </c>
      <c r="H26" s="16">
        <v>0</v>
      </c>
      <c r="I26" s="16">
        <v>0</v>
      </c>
      <c r="J26" s="16">
        <v>0</v>
      </c>
      <c r="K26" s="16">
        <v>0</v>
      </c>
      <c r="L26" s="16">
        <v>0</v>
      </c>
      <c r="M26" s="16">
        <v>0</v>
      </c>
      <c r="N26" s="16">
        <f>VLOOKUP(A26,Elasti_CSC_review_new!$G$2:$H$89,2,0)</f>
        <v>0</v>
      </c>
      <c r="O26" s="16">
        <f>VLOOKUP(A26,Elasti_GSC_review!$H$2:$I$89,2,0)</f>
        <v>0</v>
      </c>
      <c r="P26" s="16"/>
      <c r="Q26" s="16"/>
      <c r="R26" s="16"/>
      <c r="S26" s="16"/>
      <c r="T26" s="16"/>
      <c r="U26" s="16"/>
      <c r="V26" s="16"/>
      <c r="W26" s="16"/>
      <c r="X26" s="16"/>
      <c r="Y26" s="16"/>
      <c r="Z26" s="16"/>
      <c r="AA26" s="16"/>
      <c r="AB26" s="16"/>
      <c r="AC26" s="16"/>
      <c r="AD26" s="16"/>
      <c r="AE26" s="16" t="s">
        <v>860</v>
      </c>
    </row>
    <row r="27" spans="1:31" ht="13.5" customHeight="1" x14ac:dyDescent="0.3">
      <c r="A27" s="40" t="s">
        <v>643</v>
      </c>
      <c r="B27" s="16">
        <v>1</v>
      </c>
      <c r="C27" s="16">
        <v>1</v>
      </c>
      <c r="D27" s="16">
        <v>1</v>
      </c>
      <c r="E27" s="16">
        <v>1</v>
      </c>
      <c r="F27" s="16">
        <v>0</v>
      </c>
      <c r="G27" s="16">
        <v>0</v>
      </c>
      <c r="H27" s="16">
        <v>0</v>
      </c>
      <c r="I27" s="16">
        <v>0</v>
      </c>
      <c r="J27" s="16">
        <v>0</v>
      </c>
      <c r="K27" s="16">
        <v>0</v>
      </c>
      <c r="L27" s="16">
        <v>0</v>
      </c>
      <c r="M27" s="16">
        <v>0</v>
      </c>
      <c r="N27" s="16">
        <f>VLOOKUP(A27,Elasti_CSC_review_new!$G$2:$H$89,2,0)</f>
        <v>0</v>
      </c>
      <c r="O27" s="16">
        <f>VLOOKUP(A27,Elasti_GSC_review!$H$2:$I$89,2,0)</f>
        <v>0</v>
      </c>
      <c r="P27" s="16"/>
      <c r="Q27" s="16"/>
      <c r="R27" s="16"/>
      <c r="S27" s="16"/>
      <c r="T27" s="16"/>
      <c r="U27" s="16"/>
      <c r="V27" s="16"/>
      <c r="W27" s="16"/>
      <c r="X27" s="16"/>
      <c r="Y27" s="16"/>
      <c r="Z27" s="16"/>
      <c r="AA27" s="16"/>
      <c r="AB27" s="16"/>
      <c r="AC27" s="16"/>
      <c r="AD27" s="16"/>
      <c r="AE27" s="16" t="s">
        <v>861</v>
      </c>
    </row>
    <row r="28" spans="1:31" ht="13.5" customHeight="1" x14ac:dyDescent="0.3">
      <c r="A28" s="40" t="s">
        <v>639</v>
      </c>
      <c r="B28" s="16">
        <v>0</v>
      </c>
      <c r="C28" s="16">
        <v>1</v>
      </c>
      <c r="D28" s="16">
        <v>1</v>
      </c>
      <c r="E28" s="16">
        <v>0</v>
      </c>
      <c r="F28" s="16">
        <v>0</v>
      </c>
      <c r="G28" s="16">
        <v>0</v>
      </c>
      <c r="H28" s="16">
        <v>0</v>
      </c>
      <c r="I28" s="16">
        <v>0</v>
      </c>
      <c r="J28" s="16">
        <v>0</v>
      </c>
      <c r="K28" s="16">
        <v>0</v>
      </c>
      <c r="L28" s="16">
        <v>0</v>
      </c>
      <c r="M28" s="16">
        <v>0</v>
      </c>
      <c r="N28" s="16">
        <f>VLOOKUP(A28,Elasti_CSC_review_new!$G$2:$H$89,2,0)</f>
        <v>0</v>
      </c>
      <c r="O28" s="16">
        <f>VLOOKUP(A28,Elasti_GSC_review!$H$2:$I$89,2,0)</f>
        <v>0</v>
      </c>
      <c r="P28" s="16"/>
      <c r="Q28" s="16"/>
      <c r="R28" s="16"/>
      <c r="S28" s="16"/>
      <c r="T28" s="16"/>
      <c r="U28" s="16"/>
      <c r="V28" s="16"/>
      <c r="W28" s="16"/>
      <c r="X28" s="16"/>
      <c r="Y28" s="16"/>
      <c r="Z28" s="16"/>
      <c r="AA28" s="16"/>
      <c r="AB28" s="16"/>
      <c r="AC28" s="16"/>
      <c r="AD28" s="16"/>
      <c r="AE28" s="16" t="s">
        <v>862</v>
      </c>
    </row>
    <row r="29" spans="1:31" ht="13.5" customHeight="1" x14ac:dyDescent="0.3">
      <c r="A29" s="40" t="s">
        <v>75</v>
      </c>
      <c r="B29" s="16">
        <v>1</v>
      </c>
      <c r="C29" s="16">
        <v>1</v>
      </c>
      <c r="D29" s="16">
        <v>1</v>
      </c>
      <c r="E29" s="16">
        <v>1</v>
      </c>
      <c r="F29" s="16">
        <v>0</v>
      </c>
      <c r="G29" s="16">
        <v>0</v>
      </c>
      <c r="H29" s="16">
        <v>0</v>
      </c>
      <c r="I29" s="16">
        <v>0</v>
      </c>
      <c r="J29" s="16">
        <v>0</v>
      </c>
      <c r="K29" s="16">
        <v>0</v>
      </c>
      <c r="L29" s="16">
        <v>0</v>
      </c>
      <c r="M29" s="16">
        <v>0</v>
      </c>
      <c r="N29" s="16">
        <f>VLOOKUP(A29,Elasti_CSC_review_new!$G$2:$H$89,2,0)</f>
        <v>0</v>
      </c>
      <c r="O29" s="16">
        <f>VLOOKUP(A29,Elasti_GSC_review!$H$2:$I$89,2,0)</f>
        <v>0</v>
      </c>
      <c r="P29" s="16"/>
      <c r="Q29" s="16"/>
      <c r="R29" s="16"/>
      <c r="S29" s="16"/>
      <c r="T29" s="16"/>
      <c r="U29" s="16"/>
      <c r="V29" s="16"/>
      <c r="W29" s="16"/>
      <c r="X29" s="16"/>
      <c r="Y29" s="16"/>
      <c r="Z29" s="16"/>
      <c r="AA29" s="16"/>
      <c r="AB29" s="16"/>
      <c r="AC29" s="16"/>
      <c r="AD29" s="16"/>
      <c r="AE29" s="16" t="s">
        <v>863</v>
      </c>
    </row>
    <row r="30" spans="1:31" ht="13.5" customHeight="1" x14ac:dyDescent="0.3">
      <c r="A30" s="40" t="s">
        <v>133</v>
      </c>
      <c r="B30" s="16">
        <v>0</v>
      </c>
      <c r="C30" s="16">
        <v>0</v>
      </c>
      <c r="D30" s="16">
        <v>0</v>
      </c>
      <c r="E30" s="16">
        <v>0</v>
      </c>
      <c r="F30" s="16">
        <v>0</v>
      </c>
      <c r="G30" s="16">
        <v>0</v>
      </c>
      <c r="H30" s="16">
        <v>0</v>
      </c>
      <c r="I30" s="16">
        <v>0</v>
      </c>
      <c r="J30" s="16">
        <v>0</v>
      </c>
      <c r="K30" s="16">
        <v>0</v>
      </c>
      <c r="L30" s="16">
        <v>0</v>
      </c>
      <c r="M30" s="16">
        <v>0</v>
      </c>
      <c r="N30" s="16">
        <f>VLOOKUP(A30,Elasti_CSC_review_new!$G$2:$H$89,2,0)</f>
        <v>0</v>
      </c>
      <c r="O30" s="16">
        <f>VLOOKUP(A30,Elasti_GSC_review!$H$2:$I$89,2,0)</f>
        <v>0</v>
      </c>
      <c r="P30" s="16"/>
      <c r="Q30" s="16"/>
      <c r="R30" s="16"/>
      <c r="S30" s="16"/>
      <c r="T30" s="16"/>
      <c r="U30" s="16"/>
      <c r="V30" s="16"/>
      <c r="W30" s="16"/>
      <c r="X30" s="16"/>
      <c r="Y30" s="16"/>
      <c r="Z30" s="16"/>
      <c r="AA30" s="16"/>
      <c r="AB30" s="16"/>
      <c r="AC30" s="16"/>
      <c r="AD30" s="16"/>
      <c r="AE30" s="16" t="s">
        <v>864</v>
      </c>
    </row>
    <row r="31" spans="1:31" ht="13.5" customHeight="1" x14ac:dyDescent="0.3">
      <c r="A31" s="40" t="s">
        <v>644</v>
      </c>
      <c r="B31" s="16">
        <v>1</v>
      </c>
      <c r="C31" s="16">
        <v>1</v>
      </c>
      <c r="D31" s="16">
        <v>1</v>
      </c>
      <c r="E31" s="16">
        <v>1</v>
      </c>
      <c r="F31" s="16">
        <v>0</v>
      </c>
      <c r="G31" s="16">
        <v>0</v>
      </c>
      <c r="H31" s="16">
        <v>1</v>
      </c>
      <c r="I31" s="16">
        <v>0</v>
      </c>
      <c r="J31" s="63">
        <v>1</v>
      </c>
      <c r="K31" s="63">
        <v>0</v>
      </c>
      <c r="L31" s="63">
        <v>0</v>
      </c>
      <c r="M31" s="16">
        <v>0</v>
      </c>
      <c r="N31" s="16">
        <f>VLOOKUP(A31,Elasti_CSC_review_new!$G$2:$H$89,2,0)</f>
        <v>0</v>
      </c>
      <c r="O31" s="16">
        <f>VLOOKUP(A31,Elasti_GSC_review!$H$2:$I$89,2,0)</f>
        <v>0</v>
      </c>
      <c r="P31" s="16"/>
      <c r="Q31" s="16"/>
      <c r="R31" s="16"/>
      <c r="S31" s="16"/>
      <c r="T31" s="16"/>
      <c r="U31" s="16"/>
      <c r="V31" s="16"/>
      <c r="W31" s="16"/>
      <c r="X31" s="16"/>
      <c r="Y31" s="16"/>
      <c r="Z31" s="16"/>
      <c r="AA31" s="16"/>
      <c r="AB31" s="16"/>
      <c r="AC31" s="16"/>
      <c r="AD31" s="16"/>
      <c r="AE31" s="16" t="s">
        <v>865</v>
      </c>
    </row>
    <row r="32" spans="1:31" ht="13.5" customHeight="1" x14ac:dyDescent="0.3">
      <c r="A32" s="40" t="s">
        <v>645</v>
      </c>
      <c r="B32" s="16">
        <v>1</v>
      </c>
      <c r="C32" s="16">
        <v>1</v>
      </c>
      <c r="D32" s="16">
        <v>1</v>
      </c>
      <c r="E32" s="16">
        <v>1</v>
      </c>
      <c r="F32" s="16">
        <v>0</v>
      </c>
      <c r="G32" s="16">
        <v>1</v>
      </c>
      <c r="H32" s="16">
        <v>1</v>
      </c>
      <c r="I32" s="16">
        <v>0</v>
      </c>
      <c r="J32" s="16">
        <v>0</v>
      </c>
      <c r="K32" s="16">
        <v>0</v>
      </c>
      <c r="L32" s="16">
        <v>0</v>
      </c>
      <c r="M32" s="16">
        <v>1</v>
      </c>
      <c r="N32" s="16">
        <f>VLOOKUP(A32,Elasti_CSC_review_new!$G$2:$H$89,2,0)</f>
        <v>1</v>
      </c>
      <c r="O32" s="16">
        <f>VLOOKUP(A32,Elasti_GSC_review!$H$2:$I$89,2,0)</f>
        <v>1</v>
      </c>
      <c r="P32" s="16"/>
      <c r="Q32" s="16"/>
      <c r="R32" s="16"/>
      <c r="S32" s="16"/>
      <c r="T32" s="16"/>
      <c r="U32" s="16"/>
      <c r="V32" s="16"/>
      <c r="W32" s="16"/>
      <c r="X32" s="16"/>
      <c r="Y32" s="16"/>
      <c r="Z32" s="16"/>
      <c r="AA32" s="16"/>
      <c r="AB32" s="16"/>
      <c r="AC32" s="16"/>
      <c r="AD32" s="16"/>
      <c r="AE32" s="16" t="s">
        <v>866</v>
      </c>
    </row>
    <row r="33" spans="1:31" ht="13.5" customHeight="1" x14ac:dyDescent="0.3">
      <c r="A33" s="40" t="s">
        <v>646</v>
      </c>
      <c r="B33" s="16">
        <v>1</v>
      </c>
      <c r="C33" s="16">
        <v>1</v>
      </c>
      <c r="D33" s="16">
        <v>1</v>
      </c>
      <c r="E33" s="16">
        <v>1</v>
      </c>
      <c r="F33" s="16">
        <v>0</v>
      </c>
      <c r="G33" s="16">
        <v>0</v>
      </c>
      <c r="H33" s="16">
        <v>1</v>
      </c>
      <c r="I33" s="16">
        <v>0</v>
      </c>
      <c r="J33" s="16">
        <v>0</v>
      </c>
      <c r="K33" s="16">
        <v>0</v>
      </c>
      <c r="L33" s="16">
        <v>0</v>
      </c>
      <c r="M33" s="16">
        <v>0</v>
      </c>
      <c r="N33" s="16">
        <f>VLOOKUP(A33,Elasti_CSC_review_new!$G$2:$H$89,2,0)</f>
        <v>0</v>
      </c>
      <c r="O33" s="16">
        <f>VLOOKUP(A33,Elasti_GSC_review!$H$2:$I$89,2,0)</f>
        <v>0</v>
      </c>
      <c r="P33" s="16"/>
      <c r="Q33" s="16"/>
      <c r="R33" s="16"/>
      <c r="S33" s="16"/>
      <c r="T33" s="16"/>
      <c r="U33" s="16"/>
      <c r="V33" s="16"/>
      <c r="W33" s="16"/>
      <c r="X33" s="16"/>
      <c r="Y33" s="16"/>
      <c r="Z33" s="16"/>
      <c r="AA33" s="16"/>
      <c r="AB33" s="16"/>
      <c r="AC33" s="16"/>
      <c r="AD33" s="16"/>
      <c r="AE33" s="16" t="s">
        <v>867</v>
      </c>
    </row>
    <row r="34" spans="1:31" ht="13.5" customHeight="1" x14ac:dyDescent="0.3">
      <c r="A34" s="40" t="s">
        <v>647</v>
      </c>
      <c r="B34" s="16">
        <v>1</v>
      </c>
      <c r="C34" s="16">
        <v>1</v>
      </c>
      <c r="D34" s="16">
        <v>1</v>
      </c>
      <c r="E34" s="16">
        <v>1</v>
      </c>
      <c r="F34" s="16">
        <v>0</v>
      </c>
      <c r="G34" s="16">
        <v>0</v>
      </c>
      <c r="H34" s="16">
        <v>1</v>
      </c>
      <c r="I34" s="16">
        <v>0</v>
      </c>
      <c r="J34" s="16">
        <v>0</v>
      </c>
      <c r="K34" s="16">
        <v>0</v>
      </c>
      <c r="L34" s="16">
        <v>0</v>
      </c>
      <c r="M34" s="16">
        <v>0</v>
      </c>
      <c r="N34" s="16">
        <f>VLOOKUP(A34,Elasti_CSC_review_new!$G$2:$H$89,2,0)</f>
        <v>0</v>
      </c>
      <c r="O34" s="16">
        <f>VLOOKUP(A34,Elasti_GSC_review!$H$2:$I$89,2,0)</f>
        <v>0</v>
      </c>
      <c r="P34" s="16"/>
      <c r="Q34" s="16"/>
      <c r="R34" s="16"/>
      <c r="S34" s="16"/>
      <c r="T34" s="16"/>
      <c r="U34" s="16"/>
      <c r="V34" s="16"/>
      <c r="W34" s="16"/>
      <c r="X34" s="16"/>
      <c r="Y34" s="16"/>
      <c r="Z34" s="16"/>
      <c r="AA34" s="16"/>
      <c r="AB34" s="16"/>
      <c r="AC34" s="16"/>
      <c r="AD34" s="16"/>
      <c r="AE34" s="16" t="s">
        <v>868</v>
      </c>
    </row>
    <row r="35" spans="1:31" ht="13.5" customHeight="1" x14ac:dyDescent="0.3">
      <c r="A35" s="40" t="s">
        <v>91</v>
      </c>
      <c r="B35" s="16">
        <v>0</v>
      </c>
      <c r="C35" s="16">
        <v>1</v>
      </c>
      <c r="D35" s="16">
        <v>1</v>
      </c>
      <c r="E35" s="16">
        <v>0</v>
      </c>
      <c r="F35" s="16">
        <v>0</v>
      </c>
      <c r="G35" s="16">
        <v>0</v>
      </c>
      <c r="H35" s="16">
        <v>0</v>
      </c>
      <c r="I35" s="16">
        <v>0</v>
      </c>
      <c r="J35" s="16">
        <v>0</v>
      </c>
      <c r="K35" s="16">
        <v>0</v>
      </c>
      <c r="L35" s="16">
        <v>0</v>
      </c>
      <c r="M35" s="16">
        <v>0</v>
      </c>
      <c r="N35" s="16">
        <f>VLOOKUP(A35,Elasti_CSC_review_new!$G$2:$H$89,2,0)</f>
        <v>1</v>
      </c>
      <c r="O35" s="16">
        <f>VLOOKUP(A35,Elasti_GSC_review!$H$2:$I$89,2,0)</f>
        <v>0</v>
      </c>
      <c r="P35" s="16"/>
      <c r="Q35" s="16"/>
      <c r="R35" s="16"/>
      <c r="S35" s="16"/>
      <c r="T35" s="16"/>
      <c r="U35" s="16"/>
      <c r="V35" s="16"/>
      <c r="W35" s="16"/>
      <c r="X35" s="16"/>
      <c r="Y35" s="16"/>
      <c r="Z35" s="16"/>
      <c r="AA35" s="16"/>
      <c r="AB35" s="16"/>
      <c r="AC35" s="16"/>
      <c r="AD35" s="16"/>
      <c r="AE35" s="16" t="s">
        <v>869</v>
      </c>
    </row>
    <row r="36" spans="1:31" ht="13.5" customHeight="1" x14ac:dyDescent="0.3">
      <c r="A36" s="254" t="s">
        <v>809</v>
      </c>
      <c r="B36" s="16">
        <v>0</v>
      </c>
      <c r="C36" s="16">
        <v>0</v>
      </c>
      <c r="D36" s="16">
        <v>0</v>
      </c>
      <c r="E36" s="16">
        <v>1</v>
      </c>
      <c r="F36" s="16">
        <v>1</v>
      </c>
      <c r="G36" s="16">
        <v>0</v>
      </c>
      <c r="H36" s="16">
        <v>1</v>
      </c>
      <c r="I36" s="16">
        <v>1</v>
      </c>
      <c r="J36" s="16">
        <v>1</v>
      </c>
      <c r="K36" s="16">
        <v>1</v>
      </c>
      <c r="L36" s="16">
        <v>1</v>
      </c>
      <c r="M36" s="16">
        <v>0</v>
      </c>
      <c r="N36" s="16">
        <f>VLOOKUP(A36,Elasti_CSC_review_new!$G$2:$H$89,2,0)</f>
        <v>1</v>
      </c>
      <c r="O36" s="16">
        <f>VLOOKUP(A36,Elasti_GSC_review!$H$2:$I$89,2,0)</f>
        <v>0</v>
      </c>
      <c r="P36" s="16"/>
      <c r="Q36" s="16"/>
      <c r="R36" s="16"/>
      <c r="S36" s="16"/>
      <c r="T36" s="16"/>
      <c r="U36" s="16"/>
      <c r="V36" s="16"/>
      <c r="W36" s="16"/>
      <c r="X36" s="16"/>
      <c r="Y36" s="16"/>
      <c r="Z36" s="16"/>
      <c r="AA36" s="16"/>
      <c r="AB36" s="16"/>
      <c r="AC36" s="16"/>
      <c r="AD36" s="16"/>
      <c r="AE36" s="16" t="s">
        <v>814</v>
      </c>
    </row>
    <row r="37" spans="1:31" ht="13.5" customHeight="1" x14ac:dyDescent="0.3">
      <c r="A37" s="40" t="s">
        <v>649</v>
      </c>
      <c r="B37" s="16">
        <v>1</v>
      </c>
      <c r="C37" s="16">
        <v>1</v>
      </c>
      <c r="D37" s="16">
        <v>1</v>
      </c>
      <c r="E37" s="16">
        <v>1</v>
      </c>
      <c r="F37" s="16">
        <v>0</v>
      </c>
      <c r="G37" s="16">
        <v>0</v>
      </c>
      <c r="H37" s="16">
        <v>1</v>
      </c>
      <c r="I37" s="16">
        <v>0</v>
      </c>
      <c r="J37" s="16">
        <v>0</v>
      </c>
      <c r="K37" s="16">
        <v>0</v>
      </c>
      <c r="L37" s="16">
        <v>0</v>
      </c>
      <c r="M37" s="16">
        <v>0</v>
      </c>
      <c r="N37" s="16">
        <f>VLOOKUP(A37,Elasti_CSC_review_new!$G$2:$H$89,2,0)</f>
        <v>1</v>
      </c>
      <c r="O37" s="16">
        <f>VLOOKUP(A37,Elasti_GSC_review!$H$2:$I$89,2,0)</f>
        <v>0</v>
      </c>
      <c r="P37" s="16"/>
      <c r="Q37" s="16"/>
      <c r="R37" s="16"/>
      <c r="S37" s="16"/>
      <c r="T37" s="16"/>
      <c r="U37" s="16"/>
      <c r="V37" s="16"/>
      <c r="W37" s="16"/>
      <c r="X37" s="16"/>
      <c r="Y37" s="16"/>
      <c r="Z37" s="16"/>
      <c r="AA37" s="16"/>
      <c r="AB37" s="16"/>
      <c r="AC37" s="16"/>
      <c r="AD37" s="16"/>
      <c r="AE37" s="16" t="s">
        <v>870</v>
      </c>
    </row>
    <row r="38" spans="1:31" ht="13.5" customHeight="1" x14ac:dyDescent="0.3">
      <c r="A38" s="239" t="s">
        <v>100</v>
      </c>
      <c r="B38" s="16">
        <v>0</v>
      </c>
      <c r="C38" s="16">
        <v>1</v>
      </c>
      <c r="D38" s="16">
        <v>0</v>
      </c>
      <c r="E38" s="16">
        <v>0</v>
      </c>
      <c r="F38" s="16">
        <v>0</v>
      </c>
      <c r="G38" s="16">
        <v>0</v>
      </c>
      <c r="H38" s="16">
        <v>1</v>
      </c>
      <c r="I38" s="16">
        <v>0</v>
      </c>
      <c r="J38" s="16">
        <v>0</v>
      </c>
      <c r="K38" s="16">
        <v>0</v>
      </c>
      <c r="L38" s="16">
        <v>0</v>
      </c>
      <c r="M38" s="16">
        <v>0</v>
      </c>
      <c r="N38" s="16">
        <f>VLOOKUP(A38,Elasti_CSC_review_new!$G$2:$H$89,2,0)</f>
        <v>0</v>
      </c>
      <c r="O38" s="16">
        <f>VLOOKUP(A38,Elasti_GSC_review!$H$2:$I$89,2,0)</f>
        <v>0</v>
      </c>
      <c r="P38" s="16"/>
      <c r="Q38" s="16"/>
      <c r="R38" s="16"/>
      <c r="S38" s="16"/>
      <c r="T38" s="16"/>
      <c r="U38" s="16"/>
      <c r="V38" s="16"/>
      <c r="W38" s="16"/>
      <c r="X38" s="16"/>
      <c r="Y38" s="16"/>
      <c r="Z38" s="16"/>
      <c r="AA38" s="16"/>
      <c r="AB38" s="16"/>
      <c r="AC38" s="16"/>
      <c r="AD38" s="16"/>
      <c r="AE38" s="16" t="s">
        <v>871</v>
      </c>
    </row>
    <row r="39" spans="1:31" ht="13.5" customHeight="1" x14ac:dyDescent="0.3">
      <c r="A39" s="40" t="s">
        <v>119</v>
      </c>
      <c r="B39" s="16">
        <v>1</v>
      </c>
      <c r="C39" s="16">
        <v>0</v>
      </c>
      <c r="D39" s="16">
        <v>0</v>
      </c>
      <c r="E39" s="16">
        <v>1</v>
      </c>
      <c r="F39" s="16">
        <v>1</v>
      </c>
      <c r="G39" s="16">
        <v>0</v>
      </c>
      <c r="H39" s="16">
        <v>0</v>
      </c>
      <c r="I39" s="16">
        <v>0</v>
      </c>
      <c r="J39" s="16">
        <v>0</v>
      </c>
      <c r="K39" s="16">
        <v>0</v>
      </c>
      <c r="L39" s="16">
        <v>0</v>
      </c>
      <c r="M39" s="16">
        <v>0</v>
      </c>
      <c r="N39" s="16">
        <f>VLOOKUP(A39,Elasti_CSC_review_new!$G$2:$H$89,2,0)</f>
        <v>0</v>
      </c>
      <c r="O39" s="16">
        <f>VLOOKUP(A39,Elasti_GSC_review!$H$2:$I$89,2,0)</f>
        <v>0</v>
      </c>
      <c r="P39" s="16"/>
      <c r="Q39" s="16"/>
      <c r="R39" s="16"/>
      <c r="S39" s="16"/>
      <c r="T39" s="16"/>
      <c r="U39" s="16"/>
      <c r="V39" s="16"/>
      <c r="W39" s="16"/>
      <c r="X39" s="16"/>
      <c r="Y39" s="16"/>
      <c r="Z39" s="16"/>
      <c r="AA39" s="16"/>
      <c r="AB39" s="16"/>
      <c r="AC39" s="16"/>
      <c r="AD39" s="16"/>
      <c r="AE39" s="16" t="s">
        <v>872</v>
      </c>
    </row>
    <row r="40" spans="1:31" ht="13.5" customHeight="1" x14ac:dyDescent="0.3">
      <c r="A40" s="40" t="s">
        <v>122</v>
      </c>
      <c r="B40" s="16">
        <v>1</v>
      </c>
      <c r="C40" s="16">
        <v>0</v>
      </c>
      <c r="D40" s="16">
        <v>0</v>
      </c>
      <c r="E40" s="16">
        <v>1</v>
      </c>
      <c r="F40" s="16">
        <v>1</v>
      </c>
      <c r="G40" s="16">
        <v>0</v>
      </c>
      <c r="H40" s="16">
        <v>0</v>
      </c>
      <c r="I40" s="16">
        <v>0</v>
      </c>
      <c r="J40" s="16">
        <v>0</v>
      </c>
      <c r="K40" s="16">
        <v>0</v>
      </c>
      <c r="L40" s="16">
        <v>0</v>
      </c>
      <c r="M40" s="16">
        <v>0</v>
      </c>
      <c r="N40" s="16">
        <f>VLOOKUP(A40,Elasti_CSC_review_new!$G$2:$H$89,2,0)</f>
        <v>0</v>
      </c>
      <c r="O40" s="16">
        <f>VLOOKUP(A40,Elasti_GSC_review!$H$2:$I$89,2,0)</f>
        <v>0</v>
      </c>
      <c r="P40" s="16"/>
      <c r="Q40" s="16"/>
      <c r="R40" s="16"/>
      <c r="S40" s="16"/>
      <c r="T40" s="16"/>
      <c r="U40" s="16"/>
      <c r="V40" s="16"/>
      <c r="W40" s="16"/>
      <c r="X40" s="16"/>
      <c r="Y40" s="16"/>
      <c r="Z40" s="16"/>
      <c r="AA40" s="16"/>
      <c r="AB40" s="16"/>
      <c r="AC40" s="16"/>
      <c r="AD40" s="16"/>
      <c r="AE40" s="16" t="s">
        <v>872</v>
      </c>
    </row>
    <row r="41" spans="1:31" ht="13.5" customHeight="1" x14ac:dyDescent="0.3">
      <c r="A41" s="63" t="s">
        <v>157</v>
      </c>
      <c r="B41" s="63">
        <v>1</v>
      </c>
      <c r="C41" s="63">
        <v>1</v>
      </c>
      <c r="D41" s="63">
        <v>1</v>
      </c>
      <c r="E41" s="63">
        <v>1</v>
      </c>
      <c r="F41" s="63">
        <v>1</v>
      </c>
      <c r="G41" s="63">
        <v>1</v>
      </c>
      <c r="H41" s="63">
        <v>1</v>
      </c>
      <c r="I41" s="63">
        <v>1</v>
      </c>
      <c r="J41" s="63">
        <v>0</v>
      </c>
      <c r="K41" s="63">
        <v>0</v>
      </c>
      <c r="L41" s="63">
        <v>0</v>
      </c>
      <c r="M41" s="63">
        <v>1</v>
      </c>
      <c r="N41" s="16">
        <f>VLOOKUP(A41,Elasti_CSC_review_new!$G$2:$H$89,2,0)</f>
        <v>0</v>
      </c>
      <c r="O41" s="16">
        <f>VLOOKUP(A41,Elasti_GSC_review!$H$2:$I$89,2,0)</f>
        <v>1</v>
      </c>
      <c r="P41" s="16"/>
      <c r="Q41" s="16"/>
      <c r="R41" s="16"/>
      <c r="S41" s="16"/>
      <c r="T41" s="16"/>
      <c r="U41" s="16"/>
      <c r="V41" s="16"/>
      <c r="W41" s="16"/>
      <c r="X41" s="16"/>
      <c r="Y41" s="16"/>
      <c r="Z41" s="16"/>
      <c r="AA41" s="16"/>
      <c r="AB41" s="16"/>
      <c r="AC41" s="16"/>
      <c r="AD41" s="16"/>
      <c r="AE41" s="16"/>
    </row>
    <row r="42" spans="1:31" ht="13.5" customHeight="1" x14ac:dyDescent="0.3">
      <c r="A42" s="63" t="s">
        <v>257</v>
      </c>
      <c r="B42" s="63">
        <v>1</v>
      </c>
      <c r="C42" s="63">
        <v>1</v>
      </c>
      <c r="D42" s="63">
        <v>1</v>
      </c>
      <c r="E42" s="63">
        <v>1</v>
      </c>
      <c r="F42" s="63">
        <v>1</v>
      </c>
      <c r="G42" s="63">
        <v>0</v>
      </c>
      <c r="H42" s="63">
        <v>0</v>
      </c>
      <c r="I42" s="63">
        <v>0</v>
      </c>
      <c r="J42" s="63">
        <v>0</v>
      </c>
      <c r="K42" s="63">
        <v>0</v>
      </c>
      <c r="L42" s="63">
        <v>0</v>
      </c>
      <c r="M42" s="63">
        <v>0</v>
      </c>
      <c r="N42" s="16">
        <v>0</v>
      </c>
      <c r="O42" s="16">
        <v>0</v>
      </c>
      <c r="P42" s="16"/>
      <c r="Q42" s="16"/>
      <c r="R42" s="16"/>
      <c r="S42" s="16"/>
      <c r="T42" s="16"/>
      <c r="U42" s="16"/>
      <c r="V42" s="16"/>
      <c r="W42" s="16"/>
      <c r="X42" s="16"/>
      <c r="Y42" s="16"/>
      <c r="Z42" s="16"/>
      <c r="AA42" s="16"/>
      <c r="AB42" s="16"/>
      <c r="AC42" s="16"/>
      <c r="AD42" s="16"/>
      <c r="AE42" s="16"/>
    </row>
    <row r="43" spans="1:31" ht="13.5" customHeight="1" x14ac:dyDescent="0.3">
      <c r="A43" s="40" t="s">
        <v>650</v>
      </c>
      <c r="B43" s="16">
        <v>1</v>
      </c>
      <c r="C43" s="16">
        <v>1</v>
      </c>
      <c r="D43" s="16">
        <v>1</v>
      </c>
      <c r="E43" s="16">
        <v>1</v>
      </c>
      <c r="F43" s="16">
        <v>0</v>
      </c>
      <c r="G43" s="16">
        <v>0</v>
      </c>
      <c r="H43" s="16">
        <v>0</v>
      </c>
      <c r="I43" s="16">
        <v>0</v>
      </c>
      <c r="J43" s="16">
        <v>0</v>
      </c>
      <c r="K43" s="16">
        <v>0</v>
      </c>
      <c r="L43" s="16">
        <v>0</v>
      </c>
      <c r="M43" s="16">
        <v>0</v>
      </c>
      <c r="N43" s="16">
        <f>VLOOKUP(A43,Elasti_CSC_review_new!$G$2:$H$89,2,0)</f>
        <v>0</v>
      </c>
      <c r="O43" s="16">
        <f>VLOOKUP(A43,Elasti_GSC_review!$H$2:$I$89,2,0)</f>
        <v>0</v>
      </c>
      <c r="P43" s="16"/>
      <c r="Q43" s="16"/>
      <c r="R43" s="16"/>
      <c r="S43" s="16"/>
      <c r="T43" s="16"/>
      <c r="U43" s="16"/>
      <c r="V43" s="16"/>
      <c r="W43" s="16"/>
      <c r="X43" s="16"/>
      <c r="Y43" s="16"/>
      <c r="Z43" s="16"/>
      <c r="AA43" s="16"/>
      <c r="AB43" s="16"/>
      <c r="AC43" s="16"/>
      <c r="AD43" s="16"/>
      <c r="AE43" s="16" t="s">
        <v>873</v>
      </c>
    </row>
    <row r="44" spans="1:31" ht="13.5" customHeight="1" x14ac:dyDescent="0.3">
      <c r="A44" s="239" t="s">
        <v>651</v>
      </c>
      <c r="B44" s="16">
        <v>1</v>
      </c>
      <c r="C44" s="16">
        <v>1</v>
      </c>
      <c r="D44" s="16">
        <v>1</v>
      </c>
      <c r="E44" s="16">
        <v>1</v>
      </c>
      <c r="F44" s="16">
        <v>0</v>
      </c>
      <c r="G44" s="16">
        <v>1</v>
      </c>
      <c r="H44" s="16">
        <v>1</v>
      </c>
      <c r="I44" s="16">
        <v>0</v>
      </c>
      <c r="J44" s="16">
        <v>0</v>
      </c>
      <c r="K44" s="16">
        <v>0</v>
      </c>
      <c r="L44" s="16">
        <v>0</v>
      </c>
      <c r="M44" s="16">
        <v>1</v>
      </c>
      <c r="N44" s="16">
        <f>VLOOKUP(A44,Elasti_CSC_review_new!$G$2:$H$89,2,0)</f>
        <v>0</v>
      </c>
      <c r="O44" s="16">
        <f>VLOOKUP(A44,Elasti_GSC_review!$H$2:$I$89,2,0)</f>
        <v>1</v>
      </c>
      <c r="P44" s="16"/>
      <c r="Q44" s="16"/>
      <c r="R44" s="16"/>
      <c r="S44" s="16"/>
      <c r="T44" s="16"/>
      <c r="U44" s="16"/>
      <c r="V44" s="16"/>
      <c r="W44" s="16"/>
      <c r="X44" s="16"/>
      <c r="Y44" s="16"/>
      <c r="Z44" s="16"/>
      <c r="AA44" s="16"/>
      <c r="AB44" s="16"/>
      <c r="AC44" s="16"/>
      <c r="AD44" s="16"/>
      <c r="AE44" s="16" t="s">
        <v>874</v>
      </c>
    </row>
    <row r="45" spans="1:31" ht="13.5" customHeight="1" x14ac:dyDescent="0.3">
      <c r="A45" s="40" t="s">
        <v>144</v>
      </c>
      <c r="B45" s="16">
        <v>1</v>
      </c>
      <c r="C45" s="16">
        <v>1</v>
      </c>
      <c r="D45" s="16">
        <v>1</v>
      </c>
      <c r="E45" s="16">
        <v>1</v>
      </c>
      <c r="F45" s="16">
        <v>0</v>
      </c>
      <c r="G45" s="16">
        <v>0</v>
      </c>
      <c r="H45" s="16">
        <v>1</v>
      </c>
      <c r="I45" s="16">
        <v>1</v>
      </c>
      <c r="J45" s="16">
        <v>0</v>
      </c>
      <c r="K45" s="16">
        <v>0</v>
      </c>
      <c r="L45" s="16">
        <v>0</v>
      </c>
      <c r="M45" s="16">
        <v>0</v>
      </c>
      <c r="N45" s="16">
        <f>VLOOKUP(A45,Elasti_CSC_review_new!$G$2:$H$89,2,0)</f>
        <v>0</v>
      </c>
      <c r="O45" s="16">
        <f>VLOOKUP(A45,Elasti_GSC_review!$H$2:$I$89,2,0)</f>
        <v>0</v>
      </c>
      <c r="P45" s="16"/>
      <c r="Q45" s="16"/>
      <c r="R45" s="16"/>
      <c r="S45" s="16"/>
      <c r="T45" s="16"/>
      <c r="U45" s="16"/>
      <c r="V45" s="16"/>
      <c r="W45" s="16"/>
      <c r="X45" s="16"/>
      <c r="Y45" s="16"/>
      <c r="Z45" s="16"/>
      <c r="AA45" s="16"/>
      <c r="AB45" s="16"/>
      <c r="AC45" s="16"/>
      <c r="AD45" s="16"/>
      <c r="AE45" s="16" t="s">
        <v>875</v>
      </c>
    </row>
    <row r="46" spans="1:31" ht="13.5" customHeight="1" x14ac:dyDescent="0.3">
      <c r="A46" s="239" t="s">
        <v>1569</v>
      </c>
      <c r="B46" s="16">
        <v>0</v>
      </c>
      <c r="C46" s="16">
        <v>0</v>
      </c>
      <c r="D46" s="16">
        <v>0</v>
      </c>
      <c r="E46" s="16">
        <v>0</v>
      </c>
      <c r="F46" s="16">
        <v>0</v>
      </c>
      <c r="G46" s="16">
        <v>0</v>
      </c>
      <c r="H46" s="16">
        <v>0</v>
      </c>
      <c r="I46" s="16">
        <v>0</v>
      </c>
      <c r="J46" s="16">
        <v>0</v>
      </c>
      <c r="K46" s="16">
        <v>0</v>
      </c>
      <c r="L46" s="16">
        <v>0</v>
      </c>
      <c r="M46" s="16">
        <v>0</v>
      </c>
      <c r="N46" s="16">
        <v>1</v>
      </c>
      <c r="O46" s="16">
        <v>1</v>
      </c>
      <c r="P46" s="16"/>
      <c r="Q46" s="16"/>
      <c r="R46" s="16"/>
      <c r="S46" s="16"/>
      <c r="T46" s="16"/>
      <c r="U46" s="16"/>
      <c r="V46" s="16"/>
      <c r="W46" s="16"/>
      <c r="X46" s="16"/>
      <c r="Y46" s="16"/>
      <c r="Z46" s="16"/>
      <c r="AA46" s="16"/>
      <c r="AB46" s="16"/>
      <c r="AC46" s="16"/>
      <c r="AD46" s="16"/>
      <c r="AE46" s="16" t="s">
        <v>1615</v>
      </c>
    </row>
    <row r="47" spans="1:31" ht="13.5" customHeight="1" x14ac:dyDescent="0.3">
      <c r="A47" s="18" t="s">
        <v>616</v>
      </c>
      <c r="B47" s="18"/>
      <c r="C47" s="18"/>
      <c r="D47" s="18"/>
      <c r="E47" s="18"/>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row>
    <row r="48" spans="1:31" ht="13.5" customHeight="1" x14ac:dyDescent="0.3">
      <c r="A48" s="16" t="s">
        <v>614</v>
      </c>
      <c r="B48" s="16">
        <v>1</v>
      </c>
      <c r="C48" s="16">
        <v>1</v>
      </c>
      <c r="D48" s="16">
        <v>1</v>
      </c>
      <c r="E48" s="16">
        <v>1</v>
      </c>
      <c r="F48" s="16">
        <v>1</v>
      </c>
      <c r="G48" s="16">
        <v>0</v>
      </c>
      <c r="H48" s="16">
        <v>1</v>
      </c>
      <c r="I48" s="16">
        <v>1</v>
      </c>
      <c r="J48" s="16">
        <v>1</v>
      </c>
      <c r="K48" s="16">
        <v>1</v>
      </c>
      <c r="L48" s="16">
        <v>1</v>
      </c>
      <c r="M48" s="16">
        <v>0</v>
      </c>
      <c r="N48" s="16">
        <v>1</v>
      </c>
      <c r="O48" s="16">
        <v>0</v>
      </c>
      <c r="P48" s="16"/>
      <c r="Q48" s="16"/>
      <c r="R48" s="16"/>
      <c r="S48" s="16"/>
      <c r="T48" s="16"/>
      <c r="U48" s="16"/>
      <c r="V48" s="16"/>
      <c r="W48" s="16"/>
      <c r="X48" s="16"/>
      <c r="Y48" s="16"/>
      <c r="Z48" s="16"/>
      <c r="AA48" s="16"/>
      <c r="AB48" s="16"/>
      <c r="AC48" s="16"/>
      <c r="AD48" s="16"/>
      <c r="AE48" s="138" t="s">
        <v>843</v>
      </c>
    </row>
    <row r="49" spans="1:31" ht="13.5" customHeight="1" x14ac:dyDescent="0.3">
      <c r="A49" s="16" t="s">
        <v>615</v>
      </c>
      <c r="B49" s="16">
        <v>1</v>
      </c>
      <c r="C49" s="16">
        <v>1</v>
      </c>
      <c r="D49" s="16">
        <v>1</v>
      </c>
      <c r="E49" s="16">
        <v>1</v>
      </c>
      <c r="F49" s="16">
        <v>1</v>
      </c>
      <c r="G49" s="16">
        <v>0</v>
      </c>
      <c r="H49" s="16">
        <v>1</v>
      </c>
      <c r="I49" s="16">
        <v>1</v>
      </c>
      <c r="J49" s="16">
        <v>1</v>
      </c>
      <c r="K49" s="16">
        <v>1</v>
      </c>
      <c r="L49" s="16">
        <v>1</v>
      </c>
      <c r="M49" s="16">
        <v>0</v>
      </c>
      <c r="N49" s="16">
        <v>1</v>
      </c>
      <c r="O49" s="16">
        <v>0</v>
      </c>
      <c r="P49" s="16"/>
      <c r="Q49" s="16"/>
      <c r="R49" s="16"/>
      <c r="S49" s="16"/>
      <c r="T49" s="16"/>
      <c r="U49" s="16"/>
      <c r="V49" s="16"/>
      <c r="W49" s="16"/>
      <c r="X49" s="16"/>
      <c r="Y49" s="16"/>
      <c r="Z49" s="16"/>
      <c r="AA49" s="16"/>
      <c r="AB49" s="16"/>
      <c r="AC49" s="16"/>
      <c r="AD49" s="16"/>
      <c r="AE49" s="138" t="s">
        <v>844</v>
      </c>
    </row>
    <row r="50" spans="1:31" ht="13.5" customHeight="1" x14ac:dyDescent="0.3">
      <c r="A50" s="63" t="s">
        <v>1176</v>
      </c>
      <c r="B50" s="16">
        <v>1</v>
      </c>
      <c r="C50" s="16">
        <v>1</v>
      </c>
      <c r="D50" s="16">
        <v>1</v>
      </c>
      <c r="E50" s="16">
        <v>1</v>
      </c>
      <c r="F50" s="16">
        <v>0</v>
      </c>
      <c r="G50" s="16">
        <v>0</v>
      </c>
      <c r="H50" s="16">
        <v>1</v>
      </c>
      <c r="I50" s="16">
        <v>0</v>
      </c>
      <c r="J50" s="63">
        <v>1</v>
      </c>
      <c r="K50" s="63">
        <v>0</v>
      </c>
      <c r="L50" s="63">
        <v>1</v>
      </c>
      <c r="M50" s="16">
        <v>0</v>
      </c>
      <c r="N50" s="16">
        <v>0</v>
      </c>
      <c r="O50" s="16">
        <v>0</v>
      </c>
      <c r="P50" s="16"/>
      <c r="Q50" s="16"/>
      <c r="R50" s="16"/>
      <c r="S50" s="16"/>
      <c r="T50" s="16"/>
      <c r="U50" s="16"/>
      <c r="V50" s="16"/>
      <c r="W50" s="16"/>
      <c r="X50" s="16"/>
      <c r="Y50" s="16"/>
      <c r="Z50" s="16"/>
      <c r="AA50" s="16"/>
      <c r="AB50" s="16"/>
      <c r="AC50" s="16"/>
      <c r="AD50" s="16"/>
      <c r="AE50" s="138" t="s">
        <v>1177</v>
      </c>
    </row>
    <row r="51" spans="1:31" ht="13.5" customHeight="1" x14ac:dyDescent="0.3">
      <c r="A51" s="18" t="s">
        <v>417</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row>
    <row r="52" spans="1:31" ht="13.5" customHeight="1" x14ac:dyDescent="0.3">
      <c r="A52" s="4" t="s">
        <v>395</v>
      </c>
      <c r="B52" s="16">
        <v>512</v>
      </c>
      <c r="C52" s="16">
        <v>512</v>
      </c>
      <c r="D52" s="16">
        <v>512</v>
      </c>
      <c r="E52" s="16">
        <v>512</v>
      </c>
      <c r="F52" s="16">
        <v>512</v>
      </c>
      <c r="G52" s="16">
        <v>512</v>
      </c>
      <c r="H52" s="16">
        <v>512</v>
      </c>
      <c r="I52" s="16">
        <v>512</v>
      </c>
      <c r="J52" s="16">
        <v>512</v>
      </c>
      <c r="K52" s="16">
        <v>512</v>
      </c>
      <c r="L52" s="16">
        <v>512</v>
      </c>
      <c r="M52" s="16">
        <v>512</v>
      </c>
      <c r="N52" s="16">
        <v>512</v>
      </c>
      <c r="O52" s="16">
        <v>512</v>
      </c>
      <c r="P52" s="16"/>
      <c r="Q52" s="16"/>
      <c r="R52" s="16"/>
      <c r="S52" s="16"/>
      <c r="T52" s="16"/>
      <c r="U52" s="16"/>
      <c r="V52" s="16"/>
      <c r="W52" s="16"/>
      <c r="X52" s="16"/>
      <c r="Y52" s="16"/>
      <c r="Z52" s="16"/>
      <c r="AA52" s="16"/>
      <c r="AB52" s="16"/>
      <c r="AC52" s="16"/>
      <c r="AD52" s="16"/>
      <c r="AE52" s="138" t="s">
        <v>839</v>
      </c>
    </row>
    <row r="53" spans="1:31" ht="12.45" customHeight="1" x14ac:dyDescent="0.3">
      <c r="A53" s="4" t="s">
        <v>396</v>
      </c>
      <c r="B53" s="16">
        <v>32</v>
      </c>
      <c r="C53" s="16">
        <v>32</v>
      </c>
      <c r="D53" s="16">
        <v>32</v>
      </c>
      <c r="E53" s="16">
        <v>32</v>
      </c>
      <c r="F53" s="16">
        <v>32</v>
      </c>
      <c r="G53" s="16">
        <v>32</v>
      </c>
      <c r="H53" s="16">
        <v>32</v>
      </c>
      <c r="I53" s="16">
        <v>32</v>
      </c>
      <c r="J53" s="16">
        <v>32</v>
      </c>
      <c r="K53" s="16">
        <v>32</v>
      </c>
      <c r="L53" s="16">
        <v>32</v>
      </c>
      <c r="M53" s="16">
        <v>32</v>
      </c>
      <c r="N53" s="16">
        <v>32</v>
      </c>
      <c r="O53" s="16">
        <v>32</v>
      </c>
      <c r="P53" s="16"/>
      <c r="Q53" s="16"/>
      <c r="R53" s="16"/>
      <c r="S53" s="16"/>
      <c r="T53" s="16"/>
      <c r="U53" s="16"/>
      <c r="V53" s="16"/>
      <c r="W53" s="16"/>
      <c r="X53" s="16"/>
      <c r="Y53" s="16"/>
      <c r="Z53" s="16"/>
      <c r="AA53" s="16"/>
      <c r="AB53" s="16"/>
      <c r="AC53" s="16"/>
      <c r="AD53" s="16"/>
      <c r="AE53" s="138" t="s">
        <v>840</v>
      </c>
    </row>
    <row r="54" spans="1:31" ht="12.45" customHeight="1" x14ac:dyDescent="0.3">
      <c r="A54" s="4" t="s">
        <v>397</v>
      </c>
      <c r="B54" s="16">
        <v>256</v>
      </c>
      <c r="C54" s="16">
        <v>256</v>
      </c>
      <c r="D54" s="16">
        <v>256</v>
      </c>
      <c r="E54" s="16">
        <v>256</v>
      </c>
      <c r="F54" s="16">
        <v>256</v>
      </c>
      <c r="G54" s="16">
        <v>256</v>
      </c>
      <c r="H54" s="16">
        <v>256</v>
      </c>
      <c r="I54" s="16">
        <v>256</v>
      </c>
      <c r="J54" s="16">
        <v>256</v>
      </c>
      <c r="K54" s="16">
        <v>256</v>
      </c>
      <c r="L54" s="16">
        <v>256</v>
      </c>
      <c r="M54" s="16">
        <v>256</v>
      </c>
      <c r="N54" s="16">
        <v>256</v>
      </c>
      <c r="O54" s="16">
        <v>256</v>
      </c>
      <c r="P54" s="16"/>
      <c r="Q54" s="16"/>
      <c r="R54" s="16"/>
      <c r="S54" s="16"/>
      <c r="T54" s="16"/>
      <c r="U54" s="16"/>
      <c r="V54" s="16"/>
      <c r="W54" s="16"/>
      <c r="X54" s="16"/>
      <c r="Y54" s="16"/>
      <c r="Z54" s="16"/>
      <c r="AA54" s="16"/>
      <c r="AB54" s="16"/>
      <c r="AC54" s="16"/>
      <c r="AD54" s="16"/>
      <c r="AE54" s="138" t="s">
        <v>841</v>
      </c>
    </row>
    <row r="55" spans="1:31" ht="12.45" customHeight="1" x14ac:dyDescent="0.3">
      <c r="A55" s="4" t="s">
        <v>398</v>
      </c>
      <c r="B55" s="16">
        <v>0</v>
      </c>
      <c r="C55" s="16">
        <v>0</v>
      </c>
      <c r="D55" s="16">
        <v>0</v>
      </c>
      <c r="E55" s="16">
        <v>256</v>
      </c>
      <c r="F55" s="16">
        <v>256</v>
      </c>
      <c r="G55" s="16">
        <v>0</v>
      </c>
      <c r="H55" s="16">
        <v>0</v>
      </c>
      <c r="I55" s="16">
        <v>0</v>
      </c>
      <c r="J55" s="16">
        <v>256</v>
      </c>
      <c r="K55" s="16">
        <v>256</v>
      </c>
      <c r="L55" s="16">
        <v>256</v>
      </c>
      <c r="M55" s="16">
        <v>0</v>
      </c>
      <c r="N55" s="16">
        <v>256</v>
      </c>
      <c r="O55" s="16">
        <v>0</v>
      </c>
      <c r="P55" s="16"/>
      <c r="Q55" s="16"/>
      <c r="R55" s="16"/>
      <c r="S55" s="16"/>
      <c r="T55" s="16"/>
      <c r="U55" s="16"/>
      <c r="V55" s="16"/>
      <c r="W55" s="16"/>
      <c r="X55" s="16"/>
      <c r="Y55" s="16"/>
      <c r="Z55" s="16"/>
      <c r="AA55" s="16"/>
      <c r="AB55" s="16"/>
      <c r="AC55" s="16"/>
      <c r="AD55" s="16"/>
      <c r="AE55" s="138" t="s">
        <v>842</v>
      </c>
    </row>
    <row r="56" spans="1:31" ht="12.45" customHeight="1" x14ac:dyDescent="0.3">
      <c r="A56" s="4" t="s">
        <v>422</v>
      </c>
      <c r="B56" s="16">
        <v>0</v>
      </c>
      <c r="C56" s="16">
        <v>0</v>
      </c>
      <c r="D56" s="16">
        <v>0</v>
      </c>
      <c r="E56" s="16">
        <v>0</v>
      </c>
      <c r="F56" s="16">
        <v>0</v>
      </c>
      <c r="G56" s="16">
        <v>1</v>
      </c>
      <c r="H56" s="16">
        <v>1</v>
      </c>
      <c r="I56" s="16">
        <v>1</v>
      </c>
      <c r="J56" s="16">
        <v>1</v>
      </c>
      <c r="K56" s="16">
        <v>1</v>
      </c>
      <c r="L56" s="16">
        <v>1</v>
      </c>
      <c r="M56" s="16">
        <v>0</v>
      </c>
      <c r="N56" s="16">
        <v>0</v>
      </c>
      <c r="O56" s="16">
        <v>1</v>
      </c>
      <c r="P56" s="16"/>
      <c r="Q56" s="16"/>
      <c r="R56" s="16"/>
      <c r="S56" s="16"/>
      <c r="T56" s="16"/>
      <c r="U56" s="16"/>
      <c r="V56" s="16"/>
      <c r="W56" s="16"/>
      <c r="X56" s="16"/>
      <c r="Y56" s="16"/>
      <c r="Z56" s="16"/>
      <c r="AA56" s="16"/>
      <c r="AB56" s="16"/>
      <c r="AC56" s="16"/>
      <c r="AD56" s="16"/>
      <c r="AE56" s="138" t="s">
        <v>834</v>
      </c>
    </row>
    <row r="57" spans="1:31" ht="12.45" customHeight="1" x14ac:dyDescent="0.3">
      <c r="A57" s="18" t="s">
        <v>418</v>
      </c>
      <c r="B57" s="18"/>
      <c r="C57" s="18"/>
      <c r="D57" s="18"/>
      <c r="E57" s="18"/>
      <c r="F57" s="18"/>
      <c r="G57" s="18"/>
      <c r="H57" s="18"/>
      <c r="I57" s="18"/>
      <c r="J57" s="18"/>
      <c r="K57" s="18"/>
      <c r="L57" s="18"/>
      <c r="M57" s="18"/>
      <c r="N57" s="18"/>
      <c r="O57" s="18"/>
      <c r="P57" s="18"/>
      <c r="Q57" s="18"/>
      <c r="R57" s="18"/>
      <c r="S57" s="18"/>
      <c r="T57" s="18"/>
      <c r="U57" s="18"/>
      <c r="V57" s="18"/>
      <c r="W57" s="18"/>
      <c r="X57" s="18"/>
      <c r="Y57" s="18"/>
      <c r="Z57" s="18"/>
      <c r="AA57" s="18"/>
      <c r="AB57" s="18"/>
      <c r="AC57" s="18"/>
      <c r="AD57" s="18"/>
      <c r="AE57" s="18"/>
    </row>
    <row r="58" spans="1:31" ht="12.45" customHeight="1" x14ac:dyDescent="0.3">
      <c r="A58" s="41" t="s">
        <v>16</v>
      </c>
      <c r="B58" s="16">
        <v>768</v>
      </c>
      <c r="C58" s="16">
        <v>768</v>
      </c>
      <c r="D58" s="16">
        <v>768</v>
      </c>
      <c r="E58" s="16">
        <v>768</v>
      </c>
      <c r="F58" s="16">
        <v>768</v>
      </c>
      <c r="G58" s="16">
        <v>768</v>
      </c>
      <c r="H58" s="16">
        <v>768</v>
      </c>
      <c r="I58" s="16">
        <v>768</v>
      </c>
      <c r="J58" s="16">
        <v>768</v>
      </c>
      <c r="K58" s="16">
        <v>768</v>
      </c>
      <c r="L58" s="16">
        <v>768</v>
      </c>
      <c r="M58" s="16">
        <v>768</v>
      </c>
      <c r="N58" s="16">
        <v>768</v>
      </c>
      <c r="O58" s="16">
        <v>768</v>
      </c>
      <c r="P58" s="16"/>
      <c r="Q58" s="16"/>
      <c r="R58" s="16"/>
      <c r="S58" s="16"/>
      <c r="T58" s="16"/>
      <c r="U58" s="16"/>
      <c r="V58" s="16"/>
      <c r="W58" s="16"/>
      <c r="X58" s="16"/>
      <c r="Y58" s="16"/>
      <c r="Z58" s="16"/>
      <c r="AA58" s="16"/>
      <c r="AB58" s="16"/>
      <c r="AC58" s="16"/>
      <c r="AD58" s="16"/>
      <c r="AE58" s="138" t="s">
        <v>835</v>
      </c>
    </row>
    <row r="59" spans="1:31" ht="12.45" customHeight="1" x14ac:dyDescent="0.3">
      <c r="A59" s="41" t="s">
        <v>399</v>
      </c>
      <c r="B59" s="16">
        <v>32</v>
      </c>
      <c r="C59" s="16">
        <v>32</v>
      </c>
      <c r="D59" s="16">
        <v>32</v>
      </c>
      <c r="E59" s="16">
        <v>160</v>
      </c>
      <c r="F59" s="16">
        <v>160</v>
      </c>
      <c r="G59" s="16">
        <v>192</v>
      </c>
      <c r="H59" s="16">
        <v>160</v>
      </c>
      <c r="I59" s="16">
        <v>160</v>
      </c>
      <c r="J59" s="16">
        <v>160</v>
      </c>
      <c r="K59" s="16">
        <v>160</v>
      </c>
      <c r="L59" s="16">
        <v>160</v>
      </c>
      <c r="M59" s="16">
        <v>192</v>
      </c>
      <c r="N59" s="16">
        <v>160</v>
      </c>
      <c r="O59" s="16">
        <v>192</v>
      </c>
      <c r="P59" s="16"/>
      <c r="Q59" s="16"/>
      <c r="R59" s="16"/>
      <c r="S59" s="16"/>
      <c r="T59" s="16"/>
      <c r="U59" s="16"/>
      <c r="V59" s="16"/>
      <c r="W59" s="16"/>
      <c r="X59" s="16"/>
      <c r="Y59" s="16"/>
      <c r="Z59" s="16"/>
      <c r="AA59" s="16"/>
      <c r="AB59" s="16"/>
      <c r="AC59" s="16"/>
      <c r="AD59" s="16"/>
      <c r="AE59" s="16" t="s">
        <v>836</v>
      </c>
    </row>
    <row r="60" spans="1:31" ht="28.8" x14ac:dyDescent="0.3">
      <c r="A60" s="421" t="s">
        <v>1565</v>
      </c>
      <c r="B60" s="413">
        <v>0</v>
      </c>
      <c r="C60" s="413">
        <v>0</v>
      </c>
      <c r="D60" s="413">
        <v>0</v>
      </c>
      <c r="E60" s="413">
        <v>0</v>
      </c>
      <c r="F60" s="413">
        <v>0</v>
      </c>
      <c r="G60" s="413">
        <v>1</v>
      </c>
      <c r="H60" s="413">
        <v>0</v>
      </c>
      <c r="I60" s="413">
        <v>0</v>
      </c>
      <c r="J60" s="413">
        <v>0</v>
      </c>
      <c r="K60" s="413">
        <v>0</v>
      </c>
      <c r="L60" s="413">
        <v>0</v>
      </c>
      <c r="M60" s="413">
        <v>1</v>
      </c>
      <c r="N60" s="413">
        <v>0</v>
      </c>
      <c r="O60" s="413">
        <v>1</v>
      </c>
      <c r="AE60" s="456" t="s">
        <v>1616</v>
      </c>
    </row>
    <row r="61" spans="1:31" ht="12.45" customHeight="1" x14ac:dyDescent="0.3">
      <c r="A61" s="41" t="s">
        <v>21</v>
      </c>
      <c r="B61" s="16">
        <v>0</v>
      </c>
      <c r="C61" s="16">
        <v>0</v>
      </c>
      <c r="D61" s="16">
        <v>0</v>
      </c>
      <c r="E61" s="16">
        <v>0</v>
      </c>
      <c r="F61" s="16">
        <v>0</v>
      </c>
      <c r="G61" s="16">
        <v>0</v>
      </c>
      <c r="H61" s="16">
        <v>6400</v>
      </c>
      <c r="I61" s="16">
        <v>0</v>
      </c>
      <c r="J61" s="16">
        <v>0</v>
      </c>
      <c r="K61" s="16">
        <v>0</v>
      </c>
      <c r="L61" s="16">
        <v>0</v>
      </c>
      <c r="M61" s="16">
        <v>0</v>
      </c>
      <c r="N61" s="16">
        <v>0</v>
      </c>
      <c r="O61" s="16">
        <v>0</v>
      </c>
      <c r="P61" s="16"/>
      <c r="Q61" s="16"/>
      <c r="R61" s="16"/>
      <c r="S61" s="16"/>
      <c r="T61" s="16"/>
      <c r="U61" s="16"/>
      <c r="V61" s="16"/>
      <c r="W61" s="16"/>
      <c r="X61" s="16"/>
      <c r="Y61" s="16"/>
      <c r="Z61" s="16"/>
      <c r="AA61" s="16"/>
      <c r="AB61" s="16"/>
      <c r="AC61" s="16"/>
      <c r="AD61" s="16"/>
      <c r="AE61" s="16" t="s">
        <v>837</v>
      </c>
    </row>
    <row r="62" spans="1:31" ht="12.45" customHeight="1" x14ac:dyDescent="0.3">
      <c r="A62" s="41" t="s">
        <v>22</v>
      </c>
      <c r="B62" s="16">
        <v>32</v>
      </c>
      <c r="C62" s="16">
        <v>32</v>
      </c>
      <c r="D62" s="16">
        <v>32</v>
      </c>
      <c r="E62" s="16">
        <v>32</v>
      </c>
      <c r="F62" s="16">
        <v>32</v>
      </c>
      <c r="G62" s="16">
        <v>32</v>
      </c>
      <c r="H62" s="16">
        <v>32</v>
      </c>
      <c r="I62" s="16">
        <v>32</v>
      </c>
      <c r="J62" s="16">
        <v>32</v>
      </c>
      <c r="K62" s="16">
        <v>32</v>
      </c>
      <c r="L62" s="16">
        <v>32</v>
      </c>
      <c r="M62" s="16">
        <v>32</v>
      </c>
      <c r="N62" s="16">
        <v>32</v>
      </c>
      <c r="O62" s="16">
        <v>32</v>
      </c>
      <c r="P62" s="16"/>
      <c r="Q62" s="16"/>
      <c r="R62" s="16"/>
      <c r="S62" s="16"/>
      <c r="T62" s="16"/>
      <c r="U62" s="16"/>
      <c r="V62" s="16"/>
      <c r="W62" s="16"/>
      <c r="X62" s="16"/>
      <c r="Y62" s="16"/>
      <c r="Z62" s="16"/>
      <c r="AA62" s="16"/>
      <c r="AB62" s="16"/>
      <c r="AC62" s="16"/>
      <c r="AD62" s="16"/>
      <c r="AE62" s="16" t="s">
        <v>838</v>
      </c>
    </row>
    <row r="63" spans="1:31" ht="12.45" customHeight="1" x14ac:dyDescent="0.3">
      <c r="A63" s="41" t="s">
        <v>423</v>
      </c>
      <c r="B63" s="16">
        <v>0</v>
      </c>
      <c r="C63" s="16">
        <v>0</v>
      </c>
      <c r="D63" s="16">
        <v>0</v>
      </c>
      <c r="E63" s="16">
        <v>0</v>
      </c>
      <c r="F63" s="16">
        <v>0</v>
      </c>
      <c r="G63" s="16">
        <v>0</v>
      </c>
      <c r="H63" s="16">
        <v>0</v>
      </c>
      <c r="I63" s="16">
        <v>0</v>
      </c>
      <c r="J63" s="16">
        <v>0</v>
      </c>
      <c r="K63" s="16">
        <v>0</v>
      </c>
      <c r="L63" s="16">
        <v>0</v>
      </c>
      <c r="M63" s="16">
        <v>0</v>
      </c>
      <c r="N63" s="16">
        <v>0</v>
      </c>
      <c r="O63" s="16">
        <v>0</v>
      </c>
      <c r="P63" s="16"/>
      <c r="Q63" s="16"/>
      <c r="R63" s="16"/>
      <c r="S63" s="16"/>
      <c r="T63" s="16"/>
      <c r="U63" s="16"/>
      <c r="V63" s="16"/>
      <c r="W63" s="16"/>
      <c r="X63" s="16"/>
      <c r="Y63" s="16"/>
      <c r="Z63" s="16"/>
      <c r="AA63" s="16"/>
      <c r="AB63" s="16"/>
      <c r="AC63" s="16"/>
      <c r="AD63" s="16"/>
      <c r="AE63" s="138" t="s">
        <v>833</v>
      </c>
    </row>
    <row r="64" spans="1:31" ht="12.45" customHeight="1" x14ac:dyDescent="0.3">
      <c r="A64" s="182" t="s">
        <v>884</v>
      </c>
      <c r="B64" s="16">
        <v>0</v>
      </c>
      <c r="C64" s="16">
        <v>0</v>
      </c>
      <c r="D64" s="16">
        <v>0</v>
      </c>
      <c r="E64" s="16">
        <v>320</v>
      </c>
      <c r="F64" s="16">
        <v>320</v>
      </c>
      <c r="G64" s="16">
        <v>0</v>
      </c>
      <c r="H64" s="16">
        <v>320</v>
      </c>
      <c r="I64" s="16">
        <v>320</v>
      </c>
      <c r="J64" s="16">
        <v>320</v>
      </c>
      <c r="K64" s="16">
        <v>320</v>
      </c>
      <c r="L64" s="16">
        <v>320</v>
      </c>
      <c r="M64" s="16">
        <v>0</v>
      </c>
      <c r="N64" s="16">
        <v>320</v>
      </c>
      <c r="O64" s="16">
        <v>0</v>
      </c>
      <c r="P64" s="16"/>
      <c r="Q64" s="16"/>
      <c r="R64" s="16"/>
      <c r="S64" s="16"/>
      <c r="T64" s="16"/>
      <c r="U64" s="16"/>
      <c r="V64" s="16"/>
      <c r="W64" s="16"/>
      <c r="X64" s="16"/>
      <c r="Y64" s="16"/>
      <c r="Z64" s="16"/>
      <c r="AA64" s="16"/>
      <c r="AB64" s="16"/>
      <c r="AC64" s="16"/>
      <c r="AD64" s="16"/>
      <c r="AE64" s="138" t="s">
        <v>883</v>
      </c>
    </row>
    <row r="65" spans="1:31" ht="12.45" customHeight="1" x14ac:dyDescent="0.3">
      <c r="A65" s="18" t="s">
        <v>1520</v>
      </c>
      <c r="B65" s="18"/>
      <c r="C65" s="18"/>
      <c r="D65" s="18"/>
      <c r="E65" s="18"/>
      <c r="F65" s="18"/>
      <c r="G65" s="18"/>
      <c r="H65" s="18"/>
      <c r="I65" s="18"/>
      <c r="J65" s="18"/>
      <c r="K65" s="18"/>
      <c r="L65" s="18"/>
      <c r="M65" s="18"/>
      <c r="N65" s="18"/>
      <c r="O65" s="18"/>
      <c r="P65" s="18"/>
      <c r="Q65" s="18"/>
      <c r="R65" s="18"/>
      <c r="S65" s="18"/>
      <c r="T65" s="18"/>
      <c r="U65" s="18"/>
      <c r="V65" s="18"/>
      <c r="W65" s="18"/>
      <c r="X65" s="18"/>
      <c r="Y65" s="18"/>
      <c r="Z65" s="18"/>
      <c r="AA65" s="18"/>
      <c r="AB65" s="18"/>
      <c r="AC65" s="18"/>
      <c r="AD65" s="18"/>
      <c r="AE65" s="18"/>
    </row>
    <row r="66" spans="1:31" ht="15" customHeight="1" x14ac:dyDescent="0.3">
      <c r="A66" s="63" t="s">
        <v>1530</v>
      </c>
      <c r="B66" s="409"/>
      <c r="C66" s="409"/>
      <c r="D66" s="409"/>
      <c r="E66" s="409"/>
      <c r="F66" s="409"/>
      <c r="G66" s="409"/>
      <c r="H66" s="63">
        <v>4</v>
      </c>
      <c r="I66" s="63">
        <v>3</v>
      </c>
      <c r="J66" s="63">
        <v>4</v>
      </c>
      <c r="K66" s="63">
        <v>3</v>
      </c>
      <c r="L66" s="63">
        <v>4</v>
      </c>
      <c r="M66" s="16">
        <v>0</v>
      </c>
      <c r="N66" s="16">
        <v>1</v>
      </c>
      <c r="O66" s="16">
        <v>0</v>
      </c>
      <c r="P66" s="16"/>
      <c r="Q66" s="16"/>
      <c r="R66" s="16"/>
      <c r="S66" s="16"/>
      <c r="T66" s="16"/>
      <c r="U66" s="16"/>
      <c r="V66" s="16"/>
      <c r="W66" s="16"/>
      <c r="X66" s="16"/>
      <c r="Y66" s="16"/>
      <c r="Z66" s="16"/>
      <c r="AA66" s="16"/>
      <c r="AB66" s="16"/>
      <c r="AC66" s="16"/>
      <c r="AD66" s="16"/>
      <c r="AE66" s="138" t="s">
        <v>1523</v>
      </c>
    </row>
    <row r="67" spans="1:31" ht="15" customHeight="1" x14ac:dyDescent="0.3">
      <c r="A67" s="63" t="s">
        <v>1522</v>
      </c>
      <c r="B67" s="409"/>
      <c r="C67" s="409"/>
      <c r="D67" s="409"/>
      <c r="E67" s="409"/>
      <c r="F67" s="409"/>
      <c r="G67" s="409"/>
      <c r="H67" s="63" t="s">
        <v>1431</v>
      </c>
      <c r="I67" s="63" t="s">
        <v>1609</v>
      </c>
      <c r="J67" s="63" t="s">
        <v>1431</v>
      </c>
      <c r="K67" s="63" t="s">
        <v>1609</v>
      </c>
      <c r="L67" s="63" t="s">
        <v>1431</v>
      </c>
      <c r="M67" s="16" t="s">
        <v>1178</v>
      </c>
      <c r="N67" s="16" t="s">
        <v>1564</v>
      </c>
      <c r="O67" s="16" t="s">
        <v>1178</v>
      </c>
      <c r="P67" s="16"/>
      <c r="Q67" s="16"/>
      <c r="R67" s="16"/>
      <c r="S67" s="16"/>
      <c r="T67" s="16"/>
      <c r="U67" s="16"/>
      <c r="V67" s="16"/>
      <c r="W67" s="16"/>
      <c r="X67" s="16"/>
      <c r="Y67" s="16"/>
      <c r="Z67" s="16"/>
      <c r="AA67" s="16"/>
      <c r="AB67" s="16"/>
      <c r="AC67" s="16"/>
      <c r="AD67" s="16"/>
      <c r="AE67" s="138" t="s">
        <v>1524</v>
      </c>
    </row>
    <row r="70" spans="1:31" ht="15.6" x14ac:dyDescent="0.3">
      <c r="A70" s="255" t="s">
        <v>1179</v>
      </c>
    </row>
    <row r="71" spans="1:31" ht="13.5" customHeight="1" x14ac:dyDescent="0.3">
      <c r="A71" s="239" t="s">
        <v>70</v>
      </c>
      <c r="B71" s="16">
        <v>1</v>
      </c>
      <c r="C71" s="16">
        <v>1</v>
      </c>
      <c r="D71" s="16">
        <v>1</v>
      </c>
      <c r="E71" s="16">
        <v>0</v>
      </c>
      <c r="F71" s="16">
        <v>1</v>
      </c>
      <c r="G71" s="16">
        <v>0</v>
      </c>
      <c r="H71" s="16">
        <v>0</v>
      </c>
      <c r="I71" s="16">
        <v>1</v>
      </c>
      <c r="J71" s="16">
        <v>0</v>
      </c>
      <c r="K71" s="16">
        <v>1</v>
      </c>
      <c r="L71" s="16">
        <v>0</v>
      </c>
      <c r="M71" s="16">
        <v>0</v>
      </c>
      <c r="N71" s="63">
        <v>0</v>
      </c>
      <c r="O71" s="16">
        <v>0</v>
      </c>
      <c r="P71" s="16"/>
      <c r="Q71" s="16"/>
      <c r="R71" s="16"/>
      <c r="S71" s="16"/>
      <c r="T71" s="16"/>
      <c r="U71" s="16"/>
      <c r="V71" s="16"/>
      <c r="W71" s="16"/>
      <c r="X71" s="16"/>
      <c r="Y71" s="16"/>
      <c r="Z71" s="16"/>
      <c r="AA71" s="16"/>
      <c r="AB71" s="16"/>
      <c r="AC71" s="16"/>
      <c r="AD71" s="16"/>
      <c r="AE71" s="138" t="s">
        <v>817</v>
      </c>
    </row>
    <row r="72" spans="1:31" ht="13.5" customHeight="1" x14ac:dyDescent="0.3">
      <c r="A72" s="256" t="s">
        <v>1180</v>
      </c>
      <c r="B72" s="63">
        <v>1</v>
      </c>
      <c r="C72" s="63">
        <v>1</v>
      </c>
      <c r="D72" s="63">
        <v>1</v>
      </c>
      <c r="E72" s="63">
        <v>0</v>
      </c>
      <c r="F72" s="63">
        <v>1</v>
      </c>
      <c r="G72" s="63">
        <v>0</v>
      </c>
      <c r="H72" s="63">
        <v>0</v>
      </c>
      <c r="I72" s="63">
        <v>1</v>
      </c>
      <c r="J72" s="63">
        <v>0</v>
      </c>
      <c r="K72" s="63">
        <v>1</v>
      </c>
      <c r="L72" s="63">
        <v>0</v>
      </c>
      <c r="M72" s="63">
        <v>0</v>
      </c>
      <c r="N72" s="63">
        <v>0</v>
      </c>
      <c r="O72" s="16">
        <v>0</v>
      </c>
      <c r="P72" s="16"/>
      <c r="Q72" s="16"/>
      <c r="R72" s="16"/>
      <c r="S72" s="16"/>
      <c r="T72" s="16"/>
      <c r="U72" s="16"/>
      <c r="V72" s="16"/>
      <c r="W72" s="16"/>
      <c r="X72" s="16"/>
      <c r="Y72" s="16"/>
      <c r="Z72" s="16"/>
      <c r="AA72" s="16"/>
      <c r="AB72" s="16"/>
      <c r="AC72" s="16"/>
      <c r="AD72" s="16"/>
      <c r="AE72" s="138" t="s">
        <v>1181</v>
      </c>
    </row>
    <row r="73" spans="1:31" ht="13.5" customHeight="1" x14ac:dyDescent="0.3">
      <c r="A73" s="40" t="s">
        <v>224</v>
      </c>
      <c r="B73" s="16">
        <v>1</v>
      </c>
      <c r="C73" s="16">
        <v>1</v>
      </c>
      <c r="D73" s="16">
        <v>1</v>
      </c>
      <c r="E73" s="16">
        <v>1</v>
      </c>
      <c r="F73" s="16">
        <v>0</v>
      </c>
      <c r="G73" s="16">
        <v>0</v>
      </c>
      <c r="H73" s="16">
        <v>1</v>
      </c>
      <c r="I73" s="16">
        <v>0</v>
      </c>
      <c r="J73" s="16">
        <v>0</v>
      </c>
      <c r="K73" s="16">
        <v>0</v>
      </c>
      <c r="L73" s="16">
        <v>0</v>
      </c>
      <c r="M73" s="16">
        <v>0</v>
      </c>
      <c r="N73" s="16">
        <v>0</v>
      </c>
      <c r="O73" s="16">
        <v>0</v>
      </c>
      <c r="P73" s="16"/>
      <c r="Q73" s="16"/>
      <c r="R73" s="16"/>
      <c r="S73" s="16"/>
      <c r="T73" s="16"/>
      <c r="U73" s="16"/>
      <c r="V73" s="16"/>
      <c r="W73" s="16"/>
      <c r="X73" s="16"/>
      <c r="Y73" s="16"/>
      <c r="Z73" s="16"/>
      <c r="AA73" s="16"/>
      <c r="AB73" s="16"/>
      <c r="AC73" s="16"/>
      <c r="AD73" s="16"/>
      <c r="AE73" s="138" t="s">
        <v>818</v>
      </c>
    </row>
    <row r="74" spans="1:31" ht="13.5" customHeight="1" x14ac:dyDescent="0.3">
      <c r="A74" s="40" t="s">
        <v>394</v>
      </c>
      <c r="B74" s="16">
        <v>13</v>
      </c>
      <c r="C74" s="16">
        <v>15</v>
      </c>
      <c r="D74" s="16">
        <v>15</v>
      </c>
      <c r="E74" s="16">
        <v>13</v>
      </c>
      <c r="F74" s="57">
        <v>4</v>
      </c>
      <c r="G74" s="16">
        <v>5</v>
      </c>
      <c r="H74" s="16">
        <v>15</v>
      </c>
      <c r="I74" s="16">
        <v>5</v>
      </c>
      <c r="J74" s="16">
        <v>7</v>
      </c>
      <c r="K74" s="16">
        <v>5</v>
      </c>
      <c r="L74" s="16">
        <v>7</v>
      </c>
      <c r="M74" s="16">
        <v>5</v>
      </c>
      <c r="N74" s="16">
        <v>12</v>
      </c>
      <c r="O74" s="16">
        <v>5</v>
      </c>
      <c r="P74" s="16"/>
      <c r="Q74" s="16"/>
      <c r="R74" s="16"/>
      <c r="S74" s="16"/>
      <c r="T74" s="16"/>
      <c r="U74" s="16"/>
      <c r="V74" s="16"/>
      <c r="W74" s="16"/>
      <c r="X74" s="16"/>
      <c r="Y74" s="16"/>
      <c r="Z74" s="16"/>
      <c r="AA74" s="16"/>
      <c r="AB74" s="16"/>
      <c r="AC74" s="16"/>
      <c r="AD74" s="16"/>
      <c r="AE74" s="138" t="s">
        <v>819</v>
      </c>
    </row>
    <row r="75" spans="1:31" ht="13.5" customHeight="1" x14ac:dyDescent="0.3">
      <c r="A75" s="42" t="s">
        <v>241</v>
      </c>
      <c r="B75" s="16">
        <v>0</v>
      </c>
      <c r="C75" s="16">
        <v>1</v>
      </c>
      <c r="D75" s="16">
        <v>1</v>
      </c>
      <c r="E75" s="16">
        <v>0</v>
      </c>
      <c r="F75" s="16">
        <v>0</v>
      </c>
      <c r="G75" s="16">
        <v>0</v>
      </c>
      <c r="H75" s="57">
        <v>1</v>
      </c>
      <c r="I75" s="16">
        <v>0</v>
      </c>
      <c r="J75" s="63">
        <v>1</v>
      </c>
      <c r="K75" s="63">
        <v>0</v>
      </c>
      <c r="L75" s="63">
        <v>1</v>
      </c>
      <c r="M75" s="16">
        <v>0</v>
      </c>
      <c r="N75" s="16">
        <v>0</v>
      </c>
      <c r="O75" s="16">
        <v>0</v>
      </c>
      <c r="P75" s="16"/>
      <c r="Q75" s="16"/>
      <c r="R75" s="16"/>
      <c r="S75" s="16"/>
      <c r="T75" s="16"/>
      <c r="U75" s="16"/>
      <c r="V75" s="16"/>
      <c r="W75" s="16"/>
      <c r="X75" s="16"/>
      <c r="Y75" s="16"/>
      <c r="Z75" s="16"/>
      <c r="AA75" s="16"/>
      <c r="AB75" s="16"/>
      <c r="AC75" s="16"/>
      <c r="AD75" s="16"/>
      <c r="AE75" s="16" t="s">
        <v>849</v>
      </c>
    </row>
    <row r="76" spans="1:31" ht="13.5" customHeight="1" x14ac:dyDescent="0.3">
      <c r="A76" s="239" t="s">
        <v>1151</v>
      </c>
      <c r="B76" s="16">
        <v>0</v>
      </c>
      <c r="C76" s="16">
        <v>0</v>
      </c>
      <c r="D76" s="16">
        <v>0</v>
      </c>
      <c r="E76" s="16">
        <v>1</v>
      </c>
      <c r="F76" s="16">
        <v>0</v>
      </c>
      <c r="G76" s="16">
        <v>0</v>
      </c>
      <c r="H76" s="16">
        <v>1</v>
      </c>
      <c r="I76" s="57">
        <v>0</v>
      </c>
      <c r="J76" s="57">
        <v>0</v>
      </c>
      <c r="K76" s="57">
        <v>0</v>
      </c>
      <c r="L76" s="57">
        <v>0</v>
      </c>
      <c r="M76" s="16">
        <v>0</v>
      </c>
      <c r="N76" s="16">
        <v>0</v>
      </c>
      <c r="O76" s="16">
        <v>0</v>
      </c>
      <c r="P76" s="16"/>
      <c r="Q76" s="16"/>
      <c r="R76" s="16"/>
      <c r="S76" s="16"/>
      <c r="T76" s="16"/>
      <c r="U76" s="16"/>
      <c r="V76" s="16"/>
      <c r="W76" s="16"/>
      <c r="X76" s="16"/>
      <c r="Y76" s="16"/>
      <c r="Z76" s="16"/>
      <c r="AA76" s="16"/>
      <c r="AB76" s="16"/>
      <c r="AC76" s="16"/>
      <c r="AD76" s="16"/>
      <c r="AE76" s="138" t="s">
        <v>1152</v>
      </c>
    </row>
    <row r="77" spans="1:31" ht="13.5" customHeight="1" x14ac:dyDescent="0.3">
      <c r="A77" s="125" t="s">
        <v>536</v>
      </c>
      <c r="B77" s="16">
        <v>0</v>
      </c>
      <c r="C77" s="16">
        <v>0</v>
      </c>
      <c r="D77" s="16">
        <v>0</v>
      </c>
      <c r="E77" s="16">
        <v>0</v>
      </c>
      <c r="F77" s="16">
        <v>0</v>
      </c>
      <c r="G77" s="16">
        <v>1</v>
      </c>
      <c r="H77" s="16">
        <v>0</v>
      </c>
      <c r="I77" s="16">
        <v>0</v>
      </c>
      <c r="J77" s="16">
        <v>0</v>
      </c>
      <c r="K77" s="16">
        <v>0</v>
      </c>
      <c r="L77" s="16">
        <v>0</v>
      </c>
      <c r="M77" s="16">
        <v>1</v>
      </c>
      <c r="N77" s="16">
        <v>0</v>
      </c>
      <c r="O77" s="16">
        <v>1</v>
      </c>
      <c r="P77" s="16"/>
      <c r="Q77" s="16"/>
      <c r="R77" s="16"/>
      <c r="S77" s="16"/>
      <c r="T77" s="16"/>
      <c r="U77" s="16"/>
      <c r="V77" s="16"/>
      <c r="W77" s="16"/>
      <c r="X77" s="16"/>
      <c r="Y77" s="16"/>
      <c r="Z77" s="16"/>
      <c r="AA77" s="16"/>
      <c r="AB77" s="16"/>
      <c r="AC77" s="16"/>
      <c r="AD77" s="16"/>
      <c r="AE77" s="138" t="s">
        <v>820</v>
      </c>
    </row>
    <row r="78" spans="1:31" ht="13.5" customHeight="1" x14ac:dyDescent="0.3">
      <c r="A78" s="239" t="s">
        <v>827</v>
      </c>
      <c r="B78" s="16">
        <v>0</v>
      </c>
      <c r="C78" s="16">
        <v>0</v>
      </c>
      <c r="D78" s="16">
        <v>0</v>
      </c>
      <c r="E78" s="16">
        <v>0</v>
      </c>
      <c r="F78" s="16">
        <v>0</v>
      </c>
      <c r="G78" s="16">
        <v>0</v>
      </c>
      <c r="H78" s="16">
        <v>0</v>
      </c>
      <c r="I78" s="16">
        <v>0</v>
      </c>
      <c r="J78" s="16">
        <v>0</v>
      </c>
      <c r="K78" s="16">
        <v>0</v>
      </c>
      <c r="L78" s="16">
        <v>0</v>
      </c>
      <c r="M78" s="16">
        <v>0</v>
      </c>
      <c r="N78" s="63">
        <v>0</v>
      </c>
      <c r="O78" s="63">
        <v>0</v>
      </c>
      <c r="P78" s="16"/>
      <c r="Q78" s="16"/>
      <c r="R78" s="16"/>
      <c r="S78" s="16"/>
      <c r="T78" s="16"/>
      <c r="U78" s="16"/>
      <c r="V78" s="16"/>
      <c r="W78" s="16"/>
      <c r="X78" s="16"/>
      <c r="Y78" s="16"/>
      <c r="Z78" s="16"/>
      <c r="AA78" s="16"/>
      <c r="AB78" s="16"/>
      <c r="AC78" s="16"/>
      <c r="AD78" s="16"/>
      <c r="AE78" s="138" t="s">
        <v>826</v>
      </c>
    </row>
    <row r="79" spans="1:31" ht="13.5" customHeight="1" x14ac:dyDescent="0.3">
      <c r="A79" s="125" t="s">
        <v>214</v>
      </c>
      <c r="B79" s="16">
        <v>0</v>
      </c>
      <c r="C79" s="16">
        <v>0</v>
      </c>
      <c r="D79" s="16">
        <v>0</v>
      </c>
      <c r="E79" s="16">
        <v>0</v>
      </c>
      <c r="F79" s="16">
        <v>0</v>
      </c>
      <c r="G79" s="16">
        <v>0</v>
      </c>
      <c r="H79" s="16">
        <v>0</v>
      </c>
      <c r="I79" s="16">
        <v>0</v>
      </c>
      <c r="J79" s="16">
        <v>0</v>
      </c>
      <c r="K79" s="16">
        <v>0</v>
      </c>
      <c r="L79" s="16">
        <v>0</v>
      </c>
      <c r="M79" s="16">
        <v>0</v>
      </c>
      <c r="N79" s="16">
        <v>0</v>
      </c>
      <c r="O79" s="16">
        <v>0</v>
      </c>
      <c r="P79" s="16"/>
      <c r="Q79" s="16"/>
      <c r="R79" s="16"/>
      <c r="S79" s="16"/>
      <c r="T79" s="16"/>
      <c r="U79" s="16"/>
      <c r="V79" s="16"/>
      <c r="W79" s="16"/>
      <c r="X79" s="16"/>
      <c r="Y79" s="16"/>
      <c r="Z79" s="16"/>
      <c r="AA79" s="16"/>
      <c r="AB79" s="16"/>
      <c r="AC79" s="16"/>
      <c r="AD79" s="16"/>
      <c r="AE79" s="138" t="s">
        <v>821</v>
      </c>
    </row>
    <row r="80" spans="1:31" ht="13.5" customHeight="1" x14ac:dyDescent="0.3">
      <c r="A80" s="419" t="s">
        <v>1525</v>
      </c>
      <c r="B80" s="420">
        <v>0</v>
      </c>
      <c r="C80" s="420">
        <v>0</v>
      </c>
      <c r="D80" s="420">
        <v>0</v>
      </c>
      <c r="E80" s="420">
        <v>0</v>
      </c>
      <c r="F80" s="420">
        <v>0</v>
      </c>
      <c r="G80" s="420">
        <v>0</v>
      </c>
      <c r="H80" s="7">
        <v>0</v>
      </c>
      <c r="I80" s="7">
        <v>0</v>
      </c>
      <c r="J80" s="7">
        <v>0</v>
      </c>
      <c r="K80" s="7">
        <v>0</v>
      </c>
      <c r="L80" s="7">
        <v>0</v>
      </c>
      <c r="M80" s="7">
        <v>0</v>
      </c>
      <c r="N80" s="413">
        <v>0</v>
      </c>
      <c r="O80" s="413">
        <v>0</v>
      </c>
      <c r="P80" s="16"/>
      <c r="Q80" s="16"/>
      <c r="R80" s="16"/>
      <c r="S80" s="16"/>
      <c r="T80" s="16"/>
      <c r="U80" s="16"/>
      <c r="V80" s="16"/>
      <c r="W80" s="16"/>
      <c r="X80" s="16"/>
      <c r="Y80" s="16"/>
      <c r="Z80" s="16"/>
      <c r="AA80" s="16"/>
      <c r="AB80" s="16"/>
      <c r="AC80" s="16"/>
      <c r="AD80" s="16"/>
      <c r="AE80" s="138" t="s">
        <v>1526</v>
      </c>
    </row>
    <row r="81" spans="1:31" ht="13.5" customHeight="1" x14ac:dyDescent="0.3">
      <c r="A81" s="63" t="s">
        <v>1182</v>
      </c>
      <c r="B81" s="16">
        <v>1</v>
      </c>
      <c r="C81" s="16">
        <v>1</v>
      </c>
      <c r="D81" s="16">
        <v>1</v>
      </c>
      <c r="E81" s="16">
        <v>1</v>
      </c>
      <c r="F81" s="16">
        <v>1</v>
      </c>
      <c r="G81" s="16">
        <v>1</v>
      </c>
      <c r="H81" s="16">
        <v>0</v>
      </c>
      <c r="I81" s="16">
        <v>0</v>
      </c>
      <c r="J81" s="16">
        <v>0</v>
      </c>
      <c r="K81" s="16">
        <v>0</v>
      </c>
      <c r="L81" s="16">
        <v>0</v>
      </c>
      <c r="M81" s="16">
        <v>1</v>
      </c>
      <c r="N81" s="63">
        <v>0</v>
      </c>
      <c r="O81" s="63">
        <v>0</v>
      </c>
      <c r="P81" s="16"/>
      <c r="Q81" s="16"/>
      <c r="R81" s="16"/>
      <c r="S81" s="16"/>
      <c r="T81" s="16"/>
      <c r="U81" s="16"/>
      <c r="V81" s="16"/>
      <c r="W81" s="16"/>
      <c r="X81" s="16"/>
      <c r="Y81" s="16"/>
      <c r="Z81" s="16"/>
      <c r="AA81" s="16"/>
      <c r="AB81" s="16"/>
      <c r="AC81" s="16"/>
      <c r="AD81" s="16"/>
      <c r="AE81" s="16"/>
    </row>
    <row r="82" spans="1:31" ht="13.5" customHeight="1" x14ac:dyDescent="0.3">
      <c r="A82" s="40" t="s">
        <v>360</v>
      </c>
      <c r="B82" s="16">
        <v>0</v>
      </c>
      <c r="C82" s="16">
        <v>0</v>
      </c>
      <c r="D82" s="16">
        <v>0</v>
      </c>
      <c r="E82" s="16">
        <v>0</v>
      </c>
      <c r="F82" s="16">
        <v>0</v>
      </c>
      <c r="G82" s="16">
        <v>0</v>
      </c>
      <c r="H82" s="16">
        <v>0</v>
      </c>
      <c r="I82" s="16">
        <v>0</v>
      </c>
      <c r="J82" s="16">
        <v>0</v>
      </c>
      <c r="K82" s="16">
        <v>0</v>
      </c>
      <c r="L82" s="16">
        <v>0</v>
      </c>
      <c r="M82" s="16">
        <v>0</v>
      </c>
      <c r="N82" s="16">
        <v>0</v>
      </c>
      <c r="O82" s="16">
        <v>0</v>
      </c>
      <c r="P82" s="16"/>
      <c r="Q82" s="16"/>
      <c r="R82" s="16"/>
      <c r="S82" s="16"/>
      <c r="T82" s="16"/>
      <c r="U82" s="16"/>
      <c r="V82" s="16"/>
      <c r="W82" s="16"/>
      <c r="X82" s="16"/>
      <c r="Y82" s="16"/>
      <c r="Z82" s="16"/>
      <c r="AA82" s="16"/>
      <c r="AB82" s="16"/>
      <c r="AC82" s="16"/>
      <c r="AD82" s="16"/>
      <c r="AE82" s="138" t="s">
        <v>822</v>
      </c>
    </row>
    <row r="83" spans="1:31" ht="13.5" customHeight="1" x14ac:dyDescent="0.3">
      <c r="A83" s="63" t="s">
        <v>1183</v>
      </c>
      <c r="B83" s="16">
        <v>1</v>
      </c>
      <c r="C83" s="16">
        <v>0</v>
      </c>
      <c r="D83" s="16">
        <v>0</v>
      </c>
      <c r="E83" s="16">
        <v>1</v>
      </c>
      <c r="F83" s="16">
        <v>1</v>
      </c>
      <c r="G83" s="16">
        <v>1</v>
      </c>
      <c r="H83" s="16">
        <v>1</v>
      </c>
      <c r="I83" s="16">
        <v>1</v>
      </c>
      <c r="J83" s="16">
        <v>1</v>
      </c>
      <c r="K83" s="16">
        <v>1</v>
      </c>
      <c r="L83" s="16">
        <v>1</v>
      </c>
      <c r="M83" s="16">
        <v>1</v>
      </c>
      <c r="N83" s="63">
        <v>1</v>
      </c>
      <c r="O83" s="63">
        <v>1</v>
      </c>
      <c r="P83" s="16"/>
      <c r="Q83" s="16"/>
      <c r="R83" s="16"/>
      <c r="S83" s="16"/>
      <c r="T83" s="16"/>
      <c r="U83" s="16"/>
      <c r="V83" s="16"/>
      <c r="W83" s="16"/>
      <c r="X83" s="16"/>
      <c r="Y83" s="16"/>
      <c r="Z83" s="16"/>
      <c r="AA83" s="16"/>
      <c r="AB83" s="16"/>
      <c r="AC83" s="16"/>
      <c r="AD83" s="16"/>
      <c r="AE83" s="138" t="s">
        <v>815</v>
      </c>
    </row>
    <row r="84" spans="1:31" ht="13.5" customHeight="1" x14ac:dyDescent="0.3">
      <c r="A84" s="63" t="s">
        <v>1184</v>
      </c>
      <c r="B84" s="16">
        <v>0</v>
      </c>
      <c r="C84" s="16">
        <v>0</v>
      </c>
      <c r="D84" s="16">
        <v>0</v>
      </c>
      <c r="E84" s="16">
        <v>0</v>
      </c>
      <c r="F84" s="16">
        <v>0</v>
      </c>
      <c r="G84" s="16">
        <v>0</v>
      </c>
      <c r="H84" s="16">
        <v>0</v>
      </c>
      <c r="I84" s="16">
        <v>0</v>
      </c>
      <c r="J84" s="16">
        <v>0</v>
      </c>
      <c r="K84" s="16">
        <v>0</v>
      </c>
      <c r="L84" s="16">
        <v>0</v>
      </c>
      <c r="M84" s="16">
        <v>0</v>
      </c>
      <c r="N84" s="16">
        <v>0</v>
      </c>
      <c r="O84" s="16">
        <v>0</v>
      </c>
      <c r="P84" s="16"/>
      <c r="Q84" s="16"/>
      <c r="R84" s="16"/>
      <c r="S84" s="16"/>
      <c r="T84" s="16"/>
      <c r="U84" s="16"/>
      <c r="V84" s="16"/>
      <c r="W84" s="16"/>
      <c r="X84" s="16"/>
      <c r="Y84" s="16"/>
      <c r="Z84" s="16"/>
      <c r="AA84" s="16"/>
      <c r="AB84" s="16"/>
      <c r="AC84" s="16"/>
      <c r="AD84" s="16"/>
      <c r="AE84" s="138" t="s">
        <v>816</v>
      </c>
    </row>
    <row r="85" spans="1:31" ht="12.6" customHeight="1" x14ac:dyDescent="0.3">
      <c r="A85" s="40" t="s">
        <v>390</v>
      </c>
      <c r="B85" s="16">
        <v>0</v>
      </c>
      <c r="C85" s="16">
        <v>0</v>
      </c>
      <c r="D85" s="16">
        <v>0</v>
      </c>
      <c r="E85" s="16">
        <v>0</v>
      </c>
      <c r="F85" s="16">
        <v>0</v>
      </c>
      <c r="G85" s="16">
        <v>0</v>
      </c>
      <c r="H85" s="16">
        <v>0</v>
      </c>
      <c r="I85" s="16">
        <v>0</v>
      </c>
      <c r="J85" s="16">
        <v>0</v>
      </c>
      <c r="K85" s="16">
        <v>0</v>
      </c>
      <c r="L85" s="16">
        <v>0</v>
      </c>
      <c r="M85" s="16">
        <v>0</v>
      </c>
      <c r="N85" s="16">
        <v>0</v>
      </c>
      <c r="O85" s="16">
        <v>0</v>
      </c>
      <c r="P85" s="16"/>
      <c r="Q85" s="16"/>
      <c r="R85" s="16"/>
      <c r="S85" s="16"/>
      <c r="T85" s="16"/>
      <c r="U85" s="16"/>
      <c r="V85" s="16"/>
      <c r="W85" s="16"/>
      <c r="X85" s="16"/>
      <c r="Y85" s="16"/>
      <c r="Z85" s="16"/>
      <c r="AA85" s="16"/>
      <c r="AB85" s="16"/>
      <c r="AC85" s="16"/>
      <c r="AD85" s="16"/>
      <c r="AE85" s="138" t="s">
        <v>823</v>
      </c>
    </row>
    <row r="86" spans="1:31" ht="13.5" customHeight="1" x14ac:dyDescent="0.3">
      <c r="A86" s="40" t="s">
        <v>205</v>
      </c>
      <c r="B86" s="16">
        <v>0</v>
      </c>
      <c r="C86" s="16">
        <v>0</v>
      </c>
      <c r="D86" s="16">
        <v>0</v>
      </c>
      <c r="E86" s="16">
        <v>0</v>
      </c>
      <c r="F86" s="16">
        <v>0</v>
      </c>
      <c r="G86" s="16">
        <v>0</v>
      </c>
      <c r="H86" s="16">
        <v>0</v>
      </c>
      <c r="I86" s="16">
        <v>0</v>
      </c>
      <c r="J86" s="16">
        <v>0</v>
      </c>
      <c r="K86" s="16">
        <v>0</v>
      </c>
      <c r="L86" s="16">
        <v>0</v>
      </c>
      <c r="M86" s="16">
        <v>0</v>
      </c>
      <c r="N86" s="16">
        <v>0</v>
      </c>
      <c r="O86" s="16">
        <v>0</v>
      </c>
      <c r="P86" s="16"/>
      <c r="Q86" s="16"/>
      <c r="R86" s="16"/>
      <c r="S86" s="16"/>
      <c r="T86" s="16"/>
      <c r="U86" s="16"/>
      <c r="V86" s="16"/>
      <c r="W86" s="16"/>
      <c r="X86" s="16"/>
      <c r="Y86" s="16"/>
      <c r="Z86" s="16"/>
      <c r="AA86" s="16"/>
      <c r="AB86" s="16"/>
      <c r="AC86" s="16"/>
      <c r="AD86" s="16"/>
      <c r="AE86" s="138" t="s">
        <v>824</v>
      </c>
    </row>
    <row r="87" spans="1:31" ht="13.5" customHeight="1" x14ac:dyDescent="0.3">
      <c r="A87" s="40" t="s">
        <v>253</v>
      </c>
      <c r="B87" s="16">
        <v>1</v>
      </c>
      <c r="C87" s="16">
        <v>1</v>
      </c>
      <c r="D87" s="16">
        <v>1</v>
      </c>
      <c r="E87" s="16">
        <v>1</v>
      </c>
      <c r="F87" s="16">
        <v>1</v>
      </c>
      <c r="G87" s="16">
        <v>0</v>
      </c>
      <c r="H87" s="16">
        <v>1</v>
      </c>
      <c r="I87" s="16">
        <v>1</v>
      </c>
      <c r="J87" s="16">
        <v>1</v>
      </c>
      <c r="K87" s="16">
        <v>1</v>
      </c>
      <c r="L87" s="16">
        <v>1</v>
      </c>
      <c r="M87" s="16">
        <v>0</v>
      </c>
      <c r="N87" s="16">
        <v>0</v>
      </c>
      <c r="O87" s="16">
        <v>0</v>
      </c>
      <c r="P87" s="16"/>
      <c r="Q87" s="16"/>
      <c r="R87" s="16"/>
      <c r="S87" s="16"/>
      <c r="T87" s="16"/>
      <c r="U87" s="16"/>
      <c r="V87" s="16"/>
      <c r="W87" s="16"/>
      <c r="X87" s="16"/>
      <c r="Y87" s="16"/>
      <c r="Z87" s="16"/>
      <c r="AA87" s="16"/>
      <c r="AB87" s="16"/>
      <c r="AC87" s="16"/>
      <c r="AD87" s="16"/>
      <c r="AE87" s="138" t="s">
        <v>825</v>
      </c>
    </row>
    <row r="88" spans="1:31" x14ac:dyDescent="0.3">
      <c r="A88" s="421" t="s">
        <v>1567</v>
      </c>
      <c r="B88" s="413">
        <v>0</v>
      </c>
      <c r="C88" s="413">
        <v>0</v>
      </c>
      <c r="D88" s="413">
        <v>0</v>
      </c>
      <c r="E88" s="413">
        <v>0</v>
      </c>
      <c r="F88" s="413">
        <v>0</v>
      </c>
      <c r="G88" s="413">
        <v>0</v>
      </c>
      <c r="H88" s="413">
        <v>0</v>
      </c>
      <c r="I88" s="413">
        <v>0</v>
      </c>
      <c r="J88" s="413">
        <v>0</v>
      </c>
      <c r="K88" s="413">
        <v>0</v>
      </c>
      <c r="L88" s="413">
        <v>0</v>
      </c>
      <c r="M88" s="413">
        <v>0</v>
      </c>
      <c r="N88" s="413">
        <v>1</v>
      </c>
      <c r="O88" s="413">
        <v>1</v>
      </c>
    </row>
    <row r="89" spans="1:31" x14ac:dyDescent="0.3">
      <c r="A89" s="15" t="s">
        <v>1568</v>
      </c>
      <c r="B89" s="16">
        <v>0</v>
      </c>
      <c r="C89" s="16">
        <v>1</v>
      </c>
      <c r="D89" s="16">
        <v>0</v>
      </c>
      <c r="E89" s="16">
        <v>0</v>
      </c>
      <c r="F89" s="16">
        <v>0</v>
      </c>
      <c r="G89" s="16">
        <v>0</v>
      </c>
      <c r="H89" s="16">
        <v>1</v>
      </c>
      <c r="I89" s="16">
        <v>0</v>
      </c>
      <c r="J89" s="16">
        <v>0</v>
      </c>
      <c r="K89" s="16">
        <v>0</v>
      </c>
      <c r="L89" s="16">
        <v>0</v>
      </c>
      <c r="M89" s="16">
        <v>0</v>
      </c>
      <c r="N89" s="16">
        <v>0</v>
      </c>
      <c r="O89" s="16">
        <v>0</v>
      </c>
    </row>
  </sheetData>
  <mergeCells count="4">
    <mergeCell ref="C4:D4"/>
    <mergeCell ref="E4:G4"/>
    <mergeCell ref="H4:I4"/>
    <mergeCell ref="J4:M4"/>
  </mergeCells>
  <conditionalFormatting sqref="A52">
    <cfRule type="cellIs" dxfId="710" priority="9" operator="equal">
      <formula>0</formula>
    </cfRule>
  </conditionalFormatting>
  <conditionalFormatting sqref="A53">
    <cfRule type="cellIs" dxfId="709" priority="8" operator="equal">
      <formula>0</formula>
    </cfRule>
  </conditionalFormatting>
  <conditionalFormatting sqref="A54">
    <cfRule type="cellIs" dxfId="708" priority="7" operator="equal">
      <formula>0</formula>
    </cfRule>
  </conditionalFormatting>
  <conditionalFormatting sqref="A56">
    <cfRule type="cellIs" dxfId="707" priority="6" operator="equal">
      <formula>0</formula>
    </cfRule>
  </conditionalFormatting>
  <conditionalFormatting sqref="A58 A64">
    <cfRule type="cellIs" priority="5" operator="equal">
      <formula>0</formula>
    </cfRule>
  </conditionalFormatting>
  <conditionalFormatting sqref="A59">
    <cfRule type="cellIs" dxfId="706" priority="4" operator="equal">
      <formula>0</formula>
    </cfRule>
  </conditionalFormatting>
  <conditionalFormatting sqref="A61">
    <cfRule type="cellIs" dxfId="705" priority="2" operator="equal">
      <formula>0</formula>
    </cfRule>
    <cfRule type="cellIs" dxfId="704" priority="3" operator="equal">
      <formula>0</formula>
    </cfRule>
  </conditionalFormatting>
  <conditionalFormatting sqref="A55">
    <cfRule type="cellIs" dxfId="703" priority="1"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dimension ref="B1:Z232"/>
  <sheetViews>
    <sheetView topLeftCell="C102" zoomScaleNormal="100" workbookViewId="0">
      <selection activeCell="D110" sqref="D110"/>
    </sheetView>
  </sheetViews>
  <sheetFormatPr defaultColWidth="8.88671875" defaultRowHeight="14.4" x14ac:dyDescent="0.3"/>
  <cols>
    <col min="1" max="1" width="8.88671875" style="257"/>
    <col min="2" max="2" width="8.88671875" style="257" customWidth="1"/>
    <col min="3" max="3" width="29.33203125" style="257" customWidth="1"/>
    <col min="4" max="4" width="60.88671875" style="257" customWidth="1"/>
    <col min="5" max="5" width="42.77734375" style="261" customWidth="1"/>
    <col min="6" max="6" width="46.5546875" style="257" customWidth="1"/>
    <col min="7" max="7" width="16.33203125" style="257" customWidth="1"/>
    <col min="8" max="8" width="33.5546875" style="257" customWidth="1"/>
    <col min="9" max="9" width="29.5546875" style="257" customWidth="1"/>
    <col min="10" max="10" width="31.33203125" style="257" customWidth="1"/>
    <col min="11" max="11" width="24.21875" style="257" customWidth="1"/>
    <col min="12" max="12" width="23.5546875" style="261" customWidth="1"/>
    <col min="13" max="13" width="21.77734375" style="260" customWidth="1"/>
    <col min="14" max="14" width="39.21875" style="260" customWidth="1"/>
    <col min="15" max="15" width="16.109375" style="260" customWidth="1"/>
    <col min="16" max="16" width="15.5546875" style="259" customWidth="1"/>
    <col min="17" max="17" width="25.33203125" style="257" customWidth="1"/>
    <col min="18" max="18" width="26.33203125" style="258" customWidth="1"/>
    <col min="19" max="19" width="29.6640625" style="258" customWidth="1"/>
    <col min="20" max="20" width="22.77734375" style="258" customWidth="1"/>
    <col min="21" max="21" width="20.33203125" style="436" customWidth="1"/>
    <col min="22" max="22" width="14.6640625" style="258" customWidth="1"/>
    <col min="23" max="23" width="26.109375" style="257" customWidth="1"/>
    <col min="24" max="24" width="19.6640625" style="257" customWidth="1"/>
    <col min="25" max="25" width="16.6640625" style="257" customWidth="1"/>
    <col min="26" max="26" width="24.6640625" style="257" customWidth="1"/>
    <col min="27" max="16384" width="8.88671875" style="257"/>
  </cols>
  <sheetData>
    <row r="1" spans="3:25" ht="33.6" x14ac:dyDescent="0.3">
      <c r="C1" s="399" t="s">
        <v>1168</v>
      </c>
    </row>
    <row r="2" spans="3:25" ht="19.2" x14ac:dyDescent="0.3">
      <c r="C2" s="251" t="s">
        <v>1506</v>
      </c>
    </row>
    <row r="3" spans="3:25" ht="15" thickBot="1" x14ac:dyDescent="0.35"/>
    <row r="4" spans="3:25" ht="15.6" x14ac:dyDescent="0.3">
      <c r="C4" s="398" t="s">
        <v>1475</v>
      </c>
      <c r="D4" s="397" t="s">
        <v>1505</v>
      </c>
    </row>
    <row r="5" spans="3:25" x14ac:dyDescent="0.3">
      <c r="C5" s="396" t="s">
        <v>1504</v>
      </c>
      <c r="D5" s="392" t="s">
        <v>51</v>
      </c>
    </row>
    <row r="6" spans="3:25" ht="15.6" x14ac:dyDescent="0.3">
      <c r="C6" s="395" t="s">
        <v>1503</v>
      </c>
      <c r="D6" s="392" t="s">
        <v>27</v>
      </c>
      <c r="F6" s="394"/>
      <c r="P6" s="260"/>
      <c r="Q6" s="260"/>
      <c r="R6" s="260"/>
      <c r="S6" s="260"/>
      <c r="T6" s="260"/>
      <c r="U6" s="437"/>
      <c r="V6" s="260"/>
      <c r="W6" s="260"/>
      <c r="X6" s="260"/>
      <c r="Y6" s="260"/>
    </row>
    <row r="7" spans="3:25" ht="15" x14ac:dyDescent="0.3">
      <c r="C7" s="393" t="s">
        <v>1502</v>
      </c>
      <c r="D7" s="392" t="s">
        <v>12</v>
      </c>
      <c r="M7" s="370"/>
      <c r="P7" s="260"/>
      <c r="Q7" s="260"/>
      <c r="R7" s="260"/>
      <c r="S7" s="260"/>
      <c r="T7" s="260"/>
      <c r="U7" s="437"/>
      <c r="V7" s="260"/>
      <c r="W7" s="260"/>
      <c r="X7" s="260"/>
      <c r="Y7" s="260"/>
    </row>
    <row r="8" spans="3:25" ht="14.4" customHeight="1" thickBot="1" x14ac:dyDescent="0.35">
      <c r="C8" s="391" t="s">
        <v>1189</v>
      </c>
      <c r="D8" s="390" t="s">
        <v>1501</v>
      </c>
      <c r="P8" s="260"/>
      <c r="Q8" s="260"/>
      <c r="R8" s="260"/>
      <c r="S8" s="260"/>
      <c r="T8" s="260"/>
      <c r="U8" s="437"/>
      <c r="V8" s="260"/>
      <c r="W8" s="260"/>
      <c r="X8" s="260"/>
      <c r="Y8" s="260"/>
    </row>
    <row r="9" spans="3:25" ht="12" customHeight="1" x14ac:dyDescent="0.3">
      <c r="C9" s="261" t="s">
        <v>1500</v>
      </c>
      <c r="D9" s="368" t="s">
        <v>1499</v>
      </c>
      <c r="P9" s="260"/>
      <c r="Q9" s="260"/>
      <c r="R9" s="260"/>
      <c r="S9" s="260"/>
      <c r="T9" s="260"/>
      <c r="U9" s="437"/>
      <c r="V9" s="260"/>
      <c r="W9" s="260"/>
      <c r="X9" s="260"/>
      <c r="Y9" s="260"/>
    </row>
    <row r="10" spans="3:25" ht="12" customHeight="1" x14ac:dyDescent="0.3">
      <c r="C10" s="261" t="s">
        <v>1498</v>
      </c>
      <c r="D10" s="368" t="s">
        <v>1497</v>
      </c>
      <c r="P10" s="260"/>
      <c r="Q10" s="260"/>
      <c r="R10" s="260"/>
      <c r="S10" s="260"/>
      <c r="T10" s="260"/>
      <c r="U10" s="437"/>
      <c r="V10" s="260"/>
      <c r="W10" s="260"/>
      <c r="X10" s="260"/>
      <c r="Y10" s="260"/>
    </row>
    <row r="11" spans="3:25" ht="16.95" customHeight="1" thickBot="1" x14ac:dyDescent="0.35">
      <c r="D11" s="368"/>
      <c r="P11" s="260"/>
      <c r="Q11" s="260"/>
      <c r="R11" s="260"/>
      <c r="S11" s="260"/>
      <c r="T11" s="260"/>
      <c r="U11" s="437"/>
      <c r="V11" s="260"/>
      <c r="W11" s="260"/>
      <c r="X11" s="260"/>
      <c r="Y11" s="260"/>
    </row>
    <row r="12" spans="3:25" ht="16.2" thickTop="1" x14ac:dyDescent="0.3">
      <c r="C12" s="381" t="s">
        <v>1496</v>
      </c>
      <c r="D12" s="380" t="s">
        <v>1495</v>
      </c>
      <c r="P12" s="260"/>
      <c r="Q12" s="260"/>
      <c r="R12" s="260"/>
      <c r="S12" s="260"/>
      <c r="T12" s="260"/>
      <c r="U12" s="437"/>
      <c r="V12" s="260"/>
      <c r="W12" s="260"/>
      <c r="X12" s="260"/>
      <c r="Y12" s="260"/>
    </row>
    <row r="13" spans="3:25" x14ac:dyDescent="0.3">
      <c r="C13" s="389" t="s">
        <v>1165</v>
      </c>
      <c r="D13" s="378" t="s">
        <v>1494</v>
      </c>
      <c r="P13" s="260"/>
      <c r="Q13" s="260"/>
      <c r="R13" s="260"/>
      <c r="S13" s="260"/>
      <c r="T13" s="260"/>
      <c r="U13" s="437"/>
      <c r="V13" s="260"/>
      <c r="W13" s="260"/>
      <c r="X13" s="260"/>
      <c r="Y13" s="260"/>
    </row>
    <row r="14" spans="3:25" x14ac:dyDescent="0.3">
      <c r="C14" s="387" t="s">
        <v>26</v>
      </c>
      <c r="D14" s="388" t="s">
        <v>1493</v>
      </c>
      <c r="P14" s="260"/>
      <c r="Q14" s="260"/>
      <c r="R14" s="260"/>
      <c r="S14" s="260"/>
      <c r="T14" s="260"/>
      <c r="U14" s="437"/>
      <c r="V14" s="260"/>
      <c r="W14" s="260"/>
      <c r="X14" s="260"/>
      <c r="Y14" s="260"/>
    </row>
    <row r="15" spans="3:25" x14ac:dyDescent="0.3">
      <c r="C15" s="387" t="s">
        <v>18</v>
      </c>
      <c r="D15" s="386" t="s">
        <v>1492</v>
      </c>
      <c r="P15" s="260"/>
      <c r="Q15" s="260"/>
      <c r="R15" s="260"/>
      <c r="S15" s="260"/>
      <c r="T15" s="260"/>
      <c r="U15" s="437"/>
      <c r="V15" s="260"/>
      <c r="W15" s="260"/>
      <c r="X15" s="260"/>
      <c r="Y15" s="260"/>
    </row>
    <row r="16" spans="3:25" x14ac:dyDescent="0.3">
      <c r="C16" s="385" t="s">
        <v>11</v>
      </c>
      <c r="D16" s="384" t="s">
        <v>1491</v>
      </c>
      <c r="P16" s="260"/>
      <c r="Q16" s="260"/>
      <c r="R16" s="260"/>
      <c r="S16" s="260"/>
      <c r="T16" s="260"/>
      <c r="U16" s="437"/>
      <c r="V16" s="260"/>
      <c r="W16" s="260"/>
      <c r="X16" s="260"/>
      <c r="Y16" s="260"/>
    </row>
    <row r="17" spans="2:26" ht="15" thickBot="1" x14ac:dyDescent="0.35">
      <c r="C17" s="383" t="s">
        <v>1490</v>
      </c>
      <c r="D17" s="382" t="s">
        <v>1489</v>
      </c>
      <c r="P17" s="260"/>
      <c r="Q17" s="260"/>
      <c r="R17" s="260"/>
      <c r="S17" s="260"/>
      <c r="T17" s="260"/>
      <c r="U17" s="437"/>
      <c r="V17" s="260"/>
      <c r="W17" s="260"/>
      <c r="X17" s="260"/>
      <c r="Y17" s="260"/>
    </row>
    <row r="18" spans="2:26" ht="15.6" thickTop="1" thickBot="1" x14ac:dyDescent="0.35">
      <c r="D18" s="368"/>
      <c r="P18" s="260"/>
      <c r="Q18" s="260"/>
      <c r="R18" s="260"/>
      <c r="S18" s="260"/>
      <c r="T18" s="260"/>
      <c r="U18" s="437"/>
      <c r="V18" s="260"/>
      <c r="W18" s="260"/>
      <c r="X18" s="260"/>
      <c r="Y18" s="260"/>
    </row>
    <row r="19" spans="2:26" ht="16.2" thickTop="1" x14ac:dyDescent="0.3">
      <c r="C19" s="381" t="s">
        <v>1488</v>
      </c>
      <c r="D19" s="380" t="s">
        <v>1487</v>
      </c>
      <c r="P19" s="260"/>
      <c r="Q19" s="260"/>
      <c r="R19" s="260"/>
      <c r="S19" s="260"/>
      <c r="T19" s="260"/>
      <c r="U19" s="437"/>
      <c r="V19" s="260"/>
      <c r="W19" s="260"/>
      <c r="X19" s="260"/>
      <c r="Y19" s="260"/>
    </row>
    <row r="20" spans="2:26" ht="20.399999999999999" customHeight="1" x14ac:dyDescent="0.3">
      <c r="C20" s="379" t="s">
        <v>1186</v>
      </c>
      <c r="D20" s="378" t="s">
        <v>1611</v>
      </c>
      <c r="P20" s="260"/>
      <c r="Q20" s="260"/>
      <c r="R20" s="260"/>
      <c r="S20" s="260"/>
      <c r="T20" s="260"/>
      <c r="U20" s="437"/>
      <c r="V20" s="260"/>
      <c r="W20" s="260"/>
      <c r="X20" s="260"/>
      <c r="Y20" s="260"/>
    </row>
    <row r="21" spans="2:26" ht="282.60000000000002" customHeight="1" x14ac:dyDescent="0.3">
      <c r="C21" s="377" t="s">
        <v>1187</v>
      </c>
      <c r="D21" s="376" t="s">
        <v>1614</v>
      </c>
    </row>
    <row r="22" spans="2:26" ht="15" customHeight="1" x14ac:dyDescent="0.3">
      <c r="C22" s="375" t="s">
        <v>1274</v>
      </c>
      <c r="D22" s="374" t="s">
        <v>1484</v>
      </c>
    </row>
    <row r="23" spans="2:26" ht="48.6" customHeight="1" x14ac:dyDescent="0.3">
      <c r="C23" s="375" t="s">
        <v>1432</v>
      </c>
      <c r="D23" s="452" t="s">
        <v>1613</v>
      </c>
    </row>
    <row r="24" spans="2:26" ht="31.8" customHeight="1" thickBot="1" x14ac:dyDescent="0.35">
      <c r="B24" s="453"/>
      <c r="C24" s="454"/>
      <c r="D24" s="455"/>
    </row>
    <row r="25" spans="2:26" ht="15" thickTop="1" x14ac:dyDescent="0.3">
      <c r="C25" s="261"/>
      <c r="D25" s="15"/>
    </row>
    <row r="26" spans="2:26" ht="15.6" x14ac:dyDescent="0.3">
      <c r="C26" s="371" t="s">
        <v>1482</v>
      </c>
      <c r="D26" s="15"/>
    </row>
    <row r="27" spans="2:26" ht="15" x14ac:dyDescent="0.3">
      <c r="C27" s="370" t="s">
        <v>1481</v>
      </c>
      <c r="D27" s="15"/>
    </row>
    <row r="28" spans="2:26" x14ac:dyDescent="0.3">
      <c r="C28" s="369" t="s">
        <v>1480</v>
      </c>
      <c r="D28" s="15"/>
    </row>
    <row r="29" spans="2:26" x14ac:dyDescent="0.3">
      <c r="C29" s="369" t="s">
        <v>1479</v>
      </c>
      <c r="D29" s="15"/>
    </row>
    <row r="30" spans="2:26" x14ac:dyDescent="0.3">
      <c r="C30" s="369" t="s">
        <v>1478</v>
      </c>
      <c r="D30" s="15"/>
    </row>
    <row r="31" spans="2:26" ht="15" thickBot="1" x14ac:dyDescent="0.35">
      <c r="C31" s="260" t="s">
        <v>1477</v>
      </c>
      <c r="D31" s="368"/>
    </row>
    <row r="32" spans="2:26" ht="149.4" customHeight="1" thickBot="1" x14ac:dyDescent="0.35">
      <c r="C32" s="367" t="s">
        <v>1476</v>
      </c>
      <c r="D32" s="364" t="s">
        <v>1</v>
      </c>
      <c r="E32" s="365" t="s">
        <v>371</v>
      </c>
      <c r="F32" s="364" t="s">
        <v>1566</v>
      </c>
      <c r="G32" s="364" t="s">
        <v>386</v>
      </c>
      <c r="H32" s="364" t="s">
        <v>1475</v>
      </c>
      <c r="I32" s="364" t="s">
        <v>602</v>
      </c>
      <c r="J32" s="364" t="s">
        <v>661</v>
      </c>
      <c r="K32" s="364" t="s">
        <v>5</v>
      </c>
      <c r="L32" s="365" t="s">
        <v>1474</v>
      </c>
      <c r="M32" s="366" t="s">
        <v>1473</v>
      </c>
      <c r="N32" s="366" t="s">
        <v>1472</v>
      </c>
      <c r="O32" s="366" t="s">
        <v>1471</v>
      </c>
      <c r="P32" s="365" t="s">
        <v>1170</v>
      </c>
      <c r="Q32" s="364" t="s">
        <v>1171</v>
      </c>
      <c r="R32" s="365" t="s">
        <v>1172</v>
      </c>
      <c r="S32" s="364" t="s">
        <v>1173</v>
      </c>
      <c r="T32" s="363" t="s">
        <v>1174</v>
      </c>
      <c r="U32" s="363" t="s">
        <v>1606</v>
      </c>
      <c r="V32" s="363" t="s">
        <v>1607</v>
      </c>
      <c r="W32" s="362" t="s">
        <v>1470</v>
      </c>
      <c r="X32" s="361" t="s">
        <v>1469</v>
      </c>
      <c r="Y32" s="361" t="s">
        <v>1468</v>
      </c>
      <c r="Z32" s="361" t="s">
        <v>1467</v>
      </c>
    </row>
    <row r="33" spans="3:26" ht="42" customHeight="1" x14ac:dyDescent="0.3">
      <c r="C33" s="348" t="s">
        <v>1466</v>
      </c>
      <c r="D33" s="351" t="s">
        <v>547</v>
      </c>
      <c r="E33" s="279" t="s">
        <v>1464</v>
      </c>
      <c r="F33" s="350" t="s">
        <v>17</v>
      </c>
      <c r="G33" s="350">
        <v>0</v>
      </c>
      <c r="H33" s="350" t="s">
        <v>1431</v>
      </c>
      <c r="I33" s="350">
        <v>1</v>
      </c>
      <c r="J33" s="352">
        <v>1</v>
      </c>
      <c r="K33" s="352" t="s">
        <v>1463</v>
      </c>
      <c r="L33" s="350" t="s">
        <v>1465</v>
      </c>
      <c r="M33" s="350" t="s">
        <v>547</v>
      </c>
      <c r="N33" s="351" t="s">
        <v>547</v>
      </c>
      <c r="O33" s="350" t="s">
        <v>547</v>
      </c>
      <c r="P33" s="359" t="s">
        <v>1432</v>
      </c>
      <c r="Q33" s="359" t="s">
        <v>1432</v>
      </c>
      <c r="R33" s="359" t="s">
        <v>1432</v>
      </c>
      <c r="S33" s="359" t="s">
        <v>1432</v>
      </c>
      <c r="T33" s="359" t="s">
        <v>1432</v>
      </c>
      <c r="U33" s="356" t="s">
        <v>1432</v>
      </c>
      <c r="V33" s="356" t="s">
        <v>1432</v>
      </c>
      <c r="W33" s="355" t="s">
        <v>1461</v>
      </c>
      <c r="X33" s="260"/>
      <c r="Y33" s="260"/>
      <c r="Z33" s="260"/>
    </row>
    <row r="34" spans="3:26" ht="40.200000000000003" customHeight="1" x14ac:dyDescent="0.3">
      <c r="C34" s="348"/>
      <c r="D34" s="356" t="s">
        <v>548</v>
      </c>
      <c r="E34" s="350" t="s">
        <v>1464</v>
      </c>
      <c r="F34" s="350" t="s">
        <v>17</v>
      </c>
      <c r="G34" s="350">
        <v>0</v>
      </c>
      <c r="H34" s="350" t="s">
        <v>1431</v>
      </c>
      <c r="I34" s="350">
        <v>1</v>
      </c>
      <c r="J34" s="352">
        <v>1</v>
      </c>
      <c r="K34" s="352" t="s">
        <v>1463</v>
      </c>
      <c r="L34" s="350" t="s">
        <v>535</v>
      </c>
      <c r="M34" s="350" t="s">
        <v>548</v>
      </c>
      <c r="N34" s="350" t="s">
        <v>548</v>
      </c>
      <c r="O34" s="350" t="s">
        <v>548</v>
      </c>
      <c r="P34" s="359" t="s">
        <v>1432</v>
      </c>
      <c r="Q34" s="359" t="s">
        <v>1432</v>
      </c>
      <c r="R34" s="359" t="s">
        <v>1432</v>
      </c>
      <c r="S34" s="359" t="s">
        <v>1432</v>
      </c>
      <c r="T34" s="359" t="s">
        <v>1432</v>
      </c>
      <c r="U34" s="356" t="s">
        <v>1432</v>
      </c>
      <c r="V34" s="356" t="s">
        <v>1432</v>
      </c>
      <c r="W34" s="355" t="s">
        <v>1461</v>
      </c>
      <c r="X34" s="260"/>
      <c r="Y34" s="260"/>
      <c r="Z34" s="260"/>
    </row>
    <row r="35" spans="3:26" ht="63.6" customHeight="1" x14ac:dyDescent="0.3">
      <c r="C35" s="348"/>
      <c r="D35" s="359" t="s">
        <v>665</v>
      </c>
      <c r="E35" s="350" t="s">
        <v>1464</v>
      </c>
      <c r="F35" s="350" t="s">
        <v>17</v>
      </c>
      <c r="G35" s="350">
        <v>0</v>
      </c>
      <c r="H35" s="350" t="s">
        <v>1431</v>
      </c>
      <c r="I35" s="350">
        <v>1</v>
      </c>
      <c r="J35" s="352">
        <v>30</v>
      </c>
      <c r="K35" s="352" t="s">
        <v>1463</v>
      </c>
      <c r="L35" s="350"/>
      <c r="M35" s="350" t="s">
        <v>1462</v>
      </c>
      <c r="N35" s="360" t="s">
        <v>1462</v>
      </c>
      <c r="O35" s="359" t="s">
        <v>1462</v>
      </c>
      <c r="P35" s="359" t="s">
        <v>1432</v>
      </c>
      <c r="Q35" s="359" t="s">
        <v>1432</v>
      </c>
      <c r="R35" s="359" t="s">
        <v>1432</v>
      </c>
      <c r="S35" s="359" t="s">
        <v>1432</v>
      </c>
      <c r="T35" s="359" t="s">
        <v>1432</v>
      </c>
      <c r="U35" s="356" t="s">
        <v>1432</v>
      </c>
      <c r="V35" s="356" t="s">
        <v>1432</v>
      </c>
      <c r="W35" s="355" t="s">
        <v>1461</v>
      </c>
      <c r="X35" s="260"/>
      <c r="Y35" s="260"/>
      <c r="Z35" s="260"/>
    </row>
    <row r="36" spans="3:26" ht="18" customHeight="1" x14ac:dyDescent="0.3">
      <c r="C36" s="348"/>
      <c r="D36" s="350" t="s">
        <v>1460</v>
      </c>
      <c r="E36" s="350" t="s">
        <v>253</v>
      </c>
      <c r="F36" s="350" t="s">
        <v>17</v>
      </c>
      <c r="G36" s="350">
        <v>0</v>
      </c>
      <c r="H36" s="350" t="s">
        <v>1431</v>
      </c>
      <c r="I36" s="350">
        <v>1</v>
      </c>
      <c r="J36" s="352">
        <v>1</v>
      </c>
      <c r="K36" s="352" t="s">
        <v>1458</v>
      </c>
      <c r="L36" s="350" t="s">
        <v>546</v>
      </c>
      <c r="M36" s="350" t="s">
        <v>549</v>
      </c>
      <c r="N36" s="350" t="s">
        <v>549</v>
      </c>
      <c r="O36" s="350" t="s">
        <v>549</v>
      </c>
      <c r="P36" s="356" t="s">
        <v>1186</v>
      </c>
      <c r="Q36" s="350" t="s">
        <v>1186</v>
      </c>
      <c r="R36" s="350" t="s">
        <v>1186</v>
      </c>
      <c r="S36" s="350" t="s">
        <v>1186</v>
      </c>
      <c r="T36" s="350" t="s">
        <v>1186</v>
      </c>
      <c r="U36" s="432" t="s">
        <v>1435</v>
      </c>
      <c r="V36" s="356" t="s">
        <v>1435</v>
      </c>
      <c r="W36" s="349" t="s">
        <v>1459</v>
      </c>
      <c r="X36" s="260"/>
      <c r="Y36" s="260"/>
      <c r="Z36" s="260"/>
    </row>
    <row r="37" spans="3:26" ht="18" customHeight="1" x14ac:dyDescent="0.3">
      <c r="C37" s="348"/>
      <c r="D37" s="351" t="s">
        <v>664</v>
      </c>
      <c r="E37" s="350" t="s">
        <v>253</v>
      </c>
      <c r="F37" s="350" t="s">
        <v>17</v>
      </c>
      <c r="G37" s="350">
        <v>0</v>
      </c>
      <c r="H37" s="350" t="s">
        <v>1431</v>
      </c>
      <c r="I37" s="350">
        <v>1</v>
      </c>
      <c r="J37" s="352">
        <v>31</v>
      </c>
      <c r="K37" s="352" t="s">
        <v>1458</v>
      </c>
      <c r="L37" s="350"/>
      <c r="M37" s="350" t="s">
        <v>1457</v>
      </c>
      <c r="N37" s="351" t="s">
        <v>1457</v>
      </c>
      <c r="O37" s="350" t="s">
        <v>1457</v>
      </c>
      <c r="P37" s="356" t="s">
        <v>1186</v>
      </c>
      <c r="Q37" s="350" t="s">
        <v>1186</v>
      </c>
      <c r="R37" s="350" t="s">
        <v>1186</v>
      </c>
      <c r="S37" s="350" t="s">
        <v>1186</v>
      </c>
      <c r="T37" s="350" t="s">
        <v>1186</v>
      </c>
      <c r="U37" s="432" t="s">
        <v>1435</v>
      </c>
      <c r="V37" s="356" t="s">
        <v>1435</v>
      </c>
      <c r="W37" s="355"/>
      <c r="X37" s="260"/>
      <c r="Y37" s="260"/>
      <c r="Z37" s="260"/>
    </row>
    <row r="38" spans="3:26" ht="30" customHeight="1" x14ac:dyDescent="0.3">
      <c r="C38" s="348"/>
      <c r="D38" s="350" t="s">
        <v>361</v>
      </c>
      <c r="E38" s="350" t="s">
        <v>360</v>
      </c>
      <c r="F38" s="350" t="s">
        <v>551</v>
      </c>
      <c r="G38" s="350">
        <v>0</v>
      </c>
      <c r="H38" s="350" t="s">
        <v>1431</v>
      </c>
      <c r="I38" s="350">
        <v>1</v>
      </c>
      <c r="J38" s="352">
        <f>32*8</f>
        <v>256</v>
      </c>
      <c r="K38" s="352" t="s">
        <v>1244</v>
      </c>
      <c r="L38" s="350" t="s">
        <v>1456</v>
      </c>
      <c r="M38" s="351" t="s">
        <v>1432</v>
      </c>
      <c r="N38" s="351" t="s">
        <v>1432</v>
      </c>
      <c r="O38" s="351" t="s">
        <v>1432</v>
      </c>
      <c r="P38" s="350" t="s">
        <v>1274</v>
      </c>
      <c r="Q38" s="350" t="s">
        <v>1435</v>
      </c>
      <c r="R38" s="350" t="s">
        <v>1274</v>
      </c>
      <c r="S38" s="350" t="s">
        <v>1274</v>
      </c>
      <c r="T38" s="350" t="s">
        <v>1274</v>
      </c>
      <c r="U38" s="432" t="s">
        <v>1435</v>
      </c>
      <c r="V38" s="356" t="s">
        <v>1435</v>
      </c>
      <c r="W38" s="355"/>
      <c r="X38" s="260"/>
      <c r="Y38" s="260"/>
      <c r="Z38" s="260"/>
    </row>
    <row r="39" spans="3:26" s="261" customFormat="1" ht="15.6" customHeight="1" x14ac:dyDescent="0.3">
      <c r="C39" s="348" t="s">
        <v>1455</v>
      </c>
      <c r="D39" s="356" t="s">
        <v>1454</v>
      </c>
      <c r="E39" s="350" t="s">
        <v>1443</v>
      </c>
      <c r="F39" s="350" t="s">
        <v>17</v>
      </c>
      <c r="G39" s="350">
        <v>0</v>
      </c>
      <c r="H39" s="350" t="s">
        <v>1431</v>
      </c>
      <c r="I39" s="350">
        <v>1</v>
      </c>
      <c r="J39" s="352">
        <v>1</v>
      </c>
      <c r="K39" s="352" t="s">
        <v>1451</v>
      </c>
      <c r="L39" s="350" t="s">
        <v>534</v>
      </c>
      <c r="M39" s="350" t="s">
        <v>1453</v>
      </c>
      <c r="N39" s="350" t="s">
        <v>1453</v>
      </c>
      <c r="O39" s="350" t="s">
        <v>1453</v>
      </c>
      <c r="P39" s="356" t="s">
        <v>1435</v>
      </c>
      <c r="Q39" s="359" t="s">
        <v>1432</v>
      </c>
      <c r="R39" s="356" t="s">
        <v>1435</v>
      </c>
      <c r="S39" s="356" t="s">
        <v>1435</v>
      </c>
      <c r="T39" s="356" t="s">
        <v>1435</v>
      </c>
      <c r="U39" s="356" t="s">
        <v>1432</v>
      </c>
      <c r="V39" s="356" t="s">
        <v>1432</v>
      </c>
      <c r="W39" s="349"/>
    </row>
    <row r="40" spans="3:26" ht="13.8" customHeight="1" x14ac:dyDescent="0.3">
      <c r="C40" s="348"/>
      <c r="D40" s="356" t="s">
        <v>1452</v>
      </c>
      <c r="E40" s="350" t="s">
        <v>1443</v>
      </c>
      <c r="F40" s="350" t="s">
        <v>17</v>
      </c>
      <c r="G40" s="350">
        <v>0</v>
      </c>
      <c r="H40" s="350" t="s">
        <v>1431</v>
      </c>
      <c r="I40" s="350">
        <v>1</v>
      </c>
      <c r="J40" s="352">
        <v>1</v>
      </c>
      <c r="K40" s="352" t="s">
        <v>1451</v>
      </c>
      <c r="L40" s="350" t="s">
        <v>535</v>
      </c>
      <c r="M40" s="350" t="s">
        <v>1452</v>
      </c>
      <c r="N40" s="356" t="s">
        <v>1435</v>
      </c>
      <c r="O40" s="356" t="s">
        <v>1435</v>
      </c>
      <c r="P40" s="356" t="s">
        <v>1435</v>
      </c>
      <c r="Q40" s="359" t="s">
        <v>1432</v>
      </c>
      <c r="R40" s="356" t="s">
        <v>1435</v>
      </c>
      <c r="S40" s="356" t="s">
        <v>1435</v>
      </c>
      <c r="T40" s="356" t="s">
        <v>1435</v>
      </c>
      <c r="U40" s="356" t="s">
        <v>1432</v>
      </c>
      <c r="V40" s="356" t="s">
        <v>1432</v>
      </c>
      <c r="W40" s="355"/>
      <c r="X40" s="260"/>
      <c r="Y40" s="260"/>
      <c r="Z40" s="260"/>
    </row>
    <row r="41" spans="3:26" ht="15" customHeight="1" x14ac:dyDescent="0.3">
      <c r="C41" s="348"/>
      <c r="D41" s="356" t="s">
        <v>1450</v>
      </c>
      <c r="E41" s="350" t="s">
        <v>1443</v>
      </c>
      <c r="F41" s="350" t="s">
        <v>17</v>
      </c>
      <c r="G41" s="350">
        <v>0</v>
      </c>
      <c r="H41" s="350" t="s">
        <v>1431</v>
      </c>
      <c r="I41" s="350">
        <v>1</v>
      </c>
      <c r="J41" s="352">
        <v>30</v>
      </c>
      <c r="K41" s="352" t="s">
        <v>1451</v>
      </c>
      <c r="L41" s="350"/>
      <c r="M41" s="350" t="s">
        <v>1450</v>
      </c>
      <c r="N41" s="356" t="s">
        <v>1435</v>
      </c>
      <c r="O41" s="356" t="s">
        <v>1435</v>
      </c>
      <c r="P41" s="356" t="s">
        <v>1435</v>
      </c>
      <c r="Q41" s="359" t="s">
        <v>1432</v>
      </c>
      <c r="R41" s="356" t="s">
        <v>1435</v>
      </c>
      <c r="S41" s="356" t="s">
        <v>1435</v>
      </c>
      <c r="T41" s="356" t="s">
        <v>1435</v>
      </c>
      <c r="U41" s="356" t="s">
        <v>1432</v>
      </c>
      <c r="V41" s="356" t="s">
        <v>1432</v>
      </c>
      <c r="W41" s="355"/>
      <c r="X41" s="260"/>
      <c r="Y41" s="260"/>
      <c r="Z41" s="260"/>
    </row>
    <row r="42" spans="3:26" ht="13.2" customHeight="1" x14ac:dyDescent="0.3">
      <c r="C42" s="348"/>
      <c r="D42" s="356" t="s">
        <v>1439</v>
      </c>
      <c r="E42" s="350" t="s">
        <v>1438</v>
      </c>
      <c r="F42" s="350" t="s">
        <v>17</v>
      </c>
      <c r="G42" s="350">
        <v>0</v>
      </c>
      <c r="H42" s="350" t="s">
        <v>1431</v>
      </c>
      <c r="I42" s="350">
        <v>1</v>
      </c>
      <c r="J42" s="352">
        <v>1</v>
      </c>
      <c r="K42" s="352" t="s">
        <v>1449</v>
      </c>
      <c r="L42" s="350" t="s">
        <v>546</v>
      </c>
      <c r="M42" s="350" t="s">
        <v>1439</v>
      </c>
      <c r="N42" s="356" t="s">
        <v>1435</v>
      </c>
      <c r="O42" s="356" t="s">
        <v>1435</v>
      </c>
      <c r="P42" s="356" t="s">
        <v>1435</v>
      </c>
      <c r="Q42" s="356" t="s">
        <v>1435</v>
      </c>
      <c r="R42" s="356" t="s">
        <v>1435</v>
      </c>
      <c r="S42" s="356" t="s">
        <v>1435</v>
      </c>
      <c r="T42" s="356" t="s">
        <v>1435</v>
      </c>
      <c r="U42" s="356" t="s">
        <v>1435</v>
      </c>
      <c r="V42" s="356" t="s">
        <v>1435</v>
      </c>
      <c r="W42" s="358"/>
      <c r="X42" s="260"/>
      <c r="Y42" s="260"/>
      <c r="Z42" s="260"/>
    </row>
    <row r="43" spans="3:26" ht="12" customHeight="1" x14ac:dyDescent="0.3">
      <c r="C43" s="348"/>
      <c r="D43" s="356" t="s">
        <v>1448</v>
      </c>
      <c r="E43" s="350" t="s">
        <v>1438</v>
      </c>
      <c r="F43" s="350" t="s">
        <v>17</v>
      </c>
      <c r="G43" s="350">
        <v>0</v>
      </c>
      <c r="H43" s="350" t="s">
        <v>1431</v>
      </c>
      <c r="I43" s="350">
        <v>1</v>
      </c>
      <c r="J43" s="352">
        <v>31</v>
      </c>
      <c r="K43" s="352" t="s">
        <v>1449</v>
      </c>
      <c r="L43" s="350"/>
      <c r="M43" s="350" t="s">
        <v>1448</v>
      </c>
      <c r="N43" s="356" t="s">
        <v>1435</v>
      </c>
      <c r="O43" s="356" t="s">
        <v>1435</v>
      </c>
      <c r="P43" s="356" t="s">
        <v>1435</v>
      </c>
      <c r="Q43" s="356" t="s">
        <v>1435</v>
      </c>
      <c r="R43" s="356" t="s">
        <v>1435</v>
      </c>
      <c r="S43" s="356" t="s">
        <v>1435</v>
      </c>
      <c r="T43" s="356" t="s">
        <v>1435</v>
      </c>
      <c r="U43" s="356" t="s">
        <v>1435</v>
      </c>
      <c r="V43" s="356" t="s">
        <v>1435</v>
      </c>
      <c r="W43" s="358"/>
      <c r="X43" s="260"/>
      <c r="Y43" s="260"/>
      <c r="Z43" s="260"/>
    </row>
    <row r="44" spans="3:26" ht="18" customHeight="1" x14ac:dyDescent="0.3">
      <c r="C44" s="348"/>
      <c r="D44" s="350" t="s">
        <v>364</v>
      </c>
      <c r="E44" s="350" t="s">
        <v>1434</v>
      </c>
      <c r="F44" s="353" t="s">
        <v>551</v>
      </c>
      <c r="G44" s="350">
        <v>0</v>
      </c>
      <c r="H44" s="350" t="s">
        <v>1431</v>
      </c>
      <c r="I44" s="350">
        <v>1</v>
      </c>
      <c r="J44" s="357">
        <f>32*8</f>
        <v>256</v>
      </c>
      <c r="K44" s="352" t="s">
        <v>1244</v>
      </c>
      <c r="L44" s="350" t="s">
        <v>1447</v>
      </c>
      <c r="M44" s="351" t="s">
        <v>1432</v>
      </c>
      <c r="N44" s="351" t="s">
        <v>1432</v>
      </c>
      <c r="O44" s="351" t="s">
        <v>1432</v>
      </c>
      <c r="P44" s="350" t="s">
        <v>1274</v>
      </c>
      <c r="Q44" s="350" t="s">
        <v>1435</v>
      </c>
      <c r="R44" s="350" t="s">
        <v>1274</v>
      </c>
      <c r="S44" s="350" t="s">
        <v>1274</v>
      </c>
      <c r="T44" s="350" t="s">
        <v>1274</v>
      </c>
      <c r="U44" s="356" t="s">
        <v>1435</v>
      </c>
      <c r="V44" s="356" t="s">
        <v>1435</v>
      </c>
      <c r="W44" s="349"/>
      <c r="X44" s="260"/>
      <c r="Y44" s="260"/>
      <c r="Z44" s="260"/>
    </row>
    <row r="45" spans="3:26" s="260" customFormat="1" ht="13.2" customHeight="1" x14ac:dyDescent="0.3">
      <c r="C45" s="348" t="s">
        <v>1446</v>
      </c>
      <c r="D45" s="351" t="s">
        <v>1445</v>
      </c>
      <c r="E45" s="351" t="s">
        <v>1443</v>
      </c>
      <c r="F45" s="350" t="s">
        <v>17</v>
      </c>
      <c r="G45" s="351">
        <v>0</v>
      </c>
      <c r="H45" s="350" t="s">
        <v>1431</v>
      </c>
      <c r="I45" s="350">
        <v>1</v>
      </c>
      <c r="J45" s="352">
        <v>1</v>
      </c>
      <c r="K45" s="352" t="s">
        <v>1442</v>
      </c>
      <c r="L45" s="351" t="s">
        <v>534</v>
      </c>
      <c r="M45" s="351" t="s">
        <v>1445</v>
      </c>
      <c r="N45" s="356" t="s">
        <v>1435</v>
      </c>
      <c r="O45" s="356" t="s">
        <v>1435</v>
      </c>
      <c r="P45" s="356" t="s">
        <v>1435</v>
      </c>
      <c r="Q45" s="359" t="s">
        <v>1432</v>
      </c>
      <c r="R45" s="356" t="s">
        <v>1435</v>
      </c>
      <c r="S45" s="356" t="s">
        <v>1435</v>
      </c>
      <c r="T45" s="356" t="s">
        <v>1435</v>
      </c>
      <c r="U45" s="356" t="s">
        <v>1432</v>
      </c>
      <c r="V45" s="359" t="s">
        <v>1432</v>
      </c>
      <c r="W45" s="355"/>
    </row>
    <row r="46" spans="3:26" s="260" customFormat="1" ht="11.4" customHeight="1" x14ac:dyDescent="0.3">
      <c r="C46" s="348"/>
      <c r="D46" s="351" t="s">
        <v>1444</v>
      </c>
      <c r="E46" s="351" t="s">
        <v>1443</v>
      </c>
      <c r="F46" s="350" t="s">
        <v>17</v>
      </c>
      <c r="G46" s="351">
        <v>0</v>
      </c>
      <c r="H46" s="350" t="s">
        <v>1431</v>
      </c>
      <c r="I46" s="350">
        <v>1</v>
      </c>
      <c r="J46" s="352">
        <v>1</v>
      </c>
      <c r="K46" s="352" t="s">
        <v>1442</v>
      </c>
      <c r="L46" s="351" t="s">
        <v>535</v>
      </c>
      <c r="M46" s="351" t="s">
        <v>1444</v>
      </c>
      <c r="N46" s="356" t="s">
        <v>1435</v>
      </c>
      <c r="O46" s="356" t="s">
        <v>1435</v>
      </c>
      <c r="P46" s="356" t="s">
        <v>1435</v>
      </c>
      <c r="Q46" s="359" t="s">
        <v>1432</v>
      </c>
      <c r="R46" s="356" t="s">
        <v>1435</v>
      </c>
      <c r="S46" s="356" t="s">
        <v>1435</v>
      </c>
      <c r="T46" s="356" t="s">
        <v>1435</v>
      </c>
      <c r="U46" s="356" t="s">
        <v>1432</v>
      </c>
      <c r="V46" s="359" t="s">
        <v>1432</v>
      </c>
      <c r="W46" s="355"/>
    </row>
    <row r="47" spans="3:26" s="260" customFormat="1" ht="25.2" customHeight="1" x14ac:dyDescent="0.3">
      <c r="C47" s="348"/>
      <c r="D47" s="351" t="s">
        <v>1441</v>
      </c>
      <c r="E47" s="351" t="s">
        <v>1443</v>
      </c>
      <c r="F47" s="350" t="s">
        <v>17</v>
      </c>
      <c r="G47" s="351">
        <v>0</v>
      </c>
      <c r="H47" s="350" t="s">
        <v>1431</v>
      </c>
      <c r="I47" s="350">
        <v>1</v>
      </c>
      <c r="J47" s="352">
        <v>30</v>
      </c>
      <c r="K47" s="352" t="s">
        <v>1442</v>
      </c>
      <c r="L47" s="351"/>
      <c r="M47" s="351" t="s">
        <v>1441</v>
      </c>
      <c r="N47" s="356" t="s">
        <v>1435</v>
      </c>
      <c r="O47" s="356" t="s">
        <v>1435</v>
      </c>
      <c r="P47" s="356" t="s">
        <v>1435</v>
      </c>
      <c r="Q47" s="359" t="s">
        <v>1432</v>
      </c>
      <c r="R47" s="356" t="s">
        <v>1435</v>
      </c>
      <c r="S47" s="356" t="s">
        <v>1435</v>
      </c>
      <c r="T47" s="356" t="s">
        <v>1435</v>
      </c>
      <c r="U47" s="356" t="s">
        <v>1432</v>
      </c>
      <c r="V47" s="359" t="s">
        <v>1432</v>
      </c>
      <c r="W47" s="355"/>
    </row>
    <row r="48" spans="3:26" ht="34.799999999999997" customHeight="1" x14ac:dyDescent="0.3">
      <c r="C48" s="348"/>
      <c r="D48" s="356" t="s">
        <v>1440</v>
      </c>
      <c r="E48" s="350" t="s">
        <v>1438</v>
      </c>
      <c r="F48" s="350" t="s">
        <v>17</v>
      </c>
      <c r="G48" s="351">
        <v>0</v>
      </c>
      <c r="H48" s="350" t="s">
        <v>1431</v>
      </c>
      <c r="I48" s="350">
        <v>1</v>
      </c>
      <c r="J48" s="352">
        <v>1</v>
      </c>
      <c r="K48" s="352" t="s">
        <v>1437</v>
      </c>
      <c r="L48" s="350" t="s">
        <v>546</v>
      </c>
      <c r="M48" s="350" t="s">
        <v>1439</v>
      </c>
      <c r="N48" s="356" t="s">
        <v>1435</v>
      </c>
      <c r="O48" s="356" t="s">
        <v>1435</v>
      </c>
      <c r="P48" s="356" t="s">
        <v>1435</v>
      </c>
      <c r="Q48" s="356" t="s">
        <v>1435</v>
      </c>
      <c r="R48" s="356" t="s">
        <v>1435</v>
      </c>
      <c r="S48" s="356" t="s">
        <v>1435</v>
      </c>
      <c r="T48" s="356" t="s">
        <v>1435</v>
      </c>
      <c r="U48" s="356" t="s">
        <v>1435</v>
      </c>
      <c r="V48" s="356" t="s">
        <v>1435</v>
      </c>
      <c r="W48" s="355"/>
      <c r="X48" s="260"/>
      <c r="Y48" s="260"/>
      <c r="Z48" s="260"/>
    </row>
    <row r="49" spans="3:26" ht="30.6" customHeight="1" x14ac:dyDescent="0.3">
      <c r="C49" s="348"/>
      <c r="D49" s="356" t="s">
        <v>1436</v>
      </c>
      <c r="E49" s="350" t="s">
        <v>1438</v>
      </c>
      <c r="F49" s="350" t="s">
        <v>17</v>
      </c>
      <c r="G49" s="351">
        <v>0</v>
      </c>
      <c r="H49" s="350" t="s">
        <v>1431</v>
      </c>
      <c r="I49" s="350">
        <v>1</v>
      </c>
      <c r="J49" s="352">
        <v>31</v>
      </c>
      <c r="K49" s="352" t="s">
        <v>1437</v>
      </c>
      <c r="L49" s="350"/>
      <c r="M49" s="350" t="s">
        <v>1436</v>
      </c>
      <c r="N49" s="356" t="s">
        <v>1435</v>
      </c>
      <c r="O49" s="356" t="s">
        <v>1435</v>
      </c>
      <c r="P49" s="356" t="s">
        <v>1435</v>
      </c>
      <c r="Q49" s="356" t="s">
        <v>1435</v>
      </c>
      <c r="R49" s="356" t="s">
        <v>1435</v>
      </c>
      <c r="S49" s="356" t="s">
        <v>1435</v>
      </c>
      <c r="T49" s="356" t="s">
        <v>1435</v>
      </c>
      <c r="U49" s="356" t="s">
        <v>1435</v>
      </c>
      <c r="V49" s="356" t="s">
        <v>1435</v>
      </c>
      <c r="W49" s="355"/>
      <c r="X49" s="260"/>
      <c r="Y49" s="260"/>
      <c r="Z49" s="260"/>
    </row>
    <row r="50" spans="3:26" ht="63" customHeight="1" x14ac:dyDescent="0.3">
      <c r="C50" s="354"/>
      <c r="D50" s="350" t="s">
        <v>366</v>
      </c>
      <c r="E50" s="350" t="s">
        <v>1434</v>
      </c>
      <c r="F50" s="353" t="s">
        <v>551</v>
      </c>
      <c r="G50" s="351">
        <v>0</v>
      </c>
      <c r="H50" s="350" t="s">
        <v>1431</v>
      </c>
      <c r="I50" s="350">
        <v>1</v>
      </c>
      <c r="J50" s="352">
        <f>32*8</f>
        <v>256</v>
      </c>
      <c r="K50" s="352" t="s">
        <v>1178</v>
      </c>
      <c r="L50" s="350" t="s">
        <v>1433</v>
      </c>
      <c r="M50" s="351" t="s">
        <v>1432</v>
      </c>
      <c r="N50" s="351" t="s">
        <v>1432</v>
      </c>
      <c r="O50" s="351" t="s">
        <v>1432</v>
      </c>
      <c r="P50" s="350" t="s">
        <v>1274</v>
      </c>
      <c r="Q50" s="350" t="s">
        <v>1435</v>
      </c>
      <c r="R50" s="350" t="s">
        <v>1274</v>
      </c>
      <c r="S50" s="350" t="s">
        <v>1274</v>
      </c>
      <c r="T50" s="350" t="s">
        <v>1274</v>
      </c>
      <c r="U50" s="356" t="s">
        <v>1435</v>
      </c>
      <c r="V50" s="356" t="s">
        <v>1435</v>
      </c>
      <c r="W50" s="349"/>
      <c r="X50" s="260"/>
      <c r="Y50" s="260"/>
      <c r="Z50" s="260"/>
    </row>
    <row r="51" spans="3:26" ht="19.8" customHeight="1" x14ac:dyDescent="0.3">
      <c r="C51" s="321" t="s">
        <v>63</v>
      </c>
      <c r="D51" s="313" t="s">
        <v>64</v>
      </c>
      <c r="E51" s="312" t="s">
        <v>613</v>
      </c>
      <c r="F51" s="320" t="s">
        <v>1277</v>
      </c>
      <c r="G51" s="315">
        <v>1</v>
      </c>
      <c r="H51" s="312" t="s">
        <v>1267</v>
      </c>
      <c r="I51" s="312">
        <v>1</v>
      </c>
      <c r="J51" s="314">
        <v>1</v>
      </c>
      <c r="K51" s="314" t="s">
        <v>1421</v>
      </c>
      <c r="L51" s="313" t="s">
        <v>425</v>
      </c>
      <c r="M51" s="312" t="s">
        <v>1430</v>
      </c>
      <c r="N51" s="313" t="s">
        <v>64</v>
      </c>
      <c r="O51" s="312" t="s">
        <v>64</v>
      </c>
      <c r="P51" s="312" t="s">
        <v>1186</v>
      </c>
      <c r="Q51" s="312" t="s">
        <v>1186</v>
      </c>
      <c r="R51" s="312" t="s">
        <v>1186</v>
      </c>
      <c r="S51" s="312" t="s">
        <v>1186</v>
      </c>
      <c r="T51" s="312" t="s">
        <v>1186</v>
      </c>
      <c r="U51" s="438" t="s">
        <v>1186</v>
      </c>
      <c r="V51" s="448" t="s">
        <v>1186</v>
      </c>
      <c r="W51" s="311" t="s">
        <v>1428</v>
      </c>
      <c r="X51" s="260"/>
      <c r="Y51" s="260"/>
      <c r="Z51" s="260"/>
    </row>
    <row r="52" spans="3:26" ht="16.8" customHeight="1" x14ac:dyDescent="0.3">
      <c r="C52" s="321"/>
      <c r="D52" s="313" t="s">
        <v>67</v>
      </c>
      <c r="E52" s="312" t="s">
        <v>613</v>
      </c>
      <c r="F52" s="320" t="s">
        <v>1277</v>
      </c>
      <c r="G52" s="315">
        <v>1</v>
      </c>
      <c r="H52" s="312" t="s">
        <v>1267</v>
      </c>
      <c r="I52" s="312">
        <v>1</v>
      </c>
      <c r="J52" s="314">
        <v>1</v>
      </c>
      <c r="K52" s="314" t="s">
        <v>1421</v>
      </c>
      <c r="L52" s="313" t="s">
        <v>426</v>
      </c>
      <c r="M52" s="312" t="s">
        <v>1429</v>
      </c>
      <c r="N52" s="313" t="s">
        <v>67</v>
      </c>
      <c r="O52" s="312" t="s">
        <v>67</v>
      </c>
      <c r="P52" s="312" t="s">
        <v>1186</v>
      </c>
      <c r="Q52" s="312" t="s">
        <v>1186</v>
      </c>
      <c r="R52" s="312" t="s">
        <v>1186</v>
      </c>
      <c r="S52" s="312" t="s">
        <v>1186</v>
      </c>
      <c r="T52" s="312" t="s">
        <v>1186</v>
      </c>
      <c r="U52" s="438" t="s">
        <v>1186</v>
      </c>
      <c r="V52" s="448" t="s">
        <v>1186</v>
      </c>
      <c r="W52" s="311" t="s">
        <v>1428</v>
      </c>
      <c r="X52" s="260"/>
      <c r="Y52" s="260"/>
      <c r="Z52" s="260"/>
    </row>
    <row r="53" spans="3:26" ht="22.2" customHeight="1" x14ac:dyDescent="0.3">
      <c r="C53" s="321"/>
      <c r="D53" s="313" t="s">
        <v>71</v>
      </c>
      <c r="E53" s="269" t="s">
        <v>1518</v>
      </c>
      <c r="F53" s="320" t="s">
        <v>1277</v>
      </c>
      <c r="G53" s="315">
        <v>0</v>
      </c>
      <c r="H53" s="312" t="s">
        <v>1267</v>
      </c>
      <c r="I53" s="312">
        <v>1</v>
      </c>
      <c r="J53" s="314">
        <v>1</v>
      </c>
      <c r="K53" s="314" t="s">
        <v>1421</v>
      </c>
      <c r="L53" s="313" t="s">
        <v>427</v>
      </c>
      <c r="M53" s="312" t="s">
        <v>71</v>
      </c>
      <c r="N53" s="313" t="s">
        <v>71</v>
      </c>
      <c r="O53" s="312" t="s">
        <v>72</v>
      </c>
      <c r="P53" s="328" t="s">
        <v>1186</v>
      </c>
      <c r="Q53" s="312" t="s">
        <v>1187</v>
      </c>
      <c r="R53" s="269" t="s">
        <v>1186</v>
      </c>
      <c r="S53" s="269" t="s">
        <v>1187</v>
      </c>
      <c r="T53" s="277" t="s">
        <v>1186</v>
      </c>
      <c r="U53" s="438" t="s">
        <v>1186</v>
      </c>
      <c r="V53" s="448" t="s">
        <v>1186</v>
      </c>
      <c r="W53" s="311" t="s">
        <v>1423</v>
      </c>
      <c r="X53" s="260"/>
      <c r="Y53" s="260"/>
      <c r="Z53" s="260" t="s">
        <v>1427</v>
      </c>
    </row>
    <row r="54" spans="3:26" ht="42" customHeight="1" x14ac:dyDescent="0.3">
      <c r="C54" s="321"/>
      <c r="D54" s="313" t="s">
        <v>73</v>
      </c>
      <c r="E54" s="312" t="s">
        <v>613</v>
      </c>
      <c r="F54" s="320" t="s">
        <v>1277</v>
      </c>
      <c r="G54" s="315">
        <v>0</v>
      </c>
      <c r="H54" s="312" t="s">
        <v>1267</v>
      </c>
      <c r="I54" s="312">
        <v>1</v>
      </c>
      <c r="J54" s="314">
        <v>1</v>
      </c>
      <c r="K54" s="314" t="s">
        <v>1421</v>
      </c>
      <c r="L54" s="313" t="s">
        <v>428</v>
      </c>
      <c r="M54" s="312" t="s">
        <v>1426</v>
      </c>
      <c r="N54" s="313" t="s">
        <v>73</v>
      </c>
      <c r="O54" s="312" t="s">
        <v>73</v>
      </c>
      <c r="P54" s="312" t="s">
        <v>1186</v>
      </c>
      <c r="Q54" s="312" t="s">
        <v>1186</v>
      </c>
      <c r="R54" s="312" t="s">
        <v>1186</v>
      </c>
      <c r="S54" s="312" t="s">
        <v>1186</v>
      </c>
      <c r="T54" s="312" t="s">
        <v>1186</v>
      </c>
      <c r="U54" s="438" t="s">
        <v>1186</v>
      </c>
      <c r="V54" s="448" t="s">
        <v>1186</v>
      </c>
      <c r="W54" s="311"/>
      <c r="X54" s="260"/>
      <c r="Y54" s="260"/>
      <c r="Z54" s="260"/>
    </row>
    <row r="55" spans="3:26" ht="15" customHeight="1" x14ac:dyDescent="0.3">
      <c r="C55" s="321"/>
      <c r="D55" s="313" t="s">
        <v>76</v>
      </c>
      <c r="E55" s="312" t="s">
        <v>75</v>
      </c>
      <c r="F55" s="320" t="s">
        <v>1277</v>
      </c>
      <c r="G55" s="315">
        <v>0</v>
      </c>
      <c r="H55" s="312" t="s">
        <v>1267</v>
      </c>
      <c r="I55" s="312">
        <v>1</v>
      </c>
      <c r="J55" s="314">
        <v>1</v>
      </c>
      <c r="K55" s="314" t="s">
        <v>1421</v>
      </c>
      <c r="L55" s="313" t="s">
        <v>429</v>
      </c>
      <c r="M55" s="312" t="s">
        <v>76</v>
      </c>
      <c r="N55" s="313" t="s">
        <v>76</v>
      </c>
      <c r="O55" s="312" t="s">
        <v>77</v>
      </c>
      <c r="P55" s="312" t="s">
        <v>1274</v>
      </c>
      <c r="Q55" s="312" t="s">
        <v>1274</v>
      </c>
      <c r="R55" s="312" t="s">
        <v>1274</v>
      </c>
      <c r="S55" s="312" t="s">
        <v>1274</v>
      </c>
      <c r="T55" s="312" t="s">
        <v>1274</v>
      </c>
      <c r="U55" s="438" t="s">
        <v>1435</v>
      </c>
      <c r="V55" s="448" t="s">
        <v>1435</v>
      </c>
      <c r="W55" s="311" t="s">
        <v>1425</v>
      </c>
      <c r="X55" s="260" t="s">
        <v>1389</v>
      </c>
      <c r="Y55" s="260" t="s">
        <v>1303</v>
      </c>
      <c r="Z55" s="260" t="s">
        <v>1424</v>
      </c>
    </row>
    <row r="56" spans="3:26" ht="36" customHeight="1" x14ac:dyDescent="0.3">
      <c r="C56" s="321"/>
      <c r="D56" s="313" t="s">
        <v>79</v>
      </c>
      <c r="E56" s="312" t="s">
        <v>75</v>
      </c>
      <c r="F56" s="320" t="s">
        <v>1277</v>
      </c>
      <c r="G56" s="315">
        <v>0</v>
      </c>
      <c r="H56" s="312" t="s">
        <v>1267</v>
      </c>
      <c r="I56" s="312">
        <v>1</v>
      </c>
      <c r="J56" s="314">
        <v>1</v>
      </c>
      <c r="K56" s="314" t="s">
        <v>1421</v>
      </c>
      <c r="L56" s="313" t="s">
        <v>430</v>
      </c>
      <c r="M56" s="312" t="s">
        <v>79</v>
      </c>
      <c r="N56" s="313" t="s">
        <v>79</v>
      </c>
      <c r="O56" s="312" t="s">
        <v>80</v>
      </c>
      <c r="P56" s="312" t="s">
        <v>1274</v>
      </c>
      <c r="Q56" s="312" t="s">
        <v>1274</v>
      </c>
      <c r="R56" s="312" t="s">
        <v>1274</v>
      </c>
      <c r="S56" s="312" t="s">
        <v>1274</v>
      </c>
      <c r="T56" s="312" t="s">
        <v>1274</v>
      </c>
      <c r="U56" s="438" t="s">
        <v>1435</v>
      </c>
      <c r="V56" s="448" t="s">
        <v>1435</v>
      </c>
      <c r="W56" s="311" t="s">
        <v>1425</v>
      </c>
      <c r="X56" s="260" t="s">
        <v>1389</v>
      </c>
      <c r="Y56" s="260" t="s">
        <v>1303</v>
      </c>
      <c r="Z56" s="260" t="s">
        <v>1424</v>
      </c>
    </row>
    <row r="57" spans="3:26" ht="18" customHeight="1" x14ac:dyDescent="0.3">
      <c r="C57" s="321"/>
      <c r="D57" s="313" t="s">
        <v>81</v>
      </c>
      <c r="E57" s="278" t="s">
        <v>1519</v>
      </c>
      <c r="F57" s="320" t="s">
        <v>1277</v>
      </c>
      <c r="G57" s="315">
        <v>0</v>
      </c>
      <c r="H57" s="312" t="s">
        <v>1267</v>
      </c>
      <c r="I57" s="312">
        <v>1</v>
      </c>
      <c r="J57" s="314">
        <v>1</v>
      </c>
      <c r="K57" s="314" t="s">
        <v>1421</v>
      </c>
      <c r="L57" s="313" t="s">
        <v>431</v>
      </c>
      <c r="M57" s="312" t="s">
        <v>81</v>
      </c>
      <c r="N57" s="313" t="s">
        <v>81</v>
      </c>
      <c r="O57" s="312" t="s">
        <v>81</v>
      </c>
      <c r="P57" s="330" t="s">
        <v>1210</v>
      </c>
      <c r="Q57" s="312" t="s">
        <v>1187</v>
      </c>
      <c r="R57" s="269" t="s">
        <v>1186</v>
      </c>
      <c r="S57" s="269" t="s">
        <v>1187</v>
      </c>
      <c r="T57" s="277" t="s">
        <v>1210</v>
      </c>
      <c r="U57" s="438" t="s">
        <v>1186</v>
      </c>
      <c r="V57" s="448" t="s">
        <v>1210</v>
      </c>
      <c r="W57" s="311" t="s">
        <v>1423</v>
      </c>
      <c r="X57" s="260"/>
      <c r="Y57" s="260"/>
      <c r="Z57" s="260" t="s">
        <v>1422</v>
      </c>
    </row>
    <row r="58" spans="3:26" ht="18" customHeight="1" x14ac:dyDescent="0.3">
      <c r="C58" s="321"/>
      <c r="D58" s="313" t="s">
        <v>83</v>
      </c>
      <c r="E58" s="279" t="s">
        <v>1525</v>
      </c>
      <c r="F58" s="320" t="s">
        <v>1277</v>
      </c>
      <c r="G58" s="315">
        <v>1</v>
      </c>
      <c r="H58" s="312" t="s">
        <v>1267</v>
      </c>
      <c r="I58" s="312">
        <v>1</v>
      </c>
      <c r="J58" s="314">
        <v>1</v>
      </c>
      <c r="K58" s="314" t="s">
        <v>1421</v>
      </c>
      <c r="L58" s="313" t="s">
        <v>432</v>
      </c>
      <c r="M58" s="312" t="s">
        <v>1420</v>
      </c>
      <c r="N58" s="313" t="s">
        <v>83</v>
      </c>
      <c r="O58" s="312" t="s">
        <v>83</v>
      </c>
      <c r="P58" s="328" t="s">
        <v>1432</v>
      </c>
      <c r="Q58" s="328" t="s">
        <v>1432</v>
      </c>
      <c r="R58" s="328" t="s">
        <v>1432</v>
      </c>
      <c r="S58" s="328" t="s">
        <v>1432</v>
      </c>
      <c r="T58" s="312" t="s">
        <v>1432</v>
      </c>
      <c r="U58" s="438" t="s">
        <v>1432</v>
      </c>
      <c r="V58" s="448" t="s">
        <v>1432</v>
      </c>
      <c r="W58" s="311" t="s">
        <v>1419</v>
      </c>
      <c r="X58" s="260" t="s">
        <v>1418</v>
      </c>
      <c r="Y58" s="260"/>
      <c r="Z58" s="260" t="s">
        <v>1417</v>
      </c>
    </row>
    <row r="59" spans="3:26" ht="18" customHeight="1" x14ac:dyDescent="0.3">
      <c r="C59" s="321"/>
      <c r="D59" s="313" t="s">
        <v>85</v>
      </c>
      <c r="E59" s="312" t="s">
        <v>613</v>
      </c>
      <c r="F59" s="320" t="s">
        <v>1277</v>
      </c>
      <c r="G59" s="315">
        <v>0</v>
      </c>
      <c r="H59" s="312" t="s">
        <v>1267</v>
      </c>
      <c r="I59" s="312">
        <v>1</v>
      </c>
      <c r="J59" s="314">
        <v>1</v>
      </c>
      <c r="K59" s="314" t="s">
        <v>1397</v>
      </c>
      <c r="L59" s="313" t="s">
        <v>433</v>
      </c>
      <c r="M59" s="312" t="s">
        <v>85</v>
      </c>
      <c r="N59" s="313" t="s">
        <v>85</v>
      </c>
      <c r="O59" s="312" t="s">
        <v>85</v>
      </c>
      <c r="P59" s="312" t="s">
        <v>1186</v>
      </c>
      <c r="Q59" s="312" t="s">
        <v>1186</v>
      </c>
      <c r="R59" s="312" t="s">
        <v>1186</v>
      </c>
      <c r="S59" s="312" t="s">
        <v>1186</v>
      </c>
      <c r="T59" s="312" t="s">
        <v>1186</v>
      </c>
      <c r="U59" s="438" t="s">
        <v>1186</v>
      </c>
      <c r="V59" s="448" t="s">
        <v>1186</v>
      </c>
      <c r="W59" s="311" t="s">
        <v>1412</v>
      </c>
      <c r="X59" s="260"/>
      <c r="Y59" s="260"/>
      <c r="Z59" s="260"/>
    </row>
    <row r="60" spans="3:26" ht="18" customHeight="1" x14ac:dyDescent="0.3">
      <c r="C60" s="321"/>
      <c r="D60" s="313" t="s">
        <v>811</v>
      </c>
      <c r="E60" s="312" t="s">
        <v>809</v>
      </c>
      <c r="F60" s="320" t="s">
        <v>1277</v>
      </c>
      <c r="G60" s="315">
        <v>0</v>
      </c>
      <c r="H60" s="312" t="s">
        <v>1267</v>
      </c>
      <c r="I60" s="312">
        <v>1</v>
      </c>
      <c r="J60" s="314">
        <v>1</v>
      </c>
      <c r="K60" s="314" t="s">
        <v>1397</v>
      </c>
      <c r="L60" s="313" t="s">
        <v>812</v>
      </c>
      <c r="M60" s="312" t="s">
        <v>1416</v>
      </c>
      <c r="N60" s="326" t="s">
        <v>811</v>
      </c>
      <c r="O60" s="326" t="s">
        <v>811</v>
      </c>
      <c r="P60" s="312" t="s">
        <v>1186</v>
      </c>
      <c r="Q60" s="312" t="s">
        <v>1186</v>
      </c>
      <c r="R60" s="312" t="s">
        <v>1186</v>
      </c>
      <c r="S60" s="312" t="s">
        <v>1186</v>
      </c>
      <c r="T60" s="312" t="s">
        <v>1186</v>
      </c>
      <c r="U60" s="438" t="s">
        <v>1186</v>
      </c>
      <c r="V60" s="448" t="s">
        <v>1210</v>
      </c>
      <c r="W60" s="311" t="s">
        <v>1412</v>
      </c>
      <c r="X60" s="260"/>
      <c r="Y60" s="260" t="s">
        <v>1415</v>
      </c>
      <c r="Z60" s="260"/>
    </row>
    <row r="61" spans="3:26" ht="18" customHeight="1" x14ac:dyDescent="0.3">
      <c r="C61" s="321"/>
      <c r="D61" s="313" t="s">
        <v>89</v>
      </c>
      <c r="E61" s="312" t="s">
        <v>647</v>
      </c>
      <c r="F61" s="320" t="s">
        <v>1277</v>
      </c>
      <c r="G61" s="315">
        <v>0</v>
      </c>
      <c r="H61" s="312" t="s">
        <v>1267</v>
      </c>
      <c r="I61" s="312">
        <v>1</v>
      </c>
      <c r="J61" s="314">
        <v>1</v>
      </c>
      <c r="K61" s="314" t="s">
        <v>1397</v>
      </c>
      <c r="L61" s="313" t="s">
        <v>434</v>
      </c>
      <c r="M61" s="312" t="s">
        <v>1414</v>
      </c>
      <c r="N61" s="313" t="s">
        <v>89</v>
      </c>
      <c r="O61" s="312" t="s">
        <v>90</v>
      </c>
      <c r="P61" s="312" t="s">
        <v>1186</v>
      </c>
      <c r="Q61" s="312" t="s">
        <v>1187</v>
      </c>
      <c r="R61" s="312" t="s">
        <v>1413</v>
      </c>
      <c r="S61" s="312" t="s">
        <v>1187</v>
      </c>
      <c r="T61" s="312" t="s">
        <v>1187</v>
      </c>
      <c r="U61" s="438" t="s">
        <v>1187</v>
      </c>
      <c r="V61" s="448" t="s">
        <v>1187</v>
      </c>
      <c r="W61" s="311" t="s">
        <v>1412</v>
      </c>
      <c r="X61" s="260" t="s">
        <v>1411</v>
      </c>
      <c r="Y61" s="260" t="s">
        <v>1410</v>
      </c>
      <c r="Z61" s="260" t="s">
        <v>1404</v>
      </c>
    </row>
    <row r="62" spans="3:26" ht="18" customHeight="1" x14ac:dyDescent="0.3">
      <c r="C62" s="321"/>
      <c r="D62" s="313" t="s">
        <v>92</v>
      </c>
      <c r="E62" s="312" t="s">
        <v>91</v>
      </c>
      <c r="F62" s="320" t="s">
        <v>1277</v>
      </c>
      <c r="G62" s="315">
        <v>0</v>
      </c>
      <c r="H62" s="312" t="s">
        <v>1267</v>
      </c>
      <c r="I62" s="312">
        <v>1</v>
      </c>
      <c r="J62" s="314">
        <v>1</v>
      </c>
      <c r="K62" s="314" t="s">
        <v>1397</v>
      </c>
      <c r="L62" s="313" t="s">
        <v>435</v>
      </c>
      <c r="M62" s="312" t="s">
        <v>1409</v>
      </c>
      <c r="N62" s="313" t="s">
        <v>1178</v>
      </c>
      <c r="O62" s="312" t="s">
        <v>93</v>
      </c>
      <c r="P62" s="312" t="s">
        <v>1274</v>
      </c>
      <c r="Q62" s="312" t="s">
        <v>1274</v>
      </c>
      <c r="R62" s="312" t="s">
        <v>1274</v>
      </c>
      <c r="S62" s="312" t="s">
        <v>1274</v>
      </c>
      <c r="T62" s="312" t="s">
        <v>1274</v>
      </c>
      <c r="U62" s="438" t="s">
        <v>1186</v>
      </c>
      <c r="V62" s="448" t="s">
        <v>1187</v>
      </c>
      <c r="W62" s="311" t="s">
        <v>1408</v>
      </c>
      <c r="X62" s="260"/>
      <c r="Y62" s="260" t="s">
        <v>1407</v>
      </c>
      <c r="Z62" s="260"/>
    </row>
    <row r="63" spans="3:26" ht="22.8" customHeight="1" x14ac:dyDescent="0.3">
      <c r="C63" s="321"/>
      <c r="D63" s="313" t="s">
        <v>94</v>
      </c>
      <c r="E63" s="312" t="s">
        <v>649</v>
      </c>
      <c r="F63" s="320" t="s">
        <v>1277</v>
      </c>
      <c r="G63" s="315">
        <v>1</v>
      </c>
      <c r="H63" s="312" t="s">
        <v>1267</v>
      </c>
      <c r="I63" s="312">
        <v>1</v>
      </c>
      <c r="J63" s="314">
        <v>1</v>
      </c>
      <c r="K63" s="314" t="s">
        <v>1397</v>
      </c>
      <c r="L63" s="313" t="s">
        <v>436</v>
      </c>
      <c r="M63" s="312" t="s">
        <v>94</v>
      </c>
      <c r="N63" s="313" t="s">
        <v>94</v>
      </c>
      <c r="O63" s="312" t="s">
        <v>95</v>
      </c>
      <c r="P63" s="312" t="s">
        <v>1186</v>
      </c>
      <c r="Q63" s="312" t="s">
        <v>1187</v>
      </c>
      <c r="R63" s="312" t="s">
        <v>1187</v>
      </c>
      <c r="S63" s="312" t="s">
        <v>1187</v>
      </c>
      <c r="T63" s="312" t="s">
        <v>1187</v>
      </c>
      <c r="U63" s="438" t="s">
        <v>1186</v>
      </c>
      <c r="V63" s="448" t="s">
        <v>1187</v>
      </c>
      <c r="W63" s="311"/>
      <c r="X63" s="260" t="s">
        <v>1406</v>
      </c>
      <c r="Y63" s="260" t="s">
        <v>1405</v>
      </c>
      <c r="Z63" s="260" t="s">
        <v>1404</v>
      </c>
    </row>
    <row r="64" spans="3:26" ht="18" customHeight="1" x14ac:dyDescent="0.3">
      <c r="C64" s="321"/>
      <c r="D64" s="313" t="s">
        <v>96</v>
      </c>
      <c r="E64" s="312" t="s">
        <v>172</v>
      </c>
      <c r="F64" s="320" t="s">
        <v>1277</v>
      </c>
      <c r="G64" s="315">
        <v>1</v>
      </c>
      <c r="H64" s="312" t="s">
        <v>1267</v>
      </c>
      <c r="I64" s="312">
        <v>1</v>
      </c>
      <c r="J64" s="314">
        <v>1</v>
      </c>
      <c r="K64" s="314" t="s">
        <v>1397</v>
      </c>
      <c r="L64" s="313" t="s">
        <v>437</v>
      </c>
      <c r="M64" s="312" t="s">
        <v>96</v>
      </c>
      <c r="N64" s="313" t="s">
        <v>96</v>
      </c>
      <c r="O64" s="312" t="s">
        <v>97</v>
      </c>
      <c r="P64" s="328" t="s">
        <v>1186</v>
      </c>
      <c r="Q64" s="328" t="s">
        <v>1274</v>
      </c>
      <c r="R64" s="328" t="s">
        <v>1274</v>
      </c>
      <c r="S64" s="328" t="s">
        <v>1274</v>
      </c>
      <c r="T64" s="312" t="s">
        <v>1274</v>
      </c>
      <c r="U64" s="438" t="s">
        <v>1186</v>
      </c>
      <c r="V64" s="448" t="s">
        <v>1187</v>
      </c>
      <c r="W64" s="327" t="s">
        <v>1403</v>
      </c>
      <c r="X64" s="260" t="s">
        <v>1389</v>
      </c>
      <c r="Y64" s="260" t="s">
        <v>1303</v>
      </c>
      <c r="Z64" s="345" t="s">
        <v>1402</v>
      </c>
    </row>
    <row r="65" spans="3:26" ht="18" customHeight="1" x14ac:dyDescent="0.3">
      <c r="C65" s="321"/>
      <c r="D65" s="313" t="s">
        <v>98</v>
      </c>
      <c r="E65" s="312" t="s">
        <v>613</v>
      </c>
      <c r="F65" s="320" t="s">
        <v>1277</v>
      </c>
      <c r="G65" s="315">
        <v>1</v>
      </c>
      <c r="H65" s="312" t="s">
        <v>1267</v>
      </c>
      <c r="I65" s="312">
        <v>1</v>
      </c>
      <c r="J65" s="314">
        <v>1</v>
      </c>
      <c r="K65" s="314" t="s">
        <v>1397</v>
      </c>
      <c r="L65" s="313" t="s">
        <v>438</v>
      </c>
      <c r="M65" s="312" t="s">
        <v>1401</v>
      </c>
      <c r="N65" s="313" t="s">
        <v>98</v>
      </c>
      <c r="O65" s="328" t="s">
        <v>1400</v>
      </c>
      <c r="P65" s="312" t="s">
        <v>1186</v>
      </c>
      <c r="Q65" s="312" t="s">
        <v>1186</v>
      </c>
      <c r="R65" s="312" t="s">
        <v>1186</v>
      </c>
      <c r="S65" s="312" t="s">
        <v>1186</v>
      </c>
      <c r="T65" s="269" t="s">
        <v>1186</v>
      </c>
      <c r="U65" s="438" t="s">
        <v>1186</v>
      </c>
      <c r="V65" s="448" t="s">
        <v>1186</v>
      </c>
      <c r="W65" s="311" t="s">
        <v>1399</v>
      </c>
      <c r="X65" s="260"/>
      <c r="Y65" s="260"/>
      <c r="Z65" s="260" t="s">
        <v>1398</v>
      </c>
    </row>
    <row r="66" spans="3:26" ht="18" customHeight="1" x14ac:dyDescent="0.3">
      <c r="C66" s="321"/>
      <c r="D66" s="313" t="s">
        <v>101</v>
      </c>
      <c r="E66" s="312" t="s">
        <v>1568</v>
      </c>
      <c r="F66" s="320" t="s">
        <v>1277</v>
      </c>
      <c r="G66" s="315">
        <v>0</v>
      </c>
      <c r="H66" s="312" t="s">
        <v>1267</v>
      </c>
      <c r="I66" s="312">
        <v>1</v>
      </c>
      <c r="J66" s="314">
        <v>1</v>
      </c>
      <c r="K66" s="314" t="s">
        <v>1397</v>
      </c>
      <c r="L66" s="313" t="s">
        <v>439</v>
      </c>
      <c r="M66" s="313" t="s">
        <v>1396</v>
      </c>
      <c r="N66" s="313" t="s">
        <v>102</v>
      </c>
      <c r="O66" s="312" t="s">
        <v>102</v>
      </c>
      <c r="P66" s="312" t="s">
        <v>1210</v>
      </c>
      <c r="Q66" s="312" t="s">
        <v>1187</v>
      </c>
      <c r="R66" s="312" t="s">
        <v>1187</v>
      </c>
      <c r="S66" s="312" t="s">
        <v>1187</v>
      </c>
      <c r="T66" s="312" t="s">
        <v>1187</v>
      </c>
      <c r="U66" s="438" t="s">
        <v>1187</v>
      </c>
      <c r="V66" s="448" t="s">
        <v>1187</v>
      </c>
      <c r="W66" s="311"/>
      <c r="X66" s="260"/>
      <c r="Y66" s="260"/>
      <c r="Z66" s="260"/>
    </row>
    <row r="67" spans="3:26" ht="18" customHeight="1" x14ac:dyDescent="0.3">
      <c r="C67" s="321"/>
      <c r="D67" s="313" t="s">
        <v>103</v>
      </c>
      <c r="E67" s="312" t="s">
        <v>613</v>
      </c>
      <c r="F67" s="316" t="s">
        <v>1268</v>
      </c>
      <c r="G67" s="315">
        <v>1</v>
      </c>
      <c r="H67" s="312" t="s">
        <v>1267</v>
      </c>
      <c r="I67" s="312">
        <v>1</v>
      </c>
      <c r="J67" s="314">
        <v>1</v>
      </c>
      <c r="K67" s="314" t="s">
        <v>1392</v>
      </c>
      <c r="L67" s="313" t="s">
        <v>440</v>
      </c>
      <c r="M67" s="312" t="s">
        <v>1395</v>
      </c>
      <c r="N67" s="313" t="s">
        <v>103</v>
      </c>
      <c r="O67" s="312" t="s">
        <v>103</v>
      </c>
      <c r="P67" s="312" t="s">
        <v>1186</v>
      </c>
      <c r="Q67" s="312" t="s">
        <v>1186</v>
      </c>
      <c r="R67" s="312" t="s">
        <v>1186</v>
      </c>
      <c r="S67" s="312" t="s">
        <v>1186</v>
      </c>
      <c r="T67" s="312" t="s">
        <v>1186</v>
      </c>
      <c r="U67" s="438" t="s">
        <v>1186</v>
      </c>
      <c r="V67" s="448" t="s">
        <v>1186</v>
      </c>
      <c r="W67" s="311"/>
      <c r="X67" s="260"/>
      <c r="Y67" s="260"/>
      <c r="Z67" s="260"/>
    </row>
    <row r="68" spans="3:26" ht="18" customHeight="1" x14ac:dyDescent="0.3">
      <c r="C68" s="321"/>
      <c r="D68" s="313" t="s">
        <v>105</v>
      </c>
      <c r="E68" s="312" t="s">
        <v>613</v>
      </c>
      <c r="F68" s="316" t="s">
        <v>1268</v>
      </c>
      <c r="G68" s="315">
        <v>1</v>
      </c>
      <c r="H68" s="312" t="s">
        <v>1267</v>
      </c>
      <c r="I68" s="312">
        <v>1</v>
      </c>
      <c r="J68" s="314">
        <v>1</v>
      </c>
      <c r="K68" s="314" t="s">
        <v>1392</v>
      </c>
      <c r="L68" s="313" t="s">
        <v>441</v>
      </c>
      <c r="M68" s="312" t="s">
        <v>1394</v>
      </c>
      <c r="N68" s="313" t="s">
        <v>105</v>
      </c>
      <c r="O68" s="312" t="s">
        <v>105</v>
      </c>
      <c r="P68" s="312" t="s">
        <v>1186</v>
      </c>
      <c r="Q68" s="312" t="s">
        <v>1186</v>
      </c>
      <c r="R68" s="312" t="s">
        <v>1186</v>
      </c>
      <c r="S68" s="312" t="s">
        <v>1186</v>
      </c>
      <c r="T68" s="312" t="s">
        <v>1186</v>
      </c>
      <c r="U68" s="438" t="s">
        <v>1186</v>
      </c>
      <c r="V68" s="448" t="s">
        <v>1186</v>
      </c>
      <c r="W68" s="311"/>
      <c r="X68" s="260"/>
      <c r="Y68" s="260"/>
      <c r="Z68" s="260"/>
    </row>
    <row r="69" spans="3:26" ht="18" customHeight="1" x14ac:dyDescent="0.3">
      <c r="C69" s="321"/>
      <c r="D69" s="332" t="s">
        <v>107</v>
      </c>
      <c r="E69" s="312" t="s">
        <v>1568</v>
      </c>
      <c r="F69" s="316" t="s">
        <v>1268</v>
      </c>
      <c r="G69" s="315">
        <v>0</v>
      </c>
      <c r="H69" s="312" t="s">
        <v>1267</v>
      </c>
      <c r="I69" s="312">
        <v>1</v>
      </c>
      <c r="J69" s="314">
        <v>5</v>
      </c>
      <c r="K69" s="314" t="s">
        <v>1392</v>
      </c>
      <c r="L69" s="313" t="s">
        <v>442</v>
      </c>
      <c r="M69" s="313" t="s">
        <v>107</v>
      </c>
      <c r="N69" s="313" t="s">
        <v>1393</v>
      </c>
      <c r="O69" s="313" t="s">
        <v>1178</v>
      </c>
      <c r="P69" s="312" t="s">
        <v>1186</v>
      </c>
      <c r="Q69" s="313" t="s">
        <v>1187</v>
      </c>
      <c r="R69" s="313" t="s">
        <v>1187</v>
      </c>
      <c r="S69" s="313" t="s">
        <v>1187</v>
      </c>
      <c r="T69" s="313" t="s">
        <v>1187</v>
      </c>
      <c r="U69" s="438" t="s">
        <v>1187</v>
      </c>
      <c r="V69" s="448" t="s">
        <v>1187</v>
      </c>
      <c r="W69" s="311"/>
      <c r="X69" s="260"/>
      <c r="Y69" s="260"/>
      <c r="Z69" s="260"/>
    </row>
    <row r="70" spans="3:26" ht="18" customHeight="1" x14ac:dyDescent="0.3">
      <c r="C70" s="321"/>
      <c r="D70" s="338" t="s">
        <v>109</v>
      </c>
      <c r="E70" s="339" t="s">
        <v>1617</v>
      </c>
      <c r="F70" s="347" t="s">
        <v>1268</v>
      </c>
      <c r="G70" s="343">
        <v>0</v>
      </c>
      <c r="H70" s="339" t="s">
        <v>1267</v>
      </c>
      <c r="I70" s="339">
        <v>1</v>
      </c>
      <c r="J70" s="341">
        <v>1</v>
      </c>
      <c r="K70" s="341" t="s">
        <v>1392</v>
      </c>
      <c r="L70" s="340" t="s">
        <v>521</v>
      </c>
      <c r="M70" s="339" t="s">
        <v>1178</v>
      </c>
      <c r="N70" s="338" t="s">
        <v>110</v>
      </c>
      <c r="O70" s="336" t="s">
        <v>110</v>
      </c>
      <c r="P70" s="336" t="s">
        <v>1187</v>
      </c>
      <c r="Q70" s="336" t="s">
        <v>1187</v>
      </c>
      <c r="R70" s="336" t="s">
        <v>1187</v>
      </c>
      <c r="S70" s="336" t="s">
        <v>1187</v>
      </c>
      <c r="T70" s="336" t="s">
        <v>1187</v>
      </c>
      <c r="U70" s="439" t="s">
        <v>1187</v>
      </c>
      <c r="V70" s="448" t="s">
        <v>1187</v>
      </c>
      <c r="W70" s="346"/>
      <c r="X70" s="260" t="s">
        <v>1234</v>
      </c>
      <c r="Y70" s="260"/>
      <c r="Z70" s="260"/>
    </row>
    <row r="71" spans="3:26" ht="18" customHeight="1" x14ac:dyDescent="0.3">
      <c r="C71" s="321"/>
      <c r="D71" s="338" t="s">
        <v>111</v>
      </c>
      <c r="E71" s="339" t="s">
        <v>1617</v>
      </c>
      <c r="F71" s="347" t="s">
        <v>1268</v>
      </c>
      <c r="G71" s="343">
        <v>0</v>
      </c>
      <c r="H71" s="339" t="s">
        <v>1267</v>
      </c>
      <c r="I71" s="339">
        <v>1</v>
      </c>
      <c r="J71" s="341">
        <v>1</v>
      </c>
      <c r="K71" s="341" t="s">
        <v>1392</v>
      </c>
      <c r="L71" s="340" t="s">
        <v>521</v>
      </c>
      <c r="M71" s="339" t="s">
        <v>1178</v>
      </c>
      <c r="N71" s="338" t="s">
        <v>112</v>
      </c>
      <c r="O71" s="336" t="s">
        <v>112</v>
      </c>
      <c r="P71" s="336" t="s">
        <v>1187</v>
      </c>
      <c r="Q71" s="336" t="s">
        <v>1187</v>
      </c>
      <c r="R71" s="336" t="s">
        <v>1187</v>
      </c>
      <c r="S71" s="336" t="s">
        <v>1187</v>
      </c>
      <c r="T71" s="336" t="s">
        <v>1187</v>
      </c>
      <c r="U71" s="439" t="s">
        <v>1187</v>
      </c>
      <c r="V71" s="448" t="s">
        <v>1187</v>
      </c>
      <c r="W71" s="346"/>
      <c r="X71" s="260" t="s">
        <v>1234</v>
      </c>
      <c r="Y71" s="260"/>
      <c r="Z71" s="260"/>
    </row>
    <row r="72" spans="3:26" ht="18" customHeight="1" x14ac:dyDescent="0.3">
      <c r="C72" s="321"/>
      <c r="D72" s="338" t="s">
        <v>113</v>
      </c>
      <c r="E72" s="339" t="s">
        <v>1617</v>
      </c>
      <c r="F72" s="347" t="s">
        <v>1268</v>
      </c>
      <c r="G72" s="343">
        <v>0</v>
      </c>
      <c r="H72" s="339" t="s">
        <v>1267</v>
      </c>
      <c r="I72" s="339">
        <v>1</v>
      </c>
      <c r="J72" s="341">
        <v>1</v>
      </c>
      <c r="K72" s="341" t="s">
        <v>1392</v>
      </c>
      <c r="L72" s="340" t="s">
        <v>521</v>
      </c>
      <c r="M72" s="339" t="s">
        <v>1178</v>
      </c>
      <c r="N72" s="338" t="s">
        <v>114</v>
      </c>
      <c r="O72" s="336" t="s">
        <v>114</v>
      </c>
      <c r="P72" s="336" t="s">
        <v>1187</v>
      </c>
      <c r="Q72" s="336" t="s">
        <v>1187</v>
      </c>
      <c r="R72" s="336" t="s">
        <v>1187</v>
      </c>
      <c r="S72" s="336" t="s">
        <v>1187</v>
      </c>
      <c r="T72" s="336" t="s">
        <v>1187</v>
      </c>
      <c r="U72" s="439" t="s">
        <v>1187</v>
      </c>
      <c r="V72" s="448" t="s">
        <v>1187</v>
      </c>
      <c r="W72" s="346"/>
      <c r="X72" s="260" t="s">
        <v>1234</v>
      </c>
      <c r="Y72" s="260"/>
      <c r="Z72" s="260"/>
    </row>
    <row r="73" spans="3:26" ht="18" customHeight="1" x14ac:dyDescent="0.3">
      <c r="C73" s="321"/>
      <c r="D73" s="338" t="s">
        <v>115</v>
      </c>
      <c r="E73" s="339" t="s">
        <v>1617</v>
      </c>
      <c r="F73" s="347" t="s">
        <v>1268</v>
      </c>
      <c r="G73" s="343">
        <v>0</v>
      </c>
      <c r="H73" s="339" t="s">
        <v>1267</v>
      </c>
      <c r="I73" s="339">
        <v>1</v>
      </c>
      <c r="J73" s="341">
        <v>1</v>
      </c>
      <c r="K73" s="341" t="s">
        <v>1392</v>
      </c>
      <c r="L73" s="340" t="s">
        <v>521</v>
      </c>
      <c r="M73" s="339" t="s">
        <v>1178</v>
      </c>
      <c r="N73" s="338" t="s">
        <v>116</v>
      </c>
      <c r="O73" s="336" t="s">
        <v>116</v>
      </c>
      <c r="P73" s="336" t="s">
        <v>1187</v>
      </c>
      <c r="Q73" s="336" t="s">
        <v>1187</v>
      </c>
      <c r="R73" s="336" t="s">
        <v>1187</v>
      </c>
      <c r="S73" s="336" t="s">
        <v>1187</v>
      </c>
      <c r="T73" s="336" t="s">
        <v>1187</v>
      </c>
      <c r="U73" s="439" t="s">
        <v>1187</v>
      </c>
      <c r="V73" s="448" t="s">
        <v>1187</v>
      </c>
      <c r="W73" s="346"/>
      <c r="X73" s="260" t="s">
        <v>1234</v>
      </c>
      <c r="Y73" s="260"/>
      <c r="Z73" s="260"/>
    </row>
    <row r="74" spans="3:26" ht="18" customHeight="1" x14ac:dyDescent="0.3">
      <c r="C74" s="321"/>
      <c r="D74" s="338" t="s">
        <v>117</v>
      </c>
      <c r="E74" s="339" t="s">
        <v>1617</v>
      </c>
      <c r="F74" s="347" t="s">
        <v>1268</v>
      </c>
      <c r="G74" s="343">
        <v>0</v>
      </c>
      <c r="H74" s="339" t="s">
        <v>1267</v>
      </c>
      <c r="I74" s="339">
        <v>1</v>
      </c>
      <c r="J74" s="341">
        <v>1</v>
      </c>
      <c r="K74" s="341" t="s">
        <v>1392</v>
      </c>
      <c r="L74" s="340" t="s">
        <v>521</v>
      </c>
      <c r="M74" s="339" t="s">
        <v>1178</v>
      </c>
      <c r="N74" s="338" t="s">
        <v>118</v>
      </c>
      <c r="O74" s="336" t="s">
        <v>118</v>
      </c>
      <c r="P74" s="336" t="s">
        <v>1187</v>
      </c>
      <c r="Q74" s="336" t="s">
        <v>1187</v>
      </c>
      <c r="R74" s="336" t="s">
        <v>1187</v>
      </c>
      <c r="S74" s="336" t="s">
        <v>1187</v>
      </c>
      <c r="T74" s="336" t="s">
        <v>1187</v>
      </c>
      <c r="U74" s="439" t="s">
        <v>1187</v>
      </c>
      <c r="V74" s="448" t="s">
        <v>1187</v>
      </c>
      <c r="W74" s="346"/>
      <c r="X74" s="260" t="s">
        <v>1234</v>
      </c>
      <c r="Y74" s="260"/>
      <c r="Z74" s="260"/>
    </row>
    <row r="75" spans="3:26" ht="18" customHeight="1" x14ac:dyDescent="0.3">
      <c r="C75" s="321"/>
      <c r="D75" s="313" t="s">
        <v>120</v>
      </c>
      <c r="E75" s="312" t="s">
        <v>119</v>
      </c>
      <c r="F75" s="316" t="s">
        <v>1268</v>
      </c>
      <c r="G75" s="315">
        <v>0</v>
      </c>
      <c r="H75" s="312" t="s">
        <v>1267</v>
      </c>
      <c r="I75" s="312">
        <v>1</v>
      </c>
      <c r="J75" s="314">
        <v>1</v>
      </c>
      <c r="K75" s="314" t="s">
        <v>1392</v>
      </c>
      <c r="L75" s="313" t="s">
        <v>521</v>
      </c>
      <c r="M75" s="312" t="s">
        <v>1391</v>
      </c>
      <c r="N75" s="313" t="s">
        <v>121</v>
      </c>
      <c r="O75" s="312" t="s">
        <v>121</v>
      </c>
      <c r="P75" s="328" t="s">
        <v>1187</v>
      </c>
      <c r="Q75" s="328" t="s">
        <v>1187</v>
      </c>
      <c r="R75" s="328" t="s">
        <v>1187</v>
      </c>
      <c r="S75" s="328" t="s">
        <v>1187</v>
      </c>
      <c r="T75" s="312" t="s">
        <v>1187</v>
      </c>
      <c r="U75" s="439" t="s">
        <v>1187</v>
      </c>
      <c r="V75" s="448" t="s">
        <v>1187</v>
      </c>
      <c r="W75" s="311"/>
      <c r="X75" s="260" t="s">
        <v>1389</v>
      </c>
      <c r="Y75" s="260"/>
      <c r="Z75" s="260"/>
    </row>
    <row r="76" spans="3:26" ht="18" customHeight="1" x14ac:dyDescent="0.3">
      <c r="C76" s="321"/>
      <c r="D76" s="313" t="s">
        <v>123</v>
      </c>
      <c r="E76" s="312" t="s">
        <v>122</v>
      </c>
      <c r="F76" s="316" t="s">
        <v>1295</v>
      </c>
      <c r="G76" s="315">
        <v>0</v>
      </c>
      <c r="H76" s="312" t="s">
        <v>1267</v>
      </c>
      <c r="I76" s="312">
        <v>1</v>
      </c>
      <c r="J76" s="314">
        <v>1</v>
      </c>
      <c r="K76" s="314" t="s">
        <v>1380</v>
      </c>
      <c r="L76" s="313" t="s">
        <v>521</v>
      </c>
      <c r="M76" s="312" t="s">
        <v>1390</v>
      </c>
      <c r="N76" s="313" t="s">
        <v>124</v>
      </c>
      <c r="O76" s="312" t="s">
        <v>124</v>
      </c>
      <c r="P76" s="328" t="s">
        <v>1187</v>
      </c>
      <c r="Q76" s="328" t="s">
        <v>1187</v>
      </c>
      <c r="R76" s="328" t="s">
        <v>1187</v>
      </c>
      <c r="S76" s="328" t="s">
        <v>1187</v>
      </c>
      <c r="T76" s="312" t="s">
        <v>1187</v>
      </c>
      <c r="U76" s="439" t="s">
        <v>1187</v>
      </c>
      <c r="V76" s="448" t="s">
        <v>1187</v>
      </c>
      <c r="W76" s="311"/>
      <c r="X76" s="260" t="s">
        <v>1389</v>
      </c>
      <c r="Y76" s="260"/>
      <c r="Z76" s="260"/>
    </row>
    <row r="77" spans="3:26" ht="18" customHeight="1" x14ac:dyDescent="0.3">
      <c r="C77" s="321"/>
      <c r="D77" s="313" t="s">
        <v>126</v>
      </c>
      <c r="E77" s="312" t="s">
        <v>125</v>
      </c>
      <c r="F77" s="316" t="s">
        <v>1295</v>
      </c>
      <c r="G77" s="315">
        <v>1</v>
      </c>
      <c r="H77" s="312" t="s">
        <v>1267</v>
      </c>
      <c r="I77" s="312">
        <v>1</v>
      </c>
      <c r="J77" s="314">
        <v>1</v>
      </c>
      <c r="K77" s="314" t="s">
        <v>1380</v>
      </c>
      <c r="L77" s="313" t="s">
        <v>742</v>
      </c>
      <c r="M77" s="312" t="s">
        <v>126</v>
      </c>
      <c r="N77" s="313" t="s">
        <v>126</v>
      </c>
      <c r="O77" s="312" t="s">
        <v>127</v>
      </c>
      <c r="P77" s="328" t="s">
        <v>1186</v>
      </c>
      <c r="Q77" s="328" t="s">
        <v>1187</v>
      </c>
      <c r="R77" s="328" t="s">
        <v>1187</v>
      </c>
      <c r="S77" s="328" t="s">
        <v>1187</v>
      </c>
      <c r="T77" s="312" t="s">
        <v>1187</v>
      </c>
      <c r="U77" s="439" t="s">
        <v>1186</v>
      </c>
      <c r="V77" s="448" t="s">
        <v>1187</v>
      </c>
      <c r="W77" s="311"/>
      <c r="X77" s="345" t="s">
        <v>1348</v>
      </c>
      <c r="Y77" s="260"/>
      <c r="Z77" s="345" t="s">
        <v>1388</v>
      </c>
    </row>
    <row r="78" spans="3:26" ht="18" customHeight="1" x14ac:dyDescent="0.3">
      <c r="C78" s="321"/>
      <c r="D78" s="313" t="s">
        <v>129</v>
      </c>
      <c r="E78" s="312" t="s">
        <v>1568</v>
      </c>
      <c r="F78" s="316" t="s">
        <v>1295</v>
      </c>
      <c r="G78" s="315">
        <v>0</v>
      </c>
      <c r="H78" s="312" t="s">
        <v>1267</v>
      </c>
      <c r="I78" s="312">
        <v>1</v>
      </c>
      <c r="J78" s="314">
        <v>3</v>
      </c>
      <c r="K78" s="314" t="s">
        <v>1380</v>
      </c>
      <c r="L78" s="313" t="s">
        <v>743</v>
      </c>
      <c r="M78" s="313" t="s">
        <v>129</v>
      </c>
      <c r="N78" s="313" t="s">
        <v>1178</v>
      </c>
      <c r="O78" s="313" t="s">
        <v>1178</v>
      </c>
      <c r="P78" s="312" t="s">
        <v>1186</v>
      </c>
      <c r="Q78" s="313" t="s">
        <v>1187</v>
      </c>
      <c r="R78" s="313" t="s">
        <v>1187</v>
      </c>
      <c r="S78" s="312" t="s">
        <v>1187</v>
      </c>
      <c r="T78" s="312" t="s">
        <v>1187</v>
      </c>
      <c r="U78" s="438" t="s">
        <v>1187</v>
      </c>
      <c r="V78" s="448" t="s">
        <v>1187</v>
      </c>
      <c r="W78" s="311"/>
      <c r="X78" s="260"/>
      <c r="Y78" s="260" t="s">
        <v>1387</v>
      </c>
      <c r="Z78" s="260"/>
    </row>
    <row r="79" spans="3:26" ht="18" customHeight="1" x14ac:dyDescent="0.3">
      <c r="C79" s="321"/>
      <c r="D79" s="338" t="s">
        <v>131</v>
      </c>
      <c r="E79" s="339" t="s">
        <v>1617</v>
      </c>
      <c r="F79" s="344" t="s">
        <v>1295</v>
      </c>
      <c r="G79" s="343">
        <v>0</v>
      </c>
      <c r="H79" s="342" t="s">
        <v>1267</v>
      </c>
      <c r="I79" s="339">
        <v>1</v>
      </c>
      <c r="J79" s="341">
        <v>1</v>
      </c>
      <c r="K79" s="341" t="s">
        <v>1380</v>
      </c>
      <c r="L79" s="340" t="s">
        <v>522</v>
      </c>
      <c r="M79" s="339" t="s">
        <v>1178</v>
      </c>
      <c r="N79" s="338" t="s">
        <v>132</v>
      </c>
      <c r="O79" s="336" t="s">
        <v>132</v>
      </c>
      <c r="P79" s="337" t="s">
        <v>1274</v>
      </c>
      <c r="Q79" s="337" t="s">
        <v>1274</v>
      </c>
      <c r="R79" s="337" t="s">
        <v>1274</v>
      </c>
      <c r="S79" s="337" t="s">
        <v>1274</v>
      </c>
      <c r="T79" s="336" t="s">
        <v>1274</v>
      </c>
      <c r="U79" s="439" t="s">
        <v>1187</v>
      </c>
      <c r="V79" s="448" t="s">
        <v>1187</v>
      </c>
      <c r="W79" s="335"/>
      <c r="X79" s="345" t="s">
        <v>1348</v>
      </c>
      <c r="Y79" s="260"/>
      <c r="Z79" s="260"/>
    </row>
    <row r="80" spans="3:26" ht="18" customHeight="1" x14ac:dyDescent="0.3">
      <c r="C80" s="321"/>
      <c r="D80" s="338" t="s">
        <v>1301</v>
      </c>
      <c r="E80" s="339" t="s">
        <v>48</v>
      </c>
      <c r="F80" s="344" t="s">
        <v>1295</v>
      </c>
      <c r="G80" s="343">
        <v>0</v>
      </c>
      <c r="H80" s="342" t="s">
        <v>1267</v>
      </c>
      <c r="I80" s="339">
        <v>1</v>
      </c>
      <c r="J80" s="341">
        <v>1</v>
      </c>
      <c r="K80" s="341" t="s">
        <v>1380</v>
      </c>
      <c r="L80" s="340" t="s">
        <v>1386</v>
      </c>
      <c r="M80" s="339" t="s">
        <v>1178</v>
      </c>
      <c r="N80" s="338" t="s">
        <v>374</v>
      </c>
      <c r="O80" s="336" t="s">
        <v>374</v>
      </c>
      <c r="P80" s="337" t="s">
        <v>1274</v>
      </c>
      <c r="Q80" s="337" t="s">
        <v>1274</v>
      </c>
      <c r="R80" s="337" t="s">
        <v>1274</v>
      </c>
      <c r="S80" s="337" t="s">
        <v>1274</v>
      </c>
      <c r="T80" s="336" t="s">
        <v>1274</v>
      </c>
      <c r="U80" s="439" t="s">
        <v>1187</v>
      </c>
      <c r="V80" s="448" t="s">
        <v>1187</v>
      </c>
      <c r="W80" s="335"/>
      <c r="X80" s="260"/>
      <c r="Y80" s="260"/>
      <c r="Z80" s="260"/>
    </row>
    <row r="81" spans="3:26" ht="18" customHeight="1" x14ac:dyDescent="0.3">
      <c r="C81" s="321"/>
      <c r="D81" s="338" t="s">
        <v>376</v>
      </c>
      <c r="E81" s="339" t="s">
        <v>1618</v>
      </c>
      <c r="F81" s="344" t="s">
        <v>1295</v>
      </c>
      <c r="G81" s="343">
        <v>0</v>
      </c>
      <c r="H81" s="342" t="s">
        <v>1267</v>
      </c>
      <c r="I81" s="339">
        <v>1</v>
      </c>
      <c r="J81" s="341">
        <v>1</v>
      </c>
      <c r="K81" s="341" t="s">
        <v>1380</v>
      </c>
      <c r="L81" s="340" t="s">
        <v>525</v>
      </c>
      <c r="M81" s="339" t="s">
        <v>1178</v>
      </c>
      <c r="N81" s="338" t="s">
        <v>375</v>
      </c>
      <c r="O81" s="336" t="s">
        <v>375</v>
      </c>
      <c r="P81" s="337" t="s">
        <v>1274</v>
      </c>
      <c r="Q81" s="337" t="s">
        <v>1274</v>
      </c>
      <c r="R81" s="337" t="s">
        <v>1274</v>
      </c>
      <c r="S81" s="337" t="s">
        <v>1274</v>
      </c>
      <c r="T81" s="336" t="s">
        <v>1274</v>
      </c>
      <c r="U81" s="439" t="s">
        <v>1187</v>
      </c>
      <c r="V81" s="448" t="s">
        <v>1187</v>
      </c>
      <c r="W81" s="335"/>
      <c r="X81" s="260" t="s">
        <v>1348</v>
      </c>
      <c r="Y81" s="260"/>
      <c r="Z81" s="260"/>
    </row>
    <row r="82" spans="3:26" ht="18" customHeight="1" x14ac:dyDescent="0.3">
      <c r="C82" s="321"/>
      <c r="D82" s="313" t="s">
        <v>134</v>
      </c>
      <c r="E82" s="312" t="s">
        <v>133</v>
      </c>
      <c r="F82" s="316" t="s">
        <v>1295</v>
      </c>
      <c r="G82" s="315">
        <v>0</v>
      </c>
      <c r="H82" s="312" t="s">
        <v>1267</v>
      </c>
      <c r="I82" s="312">
        <v>1</v>
      </c>
      <c r="J82" s="314">
        <v>1</v>
      </c>
      <c r="K82" s="314" t="s">
        <v>1380</v>
      </c>
      <c r="L82" s="312" t="s">
        <v>526</v>
      </c>
      <c r="M82" s="312" t="s">
        <v>1385</v>
      </c>
      <c r="N82" s="313" t="s">
        <v>135</v>
      </c>
      <c r="O82" s="312" t="s">
        <v>135</v>
      </c>
      <c r="P82" s="328" t="s">
        <v>1274</v>
      </c>
      <c r="Q82" s="312" t="s">
        <v>1274</v>
      </c>
      <c r="R82" s="328" t="s">
        <v>1274</v>
      </c>
      <c r="S82" s="312" t="s">
        <v>1274</v>
      </c>
      <c r="T82" s="312" t="s">
        <v>1274</v>
      </c>
      <c r="U82" s="438" t="s">
        <v>1187</v>
      </c>
      <c r="V82" s="448" t="s">
        <v>1187</v>
      </c>
      <c r="W82" s="327" t="s">
        <v>1384</v>
      </c>
      <c r="X82" s="260" t="s">
        <v>1348</v>
      </c>
      <c r="Y82" s="260" t="s">
        <v>1378</v>
      </c>
      <c r="Z82" s="260"/>
    </row>
    <row r="83" spans="3:26" ht="18" customHeight="1" x14ac:dyDescent="0.3">
      <c r="C83" s="321"/>
      <c r="D83" s="313" t="s">
        <v>136</v>
      </c>
      <c r="E83" s="312" t="s">
        <v>125</v>
      </c>
      <c r="F83" s="316" t="s">
        <v>1295</v>
      </c>
      <c r="G83" s="315">
        <v>0</v>
      </c>
      <c r="H83" s="312" t="s">
        <v>1267</v>
      </c>
      <c r="I83" s="312">
        <v>1</v>
      </c>
      <c r="J83" s="314">
        <v>1</v>
      </c>
      <c r="K83" s="314" t="s">
        <v>1380</v>
      </c>
      <c r="L83" s="313" t="s">
        <v>522</v>
      </c>
      <c r="M83" s="312" t="s">
        <v>1383</v>
      </c>
      <c r="N83" s="313" t="s">
        <v>137</v>
      </c>
      <c r="O83" s="312" t="s">
        <v>137</v>
      </c>
      <c r="P83" s="328" t="s">
        <v>1274</v>
      </c>
      <c r="Q83" s="312" t="s">
        <v>1187</v>
      </c>
      <c r="R83" s="312" t="s">
        <v>1187</v>
      </c>
      <c r="S83" s="312" t="s">
        <v>1187</v>
      </c>
      <c r="T83" s="312" t="s">
        <v>1187</v>
      </c>
      <c r="U83" s="438" t="s">
        <v>1186</v>
      </c>
      <c r="V83" s="448" t="s">
        <v>1187</v>
      </c>
      <c r="W83" s="327" t="s">
        <v>1382</v>
      </c>
      <c r="X83" s="260" t="s">
        <v>1348</v>
      </c>
      <c r="Y83" s="260" t="s">
        <v>1381</v>
      </c>
      <c r="Z83" s="260"/>
    </row>
    <row r="84" spans="3:26" ht="18" customHeight="1" x14ac:dyDescent="0.3">
      <c r="C84" s="321"/>
      <c r="D84" s="313" t="s">
        <v>138</v>
      </c>
      <c r="E84" s="312" t="s">
        <v>613</v>
      </c>
      <c r="F84" s="316" t="s">
        <v>1295</v>
      </c>
      <c r="G84" s="315">
        <v>0</v>
      </c>
      <c r="H84" s="312" t="s">
        <v>1267</v>
      </c>
      <c r="I84" s="312">
        <v>1</v>
      </c>
      <c r="J84" s="314">
        <v>1</v>
      </c>
      <c r="K84" s="314" t="s">
        <v>1380</v>
      </c>
      <c r="L84" s="313" t="s">
        <v>744</v>
      </c>
      <c r="M84" s="312" t="s">
        <v>138</v>
      </c>
      <c r="N84" s="313" t="s">
        <v>138</v>
      </c>
      <c r="O84" s="312" t="s">
        <v>138</v>
      </c>
      <c r="P84" s="312" t="s">
        <v>1186</v>
      </c>
      <c r="Q84" s="312" t="s">
        <v>1186</v>
      </c>
      <c r="R84" s="312" t="s">
        <v>1186</v>
      </c>
      <c r="S84" s="312" t="s">
        <v>1186</v>
      </c>
      <c r="T84" s="312" t="s">
        <v>1186</v>
      </c>
      <c r="U84" s="438" t="s">
        <v>1186</v>
      </c>
      <c r="V84" s="448" t="s">
        <v>1186</v>
      </c>
      <c r="W84" s="311"/>
      <c r="X84" s="260"/>
      <c r="Y84" s="260"/>
      <c r="Z84" s="260"/>
    </row>
    <row r="85" spans="3:26" ht="18" customHeight="1" x14ac:dyDescent="0.3">
      <c r="C85" s="317" t="s">
        <v>141</v>
      </c>
      <c r="D85" s="313" t="s">
        <v>142</v>
      </c>
      <c r="E85" s="312" t="s">
        <v>640</v>
      </c>
      <c r="F85" s="316" t="s">
        <v>1268</v>
      </c>
      <c r="G85" s="315">
        <v>0</v>
      </c>
      <c r="H85" s="312" t="s">
        <v>1267</v>
      </c>
      <c r="I85" s="312">
        <v>1</v>
      </c>
      <c r="J85" s="314">
        <v>1</v>
      </c>
      <c r="K85" s="314" t="s">
        <v>1369</v>
      </c>
      <c r="L85" s="313" t="s">
        <v>522</v>
      </c>
      <c r="M85" s="312" t="s">
        <v>142</v>
      </c>
      <c r="N85" s="313" t="s">
        <v>143</v>
      </c>
      <c r="O85" s="312" t="s">
        <v>143</v>
      </c>
      <c r="P85" s="328" t="s">
        <v>1187</v>
      </c>
      <c r="Q85" s="312" t="s">
        <v>1187</v>
      </c>
      <c r="R85" s="312" t="s">
        <v>1187</v>
      </c>
      <c r="S85" s="312" t="s">
        <v>1187</v>
      </c>
      <c r="T85" s="312" t="s">
        <v>1187</v>
      </c>
      <c r="U85" s="438" t="s">
        <v>1187</v>
      </c>
      <c r="V85" s="448" t="s">
        <v>1187</v>
      </c>
      <c r="W85" s="311" t="s">
        <v>1379</v>
      </c>
      <c r="X85" s="260" t="s">
        <v>1330</v>
      </c>
      <c r="Y85" s="260" t="s">
        <v>1378</v>
      </c>
      <c r="Z85" s="260"/>
    </row>
    <row r="86" spans="3:26" ht="18" customHeight="1" x14ac:dyDescent="0.3">
      <c r="C86" s="317"/>
      <c r="D86" s="313" t="s">
        <v>145</v>
      </c>
      <c r="E86" s="312" t="s">
        <v>144</v>
      </c>
      <c r="F86" s="316" t="s">
        <v>1268</v>
      </c>
      <c r="G86" s="315">
        <v>0</v>
      </c>
      <c r="H86" s="312" t="s">
        <v>1267</v>
      </c>
      <c r="I86" s="312">
        <v>1</v>
      </c>
      <c r="J86" s="314">
        <v>1</v>
      </c>
      <c r="K86" s="314" t="s">
        <v>1369</v>
      </c>
      <c r="L86" s="313" t="s">
        <v>443</v>
      </c>
      <c r="M86" s="312" t="s">
        <v>145</v>
      </c>
      <c r="N86" s="313" t="s">
        <v>145</v>
      </c>
      <c r="O86" s="312" t="s">
        <v>146</v>
      </c>
      <c r="P86" s="312" t="s">
        <v>1186</v>
      </c>
      <c r="Q86" s="312" t="s">
        <v>1186</v>
      </c>
      <c r="R86" s="312" t="s">
        <v>1187</v>
      </c>
      <c r="S86" s="312" t="s">
        <v>1187</v>
      </c>
      <c r="T86" s="269" t="s">
        <v>1187</v>
      </c>
      <c r="U86" s="438" t="s">
        <v>1187</v>
      </c>
      <c r="V86" s="448" t="s">
        <v>1187</v>
      </c>
      <c r="W86" s="311" t="s">
        <v>1377</v>
      </c>
      <c r="X86" s="260" t="s">
        <v>1376</v>
      </c>
      <c r="Y86" s="260" t="s">
        <v>1303</v>
      </c>
      <c r="Z86" s="260"/>
    </row>
    <row r="87" spans="3:26" ht="18" customHeight="1" x14ac:dyDescent="0.3">
      <c r="C87" s="317"/>
      <c r="D87" s="313" t="s">
        <v>148</v>
      </c>
      <c r="E87" s="312" t="s">
        <v>147</v>
      </c>
      <c r="F87" s="316" t="s">
        <v>1268</v>
      </c>
      <c r="G87" s="315">
        <v>0</v>
      </c>
      <c r="H87" s="312" t="s">
        <v>1267</v>
      </c>
      <c r="I87" s="312">
        <v>1</v>
      </c>
      <c r="J87" s="314">
        <v>1</v>
      </c>
      <c r="K87" s="314" t="s">
        <v>1369</v>
      </c>
      <c r="L87" s="313" t="s">
        <v>444</v>
      </c>
      <c r="M87" s="312" t="s">
        <v>148</v>
      </c>
      <c r="N87" s="313" t="s">
        <v>148</v>
      </c>
      <c r="O87" s="312" t="s">
        <v>149</v>
      </c>
      <c r="P87" s="312" t="s">
        <v>1186</v>
      </c>
      <c r="Q87" s="312" t="s">
        <v>1187</v>
      </c>
      <c r="R87" s="312" t="s">
        <v>1187</v>
      </c>
      <c r="S87" s="312" t="s">
        <v>1187</v>
      </c>
      <c r="T87" s="312" t="s">
        <v>1187</v>
      </c>
      <c r="U87" s="438" t="s">
        <v>1187</v>
      </c>
      <c r="V87" s="448" t="s">
        <v>1187</v>
      </c>
      <c r="W87" s="311"/>
      <c r="X87" s="260"/>
      <c r="Y87" s="260"/>
      <c r="Z87" s="260"/>
    </row>
    <row r="88" spans="3:26" ht="18" customHeight="1" x14ac:dyDescent="0.3">
      <c r="C88" s="317"/>
      <c r="D88" s="313" t="s">
        <v>150</v>
      </c>
      <c r="E88" s="279" t="s">
        <v>1182</v>
      </c>
      <c r="F88" s="316" t="s">
        <v>1268</v>
      </c>
      <c r="G88" s="315">
        <v>1</v>
      </c>
      <c r="H88" s="312" t="s">
        <v>1267</v>
      </c>
      <c r="I88" s="312">
        <v>1</v>
      </c>
      <c r="J88" s="314">
        <v>1</v>
      </c>
      <c r="K88" s="314" t="s">
        <v>1369</v>
      </c>
      <c r="L88" s="313" t="s">
        <v>521</v>
      </c>
      <c r="M88" s="312" t="s">
        <v>1375</v>
      </c>
      <c r="N88" s="313" t="s">
        <v>150</v>
      </c>
      <c r="O88" s="312" t="s">
        <v>150</v>
      </c>
      <c r="P88" s="328" t="s">
        <v>1274</v>
      </c>
      <c r="Q88" s="328" t="s">
        <v>1274</v>
      </c>
      <c r="R88" s="328" t="s">
        <v>1274</v>
      </c>
      <c r="S88" s="328" t="s">
        <v>1274</v>
      </c>
      <c r="T88" s="312" t="s">
        <v>1274</v>
      </c>
      <c r="U88" s="438" t="s">
        <v>1187</v>
      </c>
      <c r="V88" s="448" t="s">
        <v>1187</v>
      </c>
      <c r="W88" s="311" t="s">
        <v>1374</v>
      </c>
      <c r="X88" s="260" t="s">
        <v>1348</v>
      </c>
      <c r="Y88" s="260" t="s">
        <v>1303</v>
      </c>
      <c r="Z88" s="260"/>
    </row>
    <row r="89" spans="3:26" ht="18" customHeight="1" x14ac:dyDescent="0.3">
      <c r="C89" s="317"/>
      <c r="D89" s="313" t="s">
        <v>153</v>
      </c>
      <c r="E89" s="312" t="s">
        <v>643</v>
      </c>
      <c r="F89" s="316" t="s">
        <v>1268</v>
      </c>
      <c r="G89" s="315">
        <v>1</v>
      </c>
      <c r="H89" s="312" t="s">
        <v>1267</v>
      </c>
      <c r="I89" s="312">
        <v>1</v>
      </c>
      <c r="J89" s="314">
        <v>1</v>
      </c>
      <c r="K89" s="314" t="s">
        <v>1369</v>
      </c>
      <c r="L89" s="313" t="s">
        <v>745</v>
      </c>
      <c r="M89" s="312" t="s">
        <v>153</v>
      </c>
      <c r="N89" s="313" t="s">
        <v>153</v>
      </c>
      <c r="O89" s="312" t="s">
        <v>154</v>
      </c>
      <c r="P89" s="330" t="s">
        <v>1373</v>
      </c>
      <c r="Q89" s="312" t="s">
        <v>1187</v>
      </c>
      <c r="R89" s="312" t="s">
        <v>1187</v>
      </c>
      <c r="S89" s="312" t="s">
        <v>1187</v>
      </c>
      <c r="T89" s="312" t="s">
        <v>1187</v>
      </c>
      <c r="U89" s="438" t="s">
        <v>1187</v>
      </c>
      <c r="V89" s="448" t="s">
        <v>1187</v>
      </c>
      <c r="W89" s="311" t="s">
        <v>1372</v>
      </c>
      <c r="X89" s="260" t="s">
        <v>1330</v>
      </c>
      <c r="Y89" s="260" t="s">
        <v>1303</v>
      </c>
      <c r="Z89" s="260"/>
    </row>
    <row r="90" spans="3:26" ht="18" customHeight="1" x14ac:dyDescent="0.3">
      <c r="C90" s="317"/>
      <c r="D90" s="313" t="s">
        <v>155</v>
      </c>
      <c r="E90" s="312" t="s">
        <v>636</v>
      </c>
      <c r="F90" s="316" t="s">
        <v>1268</v>
      </c>
      <c r="G90" s="315">
        <v>0</v>
      </c>
      <c r="H90" s="312" t="s">
        <v>1267</v>
      </c>
      <c r="I90" s="312">
        <v>1</v>
      </c>
      <c r="J90" s="314">
        <v>1</v>
      </c>
      <c r="K90" s="314" t="s">
        <v>1369</v>
      </c>
      <c r="L90" s="313" t="s">
        <v>521</v>
      </c>
      <c r="M90" s="312" t="s">
        <v>1371</v>
      </c>
      <c r="N90" s="313" t="s">
        <v>156</v>
      </c>
      <c r="O90" s="312" t="s">
        <v>156</v>
      </c>
      <c r="P90" s="312" t="s">
        <v>1187</v>
      </c>
      <c r="Q90" s="312" t="s">
        <v>1187</v>
      </c>
      <c r="R90" s="312" t="s">
        <v>1187</v>
      </c>
      <c r="S90" s="312" t="s">
        <v>1187</v>
      </c>
      <c r="T90" s="312" t="s">
        <v>1187</v>
      </c>
      <c r="U90" s="438" t="s">
        <v>1187</v>
      </c>
      <c r="V90" s="448" t="s">
        <v>1187</v>
      </c>
      <c r="W90" s="311"/>
      <c r="X90" s="260"/>
      <c r="Y90" s="260"/>
      <c r="Z90" s="260"/>
    </row>
    <row r="91" spans="3:26" ht="18" customHeight="1" x14ac:dyDescent="0.3">
      <c r="C91" s="317"/>
      <c r="D91" s="313" t="s">
        <v>157</v>
      </c>
      <c r="E91" s="269" t="s">
        <v>157</v>
      </c>
      <c r="F91" s="316" t="s">
        <v>1268</v>
      </c>
      <c r="G91" s="315">
        <v>0</v>
      </c>
      <c r="H91" s="312" t="s">
        <v>1267</v>
      </c>
      <c r="I91" s="312">
        <v>1</v>
      </c>
      <c r="J91" s="314">
        <v>1</v>
      </c>
      <c r="K91" s="314" t="s">
        <v>1369</v>
      </c>
      <c r="L91" s="313" t="s">
        <v>746</v>
      </c>
      <c r="M91" s="312" t="s">
        <v>157</v>
      </c>
      <c r="N91" s="313" t="s">
        <v>157</v>
      </c>
      <c r="O91" s="312" t="s">
        <v>157</v>
      </c>
      <c r="P91" s="312" t="s">
        <v>1186</v>
      </c>
      <c r="Q91" s="312" t="s">
        <v>1186</v>
      </c>
      <c r="R91" s="312" t="s">
        <v>1187</v>
      </c>
      <c r="S91" s="312" t="s">
        <v>1187</v>
      </c>
      <c r="T91" s="312" t="s">
        <v>1187</v>
      </c>
      <c r="U91" s="438" t="s">
        <v>1187</v>
      </c>
      <c r="V91" s="448" t="s">
        <v>1186</v>
      </c>
      <c r="W91" s="311" t="s">
        <v>1370</v>
      </c>
      <c r="X91" s="260"/>
      <c r="Y91" s="260"/>
      <c r="Z91" s="260"/>
    </row>
    <row r="92" spans="3:26" ht="18" customHeight="1" x14ac:dyDescent="0.3">
      <c r="C92" s="317"/>
      <c r="D92" s="313" t="s">
        <v>159</v>
      </c>
      <c r="E92" s="312" t="s">
        <v>645</v>
      </c>
      <c r="F92" s="316" t="s">
        <v>1268</v>
      </c>
      <c r="G92" s="315">
        <v>1</v>
      </c>
      <c r="H92" s="312" t="s">
        <v>1267</v>
      </c>
      <c r="I92" s="312">
        <v>1</v>
      </c>
      <c r="J92" s="314">
        <v>1</v>
      </c>
      <c r="K92" s="314" t="s">
        <v>1369</v>
      </c>
      <c r="L92" s="313" t="s">
        <v>747</v>
      </c>
      <c r="M92" s="312" t="s">
        <v>1368</v>
      </c>
      <c r="N92" s="313" t="s">
        <v>159</v>
      </c>
      <c r="O92" s="312" t="s">
        <v>160</v>
      </c>
      <c r="P92" s="328" t="s">
        <v>1186</v>
      </c>
      <c r="Q92" s="312" t="s">
        <v>1187</v>
      </c>
      <c r="R92" s="328" t="s">
        <v>1187</v>
      </c>
      <c r="S92" s="312" t="s">
        <v>1187</v>
      </c>
      <c r="T92" s="312" t="s">
        <v>1187</v>
      </c>
      <c r="U92" s="438" t="s">
        <v>1186</v>
      </c>
      <c r="V92" s="448" t="s">
        <v>1186</v>
      </c>
      <c r="W92" s="327" t="s">
        <v>1367</v>
      </c>
      <c r="X92" s="260"/>
      <c r="Y92" s="260" t="s">
        <v>1366</v>
      </c>
      <c r="Z92" s="260"/>
    </row>
    <row r="93" spans="3:26" ht="18" customHeight="1" x14ac:dyDescent="0.3">
      <c r="C93" s="317"/>
      <c r="D93" s="313" t="s">
        <v>161</v>
      </c>
      <c r="E93" s="312" t="s">
        <v>641</v>
      </c>
      <c r="F93" s="316" t="s">
        <v>1268</v>
      </c>
      <c r="G93" s="315">
        <v>0</v>
      </c>
      <c r="H93" s="312" t="s">
        <v>1267</v>
      </c>
      <c r="I93" s="312">
        <v>1</v>
      </c>
      <c r="J93" s="314">
        <v>1</v>
      </c>
      <c r="K93" s="314" t="s">
        <v>1358</v>
      </c>
      <c r="L93" s="313" t="s">
        <v>521</v>
      </c>
      <c r="M93" s="312" t="s">
        <v>1365</v>
      </c>
      <c r="N93" s="313" t="s">
        <v>162</v>
      </c>
      <c r="O93" s="312" t="s">
        <v>162</v>
      </c>
      <c r="P93" s="328" t="s">
        <v>1187</v>
      </c>
      <c r="Q93" s="328" t="s">
        <v>1187</v>
      </c>
      <c r="R93" s="328" t="s">
        <v>1187</v>
      </c>
      <c r="S93" s="328" t="s">
        <v>1187</v>
      </c>
      <c r="T93" s="312" t="s">
        <v>1187</v>
      </c>
      <c r="U93" s="438" t="s">
        <v>1187</v>
      </c>
      <c r="V93" s="448" t="s">
        <v>1187</v>
      </c>
      <c r="W93" s="311"/>
      <c r="X93" s="260" t="s">
        <v>1330</v>
      </c>
      <c r="Y93" s="260"/>
      <c r="Z93" s="260"/>
    </row>
    <row r="94" spans="3:26" ht="18" customHeight="1" x14ac:dyDescent="0.3">
      <c r="C94" s="317"/>
      <c r="D94" s="313" t="s">
        <v>163</v>
      </c>
      <c r="E94" s="269" t="s">
        <v>163</v>
      </c>
      <c r="F94" s="316" t="s">
        <v>1268</v>
      </c>
      <c r="G94" s="315">
        <v>0</v>
      </c>
      <c r="H94" s="312" t="s">
        <v>1267</v>
      </c>
      <c r="I94" s="312">
        <v>1</v>
      </c>
      <c r="J94" s="314">
        <v>3</v>
      </c>
      <c r="K94" s="314" t="s">
        <v>1358</v>
      </c>
      <c r="L94" s="313" t="s">
        <v>748</v>
      </c>
      <c r="M94" s="312" t="s">
        <v>1364</v>
      </c>
      <c r="N94" s="313" t="s">
        <v>163</v>
      </c>
      <c r="O94" s="312" t="s">
        <v>163</v>
      </c>
      <c r="P94" s="312" t="s">
        <v>1361</v>
      </c>
      <c r="Q94" s="328" t="s">
        <v>1187</v>
      </c>
      <c r="R94" s="278" t="s">
        <v>1361</v>
      </c>
      <c r="S94" s="278" t="s">
        <v>1187</v>
      </c>
      <c r="T94" s="277" t="s">
        <v>1186</v>
      </c>
      <c r="U94" s="438" t="s">
        <v>1187</v>
      </c>
      <c r="V94" s="448" t="s">
        <v>1186</v>
      </c>
      <c r="W94" s="311"/>
      <c r="X94" s="260" t="s">
        <v>1330</v>
      </c>
      <c r="Y94" s="260" t="s">
        <v>1363</v>
      </c>
      <c r="Z94" s="260"/>
    </row>
    <row r="95" spans="3:26" ht="18" customHeight="1" x14ac:dyDescent="0.3">
      <c r="C95" s="317"/>
      <c r="D95" s="313" t="s">
        <v>165</v>
      </c>
      <c r="E95" s="312" t="s">
        <v>642</v>
      </c>
      <c r="F95" s="316" t="s">
        <v>1268</v>
      </c>
      <c r="G95" s="315">
        <v>0</v>
      </c>
      <c r="H95" s="312" t="s">
        <v>1267</v>
      </c>
      <c r="I95" s="312">
        <v>1</v>
      </c>
      <c r="J95" s="314">
        <v>1</v>
      </c>
      <c r="K95" s="314" t="s">
        <v>1358</v>
      </c>
      <c r="L95" s="313" t="s">
        <v>522</v>
      </c>
      <c r="M95" s="312" t="s">
        <v>1362</v>
      </c>
      <c r="N95" s="313" t="s">
        <v>166</v>
      </c>
      <c r="O95" s="312" t="s">
        <v>166</v>
      </c>
      <c r="P95" s="312" t="s">
        <v>1187</v>
      </c>
      <c r="Q95" s="312" t="s">
        <v>1187</v>
      </c>
      <c r="R95" s="312" t="s">
        <v>1187</v>
      </c>
      <c r="S95" s="312" t="s">
        <v>1187</v>
      </c>
      <c r="T95" s="312" t="s">
        <v>1187</v>
      </c>
      <c r="U95" s="438" t="s">
        <v>1187</v>
      </c>
      <c r="V95" s="448" t="s">
        <v>1187</v>
      </c>
      <c r="W95" s="311"/>
      <c r="X95" s="260" t="s">
        <v>1330</v>
      </c>
      <c r="Y95" s="260"/>
      <c r="Z95" s="260"/>
    </row>
    <row r="96" spans="3:26" ht="18" customHeight="1" x14ac:dyDescent="0.3">
      <c r="C96" s="317"/>
      <c r="D96" s="313" t="s">
        <v>167</v>
      </c>
      <c r="E96" s="312" t="s">
        <v>651</v>
      </c>
      <c r="F96" s="316" t="s">
        <v>1268</v>
      </c>
      <c r="G96" s="315">
        <v>1</v>
      </c>
      <c r="H96" s="312" t="s">
        <v>1267</v>
      </c>
      <c r="I96" s="312">
        <v>1</v>
      </c>
      <c r="J96" s="314">
        <v>1</v>
      </c>
      <c r="K96" s="314" t="s">
        <v>1358</v>
      </c>
      <c r="L96" s="313" t="s">
        <v>522</v>
      </c>
      <c r="M96" s="312" t="s">
        <v>167</v>
      </c>
      <c r="N96" s="313" t="s">
        <v>167</v>
      </c>
      <c r="O96" s="312" t="s">
        <v>168</v>
      </c>
      <c r="P96" s="312" t="s">
        <v>1361</v>
      </c>
      <c r="Q96" s="312" t="s">
        <v>1187</v>
      </c>
      <c r="R96" s="328" t="s">
        <v>1187</v>
      </c>
      <c r="S96" s="312" t="s">
        <v>1187</v>
      </c>
      <c r="T96" s="312" t="s">
        <v>1187</v>
      </c>
      <c r="U96" s="438" t="s">
        <v>1187</v>
      </c>
      <c r="V96" s="448" t="s">
        <v>1186</v>
      </c>
      <c r="W96" s="327" t="s">
        <v>1360</v>
      </c>
      <c r="X96" s="260" t="s">
        <v>1330</v>
      </c>
      <c r="Y96" s="260" t="s">
        <v>1360</v>
      </c>
      <c r="Z96" s="260"/>
    </row>
    <row r="97" spans="3:26" ht="18" customHeight="1" x14ac:dyDescent="0.3">
      <c r="C97" s="317"/>
      <c r="D97" s="313" t="s">
        <v>169</v>
      </c>
      <c r="E97" s="312" t="s">
        <v>639</v>
      </c>
      <c r="F97" s="316" t="s">
        <v>1268</v>
      </c>
      <c r="G97" s="315">
        <v>0</v>
      </c>
      <c r="H97" s="312" t="s">
        <v>1267</v>
      </c>
      <c r="I97" s="312">
        <v>1</v>
      </c>
      <c r="J97" s="314">
        <v>1</v>
      </c>
      <c r="K97" s="314" t="s">
        <v>1358</v>
      </c>
      <c r="L97" s="313" t="s">
        <v>522</v>
      </c>
      <c r="M97" s="312" t="s">
        <v>1359</v>
      </c>
      <c r="N97" s="313" t="s">
        <v>170</v>
      </c>
      <c r="O97" s="312" t="s">
        <v>170</v>
      </c>
      <c r="P97" s="312" t="s">
        <v>1187</v>
      </c>
      <c r="Q97" s="312" t="s">
        <v>1187</v>
      </c>
      <c r="R97" s="312" t="s">
        <v>1187</v>
      </c>
      <c r="S97" s="312" t="s">
        <v>1187</v>
      </c>
      <c r="T97" s="312" t="s">
        <v>1187</v>
      </c>
      <c r="U97" s="438" t="s">
        <v>1187</v>
      </c>
      <c r="V97" s="448" t="s">
        <v>1187</v>
      </c>
      <c r="W97" s="311"/>
      <c r="X97" s="260" t="s">
        <v>1234</v>
      </c>
      <c r="Y97" s="260" t="s">
        <v>1303</v>
      </c>
      <c r="Z97" s="260"/>
    </row>
    <row r="98" spans="3:26" ht="18" customHeight="1" x14ac:dyDescent="0.3">
      <c r="C98" s="317"/>
      <c r="D98" s="313" t="s">
        <v>673</v>
      </c>
      <c r="E98" s="312" t="s">
        <v>637</v>
      </c>
      <c r="F98" s="316" t="s">
        <v>1268</v>
      </c>
      <c r="G98" s="315">
        <v>1</v>
      </c>
      <c r="H98" s="312" t="s">
        <v>1267</v>
      </c>
      <c r="I98" s="312">
        <v>1</v>
      </c>
      <c r="J98" s="314">
        <v>1</v>
      </c>
      <c r="K98" s="314" t="s">
        <v>1358</v>
      </c>
      <c r="L98" s="313" t="s">
        <v>522</v>
      </c>
      <c r="M98" s="312" t="s">
        <v>1357</v>
      </c>
      <c r="N98" s="313" t="s">
        <v>1356</v>
      </c>
      <c r="O98" s="312" t="s">
        <v>171</v>
      </c>
      <c r="P98" s="312" t="s">
        <v>1186</v>
      </c>
      <c r="Q98" s="312" t="s">
        <v>1187</v>
      </c>
      <c r="R98" s="312" t="s">
        <v>1187</v>
      </c>
      <c r="S98" s="312" t="s">
        <v>1187</v>
      </c>
      <c r="T98" s="312" t="s">
        <v>1187</v>
      </c>
      <c r="U98" s="438" t="s">
        <v>1187</v>
      </c>
      <c r="V98" s="448" t="s">
        <v>1186</v>
      </c>
      <c r="W98" s="311"/>
      <c r="X98" s="260" t="s">
        <v>1348</v>
      </c>
      <c r="Y98" s="260"/>
      <c r="Z98" s="260"/>
    </row>
    <row r="99" spans="3:26" ht="18" customHeight="1" x14ac:dyDescent="0.3">
      <c r="C99" s="317"/>
      <c r="D99" s="313" t="s">
        <v>173</v>
      </c>
      <c r="E99" s="312" t="s">
        <v>172</v>
      </c>
      <c r="F99" s="316" t="s">
        <v>1268</v>
      </c>
      <c r="G99" s="315">
        <v>1</v>
      </c>
      <c r="H99" s="312" t="s">
        <v>1267</v>
      </c>
      <c r="I99" s="312">
        <v>1</v>
      </c>
      <c r="J99" s="314">
        <v>1</v>
      </c>
      <c r="K99" s="314" t="s">
        <v>1345</v>
      </c>
      <c r="L99" s="313" t="s">
        <v>445</v>
      </c>
      <c r="M99" s="312" t="s">
        <v>1355</v>
      </c>
      <c r="N99" s="313" t="s">
        <v>173</v>
      </c>
      <c r="O99" s="312" t="s">
        <v>174</v>
      </c>
      <c r="P99" s="312" t="s">
        <v>1186</v>
      </c>
      <c r="Q99" s="312" t="s">
        <v>1187</v>
      </c>
      <c r="R99" s="312" t="s">
        <v>1187</v>
      </c>
      <c r="S99" s="312" t="s">
        <v>1187</v>
      </c>
      <c r="T99" s="312" t="s">
        <v>1187</v>
      </c>
      <c r="U99" s="438" t="s">
        <v>1186</v>
      </c>
      <c r="V99" s="448" t="s">
        <v>1187</v>
      </c>
      <c r="W99" s="311"/>
      <c r="X99" s="260"/>
      <c r="Y99" s="260"/>
      <c r="Z99" s="260"/>
    </row>
    <row r="100" spans="3:26" ht="18" customHeight="1" x14ac:dyDescent="0.3">
      <c r="C100" s="317"/>
      <c r="D100" s="313" t="s">
        <v>176</v>
      </c>
      <c r="E100" s="312" t="s">
        <v>172</v>
      </c>
      <c r="F100" s="316" t="s">
        <v>1268</v>
      </c>
      <c r="G100" s="315">
        <v>0</v>
      </c>
      <c r="H100" s="312" t="s">
        <v>1267</v>
      </c>
      <c r="I100" s="312">
        <v>1</v>
      </c>
      <c r="J100" s="314">
        <v>1</v>
      </c>
      <c r="K100" s="314" t="s">
        <v>1345</v>
      </c>
      <c r="L100" s="313" t="s">
        <v>446</v>
      </c>
      <c r="M100" s="312" t="s">
        <v>1354</v>
      </c>
      <c r="N100" s="313" t="s">
        <v>176</v>
      </c>
      <c r="O100" s="312" t="s">
        <v>177</v>
      </c>
      <c r="P100" s="312" t="s">
        <v>1186</v>
      </c>
      <c r="Q100" s="312" t="s">
        <v>1187</v>
      </c>
      <c r="R100" s="312" t="s">
        <v>1187</v>
      </c>
      <c r="S100" s="312" t="s">
        <v>1187</v>
      </c>
      <c r="T100" s="312" t="s">
        <v>1187</v>
      </c>
      <c r="U100" s="438" t="s">
        <v>1186</v>
      </c>
      <c r="V100" s="448" t="s">
        <v>1187</v>
      </c>
      <c r="W100" s="311"/>
      <c r="X100" s="260" t="s">
        <v>1353</v>
      </c>
      <c r="Y100" s="260" t="s">
        <v>1304</v>
      </c>
      <c r="Z100" s="260"/>
    </row>
    <row r="101" spans="3:26" ht="18" customHeight="1" x14ac:dyDescent="0.3">
      <c r="C101" s="317"/>
      <c r="D101" s="313" t="s">
        <v>178</v>
      </c>
      <c r="E101" s="312" t="s">
        <v>172</v>
      </c>
      <c r="F101" s="316" t="s">
        <v>1268</v>
      </c>
      <c r="G101" s="315">
        <v>0</v>
      </c>
      <c r="H101" s="312" t="s">
        <v>1267</v>
      </c>
      <c r="I101" s="312">
        <v>1</v>
      </c>
      <c r="J101" s="314">
        <v>1</v>
      </c>
      <c r="K101" s="314" t="s">
        <v>1345</v>
      </c>
      <c r="L101" s="313" t="s">
        <v>447</v>
      </c>
      <c r="M101" s="312" t="s">
        <v>1352</v>
      </c>
      <c r="N101" s="313" t="s">
        <v>178</v>
      </c>
      <c r="O101" s="312" t="s">
        <v>179</v>
      </c>
      <c r="P101" s="312" t="s">
        <v>1186</v>
      </c>
      <c r="Q101" s="312" t="s">
        <v>1187</v>
      </c>
      <c r="R101" s="312" t="s">
        <v>1187</v>
      </c>
      <c r="S101" s="312" t="s">
        <v>1187</v>
      </c>
      <c r="T101" s="312" t="s">
        <v>1187</v>
      </c>
      <c r="U101" s="438" t="s">
        <v>1186</v>
      </c>
      <c r="V101" s="448" t="s">
        <v>1187</v>
      </c>
      <c r="W101" s="311"/>
      <c r="X101" s="260"/>
      <c r="Y101" s="260"/>
      <c r="Z101" s="260"/>
    </row>
    <row r="102" spans="3:26" ht="18" customHeight="1" x14ac:dyDescent="0.3">
      <c r="C102" s="317"/>
      <c r="D102" s="313" t="s">
        <v>180</v>
      </c>
      <c r="E102" s="312" t="s">
        <v>638</v>
      </c>
      <c r="F102" s="316" t="s">
        <v>1268</v>
      </c>
      <c r="G102" s="315">
        <v>1</v>
      </c>
      <c r="H102" s="312" t="s">
        <v>1267</v>
      </c>
      <c r="I102" s="312">
        <v>1</v>
      </c>
      <c r="J102" s="314">
        <v>1</v>
      </c>
      <c r="K102" s="314" t="s">
        <v>1345</v>
      </c>
      <c r="L102" s="313" t="s">
        <v>523</v>
      </c>
      <c r="M102" s="312" t="s">
        <v>1351</v>
      </c>
      <c r="N102" s="313" t="s">
        <v>180</v>
      </c>
      <c r="O102" s="312" t="s">
        <v>181</v>
      </c>
      <c r="P102" s="312" t="s">
        <v>1187</v>
      </c>
      <c r="Q102" s="312" t="s">
        <v>1187</v>
      </c>
      <c r="R102" s="312" t="s">
        <v>1187</v>
      </c>
      <c r="S102" s="312" t="s">
        <v>1187</v>
      </c>
      <c r="T102" s="312" t="s">
        <v>1187</v>
      </c>
      <c r="U102" s="438" t="s">
        <v>1186</v>
      </c>
      <c r="V102" s="448" t="s">
        <v>1187</v>
      </c>
      <c r="W102" s="311"/>
      <c r="X102" s="260" t="s">
        <v>1350</v>
      </c>
      <c r="Y102" s="260" t="s">
        <v>1303</v>
      </c>
      <c r="Z102" s="260"/>
    </row>
    <row r="103" spans="3:26" ht="18" customHeight="1" x14ac:dyDescent="0.3">
      <c r="C103" s="317"/>
      <c r="D103" s="313" t="s">
        <v>182</v>
      </c>
      <c r="E103" s="312" t="s">
        <v>635</v>
      </c>
      <c r="F103" s="316" t="s">
        <v>1268</v>
      </c>
      <c r="G103" s="315">
        <v>1</v>
      </c>
      <c r="H103" s="312" t="s">
        <v>1267</v>
      </c>
      <c r="I103" s="312">
        <v>1</v>
      </c>
      <c r="J103" s="314">
        <v>1</v>
      </c>
      <c r="K103" s="314" t="s">
        <v>1345</v>
      </c>
      <c r="L103" s="313" t="s">
        <v>524</v>
      </c>
      <c r="M103" s="312" t="s">
        <v>182</v>
      </c>
      <c r="N103" s="313" t="s">
        <v>182</v>
      </c>
      <c r="O103" s="312" t="s">
        <v>183</v>
      </c>
      <c r="P103" s="312" t="s">
        <v>1186</v>
      </c>
      <c r="Q103" s="312" t="s">
        <v>1187</v>
      </c>
      <c r="R103" s="269" t="s">
        <v>1186</v>
      </c>
      <c r="S103" s="269" t="s">
        <v>1187</v>
      </c>
      <c r="T103" s="277" t="s">
        <v>1187</v>
      </c>
      <c r="U103" s="438" t="s">
        <v>1187</v>
      </c>
      <c r="V103" s="448" t="s">
        <v>1187</v>
      </c>
      <c r="W103" s="311" t="s">
        <v>1349</v>
      </c>
      <c r="X103" s="260" t="s">
        <v>1348</v>
      </c>
      <c r="Y103" s="260" t="s">
        <v>1347</v>
      </c>
      <c r="Z103" s="260"/>
    </row>
    <row r="104" spans="3:26" ht="18" customHeight="1" x14ac:dyDescent="0.3">
      <c r="C104" s="317"/>
      <c r="D104" s="313" t="s">
        <v>184</v>
      </c>
      <c r="E104" s="312" t="s">
        <v>644</v>
      </c>
      <c r="F104" s="316" t="s">
        <v>1268</v>
      </c>
      <c r="G104" s="315">
        <v>1</v>
      </c>
      <c r="H104" s="312" t="s">
        <v>1267</v>
      </c>
      <c r="I104" s="312">
        <v>1</v>
      </c>
      <c r="J104" s="314">
        <v>1</v>
      </c>
      <c r="K104" s="314" t="s">
        <v>1345</v>
      </c>
      <c r="L104" s="313" t="s">
        <v>448</v>
      </c>
      <c r="M104" s="312" t="s">
        <v>1346</v>
      </c>
      <c r="N104" s="313" t="s">
        <v>184</v>
      </c>
      <c r="O104" s="312" t="s">
        <v>185</v>
      </c>
      <c r="P104" s="312" t="s">
        <v>1186</v>
      </c>
      <c r="Q104" s="312" t="s">
        <v>1187</v>
      </c>
      <c r="R104" s="269" t="s">
        <v>1186</v>
      </c>
      <c r="S104" s="269" t="s">
        <v>1187</v>
      </c>
      <c r="T104" s="277" t="s">
        <v>1187</v>
      </c>
      <c r="U104" s="438" t="s">
        <v>1187</v>
      </c>
      <c r="V104" s="448" t="s">
        <v>1187</v>
      </c>
      <c r="W104" s="311"/>
      <c r="X104" s="260" t="s">
        <v>1330</v>
      </c>
      <c r="Y104" s="260"/>
      <c r="Z104" s="260"/>
    </row>
    <row r="105" spans="3:26" ht="18" customHeight="1" x14ac:dyDescent="0.3">
      <c r="C105" s="317"/>
      <c r="D105" s="313" t="s">
        <v>187</v>
      </c>
      <c r="E105" s="312" t="s">
        <v>186</v>
      </c>
      <c r="F105" s="316" t="s">
        <v>1268</v>
      </c>
      <c r="G105" s="315">
        <v>0</v>
      </c>
      <c r="H105" s="312" t="s">
        <v>1267</v>
      </c>
      <c r="I105" s="312">
        <v>1</v>
      </c>
      <c r="J105" s="314">
        <v>2</v>
      </c>
      <c r="K105" s="314" t="s">
        <v>1345</v>
      </c>
      <c r="L105" s="313" t="s">
        <v>449</v>
      </c>
      <c r="M105" s="312" t="s">
        <v>187</v>
      </c>
      <c r="N105" s="313" t="s">
        <v>187</v>
      </c>
      <c r="O105" s="312" t="s">
        <v>188</v>
      </c>
      <c r="P105" s="328" t="s">
        <v>1187</v>
      </c>
      <c r="Q105" s="312" t="s">
        <v>1187</v>
      </c>
      <c r="R105" s="312" t="s">
        <v>1187</v>
      </c>
      <c r="S105" s="312" t="s">
        <v>1187</v>
      </c>
      <c r="T105" s="312" t="s">
        <v>1187</v>
      </c>
      <c r="U105" s="438" t="s">
        <v>1187</v>
      </c>
      <c r="V105" s="448" t="s">
        <v>1187</v>
      </c>
      <c r="W105" s="311"/>
      <c r="X105" s="260" t="s">
        <v>1330</v>
      </c>
      <c r="Y105" s="260" t="s">
        <v>1344</v>
      </c>
      <c r="Z105" s="260"/>
    </row>
    <row r="106" spans="3:26" ht="18" customHeight="1" x14ac:dyDescent="0.3">
      <c r="C106" s="317"/>
      <c r="D106" s="313" t="s">
        <v>189</v>
      </c>
      <c r="E106" s="312" t="s">
        <v>613</v>
      </c>
      <c r="F106" s="320" t="s">
        <v>1277</v>
      </c>
      <c r="G106" s="315">
        <v>0</v>
      </c>
      <c r="H106" s="312" t="s">
        <v>1267</v>
      </c>
      <c r="I106" s="312">
        <v>1</v>
      </c>
      <c r="J106" s="314">
        <v>8</v>
      </c>
      <c r="K106" s="314" t="s">
        <v>1343</v>
      </c>
      <c r="L106" s="313" t="s">
        <v>450</v>
      </c>
      <c r="M106" s="312" t="s">
        <v>1342</v>
      </c>
      <c r="N106" s="313" t="s">
        <v>189</v>
      </c>
      <c r="O106" s="312" t="s">
        <v>189</v>
      </c>
      <c r="P106" s="312" t="s">
        <v>1186</v>
      </c>
      <c r="Q106" s="312" t="s">
        <v>1186</v>
      </c>
      <c r="R106" s="312" t="s">
        <v>1186</v>
      </c>
      <c r="S106" s="312" t="s">
        <v>1186</v>
      </c>
      <c r="T106" s="312" t="s">
        <v>1186</v>
      </c>
      <c r="U106" s="438" t="s">
        <v>1186</v>
      </c>
      <c r="V106" s="448" t="s">
        <v>1186</v>
      </c>
      <c r="W106" s="327" t="s">
        <v>1341</v>
      </c>
      <c r="X106" s="260" t="s">
        <v>1340</v>
      </c>
      <c r="Y106" s="260" t="s">
        <v>1339</v>
      </c>
      <c r="Z106" s="260"/>
    </row>
    <row r="107" spans="3:26" ht="18" customHeight="1" x14ac:dyDescent="0.3">
      <c r="C107" s="317" t="s">
        <v>191</v>
      </c>
      <c r="D107" s="285" t="s">
        <v>192</v>
      </c>
      <c r="E107" s="279" t="s">
        <v>1521</v>
      </c>
      <c r="F107" s="316" t="s">
        <v>1295</v>
      </c>
      <c r="G107" s="410" t="s">
        <v>1528</v>
      </c>
      <c r="H107" s="312" t="s">
        <v>1267</v>
      </c>
      <c r="I107" s="312">
        <v>1</v>
      </c>
      <c r="J107" s="314">
        <v>15</v>
      </c>
      <c r="K107" s="314" t="s">
        <v>1338</v>
      </c>
      <c r="L107" s="313" t="s">
        <v>451</v>
      </c>
      <c r="M107" s="312" t="s">
        <v>1337</v>
      </c>
      <c r="N107" s="313" t="s">
        <v>192</v>
      </c>
      <c r="O107" s="312" t="s">
        <v>192</v>
      </c>
      <c r="P107" s="334" t="s">
        <v>1186</v>
      </c>
      <c r="Q107" s="334" t="s">
        <v>1186</v>
      </c>
      <c r="R107" s="334" t="s">
        <v>1186</v>
      </c>
      <c r="S107" s="334" t="s">
        <v>1186</v>
      </c>
      <c r="T107" s="333">
        <v>7</v>
      </c>
      <c r="U107" s="438" t="s">
        <v>1186</v>
      </c>
      <c r="V107" s="448" t="s">
        <v>1186</v>
      </c>
      <c r="W107" s="327" t="s">
        <v>1336</v>
      </c>
      <c r="X107" s="260" t="s">
        <v>1335</v>
      </c>
      <c r="Y107" s="260" t="s">
        <v>1334</v>
      </c>
      <c r="Z107" s="260"/>
    </row>
    <row r="108" spans="3:26" ht="18" customHeight="1" x14ac:dyDescent="0.3">
      <c r="C108" s="317"/>
      <c r="D108" s="313" t="s">
        <v>194</v>
      </c>
      <c r="E108" s="312" t="s">
        <v>646</v>
      </c>
      <c r="F108" s="316" t="s">
        <v>1295</v>
      </c>
      <c r="G108" s="315">
        <v>1</v>
      </c>
      <c r="H108" s="312" t="s">
        <v>1267</v>
      </c>
      <c r="I108" s="312">
        <v>1</v>
      </c>
      <c r="J108" s="314">
        <v>1</v>
      </c>
      <c r="K108" s="314" t="s">
        <v>1333</v>
      </c>
      <c r="L108" s="313" t="s">
        <v>452</v>
      </c>
      <c r="M108" s="312" t="s">
        <v>1332</v>
      </c>
      <c r="N108" s="313" t="s">
        <v>194</v>
      </c>
      <c r="O108" s="312" t="s">
        <v>195</v>
      </c>
      <c r="P108" s="328" t="s">
        <v>1186</v>
      </c>
      <c r="Q108" s="312" t="s">
        <v>1187</v>
      </c>
      <c r="R108" s="312" t="s">
        <v>1187</v>
      </c>
      <c r="S108" s="312" t="s">
        <v>1187</v>
      </c>
      <c r="T108" s="312" t="s">
        <v>1187</v>
      </c>
      <c r="U108" s="438" t="s">
        <v>1187</v>
      </c>
      <c r="V108" s="448" t="s">
        <v>1187</v>
      </c>
      <c r="W108" s="311" t="s">
        <v>1331</v>
      </c>
      <c r="X108" s="260" t="s">
        <v>1330</v>
      </c>
      <c r="Y108" s="260" t="s">
        <v>1329</v>
      </c>
      <c r="Z108" s="260"/>
    </row>
    <row r="109" spans="3:26" ht="18" customHeight="1" x14ac:dyDescent="0.3">
      <c r="C109" s="317"/>
      <c r="D109" s="313" t="s">
        <v>196</v>
      </c>
      <c r="E109" s="312" t="s">
        <v>650</v>
      </c>
      <c r="F109" s="316" t="s">
        <v>1268</v>
      </c>
      <c r="G109" s="315">
        <v>0</v>
      </c>
      <c r="H109" s="312" t="s">
        <v>1267</v>
      </c>
      <c r="I109" s="312">
        <v>1</v>
      </c>
      <c r="J109" s="314">
        <v>1</v>
      </c>
      <c r="K109" s="314" t="s">
        <v>1324</v>
      </c>
      <c r="L109" s="313" t="s">
        <v>453</v>
      </c>
      <c r="M109" s="312" t="s">
        <v>1328</v>
      </c>
      <c r="N109" s="313" t="s">
        <v>1328</v>
      </c>
      <c r="O109" s="312" t="s">
        <v>197</v>
      </c>
      <c r="P109" s="312" t="s">
        <v>1187</v>
      </c>
      <c r="Q109" s="312" t="s">
        <v>1187</v>
      </c>
      <c r="R109" s="312" t="s">
        <v>1187</v>
      </c>
      <c r="S109" s="312" t="s">
        <v>1187</v>
      </c>
      <c r="T109" s="312" t="s">
        <v>1187</v>
      </c>
      <c r="U109" s="438" t="s">
        <v>1187</v>
      </c>
      <c r="V109" s="448" t="s">
        <v>1187</v>
      </c>
      <c r="W109" s="311"/>
      <c r="X109" s="260" t="s">
        <v>1234</v>
      </c>
      <c r="Y109" s="260" t="s">
        <v>1303</v>
      </c>
      <c r="Z109" s="260"/>
    </row>
    <row r="110" spans="3:26" ht="18" customHeight="1" x14ac:dyDescent="0.3">
      <c r="C110" s="317"/>
      <c r="D110" s="332" t="s">
        <v>237</v>
      </c>
      <c r="E110" s="312" t="s">
        <v>536</v>
      </c>
      <c r="F110" s="316" t="s">
        <v>1268</v>
      </c>
      <c r="G110" s="315">
        <v>0</v>
      </c>
      <c r="H110" s="312" t="s">
        <v>1267</v>
      </c>
      <c r="I110" s="312">
        <v>1</v>
      </c>
      <c r="J110" s="314">
        <v>1</v>
      </c>
      <c r="K110" s="314" t="s">
        <v>1324</v>
      </c>
      <c r="L110" s="313" t="s">
        <v>544</v>
      </c>
      <c r="M110" s="312" t="s">
        <v>1327</v>
      </c>
      <c r="N110" s="313" t="s">
        <v>198</v>
      </c>
      <c r="O110" s="312" t="s">
        <v>198</v>
      </c>
      <c r="P110" s="312" t="s">
        <v>1187</v>
      </c>
      <c r="Q110" s="312" t="s">
        <v>1187</v>
      </c>
      <c r="R110" s="312" t="s">
        <v>1187</v>
      </c>
      <c r="S110" s="312" t="s">
        <v>1187</v>
      </c>
      <c r="T110" s="312" t="s">
        <v>1187</v>
      </c>
      <c r="U110" s="438" t="s">
        <v>1187</v>
      </c>
      <c r="V110" s="448" t="s">
        <v>1186</v>
      </c>
      <c r="W110" s="311"/>
      <c r="X110" s="260"/>
      <c r="Y110" s="260"/>
      <c r="Z110" s="260"/>
    </row>
    <row r="111" spans="3:26" ht="18" customHeight="1" x14ac:dyDescent="0.3">
      <c r="C111" s="317"/>
      <c r="D111" s="313" t="s">
        <v>199</v>
      </c>
      <c r="E111" s="269" t="s">
        <v>199</v>
      </c>
      <c r="F111" s="316" t="s">
        <v>1268</v>
      </c>
      <c r="G111" s="315">
        <v>0</v>
      </c>
      <c r="H111" s="312" t="s">
        <v>1267</v>
      </c>
      <c r="I111" s="312">
        <v>1</v>
      </c>
      <c r="J111" s="314">
        <v>3</v>
      </c>
      <c r="K111" s="314" t="s">
        <v>1324</v>
      </c>
      <c r="L111" s="313" t="s">
        <v>454</v>
      </c>
      <c r="M111" s="312" t="s">
        <v>199</v>
      </c>
      <c r="N111" s="313" t="s">
        <v>199</v>
      </c>
      <c r="O111" s="312" t="s">
        <v>199</v>
      </c>
      <c r="P111" s="312" t="s">
        <v>1186</v>
      </c>
      <c r="Q111" s="312" t="s">
        <v>1187</v>
      </c>
      <c r="R111" s="269" t="s">
        <v>1186</v>
      </c>
      <c r="S111" s="269" t="s">
        <v>1187</v>
      </c>
      <c r="T111" s="277" t="s">
        <v>1187</v>
      </c>
      <c r="U111" s="438" t="s">
        <v>1187</v>
      </c>
      <c r="V111" s="448" t="s">
        <v>1186</v>
      </c>
      <c r="W111" s="311"/>
      <c r="X111" s="260" t="s">
        <v>1321</v>
      </c>
      <c r="Y111" s="260" t="s">
        <v>1320</v>
      </c>
      <c r="Z111" s="260"/>
    </row>
    <row r="112" spans="3:26" ht="18" customHeight="1" x14ac:dyDescent="0.3">
      <c r="C112" s="317"/>
      <c r="D112" s="313" t="s">
        <v>1301</v>
      </c>
      <c r="E112" s="312" t="s">
        <v>48</v>
      </c>
      <c r="F112" s="316" t="s">
        <v>1268</v>
      </c>
      <c r="G112" s="315">
        <v>0</v>
      </c>
      <c r="H112" s="312" t="s">
        <v>1267</v>
      </c>
      <c r="I112" s="312">
        <v>1</v>
      </c>
      <c r="J112" s="314">
        <v>1</v>
      </c>
      <c r="K112" s="314" t="s">
        <v>1324</v>
      </c>
      <c r="L112" s="313" t="s">
        <v>460</v>
      </c>
      <c r="M112" s="312" t="s">
        <v>1326</v>
      </c>
      <c r="N112" s="313" t="s">
        <v>1133</v>
      </c>
      <c r="O112" s="313" t="s">
        <v>1133</v>
      </c>
      <c r="P112" s="312" t="s">
        <v>1187</v>
      </c>
      <c r="Q112" s="313" t="s">
        <v>1187</v>
      </c>
      <c r="R112" s="313" t="s">
        <v>1187</v>
      </c>
      <c r="S112" s="313" t="s">
        <v>1187</v>
      </c>
      <c r="T112" s="313" t="s">
        <v>1187</v>
      </c>
      <c r="U112" s="438" t="s">
        <v>1187</v>
      </c>
      <c r="V112" s="448" t="s">
        <v>1187</v>
      </c>
      <c r="W112" s="311"/>
      <c r="X112" s="260"/>
      <c r="Y112" s="260"/>
      <c r="Z112" s="260"/>
    </row>
    <row r="113" spans="3:26" ht="18" customHeight="1" x14ac:dyDescent="0.3">
      <c r="C113" s="317"/>
      <c r="D113" s="313" t="s">
        <v>1301</v>
      </c>
      <c r="E113" s="312" t="s">
        <v>48</v>
      </c>
      <c r="F113" s="316" t="s">
        <v>1268</v>
      </c>
      <c r="G113" s="315">
        <v>0</v>
      </c>
      <c r="H113" s="312" t="s">
        <v>1267</v>
      </c>
      <c r="I113" s="312">
        <v>1</v>
      </c>
      <c r="J113" s="314">
        <v>1</v>
      </c>
      <c r="K113" s="314" t="s">
        <v>1324</v>
      </c>
      <c r="L113" s="313" t="s">
        <v>460</v>
      </c>
      <c r="M113" s="312" t="s">
        <v>1325</v>
      </c>
      <c r="N113" s="313" t="s">
        <v>1137</v>
      </c>
      <c r="O113" s="313" t="s">
        <v>1137</v>
      </c>
      <c r="P113" s="312" t="s">
        <v>1187</v>
      </c>
      <c r="Q113" s="313" t="s">
        <v>1187</v>
      </c>
      <c r="R113" s="313" t="s">
        <v>1187</v>
      </c>
      <c r="S113" s="313" t="s">
        <v>1187</v>
      </c>
      <c r="T113" s="313" t="s">
        <v>1187</v>
      </c>
      <c r="U113" s="438" t="s">
        <v>1187</v>
      </c>
      <c r="V113" s="448" t="s">
        <v>1187</v>
      </c>
      <c r="W113" s="311"/>
      <c r="X113" s="260"/>
      <c r="Y113" s="260"/>
      <c r="Z113" s="260"/>
    </row>
    <row r="114" spans="3:26" ht="18" customHeight="1" x14ac:dyDescent="0.3">
      <c r="C114" s="317"/>
      <c r="D114" s="313" t="s">
        <v>1301</v>
      </c>
      <c r="E114" s="312" t="s">
        <v>48</v>
      </c>
      <c r="F114" s="316" t="s">
        <v>1268</v>
      </c>
      <c r="G114" s="315">
        <v>0</v>
      </c>
      <c r="H114" s="312" t="s">
        <v>1267</v>
      </c>
      <c r="I114" s="312">
        <v>1</v>
      </c>
      <c r="J114" s="314">
        <v>1</v>
      </c>
      <c r="K114" s="314" t="s">
        <v>1324</v>
      </c>
      <c r="L114" s="313" t="s">
        <v>460</v>
      </c>
      <c r="M114" s="312" t="s">
        <v>1323</v>
      </c>
      <c r="N114" s="313" t="s">
        <v>1138</v>
      </c>
      <c r="O114" s="313" t="s">
        <v>1138</v>
      </c>
      <c r="P114" s="312" t="s">
        <v>1187</v>
      </c>
      <c r="Q114" s="313" t="s">
        <v>1187</v>
      </c>
      <c r="R114" s="313" t="s">
        <v>1187</v>
      </c>
      <c r="S114" s="313" t="s">
        <v>1187</v>
      </c>
      <c r="T114" s="313" t="s">
        <v>1187</v>
      </c>
      <c r="U114" s="438" t="s">
        <v>1187</v>
      </c>
      <c r="V114" s="448" t="s">
        <v>1187</v>
      </c>
      <c r="W114" s="311"/>
      <c r="X114" s="260"/>
      <c r="Y114" s="260"/>
      <c r="Z114" s="260"/>
    </row>
    <row r="115" spans="3:26" ht="18" customHeight="1" x14ac:dyDescent="0.3">
      <c r="C115" s="317"/>
      <c r="D115" s="313" t="s">
        <v>201</v>
      </c>
      <c r="E115" s="269" t="s">
        <v>201</v>
      </c>
      <c r="F115" s="316" t="s">
        <v>1268</v>
      </c>
      <c r="G115" s="315">
        <v>0</v>
      </c>
      <c r="H115" s="312" t="s">
        <v>1267</v>
      </c>
      <c r="I115" s="312">
        <v>1</v>
      </c>
      <c r="J115" s="314">
        <v>4</v>
      </c>
      <c r="K115" s="314" t="s">
        <v>1322</v>
      </c>
      <c r="L115" s="313" t="s">
        <v>454</v>
      </c>
      <c r="M115" s="312" t="s">
        <v>201</v>
      </c>
      <c r="N115" s="313" t="s">
        <v>201</v>
      </c>
      <c r="O115" s="312" t="s">
        <v>201</v>
      </c>
      <c r="P115" s="312" t="s">
        <v>1186</v>
      </c>
      <c r="Q115" s="313" t="s">
        <v>1187</v>
      </c>
      <c r="R115" s="285" t="s">
        <v>1186</v>
      </c>
      <c r="S115" s="285" t="s">
        <v>1187</v>
      </c>
      <c r="T115" s="331" t="s">
        <v>1187</v>
      </c>
      <c r="U115" s="438" t="s">
        <v>1187</v>
      </c>
      <c r="V115" s="448" t="s">
        <v>1186</v>
      </c>
      <c r="W115" s="311"/>
      <c r="X115" s="260" t="s">
        <v>1321</v>
      </c>
      <c r="Y115" s="260" t="s">
        <v>1320</v>
      </c>
      <c r="Z115" s="260"/>
    </row>
    <row r="116" spans="3:26" ht="18" customHeight="1" x14ac:dyDescent="0.3">
      <c r="C116" s="317"/>
      <c r="D116" s="313" t="s">
        <v>203</v>
      </c>
      <c r="E116" s="269" t="s">
        <v>203</v>
      </c>
      <c r="F116" s="316" t="s">
        <v>1268</v>
      </c>
      <c r="G116" s="315">
        <v>0</v>
      </c>
      <c r="H116" s="312" t="s">
        <v>1267</v>
      </c>
      <c r="I116" s="312">
        <v>1</v>
      </c>
      <c r="J116" s="314">
        <v>4</v>
      </c>
      <c r="K116" s="314" t="s">
        <v>1322</v>
      </c>
      <c r="L116" s="313" t="s">
        <v>454</v>
      </c>
      <c r="M116" s="312" t="s">
        <v>203</v>
      </c>
      <c r="N116" s="313" t="s">
        <v>203</v>
      </c>
      <c r="O116" s="312" t="s">
        <v>203</v>
      </c>
      <c r="P116" s="312" t="s">
        <v>1186</v>
      </c>
      <c r="Q116" s="313" t="s">
        <v>1187</v>
      </c>
      <c r="R116" s="285" t="s">
        <v>1186</v>
      </c>
      <c r="S116" s="285" t="s">
        <v>1187</v>
      </c>
      <c r="T116" s="331" t="s">
        <v>1187</v>
      </c>
      <c r="U116" s="438" t="s">
        <v>1187</v>
      </c>
      <c r="V116" s="448" t="s">
        <v>1186</v>
      </c>
      <c r="W116" s="311"/>
      <c r="X116" s="260" t="s">
        <v>1321</v>
      </c>
      <c r="Y116" s="260" t="s">
        <v>1320</v>
      </c>
      <c r="Z116" s="260"/>
    </row>
    <row r="117" spans="3:26" ht="18" customHeight="1" x14ac:dyDescent="0.3">
      <c r="C117" s="317" t="s">
        <v>32</v>
      </c>
      <c r="D117" s="326" t="s">
        <v>1130</v>
      </c>
      <c r="E117" s="312" t="s">
        <v>613</v>
      </c>
      <c r="F117" s="316" t="s">
        <v>1295</v>
      </c>
      <c r="G117" s="315">
        <v>1</v>
      </c>
      <c r="H117" s="312" t="s">
        <v>1267</v>
      </c>
      <c r="I117" s="312">
        <v>1</v>
      </c>
      <c r="J117" s="314">
        <v>1</v>
      </c>
      <c r="K117" s="314" t="s">
        <v>1310</v>
      </c>
      <c r="L117" s="313" t="s">
        <v>455</v>
      </c>
      <c r="M117" s="312" t="s">
        <v>1130</v>
      </c>
      <c r="N117" s="326" t="s">
        <v>1130</v>
      </c>
      <c r="O117" s="326" t="s">
        <v>1130</v>
      </c>
      <c r="P117" s="328" t="s">
        <v>1186</v>
      </c>
      <c r="Q117" s="326" t="s">
        <v>1186</v>
      </c>
      <c r="R117" s="326" t="s">
        <v>1186</v>
      </c>
      <c r="S117" s="326" t="s">
        <v>1186</v>
      </c>
      <c r="T117" s="326" t="s">
        <v>1186</v>
      </c>
      <c r="U117" s="438" t="s">
        <v>1186</v>
      </c>
      <c r="V117" s="448" t="s">
        <v>1186</v>
      </c>
      <c r="W117" s="327" t="s">
        <v>1319</v>
      </c>
      <c r="X117" s="260" t="s">
        <v>1318</v>
      </c>
      <c r="Y117" s="260" t="s">
        <v>1318</v>
      </c>
      <c r="Z117" s="260"/>
    </row>
    <row r="118" spans="3:26" ht="18" customHeight="1" x14ac:dyDescent="0.3">
      <c r="C118" s="317"/>
      <c r="D118" s="326" t="s">
        <v>1131</v>
      </c>
      <c r="E118" s="312" t="s">
        <v>613</v>
      </c>
      <c r="F118" s="316" t="s">
        <v>1295</v>
      </c>
      <c r="G118" s="315">
        <v>0</v>
      </c>
      <c r="H118" s="312" t="s">
        <v>1267</v>
      </c>
      <c r="I118" s="312">
        <v>1</v>
      </c>
      <c r="J118" s="314">
        <v>1</v>
      </c>
      <c r="K118" s="314" t="s">
        <v>1310</v>
      </c>
      <c r="L118" s="313" t="s">
        <v>456</v>
      </c>
      <c r="M118" s="312" t="s">
        <v>1131</v>
      </c>
      <c r="N118" s="326" t="s">
        <v>1131</v>
      </c>
      <c r="O118" s="326" t="s">
        <v>1131</v>
      </c>
      <c r="P118" s="328" t="s">
        <v>1186</v>
      </c>
      <c r="Q118" s="326" t="s">
        <v>1186</v>
      </c>
      <c r="R118" s="326" t="s">
        <v>1186</v>
      </c>
      <c r="S118" s="326" t="s">
        <v>1186</v>
      </c>
      <c r="T118" s="326" t="s">
        <v>1186</v>
      </c>
      <c r="U118" s="438" t="s">
        <v>1186</v>
      </c>
      <c r="V118" s="448" t="s">
        <v>1186</v>
      </c>
      <c r="W118" s="327" t="s">
        <v>1319</v>
      </c>
      <c r="X118" s="260" t="s">
        <v>1318</v>
      </c>
      <c r="Y118" s="260" t="s">
        <v>1318</v>
      </c>
      <c r="Z118" s="260"/>
    </row>
    <row r="119" spans="3:26" ht="18" customHeight="1" x14ac:dyDescent="0.3">
      <c r="C119" s="317"/>
      <c r="D119" s="326" t="s">
        <v>1132</v>
      </c>
      <c r="E119" s="312" t="s">
        <v>613</v>
      </c>
      <c r="F119" s="316" t="s">
        <v>1295</v>
      </c>
      <c r="G119" s="315">
        <v>0</v>
      </c>
      <c r="H119" s="312" t="s">
        <v>1267</v>
      </c>
      <c r="I119" s="312">
        <v>1</v>
      </c>
      <c r="J119" s="314">
        <v>1</v>
      </c>
      <c r="K119" s="314" t="s">
        <v>1310</v>
      </c>
      <c r="L119" s="313" t="s">
        <v>457</v>
      </c>
      <c r="M119" s="312" t="s">
        <v>1132</v>
      </c>
      <c r="N119" s="326" t="s">
        <v>1132</v>
      </c>
      <c r="O119" s="326" t="s">
        <v>1132</v>
      </c>
      <c r="P119" s="328" t="s">
        <v>1186</v>
      </c>
      <c r="Q119" s="326" t="s">
        <v>1186</v>
      </c>
      <c r="R119" s="326" t="s">
        <v>1186</v>
      </c>
      <c r="S119" s="326" t="s">
        <v>1186</v>
      </c>
      <c r="T119" s="326" t="s">
        <v>1186</v>
      </c>
      <c r="U119" s="438" t="s">
        <v>1186</v>
      </c>
      <c r="V119" s="448" t="s">
        <v>1186</v>
      </c>
      <c r="W119" s="327" t="s">
        <v>1319</v>
      </c>
      <c r="X119" s="260" t="s">
        <v>1318</v>
      </c>
      <c r="Y119" s="260" t="s">
        <v>1318</v>
      </c>
      <c r="Z119" s="260"/>
    </row>
    <row r="120" spans="3:26" ht="18" customHeight="1" x14ac:dyDescent="0.3">
      <c r="C120" s="317"/>
      <c r="D120" s="313" t="s">
        <v>209</v>
      </c>
      <c r="E120" s="312" t="s">
        <v>613</v>
      </c>
      <c r="F120" s="316" t="s">
        <v>1295</v>
      </c>
      <c r="G120" s="315">
        <v>1</v>
      </c>
      <c r="H120" s="312" t="s">
        <v>1267</v>
      </c>
      <c r="I120" s="312">
        <v>1</v>
      </c>
      <c r="J120" s="314">
        <v>1</v>
      </c>
      <c r="K120" s="314" t="s">
        <v>1310</v>
      </c>
      <c r="L120" s="313" t="s">
        <v>527</v>
      </c>
      <c r="M120" s="312" t="s">
        <v>1317</v>
      </c>
      <c r="N120" s="313" t="s">
        <v>1317</v>
      </c>
      <c r="O120" s="312" t="s">
        <v>1317</v>
      </c>
      <c r="P120" s="328" t="s">
        <v>1186</v>
      </c>
      <c r="Q120" s="326" t="s">
        <v>1186</v>
      </c>
      <c r="R120" s="326" t="s">
        <v>1186</v>
      </c>
      <c r="S120" s="326" t="s">
        <v>1186</v>
      </c>
      <c r="T120" s="326" t="s">
        <v>1186</v>
      </c>
      <c r="U120" s="438" t="s">
        <v>1186</v>
      </c>
      <c r="V120" s="448" t="s">
        <v>1186</v>
      </c>
      <c r="W120" s="311"/>
      <c r="X120" s="260" t="s">
        <v>1316</v>
      </c>
      <c r="Y120" s="260" t="s">
        <v>1316</v>
      </c>
      <c r="Z120" s="260"/>
    </row>
    <row r="121" spans="3:26" ht="18" customHeight="1" x14ac:dyDescent="0.3">
      <c r="C121" s="317"/>
      <c r="D121" s="313" t="s">
        <v>211</v>
      </c>
      <c r="E121" s="312" t="s">
        <v>613</v>
      </c>
      <c r="F121" s="316" t="s">
        <v>1295</v>
      </c>
      <c r="G121" s="315">
        <v>0</v>
      </c>
      <c r="H121" s="312" t="s">
        <v>1267</v>
      </c>
      <c r="I121" s="312">
        <v>1</v>
      </c>
      <c r="J121" s="314">
        <v>1</v>
      </c>
      <c r="K121" s="314" t="s">
        <v>1310</v>
      </c>
      <c r="L121" s="313" t="s">
        <v>528</v>
      </c>
      <c r="M121" s="312" t="s">
        <v>211</v>
      </c>
      <c r="N121" s="313" t="s">
        <v>211</v>
      </c>
      <c r="O121" s="312" t="s">
        <v>211</v>
      </c>
      <c r="P121" s="312" t="s">
        <v>1186</v>
      </c>
      <c r="Q121" s="312" t="s">
        <v>1186</v>
      </c>
      <c r="R121" s="312" t="s">
        <v>1186</v>
      </c>
      <c r="S121" s="312" t="s">
        <v>1186</v>
      </c>
      <c r="T121" s="312" t="s">
        <v>1186</v>
      </c>
      <c r="U121" s="438" t="s">
        <v>1186</v>
      </c>
      <c r="V121" s="448" t="s">
        <v>1186</v>
      </c>
      <c r="W121" s="311" t="s">
        <v>1315</v>
      </c>
      <c r="X121" s="260" t="s">
        <v>1314</v>
      </c>
      <c r="Y121" s="260" t="s">
        <v>1313</v>
      </c>
      <c r="Z121" s="260"/>
    </row>
    <row r="122" spans="3:26" ht="18" customHeight="1" x14ac:dyDescent="0.3">
      <c r="C122" s="317"/>
      <c r="D122" s="326" t="s">
        <v>1610</v>
      </c>
      <c r="E122" s="328" t="s">
        <v>1575</v>
      </c>
      <c r="F122" s="316" t="s">
        <v>1295</v>
      </c>
      <c r="G122" s="315">
        <v>0</v>
      </c>
      <c r="H122" s="312" t="s">
        <v>1267</v>
      </c>
      <c r="I122" s="312">
        <v>1</v>
      </c>
      <c r="J122" s="314">
        <v>1</v>
      </c>
      <c r="K122" s="314" t="s">
        <v>1310</v>
      </c>
      <c r="L122" s="313" t="s">
        <v>1559</v>
      </c>
      <c r="M122" s="312" t="s">
        <v>1312</v>
      </c>
      <c r="N122" s="313" t="s">
        <v>213</v>
      </c>
      <c r="O122" s="312" t="s">
        <v>213</v>
      </c>
      <c r="P122" s="312" t="s">
        <v>1187</v>
      </c>
      <c r="Q122" s="312" t="s">
        <v>1187</v>
      </c>
      <c r="R122" s="312" t="s">
        <v>1187</v>
      </c>
      <c r="S122" s="312" t="s">
        <v>1187</v>
      </c>
      <c r="T122" s="312" t="s">
        <v>1187</v>
      </c>
      <c r="U122" s="438" t="s">
        <v>1186</v>
      </c>
      <c r="V122" s="448" t="s">
        <v>1186</v>
      </c>
      <c r="W122" s="311"/>
      <c r="X122" s="260"/>
      <c r="Y122" s="260"/>
      <c r="Z122" s="260"/>
    </row>
    <row r="123" spans="3:26" ht="18" customHeight="1" x14ac:dyDescent="0.3">
      <c r="C123" s="317"/>
      <c r="D123" s="313" t="s">
        <v>215</v>
      </c>
      <c r="E123" s="312" t="s">
        <v>214</v>
      </c>
      <c r="F123" s="316" t="s">
        <v>1295</v>
      </c>
      <c r="G123" s="315">
        <v>0</v>
      </c>
      <c r="H123" s="312" t="s">
        <v>1267</v>
      </c>
      <c r="I123" s="312">
        <v>1</v>
      </c>
      <c r="J123" s="314">
        <v>1</v>
      </c>
      <c r="K123" s="314" t="s">
        <v>1310</v>
      </c>
      <c r="L123" s="313" t="s">
        <v>529</v>
      </c>
      <c r="M123" s="312" t="s">
        <v>1311</v>
      </c>
      <c r="N123" s="313" t="s">
        <v>216</v>
      </c>
      <c r="O123" s="312" t="s">
        <v>216</v>
      </c>
      <c r="P123" s="312" t="s">
        <v>1187</v>
      </c>
      <c r="Q123" s="312" t="s">
        <v>1187</v>
      </c>
      <c r="R123" s="312" t="s">
        <v>1187</v>
      </c>
      <c r="S123" s="312" t="s">
        <v>1187</v>
      </c>
      <c r="T123" s="312" t="s">
        <v>1187</v>
      </c>
      <c r="U123" s="438" t="s">
        <v>1187</v>
      </c>
      <c r="V123" s="448" t="s">
        <v>1187</v>
      </c>
      <c r="W123" s="311"/>
      <c r="X123" s="260"/>
      <c r="Y123" s="260"/>
      <c r="Z123" s="260"/>
    </row>
    <row r="124" spans="3:26" ht="18" customHeight="1" x14ac:dyDescent="0.3">
      <c r="C124" s="317"/>
      <c r="D124" s="313" t="s">
        <v>217</v>
      </c>
      <c r="E124" s="312" t="s">
        <v>214</v>
      </c>
      <c r="F124" s="316" t="s">
        <v>1295</v>
      </c>
      <c r="G124" s="315">
        <v>0</v>
      </c>
      <c r="H124" s="312" t="s">
        <v>1267</v>
      </c>
      <c r="I124" s="312">
        <v>1</v>
      </c>
      <c r="J124" s="314">
        <v>1</v>
      </c>
      <c r="K124" s="314" t="s">
        <v>1310</v>
      </c>
      <c r="L124" s="313" t="s">
        <v>530</v>
      </c>
      <c r="M124" s="312" t="s">
        <v>1309</v>
      </c>
      <c r="N124" s="313" t="s">
        <v>218</v>
      </c>
      <c r="O124" s="312" t="s">
        <v>218</v>
      </c>
      <c r="P124" s="312" t="s">
        <v>1187</v>
      </c>
      <c r="Q124" s="312" t="s">
        <v>1187</v>
      </c>
      <c r="R124" s="312" t="s">
        <v>1187</v>
      </c>
      <c r="S124" s="312" t="s">
        <v>1187</v>
      </c>
      <c r="T124" s="312" t="s">
        <v>1187</v>
      </c>
      <c r="U124" s="438" t="s">
        <v>1187</v>
      </c>
      <c r="V124" s="448" t="s">
        <v>1187</v>
      </c>
      <c r="W124" s="311"/>
      <c r="X124" s="260"/>
      <c r="Y124" s="260"/>
      <c r="Z124" s="260"/>
    </row>
    <row r="125" spans="3:26" ht="18" customHeight="1" x14ac:dyDescent="0.3">
      <c r="C125" s="317"/>
      <c r="D125" s="313" t="s">
        <v>219</v>
      </c>
      <c r="E125" s="312" t="s">
        <v>613</v>
      </c>
      <c r="F125" s="316" t="s">
        <v>1295</v>
      </c>
      <c r="G125" s="315">
        <v>0</v>
      </c>
      <c r="H125" s="312" t="s">
        <v>1267</v>
      </c>
      <c r="I125" s="312">
        <v>1</v>
      </c>
      <c r="J125" s="314">
        <v>1</v>
      </c>
      <c r="K125" s="314" t="s">
        <v>1308</v>
      </c>
      <c r="L125" s="313" t="s">
        <v>531</v>
      </c>
      <c r="M125" s="312" t="s">
        <v>219</v>
      </c>
      <c r="N125" s="313" t="s">
        <v>219</v>
      </c>
      <c r="O125" s="312" t="s">
        <v>219</v>
      </c>
      <c r="P125" s="312" t="s">
        <v>1186</v>
      </c>
      <c r="Q125" s="312" t="s">
        <v>1186</v>
      </c>
      <c r="R125" s="312" t="s">
        <v>1186</v>
      </c>
      <c r="S125" s="312" t="s">
        <v>1186</v>
      </c>
      <c r="T125" s="312" t="s">
        <v>1186</v>
      </c>
      <c r="U125" s="438" t="s">
        <v>1186</v>
      </c>
      <c r="V125" s="448" t="s">
        <v>1186</v>
      </c>
      <c r="W125" s="311"/>
      <c r="X125" s="260"/>
      <c r="Y125" s="260"/>
      <c r="Z125" s="260"/>
    </row>
    <row r="126" spans="3:26" ht="18" customHeight="1" x14ac:dyDescent="0.3">
      <c r="C126" s="317"/>
      <c r="D126" s="313" t="s">
        <v>222</v>
      </c>
      <c r="E126" s="312" t="s">
        <v>221</v>
      </c>
      <c r="F126" s="316" t="s">
        <v>1295</v>
      </c>
      <c r="G126" s="315">
        <v>0</v>
      </c>
      <c r="H126" s="312" t="s">
        <v>1267</v>
      </c>
      <c r="I126" s="312">
        <v>1</v>
      </c>
      <c r="J126" s="314">
        <v>7</v>
      </c>
      <c r="K126" s="314" t="s">
        <v>1308</v>
      </c>
      <c r="L126" s="313" t="s">
        <v>532</v>
      </c>
      <c r="M126" s="312" t="s">
        <v>1307</v>
      </c>
      <c r="N126" s="313" t="s">
        <v>223</v>
      </c>
      <c r="O126" s="312" t="s">
        <v>223</v>
      </c>
      <c r="P126" s="330" t="s">
        <v>1186</v>
      </c>
      <c r="Q126" s="312" t="s">
        <v>1187</v>
      </c>
      <c r="R126" s="312" t="s">
        <v>1187</v>
      </c>
      <c r="S126" s="312" t="s">
        <v>1187</v>
      </c>
      <c r="T126" s="312" t="s">
        <v>1187</v>
      </c>
      <c r="U126" s="438" t="s">
        <v>1187</v>
      </c>
      <c r="V126" s="448" t="s">
        <v>1187</v>
      </c>
      <c r="W126" s="311"/>
      <c r="X126" s="260"/>
      <c r="Y126" s="260" t="s">
        <v>1306</v>
      </c>
      <c r="Z126" s="260"/>
    </row>
    <row r="127" spans="3:26" ht="18" customHeight="1" x14ac:dyDescent="0.3">
      <c r="C127" s="317"/>
      <c r="D127" s="313" t="s">
        <v>225</v>
      </c>
      <c r="E127" s="312" t="s">
        <v>224</v>
      </c>
      <c r="F127" s="320" t="s">
        <v>1277</v>
      </c>
      <c r="G127" s="315">
        <v>0</v>
      </c>
      <c r="H127" s="312" t="s">
        <v>1267</v>
      </c>
      <c r="I127" s="312">
        <v>1</v>
      </c>
      <c r="J127" s="314">
        <v>1</v>
      </c>
      <c r="K127" s="314" t="s">
        <v>1300</v>
      </c>
      <c r="L127" s="313" t="s">
        <v>533</v>
      </c>
      <c r="M127" s="312" t="s">
        <v>225</v>
      </c>
      <c r="N127" s="313" t="s">
        <v>225</v>
      </c>
      <c r="O127" s="312" t="s">
        <v>226</v>
      </c>
      <c r="P127" s="330" t="s">
        <v>1186</v>
      </c>
      <c r="Q127" s="312" t="s">
        <v>1187</v>
      </c>
      <c r="R127" s="312" t="s">
        <v>1187</v>
      </c>
      <c r="S127" s="312" t="s">
        <v>1187</v>
      </c>
      <c r="T127" s="269" t="s">
        <v>1187</v>
      </c>
      <c r="U127" s="438" t="s">
        <v>1187</v>
      </c>
      <c r="V127" s="448" t="s">
        <v>1187</v>
      </c>
      <c r="W127" s="311" t="s">
        <v>1280</v>
      </c>
      <c r="X127" s="260"/>
      <c r="Y127" s="260"/>
      <c r="Z127" s="260"/>
    </row>
    <row r="128" spans="3:26" ht="18" customHeight="1" x14ac:dyDescent="0.3">
      <c r="C128" s="317"/>
      <c r="D128" s="313" t="s">
        <v>674</v>
      </c>
      <c r="E128" s="312" t="s">
        <v>613</v>
      </c>
      <c r="F128" s="320" t="s">
        <v>1277</v>
      </c>
      <c r="G128" s="315">
        <v>1</v>
      </c>
      <c r="H128" s="312" t="s">
        <v>1267</v>
      </c>
      <c r="I128" s="312">
        <v>1</v>
      </c>
      <c r="J128" s="314">
        <v>1</v>
      </c>
      <c r="K128" s="314" t="s">
        <v>1300</v>
      </c>
      <c r="L128" s="313" t="s">
        <v>675</v>
      </c>
      <c r="M128" s="312" t="s">
        <v>1305</v>
      </c>
      <c r="N128" s="313" t="s">
        <v>674</v>
      </c>
      <c r="O128" s="312" t="s">
        <v>674</v>
      </c>
      <c r="P128" s="312" t="s">
        <v>1186</v>
      </c>
      <c r="Q128" s="312" t="s">
        <v>1186</v>
      </c>
      <c r="R128" s="312" t="s">
        <v>1186</v>
      </c>
      <c r="S128" s="312" t="s">
        <v>1186</v>
      </c>
      <c r="T128" s="312" t="s">
        <v>1186</v>
      </c>
      <c r="U128" s="438" t="s">
        <v>1186</v>
      </c>
      <c r="V128" s="448" t="s">
        <v>1186</v>
      </c>
      <c r="W128" s="311"/>
      <c r="X128" s="260"/>
      <c r="Y128" s="260" t="s">
        <v>1304</v>
      </c>
      <c r="Z128" s="260"/>
    </row>
    <row r="129" spans="3:26" ht="18" customHeight="1" x14ac:dyDescent="0.3">
      <c r="C129" s="317"/>
      <c r="D129" s="313" t="s">
        <v>228</v>
      </c>
      <c r="E129" s="312" t="s">
        <v>1568</v>
      </c>
      <c r="F129" s="320" t="s">
        <v>1277</v>
      </c>
      <c r="G129" s="315">
        <v>0</v>
      </c>
      <c r="H129" s="312" t="s">
        <v>1267</v>
      </c>
      <c r="I129" s="312">
        <v>1</v>
      </c>
      <c r="J129" s="314">
        <v>1</v>
      </c>
      <c r="K129" s="314" t="s">
        <v>1300</v>
      </c>
      <c r="L129" s="313" t="s">
        <v>537</v>
      </c>
      <c r="M129" s="312" t="s">
        <v>228</v>
      </c>
      <c r="N129" s="313" t="s">
        <v>229</v>
      </c>
      <c r="O129" s="312" t="s">
        <v>229</v>
      </c>
      <c r="P129" s="330" t="s">
        <v>1186</v>
      </c>
      <c r="Q129" s="312" t="s">
        <v>1187</v>
      </c>
      <c r="R129" s="312" t="s">
        <v>1187</v>
      </c>
      <c r="S129" s="312" t="s">
        <v>1187</v>
      </c>
      <c r="T129" s="312" t="s">
        <v>1187</v>
      </c>
      <c r="U129" s="438" t="s">
        <v>1187</v>
      </c>
      <c r="V129" s="448" t="s">
        <v>1187</v>
      </c>
      <c r="W129" s="311"/>
      <c r="X129" s="260"/>
      <c r="Y129" s="260" t="s">
        <v>1304</v>
      </c>
      <c r="Z129" s="260"/>
    </row>
    <row r="130" spans="3:26" ht="18" customHeight="1" x14ac:dyDescent="0.3">
      <c r="C130" s="317"/>
      <c r="D130" s="313" t="s">
        <v>230</v>
      </c>
      <c r="E130" s="312" t="s">
        <v>1568</v>
      </c>
      <c r="F130" s="320" t="s">
        <v>1277</v>
      </c>
      <c r="G130" s="315">
        <v>0</v>
      </c>
      <c r="H130" s="312" t="s">
        <v>1267</v>
      </c>
      <c r="I130" s="312">
        <v>1</v>
      </c>
      <c r="J130" s="314">
        <v>1</v>
      </c>
      <c r="K130" s="314" t="s">
        <v>1300</v>
      </c>
      <c r="L130" s="313" t="s">
        <v>538</v>
      </c>
      <c r="M130" s="313" t="s">
        <v>230</v>
      </c>
      <c r="N130" s="313" t="s">
        <v>231</v>
      </c>
      <c r="O130" s="312" t="s">
        <v>231</v>
      </c>
      <c r="P130" s="330" t="s">
        <v>1186</v>
      </c>
      <c r="Q130" s="312" t="s">
        <v>1187</v>
      </c>
      <c r="R130" s="312" t="s">
        <v>1187</v>
      </c>
      <c r="S130" s="312" t="s">
        <v>1187</v>
      </c>
      <c r="T130" s="312" t="s">
        <v>1187</v>
      </c>
      <c r="U130" s="438" t="s">
        <v>1187</v>
      </c>
      <c r="V130" s="448" t="s">
        <v>1187</v>
      </c>
      <c r="W130" s="311"/>
      <c r="X130" s="260"/>
      <c r="Y130" s="260" t="s">
        <v>1304</v>
      </c>
      <c r="Z130" s="260"/>
    </row>
    <row r="131" spans="3:26" ht="18" customHeight="1" x14ac:dyDescent="0.3">
      <c r="C131" s="317"/>
      <c r="D131" s="313" t="s">
        <v>232</v>
      </c>
      <c r="E131" s="312" t="s">
        <v>1568</v>
      </c>
      <c r="F131" s="320" t="s">
        <v>1277</v>
      </c>
      <c r="G131" s="315">
        <v>0</v>
      </c>
      <c r="H131" s="312" t="s">
        <v>1267</v>
      </c>
      <c r="I131" s="312">
        <v>1</v>
      </c>
      <c r="J131" s="314">
        <v>1</v>
      </c>
      <c r="K131" s="314" t="s">
        <v>1300</v>
      </c>
      <c r="L131" s="313" t="s">
        <v>539</v>
      </c>
      <c r="M131" s="313" t="s">
        <v>232</v>
      </c>
      <c r="N131" s="313" t="s">
        <v>233</v>
      </c>
      <c r="O131" s="312" t="s">
        <v>233</v>
      </c>
      <c r="P131" s="330" t="s">
        <v>1186</v>
      </c>
      <c r="Q131" s="312" t="s">
        <v>1187</v>
      </c>
      <c r="R131" s="312" t="s">
        <v>1187</v>
      </c>
      <c r="S131" s="312" t="s">
        <v>1187</v>
      </c>
      <c r="T131" s="312" t="s">
        <v>1187</v>
      </c>
      <c r="U131" s="438" t="s">
        <v>1187</v>
      </c>
      <c r="V131" s="448" t="s">
        <v>1187</v>
      </c>
      <c r="W131" s="311"/>
      <c r="X131" s="260"/>
      <c r="Y131" s="260" t="s">
        <v>1304</v>
      </c>
      <c r="Z131" s="260"/>
    </row>
    <row r="132" spans="3:26" ht="18" customHeight="1" x14ac:dyDescent="0.3">
      <c r="C132" s="317"/>
      <c r="D132" s="313" t="s">
        <v>235</v>
      </c>
      <c r="E132" s="312" t="s">
        <v>234</v>
      </c>
      <c r="F132" s="320" t="s">
        <v>1277</v>
      </c>
      <c r="G132" s="315">
        <v>1</v>
      </c>
      <c r="H132" s="312" t="s">
        <v>1267</v>
      </c>
      <c r="I132" s="312">
        <v>1</v>
      </c>
      <c r="J132" s="314">
        <v>1</v>
      </c>
      <c r="K132" s="314" t="s">
        <v>1300</v>
      </c>
      <c r="L132" s="313" t="s">
        <v>540</v>
      </c>
      <c r="M132" s="323" t="s">
        <v>235</v>
      </c>
      <c r="N132" s="313" t="s">
        <v>235</v>
      </c>
      <c r="O132" s="312" t="s">
        <v>235</v>
      </c>
      <c r="P132" s="312" t="s">
        <v>1186</v>
      </c>
      <c r="Q132" s="312" t="s">
        <v>1187</v>
      </c>
      <c r="R132" s="312" t="s">
        <v>1187</v>
      </c>
      <c r="S132" s="312" t="s">
        <v>1187</v>
      </c>
      <c r="T132" s="269" t="s">
        <v>1187</v>
      </c>
      <c r="U132" s="438" t="s">
        <v>1186</v>
      </c>
      <c r="V132" s="448" t="s">
        <v>1187</v>
      </c>
      <c r="W132" s="311" t="s">
        <v>1280</v>
      </c>
      <c r="X132" s="260" t="s">
        <v>1303</v>
      </c>
      <c r="Y132" s="260" t="s">
        <v>1303</v>
      </c>
      <c r="Z132" s="260"/>
    </row>
    <row r="133" spans="3:26" ht="21" customHeight="1" x14ac:dyDescent="0.3">
      <c r="C133" s="317"/>
      <c r="D133" s="326" t="s">
        <v>1107</v>
      </c>
      <c r="E133" s="312" t="s">
        <v>48</v>
      </c>
      <c r="F133" s="320" t="s">
        <v>1277</v>
      </c>
      <c r="G133" s="315">
        <v>0</v>
      </c>
      <c r="H133" s="312" t="s">
        <v>1267</v>
      </c>
      <c r="I133" s="312">
        <v>1</v>
      </c>
      <c r="J133" s="314">
        <v>1</v>
      </c>
      <c r="K133" s="314" t="s">
        <v>1300</v>
      </c>
      <c r="L133" s="313" t="s">
        <v>890</v>
      </c>
      <c r="M133" s="312" t="s">
        <v>1302</v>
      </c>
      <c r="N133" s="313" t="s">
        <v>888</v>
      </c>
      <c r="O133" s="312" t="s">
        <v>888</v>
      </c>
      <c r="P133" s="312" t="s">
        <v>1187</v>
      </c>
      <c r="Q133" s="312" t="s">
        <v>1187</v>
      </c>
      <c r="R133" s="312" t="s">
        <v>1187</v>
      </c>
      <c r="S133" s="312" t="s">
        <v>1187</v>
      </c>
      <c r="T133" s="312" t="s">
        <v>1187</v>
      </c>
      <c r="U133" s="438" t="s">
        <v>1186</v>
      </c>
      <c r="V133" s="448" t="s">
        <v>1186</v>
      </c>
      <c r="W133" s="311"/>
      <c r="X133" s="260"/>
      <c r="Y133" s="260"/>
      <c r="Z133" s="260"/>
    </row>
    <row r="134" spans="3:26" ht="25.8" customHeight="1" x14ac:dyDescent="0.3">
      <c r="C134" s="317"/>
      <c r="D134" s="326" t="s">
        <v>1576</v>
      </c>
      <c r="E134" s="328" t="s">
        <v>1567</v>
      </c>
      <c r="F134" s="320" t="s">
        <v>1277</v>
      </c>
      <c r="G134" s="315">
        <v>0</v>
      </c>
      <c r="H134" s="312" t="s">
        <v>1267</v>
      </c>
      <c r="I134" s="312">
        <v>1</v>
      </c>
      <c r="J134" s="314">
        <v>1</v>
      </c>
      <c r="K134" s="314" t="s">
        <v>1300</v>
      </c>
      <c r="L134" s="313" t="s">
        <v>1599</v>
      </c>
      <c r="M134" s="312" t="s">
        <v>1299</v>
      </c>
      <c r="N134" s="313" t="s">
        <v>889</v>
      </c>
      <c r="O134" s="312" t="s">
        <v>889</v>
      </c>
      <c r="P134" s="312" t="s">
        <v>1187</v>
      </c>
      <c r="Q134" s="312" t="s">
        <v>1187</v>
      </c>
      <c r="R134" s="312" t="s">
        <v>1187</v>
      </c>
      <c r="S134" s="312" t="s">
        <v>1187</v>
      </c>
      <c r="T134" s="312" t="s">
        <v>1187</v>
      </c>
      <c r="U134" s="438" t="s">
        <v>1186</v>
      </c>
      <c r="V134" s="448" t="s">
        <v>1186</v>
      </c>
      <c r="W134" s="311"/>
      <c r="X134" s="260"/>
      <c r="Y134" s="260"/>
      <c r="Z134" s="260"/>
    </row>
    <row r="135" spans="3:26" ht="25.8" customHeight="1" x14ac:dyDescent="0.3">
      <c r="C135" s="317"/>
      <c r="D135" s="326" t="s">
        <v>238</v>
      </c>
      <c r="E135" s="269" t="s">
        <v>613</v>
      </c>
      <c r="F135" s="316" t="s">
        <v>1295</v>
      </c>
      <c r="G135" s="315">
        <v>1</v>
      </c>
      <c r="H135" s="312" t="s">
        <v>1267</v>
      </c>
      <c r="I135" s="312">
        <v>1</v>
      </c>
      <c r="J135" s="314">
        <v>1</v>
      </c>
      <c r="K135" s="314" t="s">
        <v>1294</v>
      </c>
      <c r="L135" s="313" t="s">
        <v>541</v>
      </c>
      <c r="M135" s="312" t="s">
        <v>238</v>
      </c>
      <c r="N135" s="313" t="s">
        <v>238</v>
      </c>
      <c r="O135" s="312" t="s">
        <v>238</v>
      </c>
      <c r="P135" s="312" t="s">
        <v>1186</v>
      </c>
      <c r="Q135" s="312" t="s">
        <v>1186</v>
      </c>
      <c r="R135" s="312" t="s">
        <v>1186</v>
      </c>
      <c r="S135" s="312" t="s">
        <v>1186</v>
      </c>
      <c r="T135" s="312" t="s">
        <v>1186</v>
      </c>
      <c r="U135" s="438" t="s">
        <v>1186</v>
      </c>
      <c r="V135" s="448" t="s">
        <v>1186</v>
      </c>
      <c r="W135" s="311"/>
      <c r="X135" s="260"/>
      <c r="Y135" s="260"/>
      <c r="Z135" s="260"/>
    </row>
    <row r="136" spans="3:26" ht="37.799999999999997" customHeight="1" x14ac:dyDescent="0.3">
      <c r="C136" s="317"/>
      <c r="D136" s="329" t="s">
        <v>1298</v>
      </c>
      <c r="E136" s="312" t="s">
        <v>613</v>
      </c>
      <c r="F136" s="316" t="s">
        <v>1295</v>
      </c>
      <c r="G136" s="315">
        <v>1</v>
      </c>
      <c r="H136" s="312" t="s">
        <v>1267</v>
      </c>
      <c r="I136" s="312">
        <v>1</v>
      </c>
      <c r="J136" s="314">
        <v>1</v>
      </c>
      <c r="K136" s="314" t="s">
        <v>1294</v>
      </c>
      <c r="L136" s="313" t="s">
        <v>542</v>
      </c>
      <c r="M136" s="312" t="s">
        <v>1106</v>
      </c>
      <c r="N136" s="313" t="s">
        <v>1106</v>
      </c>
      <c r="O136" s="328" t="s">
        <v>1106</v>
      </c>
      <c r="P136" s="312" t="s">
        <v>1186</v>
      </c>
      <c r="Q136" s="312" t="s">
        <v>1186</v>
      </c>
      <c r="R136" s="312" t="s">
        <v>1186</v>
      </c>
      <c r="S136" s="312" t="s">
        <v>1186</v>
      </c>
      <c r="T136" s="312" t="s">
        <v>1186</v>
      </c>
      <c r="U136" s="450" t="s">
        <v>1186</v>
      </c>
      <c r="V136" s="448" t="s">
        <v>1186</v>
      </c>
      <c r="W136" s="327"/>
      <c r="X136" s="260"/>
      <c r="Y136" s="260"/>
      <c r="Z136" s="260"/>
    </row>
    <row r="137" spans="3:26" ht="18" customHeight="1" x14ac:dyDescent="0.3">
      <c r="C137" s="317"/>
      <c r="D137" s="313" t="s">
        <v>242</v>
      </c>
      <c r="E137" s="312" t="s">
        <v>241</v>
      </c>
      <c r="F137" s="316" t="s">
        <v>1295</v>
      </c>
      <c r="G137" s="315">
        <v>0</v>
      </c>
      <c r="H137" s="312" t="s">
        <v>1267</v>
      </c>
      <c r="I137" s="312">
        <v>1</v>
      </c>
      <c r="J137" s="314">
        <v>5</v>
      </c>
      <c r="K137" s="314" t="s">
        <v>1294</v>
      </c>
      <c r="L137" s="313" t="s">
        <v>543</v>
      </c>
      <c r="M137" s="312" t="s">
        <v>242</v>
      </c>
      <c r="N137" s="313" t="s">
        <v>243</v>
      </c>
      <c r="O137" s="312" t="s">
        <v>243</v>
      </c>
      <c r="P137" s="312" t="s">
        <v>1186</v>
      </c>
      <c r="Q137" s="312" t="s">
        <v>1187</v>
      </c>
      <c r="R137" s="269" t="s">
        <v>1186</v>
      </c>
      <c r="S137" s="269" t="s">
        <v>1187</v>
      </c>
      <c r="T137" s="277" t="s">
        <v>1186</v>
      </c>
      <c r="U137" s="438" t="s">
        <v>1187</v>
      </c>
      <c r="V137" s="4" t="s">
        <v>1187</v>
      </c>
      <c r="W137" s="311" t="s">
        <v>1297</v>
      </c>
      <c r="X137" s="260" t="s">
        <v>1296</v>
      </c>
      <c r="Y137" s="260"/>
      <c r="Z137" s="260"/>
    </row>
    <row r="138" spans="3:26" ht="22.2" customHeight="1" x14ac:dyDescent="0.3">
      <c r="C138" s="317"/>
      <c r="D138" s="326" t="s">
        <v>244</v>
      </c>
      <c r="E138" s="269" t="s">
        <v>613</v>
      </c>
      <c r="F138" s="316" t="s">
        <v>1295</v>
      </c>
      <c r="G138" s="315">
        <v>0</v>
      </c>
      <c r="H138" s="312" t="s">
        <v>1267</v>
      </c>
      <c r="I138" s="312">
        <v>1</v>
      </c>
      <c r="J138" s="314">
        <v>1</v>
      </c>
      <c r="K138" s="314" t="s">
        <v>1294</v>
      </c>
      <c r="L138" s="313" t="s">
        <v>545</v>
      </c>
      <c r="M138" s="312" t="s">
        <v>1293</v>
      </c>
      <c r="N138" s="313" t="s">
        <v>244</v>
      </c>
      <c r="O138" s="312" t="s">
        <v>244</v>
      </c>
      <c r="P138" s="312" t="s">
        <v>1186</v>
      </c>
      <c r="Q138" s="312" t="s">
        <v>1186</v>
      </c>
      <c r="R138" s="312" t="s">
        <v>1186</v>
      </c>
      <c r="S138" s="312" t="s">
        <v>1186</v>
      </c>
      <c r="T138" s="312" t="s">
        <v>1186</v>
      </c>
      <c r="U138" s="438" t="s">
        <v>1186</v>
      </c>
      <c r="V138" s="451" t="s">
        <v>1186</v>
      </c>
      <c r="W138" s="311"/>
      <c r="X138" s="260"/>
      <c r="Y138" s="260"/>
      <c r="Z138" s="260"/>
    </row>
    <row r="139" spans="3:26" ht="18" customHeight="1" x14ac:dyDescent="0.3">
      <c r="C139" s="317" t="s">
        <v>34</v>
      </c>
      <c r="D139" s="313" t="s">
        <v>254</v>
      </c>
      <c r="E139" s="312" t="s">
        <v>253</v>
      </c>
      <c r="F139" s="320" t="s">
        <v>1277</v>
      </c>
      <c r="G139" s="319">
        <v>0</v>
      </c>
      <c r="H139" s="312" t="s">
        <v>1267</v>
      </c>
      <c r="I139" s="312">
        <v>1</v>
      </c>
      <c r="J139" s="314">
        <v>24</v>
      </c>
      <c r="K139" s="314" t="s">
        <v>1292</v>
      </c>
      <c r="L139" s="313" t="s">
        <v>458</v>
      </c>
      <c r="M139" s="312" t="s">
        <v>254</v>
      </c>
      <c r="N139" s="313" t="s">
        <v>254</v>
      </c>
      <c r="O139" s="312" t="s">
        <v>254</v>
      </c>
      <c r="P139" s="312" t="s">
        <v>1186</v>
      </c>
      <c r="Q139" s="312" t="s">
        <v>1186</v>
      </c>
      <c r="R139" s="312" t="s">
        <v>1186</v>
      </c>
      <c r="S139" s="312" t="s">
        <v>1186</v>
      </c>
      <c r="T139" s="312" t="s">
        <v>1186</v>
      </c>
      <c r="U139" s="330" t="s">
        <v>1187</v>
      </c>
      <c r="V139" s="4" t="s">
        <v>1187</v>
      </c>
      <c r="W139" s="311"/>
      <c r="X139" s="260"/>
      <c r="Y139" s="260"/>
      <c r="Z139" s="260"/>
    </row>
    <row r="140" spans="3:26" ht="18" customHeight="1" x14ac:dyDescent="0.3">
      <c r="C140" s="317"/>
      <c r="D140" s="313" t="s">
        <v>255</v>
      </c>
      <c r="E140" s="312" t="s">
        <v>253</v>
      </c>
      <c r="F140" s="320" t="s">
        <v>1277</v>
      </c>
      <c r="G140" s="319">
        <v>0</v>
      </c>
      <c r="H140" s="312" t="s">
        <v>1267</v>
      </c>
      <c r="I140" s="312">
        <v>1</v>
      </c>
      <c r="J140" s="314">
        <v>5</v>
      </c>
      <c r="K140" s="314" t="s">
        <v>1290</v>
      </c>
      <c r="L140" s="313" t="s">
        <v>459</v>
      </c>
      <c r="M140" s="312" t="s">
        <v>255</v>
      </c>
      <c r="N140" s="313" t="s">
        <v>255</v>
      </c>
      <c r="O140" s="312" t="s">
        <v>255</v>
      </c>
      <c r="P140" s="312" t="s">
        <v>1186</v>
      </c>
      <c r="Q140" s="312" t="s">
        <v>1186</v>
      </c>
      <c r="R140" s="312" t="s">
        <v>1186</v>
      </c>
      <c r="S140" s="312" t="s">
        <v>1186</v>
      </c>
      <c r="T140" s="312" t="s">
        <v>1186</v>
      </c>
      <c r="U140" s="330" t="s">
        <v>1187</v>
      </c>
      <c r="V140" s="4" t="s">
        <v>1187</v>
      </c>
      <c r="W140" s="311"/>
      <c r="X140" s="260"/>
      <c r="Y140" s="260"/>
      <c r="Z140" s="260"/>
    </row>
    <row r="141" spans="3:26" ht="18" customHeight="1" x14ac:dyDescent="0.3">
      <c r="C141" s="317"/>
      <c r="D141" s="313" t="s">
        <v>256</v>
      </c>
      <c r="E141" s="312" t="s">
        <v>253</v>
      </c>
      <c r="F141" s="320" t="s">
        <v>1277</v>
      </c>
      <c r="G141" s="319">
        <v>0</v>
      </c>
      <c r="H141" s="312" t="s">
        <v>1267</v>
      </c>
      <c r="I141" s="312">
        <v>1</v>
      </c>
      <c r="J141" s="314">
        <v>2</v>
      </c>
      <c r="K141" s="314" t="s">
        <v>1290</v>
      </c>
      <c r="L141" s="313" t="s">
        <v>462</v>
      </c>
      <c r="M141" s="312" t="s">
        <v>1291</v>
      </c>
      <c r="N141" s="313" t="s">
        <v>256</v>
      </c>
      <c r="O141" s="312" t="s">
        <v>256</v>
      </c>
      <c r="P141" s="312" t="s">
        <v>1186</v>
      </c>
      <c r="Q141" s="312" t="s">
        <v>1186</v>
      </c>
      <c r="R141" s="312" t="s">
        <v>1186</v>
      </c>
      <c r="S141" s="312" t="s">
        <v>1186</v>
      </c>
      <c r="T141" s="312" t="s">
        <v>1186</v>
      </c>
      <c r="U141" s="330" t="s">
        <v>1187</v>
      </c>
      <c r="V141" s="4" t="s">
        <v>1187</v>
      </c>
      <c r="W141" s="311"/>
      <c r="X141" s="260"/>
      <c r="Y141" s="260"/>
      <c r="Z141" s="260"/>
    </row>
    <row r="142" spans="3:26" ht="18" customHeight="1" x14ac:dyDescent="0.3">
      <c r="C142" s="317"/>
      <c r="D142" s="313" t="s">
        <v>257</v>
      </c>
      <c r="E142" s="312" t="s">
        <v>253</v>
      </c>
      <c r="F142" s="320" t="s">
        <v>1277</v>
      </c>
      <c r="G142" s="319">
        <v>0</v>
      </c>
      <c r="H142" s="312" t="s">
        <v>1267</v>
      </c>
      <c r="I142" s="312">
        <v>1</v>
      </c>
      <c r="J142" s="314">
        <v>1</v>
      </c>
      <c r="K142" s="314" t="s">
        <v>1290</v>
      </c>
      <c r="L142" s="313" t="s">
        <v>461</v>
      </c>
      <c r="M142" s="312" t="s">
        <v>257</v>
      </c>
      <c r="N142" s="313" t="s">
        <v>257</v>
      </c>
      <c r="O142" s="312" t="s">
        <v>257</v>
      </c>
      <c r="P142" s="312" t="s">
        <v>1186</v>
      </c>
      <c r="Q142" s="312" t="s">
        <v>1186</v>
      </c>
      <c r="R142" s="312" t="s">
        <v>1186</v>
      </c>
      <c r="S142" s="312" t="s">
        <v>1186</v>
      </c>
      <c r="T142" s="312" t="s">
        <v>1186</v>
      </c>
      <c r="U142" s="330" t="s">
        <v>1187</v>
      </c>
      <c r="V142" s="4" t="s">
        <v>1187</v>
      </c>
      <c r="W142" s="311"/>
      <c r="X142" s="260"/>
      <c r="Y142" s="260"/>
      <c r="Z142" s="260"/>
    </row>
    <row r="143" spans="3:26" ht="18" customHeight="1" x14ac:dyDescent="0.3">
      <c r="C143" s="317" t="s">
        <v>36</v>
      </c>
      <c r="D143" s="313" t="s">
        <v>258</v>
      </c>
      <c r="E143" s="312" t="s">
        <v>214</v>
      </c>
      <c r="F143" s="316" t="s">
        <v>1268</v>
      </c>
      <c r="G143" s="319">
        <v>0</v>
      </c>
      <c r="H143" s="312" t="s">
        <v>1267</v>
      </c>
      <c r="I143" s="312">
        <v>1</v>
      </c>
      <c r="J143" s="314">
        <v>8</v>
      </c>
      <c r="K143" s="324" t="s">
        <v>1289</v>
      </c>
      <c r="L143" s="313" t="s">
        <v>463</v>
      </c>
      <c r="M143" s="323" t="s">
        <v>258</v>
      </c>
      <c r="N143" s="318" t="s">
        <v>1275</v>
      </c>
      <c r="O143" s="312" t="s">
        <v>1178</v>
      </c>
      <c r="P143" s="312" t="s">
        <v>1274</v>
      </c>
      <c r="Q143" s="312" t="s">
        <v>1274</v>
      </c>
      <c r="R143" s="312" t="s">
        <v>1274</v>
      </c>
      <c r="S143" s="312" t="s">
        <v>1274</v>
      </c>
      <c r="T143" s="312" t="s">
        <v>1274</v>
      </c>
      <c r="U143" s="440" t="s">
        <v>1187</v>
      </c>
      <c r="V143" s="433" t="s">
        <v>1187</v>
      </c>
      <c r="W143" s="311"/>
      <c r="X143" s="260"/>
      <c r="Y143" s="260"/>
      <c r="Z143" s="260"/>
    </row>
    <row r="144" spans="3:26" ht="18" customHeight="1" x14ac:dyDescent="0.3">
      <c r="C144" s="317"/>
      <c r="D144" s="313" t="s">
        <v>259</v>
      </c>
      <c r="E144" s="312" t="s">
        <v>214</v>
      </c>
      <c r="F144" s="316" t="s">
        <v>1268</v>
      </c>
      <c r="G144" s="319">
        <v>0</v>
      </c>
      <c r="H144" s="312" t="s">
        <v>1267</v>
      </c>
      <c r="I144" s="312">
        <v>1</v>
      </c>
      <c r="J144" s="314">
        <v>8</v>
      </c>
      <c r="K144" s="324" t="s">
        <v>1288</v>
      </c>
      <c r="L144" s="313" t="s">
        <v>464</v>
      </c>
      <c r="M144" s="323" t="s">
        <v>259</v>
      </c>
      <c r="N144" s="318" t="s">
        <v>1275</v>
      </c>
      <c r="O144" s="312" t="s">
        <v>1178</v>
      </c>
      <c r="P144" s="312" t="s">
        <v>1274</v>
      </c>
      <c r="Q144" s="312" t="s">
        <v>1274</v>
      </c>
      <c r="R144" s="312" t="s">
        <v>1274</v>
      </c>
      <c r="S144" s="312" t="s">
        <v>1274</v>
      </c>
      <c r="T144" s="312" t="s">
        <v>1274</v>
      </c>
      <c r="U144" s="440" t="s">
        <v>1187</v>
      </c>
      <c r="V144" s="433" t="s">
        <v>1187</v>
      </c>
      <c r="W144" s="311"/>
      <c r="X144" s="260"/>
      <c r="Y144" s="260"/>
      <c r="Z144" s="260"/>
    </row>
    <row r="145" spans="3:26" ht="18" customHeight="1" x14ac:dyDescent="0.3">
      <c r="C145" s="317"/>
      <c r="D145" s="313" t="s">
        <v>260</v>
      </c>
      <c r="E145" s="312" t="s">
        <v>214</v>
      </c>
      <c r="F145" s="316" t="s">
        <v>1268</v>
      </c>
      <c r="G145" s="319">
        <v>0</v>
      </c>
      <c r="H145" s="312" t="s">
        <v>1267</v>
      </c>
      <c r="I145" s="312">
        <v>1</v>
      </c>
      <c r="J145" s="314">
        <v>8</v>
      </c>
      <c r="K145" s="324" t="s">
        <v>1287</v>
      </c>
      <c r="L145" s="325" t="s">
        <v>465</v>
      </c>
      <c r="M145" s="323" t="s">
        <v>1286</v>
      </c>
      <c r="N145" s="318" t="s">
        <v>1275</v>
      </c>
      <c r="O145" s="312" t="s">
        <v>1178</v>
      </c>
      <c r="P145" s="312" t="s">
        <v>1274</v>
      </c>
      <c r="Q145" s="312" t="s">
        <v>1274</v>
      </c>
      <c r="R145" s="312" t="s">
        <v>1274</v>
      </c>
      <c r="S145" s="312" t="s">
        <v>1274</v>
      </c>
      <c r="T145" s="312" t="s">
        <v>1274</v>
      </c>
      <c r="U145" s="440" t="s">
        <v>1187</v>
      </c>
      <c r="V145" s="433" t="s">
        <v>1187</v>
      </c>
      <c r="W145" s="311"/>
      <c r="X145" s="260"/>
      <c r="Y145" s="260"/>
      <c r="Z145" s="260"/>
    </row>
    <row r="146" spans="3:26" ht="18" customHeight="1" x14ac:dyDescent="0.3">
      <c r="C146" s="317"/>
      <c r="D146" s="313" t="s">
        <v>261</v>
      </c>
      <c r="E146" s="312" t="s">
        <v>214</v>
      </c>
      <c r="F146" s="316" t="s">
        <v>1268</v>
      </c>
      <c r="G146" s="319">
        <v>0</v>
      </c>
      <c r="H146" s="312" t="s">
        <v>1267</v>
      </c>
      <c r="I146" s="312">
        <v>1</v>
      </c>
      <c r="J146" s="314">
        <v>8</v>
      </c>
      <c r="K146" s="324" t="s">
        <v>1285</v>
      </c>
      <c r="L146" s="313" t="s">
        <v>466</v>
      </c>
      <c r="M146" s="323" t="s">
        <v>1284</v>
      </c>
      <c r="N146" s="318" t="s">
        <v>1275</v>
      </c>
      <c r="O146" s="312" t="s">
        <v>1178</v>
      </c>
      <c r="P146" s="312" t="s">
        <v>1274</v>
      </c>
      <c r="Q146" s="312" t="s">
        <v>1274</v>
      </c>
      <c r="R146" s="312" t="s">
        <v>1274</v>
      </c>
      <c r="S146" s="312" t="s">
        <v>1274</v>
      </c>
      <c r="T146" s="312" t="s">
        <v>1274</v>
      </c>
      <c r="U146" s="440" t="s">
        <v>1187</v>
      </c>
      <c r="V146" s="433" t="s">
        <v>1187</v>
      </c>
      <c r="W146" s="311"/>
      <c r="X146" s="260"/>
      <c r="Y146" s="260"/>
      <c r="Z146" s="260"/>
    </row>
    <row r="147" spans="3:26" ht="18" customHeight="1" x14ac:dyDescent="0.3">
      <c r="C147" s="317" t="s">
        <v>246</v>
      </c>
      <c r="D147" s="313" t="s">
        <v>247</v>
      </c>
      <c r="E147" s="312" t="s">
        <v>390</v>
      </c>
      <c r="F147" s="320" t="s">
        <v>1277</v>
      </c>
      <c r="G147" s="319">
        <v>0</v>
      </c>
      <c r="H147" s="312" t="s">
        <v>1267</v>
      </c>
      <c r="I147" s="312">
        <v>1</v>
      </c>
      <c r="J147" s="314">
        <v>16</v>
      </c>
      <c r="K147" s="314" t="s">
        <v>1283</v>
      </c>
      <c r="L147" s="313" t="s">
        <v>467</v>
      </c>
      <c r="M147" s="312" t="s">
        <v>247</v>
      </c>
      <c r="N147" s="318" t="s">
        <v>1275</v>
      </c>
      <c r="O147" s="312" t="s">
        <v>1178</v>
      </c>
      <c r="P147" s="312" t="s">
        <v>1274</v>
      </c>
      <c r="Q147" s="312" t="s">
        <v>1274</v>
      </c>
      <c r="R147" s="312" t="s">
        <v>1274</v>
      </c>
      <c r="S147" s="312" t="s">
        <v>1274</v>
      </c>
      <c r="T147" s="269" t="s">
        <v>1274</v>
      </c>
      <c r="U147" s="440" t="s">
        <v>1187</v>
      </c>
      <c r="V147" s="433" t="s">
        <v>1187</v>
      </c>
      <c r="W147" s="311" t="s">
        <v>1280</v>
      </c>
      <c r="X147" s="260"/>
      <c r="Y147" s="260"/>
      <c r="Z147" s="260"/>
    </row>
    <row r="148" spans="3:26" ht="18" customHeight="1" x14ac:dyDescent="0.3">
      <c r="C148" s="317"/>
      <c r="D148" s="313" t="s">
        <v>248</v>
      </c>
      <c r="E148" s="312" t="s">
        <v>390</v>
      </c>
      <c r="F148" s="320" t="s">
        <v>1277</v>
      </c>
      <c r="G148" s="319">
        <v>0</v>
      </c>
      <c r="H148" s="312" t="s">
        <v>1267</v>
      </c>
      <c r="I148" s="312">
        <v>1</v>
      </c>
      <c r="J148" s="314">
        <v>8</v>
      </c>
      <c r="K148" s="314" t="s">
        <v>1282</v>
      </c>
      <c r="L148" s="313" t="s">
        <v>467</v>
      </c>
      <c r="M148" s="312" t="s">
        <v>248</v>
      </c>
      <c r="N148" s="318" t="s">
        <v>1275</v>
      </c>
      <c r="O148" s="312" t="s">
        <v>1178</v>
      </c>
      <c r="P148" s="312" t="s">
        <v>1274</v>
      </c>
      <c r="Q148" s="312" t="s">
        <v>1274</v>
      </c>
      <c r="R148" s="312" t="s">
        <v>1274</v>
      </c>
      <c r="S148" s="312" t="s">
        <v>1274</v>
      </c>
      <c r="T148" s="269" t="s">
        <v>1274</v>
      </c>
      <c r="U148" s="440" t="s">
        <v>1187</v>
      </c>
      <c r="V148" s="433" t="s">
        <v>1187</v>
      </c>
      <c r="W148" s="311" t="s">
        <v>1280</v>
      </c>
      <c r="X148" s="260"/>
      <c r="Y148" s="260"/>
      <c r="Z148" s="260"/>
    </row>
    <row r="149" spans="3:26" ht="18" customHeight="1" x14ac:dyDescent="0.3">
      <c r="C149" s="317"/>
      <c r="D149" s="313" t="s">
        <v>249</v>
      </c>
      <c r="E149" s="312" t="s">
        <v>205</v>
      </c>
      <c r="F149" s="320" t="s">
        <v>1277</v>
      </c>
      <c r="G149" s="319">
        <v>0</v>
      </c>
      <c r="H149" s="312" t="s">
        <v>1267</v>
      </c>
      <c r="I149" s="312">
        <v>1</v>
      </c>
      <c r="J149" s="314">
        <v>8</v>
      </c>
      <c r="K149" s="314" t="s">
        <v>1281</v>
      </c>
      <c r="L149" s="313" t="s">
        <v>468</v>
      </c>
      <c r="M149" s="312" t="s">
        <v>249</v>
      </c>
      <c r="N149" s="318" t="s">
        <v>1275</v>
      </c>
      <c r="O149" s="312" t="s">
        <v>1178</v>
      </c>
      <c r="P149" s="312" t="s">
        <v>1274</v>
      </c>
      <c r="Q149" s="312" t="s">
        <v>1274</v>
      </c>
      <c r="R149" s="312" t="s">
        <v>1274</v>
      </c>
      <c r="S149" s="312" t="s">
        <v>1274</v>
      </c>
      <c r="T149" s="269" t="s">
        <v>1274</v>
      </c>
      <c r="U149" s="440" t="s">
        <v>1187</v>
      </c>
      <c r="V149" s="433" t="s">
        <v>1187</v>
      </c>
      <c r="W149" s="311" t="s">
        <v>1280</v>
      </c>
      <c r="X149" s="260"/>
      <c r="Y149" s="260"/>
      <c r="Z149" s="260"/>
    </row>
    <row r="150" spans="3:26" ht="18" customHeight="1" x14ac:dyDescent="0.3">
      <c r="C150" s="321" t="s">
        <v>250</v>
      </c>
      <c r="D150" s="313" t="s">
        <v>250</v>
      </c>
      <c r="E150" s="312" t="s">
        <v>390</v>
      </c>
      <c r="F150" s="320" t="s">
        <v>1277</v>
      </c>
      <c r="G150" s="319">
        <v>0</v>
      </c>
      <c r="H150" s="312" t="s">
        <v>1267</v>
      </c>
      <c r="I150" s="312">
        <v>1</v>
      </c>
      <c r="J150" s="314">
        <v>32</v>
      </c>
      <c r="K150" s="314" t="s">
        <v>1279</v>
      </c>
      <c r="L150" s="313" t="s">
        <v>469</v>
      </c>
      <c r="M150" s="312" t="s">
        <v>250</v>
      </c>
      <c r="N150" s="318" t="s">
        <v>1275</v>
      </c>
      <c r="O150" s="312" t="s">
        <v>1178</v>
      </c>
      <c r="P150" s="312" t="s">
        <v>1274</v>
      </c>
      <c r="Q150" s="312" t="s">
        <v>1274</v>
      </c>
      <c r="R150" s="312" t="s">
        <v>1274</v>
      </c>
      <c r="S150" s="312" t="s">
        <v>1274</v>
      </c>
      <c r="T150" s="312" t="s">
        <v>1274</v>
      </c>
      <c r="U150" s="440" t="s">
        <v>1187</v>
      </c>
      <c r="V150" s="433" t="s">
        <v>1187</v>
      </c>
      <c r="W150" s="311"/>
      <c r="X150" s="260"/>
      <c r="Y150" s="260"/>
      <c r="Z150" s="260"/>
    </row>
    <row r="151" spans="3:26" ht="18" customHeight="1" x14ac:dyDescent="0.3">
      <c r="C151" s="321" t="s">
        <v>251</v>
      </c>
      <c r="D151" s="313" t="s">
        <v>251</v>
      </c>
      <c r="E151" s="312" t="s">
        <v>390</v>
      </c>
      <c r="F151" s="320" t="s">
        <v>1277</v>
      </c>
      <c r="G151" s="322">
        <v>0</v>
      </c>
      <c r="H151" s="312" t="s">
        <v>1267</v>
      </c>
      <c r="I151" s="312">
        <v>1</v>
      </c>
      <c r="J151" s="314">
        <v>32</v>
      </c>
      <c r="K151" s="314" t="s">
        <v>1278</v>
      </c>
      <c r="L151" s="313" t="s">
        <v>470</v>
      </c>
      <c r="M151" s="312" t="s">
        <v>251</v>
      </c>
      <c r="N151" s="318" t="s">
        <v>1275</v>
      </c>
      <c r="O151" s="312" t="s">
        <v>1178</v>
      </c>
      <c r="P151" s="312" t="s">
        <v>1274</v>
      </c>
      <c r="Q151" s="312" t="s">
        <v>1274</v>
      </c>
      <c r="R151" s="312" t="s">
        <v>1274</v>
      </c>
      <c r="S151" s="312" t="s">
        <v>1274</v>
      </c>
      <c r="T151" s="312" t="s">
        <v>1274</v>
      </c>
      <c r="U151" s="440" t="s">
        <v>1187</v>
      </c>
      <c r="V151" s="433" t="s">
        <v>1187</v>
      </c>
      <c r="W151" s="311"/>
      <c r="X151" s="260"/>
      <c r="Y151" s="260"/>
      <c r="Z151" s="260"/>
    </row>
    <row r="152" spans="3:26" ht="18" customHeight="1" x14ac:dyDescent="0.3">
      <c r="C152" s="321" t="s">
        <v>252</v>
      </c>
      <c r="D152" s="313" t="s">
        <v>252</v>
      </c>
      <c r="E152" s="312" t="s">
        <v>390</v>
      </c>
      <c r="F152" s="320" t="s">
        <v>1277</v>
      </c>
      <c r="G152" s="319">
        <v>0</v>
      </c>
      <c r="H152" s="312" t="s">
        <v>1267</v>
      </c>
      <c r="I152" s="312">
        <v>1</v>
      </c>
      <c r="J152" s="314">
        <v>32</v>
      </c>
      <c r="K152" s="314" t="s">
        <v>1276</v>
      </c>
      <c r="L152" s="313" t="s">
        <v>471</v>
      </c>
      <c r="M152" s="312" t="s">
        <v>252</v>
      </c>
      <c r="N152" s="318" t="s">
        <v>1275</v>
      </c>
      <c r="O152" s="312" t="s">
        <v>1178</v>
      </c>
      <c r="P152" s="312" t="s">
        <v>1274</v>
      </c>
      <c r="Q152" s="312" t="s">
        <v>1274</v>
      </c>
      <c r="R152" s="312" t="s">
        <v>1274</v>
      </c>
      <c r="S152" s="312" t="s">
        <v>1274</v>
      </c>
      <c r="T152" s="312" t="s">
        <v>1274</v>
      </c>
      <c r="U152" s="440" t="s">
        <v>1187</v>
      </c>
      <c r="V152" s="433" t="s">
        <v>1187</v>
      </c>
      <c r="W152" s="311"/>
      <c r="X152" s="260"/>
      <c r="Y152" s="260"/>
      <c r="Z152" s="260"/>
    </row>
    <row r="153" spans="3:26" ht="14.4" customHeight="1" x14ac:dyDescent="0.3">
      <c r="C153" s="317" t="s">
        <v>38</v>
      </c>
      <c r="D153" s="313" t="s">
        <v>262</v>
      </c>
      <c r="E153" s="312" t="s">
        <v>613</v>
      </c>
      <c r="F153" s="316" t="s">
        <v>1268</v>
      </c>
      <c r="G153" s="315" t="s">
        <v>51</v>
      </c>
      <c r="H153" s="312" t="s">
        <v>1267</v>
      </c>
      <c r="I153" s="312">
        <v>1</v>
      </c>
      <c r="J153" s="314">
        <v>16</v>
      </c>
      <c r="K153" s="314" t="s">
        <v>1273</v>
      </c>
      <c r="L153" s="313" t="s">
        <v>472</v>
      </c>
      <c r="M153" s="312" t="s">
        <v>1272</v>
      </c>
      <c r="N153" s="313" t="s">
        <v>262</v>
      </c>
      <c r="O153" s="312" t="s">
        <v>262</v>
      </c>
      <c r="P153" s="312" t="s">
        <v>1186</v>
      </c>
      <c r="Q153" s="312" t="s">
        <v>1186</v>
      </c>
      <c r="R153" s="312" t="s">
        <v>1186</v>
      </c>
      <c r="S153" s="312" t="s">
        <v>1186</v>
      </c>
      <c r="T153" s="312" t="s">
        <v>1186</v>
      </c>
      <c r="U153" s="440" t="s">
        <v>1186</v>
      </c>
      <c r="V153" s="433" t="s">
        <v>1186</v>
      </c>
      <c r="W153" s="311"/>
      <c r="X153" s="260"/>
      <c r="Y153" s="260"/>
      <c r="Z153" s="260"/>
    </row>
    <row r="154" spans="3:26" ht="27" customHeight="1" x14ac:dyDescent="0.3">
      <c r="C154" s="317"/>
      <c r="D154" s="313" t="s">
        <v>263</v>
      </c>
      <c r="E154" s="312" t="s">
        <v>613</v>
      </c>
      <c r="F154" s="316" t="s">
        <v>1268</v>
      </c>
      <c r="G154" s="315" t="s">
        <v>1086</v>
      </c>
      <c r="H154" s="312" t="s">
        <v>1267</v>
      </c>
      <c r="I154" s="312">
        <v>1</v>
      </c>
      <c r="J154" s="314">
        <v>8</v>
      </c>
      <c r="K154" s="314" t="s">
        <v>1271</v>
      </c>
      <c r="L154" s="313" t="s">
        <v>473</v>
      </c>
      <c r="M154" s="312" t="s">
        <v>1270</v>
      </c>
      <c r="N154" s="313" t="s">
        <v>263</v>
      </c>
      <c r="O154" s="312" t="s">
        <v>263</v>
      </c>
      <c r="P154" s="312" t="s">
        <v>1186</v>
      </c>
      <c r="Q154" s="312" t="s">
        <v>1186</v>
      </c>
      <c r="R154" s="312" t="s">
        <v>1186</v>
      </c>
      <c r="S154" s="312" t="s">
        <v>1186</v>
      </c>
      <c r="T154" s="312" t="s">
        <v>1186</v>
      </c>
      <c r="U154" s="440" t="s">
        <v>1186</v>
      </c>
      <c r="V154" s="433" t="s">
        <v>1186</v>
      </c>
      <c r="W154" s="311"/>
      <c r="X154" s="260"/>
      <c r="Y154" s="260"/>
      <c r="Z154" s="260"/>
    </row>
    <row r="155" spans="3:26" ht="38.4" customHeight="1" x14ac:dyDescent="0.3">
      <c r="C155" s="317"/>
      <c r="D155" s="313" t="s">
        <v>264</v>
      </c>
      <c r="E155" s="312" t="s">
        <v>613</v>
      </c>
      <c r="F155" s="316" t="s">
        <v>1268</v>
      </c>
      <c r="G155" s="315" t="s">
        <v>1086</v>
      </c>
      <c r="H155" s="312" t="s">
        <v>1267</v>
      </c>
      <c r="I155" s="312">
        <v>1</v>
      </c>
      <c r="J155" s="314">
        <v>4</v>
      </c>
      <c r="K155" s="314" t="s">
        <v>1266</v>
      </c>
      <c r="L155" s="313" t="s">
        <v>474</v>
      </c>
      <c r="M155" s="312" t="s">
        <v>1269</v>
      </c>
      <c r="N155" s="313" t="s">
        <v>264</v>
      </c>
      <c r="O155" s="312" t="s">
        <v>264</v>
      </c>
      <c r="P155" s="312" t="s">
        <v>1186</v>
      </c>
      <c r="Q155" s="312" t="s">
        <v>1186</v>
      </c>
      <c r="R155" s="312" t="s">
        <v>1186</v>
      </c>
      <c r="S155" s="312" t="s">
        <v>1186</v>
      </c>
      <c r="T155" s="312" t="s">
        <v>1186</v>
      </c>
      <c r="U155" s="440" t="s">
        <v>1186</v>
      </c>
      <c r="V155" s="433" t="s">
        <v>1186</v>
      </c>
      <c r="W155" s="311"/>
      <c r="X155" s="260"/>
      <c r="Y155" s="260"/>
      <c r="Z155" s="260"/>
    </row>
    <row r="156" spans="3:26" ht="66" customHeight="1" thickBot="1" x14ac:dyDescent="0.35">
      <c r="C156" s="317"/>
      <c r="D156" s="313" t="s">
        <v>265</v>
      </c>
      <c r="E156" s="312" t="s">
        <v>613</v>
      </c>
      <c r="F156" s="316" t="s">
        <v>1268</v>
      </c>
      <c r="G156" s="315" t="s">
        <v>1087</v>
      </c>
      <c r="H156" s="312" t="s">
        <v>1267</v>
      </c>
      <c r="I156" s="312">
        <v>1</v>
      </c>
      <c r="J156" s="314">
        <v>4</v>
      </c>
      <c r="K156" s="314" t="s">
        <v>1266</v>
      </c>
      <c r="L156" s="313" t="s">
        <v>473</v>
      </c>
      <c r="M156" s="312" t="s">
        <v>1265</v>
      </c>
      <c r="N156" s="313" t="s">
        <v>265</v>
      </c>
      <c r="O156" s="312" t="s">
        <v>265</v>
      </c>
      <c r="P156" s="312" t="s">
        <v>1186</v>
      </c>
      <c r="Q156" s="312" t="s">
        <v>1186</v>
      </c>
      <c r="R156" s="312" t="s">
        <v>1186</v>
      </c>
      <c r="S156" s="312" t="s">
        <v>1186</v>
      </c>
      <c r="T156" s="312" t="s">
        <v>1186</v>
      </c>
      <c r="U156" s="440" t="s">
        <v>1186</v>
      </c>
      <c r="V156" s="433" t="s">
        <v>1186</v>
      </c>
      <c r="W156" s="311"/>
      <c r="X156" s="260"/>
      <c r="Y156" s="260"/>
      <c r="Z156" s="260"/>
    </row>
    <row r="157" spans="3:26" ht="18" customHeight="1" x14ac:dyDescent="0.3">
      <c r="C157" s="307" t="s">
        <v>9</v>
      </c>
      <c r="D157" s="302" t="s">
        <v>395</v>
      </c>
      <c r="E157" s="305" t="s">
        <v>395</v>
      </c>
      <c r="F157" s="306" t="s">
        <v>551</v>
      </c>
      <c r="G157" s="306">
        <v>0</v>
      </c>
      <c r="H157" s="306" t="s">
        <v>1245</v>
      </c>
      <c r="I157" s="305">
        <v>3</v>
      </c>
      <c r="J157" s="304">
        <v>512</v>
      </c>
      <c r="K157" s="304" t="s">
        <v>1264</v>
      </c>
      <c r="L157" s="310" t="s">
        <v>512</v>
      </c>
      <c r="M157" s="305" t="s">
        <v>1263</v>
      </c>
      <c r="N157" s="302" t="s">
        <v>395</v>
      </c>
      <c r="O157" s="305" t="s">
        <v>395</v>
      </c>
      <c r="P157" s="305">
        <v>512</v>
      </c>
      <c r="Q157" s="305">
        <v>512</v>
      </c>
      <c r="R157" s="305">
        <v>512</v>
      </c>
      <c r="S157" s="305">
        <v>512</v>
      </c>
      <c r="T157" s="305">
        <v>512</v>
      </c>
      <c r="U157" s="306">
        <v>512</v>
      </c>
      <c r="V157" s="305">
        <v>512</v>
      </c>
      <c r="W157" s="299"/>
      <c r="X157" s="260" t="s">
        <v>1262</v>
      </c>
      <c r="Y157" s="260"/>
      <c r="Z157" s="260"/>
    </row>
    <row r="158" spans="3:26" ht="18" customHeight="1" x14ac:dyDescent="0.3">
      <c r="C158" s="307"/>
      <c r="D158" s="302" t="s">
        <v>396</v>
      </c>
      <c r="E158" s="305" t="s">
        <v>396</v>
      </c>
      <c r="F158" s="306" t="s">
        <v>551</v>
      </c>
      <c r="G158" s="306">
        <v>0</v>
      </c>
      <c r="H158" s="306" t="s">
        <v>1245</v>
      </c>
      <c r="I158" s="305">
        <v>3</v>
      </c>
      <c r="J158" s="304">
        <v>32</v>
      </c>
      <c r="K158" s="309" t="s">
        <v>1261</v>
      </c>
      <c r="L158" s="308" t="s">
        <v>513</v>
      </c>
      <c r="M158" s="301" t="s">
        <v>1260</v>
      </c>
      <c r="N158" s="300" t="s">
        <v>1259</v>
      </c>
      <c r="O158" s="305" t="s">
        <v>1259</v>
      </c>
      <c r="P158" s="305">
        <v>32</v>
      </c>
      <c r="Q158" s="305">
        <v>32</v>
      </c>
      <c r="R158" s="305">
        <v>32</v>
      </c>
      <c r="S158" s="305">
        <v>32</v>
      </c>
      <c r="T158" s="305">
        <v>32</v>
      </c>
      <c r="U158" s="306">
        <v>32</v>
      </c>
      <c r="V158" s="305">
        <v>32</v>
      </c>
      <c r="W158" s="299"/>
      <c r="X158" s="260" t="s">
        <v>1254</v>
      </c>
      <c r="Y158" s="260"/>
      <c r="Z158" s="260"/>
    </row>
    <row r="159" spans="3:26" ht="18" customHeight="1" x14ac:dyDescent="0.3">
      <c r="C159" s="307"/>
      <c r="D159" s="302" t="s">
        <v>397</v>
      </c>
      <c r="E159" s="305" t="s">
        <v>397</v>
      </c>
      <c r="F159" s="305" t="s">
        <v>15</v>
      </c>
      <c r="G159" s="306">
        <v>0</v>
      </c>
      <c r="H159" s="306" t="s">
        <v>1245</v>
      </c>
      <c r="I159" s="305">
        <v>3</v>
      </c>
      <c r="J159" s="304">
        <v>256</v>
      </c>
      <c r="K159" s="309" t="s">
        <v>1258</v>
      </c>
      <c r="L159" s="308" t="s">
        <v>514</v>
      </c>
      <c r="M159" s="301" t="s">
        <v>1257</v>
      </c>
      <c r="N159" s="300" t="s">
        <v>397</v>
      </c>
      <c r="O159" s="305" t="s">
        <v>397</v>
      </c>
      <c r="P159" s="305">
        <v>256</v>
      </c>
      <c r="Q159" s="305">
        <v>256</v>
      </c>
      <c r="R159" s="305">
        <v>256</v>
      </c>
      <c r="S159" s="305">
        <v>256</v>
      </c>
      <c r="T159" s="305">
        <v>256</v>
      </c>
      <c r="U159" s="306">
        <v>256</v>
      </c>
      <c r="V159" s="305">
        <v>256</v>
      </c>
      <c r="W159" s="299"/>
      <c r="X159" s="260" t="s">
        <v>1254</v>
      </c>
      <c r="Y159" s="260"/>
      <c r="Z159" s="260"/>
    </row>
    <row r="160" spans="3:26" ht="18" customHeight="1" x14ac:dyDescent="0.3">
      <c r="C160" s="307"/>
      <c r="D160" s="302" t="s">
        <v>398</v>
      </c>
      <c r="E160" s="305" t="s">
        <v>398</v>
      </c>
      <c r="F160" s="305" t="s">
        <v>15</v>
      </c>
      <c r="G160" s="306">
        <v>0</v>
      </c>
      <c r="H160" s="306" t="s">
        <v>1245</v>
      </c>
      <c r="I160" s="305">
        <v>3</v>
      </c>
      <c r="J160" s="304">
        <v>256</v>
      </c>
      <c r="K160" s="304" t="s">
        <v>1256</v>
      </c>
      <c r="L160" s="308" t="s">
        <v>517</v>
      </c>
      <c r="M160" s="305" t="s">
        <v>1178</v>
      </c>
      <c r="N160" s="302" t="s">
        <v>398</v>
      </c>
      <c r="O160" s="302" t="s">
        <v>398</v>
      </c>
      <c r="P160" s="306" t="s">
        <v>1187</v>
      </c>
      <c r="Q160" s="302" t="s">
        <v>1187</v>
      </c>
      <c r="R160" s="305">
        <v>256</v>
      </c>
      <c r="S160" s="305">
        <v>256</v>
      </c>
      <c r="T160" s="305">
        <v>256</v>
      </c>
      <c r="U160" s="306">
        <v>256</v>
      </c>
      <c r="V160" s="305">
        <v>0</v>
      </c>
      <c r="W160" s="299"/>
      <c r="X160" s="260" t="s">
        <v>1254</v>
      </c>
      <c r="Y160" s="260"/>
      <c r="Z160" s="260" t="s">
        <v>1255</v>
      </c>
    </row>
    <row r="161" spans="3:26" ht="18" customHeight="1" x14ac:dyDescent="0.3">
      <c r="C161" s="307"/>
      <c r="D161" s="302" t="s">
        <v>422</v>
      </c>
      <c r="E161" s="305" t="s">
        <v>422</v>
      </c>
      <c r="F161" s="306" t="s">
        <v>551</v>
      </c>
      <c r="G161" s="306">
        <v>0</v>
      </c>
      <c r="H161" s="306" t="s">
        <v>1245</v>
      </c>
      <c r="I161" s="305">
        <v>3</v>
      </c>
      <c r="J161" s="304">
        <v>0</v>
      </c>
      <c r="K161" s="302"/>
      <c r="L161" s="303" t="s">
        <v>518</v>
      </c>
      <c r="M161" s="302"/>
      <c r="N161" s="302"/>
      <c r="O161" s="302" t="s">
        <v>1178</v>
      </c>
      <c r="P161" s="301" t="s">
        <v>1186</v>
      </c>
      <c r="Q161" s="300" t="s">
        <v>1186</v>
      </c>
      <c r="R161" s="300" t="s">
        <v>1186</v>
      </c>
      <c r="S161" s="300" t="s">
        <v>1186</v>
      </c>
      <c r="T161" s="300" t="s">
        <v>1186</v>
      </c>
      <c r="U161" s="441" t="s">
        <v>1186</v>
      </c>
      <c r="V161" s="300" t="s">
        <v>1186</v>
      </c>
      <c r="W161" s="299"/>
      <c r="X161" s="260" t="s">
        <v>1254</v>
      </c>
      <c r="Y161" s="260"/>
      <c r="Z161" s="260"/>
    </row>
    <row r="162" spans="3:26" ht="18" customHeight="1" x14ac:dyDescent="0.3">
      <c r="C162" s="294" t="s">
        <v>885</v>
      </c>
      <c r="D162" s="291" t="s">
        <v>16</v>
      </c>
      <c r="E162" s="291" t="s">
        <v>16</v>
      </c>
      <c r="F162" s="291" t="s">
        <v>17</v>
      </c>
      <c r="G162" s="291">
        <v>0</v>
      </c>
      <c r="H162" s="291" t="s">
        <v>1245</v>
      </c>
      <c r="I162" s="291">
        <v>2</v>
      </c>
      <c r="J162" s="293">
        <v>768</v>
      </c>
      <c r="K162" s="298" t="s">
        <v>563</v>
      </c>
      <c r="L162" s="289" t="s">
        <v>835</v>
      </c>
      <c r="M162" s="289" t="s">
        <v>1178</v>
      </c>
      <c r="N162" s="289" t="s">
        <v>16</v>
      </c>
      <c r="O162" s="291" t="s">
        <v>16</v>
      </c>
      <c r="P162" s="291">
        <v>768</v>
      </c>
      <c r="Q162" s="291">
        <v>768</v>
      </c>
      <c r="R162" s="291">
        <v>768</v>
      </c>
      <c r="S162" s="291">
        <v>768</v>
      </c>
      <c r="T162" s="291">
        <v>768</v>
      </c>
      <c r="U162" s="297">
        <v>768</v>
      </c>
      <c r="V162" s="291">
        <v>768</v>
      </c>
      <c r="W162" s="288" t="s">
        <v>1251</v>
      </c>
      <c r="X162" s="260" t="s">
        <v>1253</v>
      </c>
      <c r="Y162" s="260"/>
      <c r="Z162" s="260"/>
    </row>
    <row r="163" spans="3:26" ht="18" customHeight="1" x14ac:dyDescent="0.3">
      <c r="C163" s="294"/>
      <c r="D163" s="291" t="s">
        <v>399</v>
      </c>
      <c r="E163" s="291" t="s">
        <v>399</v>
      </c>
      <c r="F163" s="291" t="s">
        <v>1621</v>
      </c>
      <c r="G163" s="291">
        <v>0</v>
      </c>
      <c r="H163" s="291" t="s">
        <v>1245</v>
      </c>
      <c r="I163" s="291">
        <v>2</v>
      </c>
      <c r="J163" s="293">
        <v>160</v>
      </c>
      <c r="K163" s="293" t="s">
        <v>1252</v>
      </c>
      <c r="L163" s="291" t="s">
        <v>520</v>
      </c>
      <c r="M163" s="291" t="s">
        <v>1178</v>
      </c>
      <c r="N163" s="291" t="s">
        <v>399</v>
      </c>
      <c r="O163" s="290" t="s">
        <v>399</v>
      </c>
      <c r="P163" s="291">
        <v>160</v>
      </c>
      <c r="Q163" s="291">
        <v>160</v>
      </c>
      <c r="R163" s="291">
        <v>160</v>
      </c>
      <c r="S163" s="291">
        <v>160</v>
      </c>
      <c r="T163" s="291">
        <v>160</v>
      </c>
      <c r="U163" s="297">
        <v>160</v>
      </c>
      <c r="V163" s="291">
        <v>192</v>
      </c>
      <c r="W163" s="288" t="s">
        <v>1251</v>
      </c>
      <c r="X163" s="260" t="s">
        <v>1250</v>
      </c>
      <c r="Y163" s="260"/>
      <c r="Z163" s="260"/>
    </row>
    <row r="164" spans="3:26" ht="35.4" customHeight="1" x14ac:dyDescent="0.3">
      <c r="C164" s="294"/>
      <c r="D164" s="291" t="s">
        <v>22</v>
      </c>
      <c r="E164" s="291" t="s">
        <v>22</v>
      </c>
      <c r="F164" s="291" t="s">
        <v>1620</v>
      </c>
      <c r="G164" s="291">
        <v>0</v>
      </c>
      <c r="H164" s="291" t="s">
        <v>1245</v>
      </c>
      <c r="I164" s="291">
        <v>2</v>
      </c>
      <c r="J164" s="293">
        <v>32</v>
      </c>
      <c r="K164" s="298" t="s">
        <v>1249</v>
      </c>
      <c r="L164" s="297" t="s">
        <v>515</v>
      </c>
      <c r="M164" s="289"/>
      <c r="N164" s="289" t="s">
        <v>22</v>
      </c>
      <c r="O164" s="290" t="s">
        <v>22</v>
      </c>
      <c r="P164" s="291">
        <v>32</v>
      </c>
      <c r="Q164" s="291">
        <v>32</v>
      </c>
      <c r="R164" s="291">
        <v>32</v>
      </c>
      <c r="S164" s="291">
        <v>32</v>
      </c>
      <c r="T164" s="291">
        <v>32</v>
      </c>
      <c r="U164" s="297">
        <v>32</v>
      </c>
      <c r="V164" s="291">
        <v>32</v>
      </c>
      <c r="W164" s="288"/>
      <c r="X164" s="260"/>
      <c r="Y164" s="260"/>
      <c r="Z164" s="260"/>
    </row>
    <row r="165" spans="3:26" ht="18" customHeight="1" x14ac:dyDescent="0.3">
      <c r="C165" s="294"/>
      <c r="D165" s="291" t="s">
        <v>884</v>
      </c>
      <c r="E165" s="291" t="s">
        <v>884</v>
      </c>
      <c r="F165" s="291" t="s">
        <v>17</v>
      </c>
      <c r="G165" s="291">
        <v>0</v>
      </c>
      <c r="H165" s="291" t="s">
        <v>1245</v>
      </c>
      <c r="I165" s="291">
        <v>2</v>
      </c>
      <c r="J165" s="293">
        <v>320</v>
      </c>
      <c r="K165" s="293" t="s">
        <v>1248</v>
      </c>
      <c r="L165" s="296" t="s">
        <v>1247</v>
      </c>
      <c r="M165" s="291" t="s">
        <v>1178</v>
      </c>
      <c r="N165" s="291" t="s">
        <v>884</v>
      </c>
      <c r="O165" s="290" t="s">
        <v>884</v>
      </c>
      <c r="P165" s="291">
        <v>320</v>
      </c>
      <c r="Q165" s="291">
        <v>320</v>
      </c>
      <c r="R165" s="291">
        <v>320</v>
      </c>
      <c r="S165" s="291">
        <v>320</v>
      </c>
      <c r="T165" s="291">
        <v>320</v>
      </c>
      <c r="U165" s="297">
        <v>320</v>
      </c>
      <c r="V165" s="291">
        <v>0</v>
      </c>
      <c r="W165" s="288"/>
      <c r="X165" s="260"/>
      <c r="Y165" s="260"/>
      <c r="Z165" s="260"/>
    </row>
    <row r="166" spans="3:26" ht="18" customHeight="1" x14ac:dyDescent="0.3">
      <c r="C166" s="294"/>
      <c r="D166" s="291" t="s">
        <v>21</v>
      </c>
      <c r="E166" s="291" t="s">
        <v>21</v>
      </c>
      <c r="F166" s="291" t="s">
        <v>17</v>
      </c>
      <c r="G166" s="291">
        <v>0</v>
      </c>
      <c r="H166" s="291" t="s">
        <v>1245</v>
      </c>
      <c r="I166" s="291">
        <v>2</v>
      </c>
      <c r="J166" s="293">
        <v>6400</v>
      </c>
      <c r="K166" s="293" t="s">
        <v>1246</v>
      </c>
      <c r="L166" s="295" t="s">
        <v>516</v>
      </c>
      <c r="M166" s="291" t="s">
        <v>21</v>
      </c>
      <c r="N166" s="290" t="s">
        <v>1178</v>
      </c>
      <c r="O166" s="290" t="s">
        <v>1178</v>
      </c>
      <c r="P166" s="291">
        <v>6400</v>
      </c>
      <c r="Q166" s="290" t="s">
        <v>1187</v>
      </c>
      <c r="R166" s="290" t="s">
        <v>1187</v>
      </c>
      <c r="S166" s="290" t="s">
        <v>1187</v>
      </c>
      <c r="T166" s="290" t="s">
        <v>1187</v>
      </c>
      <c r="U166" s="442" t="s">
        <v>1187</v>
      </c>
      <c r="V166" s="290" t="s">
        <v>1187</v>
      </c>
      <c r="W166" s="288"/>
      <c r="X166" s="260"/>
      <c r="Y166" s="260"/>
      <c r="Z166" s="260"/>
    </row>
    <row r="167" spans="3:26" ht="18" customHeight="1" thickBot="1" x14ac:dyDescent="0.35">
      <c r="C167" s="294"/>
      <c r="D167" s="291" t="s">
        <v>423</v>
      </c>
      <c r="E167" s="291" t="s">
        <v>423</v>
      </c>
      <c r="F167" s="291" t="s">
        <v>17</v>
      </c>
      <c r="G167" s="291">
        <v>0</v>
      </c>
      <c r="H167" s="291" t="s">
        <v>1245</v>
      </c>
      <c r="I167" s="291">
        <v>2</v>
      </c>
      <c r="J167" s="293">
        <v>0</v>
      </c>
      <c r="K167" s="290"/>
      <c r="L167" s="292" t="s">
        <v>519</v>
      </c>
      <c r="M167" s="291" t="s">
        <v>1178</v>
      </c>
      <c r="N167" s="290" t="s">
        <v>1244</v>
      </c>
      <c r="O167" s="290" t="s">
        <v>1178</v>
      </c>
      <c r="P167" s="289" t="s">
        <v>1187</v>
      </c>
      <c r="Q167" s="289" t="s">
        <v>1187</v>
      </c>
      <c r="R167" s="289" t="s">
        <v>1187</v>
      </c>
      <c r="S167" s="289" t="s">
        <v>1187</v>
      </c>
      <c r="T167" s="289" t="s">
        <v>1187</v>
      </c>
      <c r="U167" s="297" t="s">
        <v>1187</v>
      </c>
      <c r="V167" s="297" t="s">
        <v>1187</v>
      </c>
      <c r="W167" s="288"/>
      <c r="X167" s="260"/>
      <c r="Y167" s="260"/>
      <c r="Z167" s="260" t="s">
        <v>1243</v>
      </c>
    </row>
    <row r="168" spans="3:26" ht="18" customHeight="1" x14ac:dyDescent="0.3">
      <c r="C168" s="275" t="s">
        <v>42</v>
      </c>
      <c r="D168" s="270" t="s">
        <v>1126</v>
      </c>
      <c r="E168" s="270" t="s">
        <v>614</v>
      </c>
      <c r="F168" s="270" t="s">
        <v>15</v>
      </c>
      <c r="G168" s="270">
        <v>0</v>
      </c>
      <c r="H168" s="270" t="s">
        <v>1189</v>
      </c>
      <c r="I168" s="270">
        <v>4</v>
      </c>
      <c r="J168" s="274">
        <v>1</v>
      </c>
      <c r="K168" s="273" t="s">
        <v>1232</v>
      </c>
      <c r="L168" s="272" t="s">
        <v>475</v>
      </c>
      <c r="M168" s="270" t="s">
        <v>1242</v>
      </c>
      <c r="N168" s="270" t="s">
        <v>1241</v>
      </c>
      <c r="O168" s="270" t="s">
        <v>1241</v>
      </c>
      <c r="P168" s="270" t="s">
        <v>1186</v>
      </c>
      <c r="Q168" s="270" t="s">
        <v>1186</v>
      </c>
      <c r="R168" s="270" t="s">
        <v>1186</v>
      </c>
      <c r="S168" s="270" t="s">
        <v>1186</v>
      </c>
      <c r="T168" s="270" t="s">
        <v>1186</v>
      </c>
      <c r="U168" s="443" t="s">
        <v>1186</v>
      </c>
      <c r="V168" s="434" t="s">
        <v>1187</v>
      </c>
      <c r="W168" s="281"/>
      <c r="X168" s="260"/>
      <c r="Y168" s="260"/>
      <c r="Z168" s="260"/>
    </row>
    <row r="169" spans="3:26" ht="18" customHeight="1" x14ac:dyDescent="0.3">
      <c r="C169" s="275"/>
      <c r="D169" s="270" t="s">
        <v>267</v>
      </c>
      <c r="E169" s="270" t="s">
        <v>614</v>
      </c>
      <c r="F169" s="270" t="s">
        <v>15</v>
      </c>
      <c r="G169" s="270">
        <v>0</v>
      </c>
      <c r="H169" s="270" t="s">
        <v>1189</v>
      </c>
      <c r="I169" s="270">
        <v>4</v>
      </c>
      <c r="J169" s="274">
        <v>1</v>
      </c>
      <c r="K169" s="273" t="s">
        <v>1232</v>
      </c>
      <c r="L169" s="272" t="s">
        <v>476</v>
      </c>
      <c r="M169" s="270" t="s">
        <v>267</v>
      </c>
      <c r="N169" s="270" t="s">
        <v>267</v>
      </c>
      <c r="O169" s="270" t="s">
        <v>267</v>
      </c>
      <c r="P169" s="270" t="s">
        <v>1186</v>
      </c>
      <c r="Q169" s="270" t="s">
        <v>1186</v>
      </c>
      <c r="R169" s="270" t="s">
        <v>1186</v>
      </c>
      <c r="S169" s="270" t="s">
        <v>1186</v>
      </c>
      <c r="T169" s="270" t="s">
        <v>1186</v>
      </c>
      <c r="U169" s="443" t="s">
        <v>1186</v>
      </c>
      <c r="V169" s="434" t="s">
        <v>1187</v>
      </c>
      <c r="W169" s="281"/>
      <c r="X169" s="260"/>
      <c r="Y169" s="260"/>
      <c r="Z169" s="260"/>
    </row>
    <row r="170" spans="3:26" ht="18" customHeight="1" x14ac:dyDescent="0.3">
      <c r="C170" s="275"/>
      <c r="D170" s="270" t="s">
        <v>269</v>
      </c>
      <c r="E170" s="270" t="s">
        <v>614</v>
      </c>
      <c r="F170" s="270" t="s">
        <v>15</v>
      </c>
      <c r="G170" s="270">
        <v>0</v>
      </c>
      <c r="H170" s="270" t="s">
        <v>1189</v>
      </c>
      <c r="I170" s="270">
        <v>4</v>
      </c>
      <c r="J170" s="274">
        <v>1</v>
      </c>
      <c r="K170" s="273" t="s">
        <v>1232</v>
      </c>
      <c r="L170" s="272" t="s">
        <v>477</v>
      </c>
      <c r="M170" s="270" t="s">
        <v>269</v>
      </c>
      <c r="N170" s="270" t="s">
        <v>269</v>
      </c>
      <c r="O170" s="270" t="s">
        <v>269</v>
      </c>
      <c r="P170" s="270" t="s">
        <v>1186</v>
      </c>
      <c r="Q170" s="270" t="s">
        <v>1186</v>
      </c>
      <c r="R170" s="270" t="s">
        <v>1186</v>
      </c>
      <c r="S170" s="270" t="s">
        <v>1186</v>
      </c>
      <c r="T170" s="270" t="s">
        <v>1186</v>
      </c>
      <c r="U170" s="443" t="s">
        <v>1186</v>
      </c>
      <c r="V170" s="434" t="s">
        <v>1187</v>
      </c>
      <c r="W170" s="281"/>
      <c r="X170" s="260"/>
      <c r="Y170" s="260"/>
      <c r="Z170" s="260"/>
    </row>
    <row r="171" spans="3:26" ht="18" customHeight="1" x14ac:dyDescent="0.3">
      <c r="C171" s="275"/>
      <c r="D171" s="270" t="s">
        <v>271</v>
      </c>
      <c r="E171" s="270" t="s">
        <v>48</v>
      </c>
      <c r="F171" s="270" t="s">
        <v>15</v>
      </c>
      <c r="G171" s="270">
        <v>0</v>
      </c>
      <c r="H171" s="270" t="s">
        <v>1189</v>
      </c>
      <c r="I171" s="270">
        <v>4</v>
      </c>
      <c r="J171" s="274">
        <v>1</v>
      </c>
      <c r="K171" s="273" t="s">
        <v>1232</v>
      </c>
      <c r="L171" s="272" t="s">
        <v>460</v>
      </c>
      <c r="M171" s="270" t="s">
        <v>271</v>
      </c>
      <c r="N171" s="270" t="s">
        <v>1240</v>
      </c>
      <c r="O171" s="270" t="s">
        <v>1240</v>
      </c>
      <c r="P171" s="270" t="s">
        <v>1187</v>
      </c>
      <c r="Q171" s="270" t="s">
        <v>1187</v>
      </c>
      <c r="R171" s="270" t="s">
        <v>1187</v>
      </c>
      <c r="S171" s="270" t="s">
        <v>1187</v>
      </c>
      <c r="T171" s="270" t="s">
        <v>1187</v>
      </c>
      <c r="U171" s="443" t="s">
        <v>1187</v>
      </c>
      <c r="V171" s="434" t="s">
        <v>1187</v>
      </c>
      <c r="W171" s="281"/>
      <c r="X171" s="260"/>
      <c r="Y171" s="260"/>
      <c r="Z171" s="260"/>
    </row>
    <row r="172" spans="3:26" ht="18" customHeight="1" x14ac:dyDescent="0.3">
      <c r="C172" s="275"/>
      <c r="D172" s="271" t="s">
        <v>1239</v>
      </c>
      <c r="E172" s="270" t="s">
        <v>630</v>
      </c>
      <c r="F172" s="270" t="s">
        <v>15</v>
      </c>
      <c r="G172" s="270">
        <v>0</v>
      </c>
      <c r="H172" s="270" t="s">
        <v>1189</v>
      </c>
      <c r="I172" s="270">
        <v>4</v>
      </c>
      <c r="J172" s="274">
        <v>1</v>
      </c>
      <c r="K172" s="273" t="s">
        <v>1232</v>
      </c>
      <c r="L172" s="272" t="s">
        <v>478</v>
      </c>
      <c r="M172" s="270" t="s">
        <v>272</v>
      </c>
      <c r="N172" s="270" t="s">
        <v>272</v>
      </c>
      <c r="O172" s="270" t="s">
        <v>272</v>
      </c>
      <c r="P172" s="270" t="s">
        <v>1186</v>
      </c>
      <c r="Q172" s="270" t="s">
        <v>1187</v>
      </c>
      <c r="R172" s="270" t="s">
        <v>1187</v>
      </c>
      <c r="S172" s="270" t="s">
        <v>1187</v>
      </c>
      <c r="T172" s="270" t="s">
        <v>1187</v>
      </c>
      <c r="U172" s="443" t="s">
        <v>1186</v>
      </c>
      <c r="V172" s="434" t="s">
        <v>1187</v>
      </c>
      <c r="W172" s="281"/>
      <c r="X172" s="260" t="s">
        <v>1238</v>
      </c>
      <c r="Y172" s="260"/>
      <c r="Z172" s="260"/>
    </row>
    <row r="173" spans="3:26" ht="18" customHeight="1" x14ac:dyDescent="0.3">
      <c r="C173" s="275"/>
      <c r="D173" s="449" t="s">
        <v>1237</v>
      </c>
      <c r="E173" s="270" t="s">
        <v>630</v>
      </c>
      <c r="F173" s="270" t="s">
        <v>15</v>
      </c>
      <c r="G173" s="270">
        <v>0</v>
      </c>
      <c r="H173" s="270" t="s">
        <v>1189</v>
      </c>
      <c r="I173" s="270">
        <v>4</v>
      </c>
      <c r="J173" s="274">
        <v>1</v>
      </c>
      <c r="K173" s="273" t="s">
        <v>1232</v>
      </c>
      <c r="L173" s="272" t="s">
        <v>479</v>
      </c>
      <c r="M173" s="287" t="s">
        <v>274</v>
      </c>
      <c r="N173" s="287" t="s">
        <v>274</v>
      </c>
      <c r="O173" s="270" t="s">
        <v>274</v>
      </c>
      <c r="P173" s="270" t="s">
        <v>1186</v>
      </c>
      <c r="Q173" s="270" t="s">
        <v>1187</v>
      </c>
      <c r="R173" s="270" t="s">
        <v>1187</v>
      </c>
      <c r="S173" s="270" t="s">
        <v>1187</v>
      </c>
      <c r="T173" s="270" t="s">
        <v>1187</v>
      </c>
      <c r="U173" s="443" t="s">
        <v>1186</v>
      </c>
      <c r="V173" s="434" t="s">
        <v>1187</v>
      </c>
      <c r="W173" s="286"/>
      <c r="X173" s="260" t="s">
        <v>1236</v>
      </c>
      <c r="Y173" s="260"/>
      <c r="Z173" s="260"/>
    </row>
    <row r="174" spans="3:26" ht="18" customHeight="1" x14ac:dyDescent="0.3">
      <c r="C174" s="275"/>
      <c r="D174" s="271" t="s">
        <v>1235</v>
      </c>
      <c r="E174" s="270" t="s">
        <v>630</v>
      </c>
      <c r="F174" s="270" t="s">
        <v>15</v>
      </c>
      <c r="G174" s="270">
        <v>0</v>
      </c>
      <c r="H174" s="270" t="s">
        <v>1189</v>
      </c>
      <c r="I174" s="270">
        <v>4</v>
      </c>
      <c r="J174" s="274">
        <v>1</v>
      </c>
      <c r="K174" s="273" t="s">
        <v>1232</v>
      </c>
      <c r="L174" s="272" t="s">
        <v>480</v>
      </c>
      <c r="M174" s="270" t="s">
        <v>276</v>
      </c>
      <c r="N174" s="270" t="s">
        <v>276</v>
      </c>
      <c r="O174" s="270" t="s">
        <v>276</v>
      </c>
      <c r="P174" s="270" t="s">
        <v>1186</v>
      </c>
      <c r="Q174" s="270" t="s">
        <v>1187</v>
      </c>
      <c r="R174" s="270" t="s">
        <v>1187</v>
      </c>
      <c r="S174" s="270" t="s">
        <v>1187</v>
      </c>
      <c r="T174" s="270" t="s">
        <v>1187</v>
      </c>
      <c r="U174" s="443" t="s">
        <v>1186</v>
      </c>
      <c r="V174" s="434" t="s">
        <v>1187</v>
      </c>
      <c r="W174" s="281"/>
      <c r="X174" s="260" t="s">
        <v>1234</v>
      </c>
      <c r="Y174" s="260"/>
      <c r="Z174" s="260"/>
    </row>
    <row r="175" spans="3:26" ht="18" customHeight="1" x14ac:dyDescent="0.3">
      <c r="C175" s="275"/>
      <c r="D175" s="271" t="s">
        <v>1233</v>
      </c>
      <c r="E175" s="270" t="s">
        <v>648</v>
      </c>
      <c r="F175" s="270" t="s">
        <v>15</v>
      </c>
      <c r="G175" s="270">
        <v>0</v>
      </c>
      <c r="H175" s="270" t="s">
        <v>1189</v>
      </c>
      <c r="I175" s="270">
        <v>4</v>
      </c>
      <c r="J175" s="274">
        <v>1</v>
      </c>
      <c r="K175" s="273" t="s">
        <v>1232</v>
      </c>
      <c r="L175" s="272" t="s">
        <v>481</v>
      </c>
      <c r="M175" s="270" t="s">
        <v>278</v>
      </c>
      <c r="N175" s="270" t="s">
        <v>278</v>
      </c>
      <c r="O175" s="270" t="s">
        <v>278</v>
      </c>
      <c r="P175" s="270" t="s">
        <v>1186</v>
      </c>
      <c r="Q175" s="270" t="s">
        <v>1187</v>
      </c>
      <c r="R175" s="270" t="s">
        <v>1187</v>
      </c>
      <c r="S175" s="270" t="s">
        <v>1187</v>
      </c>
      <c r="T175" s="270" t="s">
        <v>1187</v>
      </c>
      <c r="U175" s="443" t="s">
        <v>1187</v>
      </c>
      <c r="V175" s="434" t="s">
        <v>1187</v>
      </c>
      <c r="W175" s="281"/>
      <c r="X175" s="260" t="s">
        <v>1216</v>
      </c>
      <c r="Y175" s="260"/>
      <c r="Z175" s="260"/>
    </row>
    <row r="176" spans="3:26" ht="18" customHeight="1" x14ac:dyDescent="0.3">
      <c r="C176" s="275"/>
      <c r="D176" s="270" t="s">
        <v>1231</v>
      </c>
      <c r="E176" s="270" t="s">
        <v>48</v>
      </c>
      <c r="F176" s="270" t="s">
        <v>15</v>
      </c>
      <c r="G176" s="270">
        <v>0</v>
      </c>
      <c r="H176" s="270" t="s">
        <v>1189</v>
      </c>
      <c r="I176" s="270">
        <v>4</v>
      </c>
      <c r="J176" s="274">
        <v>1</v>
      </c>
      <c r="K176" s="273" t="s">
        <v>1225</v>
      </c>
      <c r="L176" s="272" t="s">
        <v>460</v>
      </c>
      <c r="M176" s="270" t="s">
        <v>1231</v>
      </c>
      <c r="N176" s="270" t="s">
        <v>1231</v>
      </c>
      <c r="O176" s="270" t="s">
        <v>1231</v>
      </c>
      <c r="P176" s="270" t="s">
        <v>1187</v>
      </c>
      <c r="Q176" s="270" t="s">
        <v>1187</v>
      </c>
      <c r="R176" s="270" t="s">
        <v>1187</v>
      </c>
      <c r="S176" s="270" t="s">
        <v>1187</v>
      </c>
      <c r="T176" s="270" t="s">
        <v>1187</v>
      </c>
      <c r="U176" s="443" t="s">
        <v>1187</v>
      </c>
      <c r="V176" s="434" t="s">
        <v>1187</v>
      </c>
      <c r="W176" s="281"/>
      <c r="X176" s="260"/>
      <c r="Y176" s="260"/>
      <c r="Z176" s="260"/>
    </row>
    <row r="177" spans="3:26" ht="18" customHeight="1" x14ac:dyDescent="0.3">
      <c r="C177" s="275"/>
      <c r="D177" s="270" t="s">
        <v>281</v>
      </c>
      <c r="E177" s="270" t="s">
        <v>614</v>
      </c>
      <c r="F177" s="270" t="s">
        <v>15</v>
      </c>
      <c r="G177" s="270">
        <v>0</v>
      </c>
      <c r="H177" s="270" t="s">
        <v>1189</v>
      </c>
      <c r="I177" s="270">
        <v>4</v>
      </c>
      <c r="J177" s="274">
        <v>1</v>
      </c>
      <c r="K177" s="273" t="s">
        <v>1225</v>
      </c>
      <c r="L177" s="272" t="s">
        <v>482</v>
      </c>
      <c r="M177" s="270" t="s">
        <v>281</v>
      </c>
      <c r="N177" s="270" t="s">
        <v>281</v>
      </c>
      <c r="O177" s="270" t="s">
        <v>281</v>
      </c>
      <c r="P177" s="270" t="s">
        <v>1186</v>
      </c>
      <c r="Q177" s="270" t="s">
        <v>1186</v>
      </c>
      <c r="R177" s="270" t="s">
        <v>1186</v>
      </c>
      <c r="S177" s="270" t="s">
        <v>1186</v>
      </c>
      <c r="T177" s="270" t="s">
        <v>1186</v>
      </c>
      <c r="U177" s="443" t="s">
        <v>1186</v>
      </c>
      <c r="V177" s="434" t="s">
        <v>1187</v>
      </c>
      <c r="W177" s="281"/>
      <c r="X177" s="260" t="s">
        <v>1230</v>
      </c>
      <c r="Y177" s="260"/>
      <c r="Z177" s="260"/>
    </row>
    <row r="178" spans="3:26" ht="18" customHeight="1" x14ac:dyDescent="0.3">
      <c r="C178" s="275"/>
      <c r="D178" s="270" t="s">
        <v>283</v>
      </c>
      <c r="E178" s="270" t="s">
        <v>614</v>
      </c>
      <c r="F178" s="270" t="s">
        <v>15</v>
      </c>
      <c r="G178" s="270">
        <v>0</v>
      </c>
      <c r="H178" s="270" t="s">
        <v>1189</v>
      </c>
      <c r="I178" s="270">
        <v>4</v>
      </c>
      <c r="J178" s="274">
        <v>1</v>
      </c>
      <c r="K178" s="273" t="s">
        <v>1225</v>
      </c>
      <c r="L178" s="272" t="s">
        <v>483</v>
      </c>
      <c r="M178" s="270" t="s">
        <v>283</v>
      </c>
      <c r="N178" s="270" t="s">
        <v>283</v>
      </c>
      <c r="O178" s="270" t="s">
        <v>283</v>
      </c>
      <c r="P178" s="270" t="s">
        <v>1186</v>
      </c>
      <c r="Q178" s="270" t="s">
        <v>1186</v>
      </c>
      <c r="R178" s="270" t="s">
        <v>1186</v>
      </c>
      <c r="S178" s="270" t="s">
        <v>1186</v>
      </c>
      <c r="T178" s="270" t="s">
        <v>1186</v>
      </c>
      <c r="U178" s="443" t="s">
        <v>1186</v>
      </c>
      <c r="V178" s="434" t="s">
        <v>1187</v>
      </c>
      <c r="W178" s="281"/>
      <c r="X178" s="260" t="s">
        <v>1216</v>
      </c>
      <c r="Y178" s="260"/>
      <c r="Z178" s="260"/>
    </row>
    <row r="179" spans="3:26" ht="18" customHeight="1" x14ac:dyDescent="0.3">
      <c r="C179" s="275"/>
      <c r="D179" s="270" t="s">
        <v>285</v>
      </c>
      <c r="E179" s="270" t="s">
        <v>614</v>
      </c>
      <c r="F179" s="270" t="s">
        <v>15</v>
      </c>
      <c r="G179" s="270">
        <v>0</v>
      </c>
      <c r="H179" s="270" t="s">
        <v>1189</v>
      </c>
      <c r="I179" s="270">
        <v>4</v>
      </c>
      <c r="J179" s="274">
        <v>1</v>
      </c>
      <c r="K179" s="273" t="s">
        <v>1225</v>
      </c>
      <c r="L179" s="272" t="s">
        <v>484</v>
      </c>
      <c r="M179" s="270" t="s">
        <v>285</v>
      </c>
      <c r="N179" s="270" t="s">
        <v>285</v>
      </c>
      <c r="O179" s="270" t="s">
        <v>285</v>
      </c>
      <c r="P179" s="270" t="s">
        <v>1186</v>
      </c>
      <c r="Q179" s="270" t="s">
        <v>1186</v>
      </c>
      <c r="R179" s="270" t="s">
        <v>1186</v>
      </c>
      <c r="S179" s="270" t="s">
        <v>1186</v>
      </c>
      <c r="T179" s="269" t="s">
        <v>1187</v>
      </c>
      <c r="U179" s="444" t="s">
        <v>1186</v>
      </c>
      <c r="V179" s="434" t="s">
        <v>1187</v>
      </c>
      <c r="W179" s="281" t="s">
        <v>1229</v>
      </c>
      <c r="X179" s="260" t="s">
        <v>1216</v>
      </c>
      <c r="Y179" s="260"/>
      <c r="Z179" s="260"/>
    </row>
    <row r="180" spans="3:26" ht="18" customHeight="1" x14ac:dyDescent="0.3">
      <c r="C180" s="275"/>
      <c r="D180" s="284" t="s">
        <v>1228</v>
      </c>
      <c r="E180" s="270" t="s">
        <v>48</v>
      </c>
      <c r="F180" s="270" t="s">
        <v>15</v>
      </c>
      <c r="G180" s="270">
        <v>0</v>
      </c>
      <c r="H180" s="270" t="s">
        <v>1189</v>
      </c>
      <c r="I180" s="270">
        <v>4</v>
      </c>
      <c r="J180" s="274">
        <v>1</v>
      </c>
      <c r="K180" s="273" t="s">
        <v>1225</v>
      </c>
      <c r="L180" s="272" t="s">
        <v>460</v>
      </c>
      <c r="M180" s="284" t="s">
        <v>1228</v>
      </c>
      <c r="N180" s="284" t="s">
        <v>1228</v>
      </c>
      <c r="O180" s="284" t="s">
        <v>1228</v>
      </c>
      <c r="P180" s="270" t="s">
        <v>1187</v>
      </c>
      <c r="Q180" s="270" t="s">
        <v>1187</v>
      </c>
      <c r="R180" s="270" t="s">
        <v>1187</v>
      </c>
      <c r="S180" s="270" t="s">
        <v>1187</v>
      </c>
      <c r="T180" s="270" t="s">
        <v>1187</v>
      </c>
      <c r="U180" s="443" t="s">
        <v>1187</v>
      </c>
      <c r="V180" s="434" t="s">
        <v>1187</v>
      </c>
      <c r="W180" s="283"/>
      <c r="X180" s="260"/>
      <c r="Y180" s="260"/>
      <c r="Z180" s="260"/>
    </row>
    <row r="181" spans="3:26" ht="18" customHeight="1" x14ac:dyDescent="0.3">
      <c r="C181" s="275"/>
      <c r="D181" s="284" t="s">
        <v>1227</v>
      </c>
      <c r="E181" s="270" t="s">
        <v>48</v>
      </c>
      <c r="F181" s="270" t="s">
        <v>15</v>
      </c>
      <c r="G181" s="270">
        <v>0</v>
      </c>
      <c r="H181" s="270" t="s">
        <v>1189</v>
      </c>
      <c r="I181" s="270">
        <v>4</v>
      </c>
      <c r="J181" s="274">
        <v>1</v>
      </c>
      <c r="K181" s="273" t="s">
        <v>1225</v>
      </c>
      <c r="L181" s="272" t="s">
        <v>460</v>
      </c>
      <c r="M181" s="284" t="s">
        <v>1227</v>
      </c>
      <c r="N181" s="284" t="s">
        <v>1227</v>
      </c>
      <c r="O181" s="284" t="s">
        <v>1227</v>
      </c>
      <c r="P181" s="270" t="s">
        <v>1187</v>
      </c>
      <c r="Q181" s="270" t="s">
        <v>1187</v>
      </c>
      <c r="R181" s="270" t="s">
        <v>1187</v>
      </c>
      <c r="S181" s="270" t="s">
        <v>1187</v>
      </c>
      <c r="T181" s="270" t="s">
        <v>1187</v>
      </c>
      <c r="U181" s="443" t="s">
        <v>1187</v>
      </c>
      <c r="V181" s="434" t="s">
        <v>1187</v>
      </c>
      <c r="W181" s="283"/>
      <c r="X181" s="260"/>
      <c r="Y181" s="260"/>
      <c r="Z181" s="260"/>
    </row>
    <row r="182" spans="3:26" ht="18" customHeight="1" x14ac:dyDescent="0.3">
      <c r="C182" s="275"/>
      <c r="D182" s="284" t="s">
        <v>1226</v>
      </c>
      <c r="E182" s="270" t="s">
        <v>48</v>
      </c>
      <c r="F182" s="270" t="s">
        <v>15</v>
      </c>
      <c r="G182" s="270">
        <v>0</v>
      </c>
      <c r="H182" s="270" t="s">
        <v>1189</v>
      </c>
      <c r="I182" s="270">
        <v>4</v>
      </c>
      <c r="J182" s="274">
        <v>1</v>
      </c>
      <c r="K182" s="273" t="s">
        <v>1225</v>
      </c>
      <c r="L182" s="272" t="s">
        <v>460</v>
      </c>
      <c r="M182" s="284" t="s">
        <v>1226</v>
      </c>
      <c r="N182" s="284" t="s">
        <v>1226</v>
      </c>
      <c r="O182" s="284" t="s">
        <v>1226</v>
      </c>
      <c r="P182" s="270" t="s">
        <v>1187</v>
      </c>
      <c r="Q182" s="270" t="s">
        <v>1187</v>
      </c>
      <c r="R182" s="270" t="s">
        <v>1187</v>
      </c>
      <c r="S182" s="270" t="s">
        <v>1187</v>
      </c>
      <c r="T182" s="270" t="s">
        <v>1187</v>
      </c>
      <c r="U182" s="443" t="s">
        <v>1187</v>
      </c>
      <c r="V182" s="434" t="s">
        <v>1187</v>
      </c>
      <c r="W182" s="283"/>
      <c r="X182" s="260"/>
      <c r="Y182" s="260"/>
      <c r="Z182" s="260"/>
    </row>
    <row r="183" spans="3:26" ht="18" customHeight="1" x14ac:dyDescent="0.3">
      <c r="C183" s="275"/>
      <c r="D183" s="284" t="s">
        <v>1224</v>
      </c>
      <c r="E183" s="270" t="s">
        <v>48</v>
      </c>
      <c r="F183" s="270" t="s">
        <v>15</v>
      </c>
      <c r="G183" s="270">
        <v>0</v>
      </c>
      <c r="H183" s="270" t="s">
        <v>1189</v>
      </c>
      <c r="I183" s="270">
        <v>4</v>
      </c>
      <c r="J183" s="274">
        <v>1</v>
      </c>
      <c r="K183" s="273" t="s">
        <v>1225</v>
      </c>
      <c r="L183" s="272" t="s">
        <v>460</v>
      </c>
      <c r="M183" s="284" t="s">
        <v>1224</v>
      </c>
      <c r="N183" s="284" t="s">
        <v>1224</v>
      </c>
      <c r="O183" s="284" t="s">
        <v>1224</v>
      </c>
      <c r="P183" s="270" t="s">
        <v>1187</v>
      </c>
      <c r="Q183" s="270" t="s">
        <v>1187</v>
      </c>
      <c r="R183" s="270" t="s">
        <v>1187</v>
      </c>
      <c r="S183" s="270" t="s">
        <v>1187</v>
      </c>
      <c r="T183" s="270" t="s">
        <v>1187</v>
      </c>
      <c r="U183" s="443" t="s">
        <v>1187</v>
      </c>
      <c r="V183" s="434" t="s">
        <v>1187</v>
      </c>
      <c r="W183" s="283"/>
      <c r="X183" s="260"/>
      <c r="Y183" s="260"/>
      <c r="Z183" s="260"/>
    </row>
    <row r="184" spans="3:26" ht="18" customHeight="1" x14ac:dyDescent="0.3">
      <c r="C184" s="275"/>
      <c r="D184" s="270" t="s">
        <v>287</v>
      </c>
      <c r="E184" s="270" t="s">
        <v>614</v>
      </c>
      <c r="F184" s="270" t="s">
        <v>15</v>
      </c>
      <c r="G184" s="270">
        <v>0</v>
      </c>
      <c r="H184" s="270" t="s">
        <v>1189</v>
      </c>
      <c r="I184" s="270">
        <v>4</v>
      </c>
      <c r="J184" s="274">
        <v>1</v>
      </c>
      <c r="K184" s="273" t="s">
        <v>1218</v>
      </c>
      <c r="L184" s="272" t="s">
        <v>485</v>
      </c>
      <c r="M184" s="270" t="s">
        <v>287</v>
      </c>
      <c r="N184" s="270" t="s">
        <v>287</v>
      </c>
      <c r="O184" s="270" t="s">
        <v>287</v>
      </c>
      <c r="P184" s="270" t="s">
        <v>1186</v>
      </c>
      <c r="Q184" s="270" t="s">
        <v>1186</v>
      </c>
      <c r="R184" s="270" t="s">
        <v>1186</v>
      </c>
      <c r="S184" s="270" t="s">
        <v>1186</v>
      </c>
      <c r="T184" s="270" t="s">
        <v>1186</v>
      </c>
      <c r="U184" s="443" t="s">
        <v>1186</v>
      </c>
      <c r="V184" s="434" t="s">
        <v>1187</v>
      </c>
      <c r="W184" s="281"/>
      <c r="X184" s="260" t="s">
        <v>1221</v>
      </c>
      <c r="Y184" s="260"/>
      <c r="Z184" s="260"/>
    </row>
    <row r="185" spans="3:26" ht="18" customHeight="1" x14ac:dyDescent="0.3">
      <c r="C185" s="275"/>
      <c r="D185" s="270" t="s">
        <v>289</v>
      </c>
      <c r="E185" s="270" t="s">
        <v>614</v>
      </c>
      <c r="F185" s="270" t="s">
        <v>15</v>
      </c>
      <c r="G185" s="270">
        <v>0</v>
      </c>
      <c r="H185" s="270" t="s">
        <v>1189</v>
      </c>
      <c r="I185" s="270">
        <v>4</v>
      </c>
      <c r="J185" s="274">
        <v>1</v>
      </c>
      <c r="K185" s="273" t="s">
        <v>1218</v>
      </c>
      <c r="L185" s="272" t="s">
        <v>486</v>
      </c>
      <c r="M185" s="270" t="s">
        <v>289</v>
      </c>
      <c r="N185" s="270" t="s">
        <v>289</v>
      </c>
      <c r="O185" s="270" t="s">
        <v>289</v>
      </c>
      <c r="P185" s="270" t="s">
        <v>1186</v>
      </c>
      <c r="Q185" s="270" t="s">
        <v>1186</v>
      </c>
      <c r="R185" s="270" t="s">
        <v>1186</v>
      </c>
      <c r="S185" s="270" t="s">
        <v>1186</v>
      </c>
      <c r="T185" s="270" t="s">
        <v>1186</v>
      </c>
      <c r="U185" s="443" t="s">
        <v>1186</v>
      </c>
      <c r="V185" s="434" t="s">
        <v>1187</v>
      </c>
      <c r="W185" s="281"/>
      <c r="X185" s="260" t="s">
        <v>1221</v>
      </c>
      <c r="Y185" s="260"/>
      <c r="Z185" s="260"/>
    </row>
    <row r="186" spans="3:26" ht="18" customHeight="1" x14ac:dyDescent="0.3">
      <c r="C186" s="275"/>
      <c r="D186" s="270" t="s">
        <v>1223</v>
      </c>
      <c r="E186" s="270" t="s">
        <v>48</v>
      </c>
      <c r="F186" s="270" t="s">
        <v>15</v>
      </c>
      <c r="G186" s="270">
        <v>0</v>
      </c>
      <c r="H186" s="270" t="s">
        <v>1189</v>
      </c>
      <c r="I186" s="270">
        <v>4</v>
      </c>
      <c r="J186" s="274">
        <v>1</v>
      </c>
      <c r="K186" s="273" t="s">
        <v>1218</v>
      </c>
      <c r="L186" s="272" t="s">
        <v>460</v>
      </c>
      <c r="M186" s="270" t="s">
        <v>1223</v>
      </c>
      <c r="N186" s="270" t="s">
        <v>1223</v>
      </c>
      <c r="O186" s="270" t="s">
        <v>1223</v>
      </c>
      <c r="P186" s="270" t="s">
        <v>1187</v>
      </c>
      <c r="Q186" s="270" t="s">
        <v>1187</v>
      </c>
      <c r="R186" s="270" t="s">
        <v>1187</v>
      </c>
      <c r="S186" s="270" t="s">
        <v>1187</v>
      </c>
      <c r="T186" s="270" t="s">
        <v>1187</v>
      </c>
      <c r="U186" s="443" t="s">
        <v>1187</v>
      </c>
      <c r="V186" s="434" t="s">
        <v>1187</v>
      </c>
      <c r="W186" s="281"/>
      <c r="X186" s="260"/>
      <c r="Y186" s="260"/>
      <c r="Z186" s="260"/>
    </row>
    <row r="187" spans="3:26" ht="18" customHeight="1" x14ac:dyDescent="0.3">
      <c r="C187" s="275"/>
      <c r="D187" s="270" t="s">
        <v>1222</v>
      </c>
      <c r="E187" s="270" t="s">
        <v>48</v>
      </c>
      <c r="F187" s="270" t="s">
        <v>15</v>
      </c>
      <c r="G187" s="270">
        <v>0</v>
      </c>
      <c r="H187" s="270" t="s">
        <v>1189</v>
      </c>
      <c r="I187" s="270">
        <v>4</v>
      </c>
      <c r="J187" s="274">
        <v>1</v>
      </c>
      <c r="K187" s="273" t="s">
        <v>1218</v>
      </c>
      <c r="L187" s="272" t="s">
        <v>460</v>
      </c>
      <c r="M187" s="270" t="s">
        <v>1222</v>
      </c>
      <c r="N187" s="270" t="s">
        <v>1222</v>
      </c>
      <c r="O187" s="270" t="s">
        <v>1222</v>
      </c>
      <c r="P187" s="270" t="s">
        <v>1187</v>
      </c>
      <c r="Q187" s="270" t="s">
        <v>1187</v>
      </c>
      <c r="R187" s="270" t="s">
        <v>1187</v>
      </c>
      <c r="S187" s="270" t="s">
        <v>1187</v>
      </c>
      <c r="T187" s="270" t="s">
        <v>1187</v>
      </c>
      <c r="U187" s="443" t="s">
        <v>1187</v>
      </c>
      <c r="V187" s="434" t="s">
        <v>1187</v>
      </c>
      <c r="W187" s="281"/>
      <c r="X187" s="260"/>
      <c r="Y187" s="260"/>
      <c r="Z187" s="260"/>
    </row>
    <row r="188" spans="3:26" ht="18" customHeight="1" x14ac:dyDescent="0.3">
      <c r="C188" s="275"/>
      <c r="D188" s="270" t="s">
        <v>291</v>
      </c>
      <c r="E188" s="270" t="s">
        <v>614</v>
      </c>
      <c r="F188" s="270" t="s">
        <v>15</v>
      </c>
      <c r="G188" s="270">
        <v>0</v>
      </c>
      <c r="H188" s="270" t="s">
        <v>1189</v>
      </c>
      <c r="I188" s="270">
        <v>4</v>
      </c>
      <c r="J188" s="274">
        <v>1</v>
      </c>
      <c r="K188" s="273" t="s">
        <v>1218</v>
      </c>
      <c r="L188" s="272" t="s">
        <v>487</v>
      </c>
      <c r="M188" s="270" t="s">
        <v>291</v>
      </c>
      <c r="N188" s="270" t="s">
        <v>291</v>
      </c>
      <c r="O188" s="270" t="s">
        <v>291</v>
      </c>
      <c r="P188" s="270" t="s">
        <v>1186</v>
      </c>
      <c r="Q188" s="270" t="s">
        <v>1186</v>
      </c>
      <c r="R188" s="270" t="s">
        <v>1186</v>
      </c>
      <c r="S188" s="270" t="s">
        <v>1186</v>
      </c>
      <c r="T188" s="270" t="s">
        <v>1186</v>
      </c>
      <c r="U188" s="443" t="s">
        <v>1186</v>
      </c>
      <c r="V188" s="434" t="s">
        <v>1187</v>
      </c>
      <c r="W188" s="281"/>
      <c r="X188" s="260" t="s">
        <v>1221</v>
      </c>
      <c r="Y188" s="260"/>
      <c r="Z188" s="260"/>
    </row>
    <row r="189" spans="3:26" ht="18" customHeight="1" x14ac:dyDescent="0.3">
      <c r="C189" s="275"/>
      <c r="D189" s="270" t="s">
        <v>293</v>
      </c>
      <c r="E189" s="270" t="s">
        <v>614</v>
      </c>
      <c r="F189" s="270" t="s">
        <v>15</v>
      </c>
      <c r="G189" s="270">
        <v>0</v>
      </c>
      <c r="H189" s="270" t="s">
        <v>1189</v>
      </c>
      <c r="I189" s="270">
        <v>4</v>
      </c>
      <c r="J189" s="274">
        <v>1</v>
      </c>
      <c r="K189" s="273" t="s">
        <v>1218</v>
      </c>
      <c r="L189" s="272" t="s">
        <v>488</v>
      </c>
      <c r="M189" s="270" t="s">
        <v>293</v>
      </c>
      <c r="N189" s="270" t="s">
        <v>293</v>
      </c>
      <c r="O189" s="270" t="s">
        <v>293</v>
      </c>
      <c r="P189" s="270" t="s">
        <v>1186</v>
      </c>
      <c r="Q189" s="270" t="s">
        <v>1186</v>
      </c>
      <c r="R189" s="270" t="s">
        <v>1186</v>
      </c>
      <c r="S189" s="270" t="s">
        <v>1186</v>
      </c>
      <c r="T189" s="270" t="s">
        <v>1186</v>
      </c>
      <c r="U189" s="443" t="s">
        <v>1186</v>
      </c>
      <c r="V189" s="434" t="s">
        <v>1187</v>
      </c>
      <c r="W189" s="281"/>
      <c r="X189" s="260"/>
      <c r="Y189" s="260"/>
      <c r="Z189" s="260"/>
    </row>
    <row r="190" spans="3:26" ht="18" customHeight="1" x14ac:dyDescent="0.3">
      <c r="C190" s="275"/>
      <c r="D190" s="284" t="s">
        <v>1220</v>
      </c>
      <c r="E190" s="270" t="s">
        <v>48</v>
      </c>
      <c r="F190" s="270" t="s">
        <v>15</v>
      </c>
      <c r="G190" s="270">
        <v>0</v>
      </c>
      <c r="H190" s="270" t="s">
        <v>1189</v>
      </c>
      <c r="I190" s="270">
        <v>4</v>
      </c>
      <c r="J190" s="274">
        <v>1</v>
      </c>
      <c r="K190" s="273" t="s">
        <v>1218</v>
      </c>
      <c r="L190" s="272" t="s">
        <v>460</v>
      </c>
      <c r="M190" s="284" t="s">
        <v>1220</v>
      </c>
      <c r="N190" s="284" t="s">
        <v>1220</v>
      </c>
      <c r="O190" s="284" t="s">
        <v>1220</v>
      </c>
      <c r="P190" s="270" t="s">
        <v>1187</v>
      </c>
      <c r="Q190" s="270" t="s">
        <v>1187</v>
      </c>
      <c r="R190" s="270" t="s">
        <v>1187</v>
      </c>
      <c r="S190" s="270" t="s">
        <v>1187</v>
      </c>
      <c r="T190" s="284" t="s">
        <v>1187</v>
      </c>
      <c r="U190" s="435" t="s">
        <v>1187</v>
      </c>
      <c r="V190" s="434" t="s">
        <v>1187</v>
      </c>
      <c r="W190" s="283"/>
      <c r="X190" s="260"/>
      <c r="Y190" s="260"/>
      <c r="Z190" s="260"/>
    </row>
    <row r="191" spans="3:26" ht="18" customHeight="1" x14ac:dyDescent="0.3">
      <c r="C191" s="275"/>
      <c r="D191" s="449" t="s">
        <v>1153</v>
      </c>
      <c r="E191" s="280" t="s">
        <v>1219</v>
      </c>
      <c r="F191" s="270" t="s">
        <v>15</v>
      </c>
      <c r="G191" s="270">
        <v>0</v>
      </c>
      <c r="H191" s="270" t="s">
        <v>1189</v>
      </c>
      <c r="I191" s="270">
        <v>4</v>
      </c>
      <c r="J191" s="274">
        <v>1</v>
      </c>
      <c r="K191" s="273" t="s">
        <v>1218</v>
      </c>
      <c r="L191" s="272" t="s">
        <v>1155</v>
      </c>
      <c r="M191" s="284" t="s">
        <v>1217</v>
      </c>
      <c r="N191" s="282" t="s">
        <v>1153</v>
      </c>
      <c r="O191" s="284" t="s">
        <v>1217</v>
      </c>
      <c r="P191" s="270" t="s">
        <v>1187</v>
      </c>
      <c r="Q191" s="270" t="s">
        <v>1187</v>
      </c>
      <c r="R191" s="270" t="s">
        <v>1187</v>
      </c>
      <c r="S191" s="270" t="s">
        <v>1187</v>
      </c>
      <c r="T191" s="285" t="s">
        <v>1186</v>
      </c>
      <c r="U191" s="445" t="s">
        <v>1187</v>
      </c>
      <c r="V191" s="434" t="s">
        <v>1187</v>
      </c>
      <c r="W191" s="283" t="s">
        <v>1185</v>
      </c>
      <c r="X191" s="260" t="s">
        <v>1216</v>
      </c>
      <c r="Y191" s="260"/>
      <c r="Z191" s="260"/>
    </row>
    <row r="192" spans="3:26" ht="18" customHeight="1" x14ac:dyDescent="0.3">
      <c r="C192" s="275"/>
      <c r="D192" s="284" t="s">
        <v>1215</v>
      </c>
      <c r="E192" s="270" t="s">
        <v>48</v>
      </c>
      <c r="F192" s="270" t="s">
        <v>15</v>
      </c>
      <c r="G192" s="270">
        <v>0</v>
      </c>
      <c r="H192" s="270" t="s">
        <v>1189</v>
      </c>
      <c r="I192" s="270">
        <v>4</v>
      </c>
      <c r="J192" s="274">
        <v>1</v>
      </c>
      <c r="K192" s="273" t="s">
        <v>1209</v>
      </c>
      <c r="L192" s="272" t="s">
        <v>460</v>
      </c>
      <c r="M192" s="284" t="s">
        <v>1215</v>
      </c>
      <c r="N192" s="284" t="s">
        <v>1215</v>
      </c>
      <c r="O192" s="284" t="s">
        <v>1215</v>
      </c>
      <c r="P192" s="270" t="s">
        <v>1187</v>
      </c>
      <c r="Q192" s="270" t="s">
        <v>1187</v>
      </c>
      <c r="R192" s="270" t="s">
        <v>1187</v>
      </c>
      <c r="S192" s="270" t="s">
        <v>1187</v>
      </c>
      <c r="T192" s="270" t="s">
        <v>1187</v>
      </c>
      <c r="U192" s="445" t="s">
        <v>1187</v>
      </c>
      <c r="V192" s="434" t="s">
        <v>1187</v>
      </c>
      <c r="W192" s="283"/>
      <c r="X192" s="260"/>
      <c r="Y192" s="260"/>
      <c r="Z192" s="260"/>
    </row>
    <row r="193" spans="3:26" ht="18" customHeight="1" x14ac:dyDescent="0.3">
      <c r="C193" s="275"/>
      <c r="D193" s="284" t="s">
        <v>1214</v>
      </c>
      <c r="E193" s="270" t="s">
        <v>48</v>
      </c>
      <c r="F193" s="270" t="s">
        <v>15</v>
      </c>
      <c r="G193" s="270">
        <v>0</v>
      </c>
      <c r="H193" s="270" t="s">
        <v>1189</v>
      </c>
      <c r="I193" s="270">
        <v>4</v>
      </c>
      <c r="J193" s="274">
        <v>1</v>
      </c>
      <c r="K193" s="273" t="s">
        <v>1209</v>
      </c>
      <c r="L193" s="272" t="s">
        <v>460</v>
      </c>
      <c r="M193" s="284" t="s">
        <v>1214</v>
      </c>
      <c r="N193" s="284" t="s">
        <v>1214</v>
      </c>
      <c r="O193" s="284" t="s">
        <v>1214</v>
      </c>
      <c r="P193" s="270" t="s">
        <v>1187</v>
      </c>
      <c r="Q193" s="270" t="s">
        <v>1187</v>
      </c>
      <c r="R193" s="270" t="s">
        <v>1187</v>
      </c>
      <c r="S193" s="270" t="s">
        <v>1187</v>
      </c>
      <c r="T193" s="270" t="s">
        <v>1187</v>
      </c>
      <c r="U193" s="445" t="s">
        <v>1187</v>
      </c>
      <c r="V193" s="434" t="s">
        <v>1187</v>
      </c>
      <c r="W193" s="283"/>
      <c r="X193" s="260"/>
      <c r="Y193" s="260"/>
      <c r="Z193" s="260"/>
    </row>
    <row r="194" spans="3:26" ht="18" customHeight="1" x14ac:dyDescent="0.3">
      <c r="C194" s="275"/>
      <c r="D194" s="284" t="s">
        <v>1213</v>
      </c>
      <c r="E194" s="270" t="s">
        <v>48</v>
      </c>
      <c r="F194" s="270" t="s">
        <v>15</v>
      </c>
      <c r="G194" s="270">
        <v>0</v>
      </c>
      <c r="H194" s="270" t="s">
        <v>1189</v>
      </c>
      <c r="I194" s="270">
        <v>4</v>
      </c>
      <c r="J194" s="274">
        <v>1</v>
      </c>
      <c r="K194" s="273" t="s">
        <v>1209</v>
      </c>
      <c r="L194" s="272" t="s">
        <v>460</v>
      </c>
      <c r="M194" s="284" t="s">
        <v>1213</v>
      </c>
      <c r="N194" s="284" t="s">
        <v>1213</v>
      </c>
      <c r="O194" s="284" t="s">
        <v>1213</v>
      </c>
      <c r="P194" s="270" t="s">
        <v>1187</v>
      </c>
      <c r="Q194" s="270" t="s">
        <v>1187</v>
      </c>
      <c r="R194" s="270" t="s">
        <v>1187</v>
      </c>
      <c r="S194" s="270" t="s">
        <v>1187</v>
      </c>
      <c r="T194" s="270" t="s">
        <v>1187</v>
      </c>
      <c r="U194" s="445" t="s">
        <v>1187</v>
      </c>
      <c r="V194" s="434" t="s">
        <v>1187</v>
      </c>
      <c r="W194" s="283"/>
      <c r="X194" s="260"/>
      <c r="Y194" s="260"/>
      <c r="Z194" s="260"/>
    </row>
    <row r="195" spans="3:26" ht="18" customHeight="1" x14ac:dyDescent="0.3">
      <c r="C195" s="275"/>
      <c r="D195" s="284" t="s">
        <v>1212</v>
      </c>
      <c r="E195" s="270" t="s">
        <v>48</v>
      </c>
      <c r="F195" s="270" t="s">
        <v>15</v>
      </c>
      <c r="G195" s="270">
        <v>0</v>
      </c>
      <c r="H195" s="270" t="s">
        <v>1189</v>
      </c>
      <c r="I195" s="270">
        <v>4</v>
      </c>
      <c r="J195" s="274">
        <v>1</v>
      </c>
      <c r="K195" s="273" t="s">
        <v>1209</v>
      </c>
      <c r="L195" s="272" t="s">
        <v>460</v>
      </c>
      <c r="M195" s="284" t="s">
        <v>1212</v>
      </c>
      <c r="N195" s="284" t="s">
        <v>1212</v>
      </c>
      <c r="O195" s="284" t="s">
        <v>1212</v>
      </c>
      <c r="P195" s="270" t="s">
        <v>1187</v>
      </c>
      <c r="Q195" s="270" t="s">
        <v>1187</v>
      </c>
      <c r="R195" s="270" t="s">
        <v>1187</v>
      </c>
      <c r="S195" s="270" t="s">
        <v>1187</v>
      </c>
      <c r="T195" s="270" t="s">
        <v>1187</v>
      </c>
      <c r="U195" s="445" t="s">
        <v>1187</v>
      </c>
      <c r="V195" s="434" t="s">
        <v>1187</v>
      </c>
      <c r="W195" s="283"/>
      <c r="X195" s="260"/>
      <c r="Y195" s="260"/>
      <c r="Z195" s="260"/>
    </row>
    <row r="196" spans="3:26" ht="18" customHeight="1" x14ac:dyDescent="0.3">
      <c r="C196" s="275"/>
      <c r="D196" s="284" t="s">
        <v>1211</v>
      </c>
      <c r="E196" s="270" t="s">
        <v>48</v>
      </c>
      <c r="F196" s="270" t="s">
        <v>15</v>
      </c>
      <c r="G196" s="270">
        <v>0</v>
      </c>
      <c r="H196" s="270" t="s">
        <v>1189</v>
      </c>
      <c r="I196" s="270">
        <v>4</v>
      </c>
      <c r="J196" s="274">
        <v>1</v>
      </c>
      <c r="K196" s="273" t="s">
        <v>1209</v>
      </c>
      <c r="L196" s="272" t="s">
        <v>460</v>
      </c>
      <c r="M196" s="284" t="s">
        <v>1211</v>
      </c>
      <c r="N196" s="284" t="s">
        <v>1211</v>
      </c>
      <c r="O196" s="284" t="s">
        <v>1211</v>
      </c>
      <c r="P196" s="270" t="s">
        <v>1187</v>
      </c>
      <c r="Q196" s="270" t="s">
        <v>1187</v>
      </c>
      <c r="R196" s="270" t="s">
        <v>1187</v>
      </c>
      <c r="S196" s="270" t="s">
        <v>1187</v>
      </c>
      <c r="T196" s="270" t="s">
        <v>1187</v>
      </c>
      <c r="U196" s="445" t="s">
        <v>1187</v>
      </c>
      <c r="V196" s="434" t="s">
        <v>1187</v>
      </c>
      <c r="W196" s="283"/>
      <c r="X196" s="260"/>
      <c r="Y196" s="260"/>
      <c r="Z196" s="260"/>
    </row>
    <row r="197" spans="3:26" ht="18" customHeight="1" x14ac:dyDescent="0.3">
      <c r="C197" s="275"/>
      <c r="D197" s="271" t="s">
        <v>295</v>
      </c>
      <c r="E197" s="270" t="s">
        <v>614</v>
      </c>
      <c r="F197" s="270" t="s">
        <v>15</v>
      </c>
      <c r="G197" s="270">
        <v>0</v>
      </c>
      <c r="H197" s="270" t="s">
        <v>1189</v>
      </c>
      <c r="I197" s="270">
        <v>4</v>
      </c>
      <c r="J197" s="274">
        <v>1</v>
      </c>
      <c r="K197" s="273" t="s">
        <v>1209</v>
      </c>
      <c r="L197" s="272" t="s">
        <v>489</v>
      </c>
      <c r="M197" s="270" t="s">
        <v>295</v>
      </c>
      <c r="N197" s="270" t="s">
        <v>295</v>
      </c>
      <c r="O197" s="270" t="s">
        <v>295</v>
      </c>
      <c r="P197" s="270" t="s">
        <v>1186</v>
      </c>
      <c r="Q197" s="270" t="s">
        <v>1186</v>
      </c>
      <c r="R197" s="270" t="s">
        <v>1186</v>
      </c>
      <c r="S197" s="270" t="s">
        <v>1186</v>
      </c>
      <c r="T197" s="270" t="s">
        <v>1186</v>
      </c>
      <c r="U197" s="443" t="s">
        <v>1186</v>
      </c>
      <c r="V197" s="434" t="s">
        <v>1187</v>
      </c>
      <c r="W197" s="281"/>
      <c r="X197" s="260"/>
      <c r="Y197" s="260"/>
      <c r="Z197" s="260"/>
    </row>
    <row r="198" spans="3:26" ht="18" customHeight="1" x14ac:dyDescent="0.3">
      <c r="C198" s="275"/>
      <c r="D198" s="271" t="s">
        <v>297</v>
      </c>
      <c r="E198" s="270" t="s">
        <v>628</v>
      </c>
      <c r="F198" s="270" t="s">
        <v>15</v>
      </c>
      <c r="G198" s="270">
        <v>0</v>
      </c>
      <c r="H198" s="270" t="s">
        <v>1189</v>
      </c>
      <c r="I198" s="270">
        <v>4</v>
      </c>
      <c r="J198" s="274">
        <v>1</v>
      </c>
      <c r="K198" s="273" t="s">
        <v>1209</v>
      </c>
      <c r="L198" s="272" t="s">
        <v>490</v>
      </c>
      <c r="M198" s="270" t="s">
        <v>297</v>
      </c>
      <c r="N198" s="270" t="s">
        <v>297</v>
      </c>
      <c r="O198" s="270" t="s">
        <v>297</v>
      </c>
      <c r="P198" s="280" t="s">
        <v>1210</v>
      </c>
      <c r="Q198" s="282" t="s">
        <v>1186</v>
      </c>
      <c r="R198" s="282" t="s">
        <v>1186</v>
      </c>
      <c r="S198" s="282" t="s">
        <v>1186</v>
      </c>
      <c r="T198" s="282" t="s">
        <v>1186</v>
      </c>
      <c r="U198" s="435" t="s">
        <v>1187</v>
      </c>
      <c r="V198" s="434" t="s">
        <v>1187</v>
      </c>
      <c r="W198" s="281"/>
      <c r="X198" s="260"/>
      <c r="Y198" s="260"/>
      <c r="Z198" s="260"/>
    </row>
    <row r="199" spans="3:26" ht="18" customHeight="1" x14ac:dyDescent="0.3">
      <c r="C199" s="275"/>
      <c r="D199" s="270" t="s">
        <v>299</v>
      </c>
      <c r="E199" s="270" t="s">
        <v>629</v>
      </c>
      <c r="F199" s="270" t="s">
        <v>15</v>
      </c>
      <c r="G199" s="270">
        <v>0</v>
      </c>
      <c r="H199" s="270" t="s">
        <v>1189</v>
      </c>
      <c r="I199" s="270">
        <v>4</v>
      </c>
      <c r="J199" s="274">
        <v>1</v>
      </c>
      <c r="K199" s="273" t="s">
        <v>1209</v>
      </c>
      <c r="L199" s="272" t="s">
        <v>491</v>
      </c>
      <c r="M199" s="270" t="s">
        <v>299</v>
      </c>
      <c r="N199" s="270" t="s">
        <v>299</v>
      </c>
      <c r="O199" s="270" t="s">
        <v>299</v>
      </c>
      <c r="P199" s="270" t="s">
        <v>1187</v>
      </c>
      <c r="Q199" s="270" t="s">
        <v>1187</v>
      </c>
      <c r="R199" s="270" t="s">
        <v>1187</v>
      </c>
      <c r="S199" s="270" t="s">
        <v>1187</v>
      </c>
      <c r="T199" s="270" t="s">
        <v>1187</v>
      </c>
      <c r="U199" s="443" t="s">
        <v>1187</v>
      </c>
      <c r="V199" s="434" t="s">
        <v>1187</v>
      </c>
      <c r="W199" s="281"/>
      <c r="X199" s="260"/>
      <c r="Y199" s="260"/>
      <c r="Z199" s="260"/>
    </row>
    <row r="200" spans="3:26" ht="18" customHeight="1" x14ac:dyDescent="0.3">
      <c r="C200" s="275" t="s">
        <v>46</v>
      </c>
      <c r="D200" s="270" t="s">
        <v>301</v>
      </c>
      <c r="E200" s="270" t="s">
        <v>631</v>
      </c>
      <c r="F200" s="270" t="s">
        <v>15</v>
      </c>
      <c r="G200" s="270">
        <v>0</v>
      </c>
      <c r="H200" s="270" t="s">
        <v>1189</v>
      </c>
      <c r="I200" s="270">
        <v>4</v>
      </c>
      <c r="J200" s="274">
        <v>1</v>
      </c>
      <c r="K200" s="273" t="s">
        <v>1206</v>
      </c>
      <c r="L200" s="272" t="s">
        <v>492</v>
      </c>
      <c r="M200" s="270" t="s">
        <v>301</v>
      </c>
      <c r="N200" s="270" t="s">
        <v>301</v>
      </c>
      <c r="O200" s="270" t="s">
        <v>301</v>
      </c>
      <c r="P200" s="270" t="s">
        <v>1186</v>
      </c>
      <c r="Q200" s="270" t="s">
        <v>1187</v>
      </c>
      <c r="R200" s="270" t="s">
        <v>1187</v>
      </c>
      <c r="S200" s="270" t="s">
        <v>1187</v>
      </c>
      <c r="T200" s="270" t="s">
        <v>1187</v>
      </c>
      <c r="U200" s="443" t="s">
        <v>1186</v>
      </c>
      <c r="V200" s="434" t="s">
        <v>1187</v>
      </c>
      <c r="W200" s="281" t="s">
        <v>1608</v>
      </c>
      <c r="X200" s="260"/>
      <c r="Y200" s="260"/>
      <c r="Z200" s="260"/>
    </row>
    <row r="201" spans="3:26" ht="18" customHeight="1" x14ac:dyDescent="0.3">
      <c r="C201" s="275"/>
      <c r="D201" s="271" t="s">
        <v>303</v>
      </c>
      <c r="E201" s="270" t="s">
        <v>631</v>
      </c>
      <c r="F201" s="270" t="s">
        <v>15</v>
      </c>
      <c r="G201" s="270">
        <v>0</v>
      </c>
      <c r="H201" s="270" t="s">
        <v>1189</v>
      </c>
      <c r="I201" s="270">
        <v>4</v>
      </c>
      <c r="J201" s="274">
        <v>1</v>
      </c>
      <c r="K201" s="273" t="s">
        <v>1206</v>
      </c>
      <c r="L201" s="272" t="s">
        <v>493</v>
      </c>
      <c r="M201" s="271" t="s">
        <v>303</v>
      </c>
      <c r="N201" s="271" t="s">
        <v>303</v>
      </c>
      <c r="O201" s="270" t="s">
        <v>303</v>
      </c>
      <c r="P201" s="270" t="s">
        <v>1186</v>
      </c>
      <c r="Q201" s="270" t="s">
        <v>1187</v>
      </c>
      <c r="R201" s="270" t="s">
        <v>1187</v>
      </c>
      <c r="S201" s="270" t="s">
        <v>1187</v>
      </c>
      <c r="T201" s="270" t="s">
        <v>1187</v>
      </c>
      <c r="U201" s="443" t="s">
        <v>1186</v>
      </c>
      <c r="V201" s="434" t="s">
        <v>1187</v>
      </c>
      <c r="W201" s="268"/>
      <c r="X201" s="260"/>
      <c r="Y201" s="260"/>
      <c r="Z201" s="260"/>
    </row>
    <row r="202" spans="3:26" ht="18" customHeight="1" x14ac:dyDescent="0.3">
      <c r="C202" s="275"/>
      <c r="D202" s="271" t="s">
        <v>305</v>
      </c>
      <c r="E202" s="270" t="s">
        <v>631</v>
      </c>
      <c r="F202" s="270" t="s">
        <v>15</v>
      </c>
      <c r="G202" s="270">
        <v>0</v>
      </c>
      <c r="H202" s="270" t="s">
        <v>1189</v>
      </c>
      <c r="I202" s="270">
        <v>4</v>
      </c>
      <c r="J202" s="274">
        <v>1</v>
      </c>
      <c r="K202" s="273" t="s">
        <v>1206</v>
      </c>
      <c r="L202" s="272" t="s">
        <v>494</v>
      </c>
      <c r="M202" s="271" t="s">
        <v>305</v>
      </c>
      <c r="N202" s="271" t="s">
        <v>305</v>
      </c>
      <c r="O202" s="270" t="s">
        <v>305</v>
      </c>
      <c r="P202" s="270" t="s">
        <v>1186</v>
      </c>
      <c r="Q202" s="270" t="s">
        <v>1187</v>
      </c>
      <c r="R202" s="270" t="s">
        <v>1187</v>
      </c>
      <c r="S202" s="270" t="s">
        <v>1187</v>
      </c>
      <c r="T202" s="270" t="s">
        <v>1187</v>
      </c>
      <c r="U202" s="443" t="s">
        <v>1186</v>
      </c>
      <c r="V202" s="434" t="s">
        <v>1187</v>
      </c>
      <c r="W202" s="268"/>
      <c r="X202" s="260"/>
      <c r="Y202" s="260"/>
      <c r="Z202" s="260"/>
    </row>
    <row r="203" spans="3:26" ht="18" customHeight="1" x14ac:dyDescent="0.3">
      <c r="C203" s="275"/>
      <c r="D203" s="271" t="s">
        <v>307</v>
      </c>
      <c r="E203" s="270" t="s">
        <v>631</v>
      </c>
      <c r="F203" s="270" t="s">
        <v>15</v>
      </c>
      <c r="G203" s="270">
        <v>0</v>
      </c>
      <c r="H203" s="270" t="s">
        <v>1189</v>
      </c>
      <c r="I203" s="270">
        <v>4</v>
      </c>
      <c r="J203" s="274">
        <v>1</v>
      </c>
      <c r="K203" s="273" t="s">
        <v>1206</v>
      </c>
      <c r="L203" s="272" t="s">
        <v>495</v>
      </c>
      <c r="M203" s="271" t="s">
        <v>307</v>
      </c>
      <c r="N203" s="271" t="s">
        <v>307</v>
      </c>
      <c r="O203" s="270" t="s">
        <v>307</v>
      </c>
      <c r="P203" s="270" t="s">
        <v>1186</v>
      </c>
      <c r="Q203" s="270" t="s">
        <v>1187</v>
      </c>
      <c r="R203" s="270" t="s">
        <v>1187</v>
      </c>
      <c r="S203" s="270" t="s">
        <v>1187</v>
      </c>
      <c r="T203" s="270" t="s">
        <v>1187</v>
      </c>
      <c r="U203" s="443" t="s">
        <v>1186</v>
      </c>
      <c r="V203" s="434" t="s">
        <v>1187</v>
      </c>
      <c r="W203" s="268"/>
      <c r="X203" s="260" t="s">
        <v>1208</v>
      </c>
      <c r="Y203" s="260"/>
      <c r="Z203" s="260"/>
    </row>
    <row r="204" spans="3:26" ht="18" customHeight="1" x14ac:dyDescent="0.3">
      <c r="C204" s="275"/>
      <c r="D204" s="280" t="s">
        <v>309</v>
      </c>
      <c r="E204" s="279" t="s">
        <v>1207</v>
      </c>
      <c r="F204" s="270" t="s">
        <v>15</v>
      </c>
      <c r="G204" s="270">
        <v>0</v>
      </c>
      <c r="H204" s="270" t="s">
        <v>1189</v>
      </c>
      <c r="I204" s="270">
        <v>4</v>
      </c>
      <c r="J204" s="274">
        <v>1</v>
      </c>
      <c r="K204" s="273" t="s">
        <v>1206</v>
      </c>
      <c r="L204" s="272" t="s">
        <v>496</v>
      </c>
      <c r="M204" s="271" t="s">
        <v>309</v>
      </c>
      <c r="N204" s="271" t="s">
        <v>309</v>
      </c>
      <c r="O204" s="270" t="s">
        <v>309</v>
      </c>
      <c r="P204" s="270" t="s">
        <v>1186</v>
      </c>
      <c r="Q204" s="270" t="s">
        <v>1187</v>
      </c>
      <c r="R204" s="278" t="s">
        <v>1186</v>
      </c>
      <c r="S204" s="269" t="s">
        <v>1187</v>
      </c>
      <c r="T204" s="277" t="s">
        <v>1186</v>
      </c>
      <c r="U204" s="443" t="s">
        <v>1186</v>
      </c>
      <c r="V204" s="434" t="s">
        <v>1187</v>
      </c>
      <c r="W204" s="268"/>
      <c r="X204" s="260"/>
      <c r="Y204" s="260"/>
      <c r="Z204" s="260"/>
    </row>
    <row r="205" spans="3:26" ht="18" customHeight="1" x14ac:dyDescent="0.3">
      <c r="C205" s="275"/>
      <c r="D205" s="271" t="s">
        <v>311</v>
      </c>
      <c r="E205" s="270" t="s">
        <v>631</v>
      </c>
      <c r="F205" s="270" t="s">
        <v>15</v>
      </c>
      <c r="G205" s="270">
        <v>0</v>
      </c>
      <c r="H205" s="270" t="s">
        <v>1189</v>
      </c>
      <c r="I205" s="270">
        <v>4</v>
      </c>
      <c r="J205" s="274">
        <v>1</v>
      </c>
      <c r="K205" s="273" t="s">
        <v>1206</v>
      </c>
      <c r="L205" s="272" t="s">
        <v>497</v>
      </c>
      <c r="M205" s="271" t="s">
        <v>311</v>
      </c>
      <c r="N205" s="271" t="s">
        <v>311</v>
      </c>
      <c r="O205" s="270" t="s">
        <v>311</v>
      </c>
      <c r="P205" s="270" t="s">
        <v>1186</v>
      </c>
      <c r="Q205" s="270" t="s">
        <v>1187</v>
      </c>
      <c r="R205" s="270" t="s">
        <v>1187</v>
      </c>
      <c r="S205" s="270" t="s">
        <v>1187</v>
      </c>
      <c r="T205" s="270" t="s">
        <v>1187</v>
      </c>
      <c r="U205" s="443" t="s">
        <v>1186</v>
      </c>
      <c r="V205" s="434" t="s">
        <v>1187</v>
      </c>
      <c r="W205" s="268"/>
      <c r="X205" s="260"/>
      <c r="Y205" s="260"/>
      <c r="Z205" s="260"/>
    </row>
    <row r="206" spans="3:26" ht="18" customHeight="1" x14ac:dyDescent="0.3">
      <c r="C206" s="275"/>
      <c r="D206" s="271" t="s">
        <v>313</v>
      </c>
      <c r="E206" s="270" t="s">
        <v>631</v>
      </c>
      <c r="F206" s="270" t="s">
        <v>15</v>
      </c>
      <c r="G206" s="270">
        <v>0</v>
      </c>
      <c r="H206" s="270" t="s">
        <v>1189</v>
      </c>
      <c r="I206" s="270">
        <v>4</v>
      </c>
      <c r="J206" s="274">
        <v>1</v>
      </c>
      <c r="K206" s="273" t="s">
        <v>1206</v>
      </c>
      <c r="L206" s="272" t="s">
        <v>498</v>
      </c>
      <c r="M206" s="271" t="s">
        <v>313</v>
      </c>
      <c r="N206" s="271" t="s">
        <v>313</v>
      </c>
      <c r="O206" s="270" t="s">
        <v>313</v>
      </c>
      <c r="P206" s="270" t="s">
        <v>1186</v>
      </c>
      <c r="Q206" s="270" t="s">
        <v>1187</v>
      </c>
      <c r="R206" s="270" t="s">
        <v>1187</v>
      </c>
      <c r="S206" s="270" t="s">
        <v>1187</v>
      </c>
      <c r="T206" s="270" t="s">
        <v>1187</v>
      </c>
      <c r="U206" s="443" t="s">
        <v>1186</v>
      </c>
      <c r="V206" s="434" t="s">
        <v>1187</v>
      </c>
      <c r="W206" s="268"/>
      <c r="X206" s="260"/>
      <c r="Y206" s="260"/>
      <c r="Z206" s="260"/>
    </row>
    <row r="207" spans="3:26" ht="18" customHeight="1" x14ac:dyDescent="0.3">
      <c r="C207" s="275"/>
      <c r="D207" s="271" t="s">
        <v>315</v>
      </c>
      <c r="E207" s="270" t="s">
        <v>631</v>
      </c>
      <c r="F207" s="270" t="s">
        <v>15</v>
      </c>
      <c r="G207" s="270">
        <v>0</v>
      </c>
      <c r="H207" s="270" t="s">
        <v>1189</v>
      </c>
      <c r="I207" s="270">
        <v>4</v>
      </c>
      <c r="J207" s="274">
        <v>1</v>
      </c>
      <c r="K207" s="273" t="s">
        <v>1206</v>
      </c>
      <c r="L207" s="272" t="s">
        <v>499</v>
      </c>
      <c r="M207" s="271" t="s">
        <v>315</v>
      </c>
      <c r="N207" s="271" t="s">
        <v>315</v>
      </c>
      <c r="O207" s="270" t="s">
        <v>315</v>
      </c>
      <c r="P207" s="270" t="s">
        <v>1186</v>
      </c>
      <c r="Q207" s="270" t="s">
        <v>1187</v>
      </c>
      <c r="R207" s="270" t="s">
        <v>1187</v>
      </c>
      <c r="S207" s="270" t="s">
        <v>1187</v>
      </c>
      <c r="T207" s="270" t="s">
        <v>1187</v>
      </c>
      <c r="U207" s="443" t="s">
        <v>1186</v>
      </c>
      <c r="V207" s="434" t="s">
        <v>1187</v>
      </c>
      <c r="W207" s="268"/>
      <c r="X207" s="260"/>
      <c r="Y207" s="260"/>
      <c r="Z207" s="260"/>
    </row>
    <row r="208" spans="3:26" ht="18" customHeight="1" x14ac:dyDescent="0.3">
      <c r="C208" s="275"/>
      <c r="D208" s="271" t="s">
        <v>317</v>
      </c>
      <c r="E208" s="270" t="s">
        <v>631</v>
      </c>
      <c r="F208" s="270" t="s">
        <v>15</v>
      </c>
      <c r="G208" s="270">
        <v>0</v>
      </c>
      <c r="H208" s="270" t="s">
        <v>1189</v>
      </c>
      <c r="I208" s="270">
        <v>4</v>
      </c>
      <c r="J208" s="274">
        <v>1</v>
      </c>
      <c r="K208" s="273" t="s">
        <v>1200</v>
      </c>
      <c r="L208" s="272" t="s">
        <v>500</v>
      </c>
      <c r="M208" s="271" t="s">
        <v>317</v>
      </c>
      <c r="N208" s="271" t="s">
        <v>317</v>
      </c>
      <c r="O208" s="270" t="s">
        <v>317</v>
      </c>
      <c r="P208" s="270" t="s">
        <v>1186</v>
      </c>
      <c r="Q208" s="270" t="s">
        <v>1187</v>
      </c>
      <c r="R208" s="270" t="s">
        <v>1187</v>
      </c>
      <c r="S208" s="270" t="s">
        <v>1187</v>
      </c>
      <c r="T208" s="270" t="s">
        <v>1187</v>
      </c>
      <c r="U208" s="443" t="s">
        <v>1186</v>
      </c>
      <c r="V208" s="434" t="s">
        <v>1187</v>
      </c>
      <c r="W208" s="268"/>
      <c r="X208" s="260"/>
      <c r="Y208" s="260"/>
      <c r="Z208" s="260"/>
    </row>
    <row r="209" spans="3:26" ht="18" customHeight="1" x14ac:dyDescent="0.3">
      <c r="C209" s="275"/>
      <c r="D209" s="271" t="s">
        <v>319</v>
      </c>
      <c r="E209" s="270" t="s">
        <v>631</v>
      </c>
      <c r="F209" s="270" t="s">
        <v>15</v>
      </c>
      <c r="G209" s="270">
        <v>0</v>
      </c>
      <c r="H209" s="270" t="s">
        <v>1189</v>
      </c>
      <c r="I209" s="270">
        <v>4</v>
      </c>
      <c r="J209" s="274">
        <v>1</v>
      </c>
      <c r="K209" s="273" t="s">
        <v>1200</v>
      </c>
      <c r="L209" s="272" t="s">
        <v>501</v>
      </c>
      <c r="M209" s="271" t="s">
        <v>319</v>
      </c>
      <c r="N209" s="271" t="s">
        <v>319</v>
      </c>
      <c r="O209" s="270" t="s">
        <v>319</v>
      </c>
      <c r="P209" s="270" t="s">
        <v>1186</v>
      </c>
      <c r="Q209" s="270" t="s">
        <v>1187</v>
      </c>
      <c r="R209" s="270" t="s">
        <v>1187</v>
      </c>
      <c r="S209" s="270" t="s">
        <v>1187</v>
      </c>
      <c r="T209" s="270" t="s">
        <v>1187</v>
      </c>
      <c r="U209" s="443" t="s">
        <v>1186</v>
      </c>
      <c r="V209" s="434" t="s">
        <v>1187</v>
      </c>
      <c r="W209" s="268"/>
      <c r="X209" s="260"/>
      <c r="Y209" s="260"/>
      <c r="Z209" s="260"/>
    </row>
    <row r="210" spans="3:26" ht="18" customHeight="1" x14ac:dyDescent="0.3">
      <c r="C210" s="275"/>
      <c r="D210" s="271" t="s">
        <v>1205</v>
      </c>
      <c r="E210" s="270" t="s">
        <v>48</v>
      </c>
      <c r="F210" s="270" t="s">
        <v>15</v>
      </c>
      <c r="G210" s="270">
        <v>0</v>
      </c>
      <c r="H210" s="270" t="s">
        <v>1189</v>
      </c>
      <c r="I210" s="270">
        <v>4</v>
      </c>
      <c r="J210" s="274">
        <v>1</v>
      </c>
      <c r="K210" s="273" t="s">
        <v>1200</v>
      </c>
      <c r="L210" s="272" t="s">
        <v>460</v>
      </c>
      <c r="M210" s="271" t="s">
        <v>1205</v>
      </c>
      <c r="N210" s="271" t="s">
        <v>1205</v>
      </c>
      <c r="O210" s="270" t="s">
        <v>1205</v>
      </c>
      <c r="P210" s="270" t="s">
        <v>1187</v>
      </c>
      <c r="Q210" s="270" t="s">
        <v>1187</v>
      </c>
      <c r="R210" s="270" t="s">
        <v>1187</v>
      </c>
      <c r="S210" s="270" t="s">
        <v>1187</v>
      </c>
      <c r="T210" s="270" t="s">
        <v>1187</v>
      </c>
      <c r="U210" s="443" t="s">
        <v>1187</v>
      </c>
      <c r="V210" s="434" t="s">
        <v>1187</v>
      </c>
      <c r="W210" s="268"/>
      <c r="X210" s="260"/>
      <c r="Y210" s="260"/>
      <c r="Z210" s="260"/>
    </row>
    <row r="211" spans="3:26" ht="18" customHeight="1" x14ac:dyDescent="0.3">
      <c r="C211" s="275"/>
      <c r="D211" s="271" t="s">
        <v>1204</v>
      </c>
      <c r="E211" s="270" t="s">
        <v>48</v>
      </c>
      <c r="F211" s="270" t="s">
        <v>15</v>
      </c>
      <c r="G211" s="270">
        <v>0</v>
      </c>
      <c r="H211" s="270" t="s">
        <v>1189</v>
      </c>
      <c r="I211" s="270">
        <v>4</v>
      </c>
      <c r="J211" s="274">
        <v>1</v>
      </c>
      <c r="K211" s="273" t="s">
        <v>1200</v>
      </c>
      <c r="L211" s="272" t="s">
        <v>460</v>
      </c>
      <c r="M211" s="271" t="s">
        <v>1204</v>
      </c>
      <c r="N211" s="271" t="s">
        <v>1204</v>
      </c>
      <c r="O211" s="270" t="s">
        <v>1204</v>
      </c>
      <c r="P211" s="270" t="s">
        <v>1187</v>
      </c>
      <c r="Q211" s="270" t="s">
        <v>1187</v>
      </c>
      <c r="R211" s="270" t="s">
        <v>1187</v>
      </c>
      <c r="S211" s="270" t="s">
        <v>1187</v>
      </c>
      <c r="T211" s="270" t="s">
        <v>1187</v>
      </c>
      <c r="U211" s="443" t="s">
        <v>1187</v>
      </c>
      <c r="V211" s="434" t="s">
        <v>1187</v>
      </c>
      <c r="W211" s="268"/>
      <c r="X211" s="260"/>
      <c r="Y211" s="260"/>
      <c r="Z211" s="260"/>
    </row>
    <row r="212" spans="3:26" ht="18" customHeight="1" x14ac:dyDescent="0.3">
      <c r="C212" s="275"/>
      <c r="D212" s="271" t="s">
        <v>1203</v>
      </c>
      <c r="E212" s="270" t="s">
        <v>48</v>
      </c>
      <c r="F212" s="270" t="s">
        <v>15</v>
      </c>
      <c r="G212" s="270">
        <v>0</v>
      </c>
      <c r="H212" s="270" t="s">
        <v>1189</v>
      </c>
      <c r="I212" s="270">
        <v>4</v>
      </c>
      <c r="J212" s="274">
        <v>1</v>
      </c>
      <c r="K212" s="273" t="s">
        <v>1200</v>
      </c>
      <c r="L212" s="272" t="s">
        <v>460</v>
      </c>
      <c r="M212" s="271" t="s">
        <v>1203</v>
      </c>
      <c r="N212" s="271" t="s">
        <v>1203</v>
      </c>
      <c r="O212" s="270" t="s">
        <v>1203</v>
      </c>
      <c r="P212" s="270" t="s">
        <v>1187</v>
      </c>
      <c r="Q212" s="270" t="s">
        <v>1187</v>
      </c>
      <c r="R212" s="270" t="s">
        <v>1187</v>
      </c>
      <c r="S212" s="270" t="s">
        <v>1187</v>
      </c>
      <c r="T212" s="270" t="s">
        <v>1187</v>
      </c>
      <c r="U212" s="443" t="s">
        <v>1187</v>
      </c>
      <c r="V212" s="434" t="s">
        <v>1187</v>
      </c>
      <c r="W212" s="268"/>
      <c r="X212" s="260"/>
      <c r="Y212" s="260"/>
      <c r="Z212" s="260"/>
    </row>
    <row r="213" spans="3:26" ht="18" customHeight="1" x14ac:dyDescent="0.3">
      <c r="C213" s="275"/>
      <c r="D213" s="271" t="s">
        <v>1202</v>
      </c>
      <c r="E213" s="270" t="s">
        <v>48</v>
      </c>
      <c r="F213" s="270" t="s">
        <v>15</v>
      </c>
      <c r="G213" s="270">
        <v>0</v>
      </c>
      <c r="H213" s="270" t="s">
        <v>1189</v>
      </c>
      <c r="I213" s="270">
        <v>4</v>
      </c>
      <c r="J213" s="274">
        <v>1</v>
      </c>
      <c r="K213" s="273" t="s">
        <v>1200</v>
      </c>
      <c r="L213" s="272" t="s">
        <v>460</v>
      </c>
      <c r="M213" s="271" t="s">
        <v>1202</v>
      </c>
      <c r="N213" s="271" t="s">
        <v>1202</v>
      </c>
      <c r="O213" s="270" t="s">
        <v>1202</v>
      </c>
      <c r="P213" s="270" t="s">
        <v>1187</v>
      </c>
      <c r="Q213" s="270" t="s">
        <v>1187</v>
      </c>
      <c r="R213" s="270" t="s">
        <v>1187</v>
      </c>
      <c r="S213" s="270" t="s">
        <v>1187</v>
      </c>
      <c r="T213" s="270" t="s">
        <v>1187</v>
      </c>
      <c r="U213" s="443" t="s">
        <v>1187</v>
      </c>
      <c r="V213" s="434" t="s">
        <v>1187</v>
      </c>
      <c r="W213" s="268"/>
      <c r="X213" s="260"/>
      <c r="Y213" s="260"/>
      <c r="Z213" s="260"/>
    </row>
    <row r="214" spans="3:26" ht="18" customHeight="1" x14ac:dyDescent="0.3">
      <c r="C214" s="275"/>
      <c r="D214" s="271" t="s">
        <v>1201</v>
      </c>
      <c r="E214" s="270" t="s">
        <v>48</v>
      </c>
      <c r="F214" s="270" t="s">
        <v>15</v>
      </c>
      <c r="G214" s="270">
        <v>0</v>
      </c>
      <c r="H214" s="270" t="s">
        <v>1189</v>
      </c>
      <c r="I214" s="270">
        <v>4</v>
      </c>
      <c r="J214" s="274">
        <v>1</v>
      </c>
      <c r="K214" s="273" t="s">
        <v>1200</v>
      </c>
      <c r="L214" s="272" t="s">
        <v>460</v>
      </c>
      <c r="M214" s="271" t="s">
        <v>1201</v>
      </c>
      <c r="N214" s="271" t="s">
        <v>1201</v>
      </c>
      <c r="O214" s="270" t="s">
        <v>1201</v>
      </c>
      <c r="P214" s="270" t="s">
        <v>1187</v>
      </c>
      <c r="Q214" s="270" t="s">
        <v>1187</v>
      </c>
      <c r="R214" s="270" t="s">
        <v>1187</v>
      </c>
      <c r="S214" s="270" t="s">
        <v>1187</v>
      </c>
      <c r="T214" s="270" t="s">
        <v>1187</v>
      </c>
      <c r="U214" s="443" t="s">
        <v>1187</v>
      </c>
      <c r="V214" s="434" t="s">
        <v>1187</v>
      </c>
      <c r="W214" s="268"/>
      <c r="X214" s="260"/>
      <c r="Y214" s="260"/>
      <c r="Z214" s="260"/>
    </row>
    <row r="215" spans="3:26" ht="18" customHeight="1" x14ac:dyDescent="0.3">
      <c r="C215" s="275"/>
      <c r="D215" s="271" t="s">
        <v>1199</v>
      </c>
      <c r="E215" s="270" t="s">
        <v>48</v>
      </c>
      <c r="F215" s="270" t="s">
        <v>15</v>
      </c>
      <c r="G215" s="270">
        <v>0</v>
      </c>
      <c r="H215" s="270" t="s">
        <v>1189</v>
      </c>
      <c r="I215" s="270">
        <v>4</v>
      </c>
      <c r="J215" s="274">
        <v>1</v>
      </c>
      <c r="K215" s="273" t="s">
        <v>1200</v>
      </c>
      <c r="L215" s="272" t="s">
        <v>460</v>
      </c>
      <c r="M215" s="271" t="s">
        <v>1199</v>
      </c>
      <c r="N215" s="271" t="s">
        <v>1199</v>
      </c>
      <c r="O215" s="270" t="s">
        <v>1199</v>
      </c>
      <c r="P215" s="270" t="s">
        <v>1187</v>
      </c>
      <c r="Q215" s="270" t="s">
        <v>1187</v>
      </c>
      <c r="R215" s="270" t="s">
        <v>1187</v>
      </c>
      <c r="S215" s="270" t="s">
        <v>1187</v>
      </c>
      <c r="T215" s="270" t="s">
        <v>1187</v>
      </c>
      <c r="U215" s="443" t="s">
        <v>1187</v>
      </c>
      <c r="V215" s="434" t="s">
        <v>1187</v>
      </c>
      <c r="W215" s="268"/>
      <c r="X215" s="260"/>
      <c r="Y215" s="260"/>
      <c r="Z215" s="260"/>
    </row>
    <row r="216" spans="3:26" ht="18" customHeight="1" x14ac:dyDescent="0.3">
      <c r="C216" s="275"/>
      <c r="D216" s="271" t="s">
        <v>327</v>
      </c>
      <c r="E216" s="270" t="s">
        <v>631</v>
      </c>
      <c r="F216" s="270" t="s">
        <v>15</v>
      </c>
      <c r="G216" s="270">
        <v>0</v>
      </c>
      <c r="H216" s="270" t="s">
        <v>1189</v>
      </c>
      <c r="I216" s="270">
        <v>4</v>
      </c>
      <c r="J216" s="274">
        <v>1</v>
      </c>
      <c r="K216" s="273" t="s">
        <v>1193</v>
      </c>
      <c r="L216" s="272" t="s">
        <v>502</v>
      </c>
      <c r="M216" s="271" t="s">
        <v>327</v>
      </c>
      <c r="N216" s="271" t="s">
        <v>327</v>
      </c>
      <c r="O216" s="270" t="s">
        <v>327</v>
      </c>
      <c r="P216" s="270" t="s">
        <v>1186</v>
      </c>
      <c r="Q216" s="270" t="s">
        <v>1186</v>
      </c>
      <c r="R216" s="270" t="s">
        <v>1186</v>
      </c>
      <c r="S216" s="270" t="s">
        <v>1186</v>
      </c>
      <c r="T216" s="270" t="s">
        <v>1186</v>
      </c>
      <c r="U216" s="443" t="s">
        <v>1186</v>
      </c>
      <c r="V216" s="434" t="s">
        <v>1187</v>
      </c>
      <c r="W216" s="268"/>
      <c r="X216" s="260" t="s">
        <v>1191</v>
      </c>
      <c r="Y216" s="260"/>
      <c r="Z216" s="260"/>
    </row>
    <row r="217" spans="3:26" ht="18" customHeight="1" x14ac:dyDescent="0.3">
      <c r="C217" s="275"/>
      <c r="D217" s="271" t="s">
        <v>1198</v>
      </c>
      <c r="E217" s="270" t="s">
        <v>48</v>
      </c>
      <c r="F217" s="270" t="s">
        <v>15</v>
      </c>
      <c r="G217" s="270">
        <v>0</v>
      </c>
      <c r="H217" s="270" t="s">
        <v>1189</v>
      </c>
      <c r="I217" s="270">
        <v>4</v>
      </c>
      <c r="J217" s="274">
        <v>1</v>
      </c>
      <c r="K217" s="273" t="s">
        <v>1193</v>
      </c>
      <c r="L217" s="272" t="s">
        <v>460</v>
      </c>
      <c r="M217" s="271" t="s">
        <v>1198</v>
      </c>
      <c r="N217" s="271" t="s">
        <v>1198</v>
      </c>
      <c r="O217" s="270" t="s">
        <v>1198</v>
      </c>
      <c r="P217" s="270" t="s">
        <v>1187</v>
      </c>
      <c r="Q217" s="270" t="s">
        <v>1187</v>
      </c>
      <c r="R217" s="270" t="s">
        <v>1187</v>
      </c>
      <c r="S217" s="270" t="s">
        <v>1187</v>
      </c>
      <c r="T217" s="270" t="s">
        <v>1187</v>
      </c>
      <c r="U217" s="443" t="s">
        <v>1187</v>
      </c>
      <c r="V217" s="434" t="s">
        <v>1187</v>
      </c>
      <c r="W217" s="268"/>
      <c r="X217" s="260"/>
      <c r="Y217" s="260"/>
      <c r="Z217" s="260"/>
    </row>
    <row r="218" spans="3:26" ht="18" customHeight="1" x14ac:dyDescent="0.3">
      <c r="C218" s="275"/>
      <c r="D218" s="271" t="s">
        <v>1197</v>
      </c>
      <c r="E218" s="270" t="s">
        <v>48</v>
      </c>
      <c r="F218" s="270" t="s">
        <v>15</v>
      </c>
      <c r="G218" s="270">
        <v>0</v>
      </c>
      <c r="H218" s="270" t="s">
        <v>1189</v>
      </c>
      <c r="I218" s="270">
        <v>4</v>
      </c>
      <c r="J218" s="274">
        <v>1</v>
      </c>
      <c r="K218" s="273" t="s">
        <v>1193</v>
      </c>
      <c r="L218" s="272" t="s">
        <v>460</v>
      </c>
      <c r="M218" s="271" t="s">
        <v>1197</v>
      </c>
      <c r="N218" s="271" t="s">
        <v>1197</v>
      </c>
      <c r="O218" s="270" t="s">
        <v>1197</v>
      </c>
      <c r="P218" s="270" t="s">
        <v>1187</v>
      </c>
      <c r="Q218" s="270" t="s">
        <v>1187</v>
      </c>
      <c r="R218" s="270" t="s">
        <v>1187</v>
      </c>
      <c r="S218" s="270" t="s">
        <v>1187</v>
      </c>
      <c r="T218" s="270" t="s">
        <v>1187</v>
      </c>
      <c r="U218" s="443" t="s">
        <v>1187</v>
      </c>
      <c r="V218" s="434" t="s">
        <v>1187</v>
      </c>
      <c r="W218" s="268"/>
      <c r="X218" s="260"/>
      <c r="Y218" s="260"/>
      <c r="Z218" s="260"/>
    </row>
    <row r="219" spans="3:26" ht="18" customHeight="1" x14ac:dyDescent="0.3">
      <c r="C219" s="275"/>
      <c r="D219" s="271" t="s">
        <v>331</v>
      </c>
      <c r="E219" s="270" t="s">
        <v>631</v>
      </c>
      <c r="F219" s="270" t="s">
        <v>15</v>
      </c>
      <c r="G219" s="270">
        <v>0</v>
      </c>
      <c r="H219" s="270" t="s">
        <v>1189</v>
      </c>
      <c r="I219" s="270">
        <v>4</v>
      </c>
      <c r="J219" s="274">
        <v>1</v>
      </c>
      <c r="K219" s="273" t="s">
        <v>1193</v>
      </c>
      <c r="L219" s="272" t="s">
        <v>503</v>
      </c>
      <c r="M219" s="271" t="s">
        <v>331</v>
      </c>
      <c r="N219" s="271" t="s">
        <v>331</v>
      </c>
      <c r="O219" s="270" t="s">
        <v>331</v>
      </c>
      <c r="P219" s="270" t="s">
        <v>1186</v>
      </c>
      <c r="Q219" s="270" t="s">
        <v>1186</v>
      </c>
      <c r="R219" s="270" t="s">
        <v>1186</v>
      </c>
      <c r="S219" s="270" t="s">
        <v>1186</v>
      </c>
      <c r="T219" s="270" t="s">
        <v>1186</v>
      </c>
      <c r="U219" s="443" t="s">
        <v>1186</v>
      </c>
      <c r="V219" s="434" t="s">
        <v>1187</v>
      </c>
      <c r="W219" s="268"/>
      <c r="X219" s="260" t="s">
        <v>1191</v>
      </c>
      <c r="Y219" s="260"/>
      <c r="Z219" s="260"/>
    </row>
    <row r="220" spans="3:26" ht="18" customHeight="1" x14ac:dyDescent="0.3">
      <c r="C220" s="275"/>
      <c r="D220" s="271" t="s">
        <v>1196</v>
      </c>
      <c r="E220" s="270" t="s">
        <v>48</v>
      </c>
      <c r="F220" s="270" t="s">
        <v>15</v>
      </c>
      <c r="G220" s="270">
        <v>0</v>
      </c>
      <c r="H220" s="270" t="s">
        <v>1189</v>
      </c>
      <c r="I220" s="270">
        <v>4</v>
      </c>
      <c r="J220" s="274">
        <v>1</v>
      </c>
      <c r="K220" s="273" t="s">
        <v>1193</v>
      </c>
      <c r="L220" s="272" t="s">
        <v>460</v>
      </c>
      <c r="M220" s="271" t="s">
        <v>1196</v>
      </c>
      <c r="N220" s="271" t="s">
        <v>1196</v>
      </c>
      <c r="O220" s="270" t="s">
        <v>1196</v>
      </c>
      <c r="P220" s="270" t="s">
        <v>1187</v>
      </c>
      <c r="Q220" s="270" t="s">
        <v>1187</v>
      </c>
      <c r="R220" s="270" t="s">
        <v>1187</v>
      </c>
      <c r="S220" s="270" t="s">
        <v>1187</v>
      </c>
      <c r="T220" s="270" t="s">
        <v>1187</v>
      </c>
      <c r="U220" s="443" t="s">
        <v>1187</v>
      </c>
      <c r="V220" s="434" t="s">
        <v>1187</v>
      </c>
      <c r="W220" s="268"/>
      <c r="X220" s="260"/>
      <c r="Y220" s="260"/>
      <c r="Z220" s="260"/>
    </row>
    <row r="221" spans="3:26" ht="18" customHeight="1" x14ac:dyDescent="0.3">
      <c r="C221" s="275"/>
      <c r="D221" s="271" t="s">
        <v>1195</v>
      </c>
      <c r="E221" s="270" t="s">
        <v>48</v>
      </c>
      <c r="F221" s="270" t="s">
        <v>15</v>
      </c>
      <c r="G221" s="270">
        <v>0</v>
      </c>
      <c r="H221" s="270" t="s">
        <v>1189</v>
      </c>
      <c r="I221" s="270">
        <v>4</v>
      </c>
      <c r="J221" s="274">
        <v>1</v>
      </c>
      <c r="K221" s="273" t="s">
        <v>1193</v>
      </c>
      <c r="L221" s="272" t="s">
        <v>460</v>
      </c>
      <c r="M221" s="271" t="s">
        <v>1195</v>
      </c>
      <c r="N221" s="271" t="s">
        <v>1195</v>
      </c>
      <c r="O221" s="270" t="s">
        <v>1195</v>
      </c>
      <c r="P221" s="270" t="s">
        <v>1187</v>
      </c>
      <c r="Q221" s="270" t="s">
        <v>1187</v>
      </c>
      <c r="R221" s="270" t="s">
        <v>1187</v>
      </c>
      <c r="S221" s="270" t="s">
        <v>1187</v>
      </c>
      <c r="T221" s="270" t="s">
        <v>1187</v>
      </c>
      <c r="U221" s="443" t="s">
        <v>1187</v>
      </c>
      <c r="V221" s="434" t="s">
        <v>1187</v>
      </c>
      <c r="W221" s="268"/>
      <c r="X221" s="260"/>
      <c r="Y221" s="260"/>
      <c r="Z221" s="260"/>
    </row>
    <row r="222" spans="3:26" ht="18" customHeight="1" x14ac:dyDescent="0.3">
      <c r="C222" s="275"/>
      <c r="D222" s="271" t="s">
        <v>1194</v>
      </c>
      <c r="E222" s="270" t="s">
        <v>48</v>
      </c>
      <c r="F222" s="270" t="s">
        <v>15</v>
      </c>
      <c r="G222" s="270">
        <v>0</v>
      </c>
      <c r="H222" s="270" t="s">
        <v>1189</v>
      </c>
      <c r="I222" s="270">
        <v>4</v>
      </c>
      <c r="J222" s="274">
        <v>1</v>
      </c>
      <c r="K222" s="273" t="s">
        <v>1193</v>
      </c>
      <c r="L222" s="272" t="s">
        <v>460</v>
      </c>
      <c r="M222" s="271" t="s">
        <v>1194</v>
      </c>
      <c r="N222" s="271" t="s">
        <v>1194</v>
      </c>
      <c r="O222" s="270" t="s">
        <v>1194</v>
      </c>
      <c r="P222" s="270" t="s">
        <v>1187</v>
      </c>
      <c r="Q222" s="270" t="s">
        <v>1187</v>
      </c>
      <c r="R222" s="270" t="s">
        <v>1187</v>
      </c>
      <c r="S222" s="270" t="s">
        <v>1187</v>
      </c>
      <c r="T222" s="270" t="s">
        <v>1187</v>
      </c>
      <c r="U222" s="443" t="s">
        <v>1187</v>
      </c>
      <c r="V222" s="434" t="s">
        <v>1187</v>
      </c>
      <c r="W222" s="268"/>
      <c r="X222" s="260"/>
      <c r="Y222" s="260"/>
      <c r="Z222" s="260"/>
    </row>
    <row r="223" spans="3:26" ht="18" customHeight="1" x14ac:dyDescent="0.3">
      <c r="C223" s="275"/>
      <c r="D223" s="271" t="s">
        <v>1192</v>
      </c>
      <c r="E223" s="270" t="s">
        <v>48</v>
      </c>
      <c r="F223" s="270" t="s">
        <v>15</v>
      </c>
      <c r="G223" s="270">
        <v>0</v>
      </c>
      <c r="H223" s="270" t="s">
        <v>1189</v>
      </c>
      <c r="I223" s="270">
        <v>4</v>
      </c>
      <c r="J223" s="274">
        <v>1</v>
      </c>
      <c r="K223" s="273" t="s">
        <v>1193</v>
      </c>
      <c r="L223" s="276" t="s">
        <v>1155</v>
      </c>
      <c r="M223" s="271" t="s">
        <v>1192</v>
      </c>
      <c r="N223" s="271" t="s">
        <v>1192</v>
      </c>
      <c r="O223" s="270" t="s">
        <v>1192</v>
      </c>
      <c r="P223" s="270" t="s">
        <v>1187</v>
      </c>
      <c r="Q223" s="270" t="s">
        <v>1187</v>
      </c>
      <c r="R223" s="270" t="s">
        <v>1187</v>
      </c>
      <c r="S223" s="270" t="s">
        <v>1187</v>
      </c>
      <c r="T223" s="270" t="s">
        <v>1187</v>
      </c>
      <c r="U223" s="443" t="s">
        <v>1187</v>
      </c>
      <c r="V223" s="434" t="s">
        <v>1187</v>
      </c>
      <c r="W223" s="268"/>
      <c r="X223" s="260" t="s">
        <v>1191</v>
      </c>
      <c r="Y223" s="260"/>
      <c r="Z223" s="260"/>
    </row>
    <row r="224" spans="3:26" ht="18" customHeight="1" x14ac:dyDescent="0.3">
      <c r="C224" s="275"/>
      <c r="D224" s="271" t="s">
        <v>337</v>
      </c>
      <c r="E224" s="270" t="s">
        <v>615</v>
      </c>
      <c r="F224" s="270" t="s">
        <v>15</v>
      </c>
      <c r="G224" s="270">
        <v>0</v>
      </c>
      <c r="H224" s="270" t="s">
        <v>1189</v>
      </c>
      <c r="I224" s="270">
        <v>4</v>
      </c>
      <c r="J224" s="274">
        <v>1</v>
      </c>
      <c r="K224" s="273" t="s">
        <v>1188</v>
      </c>
      <c r="L224" s="272" t="s">
        <v>504</v>
      </c>
      <c r="M224" s="271" t="s">
        <v>337</v>
      </c>
      <c r="N224" s="271" t="s">
        <v>337</v>
      </c>
      <c r="O224" s="270" t="s">
        <v>337</v>
      </c>
      <c r="P224" s="270" t="s">
        <v>1186</v>
      </c>
      <c r="Q224" s="270" t="s">
        <v>1186</v>
      </c>
      <c r="R224" s="270" t="s">
        <v>1186</v>
      </c>
      <c r="S224" s="270" t="s">
        <v>1186</v>
      </c>
      <c r="T224" s="269" t="s">
        <v>1186</v>
      </c>
      <c r="U224" s="446" t="s">
        <v>1186</v>
      </c>
      <c r="V224" s="434" t="s">
        <v>1187</v>
      </c>
      <c r="W224" s="268" t="s">
        <v>1185</v>
      </c>
      <c r="X224" s="260" t="s">
        <v>1190</v>
      </c>
      <c r="Y224" s="260"/>
      <c r="Z224" s="260"/>
    </row>
    <row r="225" spans="3:26" ht="18" customHeight="1" x14ac:dyDescent="0.3">
      <c r="C225" s="275"/>
      <c r="D225" s="271" t="s">
        <v>339</v>
      </c>
      <c r="E225" s="270" t="s">
        <v>615</v>
      </c>
      <c r="F225" s="270" t="s">
        <v>15</v>
      </c>
      <c r="G225" s="270">
        <v>0</v>
      </c>
      <c r="H225" s="270" t="s">
        <v>1189</v>
      </c>
      <c r="I225" s="270">
        <v>4</v>
      </c>
      <c r="J225" s="274">
        <v>1</v>
      </c>
      <c r="K225" s="273" t="s">
        <v>1188</v>
      </c>
      <c r="L225" s="272" t="s">
        <v>505</v>
      </c>
      <c r="M225" s="271" t="s">
        <v>339</v>
      </c>
      <c r="N225" s="271" t="s">
        <v>339</v>
      </c>
      <c r="O225" s="270" t="s">
        <v>339</v>
      </c>
      <c r="P225" s="270" t="s">
        <v>1186</v>
      </c>
      <c r="Q225" s="270" t="s">
        <v>1186</v>
      </c>
      <c r="R225" s="270" t="s">
        <v>1186</v>
      </c>
      <c r="S225" s="270" t="s">
        <v>1186</v>
      </c>
      <c r="T225" s="269" t="s">
        <v>1186</v>
      </c>
      <c r="U225" s="446" t="s">
        <v>1186</v>
      </c>
      <c r="V225" s="434" t="s">
        <v>1187</v>
      </c>
      <c r="W225" s="268" t="s">
        <v>1185</v>
      </c>
      <c r="X225" s="260" t="s">
        <v>1190</v>
      </c>
      <c r="Y225" s="260"/>
      <c r="Z225" s="260"/>
    </row>
    <row r="226" spans="3:26" ht="18" customHeight="1" x14ac:dyDescent="0.3">
      <c r="C226" s="275"/>
      <c r="D226" s="271" t="s">
        <v>341</v>
      </c>
      <c r="E226" s="270" t="s">
        <v>615</v>
      </c>
      <c r="F226" s="270" t="s">
        <v>15</v>
      </c>
      <c r="G226" s="270">
        <v>0</v>
      </c>
      <c r="H226" s="270" t="s">
        <v>1189</v>
      </c>
      <c r="I226" s="270">
        <v>4</v>
      </c>
      <c r="J226" s="274">
        <v>1</v>
      </c>
      <c r="K226" s="273" t="s">
        <v>1188</v>
      </c>
      <c r="L226" s="272" t="s">
        <v>506</v>
      </c>
      <c r="M226" s="271" t="s">
        <v>341</v>
      </c>
      <c r="N226" s="271" t="s">
        <v>341</v>
      </c>
      <c r="O226" s="270" t="s">
        <v>341</v>
      </c>
      <c r="P226" s="270" t="s">
        <v>1186</v>
      </c>
      <c r="Q226" s="270" t="s">
        <v>1186</v>
      </c>
      <c r="R226" s="270" t="s">
        <v>1186</v>
      </c>
      <c r="S226" s="270" t="s">
        <v>1186</v>
      </c>
      <c r="T226" s="269" t="s">
        <v>1186</v>
      </c>
      <c r="U226" s="446" t="s">
        <v>1186</v>
      </c>
      <c r="V226" s="434" t="s">
        <v>1187</v>
      </c>
      <c r="W226" s="268" t="s">
        <v>1185</v>
      </c>
      <c r="X226" s="260" t="s">
        <v>1190</v>
      </c>
      <c r="Y226" s="260"/>
      <c r="Z226" s="260"/>
    </row>
    <row r="227" spans="3:26" ht="18" customHeight="1" x14ac:dyDescent="0.3">
      <c r="C227" s="275"/>
      <c r="D227" s="271" t="s">
        <v>343</v>
      </c>
      <c r="E227" s="270" t="s">
        <v>615</v>
      </c>
      <c r="F227" s="270" t="s">
        <v>15</v>
      </c>
      <c r="G227" s="270">
        <v>0</v>
      </c>
      <c r="H227" s="270" t="s">
        <v>1189</v>
      </c>
      <c r="I227" s="270">
        <v>4</v>
      </c>
      <c r="J227" s="274">
        <v>1</v>
      </c>
      <c r="K227" s="273" t="s">
        <v>1188</v>
      </c>
      <c r="L227" s="272" t="s">
        <v>507</v>
      </c>
      <c r="M227" s="271" t="s">
        <v>343</v>
      </c>
      <c r="N227" s="271" t="s">
        <v>343</v>
      </c>
      <c r="O227" s="270" t="s">
        <v>343</v>
      </c>
      <c r="P227" s="270" t="s">
        <v>1186</v>
      </c>
      <c r="Q227" s="270" t="s">
        <v>1186</v>
      </c>
      <c r="R227" s="270" t="s">
        <v>1186</v>
      </c>
      <c r="S227" s="270" t="s">
        <v>1186</v>
      </c>
      <c r="T227" s="269" t="s">
        <v>1186</v>
      </c>
      <c r="U227" s="446" t="s">
        <v>1186</v>
      </c>
      <c r="V227" s="434" t="s">
        <v>1187</v>
      </c>
      <c r="W227" s="268" t="s">
        <v>1185</v>
      </c>
      <c r="X227" s="260" t="s">
        <v>1190</v>
      </c>
      <c r="Y227" s="260"/>
      <c r="Z227" s="260"/>
    </row>
    <row r="228" spans="3:26" ht="18" customHeight="1" x14ac:dyDescent="0.3">
      <c r="C228" s="275"/>
      <c r="D228" s="271" t="s">
        <v>345</v>
      </c>
      <c r="E228" s="270" t="s">
        <v>615</v>
      </c>
      <c r="F228" s="270" t="s">
        <v>15</v>
      </c>
      <c r="G228" s="270">
        <v>0</v>
      </c>
      <c r="H228" s="270" t="s">
        <v>1189</v>
      </c>
      <c r="I228" s="270">
        <v>4</v>
      </c>
      <c r="J228" s="274">
        <v>1</v>
      </c>
      <c r="K228" s="273" t="s">
        <v>1188</v>
      </c>
      <c r="L228" s="272" t="s">
        <v>508</v>
      </c>
      <c r="M228" s="271" t="s">
        <v>345</v>
      </c>
      <c r="N228" s="271" t="s">
        <v>345</v>
      </c>
      <c r="O228" s="270" t="s">
        <v>345</v>
      </c>
      <c r="P228" s="270" t="s">
        <v>1186</v>
      </c>
      <c r="Q228" s="270" t="s">
        <v>1186</v>
      </c>
      <c r="R228" s="270" t="s">
        <v>1186</v>
      </c>
      <c r="S228" s="270" t="s">
        <v>1186</v>
      </c>
      <c r="T228" s="269" t="s">
        <v>1186</v>
      </c>
      <c r="U228" s="446" t="s">
        <v>1186</v>
      </c>
      <c r="V228" s="434" t="s">
        <v>1187</v>
      </c>
      <c r="W228" s="268" t="s">
        <v>1185</v>
      </c>
      <c r="X228" s="260" t="s">
        <v>1190</v>
      </c>
      <c r="Y228" s="260"/>
      <c r="Z228" s="260"/>
    </row>
    <row r="229" spans="3:26" ht="18" customHeight="1" x14ac:dyDescent="0.3">
      <c r="C229" s="275"/>
      <c r="D229" s="271" t="s">
        <v>347</v>
      </c>
      <c r="E229" s="270" t="s">
        <v>615</v>
      </c>
      <c r="F229" s="270" t="s">
        <v>15</v>
      </c>
      <c r="G229" s="270">
        <v>0</v>
      </c>
      <c r="H229" s="270" t="s">
        <v>1189</v>
      </c>
      <c r="I229" s="270">
        <v>4</v>
      </c>
      <c r="J229" s="274">
        <v>1</v>
      </c>
      <c r="K229" s="273" t="s">
        <v>1188</v>
      </c>
      <c r="L229" s="272" t="s">
        <v>509</v>
      </c>
      <c r="M229" s="271" t="s">
        <v>347</v>
      </c>
      <c r="N229" s="271" t="s">
        <v>347</v>
      </c>
      <c r="O229" s="270" t="s">
        <v>347</v>
      </c>
      <c r="P229" s="270" t="s">
        <v>1186</v>
      </c>
      <c r="Q229" s="270" t="s">
        <v>1186</v>
      </c>
      <c r="R229" s="270" t="s">
        <v>1186</v>
      </c>
      <c r="S229" s="270" t="s">
        <v>1186</v>
      </c>
      <c r="T229" s="269" t="s">
        <v>1186</v>
      </c>
      <c r="U229" s="446" t="s">
        <v>1186</v>
      </c>
      <c r="V229" s="434" t="s">
        <v>1187</v>
      </c>
      <c r="W229" s="268" t="s">
        <v>1185</v>
      </c>
      <c r="X229" s="260"/>
      <c r="Y229" s="260"/>
      <c r="Z229" s="260"/>
    </row>
    <row r="230" spans="3:26" ht="18" customHeight="1" x14ac:dyDescent="0.3">
      <c r="C230" s="275"/>
      <c r="D230" s="271" t="s">
        <v>349</v>
      </c>
      <c r="E230" s="270" t="s">
        <v>615</v>
      </c>
      <c r="F230" s="270" t="s">
        <v>15</v>
      </c>
      <c r="G230" s="270">
        <v>0</v>
      </c>
      <c r="H230" s="270" t="s">
        <v>1189</v>
      </c>
      <c r="I230" s="270">
        <v>4</v>
      </c>
      <c r="J230" s="274">
        <v>1</v>
      </c>
      <c r="K230" s="273" t="s">
        <v>1188</v>
      </c>
      <c r="L230" s="272" t="s">
        <v>510</v>
      </c>
      <c r="M230" s="271" t="s">
        <v>349</v>
      </c>
      <c r="N230" s="271" t="s">
        <v>349</v>
      </c>
      <c r="O230" s="270" t="s">
        <v>349</v>
      </c>
      <c r="P230" s="270" t="s">
        <v>1186</v>
      </c>
      <c r="Q230" s="270" t="s">
        <v>1186</v>
      </c>
      <c r="R230" s="270" t="s">
        <v>1186</v>
      </c>
      <c r="S230" s="270" t="s">
        <v>1186</v>
      </c>
      <c r="T230" s="269" t="s">
        <v>1186</v>
      </c>
      <c r="U230" s="446" t="s">
        <v>1186</v>
      </c>
      <c r="V230" s="434" t="s">
        <v>1187</v>
      </c>
      <c r="W230" s="268" t="s">
        <v>1185</v>
      </c>
      <c r="X230" s="260"/>
      <c r="Y230" s="260"/>
      <c r="Z230" s="260"/>
    </row>
    <row r="231" spans="3:26" ht="18" customHeight="1" x14ac:dyDescent="0.3">
      <c r="C231" s="275"/>
      <c r="D231" s="271" t="s">
        <v>351</v>
      </c>
      <c r="E231" s="270" t="s">
        <v>615</v>
      </c>
      <c r="F231" s="270" t="s">
        <v>15</v>
      </c>
      <c r="G231" s="270">
        <v>0</v>
      </c>
      <c r="H231" s="270" t="s">
        <v>1189</v>
      </c>
      <c r="I231" s="270">
        <v>4</v>
      </c>
      <c r="J231" s="274">
        <v>1</v>
      </c>
      <c r="K231" s="273" t="s">
        <v>1188</v>
      </c>
      <c r="L231" s="272" t="s">
        <v>511</v>
      </c>
      <c r="M231" s="271" t="s">
        <v>351</v>
      </c>
      <c r="N231" s="271" t="s">
        <v>351</v>
      </c>
      <c r="O231" s="270" t="s">
        <v>351</v>
      </c>
      <c r="P231" s="270" t="s">
        <v>1186</v>
      </c>
      <c r="Q231" s="270" t="s">
        <v>1186</v>
      </c>
      <c r="R231" s="270" t="s">
        <v>1186</v>
      </c>
      <c r="S231" s="270" t="s">
        <v>1186</v>
      </c>
      <c r="T231" s="269" t="s">
        <v>1186</v>
      </c>
      <c r="U231" s="446" t="s">
        <v>1186</v>
      </c>
      <c r="V231" s="434" t="s">
        <v>1187</v>
      </c>
      <c r="W231" s="268" t="s">
        <v>1185</v>
      </c>
      <c r="X231" s="260"/>
      <c r="Y231" s="260"/>
      <c r="Z231" s="260"/>
    </row>
    <row r="232" spans="3:26" ht="18" customHeight="1" thickBot="1" x14ac:dyDescent="0.35">
      <c r="C232" s="267"/>
      <c r="D232" s="264"/>
      <c r="E232" s="265"/>
      <c r="F232" s="266"/>
      <c r="G232" s="266"/>
      <c r="H232" s="264"/>
      <c r="I232" s="264"/>
      <c r="J232" s="264"/>
      <c r="K232" s="264"/>
      <c r="L232" s="265"/>
      <c r="M232" s="264"/>
      <c r="N232" s="264"/>
      <c r="O232" s="264"/>
      <c r="P232" s="265"/>
      <c r="Q232" s="264"/>
      <c r="R232" s="264"/>
      <c r="S232" s="264"/>
      <c r="T232" s="263"/>
      <c r="U232" s="447"/>
      <c r="V232" s="263"/>
      <c r="W232" s="262"/>
      <c r="X232" s="260"/>
      <c r="Y232" s="260"/>
      <c r="Z232" s="260"/>
    </row>
  </sheetData>
  <conditionalFormatting sqref="J33:J37">
    <cfRule type="cellIs" dxfId="702" priority="62" operator="equal">
      <formula>0</formula>
    </cfRule>
  </conditionalFormatting>
  <conditionalFormatting sqref="E203">
    <cfRule type="cellIs" dxfId="701" priority="56" operator="equal">
      <formula>0</formula>
    </cfRule>
  </conditionalFormatting>
  <conditionalFormatting sqref="E204">
    <cfRule type="cellIs" dxfId="700" priority="55" operator="equal">
      <formula>0</formula>
    </cfRule>
  </conditionalFormatting>
  <conditionalFormatting sqref="E205">
    <cfRule type="cellIs" dxfId="699" priority="54" operator="equal">
      <formula>0</formula>
    </cfRule>
  </conditionalFormatting>
  <conditionalFormatting sqref="E207">
    <cfRule type="cellIs" dxfId="698" priority="53" operator="equal">
      <formula>0</formula>
    </cfRule>
  </conditionalFormatting>
  <conditionalFormatting sqref="E206">
    <cfRule type="cellIs" dxfId="697" priority="52" operator="equal">
      <formula>0</formula>
    </cfRule>
  </conditionalFormatting>
  <conditionalFormatting sqref="H163:H167">
    <cfRule type="cellIs" priority="51" operator="equal">
      <formula>0</formula>
    </cfRule>
  </conditionalFormatting>
  <conditionalFormatting sqref="E209">
    <cfRule type="cellIs" dxfId="696" priority="48" operator="equal">
      <formula>0</formula>
    </cfRule>
  </conditionalFormatting>
  <conditionalFormatting sqref="E208">
    <cfRule type="cellIs" priority="49" operator="equal">
      <formula>0</formula>
    </cfRule>
  </conditionalFormatting>
  <conditionalFormatting sqref="E210">
    <cfRule type="cellIs" dxfId="695" priority="46" operator="equal">
      <formula>0</formula>
    </cfRule>
    <cfRule type="cellIs" dxfId="694" priority="47" operator="equal">
      <formula>0</formula>
    </cfRule>
  </conditionalFormatting>
  <conditionalFormatting sqref="E212">
    <cfRule type="cellIs" priority="45" operator="equal">
      <formula>0</formula>
    </cfRule>
  </conditionalFormatting>
  <conditionalFormatting sqref="F160">
    <cfRule type="cellIs" dxfId="693" priority="40" operator="equal">
      <formula>0</formula>
    </cfRule>
  </conditionalFormatting>
  <conditionalFormatting sqref="F157:H157 G158:H161">
    <cfRule type="cellIs" dxfId="692" priority="44" operator="equal">
      <formula>0</formula>
    </cfRule>
  </conditionalFormatting>
  <conditionalFormatting sqref="F158">
    <cfRule type="cellIs" dxfId="691" priority="43" operator="equal">
      <formula>0</formula>
    </cfRule>
  </conditionalFormatting>
  <conditionalFormatting sqref="F159">
    <cfRule type="cellIs" dxfId="690" priority="42" operator="equal">
      <formula>0</formula>
    </cfRule>
  </conditionalFormatting>
  <conditionalFormatting sqref="F161">
    <cfRule type="cellIs" dxfId="689" priority="39" operator="equal">
      <formula>0</formula>
    </cfRule>
  </conditionalFormatting>
  <conditionalFormatting sqref="E157">
    <cfRule type="cellIs" dxfId="688" priority="38" operator="equal">
      <formula>0</formula>
    </cfRule>
  </conditionalFormatting>
  <conditionalFormatting sqref="E158">
    <cfRule type="cellIs" dxfId="687" priority="37" operator="equal">
      <formula>0</formula>
    </cfRule>
  </conditionalFormatting>
  <conditionalFormatting sqref="E159">
    <cfRule type="cellIs" dxfId="686" priority="36" operator="equal">
      <formula>0</formula>
    </cfRule>
  </conditionalFormatting>
  <conditionalFormatting sqref="E161">
    <cfRule type="cellIs" dxfId="685" priority="35" operator="equal">
      <formula>0</formula>
    </cfRule>
  </conditionalFormatting>
  <conditionalFormatting sqref="E160">
    <cfRule type="cellIs" dxfId="684" priority="34" operator="equal">
      <formula>0</formula>
    </cfRule>
  </conditionalFormatting>
  <conditionalFormatting sqref="F163">
    <cfRule type="cellIs" dxfId="683" priority="32" operator="equal">
      <formula>0</formula>
    </cfRule>
  </conditionalFormatting>
  <conditionalFormatting sqref="F162:H162 G163:G167">
    <cfRule type="cellIs" priority="33" operator="equal">
      <formula>0</formula>
    </cfRule>
  </conditionalFormatting>
  <conditionalFormatting sqref="F164">
    <cfRule type="cellIs" dxfId="682" priority="30" operator="equal">
      <formula>0</formula>
    </cfRule>
    <cfRule type="cellIs" dxfId="681" priority="31" operator="equal">
      <formula>0</formula>
    </cfRule>
  </conditionalFormatting>
  <conditionalFormatting sqref="E163">
    <cfRule type="cellIs" dxfId="680" priority="28" operator="equal">
      <formula>0</formula>
    </cfRule>
  </conditionalFormatting>
  <conditionalFormatting sqref="E162">
    <cfRule type="cellIs" priority="29" operator="equal">
      <formula>0</formula>
    </cfRule>
  </conditionalFormatting>
  <conditionalFormatting sqref="E164">
    <cfRule type="cellIs" dxfId="679" priority="26" operator="equal">
      <formula>0</formula>
    </cfRule>
    <cfRule type="cellIs" dxfId="678" priority="27" operator="equal">
      <formula>0</formula>
    </cfRule>
  </conditionalFormatting>
  <conditionalFormatting sqref="F165:F166">
    <cfRule type="cellIs" priority="25" operator="equal">
      <formula>0</formula>
    </cfRule>
  </conditionalFormatting>
  <conditionalFormatting sqref="E165:E166">
    <cfRule type="cellIs" priority="24" operator="equal">
      <formula>0</formula>
    </cfRule>
  </conditionalFormatting>
  <conditionalFormatting sqref="N157">
    <cfRule type="cellIs" dxfId="677" priority="23" operator="equal">
      <formula>0</formula>
    </cfRule>
  </conditionalFormatting>
  <conditionalFormatting sqref="N158">
    <cfRule type="cellIs" dxfId="676" priority="22" operator="equal">
      <formula>0</formula>
    </cfRule>
  </conditionalFormatting>
  <conditionalFormatting sqref="N159">
    <cfRule type="cellIs" dxfId="675" priority="21" operator="equal">
      <formula>0</formula>
    </cfRule>
  </conditionalFormatting>
  <conditionalFormatting sqref="N160">
    <cfRule type="cellIs" dxfId="674" priority="20" operator="equal">
      <formula>0</formula>
    </cfRule>
  </conditionalFormatting>
  <conditionalFormatting sqref="N162">
    <cfRule type="cellIs" priority="19" operator="equal">
      <formula>0</formula>
    </cfRule>
  </conditionalFormatting>
  <conditionalFormatting sqref="N163">
    <cfRule type="cellIs" dxfId="673" priority="18" operator="equal">
      <formula>0</formula>
    </cfRule>
  </conditionalFormatting>
  <conditionalFormatting sqref="N164:N166">
    <cfRule type="cellIs" dxfId="672" priority="16" operator="equal">
      <formula>0</formula>
    </cfRule>
    <cfRule type="cellIs" dxfId="671" priority="17" operator="equal">
      <formula>0</formula>
    </cfRule>
  </conditionalFormatting>
  <conditionalFormatting sqref="L157:L159">
    <cfRule type="cellIs" dxfId="670" priority="15" operator="equal">
      <formula>0</formula>
    </cfRule>
  </conditionalFormatting>
  <conditionalFormatting sqref="L157">
    <cfRule type="cellIs" dxfId="669" priority="14" operator="equal">
      <formula>0</formula>
    </cfRule>
  </conditionalFormatting>
  <conditionalFormatting sqref="L158">
    <cfRule type="cellIs" dxfId="668" priority="13" operator="equal">
      <formula>0</formula>
    </cfRule>
  </conditionalFormatting>
  <conditionalFormatting sqref="L159">
    <cfRule type="cellIs" dxfId="667" priority="12" operator="equal">
      <formula>0</formula>
    </cfRule>
  </conditionalFormatting>
  <conditionalFormatting sqref="L160:L161">
    <cfRule type="cellIs" dxfId="666" priority="11" operator="equal">
      <formula>0</formula>
    </cfRule>
  </conditionalFormatting>
  <conditionalFormatting sqref="L160">
    <cfRule type="cellIs" dxfId="665" priority="10" operator="equal">
      <formula>0</formula>
    </cfRule>
  </conditionalFormatting>
  <conditionalFormatting sqref="L161">
    <cfRule type="cellIs" dxfId="664" priority="9" operator="equal">
      <formula>0</formula>
    </cfRule>
  </conditionalFormatting>
  <conditionalFormatting sqref="L166">
    <cfRule type="cellIs" dxfId="663" priority="8" operator="equal">
      <formula>0</formula>
    </cfRule>
  </conditionalFormatting>
  <conditionalFormatting sqref="L167">
    <cfRule type="cellIs" dxfId="662" priority="7" operator="equal">
      <formula>0</formula>
    </cfRule>
  </conditionalFormatting>
  <conditionalFormatting sqref="L165:L166">
    <cfRule type="cellIs" dxfId="661" priority="6" operator="equal">
      <formula>0</formula>
    </cfRule>
  </conditionalFormatting>
  <conditionalFormatting sqref="L165:L166">
    <cfRule type="cellIs" priority="5" operator="equal">
      <formula>0</formula>
    </cfRule>
  </conditionalFormatting>
  <conditionalFormatting sqref="O160">
    <cfRule type="cellIs" dxfId="660" priority="4" operator="equal">
      <formula>0</formula>
    </cfRule>
  </conditionalFormatting>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191C0-A418-4EBA-BDC4-F009F416C3FD}">
  <dimension ref="C1:X232"/>
  <sheetViews>
    <sheetView topLeftCell="B121" workbookViewId="0">
      <selection activeCell="E131" sqref="E131"/>
    </sheetView>
  </sheetViews>
  <sheetFormatPr defaultColWidth="8.88671875" defaultRowHeight="14.4" x14ac:dyDescent="0.3"/>
  <cols>
    <col min="1" max="1" width="8.88671875" style="257"/>
    <col min="2" max="2" width="8.88671875" style="257" customWidth="1"/>
    <col min="3" max="3" width="29.33203125" style="257" customWidth="1"/>
    <col min="4" max="4" width="42.109375" style="257" customWidth="1"/>
    <col min="5" max="5" width="22" style="261" customWidth="1"/>
    <col min="6" max="6" width="48.88671875" style="257" customWidth="1"/>
    <col min="7" max="8" width="17.44140625" style="257" customWidth="1"/>
    <col min="9" max="9" width="9.88671875" style="257" customWidth="1"/>
    <col min="10" max="10" width="11.6640625" style="257" customWidth="1"/>
    <col min="11" max="11" width="15.33203125" style="257" customWidth="1"/>
    <col min="12" max="12" width="39.33203125" style="261" customWidth="1"/>
    <col min="13" max="13" width="34.44140625" style="260" customWidth="1"/>
    <col min="14" max="14" width="27.5546875" style="260" customWidth="1"/>
    <col min="15" max="15" width="27.109375" style="260" customWidth="1"/>
    <col min="16" max="16" width="16.21875" style="259" customWidth="1"/>
    <col min="17" max="17" width="13.77734375" style="257" customWidth="1"/>
    <col min="18" max="18" width="12.88671875" style="258" customWidth="1"/>
    <col min="19" max="19" width="13.21875" style="258" customWidth="1"/>
    <col min="20" max="20" width="14.6640625" style="258" customWidth="1"/>
    <col min="21" max="21" width="26.109375" style="257" customWidth="1"/>
    <col min="22" max="22" width="19.6640625" style="257" customWidth="1"/>
    <col min="23" max="23" width="16.6640625" style="257" customWidth="1"/>
    <col min="24" max="24" width="24.6640625" style="257" customWidth="1"/>
    <col min="25" max="16384" width="8.88671875" style="257"/>
  </cols>
  <sheetData>
    <row r="1" spans="3:23" ht="33.6" x14ac:dyDescent="0.3">
      <c r="C1" s="399" t="s">
        <v>1168</v>
      </c>
    </row>
    <row r="2" spans="3:23" ht="19.2" x14ac:dyDescent="0.3">
      <c r="C2" s="251" t="s">
        <v>1506</v>
      </c>
    </row>
    <row r="3" spans="3:23" ht="15" thickBot="1" x14ac:dyDescent="0.35"/>
    <row r="4" spans="3:23" ht="15.6" x14ac:dyDescent="0.3">
      <c r="C4" s="398" t="s">
        <v>1475</v>
      </c>
      <c r="D4" s="397" t="s">
        <v>1505</v>
      </c>
    </row>
    <row r="5" spans="3:23" x14ac:dyDescent="0.3">
      <c r="C5" s="396" t="s">
        <v>1504</v>
      </c>
      <c r="D5" s="392" t="s">
        <v>51</v>
      </c>
    </row>
    <row r="6" spans="3:23" ht="15.6" x14ac:dyDescent="0.3">
      <c r="C6" s="395" t="s">
        <v>1503</v>
      </c>
      <c r="D6" s="392" t="s">
        <v>27</v>
      </c>
      <c r="F6" s="394"/>
      <c r="P6" s="260"/>
      <c r="Q6" s="260"/>
      <c r="R6" s="260"/>
      <c r="S6" s="260"/>
      <c r="T6" s="260"/>
      <c r="U6" s="260"/>
      <c r="V6" s="260"/>
      <c r="W6" s="260"/>
    </row>
    <row r="7" spans="3:23" ht="15" x14ac:dyDescent="0.3">
      <c r="C7" s="393" t="s">
        <v>1502</v>
      </c>
      <c r="D7" s="392" t="s">
        <v>12</v>
      </c>
      <c r="M7" s="370"/>
      <c r="P7" s="260"/>
      <c r="Q7" s="260"/>
      <c r="R7" s="260"/>
      <c r="S7" s="260"/>
      <c r="T7" s="260"/>
      <c r="U7" s="260"/>
      <c r="V7" s="260"/>
      <c r="W7" s="260"/>
    </row>
    <row r="8" spans="3:23" ht="14.4" customHeight="1" thickBot="1" x14ac:dyDescent="0.35">
      <c r="C8" s="391" t="s">
        <v>1189</v>
      </c>
      <c r="D8" s="390" t="s">
        <v>1501</v>
      </c>
      <c r="P8" s="260"/>
      <c r="Q8" s="260"/>
      <c r="R8" s="260"/>
      <c r="S8" s="260"/>
      <c r="T8" s="260"/>
      <c r="U8" s="260"/>
      <c r="V8" s="260"/>
      <c r="W8" s="260"/>
    </row>
    <row r="9" spans="3:23" ht="12" customHeight="1" x14ac:dyDescent="0.3">
      <c r="C9" s="261" t="s">
        <v>1500</v>
      </c>
      <c r="D9" s="368" t="s">
        <v>1499</v>
      </c>
      <c r="P9" s="260"/>
      <c r="Q9" s="260"/>
      <c r="R9" s="260"/>
      <c r="S9" s="260"/>
      <c r="T9" s="260"/>
      <c r="U9" s="260"/>
      <c r="V9" s="260"/>
      <c r="W9" s="260"/>
    </row>
    <row r="10" spans="3:23" ht="12" customHeight="1" x14ac:dyDescent="0.3">
      <c r="C10" s="261" t="s">
        <v>1498</v>
      </c>
      <c r="D10" s="368" t="s">
        <v>1497</v>
      </c>
      <c r="P10" s="260"/>
      <c r="Q10" s="260"/>
      <c r="R10" s="260"/>
      <c r="S10" s="260"/>
      <c r="T10" s="260"/>
      <c r="U10" s="260"/>
      <c r="V10" s="260"/>
      <c r="W10" s="260"/>
    </row>
    <row r="11" spans="3:23" ht="16.95" customHeight="1" thickBot="1" x14ac:dyDescent="0.35">
      <c r="D11" s="368"/>
      <c r="P11" s="260"/>
      <c r="Q11" s="260"/>
      <c r="R11" s="260"/>
      <c r="S11" s="260"/>
      <c r="T11" s="260"/>
      <c r="U11" s="260"/>
      <c r="V11" s="260"/>
      <c r="W11" s="260"/>
    </row>
    <row r="12" spans="3:23" ht="16.2" thickTop="1" x14ac:dyDescent="0.3">
      <c r="C12" s="381" t="s">
        <v>1496</v>
      </c>
      <c r="D12" s="380" t="s">
        <v>1495</v>
      </c>
      <c r="P12" s="260"/>
      <c r="Q12" s="260"/>
      <c r="R12" s="260"/>
      <c r="S12" s="260"/>
      <c r="T12" s="260"/>
      <c r="U12" s="260"/>
      <c r="V12" s="260"/>
      <c r="W12" s="260"/>
    </row>
    <row r="13" spans="3:23" x14ac:dyDescent="0.3">
      <c r="C13" s="389" t="s">
        <v>1165</v>
      </c>
      <c r="D13" s="378" t="s">
        <v>1494</v>
      </c>
      <c r="P13" s="260"/>
      <c r="Q13" s="260"/>
      <c r="R13" s="260"/>
      <c r="S13" s="260"/>
      <c r="T13" s="260"/>
      <c r="U13" s="260"/>
      <c r="V13" s="260"/>
      <c r="W13" s="260"/>
    </row>
    <row r="14" spans="3:23" x14ac:dyDescent="0.3">
      <c r="C14" s="387" t="s">
        <v>26</v>
      </c>
      <c r="D14" s="388" t="s">
        <v>1493</v>
      </c>
      <c r="P14" s="260"/>
      <c r="Q14" s="260"/>
      <c r="R14" s="260"/>
      <c r="S14" s="260"/>
      <c r="T14" s="260"/>
      <c r="U14" s="260"/>
      <c r="V14" s="260"/>
      <c r="W14" s="260"/>
    </row>
    <row r="15" spans="3:23" x14ac:dyDescent="0.3">
      <c r="C15" s="387" t="s">
        <v>18</v>
      </c>
      <c r="D15" s="386" t="s">
        <v>1492</v>
      </c>
      <c r="P15" s="260"/>
      <c r="Q15" s="260"/>
      <c r="R15" s="260"/>
      <c r="S15" s="260"/>
      <c r="T15" s="260"/>
      <c r="U15" s="260"/>
      <c r="V15" s="260"/>
      <c r="W15" s="260"/>
    </row>
    <row r="16" spans="3:23" x14ac:dyDescent="0.3">
      <c r="C16" s="385" t="s">
        <v>11</v>
      </c>
      <c r="D16" s="384" t="s">
        <v>1491</v>
      </c>
      <c r="P16" s="260"/>
      <c r="Q16" s="260"/>
      <c r="R16" s="260"/>
      <c r="S16" s="260"/>
      <c r="T16" s="260"/>
      <c r="U16" s="260"/>
      <c r="V16" s="260"/>
      <c r="W16" s="260"/>
    </row>
    <row r="17" spans="3:24" ht="15" thickBot="1" x14ac:dyDescent="0.35">
      <c r="C17" s="383" t="s">
        <v>1490</v>
      </c>
      <c r="D17" s="382" t="s">
        <v>1489</v>
      </c>
      <c r="P17" s="260"/>
      <c r="Q17" s="260"/>
      <c r="R17" s="260"/>
      <c r="S17" s="260"/>
      <c r="T17" s="260"/>
      <c r="U17" s="260"/>
      <c r="V17" s="260"/>
      <c r="W17" s="260"/>
    </row>
    <row r="18" spans="3:24" ht="15.6" thickTop="1" thickBot="1" x14ac:dyDescent="0.35">
      <c r="D18" s="368"/>
      <c r="P18" s="260"/>
      <c r="Q18" s="260"/>
      <c r="R18" s="260"/>
      <c r="S18" s="260"/>
      <c r="T18" s="260"/>
      <c r="U18" s="260"/>
      <c r="V18" s="260"/>
      <c r="W18" s="260"/>
    </row>
    <row r="19" spans="3:24" ht="16.2" thickTop="1" x14ac:dyDescent="0.3">
      <c r="C19" s="381" t="s">
        <v>1488</v>
      </c>
      <c r="D19" s="380" t="s">
        <v>1487</v>
      </c>
      <c r="P19" s="260"/>
      <c r="Q19" s="260"/>
      <c r="R19" s="260"/>
      <c r="S19" s="260"/>
      <c r="T19" s="260"/>
      <c r="U19" s="260"/>
      <c r="V19" s="260"/>
      <c r="W19" s="260"/>
    </row>
    <row r="20" spans="3:24" ht="20.399999999999999" customHeight="1" x14ac:dyDescent="0.3">
      <c r="C20" s="379" t="s">
        <v>1186</v>
      </c>
      <c r="D20" s="378" t="s">
        <v>1486</v>
      </c>
      <c r="P20" s="260"/>
      <c r="Q20" s="260"/>
      <c r="R20" s="260"/>
      <c r="S20" s="260"/>
      <c r="T20" s="260"/>
      <c r="U20" s="260"/>
      <c r="V20" s="260"/>
      <c r="W20" s="260"/>
    </row>
    <row r="21" spans="3:24" ht="15" customHeight="1" x14ac:dyDescent="0.3">
      <c r="C21" s="377" t="s">
        <v>1187</v>
      </c>
      <c r="D21" s="376" t="s">
        <v>1485</v>
      </c>
    </row>
    <row r="22" spans="3:24" ht="15" customHeight="1" x14ac:dyDescent="0.3">
      <c r="C22" s="375" t="s">
        <v>1274</v>
      </c>
      <c r="D22" s="374" t="s">
        <v>1484</v>
      </c>
    </row>
    <row r="23" spans="3:24" ht="15" customHeight="1" thickBot="1" x14ac:dyDescent="0.35">
      <c r="C23" s="373" t="s">
        <v>1432</v>
      </c>
      <c r="D23" s="372" t="s">
        <v>1483</v>
      </c>
    </row>
    <row r="24" spans="3:24" ht="15" thickTop="1" x14ac:dyDescent="0.3">
      <c r="C24" s="261"/>
      <c r="D24" s="15"/>
    </row>
    <row r="25" spans="3:24" x14ac:dyDescent="0.3">
      <c r="C25" s="261"/>
      <c r="D25" s="15"/>
    </row>
    <row r="26" spans="3:24" ht="15.6" x14ac:dyDescent="0.3">
      <c r="C26" s="371" t="s">
        <v>1482</v>
      </c>
      <c r="D26" s="15"/>
    </row>
    <row r="27" spans="3:24" ht="15" x14ac:dyDescent="0.3">
      <c r="C27" s="370" t="s">
        <v>1481</v>
      </c>
      <c r="D27" s="15"/>
    </row>
    <row r="28" spans="3:24" x14ac:dyDescent="0.3">
      <c r="C28" s="369" t="s">
        <v>1480</v>
      </c>
      <c r="D28" s="15"/>
    </row>
    <row r="29" spans="3:24" x14ac:dyDescent="0.3">
      <c r="C29" s="369" t="s">
        <v>1479</v>
      </c>
      <c r="D29" s="15"/>
    </row>
    <row r="30" spans="3:24" x14ac:dyDescent="0.3">
      <c r="C30" s="369" t="s">
        <v>1478</v>
      </c>
      <c r="D30" s="15"/>
    </row>
    <row r="31" spans="3:24" ht="15" thickBot="1" x14ac:dyDescent="0.35">
      <c r="C31" s="260" t="s">
        <v>1477</v>
      </c>
      <c r="D31" s="368"/>
    </row>
    <row r="32" spans="3:24" ht="31.8" thickBot="1" x14ac:dyDescent="0.35">
      <c r="C32" s="367" t="s">
        <v>1476</v>
      </c>
      <c r="D32" s="364" t="s">
        <v>1</v>
      </c>
      <c r="E32" s="365" t="s">
        <v>371</v>
      </c>
      <c r="F32" s="364" t="s">
        <v>1574</v>
      </c>
      <c r="G32" s="364" t="s">
        <v>386</v>
      </c>
      <c r="H32" s="364" t="s">
        <v>1475</v>
      </c>
      <c r="I32" s="364" t="s">
        <v>602</v>
      </c>
      <c r="J32" s="364" t="s">
        <v>661</v>
      </c>
      <c r="K32" s="364" t="s">
        <v>5</v>
      </c>
      <c r="L32" s="365" t="s">
        <v>1474</v>
      </c>
      <c r="M32" s="366" t="s">
        <v>1473</v>
      </c>
      <c r="N32" s="366" t="s">
        <v>1472</v>
      </c>
      <c r="O32" s="366" t="s">
        <v>1471</v>
      </c>
      <c r="P32" s="365" t="s">
        <v>1170</v>
      </c>
      <c r="Q32" s="364" t="s">
        <v>1171</v>
      </c>
      <c r="R32" s="365" t="s">
        <v>1172</v>
      </c>
      <c r="S32" s="364" t="s">
        <v>1173</v>
      </c>
      <c r="T32" s="363" t="s">
        <v>1174</v>
      </c>
      <c r="U32" s="362" t="s">
        <v>1470</v>
      </c>
      <c r="V32" s="361" t="s">
        <v>1469</v>
      </c>
      <c r="W32" s="361" t="s">
        <v>1468</v>
      </c>
      <c r="X32" s="361" t="s">
        <v>1467</v>
      </c>
    </row>
    <row r="33" spans="3:24" ht="18" customHeight="1" x14ac:dyDescent="0.3">
      <c r="C33" s="348" t="s">
        <v>1466</v>
      </c>
      <c r="D33" s="351" t="s">
        <v>547</v>
      </c>
      <c r="E33" s="279" t="s">
        <v>1464</v>
      </c>
      <c r="F33" s="350" t="s">
        <v>17</v>
      </c>
      <c r="G33" s="350">
        <v>0</v>
      </c>
      <c r="H33" s="350" t="s">
        <v>1431</v>
      </c>
      <c r="I33" s="350">
        <v>1</v>
      </c>
      <c r="J33" s="352">
        <v>1</v>
      </c>
      <c r="K33" s="352" t="s">
        <v>1463</v>
      </c>
      <c r="L33" s="350" t="s">
        <v>1465</v>
      </c>
      <c r="M33" s="350" t="s">
        <v>547</v>
      </c>
      <c r="N33" s="351" t="s">
        <v>547</v>
      </c>
      <c r="O33" s="350" t="s">
        <v>547</v>
      </c>
      <c r="P33" s="359" t="s">
        <v>1432</v>
      </c>
      <c r="Q33" s="359" t="s">
        <v>1432</v>
      </c>
      <c r="R33" s="359" t="s">
        <v>1432</v>
      </c>
      <c r="S33" s="359" t="s">
        <v>1432</v>
      </c>
      <c r="T33" s="359" t="s">
        <v>1432</v>
      </c>
      <c r="U33" s="355" t="s">
        <v>1461</v>
      </c>
      <c r="V33" s="260"/>
      <c r="W33" s="260"/>
      <c r="X33" s="260"/>
    </row>
    <row r="34" spans="3:24" ht="18" customHeight="1" x14ac:dyDescent="0.3">
      <c r="C34" s="348"/>
      <c r="D34" s="356" t="s">
        <v>548</v>
      </c>
      <c r="E34" s="350" t="s">
        <v>1464</v>
      </c>
      <c r="F34" s="350" t="s">
        <v>17</v>
      </c>
      <c r="G34" s="350">
        <v>0</v>
      </c>
      <c r="H34" s="350" t="s">
        <v>1431</v>
      </c>
      <c r="I34" s="350">
        <v>1</v>
      </c>
      <c r="J34" s="352">
        <v>1</v>
      </c>
      <c r="K34" s="352" t="s">
        <v>1463</v>
      </c>
      <c r="L34" s="350" t="s">
        <v>535</v>
      </c>
      <c r="M34" s="350" t="s">
        <v>548</v>
      </c>
      <c r="N34" s="350" t="s">
        <v>548</v>
      </c>
      <c r="O34" s="350" t="s">
        <v>548</v>
      </c>
      <c r="P34" s="359" t="s">
        <v>1432</v>
      </c>
      <c r="Q34" s="359" t="s">
        <v>1432</v>
      </c>
      <c r="R34" s="359" t="s">
        <v>1432</v>
      </c>
      <c r="S34" s="359" t="s">
        <v>1432</v>
      </c>
      <c r="T34" s="359" t="s">
        <v>1432</v>
      </c>
      <c r="U34" s="355" t="s">
        <v>1461</v>
      </c>
      <c r="V34" s="260"/>
      <c r="W34" s="260"/>
      <c r="X34" s="260"/>
    </row>
    <row r="35" spans="3:24" ht="18" customHeight="1" x14ac:dyDescent="0.3">
      <c r="C35" s="348"/>
      <c r="D35" s="359" t="s">
        <v>665</v>
      </c>
      <c r="E35" s="350" t="s">
        <v>1464</v>
      </c>
      <c r="F35" s="350" t="s">
        <v>17</v>
      </c>
      <c r="G35" s="350">
        <v>0</v>
      </c>
      <c r="H35" s="350" t="s">
        <v>1431</v>
      </c>
      <c r="I35" s="350">
        <v>1</v>
      </c>
      <c r="J35" s="352">
        <v>30</v>
      </c>
      <c r="K35" s="352" t="s">
        <v>1463</v>
      </c>
      <c r="L35" s="350"/>
      <c r="M35" s="350" t="s">
        <v>1462</v>
      </c>
      <c r="N35" s="360" t="s">
        <v>1462</v>
      </c>
      <c r="O35" s="359" t="s">
        <v>1462</v>
      </c>
      <c r="P35" s="359" t="s">
        <v>1432</v>
      </c>
      <c r="Q35" s="359" t="s">
        <v>1432</v>
      </c>
      <c r="R35" s="359" t="s">
        <v>1432</v>
      </c>
      <c r="S35" s="359" t="s">
        <v>1432</v>
      </c>
      <c r="T35" s="359" t="s">
        <v>1432</v>
      </c>
      <c r="U35" s="355" t="s">
        <v>1461</v>
      </c>
      <c r="V35" s="260"/>
      <c r="W35" s="260"/>
      <c r="X35" s="260"/>
    </row>
    <row r="36" spans="3:24" ht="18" customHeight="1" x14ac:dyDescent="0.3">
      <c r="C36" s="348"/>
      <c r="D36" s="350" t="s">
        <v>1460</v>
      </c>
      <c r="E36" s="350" t="s">
        <v>253</v>
      </c>
      <c r="F36" s="350" t="s">
        <v>17</v>
      </c>
      <c r="G36" s="350">
        <v>0</v>
      </c>
      <c r="H36" s="350" t="s">
        <v>1431</v>
      </c>
      <c r="I36" s="350">
        <v>1</v>
      </c>
      <c r="J36" s="352">
        <v>1</v>
      </c>
      <c r="K36" s="352" t="s">
        <v>1458</v>
      </c>
      <c r="L36" s="350" t="s">
        <v>546</v>
      </c>
      <c r="M36" s="350" t="s">
        <v>549</v>
      </c>
      <c r="N36" s="350" t="s">
        <v>549</v>
      </c>
      <c r="O36" s="350" t="s">
        <v>549</v>
      </c>
      <c r="P36" s="356" t="s">
        <v>1186</v>
      </c>
      <c r="Q36" s="350" t="s">
        <v>1186</v>
      </c>
      <c r="R36" s="350" t="s">
        <v>1186</v>
      </c>
      <c r="S36" s="350" t="s">
        <v>1186</v>
      </c>
      <c r="T36" s="350" t="s">
        <v>1186</v>
      </c>
      <c r="U36" s="349" t="s">
        <v>1459</v>
      </c>
      <c r="V36" s="260"/>
      <c r="W36" s="260"/>
      <c r="X36" s="260"/>
    </row>
    <row r="37" spans="3:24" ht="18" customHeight="1" x14ac:dyDescent="0.3">
      <c r="C37" s="348"/>
      <c r="D37" s="351" t="s">
        <v>664</v>
      </c>
      <c r="E37" s="350" t="s">
        <v>253</v>
      </c>
      <c r="F37" s="350" t="s">
        <v>17</v>
      </c>
      <c r="G37" s="350">
        <v>0</v>
      </c>
      <c r="H37" s="350" t="s">
        <v>1431</v>
      </c>
      <c r="I37" s="350">
        <v>1</v>
      </c>
      <c r="J37" s="352">
        <v>31</v>
      </c>
      <c r="K37" s="352" t="s">
        <v>1458</v>
      </c>
      <c r="L37" s="350"/>
      <c r="M37" s="350" t="s">
        <v>1457</v>
      </c>
      <c r="N37" s="351" t="s">
        <v>1457</v>
      </c>
      <c r="O37" s="350" t="s">
        <v>1457</v>
      </c>
      <c r="P37" s="356" t="s">
        <v>1186</v>
      </c>
      <c r="Q37" s="350" t="s">
        <v>1186</v>
      </c>
      <c r="R37" s="350" t="s">
        <v>1186</v>
      </c>
      <c r="S37" s="350" t="s">
        <v>1186</v>
      </c>
      <c r="T37" s="350" t="s">
        <v>1186</v>
      </c>
      <c r="U37" s="355"/>
      <c r="V37" s="260"/>
      <c r="W37" s="260"/>
      <c r="X37" s="260"/>
    </row>
    <row r="38" spans="3:24" ht="18" customHeight="1" x14ac:dyDescent="0.3">
      <c r="C38" s="348"/>
      <c r="D38" s="350" t="s">
        <v>361</v>
      </c>
      <c r="E38" s="350" t="s">
        <v>360</v>
      </c>
      <c r="F38" s="350" t="s">
        <v>551</v>
      </c>
      <c r="G38" s="350">
        <v>0</v>
      </c>
      <c r="H38" s="350" t="s">
        <v>1431</v>
      </c>
      <c r="I38" s="350">
        <v>1</v>
      </c>
      <c r="J38" s="352">
        <f>32*8</f>
        <v>256</v>
      </c>
      <c r="K38" s="352" t="s">
        <v>1244</v>
      </c>
      <c r="L38" s="350" t="s">
        <v>1456</v>
      </c>
      <c r="M38" s="351" t="s">
        <v>1432</v>
      </c>
      <c r="N38" s="351" t="s">
        <v>1432</v>
      </c>
      <c r="O38" s="351" t="s">
        <v>1432</v>
      </c>
      <c r="P38" s="350" t="s">
        <v>1274</v>
      </c>
      <c r="Q38" s="350" t="s">
        <v>1274</v>
      </c>
      <c r="R38" s="350" t="s">
        <v>1274</v>
      </c>
      <c r="S38" s="350" t="s">
        <v>1274</v>
      </c>
      <c r="T38" s="350" t="s">
        <v>1274</v>
      </c>
      <c r="U38" s="355"/>
      <c r="V38" s="260"/>
      <c r="W38" s="260"/>
      <c r="X38" s="260"/>
    </row>
    <row r="39" spans="3:24" s="261" customFormat="1" ht="18" customHeight="1" x14ac:dyDescent="0.3">
      <c r="C39" s="348" t="s">
        <v>1455</v>
      </c>
      <c r="D39" s="356" t="s">
        <v>1454</v>
      </c>
      <c r="E39" s="350" t="s">
        <v>1443</v>
      </c>
      <c r="F39" s="350" t="s">
        <v>17</v>
      </c>
      <c r="G39" s="350">
        <v>0</v>
      </c>
      <c r="H39" s="350" t="s">
        <v>1431</v>
      </c>
      <c r="I39" s="350">
        <v>1</v>
      </c>
      <c r="J39" s="352">
        <v>1</v>
      </c>
      <c r="K39" s="352" t="s">
        <v>1451</v>
      </c>
      <c r="L39" s="350" t="s">
        <v>534</v>
      </c>
      <c r="M39" s="350" t="s">
        <v>1453</v>
      </c>
      <c r="N39" s="350" t="s">
        <v>1453</v>
      </c>
      <c r="O39" s="350" t="s">
        <v>1453</v>
      </c>
      <c r="P39" s="356" t="s">
        <v>1435</v>
      </c>
      <c r="Q39" s="356" t="s">
        <v>1435</v>
      </c>
      <c r="R39" s="356" t="s">
        <v>1435</v>
      </c>
      <c r="S39" s="356" t="s">
        <v>1435</v>
      </c>
      <c r="T39" s="356" t="s">
        <v>1435</v>
      </c>
      <c r="U39" s="349"/>
    </row>
    <row r="40" spans="3:24" ht="18" customHeight="1" x14ac:dyDescent="0.3">
      <c r="C40" s="348"/>
      <c r="D40" s="356" t="s">
        <v>1452</v>
      </c>
      <c r="E40" s="350" t="s">
        <v>1443</v>
      </c>
      <c r="F40" s="350" t="s">
        <v>17</v>
      </c>
      <c r="G40" s="350">
        <v>0</v>
      </c>
      <c r="H40" s="350" t="s">
        <v>1431</v>
      </c>
      <c r="I40" s="350">
        <v>1</v>
      </c>
      <c r="J40" s="352">
        <v>1</v>
      </c>
      <c r="K40" s="352" t="s">
        <v>1451</v>
      </c>
      <c r="L40" s="350" t="s">
        <v>535</v>
      </c>
      <c r="M40" s="350" t="s">
        <v>1452</v>
      </c>
      <c r="N40" s="356" t="s">
        <v>1435</v>
      </c>
      <c r="O40" s="356" t="s">
        <v>1435</v>
      </c>
      <c r="P40" s="356" t="s">
        <v>1435</v>
      </c>
      <c r="Q40" s="356" t="s">
        <v>1435</v>
      </c>
      <c r="R40" s="356" t="s">
        <v>1435</v>
      </c>
      <c r="S40" s="356" t="s">
        <v>1435</v>
      </c>
      <c r="T40" s="356" t="s">
        <v>1435</v>
      </c>
      <c r="U40" s="355"/>
      <c r="V40" s="260"/>
      <c r="W40" s="260"/>
      <c r="X40" s="260"/>
    </row>
    <row r="41" spans="3:24" ht="18" customHeight="1" x14ac:dyDescent="0.3">
      <c r="C41" s="348"/>
      <c r="D41" s="356" t="s">
        <v>1450</v>
      </c>
      <c r="E41" s="350" t="s">
        <v>1443</v>
      </c>
      <c r="F41" s="350" t="s">
        <v>17</v>
      </c>
      <c r="G41" s="350">
        <v>0</v>
      </c>
      <c r="H41" s="350" t="s">
        <v>1431</v>
      </c>
      <c r="I41" s="350">
        <v>1</v>
      </c>
      <c r="J41" s="352">
        <v>30</v>
      </c>
      <c r="K41" s="352" t="s">
        <v>1451</v>
      </c>
      <c r="L41" s="350"/>
      <c r="M41" s="350" t="s">
        <v>1450</v>
      </c>
      <c r="N41" s="356" t="s">
        <v>1435</v>
      </c>
      <c r="O41" s="356" t="s">
        <v>1435</v>
      </c>
      <c r="P41" s="356" t="s">
        <v>1435</v>
      </c>
      <c r="Q41" s="356" t="s">
        <v>1435</v>
      </c>
      <c r="R41" s="356" t="s">
        <v>1435</v>
      </c>
      <c r="S41" s="356" t="s">
        <v>1435</v>
      </c>
      <c r="T41" s="356" t="s">
        <v>1435</v>
      </c>
      <c r="U41" s="355"/>
      <c r="V41" s="260"/>
      <c r="W41" s="260"/>
      <c r="X41" s="260"/>
    </row>
    <row r="42" spans="3:24" ht="18" customHeight="1" x14ac:dyDescent="0.3">
      <c r="C42" s="348"/>
      <c r="D42" s="356" t="s">
        <v>1439</v>
      </c>
      <c r="E42" s="350" t="s">
        <v>1438</v>
      </c>
      <c r="F42" s="350" t="s">
        <v>17</v>
      </c>
      <c r="G42" s="350">
        <v>0</v>
      </c>
      <c r="H42" s="350" t="s">
        <v>1431</v>
      </c>
      <c r="I42" s="350">
        <v>1</v>
      </c>
      <c r="J42" s="352">
        <v>1</v>
      </c>
      <c r="K42" s="352" t="s">
        <v>1449</v>
      </c>
      <c r="L42" s="350" t="s">
        <v>546</v>
      </c>
      <c r="M42" s="350" t="s">
        <v>1439</v>
      </c>
      <c r="N42" s="356" t="s">
        <v>1435</v>
      </c>
      <c r="O42" s="356" t="s">
        <v>1435</v>
      </c>
      <c r="P42" s="356" t="s">
        <v>1435</v>
      </c>
      <c r="Q42" s="356" t="s">
        <v>1435</v>
      </c>
      <c r="R42" s="356" t="s">
        <v>1435</v>
      </c>
      <c r="S42" s="356" t="s">
        <v>1435</v>
      </c>
      <c r="T42" s="356" t="s">
        <v>1435</v>
      </c>
      <c r="U42" s="358"/>
      <c r="V42" s="260"/>
      <c r="W42" s="260"/>
      <c r="X42" s="260"/>
    </row>
    <row r="43" spans="3:24" ht="18" customHeight="1" x14ac:dyDescent="0.3">
      <c r="C43" s="348"/>
      <c r="D43" s="356" t="s">
        <v>1448</v>
      </c>
      <c r="E43" s="350" t="s">
        <v>1438</v>
      </c>
      <c r="F43" s="350" t="s">
        <v>17</v>
      </c>
      <c r="G43" s="350">
        <v>0</v>
      </c>
      <c r="H43" s="350" t="s">
        <v>1431</v>
      </c>
      <c r="I43" s="350">
        <v>1</v>
      </c>
      <c r="J43" s="352">
        <v>31</v>
      </c>
      <c r="K43" s="352" t="s">
        <v>1449</v>
      </c>
      <c r="L43" s="350"/>
      <c r="M43" s="350" t="s">
        <v>1448</v>
      </c>
      <c r="N43" s="356" t="s">
        <v>1435</v>
      </c>
      <c r="O43" s="356" t="s">
        <v>1435</v>
      </c>
      <c r="P43" s="356" t="s">
        <v>1435</v>
      </c>
      <c r="Q43" s="356" t="s">
        <v>1435</v>
      </c>
      <c r="R43" s="356" t="s">
        <v>1435</v>
      </c>
      <c r="S43" s="356" t="s">
        <v>1435</v>
      </c>
      <c r="T43" s="356" t="s">
        <v>1435</v>
      </c>
      <c r="U43" s="358"/>
      <c r="V43" s="260"/>
      <c r="W43" s="260"/>
      <c r="X43" s="260"/>
    </row>
    <row r="44" spans="3:24" ht="18" customHeight="1" x14ac:dyDescent="0.3">
      <c r="C44" s="348"/>
      <c r="D44" s="350" t="s">
        <v>364</v>
      </c>
      <c r="E44" s="350" t="s">
        <v>1434</v>
      </c>
      <c r="F44" s="353" t="s">
        <v>551</v>
      </c>
      <c r="G44" s="350">
        <v>0</v>
      </c>
      <c r="H44" s="350" t="s">
        <v>1431</v>
      </c>
      <c r="I44" s="350">
        <v>1</v>
      </c>
      <c r="J44" s="357">
        <f>32*8</f>
        <v>256</v>
      </c>
      <c r="K44" s="352" t="s">
        <v>1244</v>
      </c>
      <c r="L44" s="350" t="s">
        <v>1447</v>
      </c>
      <c r="M44" s="351" t="s">
        <v>1432</v>
      </c>
      <c r="N44" s="351" t="s">
        <v>1432</v>
      </c>
      <c r="O44" s="351" t="s">
        <v>1432</v>
      </c>
      <c r="P44" s="350" t="s">
        <v>1274</v>
      </c>
      <c r="Q44" s="350" t="s">
        <v>1274</v>
      </c>
      <c r="R44" s="350" t="s">
        <v>1274</v>
      </c>
      <c r="S44" s="350" t="s">
        <v>1274</v>
      </c>
      <c r="T44" s="350" t="s">
        <v>1274</v>
      </c>
      <c r="U44" s="349"/>
      <c r="V44" s="260"/>
      <c r="W44" s="260"/>
      <c r="X44" s="260"/>
    </row>
    <row r="45" spans="3:24" s="260" customFormat="1" ht="18" customHeight="1" x14ac:dyDescent="0.3">
      <c r="C45" s="348" t="s">
        <v>1446</v>
      </c>
      <c r="D45" s="351" t="s">
        <v>1445</v>
      </c>
      <c r="E45" s="351" t="s">
        <v>1443</v>
      </c>
      <c r="F45" s="350" t="s">
        <v>17</v>
      </c>
      <c r="G45" s="351">
        <v>0</v>
      </c>
      <c r="H45" s="350" t="s">
        <v>1431</v>
      </c>
      <c r="I45" s="350">
        <v>1</v>
      </c>
      <c r="J45" s="352">
        <v>1</v>
      </c>
      <c r="K45" s="352" t="s">
        <v>1442</v>
      </c>
      <c r="L45" s="351" t="s">
        <v>534</v>
      </c>
      <c r="M45" s="351" t="s">
        <v>1445</v>
      </c>
      <c r="N45" s="356" t="s">
        <v>1435</v>
      </c>
      <c r="O45" s="356" t="s">
        <v>1435</v>
      </c>
      <c r="P45" s="356" t="s">
        <v>1435</v>
      </c>
      <c r="Q45" s="356" t="s">
        <v>1435</v>
      </c>
      <c r="R45" s="356" t="s">
        <v>1435</v>
      </c>
      <c r="S45" s="356" t="s">
        <v>1435</v>
      </c>
      <c r="T45" s="356" t="s">
        <v>1435</v>
      </c>
      <c r="U45" s="355"/>
    </row>
    <row r="46" spans="3:24" s="260" customFormat="1" ht="18" customHeight="1" x14ac:dyDescent="0.3">
      <c r="C46" s="348"/>
      <c r="D46" s="351" t="s">
        <v>1444</v>
      </c>
      <c r="E46" s="351" t="s">
        <v>1443</v>
      </c>
      <c r="F46" s="350" t="s">
        <v>17</v>
      </c>
      <c r="G46" s="351">
        <v>0</v>
      </c>
      <c r="H46" s="350" t="s">
        <v>1431</v>
      </c>
      <c r="I46" s="350">
        <v>1</v>
      </c>
      <c r="J46" s="352">
        <v>1</v>
      </c>
      <c r="K46" s="352" t="s">
        <v>1442</v>
      </c>
      <c r="L46" s="351" t="s">
        <v>535</v>
      </c>
      <c r="M46" s="351" t="s">
        <v>1444</v>
      </c>
      <c r="N46" s="356" t="s">
        <v>1435</v>
      </c>
      <c r="O46" s="356" t="s">
        <v>1435</v>
      </c>
      <c r="P46" s="356" t="s">
        <v>1435</v>
      </c>
      <c r="Q46" s="356" t="s">
        <v>1435</v>
      </c>
      <c r="R46" s="356" t="s">
        <v>1435</v>
      </c>
      <c r="S46" s="356" t="s">
        <v>1435</v>
      </c>
      <c r="T46" s="356" t="s">
        <v>1435</v>
      </c>
      <c r="U46" s="355"/>
    </row>
    <row r="47" spans="3:24" s="260" customFormat="1" ht="18" customHeight="1" x14ac:dyDescent="0.3">
      <c r="C47" s="348"/>
      <c r="D47" s="351" t="s">
        <v>1441</v>
      </c>
      <c r="E47" s="351" t="s">
        <v>1443</v>
      </c>
      <c r="F47" s="350" t="s">
        <v>17</v>
      </c>
      <c r="G47" s="351">
        <v>0</v>
      </c>
      <c r="H47" s="350" t="s">
        <v>1431</v>
      </c>
      <c r="I47" s="350">
        <v>1</v>
      </c>
      <c r="J47" s="352">
        <v>30</v>
      </c>
      <c r="K47" s="352" t="s">
        <v>1442</v>
      </c>
      <c r="L47" s="351"/>
      <c r="M47" s="351" t="s">
        <v>1441</v>
      </c>
      <c r="N47" s="356" t="s">
        <v>1435</v>
      </c>
      <c r="O47" s="356" t="s">
        <v>1435</v>
      </c>
      <c r="P47" s="356" t="s">
        <v>1435</v>
      </c>
      <c r="Q47" s="356" t="s">
        <v>1435</v>
      </c>
      <c r="R47" s="356" t="s">
        <v>1435</v>
      </c>
      <c r="S47" s="356" t="s">
        <v>1435</v>
      </c>
      <c r="T47" s="356" t="s">
        <v>1435</v>
      </c>
      <c r="U47" s="355"/>
    </row>
    <row r="48" spans="3:24" ht="18" customHeight="1" x14ac:dyDescent="0.3">
      <c r="C48" s="348"/>
      <c r="D48" s="356" t="s">
        <v>1440</v>
      </c>
      <c r="E48" s="350" t="s">
        <v>1438</v>
      </c>
      <c r="F48" s="350" t="s">
        <v>17</v>
      </c>
      <c r="G48" s="351">
        <v>0</v>
      </c>
      <c r="H48" s="350" t="s">
        <v>1431</v>
      </c>
      <c r="I48" s="350">
        <v>1</v>
      </c>
      <c r="J48" s="352">
        <v>1</v>
      </c>
      <c r="K48" s="352" t="s">
        <v>1437</v>
      </c>
      <c r="L48" s="350" t="s">
        <v>546</v>
      </c>
      <c r="M48" s="350" t="s">
        <v>1439</v>
      </c>
      <c r="N48" s="356" t="s">
        <v>1435</v>
      </c>
      <c r="O48" s="356" t="s">
        <v>1435</v>
      </c>
      <c r="P48" s="356" t="s">
        <v>1435</v>
      </c>
      <c r="Q48" s="356" t="s">
        <v>1435</v>
      </c>
      <c r="R48" s="356" t="s">
        <v>1435</v>
      </c>
      <c r="S48" s="356" t="s">
        <v>1435</v>
      </c>
      <c r="T48" s="356" t="s">
        <v>1435</v>
      </c>
      <c r="U48" s="355"/>
      <c r="V48" s="260"/>
      <c r="W48" s="260"/>
      <c r="X48" s="260"/>
    </row>
    <row r="49" spans="3:24" ht="18" customHeight="1" x14ac:dyDescent="0.3">
      <c r="C49" s="348"/>
      <c r="D49" s="356" t="s">
        <v>1436</v>
      </c>
      <c r="E49" s="350" t="s">
        <v>1438</v>
      </c>
      <c r="F49" s="350" t="s">
        <v>17</v>
      </c>
      <c r="G49" s="351">
        <v>0</v>
      </c>
      <c r="H49" s="350" t="s">
        <v>1431</v>
      </c>
      <c r="I49" s="350">
        <v>1</v>
      </c>
      <c r="J49" s="352">
        <v>31</v>
      </c>
      <c r="K49" s="352" t="s">
        <v>1437</v>
      </c>
      <c r="L49" s="350"/>
      <c r="M49" s="350" t="s">
        <v>1436</v>
      </c>
      <c r="N49" s="356" t="s">
        <v>1435</v>
      </c>
      <c r="O49" s="356" t="s">
        <v>1435</v>
      </c>
      <c r="P49" s="356" t="s">
        <v>1435</v>
      </c>
      <c r="Q49" s="356" t="s">
        <v>1435</v>
      </c>
      <c r="R49" s="356" t="s">
        <v>1435</v>
      </c>
      <c r="S49" s="356" t="s">
        <v>1435</v>
      </c>
      <c r="T49" s="356" t="s">
        <v>1435</v>
      </c>
      <c r="U49" s="355"/>
      <c r="V49" s="260"/>
      <c r="W49" s="260"/>
      <c r="X49" s="260"/>
    </row>
    <row r="50" spans="3:24" ht="18" customHeight="1" x14ac:dyDescent="0.3">
      <c r="C50" s="354"/>
      <c r="D50" s="350" t="s">
        <v>366</v>
      </c>
      <c r="E50" s="350" t="s">
        <v>1434</v>
      </c>
      <c r="F50" s="353" t="s">
        <v>551</v>
      </c>
      <c r="G50" s="351">
        <v>0</v>
      </c>
      <c r="H50" s="350" t="s">
        <v>1431</v>
      </c>
      <c r="I50" s="350">
        <v>1</v>
      </c>
      <c r="J50" s="352">
        <f>32*8</f>
        <v>256</v>
      </c>
      <c r="K50" s="352" t="s">
        <v>1178</v>
      </c>
      <c r="L50" s="350" t="s">
        <v>1433</v>
      </c>
      <c r="M50" s="351" t="s">
        <v>1432</v>
      </c>
      <c r="N50" s="351" t="s">
        <v>1432</v>
      </c>
      <c r="O50" s="351" t="s">
        <v>1432</v>
      </c>
      <c r="P50" s="350" t="s">
        <v>1274</v>
      </c>
      <c r="Q50" s="350" t="s">
        <v>1274</v>
      </c>
      <c r="R50" s="350" t="s">
        <v>1274</v>
      </c>
      <c r="S50" s="350" t="s">
        <v>1274</v>
      </c>
      <c r="T50" s="350" t="s">
        <v>1274</v>
      </c>
      <c r="U50" s="349"/>
      <c r="V50" s="260"/>
      <c r="W50" s="260"/>
      <c r="X50" s="260"/>
    </row>
    <row r="51" spans="3:24" ht="18" customHeight="1" x14ac:dyDescent="0.3">
      <c r="C51" s="321" t="s">
        <v>63</v>
      </c>
      <c r="D51" s="313" t="s">
        <v>64</v>
      </c>
      <c r="E51" s="312" t="s">
        <v>613</v>
      </c>
      <c r="F51" s="320" t="s">
        <v>1277</v>
      </c>
      <c r="G51" s="315">
        <v>1</v>
      </c>
      <c r="H51" s="312" t="s">
        <v>1267</v>
      </c>
      <c r="I51" s="312">
        <v>1</v>
      </c>
      <c r="J51" s="314">
        <v>1</v>
      </c>
      <c r="K51" s="314" t="s">
        <v>1421</v>
      </c>
      <c r="L51" s="313" t="s">
        <v>425</v>
      </c>
      <c r="M51" s="312" t="s">
        <v>1430</v>
      </c>
      <c r="N51" s="313" t="s">
        <v>64</v>
      </c>
      <c r="O51" s="312" t="s">
        <v>64</v>
      </c>
      <c r="P51" s="312" t="s">
        <v>1186</v>
      </c>
      <c r="Q51" s="312" t="s">
        <v>1186</v>
      </c>
      <c r="R51" s="312" t="s">
        <v>1186</v>
      </c>
      <c r="S51" s="312" t="s">
        <v>1186</v>
      </c>
      <c r="T51" s="312" t="s">
        <v>1186</v>
      </c>
      <c r="U51" s="311" t="s">
        <v>1428</v>
      </c>
      <c r="V51" s="260"/>
      <c r="W51" s="260"/>
      <c r="X51" s="260"/>
    </row>
    <row r="52" spans="3:24" ht="18" customHeight="1" x14ac:dyDescent="0.3">
      <c r="C52" s="321"/>
      <c r="D52" s="313" t="s">
        <v>67</v>
      </c>
      <c r="E52" s="312" t="s">
        <v>613</v>
      </c>
      <c r="F52" s="320" t="s">
        <v>1277</v>
      </c>
      <c r="G52" s="315">
        <v>1</v>
      </c>
      <c r="H52" s="312" t="s">
        <v>1267</v>
      </c>
      <c r="I52" s="312">
        <v>1</v>
      </c>
      <c r="J52" s="314">
        <v>1</v>
      </c>
      <c r="K52" s="314" t="s">
        <v>1421</v>
      </c>
      <c r="L52" s="313" t="s">
        <v>426</v>
      </c>
      <c r="M52" s="312" t="s">
        <v>1429</v>
      </c>
      <c r="N52" s="313" t="s">
        <v>67</v>
      </c>
      <c r="O52" s="312" t="s">
        <v>67</v>
      </c>
      <c r="P52" s="312" t="s">
        <v>1186</v>
      </c>
      <c r="Q52" s="312" t="s">
        <v>1186</v>
      </c>
      <c r="R52" s="312" t="s">
        <v>1186</v>
      </c>
      <c r="S52" s="312" t="s">
        <v>1186</v>
      </c>
      <c r="T52" s="312" t="s">
        <v>1186</v>
      </c>
      <c r="U52" s="311" t="s">
        <v>1428</v>
      </c>
      <c r="V52" s="260"/>
      <c r="W52" s="260"/>
      <c r="X52" s="260"/>
    </row>
    <row r="53" spans="3:24" ht="18" customHeight="1" x14ac:dyDescent="0.3">
      <c r="C53" s="321"/>
      <c r="D53" s="313" t="s">
        <v>71</v>
      </c>
      <c r="E53" s="269" t="s">
        <v>1518</v>
      </c>
      <c r="F53" s="320" t="s">
        <v>1277</v>
      </c>
      <c r="G53" s="315">
        <v>0</v>
      </c>
      <c r="H53" s="312" t="s">
        <v>1267</v>
      </c>
      <c r="I53" s="312">
        <v>1</v>
      </c>
      <c r="J53" s="314">
        <v>1</v>
      </c>
      <c r="K53" s="314" t="s">
        <v>1421</v>
      </c>
      <c r="L53" s="313" t="s">
        <v>427</v>
      </c>
      <c r="M53" s="312" t="s">
        <v>71</v>
      </c>
      <c r="N53" s="313" t="s">
        <v>71</v>
      </c>
      <c r="O53" s="312" t="s">
        <v>72</v>
      </c>
      <c r="P53" s="328" t="s">
        <v>1186</v>
      </c>
      <c r="Q53" s="312" t="s">
        <v>1187</v>
      </c>
      <c r="R53" s="269" t="s">
        <v>1186</v>
      </c>
      <c r="S53" s="269" t="s">
        <v>1187</v>
      </c>
      <c r="T53" s="277" t="s">
        <v>1186</v>
      </c>
      <c r="U53" s="311" t="s">
        <v>1423</v>
      </c>
      <c r="V53" s="260"/>
      <c r="W53" s="260"/>
      <c r="X53" s="260" t="s">
        <v>1427</v>
      </c>
    </row>
    <row r="54" spans="3:24" ht="39" customHeight="1" x14ac:dyDescent="0.3">
      <c r="C54" s="321"/>
      <c r="D54" s="313" t="s">
        <v>73</v>
      </c>
      <c r="E54" s="312" t="s">
        <v>613</v>
      </c>
      <c r="F54" s="320" t="s">
        <v>1277</v>
      </c>
      <c r="G54" s="315">
        <v>0</v>
      </c>
      <c r="H54" s="312" t="s">
        <v>1267</v>
      </c>
      <c r="I54" s="312">
        <v>1</v>
      </c>
      <c r="J54" s="314">
        <v>1</v>
      </c>
      <c r="K54" s="314" t="s">
        <v>1421</v>
      </c>
      <c r="L54" s="313" t="s">
        <v>428</v>
      </c>
      <c r="M54" s="312" t="s">
        <v>1426</v>
      </c>
      <c r="N54" s="313" t="s">
        <v>73</v>
      </c>
      <c r="O54" s="312" t="s">
        <v>73</v>
      </c>
      <c r="P54" s="312" t="s">
        <v>1186</v>
      </c>
      <c r="Q54" s="312" t="s">
        <v>1186</v>
      </c>
      <c r="R54" s="312" t="s">
        <v>1186</v>
      </c>
      <c r="S54" s="312" t="s">
        <v>1186</v>
      </c>
      <c r="T54" s="312" t="s">
        <v>1186</v>
      </c>
      <c r="U54" s="311"/>
      <c r="V54" s="260"/>
      <c r="W54" s="260"/>
      <c r="X54" s="260"/>
    </row>
    <row r="55" spans="3:24" ht="15" customHeight="1" x14ac:dyDescent="0.3">
      <c r="C55" s="321"/>
      <c r="D55" s="313" t="s">
        <v>76</v>
      </c>
      <c r="E55" s="312" t="s">
        <v>75</v>
      </c>
      <c r="F55" s="320" t="s">
        <v>1277</v>
      </c>
      <c r="G55" s="315">
        <v>0</v>
      </c>
      <c r="H55" s="312" t="s">
        <v>1267</v>
      </c>
      <c r="I55" s="312">
        <v>1</v>
      </c>
      <c r="J55" s="314">
        <v>1</v>
      </c>
      <c r="K55" s="314" t="s">
        <v>1421</v>
      </c>
      <c r="L55" s="313" t="s">
        <v>429</v>
      </c>
      <c r="M55" s="312" t="s">
        <v>76</v>
      </c>
      <c r="N55" s="313" t="s">
        <v>76</v>
      </c>
      <c r="O55" s="312" t="s">
        <v>77</v>
      </c>
      <c r="P55" s="312" t="s">
        <v>1274</v>
      </c>
      <c r="Q55" s="312" t="s">
        <v>1274</v>
      </c>
      <c r="R55" s="312" t="s">
        <v>1274</v>
      </c>
      <c r="S55" s="312" t="s">
        <v>1274</v>
      </c>
      <c r="T55" s="312" t="s">
        <v>1274</v>
      </c>
      <c r="U55" s="311" t="s">
        <v>1425</v>
      </c>
      <c r="V55" s="260" t="s">
        <v>1389</v>
      </c>
      <c r="W55" s="260" t="s">
        <v>1303</v>
      </c>
      <c r="X55" s="260" t="s">
        <v>1424</v>
      </c>
    </row>
    <row r="56" spans="3:24" ht="36" customHeight="1" x14ac:dyDescent="0.3">
      <c r="C56" s="321"/>
      <c r="D56" s="313" t="s">
        <v>79</v>
      </c>
      <c r="E56" s="312" t="s">
        <v>75</v>
      </c>
      <c r="F56" s="320" t="s">
        <v>1277</v>
      </c>
      <c r="G56" s="315">
        <v>0</v>
      </c>
      <c r="H56" s="312" t="s">
        <v>1267</v>
      </c>
      <c r="I56" s="312">
        <v>1</v>
      </c>
      <c r="J56" s="314">
        <v>1</v>
      </c>
      <c r="K56" s="314" t="s">
        <v>1421</v>
      </c>
      <c r="L56" s="313" t="s">
        <v>430</v>
      </c>
      <c r="M56" s="312" t="s">
        <v>79</v>
      </c>
      <c r="N56" s="313" t="s">
        <v>79</v>
      </c>
      <c r="O56" s="312" t="s">
        <v>80</v>
      </c>
      <c r="P56" s="312" t="s">
        <v>1274</v>
      </c>
      <c r="Q56" s="312" t="s">
        <v>1274</v>
      </c>
      <c r="R56" s="312" t="s">
        <v>1274</v>
      </c>
      <c r="S56" s="312" t="s">
        <v>1274</v>
      </c>
      <c r="T56" s="312" t="s">
        <v>1274</v>
      </c>
      <c r="U56" s="311" t="s">
        <v>1425</v>
      </c>
      <c r="V56" s="260" t="s">
        <v>1389</v>
      </c>
      <c r="W56" s="260" t="s">
        <v>1303</v>
      </c>
      <c r="X56" s="260" t="s">
        <v>1424</v>
      </c>
    </row>
    <row r="57" spans="3:24" ht="18" customHeight="1" x14ac:dyDescent="0.3">
      <c r="C57" s="321"/>
      <c r="D57" s="313" t="s">
        <v>81</v>
      </c>
      <c r="E57" s="278" t="s">
        <v>1519</v>
      </c>
      <c r="F57" s="320" t="s">
        <v>1277</v>
      </c>
      <c r="G57" s="315">
        <v>0</v>
      </c>
      <c r="H57" s="312" t="s">
        <v>1267</v>
      </c>
      <c r="I57" s="312">
        <v>1</v>
      </c>
      <c r="J57" s="314">
        <v>1</v>
      </c>
      <c r="K57" s="314" t="s">
        <v>1421</v>
      </c>
      <c r="L57" s="313" t="s">
        <v>431</v>
      </c>
      <c r="M57" s="312" t="s">
        <v>81</v>
      </c>
      <c r="N57" s="313" t="s">
        <v>81</v>
      </c>
      <c r="O57" s="312" t="s">
        <v>81</v>
      </c>
      <c r="P57" s="330" t="s">
        <v>1210</v>
      </c>
      <c r="Q57" s="312" t="s">
        <v>1187</v>
      </c>
      <c r="R57" s="269" t="s">
        <v>1186</v>
      </c>
      <c r="S57" s="269" t="s">
        <v>1187</v>
      </c>
      <c r="T57" s="277" t="s">
        <v>1210</v>
      </c>
      <c r="U57" s="311" t="s">
        <v>1423</v>
      </c>
      <c r="V57" s="260"/>
      <c r="W57" s="260"/>
      <c r="X57" s="260" t="s">
        <v>1422</v>
      </c>
    </row>
    <row r="58" spans="3:24" ht="18" customHeight="1" x14ac:dyDescent="0.3">
      <c r="C58" s="321"/>
      <c r="D58" s="313" t="s">
        <v>83</v>
      </c>
      <c r="E58" s="279" t="s">
        <v>1527</v>
      </c>
      <c r="F58" s="320" t="s">
        <v>1277</v>
      </c>
      <c r="G58" s="315">
        <v>1</v>
      </c>
      <c r="H58" s="312" t="s">
        <v>1267</v>
      </c>
      <c r="I58" s="312">
        <v>1</v>
      </c>
      <c r="J58" s="314">
        <v>1</v>
      </c>
      <c r="K58" s="314" t="s">
        <v>1421</v>
      </c>
      <c r="L58" s="313" t="s">
        <v>432</v>
      </c>
      <c r="M58" s="312" t="s">
        <v>1420</v>
      </c>
      <c r="N58" s="313" t="s">
        <v>83</v>
      </c>
      <c r="O58" s="312" t="s">
        <v>83</v>
      </c>
      <c r="P58" s="328" t="s">
        <v>1274</v>
      </c>
      <c r="Q58" s="328" t="s">
        <v>1274</v>
      </c>
      <c r="R58" s="328" t="s">
        <v>1274</v>
      </c>
      <c r="S58" s="328" t="s">
        <v>1274</v>
      </c>
      <c r="T58" s="312" t="s">
        <v>1274</v>
      </c>
      <c r="U58" s="311" t="s">
        <v>1419</v>
      </c>
      <c r="V58" s="260" t="s">
        <v>1418</v>
      </c>
      <c r="W58" s="260"/>
      <c r="X58" s="260" t="s">
        <v>1417</v>
      </c>
    </row>
    <row r="59" spans="3:24" ht="18" customHeight="1" x14ac:dyDescent="0.3">
      <c r="C59" s="321"/>
      <c r="D59" s="313" t="s">
        <v>85</v>
      </c>
      <c r="E59" s="312" t="s">
        <v>613</v>
      </c>
      <c r="F59" s="320" t="s">
        <v>1277</v>
      </c>
      <c r="G59" s="315">
        <v>0</v>
      </c>
      <c r="H59" s="312" t="s">
        <v>1267</v>
      </c>
      <c r="I59" s="312">
        <v>1</v>
      </c>
      <c r="J59" s="314">
        <v>1</v>
      </c>
      <c r="K59" s="314" t="s">
        <v>1397</v>
      </c>
      <c r="L59" s="313" t="s">
        <v>433</v>
      </c>
      <c r="M59" s="312" t="s">
        <v>85</v>
      </c>
      <c r="N59" s="313" t="s">
        <v>85</v>
      </c>
      <c r="O59" s="312" t="s">
        <v>85</v>
      </c>
      <c r="P59" s="312" t="s">
        <v>1186</v>
      </c>
      <c r="Q59" s="312" t="s">
        <v>1186</v>
      </c>
      <c r="R59" s="312" t="s">
        <v>1186</v>
      </c>
      <c r="S59" s="312" t="s">
        <v>1186</v>
      </c>
      <c r="T59" s="312" t="s">
        <v>1186</v>
      </c>
      <c r="U59" s="311" t="s">
        <v>1412</v>
      </c>
      <c r="V59" s="260"/>
      <c r="W59" s="260"/>
      <c r="X59" s="260"/>
    </row>
    <row r="60" spans="3:24" ht="18" customHeight="1" x14ac:dyDescent="0.3">
      <c r="C60" s="321"/>
      <c r="D60" s="313" t="s">
        <v>811</v>
      </c>
      <c r="E60" s="312" t="s">
        <v>809</v>
      </c>
      <c r="F60" s="320" t="s">
        <v>1277</v>
      </c>
      <c r="G60" s="315">
        <v>0</v>
      </c>
      <c r="H60" s="312" t="s">
        <v>1267</v>
      </c>
      <c r="I60" s="312">
        <v>1</v>
      </c>
      <c r="J60" s="314">
        <v>1</v>
      </c>
      <c r="K60" s="314" t="s">
        <v>1397</v>
      </c>
      <c r="L60" s="313" t="s">
        <v>812</v>
      </c>
      <c r="M60" s="312" t="s">
        <v>1416</v>
      </c>
      <c r="N60" s="326" t="s">
        <v>811</v>
      </c>
      <c r="O60" s="326" t="s">
        <v>811</v>
      </c>
      <c r="P60" s="312" t="s">
        <v>1186</v>
      </c>
      <c r="Q60" s="312" t="s">
        <v>1186</v>
      </c>
      <c r="R60" s="312" t="s">
        <v>1186</v>
      </c>
      <c r="S60" s="312" t="s">
        <v>1186</v>
      </c>
      <c r="T60" s="312" t="s">
        <v>1186</v>
      </c>
      <c r="U60" s="311" t="s">
        <v>1412</v>
      </c>
      <c r="V60" s="260"/>
      <c r="W60" s="260" t="s">
        <v>1415</v>
      </c>
      <c r="X60" s="260"/>
    </row>
    <row r="61" spans="3:24" ht="18" customHeight="1" x14ac:dyDescent="0.3">
      <c r="C61" s="321"/>
      <c r="D61" s="313" t="s">
        <v>89</v>
      </c>
      <c r="E61" s="312" t="s">
        <v>647</v>
      </c>
      <c r="F61" s="320" t="s">
        <v>1277</v>
      </c>
      <c r="G61" s="315">
        <v>0</v>
      </c>
      <c r="H61" s="312" t="s">
        <v>1267</v>
      </c>
      <c r="I61" s="312">
        <v>1</v>
      </c>
      <c r="J61" s="314">
        <v>1</v>
      </c>
      <c r="K61" s="314" t="s">
        <v>1397</v>
      </c>
      <c r="L61" s="313" t="s">
        <v>434</v>
      </c>
      <c r="M61" s="312" t="s">
        <v>1414</v>
      </c>
      <c r="N61" s="313" t="s">
        <v>89</v>
      </c>
      <c r="O61" s="312" t="s">
        <v>90</v>
      </c>
      <c r="P61" s="312" t="s">
        <v>1186</v>
      </c>
      <c r="Q61" s="312" t="s">
        <v>1187</v>
      </c>
      <c r="R61" s="312" t="s">
        <v>1413</v>
      </c>
      <c r="S61" s="312" t="s">
        <v>1187</v>
      </c>
      <c r="T61" s="312" t="s">
        <v>1187</v>
      </c>
      <c r="U61" s="311" t="s">
        <v>1412</v>
      </c>
      <c r="V61" s="260" t="s">
        <v>1411</v>
      </c>
      <c r="W61" s="260" t="s">
        <v>1410</v>
      </c>
      <c r="X61" s="260" t="s">
        <v>1404</v>
      </c>
    </row>
    <row r="62" spans="3:24" ht="18" customHeight="1" x14ac:dyDescent="0.3">
      <c r="C62" s="321"/>
      <c r="D62" s="313" t="s">
        <v>92</v>
      </c>
      <c r="E62" s="312" t="s">
        <v>91</v>
      </c>
      <c r="F62" s="320" t="s">
        <v>1277</v>
      </c>
      <c r="G62" s="315">
        <v>0</v>
      </c>
      <c r="H62" s="312" t="s">
        <v>1267</v>
      </c>
      <c r="I62" s="312">
        <v>1</v>
      </c>
      <c r="J62" s="314">
        <v>1</v>
      </c>
      <c r="K62" s="314" t="s">
        <v>1397</v>
      </c>
      <c r="L62" s="313" t="s">
        <v>435</v>
      </c>
      <c r="M62" s="312" t="s">
        <v>1409</v>
      </c>
      <c r="N62" s="313" t="s">
        <v>1178</v>
      </c>
      <c r="O62" s="312" t="s">
        <v>93</v>
      </c>
      <c r="P62" s="312" t="s">
        <v>1274</v>
      </c>
      <c r="Q62" s="312" t="s">
        <v>1274</v>
      </c>
      <c r="R62" s="312" t="s">
        <v>1274</v>
      </c>
      <c r="S62" s="312" t="s">
        <v>1274</v>
      </c>
      <c r="T62" s="312" t="s">
        <v>1274</v>
      </c>
      <c r="U62" s="311" t="s">
        <v>1408</v>
      </c>
      <c r="V62" s="260"/>
      <c r="W62" s="260" t="s">
        <v>1407</v>
      </c>
      <c r="X62" s="260"/>
    </row>
    <row r="63" spans="3:24" ht="18" customHeight="1" x14ac:dyDescent="0.3">
      <c r="C63" s="321"/>
      <c r="D63" s="313" t="s">
        <v>94</v>
      </c>
      <c r="E63" s="312" t="s">
        <v>649</v>
      </c>
      <c r="F63" s="320" t="s">
        <v>1277</v>
      </c>
      <c r="G63" s="315">
        <v>1</v>
      </c>
      <c r="H63" s="312" t="s">
        <v>1267</v>
      </c>
      <c r="I63" s="312">
        <v>1</v>
      </c>
      <c r="J63" s="314">
        <v>1</v>
      </c>
      <c r="K63" s="314" t="s">
        <v>1397</v>
      </c>
      <c r="L63" s="313" t="s">
        <v>436</v>
      </c>
      <c r="M63" s="312" t="s">
        <v>94</v>
      </c>
      <c r="N63" s="313" t="s">
        <v>94</v>
      </c>
      <c r="O63" s="312" t="s">
        <v>95</v>
      </c>
      <c r="P63" s="312" t="s">
        <v>1186</v>
      </c>
      <c r="Q63" s="312" t="s">
        <v>1187</v>
      </c>
      <c r="R63" s="312" t="s">
        <v>1187</v>
      </c>
      <c r="S63" s="312" t="s">
        <v>1187</v>
      </c>
      <c r="T63" s="312" t="s">
        <v>1187</v>
      </c>
      <c r="U63" s="311"/>
      <c r="V63" s="260" t="s">
        <v>1406</v>
      </c>
      <c r="W63" s="260" t="s">
        <v>1405</v>
      </c>
      <c r="X63" s="260" t="s">
        <v>1404</v>
      </c>
    </row>
    <row r="64" spans="3:24" ht="18" customHeight="1" x14ac:dyDescent="0.3">
      <c r="C64" s="321"/>
      <c r="D64" s="313" t="s">
        <v>96</v>
      </c>
      <c r="E64" s="312" t="s">
        <v>172</v>
      </c>
      <c r="F64" s="320" t="s">
        <v>1277</v>
      </c>
      <c r="G64" s="315">
        <v>1</v>
      </c>
      <c r="H64" s="312" t="s">
        <v>1267</v>
      </c>
      <c r="I64" s="312">
        <v>1</v>
      </c>
      <c r="J64" s="314">
        <v>1</v>
      </c>
      <c r="K64" s="314" t="s">
        <v>1397</v>
      </c>
      <c r="L64" s="313" t="s">
        <v>437</v>
      </c>
      <c r="M64" s="312" t="s">
        <v>96</v>
      </c>
      <c r="N64" s="313" t="s">
        <v>96</v>
      </c>
      <c r="O64" s="312" t="s">
        <v>97</v>
      </c>
      <c r="P64" s="328" t="s">
        <v>1186</v>
      </c>
      <c r="Q64" s="328" t="s">
        <v>1274</v>
      </c>
      <c r="R64" s="328" t="s">
        <v>1274</v>
      </c>
      <c r="S64" s="328" t="s">
        <v>1274</v>
      </c>
      <c r="T64" s="312" t="s">
        <v>1274</v>
      </c>
      <c r="U64" s="327" t="s">
        <v>1403</v>
      </c>
      <c r="V64" s="260" t="s">
        <v>1389</v>
      </c>
      <c r="W64" s="260" t="s">
        <v>1303</v>
      </c>
      <c r="X64" s="345" t="s">
        <v>1402</v>
      </c>
    </row>
    <row r="65" spans="3:24" ht="18" customHeight="1" x14ac:dyDescent="0.3">
      <c r="C65" s="321"/>
      <c r="D65" s="313" t="s">
        <v>98</v>
      </c>
      <c r="E65" s="312" t="s">
        <v>613</v>
      </c>
      <c r="F65" s="320" t="s">
        <v>1277</v>
      </c>
      <c r="G65" s="315">
        <v>1</v>
      </c>
      <c r="H65" s="312" t="s">
        <v>1267</v>
      </c>
      <c r="I65" s="312">
        <v>1</v>
      </c>
      <c r="J65" s="314">
        <v>1</v>
      </c>
      <c r="K65" s="314" t="s">
        <v>1397</v>
      </c>
      <c r="L65" s="313" t="s">
        <v>438</v>
      </c>
      <c r="M65" s="312" t="s">
        <v>1401</v>
      </c>
      <c r="N65" s="313" t="s">
        <v>98</v>
      </c>
      <c r="O65" s="328" t="s">
        <v>1400</v>
      </c>
      <c r="P65" s="312" t="s">
        <v>1186</v>
      </c>
      <c r="Q65" s="312" t="s">
        <v>1186</v>
      </c>
      <c r="R65" s="312" t="s">
        <v>1186</v>
      </c>
      <c r="S65" s="312" t="s">
        <v>1186</v>
      </c>
      <c r="T65" s="269" t="s">
        <v>1186</v>
      </c>
      <c r="U65" s="311" t="s">
        <v>1399</v>
      </c>
      <c r="V65" s="260"/>
      <c r="W65" s="260"/>
      <c r="X65" s="260" t="s">
        <v>1398</v>
      </c>
    </row>
    <row r="66" spans="3:24" ht="18" customHeight="1" x14ac:dyDescent="0.3">
      <c r="C66" s="321"/>
      <c r="D66" s="313" t="s">
        <v>101</v>
      </c>
      <c r="E66" s="312" t="s">
        <v>1568</v>
      </c>
      <c r="F66" s="320" t="s">
        <v>1277</v>
      </c>
      <c r="G66" s="315">
        <v>0</v>
      </c>
      <c r="H66" s="312" t="s">
        <v>1267</v>
      </c>
      <c r="I66" s="312">
        <v>1</v>
      </c>
      <c r="J66" s="314">
        <v>1</v>
      </c>
      <c r="K66" s="314" t="s">
        <v>1397</v>
      </c>
      <c r="L66" s="313" t="s">
        <v>439</v>
      </c>
      <c r="M66" s="313" t="s">
        <v>1396</v>
      </c>
      <c r="N66" s="313" t="s">
        <v>102</v>
      </c>
      <c r="O66" s="312" t="s">
        <v>102</v>
      </c>
      <c r="P66" s="312" t="s">
        <v>1210</v>
      </c>
      <c r="Q66" s="312" t="s">
        <v>1187</v>
      </c>
      <c r="R66" s="312" t="s">
        <v>1187</v>
      </c>
      <c r="S66" s="312" t="s">
        <v>1187</v>
      </c>
      <c r="T66" s="312" t="s">
        <v>1187</v>
      </c>
      <c r="U66" s="311"/>
      <c r="V66" s="260"/>
      <c r="W66" s="260"/>
      <c r="X66" s="260"/>
    </row>
    <row r="67" spans="3:24" ht="18" customHeight="1" x14ac:dyDescent="0.3">
      <c r="C67" s="321"/>
      <c r="D67" s="313" t="s">
        <v>103</v>
      </c>
      <c r="E67" s="312" t="s">
        <v>613</v>
      </c>
      <c r="F67" s="316" t="s">
        <v>1268</v>
      </c>
      <c r="G67" s="315">
        <v>1</v>
      </c>
      <c r="H67" s="312" t="s">
        <v>1267</v>
      </c>
      <c r="I67" s="312">
        <v>1</v>
      </c>
      <c r="J67" s="314">
        <v>1</v>
      </c>
      <c r="K67" s="314" t="s">
        <v>1392</v>
      </c>
      <c r="L67" s="313" t="s">
        <v>440</v>
      </c>
      <c r="M67" s="312" t="s">
        <v>1395</v>
      </c>
      <c r="N67" s="313" t="s">
        <v>103</v>
      </c>
      <c r="O67" s="312" t="s">
        <v>103</v>
      </c>
      <c r="P67" s="312" t="s">
        <v>1186</v>
      </c>
      <c r="Q67" s="312" t="s">
        <v>1186</v>
      </c>
      <c r="R67" s="312" t="s">
        <v>1186</v>
      </c>
      <c r="S67" s="312" t="s">
        <v>1186</v>
      </c>
      <c r="T67" s="312" t="s">
        <v>1186</v>
      </c>
      <c r="U67" s="311"/>
      <c r="V67" s="260"/>
      <c r="W67" s="260"/>
      <c r="X67" s="260"/>
    </row>
    <row r="68" spans="3:24" ht="18" customHeight="1" x14ac:dyDescent="0.3">
      <c r="C68" s="321"/>
      <c r="D68" s="313" t="s">
        <v>105</v>
      </c>
      <c r="E68" s="312" t="s">
        <v>613</v>
      </c>
      <c r="F68" s="316" t="s">
        <v>1268</v>
      </c>
      <c r="G68" s="315">
        <v>1</v>
      </c>
      <c r="H68" s="312" t="s">
        <v>1267</v>
      </c>
      <c r="I68" s="312">
        <v>1</v>
      </c>
      <c r="J68" s="314">
        <v>1</v>
      </c>
      <c r="K68" s="314" t="s">
        <v>1392</v>
      </c>
      <c r="L68" s="313" t="s">
        <v>441</v>
      </c>
      <c r="M68" s="312" t="s">
        <v>1394</v>
      </c>
      <c r="N68" s="313" t="s">
        <v>105</v>
      </c>
      <c r="O68" s="312" t="s">
        <v>105</v>
      </c>
      <c r="P68" s="312" t="s">
        <v>1186</v>
      </c>
      <c r="Q68" s="312" t="s">
        <v>1186</v>
      </c>
      <c r="R68" s="312" t="s">
        <v>1186</v>
      </c>
      <c r="S68" s="312" t="s">
        <v>1186</v>
      </c>
      <c r="T68" s="312" t="s">
        <v>1186</v>
      </c>
      <c r="U68" s="311"/>
      <c r="V68" s="260"/>
      <c r="W68" s="260"/>
      <c r="X68" s="260"/>
    </row>
    <row r="69" spans="3:24" ht="18" customHeight="1" x14ac:dyDescent="0.3">
      <c r="C69" s="321"/>
      <c r="D69" s="332" t="s">
        <v>107</v>
      </c>
      <c r="E69" s="312" t="s">
        <v>1568</v>
      </c>
      <c r="F69" s="316" t="s">
        <v>1268</v>
      </c>
      <c r="G69" s="315">
        <v>0</v>
      </c>
      <c r="H69" s="312" t="s">
        <v>1267</v>
      </c>
      <c r="I69" s="312">
        <v>1</v>
      </c>
      <c r="J69" s="314">
        <v>5</v>
      </c>
      <c r="K69" s="314" t="s">
        <v>1392</v>
      </c>
      <c r="L69" s="313" t="s">
        <v>442</v>
      </c>
      <c r="M69" s="313" t="s">
        <v>107</v>
      </c>
      <c r="N69" s="313" t="s">
        <v>1393</v>
      </c>
      <c r="O69" s="313" t="s">
        <v>1178</v>
      </c>
      <c r="P69" s="312" t="s">
        <v>1186</v>
      </c>
      <c r="Q69" s="313" t="s">
        <v>1187</v>
      </c>
      <c r="R69" s="313" t="s">
        <v>1187</v>
      </c>
      <c r="S69" s="313" t="s">
        <v>1187</v>
      </c>
      <c r="T69" s="313" t="s">
        <v>1187</v>
      </c>
      <c r="U69" s="311"/>
      <c r="V69" s="260"/>
      <c r="W69" s="260"/>
      <c r="X69" s="260"/>
    </row>
    <row r="70" spans="3:24" ht="18" customHeight="1" x14ac:dyDescent="0.3">
      <c r="C70" s="321"/>
      <c r="D70" s="338" t="s">
        <v>109</v>
      </c>
      <c r="E70" s="339" t="s">
        <v>1617</v>
      </c>
      <c r="F70" s="347" t="s">
        <v>1268</v>
      </c>
      <c r="G70" s="343">
        <v>0</v>
      </c>
      <c r="H70" s="339" t="s">
        <v>1267</v>
      </c>
      <c r="I70" s="339">
        <v>1</v>
      </c>
      <c r="J70" s="341">
        <v>1</v>
      </c>
      <c r="K70" s="341" t="s">
        <v>1392</v>
      </c>
      <c r="L70" s="340" t="s">
        <v>521</v>
      </c>
      <c r="M70" s="339" t="s">
        <v>1178</v>
      </c>
      <c r="N70" s="338" t="s">
        <v>110</v>
      </c>
      <c r="O70" s="336" t="s">
        <v>110</v>
      </c>
      <c r="P70" s="336" t="s">
        <v>1187</v>
      </c>
      <c r="Q70" s="336" t="s">
        <v>1187</v>
      </c>
      <c r="R70" s="336" t="s">
        <v>1187</v>
      </c>
      <c r="S70" s="336" t="s">
        <v>1187</v>
      </c>
      <c r="T70" s="336" t="s">
        <v>1187</v>
      </c>
      <c r="U70" s="346"/>
      <c r="V70" s="260" t="s">
        <v>1234</v>
      </c>
      <c r="W70" s="260"/>
      <c r="X70" s="260"/>
    </row>
    <row r="71" spans="3:24" ht="18" customHeight="1" x14ac:dyDescent="0.3">
      <c r="C71" s="321"/>
      <c r="D71" s="338" t="s">
        <v>111</v>
      </c>
      <c r="E71" s="339" t="s">
        <v>1617</v>
      </c>
      <c r="F71" s="347" t="s">
        <v>1268</v>
      </c>
      <c r="G71" s="343">
        <v>0</v>
      </c>
      <c r="H71" s="339" t="s">
        <v>1267</v>
      </c>
      <c r="I71" s="339">
        <v>1</v>
      </c>
      <c r="J71" s="341">
        <v>1</v>
      </c>
      <c r="K71" s="341" t="s">
        <v>1392</v>
      </c>
      <c r="L71" s="340" t="s">
        <v>521</v>
      </c>
      <c r="M71" s="339" t="s">
        <v>1178</v>
      </c>
      <c r="N71" s="338" t="s">
        <v>112</v>
      </c>
      <c r="O71" s="336" t="s">
        <v>112</v>
      </c>
      <c r="P71" s="336" t="s">
        <v>1187</v>
      </c>
      <c r="Q71" s="336" t="s">
        <v>1187</v>
      </c>
      <c r="R71" s="336" t="s">
        <v>1187</v>
      </c>
      <c r="S71" s="336" t="s">
        <v>1187</v>
      </c>
      <c r="T71" s="336" t="s">
        <v>1187</v>
      </c>
      <c r="U71" s="346"/>
      <c r="V71" s="260" t="s">
        <v>1234</v>
      </c>
      <c r="W71" s="260"/>
      <c r="X71" s="260"/>
    </row>
    <row r="72" spans="3:24" ht="18" customHeight="1" x14ac:dyDescent="0.3">
      <c r="C72" s="321"/>
      <c r="D72" s="338" t="s">
        <v>113</v>
      </c>
      <c r="E72" s="339" t="s">
        <v>1617</v>
      </c>
      <c r="F72" s="347" t="s">
        <v>1268</v>
      </c>
      <c r="G72" s="343">
        <v>0</v>
      </c>
      <c r="H72" s="339" t="s">
        <v>1267</v>
      </c>
      <c r="I72" s="339">
        <v>1</v>
      </c>
      <c r="J72" s="341">
        <v>1</v>
      </c>
      <c r="K72" s="341" t="s">
        <v>1392</v>
      </c>
      <c r="L72" s="340" t="s">
        <v>521</v>
      </c>
      <c r="M72" s="339" t="s">
        <v>1178</v>
      </c>
      <c r="N72" s="338" t="s">
        <v>114</v>
      </c>
      <c r="O72" s="336" t="s">
        <v>114</v>
      </c>
      <c r="P72" s="336" t="s">
        <v>1187</v>
      </c>
      <c r="Q72" s="336" t="s">
        <v>1187</v>
      </c>
      <c r="R72" s="336" t="s">
        <v>1187</v>
      </c>
      <c r="S72" s="336" t="s">
        <v>1187</v>
      </c>
      <c r="T72" s="336" t="s">
        <v>1187</v>
      </c>
      <c r="U72" s="346"/>
      <c r="V72" s="260" t="s">
        <v>1234</v>
      </c>
      <c r="W72" s="260"/>
      <c r="X72" s="260"/>
    </row>
    <row r="73" spans="3:24" ht="18" customHeight="1" x14ac:dyDescent="0.3">
      <c r="C73" s="321"/>
      <c r="D73" s="338" t="s">
        <v>115</v>
      </c>
      <c r="E73" s="339" t="s">
        <v>1617</v>
      </c>
      <c r="F73" s="347" t="s">
        <v>1268</v>
      </c>
      <c r="G73" s="343">
        <v>0</v>
      </c>
      <c r="H73" s="339" t="s">
        <v>1267</v>
      </c>
      <c r="I73" s="339">
        <v>1</v>
      </c>
      <c r="J73" s="341">
        <v>1</v>
      </c>
      <c r="K73" s="341" t="s">
        <v>1392</v>
      </c>
      <c r="L73" s="340" t="s">
        <v>521</v>
      </c>
      <c r="M73" s="339" t="s">
        <v>1178</v>
      </c>
      <c r="N73" s="338" t="s">
        <v>116</v>
      </c>
      <c r="O73" s="336" t="s">
        <v>116</v>
      </c>
      <c r="P73" s="336" t="s">
        <v>1187</v>
      </c>
      <c r="Q73" s="336" t="s">
        <v>1187</v>
      </c>
      <c r="R73" s="336" t="s">
        <v>1187</v>
      </c>
      <c r="S73" s="336" t="s">
        <v>1187</v>
      </c>
      <c r="T73" s="336" t="s">
        <v>1187</v>
      </c>
      <c r="U73" s="346"/>
      <c r="V73" s="260" t="s">
        <v>1234</v>
      </c>
      <c r="W73" s="260"/>
      <c r="X73" s="260"/>
    </row>
    <row r="74" spans="3:24" ht="18" customHeight="1" x14ac:dyDescent="0.3">
      <c r="C74" s="321"/>
      <c r="D74" s="338" t="s">
        <v>117</v>
      </c>
      <c r="E74" s="339" t="s">
        <v>1617</v>
      </c>
      <c r="F74" s="347" t="s">
        <v>1268</v>
      </c>
      <c r="G74" s="343">
        <v>0</v>
      </c>
      <c r="H74" s="339" t="s">
        <v>1267</v>
      </c>
      <c r="I74" s="339">
        <v>1</v>
      </c>
      <c r="J74" s="341">
        <v>1</v>
      </c>
      <c r="K74" s="341" t="s">
        <v>1392</v>
      </c>
      <c r="L74" s="340" t="s">
        <v>521</v>
      </c>
      <c r="M74" s="339" t="s">
        <v>1178</v>
      </c>
      <c r="N74" s="338" t="s">
        <v>118</v>
      </c>
      <c r="O74" s="336" t="s">
        <v>118</v>
      </c>
      <c r="P74" s="336" t="s">
        <v>1187</v>
      </c>
      <c r="Q74" s="336" t="s">
        <v>1187</v>
      </c>
      <c r="R74" s="336" t="s">
        <v>1187</v>
      </c>
      <c r="S74" s="336" t="s">
        <v>1187</v>
      </c>
      <c r="T74" s="336" t="s">
        <v>1187</v>
      </c>
      <c r="U74" s="346"/>
      <c r="V74" s="260" t="s">
        <v>1234</v>
      </c>
      <c r="W74" s="260"/>
      <c r="X74" s="260"/>
    </row>
    <row r="75" spans="3:24" ht="18" customHeight="1" x14ac:dyDescent="0.3">
      <c r="C75" s="321"/>
      <c r="D75" s="313" t="s">
        <v>120</v>
      </c>
      <c r="E75" s="312" t="s">
        <v>119</v>
      </c>
      <c r="F75" s="316" t="s">
        <v>1268</v>
      </c>
      <c r="G75" s="315">
        <v>0</v>
      </c>
      <c r="H75" s="312" t="s">
        <v>1267</v>
      </c>
      <c r="I75" s="312">
        <v>1</v>
      </c>
      <c r="J75" s="314">
        <v>1</v>
      </c>
      <c r="K75" s="314" t="s">
        <v>1392</v>
      </c>
      <c r="L75" s="313" t="s">
        <v>521</v>
      </c>
      <c r="M75" s="312" t="s">
        <v>1391</v>
      </c>
      <c r="N75" s="313" t="s">
        <v>121</v>
      </c>
      <c r="O75" s="312" t="s">
        <v>121</v>
      </c>
      <c r="P75" s="328" t="s">
        <v>1187</v>
      </c>
      <c r="Q75" s="328" t="s">
        <v>1187</v>
      </c>
      <c r="R75" s="328" t="s">
        <v>1187</v>
      </c>
      <c r="S75" s="328" t="s">
        <v>1187</v>
      </c>
      <c r="T75" s="312" t="s">
        <v>1187</v>
      </c>
      <c r="U75" s="311"/>
      <c r="V75" s="260" t="s">
        <v>1389</v>
      </c>
      <c r="W75" s="260"/>
      <c r="X75" s="260"/>
    </row>
    <row r="76" spans="3:24" ht="18" customHeight="1" x14ac:dyDescent="0.3">
      <c r="C76" s="321"/>
      <c r="D76" s="313" t="s">
        <v>123</v>
      </c>
      <c r="E76" s="312" t="s">
        <v>122</v>
      </c>
      <c r="F76" s="316" t="s">
        <v>1295</v>
      </c>
      <c r="G76" s="315">
        <v>0</v>
      </c>
      <c r="H76" s="312" t="s">
        <v>1267</v>
      </c>
      <c r="I76" s="312">
        <v>1</v>
      </c>
      <c r="J76" s="314">
        <v>1</v>
      </c>
      <c r="K76" s="314" t="s">
        <v>1380</v>
      </c>
      <c r="L76" s="313" t="s">
        <v>521</v>
      </c>
      <c r="M76" s="312" t="s">
        <v>1390</v>
      </c>
      <c r="N76" s="313" t="s">
        <v>124</v>
      </c>
      <c r="O76" s="312" t="s">
        <v>124</v>
      </c>
      <c r="P76" s="328" t="s">
        <v>1187</v>
      </c>
      <c r="Q76" s="328" t="s">
        <v>1187</v>
      </c>
      <c r="R76" s="328" t="s">
        <v>1187</v>
      </c>
      <c r="S76" s="328" t="s">
        <v>1187</v>
      </c>
      <c r="T76" s="312" t="s">
        <v>1187</v>
      </c>
      <c r="U76" s="311"/>
      <c r="V76" s="260" t="s">
        <v>1389</v>
      </c>
      <c r="W76" s="260"/>
      <c r="X76" s="260"/>
    </row>
    <row r="77" spans="3:24" ht="18" customHeight="1" x14ac:dyDescent="0.3">
      <c r="C77" s="321"/>
      <c r="D77" s="313" t="s">
        <v>126</v>
      </c>
      <c r="E77" s="312" t="s">
        <v>125</v>
      </c>
      <c r="F77" s="316" t="s">
        <v>1295</v>
      </c>
      <c r="G77" s="315">
        <v>1</v>
      </c>
      <c r="H77" s="312" t="s">
        <v>1267</v>
      </c>
      <c r="I77" s="312">
        <v>1</v>
      </c>
      <c r="J77" s="314">
        <v>1</v>
      </c>
      <c r="K77" s="314" t="s">
        <v>1380</v>
      </c>
      <c r="L77" s="313" t="s">
        <v>742</v>
      </c>
      <c r="M77" s="312" t="s">
        <v>126</v>
      </c>
      <c r="N77" s="313" t="s">
        <v>126</v>
      </c>
      <c r="O77" s="312" t="s">
        <v>127</v>
      </c>
      <c r="P77" s="328" t="s">
        <v>1186</v>
      </c>
      <c r="Q77" s="328" t="s">
        <v>1187</v>
      </c>
      <c r="R77" s="328" t="s">
        <v>1187</v>
      </c>
      <c r="S77" s="328" t="s">
        <v>1187</v>
      </c>
      <c r="T77" s="312" t="s">
        <v>1187</v>
      </c>
      <c r="U77" s="311"/>
      <c r="V77" s="345" t="s">
        <v>1348</v>
      </c>
      <c r="W77" s="260"/>
      <c r="X77" s="345" t="s">
        <v>1388</v>
      </c>
    </row>
    <row r="78" spans="3:24" ht="18" customHeight="1" x14ac:dyDescent="0.3">
      <c r="C78" s="321"/>
      <c r="D78" s="313" t="s">
        <v>129</v>
      </c>
      <c r="E78" s="312" t="s">
        <v>1568</v>
      </c>
      <c r="F78" s="316" t="s">
        <v>1295</v>
      </c>
      <c r="G78" s="315">
        <v>0</v>
      </c>
      <c r="H78" s="312" t="s">
        <v>1267</v>
      </c>
      <c r="I78" s="312">
        <v>1</v>
      </c>
      <c r="J78" s="314">
        <v>3</v>
      </c>
      <c r="K78" s="314" t="s">
        <v>1380</v>
      </c>
      <c r="L78" s="313" t="s">
        <v>743</v>
      </c>
      <c r="M78" s="313" t="s">
        <v>129</v>
      </c>
      <c r="N78" s="313" t="s">
        <v>1178</v>
      </c>
      <c r="O78" s="313" t="s">
        <v>1178</v>
      </c>
      <c r="P78" s="312" t="s">
        <v>1186</v>
      </c>
      <c r="Q78" s="313" t="s">
        <v>1187</v>
      </c>
      <c r="R78" s="313" t="s">
        <v>1187</v>
      </c>
      <c r="S78" s="312" t="s">
        <v>1187</v>
      </c>
      <c r="T78" s="312" t="s">
        <v>1187</v>
      </c>
      <c r="U78" s="311"/>
      <c r="V78" s="260"/>
      <c r="W78" s="260" t="s">
        <v>1387</v>
      </c>
      <c r="X78" s="260"/>
    </row>
    <row r="79" spans="3:24" ht="18" customHeight="1" x14ac:dyDescent="0.3">
      <c r="C79" s="321"/>
      <c r="D79" s="338" t="s">
        <v>131</v>
      </c>
      <c r="E79" s="339" t="s">
        <v>1617</v>
      </c>
      <c r="F79" s="344" t="s">
        <v>1295</v>
      </c>
      <c r="G79" s="343">
        <v>0</v>
      </c>
      <c r="H79" s="342" t="s">
        <v>1267</v>
      </c>
      <c r="I79" s="339">
        <v>1</v>
      </c>
      <c r="J79" s="341">
        <v>1</v>
      </c>
      <c r="K79" s="341" t="s">
        <v>1380</v>
      </c>
      <c r="L79" s="340" t="s">
        <v>522</v>
      </c>
      <c r="M79" s="339" t="s">
        <v>1178</v>
      </c>
      <c r="N79" s="338" t="s">
        <v>132</v>
      </c>
      <c r="O79" s="336" t="s">
        <v>132</v>
      </c>
      <c r="P79" s="337" t="s">
        <v>1274</v>
      </c>
      <c r="Q79" s="337" t="s">
        <v>1274</v>
      </c>
      <c r="R79" s="337" t="s">
        <v>1274</v>
      </c>
      <c r="S79" s="337" t="s">
        <v>1274</v>
      </c>
      <c r="T79" s="336" t="s">
        <v>1274</v>
      </c>
      <c r="U79" s="335"/>
      <c r="V79" s="345" t="s">
        <v>1348</v>
      </c>
      <c r="W79" s="260"/>
      <c r="X79" s="260"/>
    </row>
    <row r="80" spans="3:24" ht="18" customHeight="1" x14ac:dyDescent="0.3">
      <c r="C80" s="321"/>
      <c r="D80" s="338" t="s">
        <v>1301</v>
      </c>
      <c r="E80" s="339" t="s">
        <v>48</v>
      </c>
      <c r="F80" s="344" t="s">
        <v>1295</v>
      </c>
      <c r="G80" s="343">
        <v>0</v>
      </c>
      <c r="H80" s="342" t="s">
        <v>1267</v>
      </c>
      <c r="I80" s="339">
        <v>1</v>
      </c>
      <c r="J80" s="341">
        <v>1</v>
      </c>
      <c r="K80" s="341" t="s">
        <v>1380</v>
      </c>
      <c r="L80" s="340" t="s">
        <v>1386</v>
      </c>
      <c r="M80" s="339" t="s">
        <v>1178</v>
      </c>
      <c r="N80" s="338" t="s">
        <v>374</v>
      </c>
      <c r="O80" s="336" t="s">
        <v>374</v>
      </c>
      <c r="P80" s="337" t="s">
        <v>1274</v>
      </c>
      <c r="Q80" s="337" t="s">
        <v>1274</v>
      </c>
      <c r="R80" s="337" t="s">
        <v>1274</v>
      </c>
      <c r="S80" s="337" t="s">
        <v>1274</v>
      </c>
      <c r="T80" s="336" t="s">
        <v>1274</v>
      </c>
      <c r="U80" s="335"/>
      <c r="V80" s="260"/>
      <c r="W80" s="260"/>
      <c r="X80" s="260"/>
    </row>
    <row r="81" spans="3:24" ht="18" customHeight="1" x14ac:dyDescent="0.3">
      <c r="C81" s="321"/>
      <c r="D81" s="338" t="s">
        <v>376</v>
      </c>
      <c r="E81" s="339" t="s">
        <v>1618</v>
      </c>
      <c r="F81" s="344" t="s">
        <v>1295</v>
      </c>
      <c r="G81" s="343">
        <v>0</v>
      </c>
      <c r="H81" s="342" t="s">
        <v>1267</v>
      </c>
      <c r="I81" s="339">
        <v>1</v>
      </c>
      <c r="J81" s="341">
        <v>1</v>
      </c>
      <c r="K81" s="341" t="s">
        <v>1380</v>
      </c>
      <c r="L81" s="340" t="s">
        <v>525</v>
      </c>
      <c r="M81" s="339" t="s">
        <v>1178</v>
      </c>
      <c r="N81" s="338" t="s">
        <v>375</v>
      </c>
      <c r="O81" s="336" t="s">
        <v>375</v>
      </c>
      <c r="P81" s="337" t="s">
        <v>1274</v>
      </c>
      <c r="Q81" s="337" t="s">
        <v>1274</v>
      </c>
      <c r="R81" s="337" t="s">
        <v>1274</v>
      </c>
      <c r="S81" s="337" t="s">
        <v>1274</v>
      </c>
      <c r="T81" s="336" t="s">
        <v>1274</v>
      </c>
      <c r="U81" s="335"/>
      <c r="V81" s="260" t="s">
        <v>1348</v>
      </c>
      <c r="W81" s="260"/>
      <c r="X81" s="260"/>
    </row>
    <row r="82" spans="3:24" ht="18" customHeight="1" x14ac:dyDescent="0.3">
      <c r="C82" s="321"/>
      <c r="D82" s="313" t="s">
        <v>134</v>
      </c>
      <c r="E82" s="312" t="s">
        <v>133</v>
      </c>
      <c r="F82" s="316" t="s">
        <v>1295</v>
      </c>
      <c r="G82" s="315">
        <v>0</v>
      </c>
      <c r="H82" s="312" t="s">
        <v>1267</v>
      </c>
      <c r="I82" s="312">
        <v>1</v>
      </c>
      <c r="J82" s="314">
        <v>1</v>
      </c>
      <c r="K82" s="314" t="s">
        <v>1380</v>
      </c>
      <c r="L82" s="312" t="s">
        <v>526</v>
      </c>
      <c r="M82" s="312" t="s">
        <v>1385</v>
      </c>
      <c r="N82" s="313" t="s">
        <v>135</v>
      </c>
      <c r="O82" s="312" t="s">
        <v>135</v>
      </c>
      <c r="P82" s="328" t="s">
        <v>1274</v>
      </c>
      <c r="Q82" s="312" t="s">
        <v>1274</v>
      </c>
      <c r="R82" s="328" t="s">
        <v>1274</v>
      </c>
      <c r="S82" s="312" t="s">
        <v>1274</v>
      </c>
      <c r="T82" s="312" t="s">
        <v>1274</v>
      </c>
      <c r="U82" s="327" t="s">
        <v>1384</v>
      </c>
      <c r="V82" s="260" t="s">
        <v>1348</v>
      </c>
      <c r="W82" s="260" t="s">
        <v>1378</v>
      </c>
      <c r="X82" s="260"/>
    </row>
    <row r="83" spans="3:24" ht="18" customHeight="1" x14ac:dyDescent="0.3">
      <c r="C83" s="321"/>
      <c r="D83" s="313" t="s">
        <v>136</v>
      </c>
      <c r="E83" s="312" t="s">
        <v>125</v>
      </c>
      <c r="F83" s="316" t="s">
        <v>1295</v>
      </c>
      <c r="G83" s="315">
        <v>0</v>
      </c>
      <c r="H83" s="312" t="s">
        <v>1267</v>
      </c>
      <c r="I83" s="312">
        <v>1</v>
      </c>
      <c r="J83" s="314">
        <v>1</v>
      </c>
      <c r="K83" s="314" t="s">
        <v>1380</v>
      </c>
      <c r="L83" s="313" t="s">
        <v>522</v>
      </c>
      <c r="M83" s="312" t="s">
        <v>1383</v>
      </c>
      <c r="N83" s="313" t="s">
        <v>137</v>
      </c>
      <c r="O83" s="312" t="s">
        <v>137</v>
      </c>
      <c r="P83" s="328" t="s">
        <v>1274</v>
      </c>
      <c r="Q83" s="312" t="s">
        <v>1187</v>
      </c>
      <c r="R83" s="312" t="s">
        <v>1187</v>
      </c>
      <c r="S83" s="312" t="s">
        <v>1187</v>
      </c>
      <c r="T83" s="312" t="s">
        <v>1187</v>
      </c>
      <c r="U83" s="327" t="s">
        <v>1382</v>
      </c>
      <c r="V83" s="260" t="s">
        <v>1348</v>
      </c>
      <c r="W83" s="260" t="s">
        <v>1381</v>
      </c>
      <c r="X83" s="260"/>
    </row>
    <row r="84" spans="3:24" ht="18" customHeight="1" x14ac:dyDescent="0.3">
      <c r="C84" s="321"/>
      <c r="D84" s="313" t="s">
        <v>138</v>
      </c>
      <c r="E84" s="312" t="s">
        <v>613</v>
      </c>
      <c r="F84" s="316" t="s">
        <v>1295</v>
      </c>
      <c r="G84" s="315">
        <v>0</v>
      </c>
      <c r="H84" s="312" t="s">
        <v>1267</v>
      </c>
      <c r="I84" s="312">
        <v>1</v>
      </c>
      <c r="J84" s="314">
        <v>1</v>
      </c>
      <c r="K84" s="314" t="s">
        <v>1380</v>
      </c>
      <c r="L84" s="313" t="s">
        <v>744</v>
      </c>
      <c r="M84" s="312" t="s">
        <v>138</v>
      </c>
      <c r="N84" s="313" t="s">
        <v>138</v>
      </c>
      <c r="O84" s="312" t="s">
        <v>138</v>
      </c>
      <c r="P84" s="312" t="s">
        <v>1186</v>
      </c>
      <c r="Q84" s="312" t="s">
        <v>1186</v>
      </c>
      <c r="R84" s="312" t="s">
        <v>1186</v>
      </c>
      <c r="S84" s="312" t="s">
        <v>1186</v>
      </c>
      <c r="T84" s="312" t="s">
        <v>1186</v>
      </c>
      <c r="U84" s="311"/>
      <c r="V84" s="260"/>
      <c r="W84" s="260"/>
      <c r="X84" s="260"/>
    </row>
    <row r="85" spans="3:24" ht="18" customHeight="1" x14ac:dyDescent="0.3">
      <c r="C85" s="317" t="s">
        <v>141</v>
      </c>
      <c r="D85" s="313" t="s">
        <v>142</v>
      </c>
      <c r="E85" s="312" t="s">
        <v>640</v>
      </c>
      <c r="F85" s="316" t="s">
        <v>1268</v>
      </c>
      <c r="G85" s="315">
        <v>0</v>
      </c>
      <c r="H85" s="312" t="s">
        <v>1267</v>
      </c>
      <c r="I85" s="312">
        <v>1</v>
      </c>
      <c r="J85" s="314">
        <v>1</v>
      </c>
      <c r="K85" s="314" t="s">
        <v>1369</v>
      </c>
      <c r="L85" s="313" t="s">
        <v>522</v>
      </c>
      <c r="M85" s="312" t="s">
        <v>142</v>
      </c>
      <c r="N85" s="313" t="s">
        <v>143</v>
      </c>
      <c r="O85" s="312" t="s">
        <v>143</v>
      </c>
      <c r="P85" s="328" t="s">
        <v>1187</v>
      </c>
      <c r="Q85" s="312" t="s">
        <v>1187</v>
      </c>
      <c r="R85" s="312" t="s">
        <v>1187</v>
      </c>
      <c r="S85" s="312" t="s">
        <v>1187</v>
      </c>
      <c r="T85" s="312" t="s">
        <v>1187</v>
      </c>
      <c r="U85" s="311" t="s">
        <v>1379</v>
      </c>
      <c r="V85" s="260" t="s">
        <v>1330</v>
      </c>
      <c r="W85" s="260" t="s">
        <v>1378</v>
      </c>
      <c r="X85" s="260"/>
    </row>
    <row r="86" spans="3:24" ht="18" customHeight="1" x14ac:dyDescent="0.3">
      <c r="C86" s="317"/>
      <c r="D86" s="313" t="s">
        <v>145</v>
      </c>
      <c r="E86" s="312" t="s">
        <v>144</v>
      </c>
      <c r="F86" s="316" t="s">
        <v>1268</v>
      </c>
      <c r="G86" s="315">
        <v>0</v>
      </c>
      <c r="H86" s="312" t="s">
        <v>1267</v>
      </c>
      <c r="I86" s="312">
        <v>1</v>
      </c>
      <c r="J86" s="314">
        <v>1</v>
      </c>
      <c r="K86" s="314" t="s">
        <v>1369</v>
      </c>
      <c r="L86" s="313" t="s">
        <v>443</v>
      </c>
      <c r="M86" s="312" t="s">
        <v>145</v>
      </c>
      <c r="N86" s="313" t="s">
        <v>145</v>
      </c>
      <c r="O86" s="312" t="s">
        <v>146</v>
      </c>
      <c r="P86" s="312" t="s">
        <v>1186</v>
      </c>
      <c r="Q86" s="312" t="s">
        <v>1186</v>
      </c>
      <c r="R86" s="312" t="s">
        <v>1187</v>
      </c>
      <c r="S86" s="312" t="s">
        <v>1187</v>
      </c>
      <c r="T86" s="269" t="s">
        <v>1187</v>
      </c>
      <c r="U86" s="311" t="s">
        <v>1377</v>
      </c>
      <c r="V86" s="260" t="s">
        <v>1376</v>
      </c>
      <c r="W86" s="260" t="s">
        <v>1303</v>
      </c>
      <c r="X86" s="260"/>
    </row>
    <row r="87" spans="3:24" ht="18" customHeight="1" x14ac:dyDescent="0.3">
      <c r="C87" s="317"/>
      <c r="D87" s="313" t="s">
        <v>148</v>
      </c>
      <c r="E87" s="312" t="s">
        <v>147</v>
      </c>
      <c r="F87" s="316" t="s">
        <v>1268</v>
      </c>
      <c r="G87" s="315">
        <v>0</v>
      </c>
      <c r="H87" s="312" t="s">
        <v>1267</v>
      </c>
      <c r="I87" s="312">
        <v>1</v>
      </c>
      <c r="J87" s="314">
        <v>1</v>
      </c>
      <c r="K87" s="314" t="s">
        <v>1369</v>
      </c>
      <c r="L87" s="313" t="s">
        <v>444</v>
      </c>
      <c r="M87" s="312" t="s">
        <v>148</v>
      </c>
      <c r="N87" s="313" t="s">
        <v>148</v>
      </c>
      <c r="O87" s="312" t="s">
        <v>149</v>
      </c>
      <c r="P87" s="312" t="s">
        <v>1186</v>
      </c>
      <c r="Q87" s="312" t="s">
        <v>1187</v>
      </c>
      <c r="R87" s="312" t="s">
        <v>1187</v>
      </c>
      <c r="S87" s="312" t="s">
        <v>1187</v>
      </c>
      <c r="T87" s="312" t="s">
        <v>1187</v>
      </c>
      <c r="U87" s="311"/>
      <c r="V87" s="260"/>
      <c r="W87" s="260"/>
      <c r="X87" s="260"/>
    </row>
    <row r="88" spans="3:24" ht="18" customHeight="1" x14ac:dyDescent="0.3">
      <c r="C88" s="317"/>
      <c r="D88" s="313" t="s">
        <v>150</v>
      </c>
      <c r="E88" s="279" t="s">
        <v>1182</v>
      </c>
      <c r="F88" s="316" t="s">
        <v>1268</v>
      </c>
      <c r="G88" s="315">
        <v>1</v>
      </c>
      <c r="H88" s="312" t="s">
        <v>1267</v>
      </c>
      <c r="I88" s="312">
        <v>1</v>
      </c>
      <c r="J88" s="314">
        <v>1</v>
      </c>
      <c r="K88" s="314" t="s">
        <v>1369</v>
      </c>
      <c r="L88" s="313" t="s">
        <v>521</v>
      </c>
      <c r="M88" s="312" t="s">
        <v>1375</v>
      </c>
      <c r="N88" s="313" t="s">
        <v>150</v>
      </c>
      <c r="O88" s="312" t="s">
        <v>150</v>
      </c>
      <c r="P88" s="328" t="s">
        <v>1274</v>
      </c>
      <c r="Q88" s="328" t="s">
        <v>1274</v>
      </c>
      <c r="R88" s="328" t="s">
        <v>1274</v>
      </c>
      <c r="S88" s="328" t="s">
        <v>1274</v>
      </c>
      <c r="T88" s="312" t="s">
        <v>1274</v>
      </c>
      <c r="U88" s="311" t="s">
        <v>1374</v>
      </c>
      <c r="V88" s="260" t="s">
        <v>1348</v>
      </c>
      <c r="W88" s="260" t="s">
        <v>1303</v>
      </c>
      <c r="X88" s="260"/>
    </row>
    <row r="89" spans="3:24" ht="18" customHeight="1" x14ac:dyDescent="0.3">
      <c r="C89" s="317"/>
      <c r="D89" s="313" t="s">
        <v>153</v>
      </c>
      <c r="E89" s="312" t="s">
        <v>643</v>
      </c>
      <c r="F89" s="316" t="s">
        <v>1268</v>
      </c>
      <c r="G89" s="315">
        <v>1</v>
      </c>
      <c r="H89" s="312" t="s">
        <v>1267</v>
      </c>
      <c r="I89" s="312">
        <v>1</v>
      </c>
      <c r="J89" s="314">
        <v>1</v>
      </c>
      <c r="K89" s="314" t="s">
        <v>1369</v>
      </c>
      <c r="L89" s="313" t="s">
        <v>745</v>
      </c>
      <c r="M89" s="312" t="s">
        <v>153</v>
      </c>
      <c r="N89" s="313" t="s">
        <v>153</v>
      </c>
      <c r="O89" s="312" t="s">
        <v>154</v>
      </c>
      <c r="P89" s="330" t="s">
        <v>1373</v>
      </c>
      <c r="Q89" s="312" t="s">
        <v>1187</v>
      </c>
      <c r="R89" s="312" t="s">
        <v>1187</v>
      </c>
      <c r="S89" s="312" t="s">
        <v>1187</v>
      </c>
      <c r="T89" s="312" t="s">
        <v>1187</v>
      </c>
      <c r="U89" s="311" t="s">
        <v>1372</v>
      </c>
      <c r="V89" s="260" t="s">
        <v>1330</v>
      </c>
      <c r="W89" s="260" t="s">
        <v>1303</v>
      </c>
      <c r="X89" s="260"/>
    </row>
    <row r="90" spans="3:24" ht="18" customHeight="1" x14ac:dyDescent="0.3">
      <c r="C90" s="317"/>
      <c r="D90" s="313" t="s">
        <v>155</v>
      </c>
      <c r="E90" s="312" t="s">
        <v>636</v>
      </c>
      <c r="F90" s="316" t="s">
        <v>1268</v>
      </c>
      <c r="G90" s="315">
        <v>0</v>
      </c>
      <c r="H90" s="312" t="s">
        <v>1267</v>
      </c>
      <c r="I90" s="312">
        <v>1</v>
      </c>
      <c r="J90" s="314">
        <v>1</v>
      </c>
      <c r="K90" s="314" t="s">
        <v>1369</v>
      </c>
      <c r="L90" s="313" t="s">
        <v>521</v>
      </c>
      <c r="M90" s="312" t="s">
        <v>1371</v>
      </c>
      <c r="N90" s="313" t="s">
        <v>156</v>
      </c>
      <c r="O90" s="312" t="s">
        <v>156</v>
      </c>
      <c r="P90" s="312" t="s">
        <v>1187</v>
      </c>
      <c r="Q90" s="312" t="s">
        <v>1187</v>
      </c>
      <c r="R90" s="312" t="s">
        <v>1187</v>
      </c>
      <c r="S90" s="312" t="s">
        <v>1187</v>
      </c>
      <c r="T90" s="312" t="s">
        <v>1187</v>
      </c>
      <c r="U90" s="311"/>
      <c r="V90" s="260"/>
      <c r="W90" s="260"/>
      <c r="X90" s="260"/>
    </row>
    <row r="91" spans="3:24" ht="18" customHeight="1" x14ac:dyDescent="0.3">
      <c r="C91" s="317"/>
      <c r="D91" s="313" t="s">
        <v>157</v>
      </c>
      <c r="E91" s="269" t="s">
        <v>157</v>
      </c>
      <c r="F91" s="316" t="s">
        <v>1268</v>
      </c>
      <c r="G91" s="315">
        <v>0</v>
      </c>
      <c r="H91" s="312" t="s">
        <v>1267</v>
      </c>
      <c r="I91" s="312">
        <v>1</v>
      </c>
      <c r="J91" s="314">
        <v>1</v>
      </c>
      <c r="K91" s="314" t="s">
        <v>1369</v>
      </c>
      <c r="L91" s="313" t="s">
        <v>746</v>
      </c>
      <c r="M91" s="312" t="s">
        <v>157</v>
      </c>
      <c r="N91" s="313" t="s">
        <v>157</v>
      </c>
      <c r="O91" s="312" t="s">
        <v>157</v>
      </c>
      <c r="P91" s="312" t="s">
        <v>1186</v>
      </c>
      <c r="Q91" s="312" t="s">
        <v>1186</v>
      </c>
      <c r="R91" s="312" t="s">
        <v>1187</v>
      </c>
      <c r="S91" s="312" t="s">
        <v>1187</v>
      </c>
      <c r="T91" s="312" t="s">
        <v>1187</v>
      </c>
      <c r="U91" s="311" t="s">
        <v>1370</v>
      </c>
      <c r="V91" s="260"/>
      <c r="W91" s="260"/>
      <c r="X91" s="260"/>
    </row>
    <row r="92" spans="3:24" ht="18" customHeight="1" x14ac:dyDescent="0.3">
      <c r="C92" s="317"/>
      <c r="D92" s="313" t="s">
        <v>159</v>
      </c>
      <c r="E92" s="312" t="s">
        <v>645</v>
      </c>
      <c r="F92" s="316" t="s">
        <v>1268</v>
      </c>
      <c r="G92" s="315">
        <v>1</v>
      </c>
      <c r="H92" s="312" t="s">
        <v>1267</v>
      </c>
      <c r="I92" s="312">
        <v>1</v>
      </c>
      <c r="J92" s="314">
        <v>1</v>
      </c>
      <c r="K92" s="314" t="s">
        <v>1369</v>
      </c>
      <c r="L92" s="313" t="s">
        <v>747</v>
      </c>
      <c r="M92" s="312" t="s">
        <v>1368</v>
      </c>
      <c r="N92" s="313" t="s">
        <v>159</v>
      </c>
      <c r="O92" s="312" t="s">
        <v>160</v>
      </c>
      <c r="P92" s="328" t="s">
        <v>1186</v>
      </c>
      <c r="Q92" s="312" t="s">
        <v>1187</v>
      </c>
      <c r="R92" s="328" t="s">
        <v>1187</v>
      </c>
      <c r="S92" s="312" t="s">
        <v>1187</v>
      </c>
      <c r="T92" s="312" t="s">
        <v>1187</v>
      </c>
      <c r="U92" s="327" t="s">
        <v>1367</v>
      </c>
      <c r="V92" s="260"/>
      <c r="W92" s="260" t="s">
        <v>1366</v>
      </c>
      <c r="X92" s="260"/>
    </row>
    <row r="93" spans="3:24" ht="18" customHeight="1" x14ac:dyDescent="0.3">
      <c r="C93" s="317"/>
      <c r="D93" s="313" t="s">
        <v>161</v>
      </c>
      <c r="E93" s="312" t="s">
        <v>641</v>
      </c>
      <c r="F93" s="316" t="s">
        <v>1268</v>
      </c>
      <c r="G93" s="315">
        <v>0</v>
      </c>
      <c r="H93" s="312" t="s">
        <v>1267</v>
      </c>
      <c r="I93" s="312">
        <v>1</v>
      </c>
      <c r="J93" s="314">
        <v>1</v>
      </c>
      <c r="K93" s="314" t="s">
        <v>1358</v>
      </c>
      <c r="L93" s="313" t="s">
        <v>521</v>
      </c>
      <c r="M93" s="312" t="s">
        <v>1365</v>
      </c>
      <c r="N93" s="313" t="s">
        <v>162</v>
      </c>
      <c r="O93" s="312" t="s">
        <v>162</v>
      </c>
      <c r="P93" s="328" t="s">
        <v>1187</v>
      </c>
      <c r="Q93" s="328" t="s">
        <v>1187</v>
      </c>
      <c r="R93" s="328" t="s">
        <v>1187</v>
      </c>
      <c r="S93" s="328" t="s">
        <v>1187</v>
      </c>
      <c r="T93" s="312" t="s">
        <v>1187</v>
      </c>
      <c r="U93" s="311"/>
      <c r="V93" s="260" t="s">
        <v>1330</v>
      </c>
      <c r="W93" s="260"/>
      <c r="X93" s="260"/>
    </row>
    <row r="94" spans="3:24" ht="18" customHeight="1" x14ac:dyDescent="0.3">
      <c r="C94" s="317"/>
      <c r="D94" s="313" t="s">
        <v>163</v>
      </c>
      <c r="E94" s="269" t="s">
        <v>163</v>
      </c>
      <c r="F94" s="316" t="s">
        <v>1268</v>
      </c>
      <c r="G94" s="315">
        <v>0</v>
      </c>
      <c r="H94" s="312" t="s">
        <v>1267</v>
      </c>
      <c r="I94" s="312">
        <v>1</v>
      </c>
      <c r="J94" s="314">
        <v>3</v>
      </c>
      <c r="K94" s="314" t="s">
        <v>1358</v>
      </c>
      <c r="L94" s="313" t="s">
        <v>748</v>
      </c>
      <c r="M94" s="312" t="s">
        <v>1364</v>
      </c>
      <c r="N94" s="313" t="s">
        <v>163</v>
      </c>
      <c r="O94" s="312" t="s">
        <v>163</v>
      </c>
      <c r="P94" s="312" t="s">
        <v>1361</v>
      </c>
      <c r="Q94" s="328" t="s">
        <v>1187</v>
      </c>
      <c r="R94" s="278" t="s">
        <v>1361</v>
      </c>
      <c r="S94" s="278" t="s">
        <v>1187</v>
      </c>
      <c r="T94" s="277" t="s">
        <v>1186</v>
      </c>
      <c r="U94" s="311"/>
      <c r="V94" s="260" t="s">
        <v>1330</v>
      </c>
      <c r="W94" s="260" t="s">
        <v>1363</v>
      </c>
      <c r="X94" s="260"/>
    </row>
    <row r="95" spans="3:24" ht="18" customHeight="1" x14ac:dyDescent="0.3">
      <c r="C95" s="317"/>
      <c r="D95" s="313" t="s">
        <v>165</v>
      </c>
      <c r="E95" s="312" t="s">
        <v>642</v>
      </c>
      <c r="F95" s="316" t="s">
        <v>1268</v>
      </c>
      <c r="G95" s="315">
        <v>0</v>
      </c>
      <c r="H95" s="312" t="s">
        <v>1267</v>
      </c>
      <c r="I95" s="312">
        <v>1</v>
      </c>
      <c r="J95" s="314">
        <v>1</v>
      </c>
      <c r="K95" s="314" t="s">
        <v>1358</v>
      </c>
      <c r="L95" s="313" t="s">
        <v>522</v>
      </c>
      <c r="M95" s="312" t="s">
        <v>1362</v>
      </c>
      <c r="N95" s="313" t="s">
        <v>166</v>
      </c>
      <c r="O95" s="312" t="s">
        <v>166</v>
      </c>
      <c r="P95" s="312" t="s">
        <v>1187</v>
      </c>
      <c r="Q95" s="312" t="s">
        <v>1187</v>
      </c>
      <c r="R95" s="312" t="s">
        <v>1187</v>
      </c>
      <c r="S95" s="312" t="s">
        <v>1187</v>
      </c>
      <c r="T95" s="312" t="s">
        <v>1187</v>
      </c>
      <c r="U95" s="311"/>
      <c r="V95" s="260" t="s">
        <v>1330</v>
      </c>
      <c r="W95" s="260"/>
      <c r="X95" s="260"/>
    </row>
    <row r="96" spans="3:24" ht="18" customHeight="1" x14ac:dyDescent="0.3">
      <c r="C96" s="317"/>
      <c r="D96" s="313" t="s">
        <v>167</v>
      </c>
      <c r="E96" s="312" t="s">
        <v>651</v>
      </c>
      <c r="F96" s="316" t="s">
        <v>1268</v>
      </c>
      <c r="G96" s="315">
        <v>1</v>
      </c>
      <c r="H96" s="312" t="s">
        <v>1267</v>
      </c>
      <c r="I96" s="312">
        <v>1</v>
      </c>
      <c r="J96" s="314">
        <v>1</v>
      </c>
      <c r="K96" s="314" t="s">
        <v>1358</v>
      </c>
      <c r="L96" s="313" t="s">
        <v>522</v>
      </c>
      <c r="M96" s="312" t="s">
        <v>167</v>
      </c>
      <c r="N96" s="313" t="s">
        <v>167</v>
      </c>
      <c r="O96" s="312" t="s">
        <v>168</v>
      </c>
      <c r="P96" s="312" t="s">
        <v>1361</v>
      </c>
      <c r="Q96" s="312" t="s">
        <v>1187</v>
      </c>
      <c r="R96" s="328" t="s">
        <v>1187</v>
      </c>
      <c r="S96" s="312" t="s">
        <v>1187</v>
      </c>
      <c r="T96" s="312" t="s">
        <v>1187</v>
      </c>
      <c r="U96" s="327" t="s">
        <v>1360</v>
      </c>
      <c r="V96" s="260" t="s">
        <v>1330</v>
      </c>
      <c r="W96" s="260" t="s">
        <v>1360</v>
      </c>
      <c r="X96" s="260"/>
    </row>
    <row r="97" spans="3:24" ht="18" customHeight="1" x14ac:dyDescent="0.3">
      <c r="C97" s="317"/>
      <c r="D97" s="313" t="s">
        <v>169</v>
      </c>
      <c r="E97" s="312" t="s">
        <v>639</v>
      </c>
      <c r="F97" s="316" t="s">
        <v>1268</v>
      </c>
      <c r="G97" s="315">
        <v>0</v>
      </c>
      <c r="H97" s="312" t="s">
        <v>1267</v>
      </c>
      <c r="I97" s="312">
        <v>1</v>
      </c>
      <c r="J97" s="314">
        <v>1</v>
      </c>
      <c r="K97" s="314" t="s">
        <v>1358</v>
      </c>
      <c r="L97" s="313" t="s">
        <v>522</v>
      </c>
      <c r="M97" s="312" t="s">
        <v>1359</v>
      </c>
      <c r="N97" s="313" t="s">
        <v>170</v>
      </c>
      <c r="O97" s="312" t="s">
        <v>170</v>
      </c>
      <c r="P97" s="312" t="s">
        <v>1187</v>
      </c>
      <c r="Q97" s="312" t="s">
        <v>1187</v>
      </c>
      <c r="R97" s="312" t="s">
        <v>1187</v>
      </c>
      <c r="S97" s="312" t="s">
        <v>1187</v>
      </c>
      <c r="T97" s="312" t="s">
        <v>1187</v>
      </c>
      <c r="U97" s="311"/>
      <c r="V97" s="260" t="s">
        <v>1234</v>
      </c>
      <c r="W97" s="260" t="s">
        <v>1303</v>
      </c>
      <c r="X97" s="260"/>
    </row>
    <row r="98" spans="3:24" ht="18" customHeight="1" x14ac:dyDescent="0.3">
      <c r="C98" s="317"/>
      <c r="D98" s="313" t="s">
        <v>673</v>
      </c>
      <c r="E98" s="312" t="s">
        <v>637</v>
      </c>
      <c r="F98" s="316" t="s">
        <v>1268</v>
      </c>
      <c r="G98" s="315">
        <v>1</v>
      </c>
      <c r="H98" s="312" t="s">
        <v>1267</v>
      </c>
      <c r="I98" s="312">
        <v>1</v>
      </c>
      <c r="J98" s="314">
        <v>1</v>
      </c>
      <c r="K98" s="314" t="s">
        <v>1358</v>
      </c>
      <c r="L98" s="313" t="s">
        <v>522</v>
      </c>
      <c r="M98" s="312" t="s">
        <v>1357</v>
      </c>
      <c r="N98" s="313" t="s">
        <v>1356</v>
      </c>
      <c r="O98" s="312" t="s">
        <v>171</v>
      </c>
      <c r="P98" s="312" t="s">
        <v>1186</v>
      </c>
      <c r="Q98" s="312" t="s">
        <v>1187</v>
      </c>
      <c r="R98" s="312" t="s">
        <v>1187</v>
      </c>
      <c r="S98" s="312" t="s">
        <v>1187</v>
      </c>
      <c r="T98" s="312" t="s">
        <v>1187</v>
      </c>
      <c r="U98" s="311"/>
      <c r="V98" s="260" t="s">
        <v>1348</v>
      </c>
      <c r="W98" s="260"/>
      <c r="X98" s="260"/>
    </row>
    <row r="99" spans="3:24" ht="18" customHeight="1" x14ac:dyDescent="0.3">
      <c r="C99" s="317"/>
      <c r="D99" s="313" t="s">
        <v>173</v>
      </c>
      <c r="E99" s="312" t="s">
        <v>172</v>
      </c>
      <c r="F99" s="316" t="s">
        <v>1268</v>
      </c>
      <c r="G99" s="315">
        <v>1</v>
      </c>
      <c r="H99" s="312" t="s">
        <v>1267</v>
      </c>
      <c r="I99" s="312">
        <v>1</v>
      </c>
      <c r="J99" s="314">
        <v>1</v>
      </c>
      <c r="K99" s="314" t="s">
        <v>1345</v>
      </c>
      <c r="L99" s="313" t="s">
        <v>445</v>
      </c>
      <c r="M99" s="312" t="s">
        <v>1355</v>
      </c>
      <c r="N99" s="313" t="s">
        <v>173</v>
      </c>
      <c r="O99" s="312" t="s">
        <v>174</v>
      </c>
      <c r="P99" s="312" t="s">
        <v>1186</v>
      </c>
      <c r="Q99" s="312" t="s">
        <v>1187</v>
      </c>
      <c r="R99" s="312" t="s">
        <v>1187</v>
      </c>
      <c r="S99" s="312" t="s">
        <v>1187</v>
      </c>
      <c r="T99" s="312" t="s">
        <v>1187</v>
      </c>
      <c r="U99" s="311"/>
      <c r="V99" s="260"/>
      <c r="W99" s="260"/>
      <c r="X99" s="260"/>
    </row>
    <row r="100" spans="3:24" ht="18" customHeight="1" x14ac:dyDescent="0.3">
      <c r="C100" s="317"/>
      <c r="D100" s="313" t="s">
        <v>176</v>
      </c>
      <c r="E100" s="312" t="s">
        <v>172</v>
      </c>
      <c r="F100" s="316" t="s">
        <v>1268</v>
      </c>
      <c r="G100" s="315">
        <v>0</v>
      </c>
      <c r="H100" s="312" t="s">
        <v>1267</v>
      </c>
      <c r="I100" s="312">
        <v>1</v>
      </c>
      <c r="J100" s="314">
        <v>1</v>
      </c>
      <c r="K100" s="314" t="s">
        <v>1345</v>
      </c>
      <c r="L100" s="313" t="s">
        <v>446</v>
      </c>
      <c r="M100" s="312" t="s">
        <v>1354</v>
      </c>
      <c r="N100" s="313" t="s">
        <v>176</v>
      </c>
      <c r="O100" s="312" t="s">
        <v>177</v>
      </c>
      <c r="P100" s="312" t="s">
        <v>1186</v>
      </c>
      <c r="Q100" s="312" t="s">
        <v>1187</v>
      </c>
      <c r="R100" s="312" t="s">
        <v>1187</v>
      </c>
      <c r="S100" s="312" t="s">
        <v>1187</v>
      </c>
      <c r="T100" s="312" t="s">
        <v>1187</v>
      </c>
      <c r="U100" s="311"/>
      <c r="V100" s="260" t="s">
        <v>1353</v>
      </c>
      <c r="W100" s="260" t="s">
        <v>1304</v>
      </c>
      <c r="X100" s="260"/>
    </row>
    <row r="101" spans="3:24" ht="18" customHeight="1" x14ac:dyDescent="0.3">
      <c r="C101" s="317"/>
      <c r="D101" s="313" t="s">
        <v>178</v>
      </c>
      <c r="E101" s="312" t="s">
        <v>172</v>
      </c>
      <c r="F101" s="316" t="s">
        <v>1268</v>
      </c>
      <c r="G101" s="315">
        <v>0</v>
      </c>
      <c r="H101" s="312" t="s">
        <v>1267</v>
      </c>
      <c r="I101" s="312">
        <v>1</v>
      </c>
      <c r="J101" s="314">
        <v>1</v>
      </c>
      <c r="K101" s="314" t="s">
        <v>1345</v>
      </c>
      <c r="L101" s="313" t="s">
        <v>447</v>
      </c>
      <c r="M101" s="312" t="s">
        <v>1352</v>
      </c>
      <c r="N101" s="313" t="s">
        <v>178</v>
      </c>
      <c r="O101" s="312" t="s">
        <v>179</v>
      </c>
      <c r="P101" s="312" t="s">
        <v>1186</v>
      </c>
      <c r="Q101" s="312" t="s">
        <v>1187</v>
      </c>
      <c r="R101" s="312" t="s">
        <v>1187</v>
      </c>
      <c r="S101" s="312" t="s">
        <v>1187</v>
      </c>
      <c r="T101" s="312" t="s">
        <v>1187</v>
      </c>
      <c r="U101" s="311"/>
      <c r="V101" s="260"/>
      <c r="W101" s="260"/>
      <c r="X101" s="260"/>
    </row>
    <row r="102" spans="3:24" ht="18" customHeight="1" x14ac:dyDescent="0.3">
      <c r="C102" s="317"/>
      <c r="D102" s="313" t="s">
        <v>180</v>
      </c>
      <c r="E102" s="312" t="s">
        <v>638</v>
      </c>
      <c r="F102" s="316" t="s">
        <v>1268</v>
      </c>
      <c r="G102" s="315">
        <v>1</v>
      </c>
      <c r="H102" s="312" t="s">
        <v>1267</v>
      </c>
      <c r="I102" s="312">
        <v>1</v>
      </c>
      <c r="J102" s="314">
        <v>1</v>
      </c>
      <c r="K102" s="314" t="s">
        <v>1345</v>
      </c>
      <c r="L102" s="313" t="s">
        <v>523</v>
      </c>
      <c r="M102" s="312" t="s">
        <v>1351</v>
      </c>
      <c r="N102" s="313" t="s">
        <v>180</v>
      </c>
      <c r="O102" s="312" t="s">
        <v>181</v>
      </c>
      <c r="P102" s="312" t="s">
        <v>1187</v>
      </c>
      <c r="Q102" s="312" t="s">
        <v>1187</v>
      </c>
      <c r="R102" s="312" t="s">
        <v>1187</v>
      </c>
      <c r="S102" s="312" t="s">
        <v>1187</v>
      </c>
      <c r="T102" s="312" t="s">
        <v>1187</v>
      </c>
      <c r="U102" s="311"/>
      <c r="V102" s="260" t="s">
        <v>1350</v>
      </c>
      <c r="W102" s="260" t="s">
        <v>1303</v>
      </c>
      <c r="X102" s="260"/>
    </row>
    <row r="103" spans="3:24" ht="18" customHeight="1" x14ac:dyDescent="0.3">
      <c r="C103" s="317"/>
      <c r="D103" s="313" t="s">
        <v>182</v>
      </c>
      <c r="E103" s="312" t="s">
        <v>635</v>
      </c>
      <c r="F103" s="316" t="s">
        <v>1268</v>
      </c>
      <c r="G103" s="315">
        <v>1</v>
      </c>
      <c r="H103" s="312" t="s">
        <v>1267</v>
      </c>
      <c r="I103" s="312">
        <v>1</v>
      </c>
      <c r="J103" s="314">
        <v>1</v>
      </c>
      <c r="K103" s="314" t="s">
        <v>1345</v>
      </c>
      <c r="L103" s="313" t="s">
        <v>524</v>
      </c>
      <c r="M103" s="312" t="s">
        <v>182</v>
      </c>
      <c r="N103" s="313" t="s">
        <v>182</v>
      </c>
      <c r="O103" s="312" t="s">
        <v>183</v>
      </c>
      <c r="P103" s="312" t="s">
        <v>1186</v>
      </c>
      <c r="Q103" s="312" t="s">
        <v>1187</v>
      </c>
      <c r="R103" s="269" t="s">
        <v>1186</v>
      </c>
      <c r="S103" s="269" t="s">
        <v>1187</v>
      </c>
      <c r="T103" s="277" t="s">
        <v>1187</v>
      </c>
      <c r="U103" s="311" t="s">
        <v>1349</v>
      </c>
      <c r="V103" s="260" t="s">
        <v>1348</v>
      </c>
      <c r="W103" s="260" t="s">
        <v>1347</v>
      </c>
      <c r="X103" s="260"/>
    </row>
    <row r="104" spans="3:24" ht="18" customHeight="1" x14ac:dyDescent="0.3">
      <c r="C104" s="317"/>
      <c r="D104" s="313" t="s">
        <v>184</v>
      </c>
      <c r="E104" s="312" t="s">
        <v>644</v>
      </c>
      <c r="F104" s="316" t="s">
        <v>1268</v>
      </c>
      <c r="G104" s="315">
        <v>1</v>
      </c>
      <c r="H104" s="312" t="s">
        <v>1267</v>
      </c>
      <c r="I104" s="312">
        <v>1</v>
      </c>
      <c r="J104" s="314">
        <v>1</v>
      </c>
      <c r="K104" s="314" t="s">
        <v>1345</v>
      </c>
      <c r="L104" s="313" t="s">
        <v>448</v>
      </c>
      <c r="M104" s="312" t="s">
        <v>1346</v>
      </c>
      <c r="N104" s="313" t="s">
        <v>184</v>
      </c>
      <c r="O104" s="312" t="s">
        <v>185</v>
      </c>
      <c r="P104" s="312" t="s">
        <v>1186</v>
      </c>
      <c r="Q104" s="312" t="s">
        <v>1187</v>
      </c>
      <c r="R104" s="269" t="s">
        <v>1186</v>
      </c>
      <c r="S104" s="269" t="s">
        <v>1187</v>
      </c>
      <c r="T104" s="277" t="s">
        <v>1187</v>
      </c>
      <c r="U104" s="311"/>
      <c r="V104" s="260" t="s">
        <v>1330</v>
      </c>
      <c r="W104" s="260"/>
      <c r="X104" s="260"/>
    </row>
    <row r="105" spans="3:24" ht="18" customHeight="1" x14ac:dyDescent="0.3">
      <c r="C105" s="317"/>
      <c r="D105" s="313" t="s">
        <v>187</v>
      </c>
      <c r="E105" s="312" t="s">
        <v>186</v>
      </c>
      <c r="F105" s="316" t="s">
        <v>1268</v>
      </c>
      <c r="G105" s="315">
        <v>0</v>
      </c>
      <c r="H105" s="312" t="s">
        <v>1267</v>
      </c>
      <c r="I105" s="312">
        <v>1</v>
      </c>
      <c r="J105" s="314">
        <v>2</v>
      </c>
      <c r="K105" s="314" t="s">
        <v>1345</v>
      </c>
      <c r="L105" s="313" t="s">
        <v>449</v>
      </c>
      <c r="M105" s="312" t="s">
        <v>187</v>
      </c>
      <c r="N105" s="313" t="s">
        <v>187</v>
      </c>
      <c r="O105" s="312" t="s">
        <v>188</v>
      </c>
      <c r="P105" s="328" t="s">
        <v>1187</v>
      </c>
      <c r="Q105" s="312" t="s">
        <v>1187</v>
      </c>
      <c r="R105" s="312" t="s">
        <v>1187</v>
      </c>
      <c r="S105" s="312" t="s">
        <v>1187</v>
      </c>
      <c r="T105" s="312" t="s">
        <v>1187</v>
      </c>
      <c r="U105" s="311"/>
      <c r="V105" s="260" t="s">
        <v>1330</v>
      </c>
      <c r="W105" s="260" t="s">
        <v>1344</v>
      </c>
      <c r="X105" s="260"/>
    </row>
    <row r="106" spans="3:24" ht="18" customHeight="1" x14ac:dyDescent="0.3">
      <c r="C106" s="317"/>
      <c r="D106" s="313" t="s">
        <v>189</v>
      </c>
      <c r="E106" s="312" t="s">
        <v>613</v>
      </c>
      <c r="F106" s="320" t="s">
        <v>1277</v>
      </c>
      <c r="G106" s="315">
        <v>0</v>
      </c>
      <c r="H106" s="312" t="s">
        <v>1267</v>
      </c>
      <c r="I106" s="312">
        <v>1</v>
      </c>
      <c r="J106" s="314">
        <v>8</v>
      </c>
      <c r="K106" s="314" t="s">
        <v>1343</v>
      </c>
      <c r="L106" s="313" t="s">
        <v>450</v>
      </c>
      <c r="M106" s="312" t="s">
        <v>1342</v>
      </c>
      <c r="N106" s="313" t="s">
        <v>189</v>
      </c>
      <c r="O106" s="312" t="s">
        <v>189</v>
      </c>
      <c r="P106" s="312" t="s">
        <v>1186</v>
      </c>
      <c r="Q106" s="312" t="s">
        <v>1186</v>
      </c>
      <c r="R106" s="312" t="s">
        <v>1186</v>
      </c>
      <c r="S106" s="312" t="s">
        <v>1186</v>
      </c>
      <c r="T106" s="312" t="s">
        <v>1186</v>
      </c>
      <c r="U106" s="327" t="s">
        <v>1341</v>
      </c>
      <c r="V106" s="260" t="s">
        <v>1340</v>
      </c>
      <c r="W106" s="260" t="s">
        <v>1339</v>
      </c>
      <c r="X106" s="260"/>
    </row>
    <row r="107" spans="3:24" ht="18" customHeight="1" x14ac:dyDescent="0.3">
      <c r="C107" s="317" t="s">
        <v>191</v>
      </c>
      <c r="D107" s="285" t="s">
        <v>192</v>
      </c>
      <c r="E107" s="279" t="s">
        <v>1521</v>
      </c>
      <c r="F107" s="316" t="s">
        <v>1295</v>
      </c>
      <c r="G107" s="410" t="s">
        <v>1528</v>
      </c>
      <c r="H107" s="312" t="s">
        <v>1267</v>
      </c>
      <c r="I107" s="312">
        <v>1</v>
      </c>
      <c r="J107" s="314">
        <v>15</v>
      </c>
      <c r="K107" s="314" t="s">
        <v>1338</v>
      </c>
      <c r="L107" s="313" t="s">
        <v>451</v>
      </c>
      <c r="M107" s="312" t="s">
        <v>1337</v>
      </c>
      <c r="N107" s="313" t="s">
        <v>192</v>
      </c>
      <c r="O107" s="312" t="s">
        <v>192</v>
      </c>
      <c r="P107" s="334" t="s">
        <v>1186</v>
      </c>
      <c r="Q107" s="334" t="s">
        <v>1186</v>
      </c>
      <c r="R107" s="334" t="s">
        <v>1186</v>
      </c>
      <c r="S107" s="334" t="s">
        <v>1186</v>
      </c>
      <c r="T107" s="333">
        <v>7</v>
      </c>
      <c r="U107" s="327" t="s">
        <v>1336</v>
      </c>
      <c r="V107" s="260" t="s">
        <v>1335</v>
      </c>
      <c r="W107" s="260" t="s">
        <v>1334</v>
      </c>
      <c r="X107" s="260"/>
    </row>
    <row r="108" spans="3:24" ht="18" customHeight="1" x14ac:dyDescent="0.3">
      <c r="C108" s="317"/>
      <c r="D108" s="313" t="s">
        <v>194</v>
      </c>
      <c r="E108" s="312" t="s">
        <v>646</v>
      </c>
      <c r="F108" s="316" t="s">
        <v>1295</v>
      </c>
      <c r="G108" s="315">
        <v>1</v>
      </c>
      <c r="H108" s="312" t="s">
        <v>1267</v>
      </c>
      <c r="I108" s="312">
        <v>1</v>
      </c>
      <c r="J108" s="314">
        <v>1</v>
      </c>
      <c r="K108" s="314" t="s">
        <v>1333</v>
      </c>
      <c r="L108" s="313" t="s">
        <v>452</v>
      </c>
      <c r="M108" s="312" t="s">
        <v>1332</v>
      </c>
      <c r="N108" s="313" t="s">
        <v>194</v>
      </c>
      <c r="O108" s="312" t="s">
        <v>195</v>
      </c>
      <c r="P108" s="328" t="s">
        <v>1186</v>
      </c>
      <c r="Q108" s="312" t="s">
        <v>1187</v>
      </c>
      <c r="R108" s="312" t="s">
        <v>1187</v>
      </c>
      <c r="S108" s="312" t="s">
        <v>1187</v>
      </c>
      <c r="T108" s="312" t="s">
        <v>1187</v>
      </c>
      <c r="U108" s="311" t="s">
        <v>1331</v>
      </c>
      <c r="V108" s="260" t="s">
        <v>1330</v>
      </c>
      <c r="W108" s="260" t="s">
        <v>1329</v>
      </c>
      <c r="X108" s="260"/>
    </row>
    <row r="109" spans="3:24" ht="18" customHeight="1" x14ac:dyDescent="0.3">
      <c r="C109" s="317"/>
      <c r="D109" s="313" t="s">
        <v>196</v>
      </c>
      <c r="E109" s="312" t="s">
        <v>650</v>
      </c>
      <c r="F109" s="316" t="s">
        <v>1268</v>
      </c>
      <c r="G109" s="315">
        <v>0</v>
      </c>
      <c r="H109" s="312" t="s">
        <v>1267</v>
      </c>
      <c r="I109" s="312">
        <v>1</v>
      </c>
      <c r="J109" s="314">
        <v>1</v>
      </c>
      <c r="K109" s="314" t="s">
        <v>1324</v>
      </c>
      <c r="L109" s="313" t="s">
        <v>453</v>
      </c>
      <c r="M109" s="312" t="s">
        <v>1328</v>
      </c>
      <c r="N109" s="313" t="s">
        <v>1328</v>
      </c>
      <c r="O109" s="312" t="s">
        <v>197</v>
      </c>
      <c r="P109" s="312" t="s">
        <v>1187</v>
      </c>
      <c r="Q109" s="312" t="s">
        <v>1187</v>
      </c>
      <c r="R109" s="312" t="s">
        <v>1187</v>
      </c>
      <c r="S109" s="312" t="s">
        <v>1187</v>
      </c>
      <c r="T109" s="312" t="s">
        <v>1187</v>
      </c>
      <c r="U109" s="311"/>
      <c r="V109" s="260" t="s">
        <v>1234</v>
      </c>
      <c r="W109" s="260" t="s">
        <v>1303</v>
      </c>
      <c r="X109" s="260"/>
    </row>
    <row r="110" spans="3:24" ht="18" customHeight="1" x14ac:dyDescent="0.3">
      <c r="C110" s="317"/>
      <c r="D110" s="332" t="s">
        <v>237</v>
      </c>
      <c r="E110" s="312" t="s">
        <v>536</v>
      </c>
      <c r="F110" s="316" t="s">
        <v>1268</v>
      </c>
      <c r="G110" s="315">
        <v>0</v>
      </c>
      <c r="H110" s="312" t="s">
        <v>1267</v>
      </c>
      <c r="I110" s="312">
        <v>1</v>
      </c>
      <c r="J110" s="314">
        <v>1</v>
      </c>
      <c r="K110" s="314" t="s">
        <v>1324</v>
      </c>
      <c r="L110" s="313" t="s">
        <v>544</v>
      </c>
      <c r="M110" s="312" t="s">
        <v>1327</v>
      </c>
      <c r="N110" s="313" t="s">
        <v>198</v>
      </c>
      <c r="O110" s="312" t="s">
        <v>198</v>
      </c>
      <c r="P110" s="312" t="s">
        <v>1187</v>
      </c>
      <c r="Q110" s="312" t="s">
        <v>1187</v>
      </c>
      <c r="R110" s="312" t="s">
        <v>1187</v>
      </c>
      <c r="S110" s="312" t="s">
        <v>1187</v>
      </c>
      <c r="T110" s="312" t="s">
        <v>1187</v>
      </c>
      <c r="U110" s="311"/>
      <c r="V110" s="260"/>
      <c r="W110" s="260"/>
      <c r="X110" s="260"/>
    </row>
    <row r="111" spans="3:24" ht="18" customHeight="1" x14ac:dyDescent="0.3">
      <c r="C111" s="317"/>
      <c r="D111" s="313" t="s">
        <v>199</v>
      </c>
      <c r="E111" s="269" t="s">
        <v>199</v>
      </c>
      <c r="F111" s="316" t="s">
        <v>1268</v>
      </c>
      <c r="G111" s="315">
        <v>0</v>
      </c>
      <c r="H111" s="312" t="s">
        <v>1267</v>
      </c>
      <c r="I111" s="312">
        <v>1</v>
      </c>
      <c r="J111" s="314">
        <v>3</v>
      </c>
      <c r="K111" s="314" t="s">
        <v>1324</v>
      </c>
      <c r="L111" s="313" t="s">
        <v>454</v>
      </c>
      <c r="M111" s="312" t="s">
        <v>199</v>
      </c>
      <c r="N111" s="313" t="s">
        <v>199</v>
      </c>
      <c r="O111" s="312" t="s">
        <v>199</v>
      </c>
      <c r="P111" s="312" t="s">
        <v>1186</v>
      </c>
      <c r="Q111" s="312" t="s">
        <v>1187</v>
      </c>
      <c r="R111" s="269" t="s">
        <v>1186</v>
      </c>
      <c r="S111" s="269" t="s">
        <v>1187</v>
      </c>
      <c r="T111" s="277" t="s">
        <v>1187</v>
      </c>
      <c r="U111" s="311"/>
      <c r="V111" s="260" t="s">
        <v>1321</v>
      </c>
      <c r="W111" s="260" t="s">
        <v>1320</v>
      </c>
      <c r="X111" s="260"/>
    </row>
    <row r="112" spans="3:24" ht="18" customHeight="1" x14ac:dyDescent="0.3">
      <c r="C112" s="317"/>
      <c r="D112" s="313" t="s">
        <v>1301</v>
      </c>
      <c r="E112" s="312" t="s">
        <v>48</v>
      </c>
      <c r="F112" s="316" t="s">
        <v>1268</v>
      </c>
      <c r="G112" s="315">
        <v>0</v>
      </c>
      <c r="H112" s="312" t="s">
        <v>1267</v>
      </c>
      <c r="I112" s="312">
        <v>1</v>
      </c>
      <c r="J112" s="314">
        <v>1</v>
      </c>
      <c r="K112" s="314" t="s">
        <v>1324</v>
      </c>
      <c r="L112" s="313" t="s">
        <v>460</v>
      </c>
      <c r="M112" s="312" t="s">
        <v>1326</v>
      </c>
      <c r="N112" s="313" t="s">
        <v>1133</v>
      </c>
      <c r="O112" s="313" t="s">
        <v>1133</v>
      </c>
      <c r="P112" s="312" t="s">
        <v>1187</v>
      </c>
      <c r="Q112" s="313" t="s">
        <v>1187</v>
      </c>
      <c r="R112" s="313" t="s">
        <v>1187</v>
      </c>
      <c r="S112" s="313" t="s">
        <v>1187</v>
      </c>
      <c r="T112" s="313" t="s">
        <v>1187</v>
      </c>
      <c r="U112" s="311"/>
      <c r="V112" s="260"/>
      <c r="W112" s="260"/>
      <c r="X112" s="260"/>
    </row>
    <row r="113" spans="3:24" ht="18" customHeight="1" x14ac:dyDescent="0.3">
      <c r="C113" s="317"/>
      <c r="D113" s="313" t="s">
        <v>1301</v>
      </c>
      <c r="E113" s="312" t="s">
        <v>48</v>
      </c>
      <c r="F113" s="316" t="s">
        <v>1268</v>
      </c>
      <c r="G113" s="315">
        <v>0</v>
      </c>
      <c r="H113" s="312" t="s">
        <v>1267</v>
      </c>
      <c r="I113" s="312">
        <v>1</v>
      </c>
      <c r="J113" s="314">
        <v>1</v>
      </c>
      <c r="K113" s="314" t="s">
        <v>1324</v>
      </c>
      <c r="L113" s="313" t="s">
        <v>460</v>
      </c>
      <c r="M113" s="312" t="s">
        <v>1325</v>
      </c>
      <c r="N113" s="313" t="s">
        <v>1137</v>
      </c>
      <c r="O113" s="313" t="s">
        <v>1137</v>
      </c>
      <c r="P113" s="312" t="s">
        <v>1187</v>
      </c>
      <c r="Q113" s="313" t="s">
        <v>1187</v>
      </c>
      <c r="R113" s="313" t="s">
        <v>1187</v>
      </c>
      <c r="S113" s="313" t="s">
        <v>1187</v>
      </c>
      <c r="T113" s="313" t="s">
        <v>1187</v>
      </c>
      <c r="U113" s="311"/>
      <c r="V113" s="260"/>
      <c r="W113" s="260"/>
      <c r="X113" s="260"/>
    </row>
    <row r="114" spans="3:24" ht="18" customHeight="1" x14ac:dyDescent="0.3">
      <c r="C114" s="317"/>
      <c r="D114" s="313" t="s">
        <v>1301</v>
      </c>
      <c r="E114" s="312" t="s">
        <v>48</v>
      </c>
      <c r="F114" s="316" t="s">
        <v>1268</v>
      </c>
      <c r="G114" s="315">
        <v>0</v>
      </c>
      <c r="H114" s="312" t="s">
        <v>1267</v>
      </c>
      <c r="I114" s="312">
        <v>1</v>
      </c>
      <c r="J114" s="314">
        <v>1</v>
      </c>
      <c r="K114" s="314" t="s">
        <v>1324</v>
      </c>
      <c r="L114" s="313" t="s">
        <v>460</v>
      </c>
      <c r="M114" s="312" t="s">
        <v>1323</v>
      </c>
      <c r="N114" s="313" t="s">
        <v>1138</v>
      </c>
      <c r="O114" s="313" t="s">
        <v>1138</v>
      </c>
      <c r="P114" s="312" t="s">
        <v>1187</v>
      </c>
      <c r="Q114" s="313" t="s">
        <v>1187</v>
      </c>
      <c r="R114" s="313" t="s">
        <v>1187</v>
      </c>
      <c r="S114" s="313" t="s">
        <v>1187</v>
      </c>
      <c r="T114" s="313" t="s">
        <v>1187</v>
      </c>
      <c r="U114" s="311"/>
      <c r="V114" s="260"/>
      <c r="W114" s="260"/>
      <c r="X114" s="260"/>
    </row>
    <row r="115" spans="3:24" ht="18" customHeight="1" x14ac:dyDescent="0.3">
      <c r="C115" s="317"/>
      <c r="D115" s="313" t="s">
        <v>201</v>
      </c>
      <c r="E115" s="269" t="s">
        <v>201</v>
      </c>
      <c r="F115" s="316" t="s">
        <v>1268</v>
      </c>
      <c r="G115" s="315">
        <v>0</v>
      </c>
      <c r="H115" s="312" t="s">
        <v>1267</v>
      </c>
      <c r="I115" s="312">
        <v>1</v>
      </c>
      <c r="J115" s="314">
        <v>4</v>
      </c>
      <c r="K115" s="314" t="s">
        <v>1322</v>
      </c>
      <c r="L115" s="313" t="s">
        <v>454</v>
      </c>
      <c r="M115" s="312" t="s">
        <v>201</v>
      </c>
      <c r="N115" s="313" t="s">
        <v>201</v>
      </c>
      <c r="O115" s="312" t="s">
        <v>201</v>
      </c>
      <c r="P115" s="312" t="s">
        <v>1186</v>
      </c>
      <c r="Q115" s="313" t="s">
        <v>1187</v>
      </c>
      <c r="R115" s="285" t="s">
        <v>1186</v>
      </c>
      <c r="S115" s="285" t="s">
        <v>1187</v>
      </c>
      <c r="T115" s="331" t="s">
        <v>1187</v>
      </c>
      <c r="U115" s="311"/>
      <c r="V115" s="260" t="s">
        <v>1321</v>
      </c>
      <c r="W115" s="260" t="s">
        <v>1320</v>
      </c>
      <c r="X115" s="260"/>
    </row>
    <row r="116" spans="3:24" ht="18" customHeight="1" x14ac:dyDescent="0.3">
      <c r="C116" s="317"/>
      <c r="D116" s="313" t="s">
        <v>203</v>
      </c>
      <c r="E116" s="269" t="s">
        <v>203</v>
      </c>
      <c r="F116" s="316" t="s">
        <v>1268</v>
      </c>
      <c r="G116" s="315">
        <v>0</v>
      </c>
      <c r="H116" s="312" t="s">
        <v>1267</v>
      </c>
      <c r="I116" s="312">
        <v>1</v>
      </c>
      <c r="J116" s="314">
        <v>4</v>
      </c>
      <c r="K116" s="314" t="s">
        <v>1322</v>
      </c>
      <c r="L116" s="313" t="s">
        <v>454</v>
      </c>
      <c r="M116" s="312" t="s">
        <v>203</v>
      </c>
      <c r="N116" s="313" t="s">
        <v>203</v>
      </c>
      <c r="O116" s="312" t="s">
        <v>203</v>
      </c>
      <c r="P116" s="312" t="s">
        <v>1186</v>
      </c>
      <c r="Q116" s="313" t="s">
        <v>1187</v>
      </c>
      <c r="R116" s="285" t="s">
        <v>1186</v>
      </c>
      <c r="S116" s="285" t="s">
        <v>1187</v>
      </c>
      <c r="T116" s="331" t="s">
        <v>1187</v>
      </c>
      <c r="U116" s="311"/>
      <c r="V116" s="260" t="s">
        <v>1321</v>
      </c>
      <c r="W116" s="260" t="s">
        <v>1320</v>
      </c>
      <c r="X116" s="260"/>
    </row>
    <row r="117" spans="3:24" ht="18" customHeight="1" x14ac:dyDescent="0.3">
      <c r="C117" s="317" t="s">
        <v>32</v>
      </c>
      <c r="D117" s="326" t="s">
        <v>1130</v>
      </c>
      <c r="E117" s="312" t="s">
        <v>613</v>
      </c>
      <c r="F117" s="316" t="s">
        <v>1295</v>
      </c>
      <c r="G117" s="315">
        <v>1</v>
      </c>
      <c r="H117" s="312" t="s">
        <v>1267</v>
      </c>
      <c r="I117" s="312">
        <v>1</v>
      </c>
      <c r="J117" s="314">
        <v>1</v>
      </c>
      <c r="K117" s="314" t="s">
        <v>1310</v>
      </c>
      <c r="L117" s="313" t="s">
        <v>455</v>
      </c>
      <c r="M117" s="312" t="s">
        <v>1130</v>
      </c>
      <c r="N117" s="326" t="s">
        <v>1130</v>
      </c>
      <c r="O117" s="326" t="s">
        <v>1130</v>
      </c>
      <c r="P117" s="328" t="s">
        <v>1186</v>
      </c>
      <c r="Q117" s="326" t="s">
        <v>1186</v>
      </c>
      <c r="R117" s="326" t="s">
        <v>1186</v>
      </c>
      <c r="S117" s="326" t="s">
        <v>1186</v>
      </c>
      <c r="T117" s="326" t="s">
        <v>1186</v>
      </c>
      <c r="U117" s="327" t="s">
        <v>1319</v>
      </c>
      <c r="V117" s="260" t="s">
        <v>1318</v>
      </c>
      <c r="W117" s="260" t="s">
        <v>1318</v>
      </c>
      <c r="X117" s="260"/>
    </row>
    <row r="118" spans="3:24" ht="18" customHeight="1" x14ac:dyDescent="0.3">
      <c r="C118" s="317"/>
      <c r="D118" s="326" t="s">
        <v>1131</v>
      </c>
      <c r="E118" s="312" t="s">
        <v>613</v>
      </c>
      <c r="F118" s="316" t="s">
        <v>1295</v>
      </c>
      <c r="G118" s="315">
        <v>0</v>
      </c>
      <c r="H118" s="312" t="s">
        <v>1267</v>
      </c>
      <c r="I118" s="312">
        <v>1</v>
      </c>
      <c r="J118" s="314">
        <v>1</v>
      </c>
      <c r="K118" s="314" t="s">
        <v>1310</v>
      </c>
      <c r="L118" s="313" t="s">
        <v>456</v>
      </c>
      <c r="M118" s="312" t="s">
        <v>1131</v>
      </c>
      <c r="N118" s="326" t="s">
        <v>1131</v>
      </c>
      <c r="O118" s="326" t="s">
        <v>1131</v>
      </c>
      <c r="P118" s="328" t="s">
        <v>1186</v>
      </c>
      <c r="Q118" s="326" t="s">
        <v>1186</v>
      </c>
      <c r="R118" s="326" t="s">
        <v>1186</v>
      </c>
      <c r="S118" s="326" t="s">
        <v>1186</v>
      </c>
      <c r="T118" s="326" t="s">
        <v>1186</v>
      </c>
      <c r="U118" s="327" t="s">
        <v>1319</v>
      </c>
      <c r="V118" s="260" t="s">
        <v>1318</v>
      </c>
      <c r="W118" s="260" t="s">
        <v>1318</v>
      </c>
      <c r="X118" s="260"/>
    </row>
    <row r="119" spans="3:24" ht="18" customHeight="1" x14ac:dyDescent="0.3">
      <c r="C119" s="317"/>
      <c r="D119" s="326" t="s">
        <v>1132</v>
      </c>
      <c r="E119" s="312" t="s">
        <v>613</v>
      </c>
      <c r="F119" s="316" t="s">
        <v>1295</v>
      </c>
      <c r="G119" s="315">
        <v>0</v>
      </c>
      <c r="H119" s="312" t="s">
        <v>1267</v>
      </c>
      <c r="I119" s="312">
        <v>1</v>
      </c>
      <c r="J119" s="314">
        <v>1</v>
      </c>
      <c r="K119" s="314" t="s">
        <v>1310</v>
      </c>
      <c r="L119" s="313" t="s">
        <v>457</v>
      </c>
      <c r="M119" s="312" t="s">
        <v>1132</v>
      </c>
      <c r="N119" s="326" t="s">
        <v>1132</v>
      </c>
      <c r="O119" s="326" t="s">
        <v>1132</v>
      </c>
      <c r="P119" s="328" t="s">
        <v>1186</v>
      </c>
      <c r="Q119" s="326" t="s">
        <v>1186</v>
      </c>
      <c r="R119" s="326" t="s">
        <v>1186</v>
      </c>
      <c r="S119" s="326" t="s">
        <v>1186</v>
      </c>
      <c r="T119" s="326" t="s">
        <v>1186</v>
      </c>
      <c r="U119" s="327" t="s">
        <v>1319</v>
      </c>
      <c r="V119" s="260" t="s">
        <v>1318</v>
      </c>
      <c r="W119" s="260" t="s">
        <v>1318</v>
      </c>
      <c r="X119" s="260"/>
    </row>
    <row r="120" spans="3:24" ht="18" customHeight="1" x14ac:dyDescent="0.3">
      <c r="C120" s="317"/>
      <c r="D120" s="313" t="s">
        <v>209</v>
      </c>
      <c r="E120" s="312" t="s">
        <v>613</v>
      </c>
      <c r="F120" s="316" t="s">
        <v>1295</v>
      </c>
      <c r="G120" s="315">
        <v>1</v>
      </c>
      <c r="H120" s="312" t="s">
        <v>1267</v>
      </c>
      <c r="I120" s="312">
        <v>1</v>
      </c>
      <c r="J120" s="314">
        <v>1</v>
      </c>
      <c r="K120" s="314" t="s">
        <v>1310</v>
      </c>
      <c r="L120" s="313" t="s">
        <v>527</v>
      </c>
      <c r="M120" s="312" t="s">
        <v>1317</v>
      </c>
      <c r="N120" s="313" t="s">
        <v>1317</v>
      </c>
      <c r="O120" s="312" t="s">
        <v>1317</v>
      </c>
      <c r="P120" s="328" t="s">
        <v>1186</v>
      </c>
      <c r="Q120" s="326" t="s">
        <v>1186</v>
      </c>
      <c r="R120" s="326" t="s">
        <v>1186</v>
      </c>
      <c r="S120" s="326" t="s">
        <v>1186</v>
      </c>
      <c r="T120" s="326" t="s">
        <v>1186</v>
      </c>
      <c r="U120" s="311"/>
      <c r="V120" s="260" t="s">
        <v>1316</v>
      </c>
      <c r="W120" s="260" t="s">
        <v>1316</v>
      </c>
      <c r="X120" s="260"/>
    </row>
    <row r="121" spans="3:24" ht="18" customHeight="1" x14ac:dyDescent="0.3">
      <c r="C121" s="317"/>
      <c r="D121" s="313" t="s">
        <v>211</v>
      </c>
      <c r="E121" s="312" t="s">
        <v>613</v>
      </c>
      <c r="F121" s="316" t="s">
        <v>1295</v>
      </c>
      <c r="G121" s="315">
        <v>0</v>
      </c>
      <c r="H121" s="312" t="s">
        <v>1267</v>
      </c>
      <c r="I121" s="312">
        <v>1</v>
      </c>
      <c r="J121" s="314">
        <v>1</v>
      </c>
      <c r="K121" s="314" t="s">
        <v>1310</v>
      </c>
      <c r="L121" s="313" t="s">
        <v>528</v>
      </c>
      <c r="M121" s="312" t="s">
        <v>211</v>
      </c>
      <c r="N121" s="313" t="s">
        <v>211</v>
      </c>
      <c r="O121" s="312" t="s">
        <v>211</v>
      </c>
      <c r="P121" s="312" t="s">
        <v>1186</v>
      </c>
      <c r="Q121" s="312" t="s">
        <v>1186</v>
      </c>
      <c r="R121" s="312" t="s">
        <v>1186</v>
      </c>
      <c r="S121" s="312" t="s">
        <v>1186</v>
      </c>
      <c r="T121" s="312" t="s">
        <v>1186</v>
      </c>
      <c r="U121" s="311" t="s">
        <v>1315</v>
      </c>
      <c r="V121" s="260" t="s">
        <v>1314</v>
      </c>
      <c r="W121" s="260" t="s">
        <v>1313</v>
      </c>
      <c r="X121" s="260"/>
    </row>
    <row r="122" spans="3:24" ht="18" customHeight="1" x14ac:dyDescent="0.3">
      <c r="C122" s="317"/>
      <c r="D122" s="332" t="s">
        <v>1570</v>
      </c>
      <c r="E122" s="330" t="s">
        <v>1571</v>
      </c>
      <c r="F122" s="316" t="s">
        <v>1295</v>
      </c>
      <c r="G122" s="315">
        <v>0</v>
      </c>
      <c r="H122" s="312" t="s">
        <v>1267</v>
      </c>
      <c r="I122" s="312">
        <v>1</v>
      </c>
      <c r="J122" s="314">
        <v>1</v>
      </c>
      <c r="K122" s="314" t="s">
        <v>1310</v>
      </c>
      <c r="L122" s="313" t="s">
        <v>460</v>
      </c>
      <c r="M122" s="312" t="s">
        <v>1312</v>
      </c>
      <c r="N122" s="313" t="s">
        <v>213</v>
      </c>
      <c r="O122" s="312" t="s">
        <v>213</v>
      </c>
      <c r="P122" s="312" t="s">
        <v>1187</v>
      </c>
      <c r="Q122" s="312" t="s">
        <v>1187</v>
      </c>
      <c r="R122" s="312" t="s">
        <v>1187</v>
      </c>
      <c r="S122" s="312" t="s">
        <v>1187</v>
      </c>
      <c r="T122" s="312" t="s">
        <v>1187</v>
      </c>
      <c r="U122" s="311"/>
      <c r="V122" s="260"/>
      <c r="W122" s="260"/>
      <c r="X122" s="260"/>
    </row>
    <row r="123" spans="3:24" ht="18" customHeight="1" x14ac:dyDescent="0.3">
      <c r="C123" s="317"/>
      <c r="D123" s="313" t="s">
        <v>215</v>
      </c>
      <c r="E123" s="312" t="s">
        <v>214</v>
      </c>
      <c r="F123" s="316" t="s">
        <v>1295</v>
      </c>
      <c r="G123" s="315">
        <v>0</v>
      </c>
      <c r="H123" s="312" t="s">
        <v>1267</v>
      </c>
      <c r="I123" s="312">
        <v>1</v>
      </c>
      <c r="J123" s="314">
        <v>1</v>
      </c>
      <c r="K123" s="314" t="s">
        <v>1310</v>
      </c>
      <c r="L123" s="313" t="s">
        <v>529</v>
      </c>
      <c r="M123" s="312" t="s">
        <v>1311</v>
      </c>
      <c r="N123" s="313" t="s">
        <v>216</v>
      </c>
      <c r="O123" s="312" t="s">
        <v>216</v>
      </c>
      <c r="P123" s="312" t="s">
        <v>1187</v>
      </c>
      <c r="Q123" s="312" t="s">
        <v>1187</v>
      </c>
      <c r="R123" s="312" t="s">
        <v>1187</v>
      </c>
      <c r="S123" s="312" t="s">
        <v>1187</v>
      </c>
      <c r="T123" s="312" t="s">
        <v>1187</v>
      </c>
      <c r="U123" s="311"/>
      <c r="V123" s="260"/>
      <c r="W123" s="260"/>
      <c r="X123" s="260"/>
    </row>
    <row r="124" spans="3:24" ht="18" customHeight="1" x14ac:dyDescent="0.3">
      <c r="C124" s="317"/>
      <c r="D124" s="313" t="s">
        <v>217</v>
      </c>
      <c r="E124" s="312" t="s">
        <v>214</v>
      </c>
      <c r="F124" s="316" t="s">
        <v>1295</v>
      </c>
      <c r="G124" s="315">
        <v>0</v>
      </c>
      <c r="H124" s="312" t="s">
        <v>1267</v>
      </c>
      <c r="I124" s="312">
        <v>1</v>
      </c>
      <c r="J124" s="314">
        <v>1</v>
      </c>
      <c r="K124" s="314" t="s">
        <v>1310</v>
      </c>
      <c r="L124" s="313" t="s">
        <v>530</v>
      </c>
      <c r="M124" s="312" t="s">
        <v>1309</v>
      </c>
      <c r="N124" s="313" t="s">
        <v>218</v>
      </c>
      <c r="O124" s="312" t="s">
        <v>218</v>
      </c>
      <c r="P124" s="312" t="s">
        <v>1187</v>
      </c>
      <c r="Q124" s="312" t="s">
        <v>1187</v>
      </c>
      <c r="R124" s="312" t="s">
        <v>1187</v>
      </c>
      <c r="S124" s="312" t="s">
        <v>1187</v>
      </c>
      <c r="T124" s="312" t="s">
        <v>1187</v>
      </c>
      <c r="U124" s="311"/>
      <c r="V124" s="260"/>
      <c r="W124" s="260"/>
      <c r="X124" s="260"/>
    </row>
    <row r="125" spans="3:24" ht="18" customHeight="1" x14ac:dyDescent="0.3">
      <c r="C125" s="317"/>
      <c r="D125" s="313" t="s">
        <v>219</v>
      </c>
      <c r="E125" s="312" t="s">
        <v>613</v>
      </c>
      <c r="F125" s="316" t="s">
        <v>1295</v>
      </c>
      <c r="G125" s="315">
        <v>0</v>
      </c>
      <c r="H125" s="312" t="s">
        <v>1267</v>
      </c>
      <c r="I125" s="312">
        <v>1</v>
      </c>
      <c r="J125" s="314">
        <v>1</v>
      </c>
      <c r="K125" s="314" t="s">
        <v>1308</v>
      </c>
      <c r="L125" s="313" t="s">
        <v>531</v>
      </c>
      <c r="M125" s="312" t="s">
        <v>219</v>
      </c>
      <c r="N125" s="313" t="s">
        <v>219</v>
      </c>
      <c r="O125" s="312" t="s">
        <v>219</v>
      </c>
      <c r="P125" s="312" t="s">
        <v>1186</v>
      </c>
      <c r="Q125" s="312" t="s">
        <v>1186</v>
      </c>
      <c r="R125" s="312" t="s">
        <v>1186</v>
      </c>
      <c r="S125" s="312" t="s">
        <v>1186</v>
      </c>
      <c r="T125" s="312" t="s">
        <v>1186</v>
      </c>
      <c r="U125" s="311"/>
      <c r="V125" s="260"/>
      <c r="W125" s="260"/>
      <c r="X125" s="260"/>
    </row>
    <row r="126" spans="3:24" ht="18" customHeight="1" x14ac:dyDescent="0.3">
      <c r="C126" s="317"/>
      <c r="D126" s="313" t="s">
        <v>222</v>
      </c>
      <c r="E126" s="312" t="s">
        <v>221</v>
      </c>
      <c r="F126" s="316" t="s">
        <v>1295</v>
      </c>
      <c r="G126" s="315">
        <v>0</v>
      </c>
      <c r="H126" s="312" t="s">
        <v>1267</v>
      </c>
      <c r="I126" s="312">
        <v>1</v>
      </c>
      <c r="J126" s="314">
        <v>7</v>
      </c>
      <c r="K126" s="314" t="s">
        <v>1308</v>
      </c>
      <c r="L126" s="313" t="s">
        <v>532</v>
      </c>
      <c r="M126" s="312" t="s">
        <v>1307</v>
      </c>
      <c r="N126" s="313" t="s">
        <v>223</v>
      </c>
      <c r="O126" s="312" t="s">
        <v>223</v>
      </c>
      <c r="P126" s="330" t="s">
        <v>1186</v>
      </c>
      <c r="Q126" s="312" t="s">
        <v>1187</v>
      </c>
      <c r="R126" s="312" t="s">
        <v>1187</v>
      </c>
      <c r="S126" s="312" t="s">
        <v>1187</v>
      </c>
      <c r="T126" s="312" t="s">
        <v>1187</v>
      </c>
      <c r="U126" s="311"/>
      <c r="V126" s="260"/>
      <c r="W126" s="260" t="s">
        <v>1306</v>
      </c>
      <c r="X126" s="260"/>
    </row>
    <row r="127" spans="3:24" ht="18" customHeight="1" x14ac:dyDescent="0.3">
      <c r="C127" s="317"/>
      <c r="D127" s="313" t="s">
        <v>225</v>
      </c>
      <c r="E127" s="312" t="s">
        <v>224</v>
      </c>
      <c r="F127" s="320" t="s">
        <v>1277</v>
      </c>
      <c r="G127" s="315">
        <v>0</v>
      </c>
      <c r="H127" s="312" t="s">
        <v>1267</v>
      </c>
      <c r="I127" s="312">
        <v>1</v>
      </c>
      <c r="J127" s="314">
        <v>1</v>
      </c>
      <c r="K127" s="314" t="s">
        <v>1300</v>
      </c>
      <c r="L127" s="313" t="s">
        <v>533</v>
      </c>
      <c r="M127" s="312" t="s">
        <v>225</v>
      </c>
      <c r="N127" s="313" t="s">
        <v>225</v>
      </c>
      <c r="O127" s="312" t="s">
        <v>226</v>
      </c>
      <c r="P127" s="330" t="s">
        <v>1186</v>
      </c>
      <c r="Q127" s="312" t="s">
        <v>1187</v>
      </c>
      <c r="R127" s="312" t="s">
        <v>1187</v>
      </c>
      <c r="S127" s="312" t="s">
        <v>1187</v>
      </c>
      <c r="T127" s="269" t="s">
        <v>1187</v>
      </c>
      <c r="U127" s="311" t="s">
        <v>1280</v>
      </c>
      <c r="V127" s="260"/>
      <c r="W127" s="260"/>
      <c r="X127" s="260"/>
    </row>
    <row r="128" spans="3:24" ht="18" customHeight="1" x14ac:dyDescent="0.3">
      <c r="C128" s="317"/>
      <c r="D128" s="313" t="s">
        <v>674</v>
      </c>
      <c r="E128" s="312" t="s">
        <v>613</v>
      </c>
      <c r="F128" s="320" t="s">
        <v>1277</v>
      </c>
      <c r="G128" s="315">
        <v>1</v>
      </c>
      <c r="H128" s="312" t="s">
        <v>1267</v>
      </c>
      <c r="I128" s="312">
        <v>1</v>
      </c>
      <c r="J128" s="314">
        <v>1</v>
      </c>
      <c r="K128" s="314" t="s">
        <v>1300</v>
      </c>
      <c r="L128" s="313" t="s">
        <v>675</v>
      </c>
      <c r="M128" s="312" t="s">
        <v>1305</v>
      </c>
      <c r="N128" s="313" t="s">
        <v>674</v>
      </c>
      <c r="O128" s="312" t="s">
        <v>674</v>
      </c>
      <c r="P128" s="312" t="s">
        <v>1186</v>
      </c>
      <c r="Q128" s="312" t="s">
        <v>1186</v>
      </c>
      <c r="R128" s="312" t="s">
        <v>1186</v>
      </c>
      <c r="S128" s="312" t="s">
        <v>1186</v>
      </c>
      <c r="T128" s="312" t="s">
        <v>1186</v>
      </c>
      <c r="U128" s="311"/>
      <c r="V128" s="260"/>
      <c r="W128" s="260" t="s">
        <v>1304</v>
      </c>
      <c r="X128" s="260"/>
    </row>
    <row r="129" spans="3:24" ht="18" customHeight="1" x14ac:dyDescent="0.3">
      <c r="C129" s="317"/>
      <c r="D129" s="313" t="s">
        <v>228</v>
      </c>
      <c r="E129" s="312" t="s">
        <v>1568</v>
      </c>
      <c r="F129" s="320" t="s">
        <v>1277</v>
      </c>
      <c r="G129" s="315">
        <v>0</v>
      </c>
      <c r="H129" s="312" t="s">
        <v>1267</v>
      </c>
      <c r="I129" s="312">
        <v>1</v>
      </c>
      <c r="J129" s="314">
        <v>1</v>
      </c>
      <c r="K129" s="314" t="s">
        <v>1300</v>
      </c>
      <c r="L129" s="313" t="s">
        <v>537</v>
      </c>
      <c r="M129" s="312" t="s">
        <v>228</v>
      </c>
      <c r="N129" s="313" t="s">
        <v>229</v>
      </c>
      <c r="O129" s="312" t="s">
        <v>229</v>
      </c>
      <c r="P129" s="330" t="s">
        <v>1186</v>
      </c>
      <c r="Q129" s="312" t="s">
        <v>1187</v>
      </c>
      <c r="R129" s="312" t="s">
        <v>1187</v>
      </c>
      <c r="S129" s="312" t="s">
        <v>1187</v>
      </c>
      <c r="T129" s="312" t="s">
        <v>1187</v>
      </c>
      <c r="U129" s="311"/>
      <c r="V129" s="260"/>
      <c r="W129" s="260" t="s">
        <v>1304</v>
      </c>
      <c r="X129" s="260"/>
    </row>
    <row r="130" spans="3:24" ht="18" customHeight="1" x14ac:dyDescent="0.3">
      <c r="C130" s="317"/>
      <c r="D130" s="313" t="s">
        <v>230</v>
      </c>
      <c r="E130" s="312" t="s">
        <v>1568</v>
      </c>
      <c r="F130" s="320" t="s">
        <v>1277</v>
      </c>
      <c r="G130" s="315">
        <v>0</v>
      </c>
      <c r="H130" s="312" t="s">
        <v>1267</v>
      </c>
      <c r="I130" s="312">
        <v>1</v>
      </c>
      <c r="J130" s="314">
        <v>1</v>
      </c>
      <c r="K130" s="314" t="s">
        <v>1300</v>
      </c>
      <c r="L130" s="313" t="s">
        <v>538</v>
      </c>
      <c r="M130" s="313" t="s">
        <v>230</v>
      </c>
      <c r="N130" s="313" t="s">
        <v>231</v>
      </c>
      <c r="O130" s="312" t="s">
        <v>231</v>
      </c>
      <c r="P130" s="330" t="s">
        <v>1186</v>
      </c>
      <c r="Q130" s="312" t="s">
        <v>1187</v>
      </c>
      <c r="R130" s="312" t="s">
        <v>1187</v>
      </c>
      <c r="S130" s="312" t="s">
        <v>1187</v>
      </c>
      <c r="T130" s="312" t="s">
        <v>1187</v>
      </c>
      <c r="U130" s="311"/>
      <c r="V130" s="260"/>
      <c r="W130" s="260" t="s">
        <v>1304</v>
      </c>
      <c r="X130" s="260"/>
    </row>
    <row r="131" spans="3:24" ht="18" customHeight="1" x14ac:dyDescent="0.3">
      <c r="C131" s="317"/>
      <c r="D131" s="313" t="s">
        <v>232</v>
      </c>
      <c r="E131" s="312" t="s">
        <v>1568</v>
      </c>
      <c r="F131" s="320" t="s">
        <v>1277</v>
      </c>
      <c r="G131" s="315">
        <v>0</v>
      </c>
      <c r="H131" s="312" t="s">
        <v>1267</v>
      </c>
      <c r="I131" s="312">
        <v>1</v>
      </c>
      <c r="J131" s="314">
        <v>1</v>
      </c>
      <c r="K131" s="314" t="s">
        <v>1300</v>
      </c>
      <c r="L131" s="313" t="s">
        <v>539</v>
      </c>
      <c r="M131" s="313" t="s">
        <v>232</v>
      </c>
      <c r="N131" s="313" t="s">
        <v>233</v>
      </c>
      <c r="O131" s="312" t="s">
        <v>233</v>
      </c>
      <c r="P131" s="330" t="s">
        <v>1186</v>
      </c>
      <c r="Q131" s="312" t="s">
        <v>1187</v>
      </c>
      <c r="R131" s="312" t="s">
        <v>1187</v>
      </c>
      <c r="S131" s="312" t="s">
        <v>1187</v>
      </c>
      <c r="T131" s="312" t="s">
        <v>1187</v>
      </c>
      <c r="U131" s="311"/>
      <c r="V131" s="260"/>
      <c r="W131" s="260" t="s">
        <v>1304</v>
      </c>
      <c r="X131" s="260"/>
    </row>
    <row r="132" spans="3:24" ht="18" customHeight="1" x14ac:dyDescent="0.3">
      <c r="C132" s="317"/>
      <c r="D132" s="313" t="s">
        <v>235</v>
      </c>
      <c r="E132" s="312" t="s">
        <v>234</v>
      </c>
      <c r="F132" s="320" t="s">
        <v>1277</v>
      </c>
      <c r="G132" s="315">
        <v>1</v>
      </c>
      <c r="H132" s="312" t="s">
        <v>1267</v>
      </c>
      <c r="I132" s="312">
        <v>1</v>
      </c>
      <c r="J132" s="314">
        <v>1</v>
      </c>
      <c r="K132" s="314" t="s">
        <v>1300</v>
      </c>
      <c r="L132" s="313" t="s">
        <v>540</v>
      </c>
      <c r="M132" s="323" t="s">
        <v>235</v>
      </c>
      <c r="N132" s="313" t="s">
        <v>235</v>
      </c>
      <c r="O132" s="312" t="s">
        <v>235</v>
      </c>
      <c r="P132" s="312" t="s">
        <v>1186</v>
      </c>
      <c r="Q132" s="312" t="s">
        <v>1187</v>
      </c>
      <c r="R132" s="312" t="s">
        <v>1187</v>
      </c>
      <c r="S132" s="312" t="s">
        <v>1187</v>
      </c>
      <c r="T132" s="269" t="s">
        <v>1187</v>
      </c>
      <c r="U132" s="311" t="s">
        <v>1280</v>
      </c>
      <c r="V132" s="260" t="s">
        <v>1303</v>
      </c>
      <c r="W132" s="260" t="s">
        <v>1303</v>
      </c>
      <c r="X132" s="260"/>
    </row>
    <row r="133" spans="3:24" ht="18" customHeight="1" x14ac:dyDescent="0.3">
      <c r="C133" s="317"/>
      <c r="D133" s="326" t="s">
        <v>1107</v>
      </c>
      <c r="E133" s="312" t="s">
        <v>48</v>
      </c>
      <c r="F133" s="320" t="s">
        <v>1277</v>
      </c>
      <c r="G133" s="315">
        <v>0</v>
      </c>
      <c r="H133" s="312" t="s">
        <v>1267</v>
      </c>
      <c r="I133" s="312">
        <v>1</v>
      </c>
      <c r="J133" s="314">
        <v>1</v>
      </c>
      <c r="K133" s="314" t="s">
        <v>1300</v>
      </c>
      <c r="L133" s="313" t="s">
        <v>890</v>
      </c>
      <c r="M133" s="312" t="s">
        <v>1302</v>
      </c>
      <c r="N133" s="313" t="s">
        <v>888</v>
      </c>
      <c r="O133" s="312" t="s">
        <v>888</v>
      </c>
      <c r="P133" s="312" t="s">
        <v>1187</v>
      </c>
      <c r="Q133" s="312" t="s">
        <v>1187</v>
      </c>
      <c r="R133" s="312" t="s">
        <v>1187</v>
      </c>
      <c r="S133" s="312" t="s">
        <v>1187</v>
      </c>
      <c r="T133" s="312" t="s">
        <v>1187</v>
      </c>
      <c r="U133" s="311"/>
      <c r="V133" s="260"/>
      <c r="W133" s="260"/>
      <c r="X133" s="260"/>
    </row>
    <row r="134" spans="3:24" ht="18" customHeight="1" x14ac:dyDescent="0.3">
      <c r="C134" s="317"/>
      <c r="D134" s="332" t="s">
        <v>1301</v>
      </c>
      <c r="E134" s="330" t="s">
        <v>48</v>
      </c>
      <c r="F134" s="320" t="s">
        <v>1277</v>
      </c>
      <c r="G134" s="315">
        <v>0</v>
      </c>
      <c r="H134" s="312" t="s">
        <v>1267</v>
      </c>
      <c r="I134" s="312">
        <v>1</v>
      </c>
      <c r="J134" s="314">
        <v>1</v>
      </c>
      <c r="K134" s="314" t="s">
        <v>1300</v>
      </c>
      <c r="L134" s="313" t="s">
        <v>1572</v>
      </c>
      <c r="M134" s="312" t="s">
        <v>1299</v>
      </c>
      <c r="N134" s="313" t="s">
        <v>889</v>
      </c>
      <c r="O134" s="312" t="s">
        <v>889</v>
      </c>
      <c r="P134" s="312" t="s">
        <v>1187</v>
      </c>
      <c r="Q134" s="312" t="s">
        <v>1187</v>
      </c>
      <c r="R134" s="312" t="s">
        <v>1187</v>
      </c>
      <c r="S134" s="312" t="s">
        <v>1187</v>
      </c>
      <c r="T134" s="312" t="s">
        <v>1187</v>
      </c>
      <c r="U134" s="311"/>
      <c r="V134" s="260"/>
      <c r="W134" s="260"/>
      <c r="X134" s="260"/>
    </row>
    <row r="135" spans="3:24" ht="18" customHeight="1" x14ac:dyDescent="0.3">
      <c r="C135" s="317"/>
      <c r="D135" s="326" t="s">
        <v>238</v>
      </c>
      <c r="E135" s="269" t="s">
        <v>613</v>
      </c>
      <c r="F135" s="316" t="s">
        <v>1295</v>
      </c>
      <c r="G135" s="315">
        <v>1</v>
      </c>
      <c r="H135" s="312" t="s">
        <v>1267</v>
      </c>
      <c r="I135" s="312">
        <v>1</v>
      </c>
      <c r="J135" s="314">
        <v>1</v>
      </c>
      <c r="K135" s="314" t="s">
        <v>1294</v>
      </c>
      <c r="L135" s="313" t="s">
        <v>541</v>
      </c>
      <c r="M135" s="312" t="s">
        <v>238</v>
      </c>
      <c r="N135" s="313" t="s">
        <v>238</v>
      </c>
      <c r="O135" s="312" t="s">
        <v>238</v>
      </c>
      <c r="P135" s="312" t="s">
        <v>1186</v>
      </c>
      <c r="Q135" s="312" t="s">
        <v>1186</v>
      </c>
      <c r="R135" s="312" t="s">
        <v>1186</v>
      </c>
      <c r="S135" s="312" t="s">
        <v>1186</v>
      </c>
      <c r="T135" s="312" t="s">
        <v>1186</v>
      </c>
      <c r="U135" s="311"/>
      <c r="V135" s="260"/>
      <c r="W135" s="260"/>
      <c r="X135" s="260"/>
    </row>
    <row r="136" spans="3:24" ht="18" customHeight="1" x14ac:dyDescent="0.3">
      <c r="C136" s="317"/>
      <c r="D136" s="329" t="s">
        <v>1298</v>
      </c>
      <c r="E136" s="312" t="s">
        <v>613</v>
      </c>
      <c r="F136" s="316" t="s">
        <v>1295</v>
      </c>
      <c r="G136" s="315">
        <v>1</v>
      </c>
      <c r="H136" s="312" t="s">
        <v>1267</v>
      </c>
      <c r="I136" s="312">
        <v>1</v>
      </c>
      <c r="J136" s="314">
        <v>1</v>
      </c>
      <c r="K136" s="314" t="s">
        <v>1294</v>
      </c>
      <c r="L136" s="313" t="s">
        <v>542</v>
      </c>
      <c r="M136" s="312" t="s">
        <v>1106</v>
      </c>
      <c r="N136" s="313" t="s">
        <v>1106</v>
      </c>
      <c r="O136" s="328" t="s">
        <v>1106</v>
      </c>
      <c r="P136" s="312" t="s">
        <v>1186</v>
      </c>
      <c r="Q136" s="312" t="s">
        <v>1186</v>
      </c>
      <c r="R136" s="312" t="s">
        <v>1186</v>
      </c>
      <c r="S136" s="312" t="s">
        <v>1186</v>
      </c>
      <c r="T136" s="312" t="s">
        <v>1186</v>
      </c>
      <c r="U136" s="327"/>
      <c r="V136" s="260"/>
      <c r="W136" s="260"/>
      <c r="X136" s="260"/>
    </row>
    <row r="137" spans="3:24" ht="18" customHeight="1" x14ac:dyDescent="0.3">
      <c r="C137" s="317"/>
      <c r="D137" s="313" t="s">
        <v>242</v>
      </c>
      <c r="E137" s="312" t="s">
        <v>241</v>
      </c>
      <c r="F137" s="316" t="s">
        <v>1295</v>
      </c>
      <c r="G137" s="315">
        <v>0</v>
      </c>
      <c r="H137" s="312" t="s">
        <v>1267</v>
      </c>
      <c r="I137" s="312">
        <v>1</v>
      </c>
      <c r="J137" s="314">
        <v>5</v>
      </c>
      <c r="K137" s="314" t="s">
        <v>1294</v>
      </c>
      <c r="L137" s="313" t="s">
        <v>543</v>
      </c>
      <c r="M137" s="312" t="s">
        <v>242</v>
      </c>
      <c r="N137" s="313" t="s">
        <v>243</v>
      </c>
      <c r="O137" s="312" t="s">
        <v>243</v>
      </c>
      <c r="P137" s="312" t="s">
        <v>1186</v>
      </c>
      <c r="Q137" s="312" t="s">
        <v>1187</v>
      </c>
      <c r="R137" s="269" t="s">
        <v>1186</v>
      </c>
      <c r="S137" s="269" t="s">
        <v>1187</v>
      </c>
      <c r="T137" s="277" t="s">
        <v>1186</v>
      </c>
      <c r="U137" s="311" t="s">
        <v>1297</v>
      </c>
      <c r="V137" s="260" t="s">
        <v>1296</v>
      </c>
      <c r="W137" s="260"/>
      <c r="X137" s="260"/>
    </row>
    <row r="138" spans="3:24" ht="18" customHeight="1" x14ac:dyDescent="0.3">
      <c r="C138" s="317"/>
      <c r="D138" s="326" t="s">
        <v>244</v>
      </c>
      <c r="E138" s="269" t="s">
        <v>613</v>
      </c>
      <c r="F138" s="316" t="s">
        <v>1295</v>
      </c>
      <c r="G138" s="315">
        <v>0</v>
      </c>
      <c r="H138" s="312" t="s">
        <v>1267</v>
      </c>
      <c r="I138" s="312">
        <v>1</v>
      </c>
      <c r="J138" s="314">
        <v>1</v>
      </c>
      <c r="K138" s="314" t="s">
        <v>1294</v>
      </c>
      <c r="L138" s="313" t="s">
        <v>545</v>
      </c>
      <c r="M138" s="312" t="s">
        <v>1293</v>
      </c>
      <c r="N138" s="313" t="s">
        <v>244</v>
      </c>
      <c r="O138" s="312" t="s">
        <v>244</v>
      </c>
      <c r="P138" s="312" t="s">
        <v>1186</v>
      </c>
      <c r="Q138" s="312" t="s">
        <v>1186</v>
      </c>
      <c r="R138" s="312" t="s">
        <v>1186</v>
      </c>
      <c r="S138" s="312" t="s">
        <v>1186</v>
      </c>
      <c r="T138" s="312" t="s">
        <v>1186</v>
      </c>
      <c r="U138" s="311"/>
      <c r="V138" s="260"/>
      <c r="W138" s="260"/>
      <c r="X138" s="260"/>
    </row>
    <row r="139" spans="3:24" ht="18" customHeight="1" x14ac:dyDescent="0.3">
      <c r="C139" s="317" t="s">
        <v>34</v>
      </c>
      <c r="D139" s="313" t="s">
        <v>254</v>
      </c>
      <c r="E139" s="312" t="s">
        <v>253</v>
      </c>
      <c r="F139" s="320" t="s">
        <v>1277</v>
      </c>
      <c r="G139" s="319">
        <v>0</v>
      </c>
      <c r="H139" s="312" t="s">
        <v>1267</v>
      </c>
      <c r="I139" s="312">
        <v>1</v>
      </c>
      <c r="J139" s="314">
        <v>24</v>
      </c>
      <c r="K139" s="314" t="s">
        <v>1292</v>
      </c>
      <c r="L139" s="313" t="s">
        <v>458</v>
      </c>
      <c r="M139" s="312" t="s">
        <v>254</v>
      </c>
      <c r="N139" s="313" t="s">
        <v>254</v>
      </c>
      <c r="O139" s="312" t="s">
        <v>254</v>
      </c>
      <c r="P139" s="312" t="s">
        <v>1186</v>
      </c>
      <c r="Q139" s="312" t="s">
        <v>1186</v>
      </c>
      <c r="R139" s="312" t="s">
        <v>1186</v>
      </c>
      <c r="S139" s="312" t="s">
        <v>1186</v>
      </c>
      <c r="T139" s="312" t="s">
        <v>1186</v>
      </c>
      <c r="U139" s="311"/>
      <c r="V139" s="260"/>
      <c r="W139" s="260"/>
      <c r="X139" s="260"/>
    </row>
    <row r="140" spans="3:24" ht="18" customHeight="1" x14ac:dyDescent="0.3">
      <c r="C140" s="317"/>
      <c r="D140" s="313" t="s">
        <v>255</v>
      </c>
      <c r="E140" s="312" t="s">
        <v>253</v>
      </c>
      <c r="F140" s="320" t="s">
        <v>1277</v>
      </c>
      <c r="G140" s="319">
        <v>0</v>
      </c>
      <c r="H140" s="312" t="s">
        <v>1267</v>
      </c>
      <c r="I140" s="312">
        <v>1</v>
      </c>
      <c r="J140" s="314">
        <v>5</v>
      </c>
      <c r="K140" s="314" t="s">
        <v>1290</v>
      </c>
      <c r="L140" s="313" t="s">
        <v>459</v>
      </c>
      <c r="M140" s="312" t="s">
        <v>255</v>
      </c>
      <c r="N140" s="313" t="s">
        <v>255</v>
      </c>
      <c r="O140" s="312" t="s">
        <v>255</v>
      </c>
      <c r="P140" s="312" t="s">
        <v>1186</v>
      </c>
      <c r="Q140" s="312" t="s">
        <v>1186</v>
      </c>
      <c r="R140" s="312" t="s">
        <v>1186</v>
      </c>
      <c r="S140" s="312" t="s">
        <v>1186</v>
      </c>
      <c r="T140" s="312" t="s">
        <v>1186</v>
      </c>
      <c r="U140" s="311"/>
      <c r="V140" s="260"/>
      <c r="W140" s="260"/>
      <c r="X140" s="260"/>
    </row>
    <row r="141" spans="3:24" ht="18" customHeight="1" x14ac:dyDescent="0.3">
      <c r="C141" s="317"/>
      <c r="D141" s="313" t="s">
        <v>256</v>
      </c>
      <c r="E141" s="312" t="s">
        <v>253</v>
      </c>
      <c r="F141" s="320" t="s">
        <v>1277</v>
      </c>
      <c r="G141" s="319">
        <v>0</v>
      </c>
      <c r="H141" s="312" t="s">
        <v>1267</v>
      </c>
      <c r="I141" s="312">
        <v>1</v>
      </c>
      <c r="J141" s="314">
        <v>2</v>
      </c>
      <c r="K141" s="314" t="s">
        <v>1290</v>
      </c>
      <c r="L141" s="313" t="s">
        <v>462</v>
      </c>
      <c r="M141" s="312" t="s">
        <v>1291</v>
      </c>
      <c r="N141" s="313" t="s">
        <v>256</v>
      </c>
      <c r="O141" s="312" t="s">
        <v>256</v>
      </c>
      <c r="P141" s="312" t="s">
        <v>1186</v>
      </c>
      <c r="Q141" s="312" t="s">
        <v>1186</v>
      </c>
      <c r="R141" s="312" t="s">
        <v>1186</v>
      </c>
      <c r="S141" s="312" t="s">
        <v>1186</v>
      </c>
      <c r="T141" s="312" t="s">
        <v>1186</v>
      </c>
      <c r="U141" s="311"/>
      <c r="V141" s="260"/>
      <c r="W141" s="260"/>
      <c r="X141" s="260"/>
    </row>
    <row r="142" spans="3:24" ht="18" customHeight="1" x14ac:dyDescent="0.3">
      <c r="C142" s="317"/>
      <c r="D142" s="313" t="s">
        <v>257</v>
      </c>
      <c r="E142" s="312" t="s">
        <v>253</v>
      </c>
      <c r="F142" s="320" t="s">
        <v>1277</v>
      </c>
      <c r="G142" s="319">
        <v>0</v>
      </c>
      <c r="H142" s="312" t="s">
        <v>1267</v>
      </c>
      <c r="I142" s="312">
        <v>1</v>
      </c>
      <c r="J142" s="314">
        <v>1</v>
      </c>
      <c r="K142" s="314" t="s">
        <v>1290</v>
      </c>
      <c r="L142" s="313" t="s">
        <v>461</v>
      </c>
      <c r="M142" s="312" t="s">
        <v>257</v>
      </c>
      <c r="N142" s="313" t="s">
        <v>257</v>
      </c>
      <c r="O142" s="312" t="s">
        <v>257</v>
      </c>
      <c r="P142" s="312" t="s">
        <v>1186</v>
      </c>
      <c r="Q142" s="312" t="s">
        <v>1186</v>
      </c>
      <c r="R142" s="312" t="s">
        <v>1186</v>
      </c>
      <c r="S142" s="312" t="s">
        <v>1186</v>
      </c>
      <c r="T142" s="312" t="s">
        <v>1186</v>
      </c>
      <c r="U142" s="311"/>
      <c r="V142" s="260"/>
      <c r="W142" s="260"/>
      <c r="X142" s="260"/>
    </row>
    <row r="143" spans="3:24" ht="18" customHeight="1" x14ac:dyDescent="0.3">
      <c r="C143" s="317" t="s">
        <v>36</v>
      </c>
      <c r="D143" s="313" t="s">
        <v>258</v>
      </c>
      <c r="E143" s="312" t="s">
        <v>214</v>
      </c>
      <c r="F143" s="316" t="s">
        <v>1268</v>
      </c>
      <c r="G143" s="319">
        <v>0</v>
      </c>
      <c r="H143" s="312" t="s">
        <v>1267</v>
      </c>
      <c r="I143" s="312">
        <v>1</v>
      </c>
      <c r="J143" s="314">
        <v>8</v>
      </c>
      <c r="K143" s="324" t="s">
        <v>1289</v>
      </c>
      <c r="L143" s="313" t="s">
        <v>463</v>
      </c>
      <c r="M143" s="323" t="s">
        <v>258</v>
      </c>
      <c r="N143" s="318" t="s">
        <v>1275</v>
      </c>
      <c r="O143" s="312" t="s">
        <v>1178</v>
      </c>
      <c r="P143" s="312" t="s">
        <v>1274</v>
      </c>
      <c r="Q143" s="312" t="s">
        <v>1274</v>
      </c>
      <c r="R143" s="312" t="s">
        <v>1274</v>
      </c>
      <c r="S143" s="312" t="s">
        <v>1274</v>
      </c>
      <c r="T143" s="312" t="s">
        <v>1274</v>
      </c>
      <c r="U143" s="311"/>
      <c r="V143" s="260"/>
      <c r="W143" s="260"/>
      <c r="X143" s="260"/>
    </row>
    <row r="144" spans="3:24" ht="18" customHeight="1" x14ac:dyDescent="0.3">
      <c r="C144" s="317"/>
      <c r="D144" s="313" t="s">
        <v>259</v>
      </c>
      <c r="E144" s="312" t="s">
        <v>214</v>
      </c>
      <c r="F144" s="316" t="s">
        <v>1268</v>
      </c>
      <c r="G144" s="319">
        <v>0</v>
      </c>
      <c r="H144" s="312" t="s">
        <v>1267</v>
      </c>
      <c r="I144" s="312">
        <v>1</v>
      </c>
      <c r="J144" s="314">
        <v>8</v>
      </c>
      <c r="K144" s="324" t="s">
        <v>1288</v>
      </c>
      <c r="L144" s="313" t="s">
        <v>464</v>
      </c>
      <c r="M144" s="323" t="s">
        <v>259</v>
      </c>
      <c r="N144" s="318" t="s">
        <v>1275</v>
      </c>
      <c r="O144" s="312" t="s">
        <v>1178</v>
      </c>
      <c r="P144" s="312" t="s">
        <v>1274</v>
      </c>
      <c r="Q144" s="312" t="s">
        <v>1274</v>
      </c>
      <c r="R144" s="312" t="s">
        <v>1274</v>
      </c>
      <c r="S144" s="312" t="s">
        <v>1274</v>
      </c>
      <c r="T144" s="312" t="s">
        <v>1274</v>
      </c>
      <c r="U144" s="311"/>
      <c r="V144" s="260"/>
      <c r="W144" s="260"/>
      <c r="X144" s="260"/>
    </row>
    <row r="145" spans="3:24" ht="18" customHeight="1" x14ac:dyDescent="0.3">
      <c r="C145" s="317"/>
      <c r="D145" s="313" t="s">
        <v>260</v>
      </c>
      <c r="E145" s="312" t="s">
        <v>214</v>
      </c>
      <c r="F145" s="316" t="s">
        <v>1268</v>
      </c>
      <c r="G145" s="319">
        <v>0</v>
      </c>
      <c r="H145" s="312" t="s">
        <v>1267</v>
      </c>
      <c r="I145" s="312">
        <v>1</v>
      </c>
      <c r="J145" s="314">
        <v>8</v>
      </c>
      <c r="K145" s="324" t="s">
        <v>1287</v>
      </c>
      <c r="L145" s="325" t="s">
        <v>465</v>
      </c>
      <c r="M145" s="323" t="s">
        <v>1286</v>
      </c>
      <c r="N145" s="318" t="s">
        <v>1275</v>
      </c>
      <c r="O145" s="312" t="s">
        <v>1178</v>
      </c>
      <c r="P145" s="312" t="s">
        <v>1274</v>
      </c>
      <c r="Q145" s="312" t="s">
        <v>1274</v>
      </c>
      <c r="R145" s="312" t="s">
        <v>1274</v>
      </c>
      <c r="S145" s="312" t="s">
        <v>1274</v>
      </c>
      <c r="T145" s="312" t="s">
        <v>1274</v>
      </c>
      <c r="U145" s="311"/>
      <c r="V145" s="260"/>
      <c r="W145" s="260"/>
      <c r="X145" s="260"/>
    </row>
    <row r="146" spans="3:24" ht="18" customHeight="1" x14ac:dyDescent="0.3">
      <c r="C146" s="317"/>
      <c r="D146" s="313" t="s">
        <v>261</v>
      </c>
      <c r="E146" s="312" t="s">
        <v>214</v>
      </c>
      <c r="F146" s="316" t="s">
        <v>1268</v>
      </c>
      <c r="G146" s="319">
        <v>0</v>
      </c>
      <c r="H146" s="312" t="s">
        <v>1267</v>
      </c>
      <c r="I146" s="312">
        <v>1</v>
      </c>
      <c r="J146" s="314">
        <v>8</v>
      </c>
      <c r="K146" s="324" t="s">
        <v>1285</v>
      </c>
      <c r="L146" s="313" t="s">
        <v>466</v>
      </c>
      <c r="M146" s="323" t="s">
        <v>1284</v>
      </c>
      <c r="N146" s="318" t="s">
        <v>1275</v>
      </c>
      <c r="O146" s="312" t="s">
        <v>1178</v>
      </c>
      <c r="P146" s="312" t="s">
        <v>1274</v>
      </c>
      <c r="Q146" s="312" t="s">
        <v>1274</v>
      </c>
      <c r="R146" s="312" t="s">
        <v>1274</v>
      </c>
      <c r="S146" s="312" t="s">
        <v>1274</v>
      </c>
      <c r="T146" s="312" t="s">
        <v>1274</v>
      </c>
      <c r="U146" s="311"/>
      <c r="V146" s="260"/>
      <c r="W146" s="260"/>
      <c r="X146" s="260"/>
    </row>
    <row r="147" spans="3:24" ht="18" customHeight="1" x14ac:dyDescent="0.3">
      <c r="C147" s="317" t="s">
        <v>246</v>
      </c>
      <c r="D147" s="313" t="s">
        <v>247</v>
      </c>
      <c r="E147" s="312" t="s">
        <v>390</v>
      </c>
      <c r="F147" s="320" t="s">
        <v>1277</v>
      </c>
      <c r="G147" s="319">
        <v>0</v>
      </c>
      <c r="H147" s="312" t="s">
        <v>1267</v>
      </c>
      <c r="I147" s="312">
        <v>1</v>
      </c>
      <c r="J147" s="314">
        <v>16</v>
      </c>
      <c r="K147" s="314" t="s">
        <v>1283</v>
      </c>
      <c r="L147" s="313" t="s">
        <v>467</v>
      </c>
      <c r="M147" s="312" t="s">
        <v>247</v>
      </c>
      <c r="N147" s="318" t="s">
        <v>1275</v>
      </c>
      <c r="O147" s="312" t="s">
        <v>1178</v>
      </c>
      <c r="P147" s="312" t="s">
        <v>1274</v>
      </c>
      <c r="Q147" s="312" t="s">
        <v>1274</v>
      </c>
      <c r="R147" s="312" t="s">
        <v>1274</v>
      </c>
      <c r="S147" s="312" t="s">
        <v>1274</v>
      </c>
      <c r="T147" s="269" t="s">
        <v>1274</v>
      </c>
      <c r="U147" s="311" t="s">
        <v>1280</v>
      </c>
      <c r="V147" s="260"/>
      <c r="W147" s="260"/>
      <c r="X147" s="260"/>
    </row>
    <row r="148" spans="3:24" ht="18" customHeight="1" x14ac:dyDescent="0.3">
      <c r="C148" s="317"/>
      <c r="D148" s="313" t="s">
        <v>248</v>
      </c>
      <c r="E148" s="312" t="s">
        <v>390</v>
      </c>
      <c r="F148" s="320" t="s">
        <v>1277</v>
      </c>
      <c r="G148" s="319">
        <v>0</v>
      </c>
      <c r="H148" s="312" t="s">
        <v>1267</v>
      </c>
      <c r="I148" s="312">
        <v>1</v>
      </c>
      <c r="J148" s="314">
        <v>8</v>
      </c>
      <c r="K148" s="314" t="s">
        <v>1282</v>
      </c>
      <c r="L148" s="313" t="s">
        <v>467</v>
      </c>
      <c r="M148" s="312" t="s">
        <v>248</v>
      </c>
      <c r="N148" s="318" t="s">
        <v>1275</v>
      </c>
      <c r="O148" s="312" t="s">
        <v>1178</v>
      </c>
      <c r="P148" s="312" t="s">
        <v>1274</v>
      </c>
      <c r="Q148" s="312" t="s">
        <v>1274</v>
      </c>
      <c r="R148" s="312" t="s">
        <v>1274</v>
      </c>
      <c r="S148" s="312" t="s">
        <v>1274</v>
      </c>
      <c r="T148" s="269" t="s">
        <v>1274</v>
      </c>
      <c r="U148" s="311" t="s">
        <v>1280</v>
      </c>
      <c r="V148" s="260"/>
      <c r="W148" s="260"/>
      <c r="X148" s="260"/>
    </row>
    <row r="149" spans="3:24" ht="18" customHeight="1" x14ac:dyDescent="0.3">
      <c r="C149" s="317"/>
      <c r="D149" s="313" t="s">
        <v>249</v>
      </c>
      <c r="E149" s="312" t="s">
        <v>205</v>
      </c>
      <c r="F149" s="320" t="s">
        <v>1277</v>
      </c>
      <c r="G149" s="319">
        <v>0</v>
      </c>
      <c r="H149" s="312" t="s">
        <v>1267</v>
      </c>
      <c r="I149" s="312">
        <v>1</v>
      </c>
      <c r="J149" s="314">
        <v>8</v>
      </c>
      <c r="K149" s="314" t="s">
        <v>1281</v>
      </c>
      <c r="L149" s="313" t="s">
        <v>468</v>
      </c>
      <c r="M149" s="312" t="s">
        <v>249</v>
      </c>
      <c r="N149" s="318" t="s">
        <v>1275</v>
      </c>
      <c r="O149" s="312" t="s">
        <v>1178</v>
      </c>
      <c r="P149" s="312" t="s">
        <v>1274</v>
      </c>
      <c r="Q149" s="312" t="s">
        <v>1274</v>
      </c>
      <c r="R149" s="312" t="s">
        <v>1274</v>
      </c>
      <c r="S149" s="312" t="s">
        <v>1274</v>
      </c>
      <c r="T149" s="269" t="s">
        <v>1274</v>
      </c>
      <c r="U149" s="311" t="s">
        <v>1280</v>
      </c>
      <c r="V149" s="260"/>
      <c r="W149" s="260"/>
      <c r="X149" s="260"/>
    </row>
    <row r="150" spans="3:24" ht="18" customHeight="1" x14ac:dyDescent="0.3">
      <c r="C150" s="321" t="s">
        <v>250</v>
      </c>
      <c r="D150" s="313" t="s">
        <v>250</v>
      </c>
      <c r="E150" s="312" t="s">
        <v>390</v>
      </c>
      <c r="F150" s="320" t="s">
        <v>1277</v>
      </c>
      <c r="G150" s="319">
        <v>0</v>
      </c>
      <c r="H150" s="312" t="s">
        <v>1267</v>
      </c>
      <c r="I150" s="312">
        <v>1</v>
      </c>
      <c r="J150" s="314">
        <v>32</v>
      </c>
      <c r="K150" s="314" t="s">
        <v>1279</v>
      </c>
      <c r="L150" s="313" t="s">
        <v>469</v>
      </c>
      <c r="M150" s="312" t="s">
        <v>250</v>
      </c>
      <c r="N150" s="318" t="s">
        <v>1275</v>
      </c>
      <c r="O150" s="312" t="s">
        <v>1178</v>
      </c>
      <c r="P150" s="312" t="s">
        <v>1274</v>
      </c>
      <c r="Q150" s="312" t="s">
        <v>1274</v>
      </c>
      <c r="R150" s="312" t="s">
        <v>1274</v>
      </c>
      <c r="S150" s="312" t="s">
        <v>1274</v>
      </c>
      <c r="T150" s="312" t="s">
        <v>1274</v>
      </c>
      <c r="U150" s="311"/>
      <c r="V150" s="260"/>
      <c r="W150" s="260"/>
      <c r="X150" s="260"/>
    </row>
    <row r="151" spans="3:24" ht="18" customHeight="1" x14ac:dyDescent="0.3">
      <c r="C151" s="321" t="s">
        <v>251</v>
      </c>
      <c r="D151" s="313" t="s">
        <v>251</v>
      </c>
      <c r="E151" s="312" t="s">
        <v>390</v>
      </c>
      <c r="F151" s="320" t="s">
        <v>1277</v>
      </c>
      <c r="G151" s="322">
        <v>0</v>
      </c>
      <c r="H151" s="312" t="s">
        <v>1267</v>
      </c>
      <c r="I151" s="312">
        <v>1</v>
      </c>
      <c r="J151" s="314">
        <v>32</v>
      </c>
      <c r="K151" s="314" t="s">
        <v>1278</v>
      </c>
      <c r="L151" s="313" t="s">
        <v>470</v>
      </c>
      <c r="M151" s="312" t="s">
        <v>251</v>
      </c>
      <c r="N151" s="318" t="s">
        <v>1275</v>
      </c>
      <c r="O151" s="312" t="s">
        <v>1178</v>
      </c>
      <c r="P151" s="312" t="s">
        <v>1274</v>
      </c>
      <c r="Q151" s="312" t="s">
        <v>1274</v>
      </c>
      <c r="R151" s="312" t="s">
        <v>1274</v>
      </c>
      <c r="S151" s="312" t="s">
        <v>1274</v>
      </c>
      <c r="T151" s="312" t="s">
        <v>1274</v>
      </c>
      <c r="U151" s="311"/>
      <c r="V151" s="260"/>
      <c r="W151" s="260"/>
      <c r="X151" s="260"/>
    </row>
    <row r="152" spans="3:24" ht="18" customHeight="1" x14ac:dyDescent="0.3">
      <c r="C152" s="321" t="s">
        <v>252</v>
      </c>
      <c r="D152" s="313" t="s">
        <v>252</v>
      </c>
      <c r="E152" s="312" t="s">
        <v>390</v>
      </c>
      <c r="F152" s="320" t="s">
        <v>1277</v>
      </c>
      <c r="G152" s="319">
        <v>0</v>
      </c>
      <c r="H152" s="312" t="s">
        <v>1267</v>
      </c>
      <c r="I152" s="312">
        <v>1</v>
      </c>
      <c r="J152" s="314">
        <v>32</v>
      </c>
      <c r="K152" s="314" t="s">
        <v>1276</v>
      </c>
      <c r="L152" s="313" t="s">
        <v>471</v>
      </c>
      <c r="M152" s="312" t="s">
        <v>252</v>
      </c>
      <c r="N152" s="318" t="s">
        <v>1275</v>
      </c>
      <c r="O152" s="312" t="s">
        <v>1178</v>
      </c>
      <c r="P152" s="312" t="s">
        <v>1274</v>
      </c>
      <c r="Q152" s="312" t="s">
        <v>1274</v>
      </c>
      <c r="R152" s="312" t="s">
        <v>1274</v>
      </c>
      <c r="S152" s="312" t="s">
        <v>1274</v>
      </c>
      <c r="T152" s="312" t="s">
        <v>1274</v>
      </c>
      <c r="U152" s="311"/>
      <c r="V152" s="260"/>
      <c r="W152" s="260"/>
      <c r="X152" s="260"/>
    </row>
    <row r="153" spans="3:24" ht="18" customHeight="1" x14ac:dyDescent="0.3">
      <c r="C153" s="317" t="s">
        <v>38</v>
      </c>
      <c r="D153" s="313" t="s">
        <v>262</v>
      </c>
      <c r="E153" s="312" t="s">
        <v>613</v>
      </c>
      <c r="F153" s="316" t="s">
        <v>1268</v>
      </c>
      <c r="G153" s="315" t="s">
        <v>51</v>
      </c>
      <c r="H153" s="312" t="s">
        <v>1267</v>
      </c>
      <c r="I153" s="312">
        <v>1</v>
      </c>
      <c r="J153" s="314">
        <v>16</v>
      </c>
      <c r="K153" s="314" t="s">
        <v>1273</v>
      </c>
      <c r="L153" s="313" t="s">
        <v>472</v>
      </c>
      <c r="M153" s="312" t="s">
        <v>1272</v>
      </c>
      <c r="N153" s="313" t="s">
        <v>262</v>
      </c>
      <c r="O153" s="312" t="s">
        <v>262</v>
      </c>
      <c r="P153" s="312" t="s">
        <v>1186</v>
      </c>
      <c r="Q153" s="312" t="s">
        <v>1186</v>
      </c>
      <c r="R153" s="312" t="s">
        <v>1186</v>
      </c>
      <c r="S153" s="312" t="s">
        <v>1186</v>
      </c>
      <c r="T153" s="312" t="s">
        <v>1186</v>
      </c>
      <c r="U153" s="311"/>
      <c r="V153" s="260"/>
      <c r="W153" s="260"/>
      <c r="X153" s="260"/>
    </row>
    <row r="154" spans="3:24" ht="18" customHeight="1" x14ac:dyDescent="0.3">
      <c r="C154" s="317"/>
      <c r="D154" s="313" t="s">
        <v>263</v>
      </c>
      <c r="E154" s="312" t="s">
        <v>613</v>
      </c>
      <c r="F154" s="316" t="s">
        <v>1268</v>
      </c>
      <c r="G154" s="315" t="s">
        <v>1086</v>
      </c>
      <c r="H154" s="312" t="s">
        <v>1267</v>
      </c>
      <c r="I154" s="312">
        <v>1</v>
      </c>
      <c r="J154" s="314">
        <v>8</v>
      </c>
      <c r="K154" s="314" t="s">
        <v>1271</v>
      </c>
      <c r="L154" s="313" t="s">
        <v>473</v>
      </c>
      <c r="M154" s="312" t="s">
        <v>1270</v>
      </c>
      <c r="N154" s="313" t="s">
        <v>263</v>
      </c>
      <c r="O154" s="312" t="s">
        <v>263</v>
      </c>
      <c r="P154" s="312" t="s">
        <v>1186</v>
      </c>
      <c r="Q154" s="312" t="s">
        <v>1186</v>
      </c>
      <c r="R154" s="312" t="s">
        <v>1186</v>
      </c>
      <c r="S154" s="312" t="s">
        <v>1186</v>
      </c>
      <c r="T154" s="312" t="s">
        <v>1186</v>
      </c>
      <c r="U154" s="311"/>
      <c r="V154" s="260"/>
      <c r="W154" s="260"/>
      <c r="X154" s="260"/>
    </row>
    <row r="155" spans="3:24" ht="18" customHeight="1" x14ac:dyDescent="0.3">
      <c r="C155" s="317"/>
      <c r="D155" s="313" t="s">
        <v>264</v>
      </c>
      <c r="E155" s="312" t="s">
        <v>613</v>
      </c>
      <c r="F155" s="316" t="s">
        <v>1268</v>
      </c>
      <c r="G155" s="315" t="s">
        <v>1086</v>
      </c>
      <c r="H155" s="312" t="s">
        <v>1267</v>
      </c>
      <c r="I155" s="312">
        <v>1</v>
      </c>
      <c r="J155" s="314">
        <v>4</v>
      </c>
      <c r="K155" s="314" t="s">
        <v>1266</v>
      </c>
      <c r="L155" s="313" t="s">
        <v>474</v>
      </c>
      <c r="M155" s="312" t="s">
        <v>1269</v>
      </c>
      <c r="N155" s="313" t="s">
        <v>264</v>
      </c>
      <c r="O155" s="312" t="s">
        <v>264</v>
      </c>
      <c r="P155" s="312" t="s">
        <v>1186</v>
      </c>
      <c r="Q155" s="312" t="s">
        <v>1186</v>
      </c>
      <c r="R155" s="312" t="s">
        <v>1186</v>
      </c>
      <c r="S155" s="312" t="s">
        <v>1186</v>
      </c>
      <c r="T155" s="312" t="s">
        <v>1186</v>
      </c>
      <c r="U155" s="311"/>
      <c r="V155" s="260"/>
      <c r="W155" s="260"/>
      <c r="X155" s="260"/>
    </row>
    <row r="156" spans="3:24" ht="18" customHeight="1" thickBot="1" x14ac:dyDescent="0.35">
      <c r="C156" s="317"/>
      <c r="D156" s="313" t="s">
        <v>265</v>
      </c>
      <c r="E156" s="312" t="s">
        <v>613</v>
      </c>
      <c r="F156" s="316" t="s">
        <v>1268</v>
      </c>
      <c r="G156" s="315" t="s">
        <v>1087</v>
      </c>
      <c r="H156" s="312" t="s">
        <v>1267</v>
      </c>
      <c r="I156" s="312">
        <v>1</v>
      </c>
      <c r="J156" s="314">
        <v>4</v>
      </c>
      <c r="K156" s="314" t="s">
        <v>1266</v>
      </c>
      <c r="L156" s="313" t="s">
        <v>473</v>
      </c>
      <c r="M156" s="312" t="s">
        <v>1265</v>
      </c>
      <c r="N156" s="313" t="s">
        <v>265</v>
      </c>
      <c r="O156" s="312" t="s">
        <v>265</v>
      </c>
      <c r="P156" s="312" t="s">
        <v>1186</v>
      </c>
      <c r="Q156" s="312" t="s">
        <v>1186</v>
      </c>
      <c r="R156" s="312" t="s">
        <v>1186</v>
      </c>
      <c r="S156" s="312" t="s">
        <v>1186</v>
      </c>
      <c r="T156" s="312" t="s">
        <v>1186</v>
      </c>
      <c r="U156" s="311"/>
      <c r="V156" s="260"/>
      <c r="W156" s="260"/>
      <c r="X156" s="260"/>
    </row>
    <row r="157" spans="3:24" ht="18" customHeight="1" x14ac:dyDescent="0.3">
      <c r="C157" s="307" t="s">
        <v>9</v>
      </c>
      <c r="D157" s="302" t="s">
        <v>395</v>
      </c>
      <c r="E157" s="305" t="s">
        <v>395</v>
      </c>
      <c r="F157" s="306" t="s">
        <v>551</v>
      </c>
      <c r="G157" s="306">
        <v>0</v>
      </c>
      <c r="H157" s="306" t="s">
        <v>1245</v>
      </c>
      <c r="I157" s="305">
        <v>3</v>
      </c>
      <c r="J157" s="304">
        <v>512</v>
      </c>
      <c r="K157" s="304" t="s">
        <v>1264</v>
      </c>
      <c r="L157" s="310" t="s">
        <v>512</v>
      </c>
      <c r="M157" s="305" t="s">
        <v>1263</v>
      </c>
      <c r="N157" s="302" t="s">
        <v>395</v>
      </c>
      <c r="O157" s="305" t="s">
        <v>395</v>
      </c>
      <c r="P157" s="305">
        <v>512</v>
      </c>
      <c r="Q157" s="305">
        <v>512</v>
      </c>
      <c r="R157" s="305">
        <v>512</v>
      </c>
      <c r="S157" s="305">
        <v>512</v>
      </c>
      <c r="T157" s="305">
        <v>512</v>
      </c>
      <c r="U157" s="299"/>
      <c r="V157" s="260" t="s">
        <v>1262</v>
      </c>
      <c r="W157" s="260"/>
      <c r="X157" s="260"/>
    </row>
    <row r="158" spans="3:24" ht="18" customHeight="1" x14ac:dyDescent="0.3">
      <c r="C158" s="307"/>
      <c r="D158" s="302" t="s">
        <v>396</v>
      </c>
      <c r="E158" s="305" t="s">
        <v>396</v>
      </c>
      <c r="F158" s="306" t="s">
        <v>551</v>
      </c>
      <c r="G158" s="306">
        <v>0</v>
      </c>
      <c r="H158" s="306" t="s">
        <v>1245</v>
      </c>
      <c r="I158" s="305">
        <v>3</v>
      </c>
      <c r="J158" s="304">
        <v>32</v>
      </c>
      <c r="K158" s="309" t="s">
        <v>1261</v>
      </c>
      <c r="L158" s="308" t="s">
        <v>513</v>
      </c>
      <c r="M158" s="301" t="s">
        <v>1260</v>
      </c>
      <c r="N158" s="300" t="s">
        <v>1259</v>
      </c>
      <c r="O158" s="305" t="s">
        <v>1259</v>
      </c>
      <c r="P158" s="305">
        <v>32</v>
      </c>
      <c r="Q158" s="305">
        <v>32</v>
      </c>
      <c r="R158" s="305">
        <v>32</v>
      </c>
      <c r="S158" s="305">
        <v>32</v>
      </c>
      <c r="T158" s="305">
        <v>32</v>
      </c>
      <c r="U158" s="299"/>
      <c r="V158" s="260" t="s">
        <v>1254</v>
      </c>
      <c r="W158" s="260"/>
      <c r="X158" s="260"/>
    </row>
    <row r="159" spans="3:24" ht="18" customHeight="1" x14ac:dyDescent="0.3">
      <c r="C159" s="307"/>
      <c r="D159" s="302" t="s">
        <v>397</v>
      </c>
      <c r="E159" s="305" t="s">
        <v>397</v>
      </c>
      <c r="F159" s="305" t="s">
        <v>15</v>
      </c>
      <c r="G159" s="306">
        <v>0</v>
      </c>
      <c r="H159" s="306" t="s">
        <v>1245</v>
      </c>
      <c r="I159" s="305">
        <v>3</v>
      </c>
      <c r="J159" s="304">
        <v>256</v>
      </c>
      <c r="K159" s="309" t="s">
        <v>1258</v>
      </c>
      <c r="L159" s="308" t="s">
        <v>514</v>
      </c>
      <c r="M159" s="301" t="s">
        <v>1257</v>
      </c>
      <c r="N159" s="300" t="s">
        <v>397</v>
      </c>
      <c r="O159" s="305" t="s">
        <v>397</v>
      </c>
      <c r="P159" s="305">
        <v>256</v>
      </c>
      <c r="Q159" s="305">
        <v>256</v>
      </c>
      <c r="R159" s="305">
        <v>256</v>
      </c>
      <c r="S159" s="305">
        <v>256</v>
      </c>
      <c r="T159" s="305">
        <v>256</v>
      </c>
      <c r="U159" s="299"/>
      <c r="V159" s="260" t="s">
        <v>1254</v>
      </c>
      <c r="W159" s="260"/>
      <c r="X159" s="260"/>
    </row>
    <row r="160" spans="3:24" ht="18" customHeight="1" x14ac:dyDescent="0.3">
      <c r="C160" s="307"/>
      <c r="D160" s="302" t="s">
        <v>398</v>
      </c>
      <c r="E160" s="305" t="s">
        <v>398</v>
      </c>
      <c r="F160" s="305" t="s">
        <v>15</v>
      </c>
      <c r="G160" s="306">
        <v>0</v>
      </c>
      <c r="H160" s="306" t="s">
        <v>1245</v>
      </c>
      <c r="I160" s="305">
        <v>3</v>
      </c>
      <c r="J160" s="304">
        <v>256</v>
      </c>
      <c r="K160" s="304" t="s">
        <v>1256</v>
      </c>
      <c r="L160" s="308" t="s">
        <v>517</v>
      </c>
      <c r="M160" s="305" t="s">
        <v>1178</v>
      </c>
      <c r="N160" s="302" t="s">
        <v>398</v>
      </c>
      <c r="O160" s="302" t="s">
        <v>398</v>
      </c>
      <c r="P160" s="306" t="s">
        <v>1187</v>
      </c>
      <c r="Q160" s="302" t="s">
        <v>1187</v>
      </c>
      <c r="R160" s="305">
        <v>256</v>
      </c>
      <c r="S160" s="305">
        <v>256</v>
      </c>
      <c r="T160" s="305">
        <v>256</v>
      </c>
      <c r="U160" s="299"/>
      <c r="V160" s="260" t="s">
        <v>1254</v>
      </c>
      <c r="W160" s="260"/>
      <c r="X160" s="260" t="s">
        <v>1255</v>
      </c>
    </row>
    <row r="161" spans="3:24" ht="18" customHeight="1" x14ac:dyDescent="0.3">
      <c r="C161" s="307"/>
      <c r="D161" s="302" t="s">
        <v>422</v>
      </c>
      <c r="E161" s="305" t="s">
        <v>422</v>
      </c>
      <c r="F161" s="306" t="s">
        <v>551</v>
      </c>
      <c r="G161" s="306">
        <v>0</v>
      </c>
      <c r="H161" s="306" t="s">
        <v>1245</v>
      </c>
      <c r="I161" s="305">
        <v>3</v>
      </c>
      <c r="J161" s="304">
        <v>0</v>
      </c>
      <c r="K161" s="302"/>
      <c r="L161" s="303" t="s">
        <v>518</v>
      </c>
      <c r="M161" s="302"/>
      <c r="N161" s="302"/>
      <c r="O161" s="302" t="s">
        <v>1178</v>
      </c>
      <c r="P161" s="301" t="s">
        <v>1186</v>
      </c>
      <c r="Q161" s="300" t="s">
        <v>1186</v>
      </c>
      <c r="R161" s="300" t="s">
        <v>1186</v>
      </c>
      <c r="S161" s="300" t="s">
        <v>1186</v>
      </c>
      <c r="T161" s="300" t="s">
        <v>1186</v>
      </c>
      <c r="U161" s="299"/>
      <c r="V161" s="260" t="s">
        <v>1254</v>
      </c>
      <c r="W161" s="260"/>
      <c r="X161" s="260"/>
    </row>
    <row r="162" spans="3:24" ht="18" customHeight="1" x14ac:dyDescent="0.3">
      <c r="C162" s="294" t="s">
        <v>885</v>
      </c>
      <c r="D162" s="291" t="s">
        <v>16</v>
      </c>
      <c r="E162" s="291" t="s">
        <v>16</v>
      </c>
      <c r="F162" s="291" t="s">
        <v>17</v>
      </c>
      <c r="G162" s="291">
        <v>0</v>
      </c>
      <c r="H162" s="291" t="s">
        <v>1245</v>
      </c>
      <c r="I162" s="291">
        <v>2</v>
      </c>
      <c r="J162" s="293">
        <v>768</v>
      </c>
      <c r="K162" s="298" t="s">
        <v>563</v>
      </c>
      <c r="L162" s="289" t="s">
        <v>835</v>
      </c>
      <c r="M162" s="289" t="s">
        <v>1178</v>
      </c>
      <c r="N162" s="289" t="s">
        <v>16</v>
      </c>
      <c r="O162" s="291" t="s">
        <v>16</v>
      </c>
      <c r="P162" s="291">
        <v>768</v>
      </c>
      <c r="Q162" s="291">
        <v>768</v>
      </c>
      <c r="R162" s="291">
        <v>768</v>
      </c>
      <c r="S162" s="291">
        <v>768</v>
      </c>
      <c r="T162" s="291">
        <v>768</v>
      </c>
      <c r="U162" s="288" t="s">
        <v>1251</v>
      </c>
      <c r="V162" s="260" t="s">
        <v>1253</v>
      </c>
      <c r="W162" s="260"/>
      <c r="X162" s="260"/>
    </row>
    <row r="163" spans="3:24" ht="18" customHeight="1" x14ac:dyDescent="0.3">
      <c r="C163" s="294"/>
      <c r="D163" s="291" t="s">
        <v>399</v>
      </c>
      <c r="E163" s="291" t="s">
        <v>399</v>
      </c>
      <c r="F163" s="291" t="s">
        <v>17</v>
      </c>
      <c r="G163" s="291">
        <v>0</v>
      </c>
      <c r="H163" s="291" t="s">
        <v>1245</v>
      </c>
      <c r="I163" s="291">
        <v>2</v>
      </c>
      <c r="J163" s="293">
        <v>160</v>
      </c>
      <c r="K163" s="293" t="s">
        <v>1252</v>
      </c>
      <c r="L163" s="291" t="s">
        <v>520</v>
      </c>
      <c r="M163" s="291" t="s">
        <v>1178</v>
      </c>
      <c r="N163" s="291" t="s">
        <v>399</v>
      </c>
      <c r="O163" s="290" t="s">
        <v>399</v>
      </c>
      <c r="P163" s="291">
        <v>160</v>
      </c>
      <c r="Q163" s="291">
        <v>160</v>
      </c>
      <c r="R163" s="291">
        <v>160</v>
      </c>
      <c r="S163" s="291">
        <v>160</v>
      </c>
      <c r="T163" s="291">
        <v>160</v>
      </c>
      <c r="U163" s="288" t="s">
        <v>1251</v>
      </c>
      <c r="V163" s="260" t="s">
        <v>1250</v>
      </c>
      <c r="W163" s="260"/>
      <c r="X163" s="260"/>
    </row>
    <row r="164" spans="3:24" ht="18" customHeight="1" x14ac:dyDescent="0.3">
      <c r="C164" s="294"/>
      <c r="D164" s="291" t="s">
        <v>22</v>
      </c>
      <c r="E164" s="291" t="s">
        <v>22</v>
      </c>
      <c r="F164" s="291" t="s">
        <v>1573</v>
      </c>
      <c r="G164" s="291">
        <v>0</v>
      </c>
      <c r="H164" s="291" t="s">
        <v>1245</v>
      </c>
      <c r="I164" s="291">
        <v>2</v>
      </c>
      <c r="J164" s="293">
        <v>32</v>
      </c>
      <c r="K164" s="298" t="s">
        <v>1249</v>
      </c>
      <c r="L164" s="297" t="s">
        <v>515</v>
      </c>
      <c r="M164" s="289"/>
      <c r="N164" s="289" t="s">
        <v>22</v>
      </c>
      <c r="O164" s="290" t="s">
        <v>22</v>
      </c>
      <c r="P164" s="291">
        <v>32</v>
      </c>
      <c r="Q164" s="291">
        <v>32</v>
      </c>
      <c r="R164" s="291">
        <v>32</v>
      </c>
      <c r="S164" s="291">
        <v>32</v>
      </c>
      <c r="T164" s="291">
        <v>32</v>
      </c>
      <c r="U164" s="288"/>
      <c r="V164" s="260"/>
      <c r="W164" s="260"/>
      <c r="X164" s="260"/>
    </row>
    <row r="165" spans="3:24" ht="18" customHeight="1" x14ac:dyDescent="0.3">
      <c r="C165" s="294"/>
      <c r="D165" s="291" t="s">
        <v>884</v>
      </c>
      <c r="E165" s="291" t="s">
        <v>884</v>
      </c>
      <c r="F165" s="291" t="s">
        <v>17</v>
      </c>
      <c r="G165" s="291">
        <v>0</v>
      </c>
      <c r="H165" s="291" t="s">
        <v>1245</v>
      </c>
      <c r="I165" s="291">
        <v>2</v>
      </c>
      <c r="J165" s="293">
        <v>320</v>
      </c>
      <c r="K165" s="293" t="s">
        <v>1248</v>
      </c>
      <c r="L165" s="296" t="s">
        <v>1247</v>
      </c>
      <c r="M165" s="291" t="s">
        <v>1178</v>
      </c>
      <c r="N165" s="291" t="s">
        <v>884</v>
      </c>
      <c r="O165" s="290" t="s">
        <v>884</v>
      </c>
      <c r="P165" s="291">
        <v>320</v>
      </c>
      <c r="Q165" s="291">
        <v>320</v>
      </c>
      <c r="R165" s="291">
        <v>320</v>
      </c>
      <c r="S165" s="291">
        <v>320</v>
      </c>
      <c r="T165" s="291">
        <v>320</v>
      </c>
      <c r="U165" s="288"/>
      <c r="V165" s="260"/>
      <c r="W165" s="260"/>
      <c r="X165" s="260"/>
    </row>
    <row r="166" spans="3:24" ht="18" customHeight="1" x14ac:dyDescent="0.3">
      <c r="C166" s="294"/>
      <c r="D166" s="291" t="s">
        <v>21</v>
      </c>
      <c r="E166" s="291" t="s">
        <v>21</v>
      </c>
      <c r="F166" s="291" t="s">
        <v>17</v>
      </c>
      <c r="G166" s="291">
        <v>0</v>
      </c>
      <c r="H166" s="291" t="s">
        <v>1245</v>
      </c>
      <c r="I166" s="291">
        <v>2</v>
      </c>
      <c r="J166" s="293">
        <v>6400</v>
      </c>
      <c r="K166" s="293" t="s">
        <v>1246</v>
      </c>
      <c r="L166" s="295" t="s">
        <v>516</v>
      </c>
      <c r="M166" s="291" t="s">
        <v>21</v>
      </c>
      <c r="N166" s="290" t="s">
        <v>1178</v>
      </c>
      <c r="O166" s="290" t="s">
        <v>1178</v>
      </c>
      <c r="P166" s="291">
        <v>6400</v>
      </c>
      <c r="Q166" s="290" t="s">
        <v>1187</v>
      </c>
      <c r="R166" s="290" t="s">
        <v>1187</v>
      </c>
      <c r="S166" s="290" t="s">
        <v>1187</v>
      </c>
      <c r="T166" s="290" t="s">
        <v>1187</v>
      </c>
      <c r="U166" s="288"/>
      <c r="V166" s="260"/>
      <c r="W166" s="260"/>
      <c r="X166" s="260"/>
    </row>
    <row r="167" spans="3:24" ht="18" customHeight="1" thickBot="1" x14ac:dyDescent="0.35">
      <c r="C167" s="294"/>
      <c r="D167" s="291" t="s">
        <v>423</v>
      </c>
      <c r="E167" s="291" t="s">
        <v>423</v>
      </c>
      <c r="F167" s="291" t="s">
        <v>17</v>
      </c>
      <c r="G167" s="291">
        <v>0</v>
      </c>
      <c r="H167" s="291" t="s">
        <v>1245</v>
      </c>
      <c r="I167" s="291">
        <v>2</v>
      </c>
      <c r="J167" s="293">
        <v>0</v>
      </c>
      <c r="K167" s="290"/>
      <c r="L167" s="292" t="s">
        <v>519</v>
      </c>
      <c r="M167" s="291" t="s">
        <v>1178</v>
      </c>
      <c r="N167" s="290" t="s">
        <v>1244</v>
      </c>
      <c r="O167" s="290" t="s">
        <v>1178</v>
      </c>
      <c r="P167" s="289" t="s">
        <v>1187</v>
      </c>
      <c r="Q167" s="289" t="s">
        <v>1187</v>
      </c>
      <c r="R167" s="289" t="s">
        <v>1187</v>
      </c>
      <c r="S167" s="289" t="s">
        <v>1187</v>
      </c>
      <c r="T167" s="289" t="s">
        <v>1187</v>
      </c>
      <c r="U167" s="288"/>
      <c r="V167" s="260"/>
      <c r="W167" s="260"/>
      <c r="X167" s="260" t="s">
        <v>1243</v>
      </c>
    </row>
    <row r="168" spans="3:24" ht="18" customHeight="1" x14ac:dyDescent="0.3">
      <c r="C168" s="275" t="s">
        <v>42</v>
      </c>
      <c r="D168" s="270" t="s">
        <v>1126</v>
      </c>
      <c r="E168" s="270" t="s">
        <v>614</v>
      </c>
      <c r="F168" s="270" t="s">
        <v>15</v>
      </c>
      <c r="G168" s="270">
        <v>0</v>
      </c>
      <c r="H168" s="270" t="s">
        <v>1189</v>
      </c>
      <c r="I168" s="270">
        <v>4</v>
      </c>
      <c r="J168" s="274">
        <v>1</v>
      </c>
      <c r="K168" s="273" t="s">
        <v>1232</v>
      </c>
      <c r="L168" s="272" t="s">
        <v>475</v>
      </c>
      <c r="M168" s="270" t="s">
        <v>1242</v>
      </c>
      <c r="N168" s="270" t="s">
        <v>1241</v>
      </c>
      <c r="O168" s="270" t="s">
        <v>1241</v>
      </c>
      <c r="P168" s="270" t="s">
        <v>1186</v>
      </c>
      <c r="Q168" s="270" t="s">
        <v>1186</v>
      </c>
      <c r="R168" s="270" t="s">
        <v>1186</v>
      </c>
      <c r="S168" s="270" t="s">
        <v>1186</v>
      </c>
      <c r="T168" s="270" t="s">
        <v>1186</v>
      </c>
      <c r="U168" s="281"/>
      <c r="V168" s="260"/>
      <c r="W168" s="260"/>
      <c r="X168" s="260"/>
    </row>
    <row r="169" spans="3:24" ht="18" customHeight="1" x14ac:dyDescent="0.3">
      <c r="C169" s="275"/>
      <c r="D169" s="270" t="s">
        <v>267</v>
      </c>
      <c r="E169" s="270" t="s">
        <v>614</v>
      </c>
      <c r="F169" s="270" t="s">
        <v>15</v>
      </c>
      <c r="G169" s="270">
        <v>0</v>
      </c>
      <c r="H169" s="270" t="s">
        <v>1189</v>
      </c>
      <c r="I169" s="270">
        <v>4</v>
      </c>
      <c r="J169" s="274">
        <v>1</v>
      </c>
      <c r="K169" s="273" t="s">
        <v>1232</v>
      </c>
      <c r="L169" s="272" t="s">
        <v>476</v>
      </c>
      <c r="M169" s="270" t="s">
        <v>267</v>
      </c>
      <c r="N169" s="270" t="s">
        <v>267</v>
      </c>
      <c r="O169" s="270" t="s">
        <v>267</v>
      </c>
      <c r="P169" s="270" t="s">
        <v>1186</v>
      </c>
      <c r="Q169" s="270" t="s">
        <v>1186</v>
      </c>
      <c r="R169" s="270" t="s">
        <v>1186</v>
      </c>
      <c r="S169" s="270" t="s">
        <v>1186</v>
      </c>
      <c r="T169" s="270" t="s">
        <v>1186</v>
      </c>
      <c r="U169" s="281"/>
      <c r="V169" s="260"/>
      <c r="W169" s="260"/>
      <c r="X169" s="260"/>
    </row>
    <row r="170" spans="3:24" ht="18" customHeight="1" x14ac:dyDescent="0.3">
      <c r="C170" s="275"/>
      <c r="D170" s="270" t="s">
        <v>269</v>
      </c>
      <c r="E170" s="270" t="s">
        <v>614</v>
      </c>
      <c r="F170" s="270" t="s">
        <v>15</v>
      </c>
      <c r="G170" s="270">
        <v>0</v>
      </c>
      <c r="H170" s="270" t="s">
        <v>1189</v>
      </c>
      <c r="I170" s="270">
        <v>4</v>
      </c>
      <c r="J170" s="274">
        <v>1</v>
      </c>
      <c r="K170" s="273" t="s">
        <v>1232</v>
      </c>
      <c r="L170" s="272" t="s">
        <v>477</v>
      </c>
      <c r="M170" s="270" t="s">
        <v>269</v>
      </c>
      <c r="N170" s="270" t="s">
        <v>269</v>
      </c>
      <c r="O170" s="270" t="s">
        <v>269</v>
      </c>
      <c r="P170" s="270" t="s">
        <v>1186</v>
      </c>
      <c r="Q170" s="270" t="s">
        <v>1186</v>
      </c>
      <c r="R170" s="270" t="s">
        <v>1186</v>
      </c>
      <c r="S170" s="270" t="s">
        <v>1186</v>
      </c>
      <c r="T170" s="270" t="s">
        <v>1186</v>
      </c>
      <c r="U170" s="281"/>
      <c r="V170" s="260"/>
      <c r="W170" s="260"/>
      <c r="X170" s="260"/>
    </row>
    <row r="171" spans="3:24" ht="18" customHeight="1" x14ac:dyDescent="0.3">
      <c r="C171" s="275"/>
      <c r="D171" s="270" t="s">
        <v>271</v>
      </c>
      <c r="E171" s="270" t="s">
        <v>48</v>
      </c>
      <c r="F171" s="270" t="s">
        <v>15</v>
      </c>
      <c r="G171" s="270">
        <v>0</v>
      </c>
      <c r="H171" s="270" t="s">
        <v>1189</v>
      </c>
      <c r="I171" s="270">
        <v>4</v>
      </c>
      <c r="J171" s="274">
        <v>1</v>
      </c>
      <c r="K171" s="273" t="s">
        <v>1232</v>
      </c>
      <c r="L171" s="272" t="s">
        <v>460</v>
      </c>
      <c r="M171" s="270" t="s">
        <v>271</v>
      </c>
      <c r="N171" s="270" t="s">
        <v>1240</v>
      </c>
      <c r="O171" s="270" t="s">
        <v>1240</v>
      </c>
      <c r="P171" s="270" t="s">
        <v>1187</v>
      </c>
      <c r="Q171" s="270" t="s">
        <v>1187</v>
      </c>
      <c r="R171" s="270" t="s">
        <v>1187</v>
      </c>
      <c r="S171" s="270" t="s">
        <v>1187</v>
      </c>
      <c r="T171" s="270" t="s">
        <v>1187</v>
      </c>
      <c r="U171" s="281"/>
      <c r="V171" s="260"/>
      <c r="W171" s="260"/>
      <c r="X171" s="260"/>
    </row>
    <row r="172" spans="3:24" ht="18" customHeight="1" x14ac:dyDescent="0.3">
      <c r="C172" s="275"/>
      <c r="D172" s="280" t="s">
        <v>1239</v>
      </c>
      <c r="E172" s="270" t="s">
        <v>630</v>
      </c>
      <c r="F172" s="270" t="s">
        <v>15</v>
      </c>
      <c r="G172" s="270">
        <v>0</v>
      </c>
      <c r="H172" s="270" t="s">
        <v>1189</v>
      </c>
      <c r="I172" s="270">
        <v>4</v>
      </c>
      <c r="J172" s="274">
        <v>1</v>
      </c>
      <c r="K172" s="273" t="s">
        <v>1232</v>
      </c>
      <c r="L172" s="272" t="s">
        <v>478</v>
      </c>
      <c r="M172" s="270" t="s">
        <v>272</v>
      </c>
      <c r="N172" s="270" t="s">
        <v>272</v>
      </c>
      <c r="O172" s="270" t="s">
        <v>272</v>
      </c>
      <c r="P172" s="270" t="s">
        <v>1186</v>
      </c>
      <c r="Q172" s="270" t="s">
        <v>1187</v>
      </c>
      <c r="R172" s="270" t="s">
        <v>1187</v>
      </c>
      <c r="S172" s="270" t="s">
        <v>1187</v>
      </c>
      <c r="T172" s="270" t="s">
        <v>1187</v>
      </c>
      <c r="U172" s="281"/>
      <c r="V172" s="260" t="s">
        <v>1238</v>
      </c>
      <c r="W172" s="260"/>
      <c r="X172" s="260"/>
    </row>
    <row r="173" spans="3:24" ht="18" customHeight="1" x14ac:dyDescent="0.3">
      <c r="C173" s="275"/>
      <c r="D173" s="282" t="s">
        <v>1237</v>
      </c>
      <c r="E173" s="270" t="s">
        <v>630</v>
      </c>
      <c r="F173" s="270" t="s">
        <v>15</v>
      </c>
      <c r="G173" s="270">
        <v>0</v>
      </c>
      <c r="H173" s="270" t="s">
        <v>1189</v>
      </c>
      <c r="I173" s="270">
        <v>4</v>
      </c>
      <c r="J173" s="274">
        <v>1</v>
      </c>
      <c r="K173" s="273" t="s">
        <v>1232</v>
      </c>
      <c r="L173" s="272" t="s">
        <v>479</v>
      </c>
      <c r="M173" s="287" t="s">
        <v>274</v>
      </c>
      <c r="N173" s="287" t="s">
        <v>274</v>
      </c>
      <c r="O173" s="270" t="s">
        <v>274</v>
      </c>
      <c r="P173" s="270" t="s">
        <v>1186</v>
      </c>
      <c r="Q173" s="270" t="s">
        <v>1187</v>
      </c>
      <c r="R173" s="270" t="s">
        <v>1187</v>
      </c>
      <c r="S173" s="270" t="s">
        <v>1187</v>
      </c>
      <c r="T173" s="270" t="s">
        <v>1187</v>
      </c>
      <c r="U173" s="286"/>
      <c r="V173" s="260" t="s">
        <v>1236</v>
      </c>
      <c r="W173" s="260"/>
      <c r="X173" s="260"/>
    </row>
    <row r="174" spans="3:24" ht="18" customHeight="1" x14ac:dyDescent="0.3">
      <c r="C174" s="275"/>
      <c r="D174" s="280" t="s">
        <v>1235</v>
      </c>
      <c r="E174" s="270" t="s">
        <v>630</v>
      </c>
      <c r="F174" s="270" t="s">
        <v>15</v>
      </c>
      <c r="G174" s="270">
        <v>0</v>
      </c>
      <c r="H174" s="270" t="s">
        <v>1189</v>
      </c>
      <c r="I174" s="270">
        <v>4</v>
      </c>
      <c r="J174" s="274">
        <v>1</v>
      </c>
      <c r="K174" s="273" t="s">
        <v>1232</v>
      </c>
      <c r="L174" s="272" t="s">
        <v>480</v>
      </c>
      <c r="M174" s="270" t="s">
        <v>276</v>
      </c>
      <c r="N174" s="270" t="s">
        <v>276</v>
      </c>
      <c r="O174" s="270" t="s">
        <v>276</v>
      </c>
      <c r="P174" s="270" t="s">
        <v>1186</v>
      </c>
      <c r="Q174" s="270" t="s">
        <v>1187</v>
      </c>
      <c r="R174" s="270" t="s">
        <v>1187</v>
      </c>
      <c r="S174" s="270" t="s">
        <v>1187</v>
      </c>
      <c r="T174" s="270" t="s">
        <v>1187</v>
      </c>
      <c r="U174" s="281"/>
      <c r="V174" s="260" t="s">
        <v>1234</v>
      </c>
      <c r="W174" s="260"/>
      <c r="X174" s="260"/>
    </row>
    <row r="175" spans="3:24" ht="18" customHeight="1" x14ac:dyDescent="0.3">
      <c r="C175" s="275"/>
      <c r="D175" s="280" t="s">
        <v>1233</v>
      </c>
      <c r="E175" s="270" t="s">
        <v>648</v>
      </c>
      <c r="F175" s="270" t="s">
        <v>15</v>
      </c>
      <c r="G175" s="270">
        <v>0</v>
      </c>
      <c r="H175" s="270" t="s">
        <v>1189</v>
      </c>
      <c r="I175" s="270">
        <v>4</v>
      </c>
      <c r="J175" s="274">
        <v>1</v>
      </c>
      <c r="K175" s="273" t="s">
        <v>1232</v>
      </c>
      <c r="L175" s="272" t="s">
        <v>481</v>
      </c>
      <c r="M175" s="270" t="s">
        <v>278</v>
      </c>
      <c r="N175" s="270" t="s">
        <v>278</v>
      </c>
      <c r="O175" s="270" t="s">
        <v>278</v>
      </c>
      <c r="P175" s="270" t="s">
        <v>1186</v>
      </c>
      <c r="Q175" s="270" t="s">
        <v>1187</v>
      </c>
      <c r="R175" s="270" t="s">
        <v>1187</v>
      </c>
      <c r="S175" s="270" t="s">
        <v>1187</v>
      </c>
      <c r="T175" s="270" t="s">
        <v>1187</v>
      </c>
      <c r="U175" s="281"/>
      <c r="V175" s="260" t="s">
        <v>1216</v>
      </c>
      <c r="W175" s="260"/>
      <c r="X175" s="260"/>
    </row>
    <row r="176" spans="3:24" ht="18" customHeight="1" x14ac:dyDescent="0.3">
      <c r="C176" s="275"/>
      <c r="D176" s="270" t="s">
        <v>1231</v>
      </c>
      <c r="E176" s="270" t="s">
        <v>48</v>
      </c>
      <c r="F176" s="270" t="s">
        <v>15</v>
      </c>
      <c r="G176" s="270">
        <v>0</v>
      </c>
      <c r="H176" s="270" t="s">
        <v>1189</v>
      </c>
      <c r="I176" s="270">
        <v>4</v>
      </c>
      <c r="J176" s="274">
        <v>1</v>
      </c>
      <c r="K176" s="273" t="s">
        <v>1225</v>
      </c>
      <c r="L176" s="272" t="s">
        <v>460</v>
      </c>
      <c r="M176" s="270" t="s">
        <v>1231</v>
      </c>
      <c r="N176" s="270" t="s">
        <v>1231</v>
      </c>
      <c r="O176" s="270" t="s">
        <v>1231</v>
      </c>
      <c r="P176" s="270" t="s">
        <v>1187</v>
      </c>
      <c r="Q176" s="270" t="s">
        <v>1187</v>
      </c>
      <c r="R176" s="270" t="s">
        <v>1187</v>
      </c>
      <c r="S176" s="270" t="s">
        <v>1187</v>
      </c>
      <c r="T176" s="270" t="s">
        <v>1187</v>
      </c>
      <c r="U176" s="281"/>
      <c r="V176" s="260"/>
      <c r="W176" s="260"/>
      <c r="X176" s="260"/>
    </row>
    <row r="177" spans="3:24" ht="18" customHeight="1" x14ac:dyDescent="0.3">
      <c r="C177" s="275"/>
      <c r="D177" s="270" t="s">
        <v>281</v>
      </c>
      <c r="E177" s="270" t="s">
        <v>614</v>
      </c>
      <c r="F177" s="270" t="s">
        <v>15</v>
      </c>
      <c r="G177" s="270">
        <v>0</v>
      </c>
      <c r="H177" s="270" t="s">
        <v>1189</v>
      </c>
      <c r="I177" s="270">
        <v>4</v>
      </c>
      <c r="J177" s="274">
        <v>1</v>
      </c>
      <c r="K177" s="273" t="s">
        <v>1225</v>
      </c>
      <c r="L177" s="272" t="s">
        <v>482</v>
      </c>
      <c r="M177" s="270" t="s">
        <v>281</v>
      </c>
      <c r="N177" s="270" t="s">
        <v>281</v>
      </c>
      <c r="O177" s="270" t="s">
        <v>281</v>
      </c>
      <c r="P177" s="270" t="s">
        <v>1186</v>
      </c>
      <c r="Q177" s="270" t="s">
        <v>1186</v>
      </c>
      <c r="R177" s="270" t="s">
        <v>1186</v>
      </c>
      <c r="S177" s="270" t="s">
        <v>1186</v>
      </c>
      <c r="T177" s="270" t="s">
        <v>1186</v>
      </c>
      <c r="U177" s="281"/>
      <c r="V177" s="260" t="s">
        <v>1230</v>
      </c>
      <c r="W177" s="260"/>
      <c r="X177" s="260"/>
    </row>
    <row r="178" spans="3:24" ht="18" customHeight="1" x14ac:dyDescent="0.3">
      <c r="C178" s="275"/>
      <c r="D178" s="270" t="s">
        <v>283</v>
      </c>
      <c r="E178" s="270" t="s">
        <v>614</v>
      </c>
      <c r="F178" s="270" t="s">
        <v>15</v>
      </c>
      <c r="G178" s="270">
        <v>0</v>
      </c>
      <c r="H178" s="270" t="s">
        <v>1189</v>
      </c>
      <c r="I178" s="270">
        <v>4</v>
      </c>
      <c r="J178" s="274">
        <v>1</v>
      </c>
      <c r="K178" s="273" t="s">
        <v>1225</v>
      </c>
      <c r="L178" s="272" t="s">
        <v>483</v>
      </c>
      <c r="M178" s="270" t="s">
        <v>283</v>
      </c>
      <c r="N178" s="270" t="s">
        <v>283</v>
      </c>
      <c r="O178" s="270" t="s">
        <v>283</v>
      </c>
      <c r="P178" s="270" t="s">
        <v>1186</v>
      </c>
      <c r="Q178" s="270" t="s">
        <v>1186</v>
      </c>
      <c r="R178" s="270" t="s">
        <v>1186</v>
      </c>
      <c r="S178" s="270" t="s">
        <v>1186</v>
      </c>
      <c r="T178" s="270" t="s">
        <v>1186</v>
      </c>
      <c r="U178" s="281"/>
      <c r="V178" s="260" t="s">
        <v>1216</v>
      </c>
      <c r="W178" s="260"/>
      <c r="X178" s="260"/>
    </row>
    <row r="179" spans="3:24" ht="18" customHeight="1" x14ac:dyDescent="0.3">
      <c r="C179" s="275"/>
      <c r="D179" s="270" t="s">
        <v>285</v>
      </c>
      <c r="E179" s="270" t="s">
        <v>614</v>
      </c>
      <c r="F179" s="270" t="s">
        <v>15</v>
      </c>
      <c r="G179" s="270">
        <v>0</v>
      </c>
      <c r="H179" s="270" t="s">
        <v>1189</v>
      </c>
      <c r="I179" s="270">
        <v>4</v>
      </c>
      <c r="J179" s="274">
        <v>1</v>
      </c>
      <c r="K179" s="273" t="s">
        <v>1225</v>
      </c>
      <c r="L179" s="272" t="s">
        <v>484</v>
      </c>
      <c r="M179" s="270" t="s">
        <v>285</v>
      </c>
      <c r="N179" s="270" t="s">
        <v>285</v>
      </c>
      <c r="O179" s="270" t="s">
        <v>285</v>
      </c>
      <c r="P179" s="270" t="s">
        <v>1186</v>
      </c>
      <c r="Q179" s="270" t="s">
        <v>1186</v>
      </c>
      <c r="R179" s="270" t="s">
        <v>1186</v>
      </c>
      <c r="S179" s="270" t="s">
        <v>1186</v>
      </c>
      <c r="T179" s="269" t="s">
        <v>1187</v>
      </c>
      <c r="U179" s="281" t="s">
        <v>1229</v>
      </c>
      <c r="V179" s="260" t="s">
        <v>1216</v>
      </c>
      <c r="W179" s="260"/>
      <c r="X179" s="260"/>
    </row>
    <row r="180" spans="3:24" ht="18" customHeight="1" x14ac:dyDescent="0.3">
      <c r="C180" s="275"/>
      <c r="D180" s="284" t="s">
        <v>1228</v>
      </c>
      <c r="E180" s="270" t="s">
        <v>48</v>
      </c>
      <c r="F180" s="270" t="s">
        <v>15</v>
      </c>
      <c r="G180" s="270">
        <v>0</v>
      </c>
      <c r="H180" s="270" t="s">
        <v>1189</v>
      </c>
      <c r="I180" s="270">
        <v>4</v>
      </c>
      <c r="J180" s="274">
        <v>1</v>
      </c>
      <c r="K180" s="273" t="s">
        <v>1225</v>
      </c>
      <c r="L180" s="272" t="s">
        <v>460</v>
      </c>
      <c r="M180" s="284" t="s">
        <v>1228</v>
      </c>
      <c r="N180" s="284" t="s">
        <v>1228</v>
      </c>
      <c r="O180" s="284" t="s">
        <v>1228</v>
      </c>
      <c r="P180" s="270" t="s">
        <v>1187</v>
      </c>
      <c r="Q180" s="270" t="s">
        <v>1187</v>
      </c>
      <c r="R180" s="270" t="s">
        <v>1187</v>
      </c>
      <c r="S180" s="270" t="s">
        <v>1187</v>
      </c>
      <c r="T180" s="270" t="s">
        <v>1187</v>
      </c>
      <c r="U180" s="283"/>
      <c r="V180" s="260"/>
      <c r="W180" s="260"/>
      <c r="X180" s="260"/>
    </row>
    <row r="181" spans="3:24" ht="18" customHeight="1" x14ac:dyDescent="0.3">
      <c r="C181" s="275"/>
      <c r="D181" s="284" t="s">
        <v>1227</v>
      </c>
      <c r="E181" s="270" t="s">
        <v>48</v>
      </c>
      <c r="F181" s="270" t="s">
        <v>15</v>
      </c>
      <c r="G181" s="270">
        <v>0</v>
      </c>
      <c r="H181" s="270" t="s">
        <v>1189</v>
      </c>
      <c r="I181" s="270">
        <v>4</v>
      </c>
      <c r="J181" s="274">
        <v>1</v>
      </c>
      <c r="K181" s="273" t="s">
        <v>1225</v>
      </c>
      <c r="L181" s="272" t="s">
        <v>460</v>
      </c>
      <c r="M181" s="284" t="s">
        <v>1227</v>
      </c>
      <c r="N181" s="284" t="s">
        <v>1227</v>
      </c>
      <c r="O181" s="284" t="s">
        <v>1227</v>
      </c>
      <c r="P181" s="270" t="s">
        <v>1187</v>
      </c>
      <c r="Q181" s="270" t="s">
        <v>1187</v>
      </c>
      <c r="R181" s="270" t="s">
        <v>1187</v>
      </c>
      <c r="S181" s="270" t="s">
        <v>1187</v>
      </c>
      <c r="T181" s="270" t="s">
        <v>1187</v>
      </c>
      <c r="U181" s="283"/>
      <c r="V181" s="260"/>
      <c r="W181" s="260"/>
      <c r="X181" s="260"/>
    </row>
    <row r="182" spans="3:24" ht="18" customHeight="1" x14ac:dyDescent="0.3">
      <c r="C182" s="275"/>
      <c r="D182" s="284" t="s">
        <v>1226</v>
      </c>
      <c r="E182" s="270" t="s">
        <v>48</v>
      </c>
      <c r="F182" s="270" t="s">
        <v>15</v>
      </c>
      <c r="G182" s="270">
        <v>0</v>
      </c>
      <c r="H182" s="270" t="s">
        <v>1189</v>
      </c>
      <c r="I182" s="270">
        <v>4</v>
      </c>
      <c r="J182" s="274">
        <v>1</v>
      </c>
      <c r="K182" s="273" t="s">
        <v>1225</v>
      </c>
      <c r="L182" s="272" t="s">
        <v>460</v>
      </c>
      <c r="M182" s="284" t="s">
        <v>1226</v>
      </c>
      <c r="N182" s="284" t="s">
        <v>1226</v>
      </c>
      <c r="O182" s="284" t="s">
        <v>1226</v>
      </c>
      <c r="P182" s="270" t="s">
        <v>1187</v>
      </c>
      <c r="Q182" s="270" t="s">
        <v>1187</v>
      </c>
      <c r="R182" s="270" t="s">
        <v>1187</v>
      </c>
      <c r="S182" s="270" t="s">
        <v>1187</v>
      </c>
      <c r="T182" s="270" t="s">
        <v>1187</v>
      </c>
      <c r="U182" s="283"/>
      <c r="V182" s="260"/>
      <c r="W182" s="260"/>
      <c r="X182" s="260"/>
    </row>
    <row r="183" spans="3:24" ht="18" customHeight="1" x14ac:dyDescent="0.3">
      <c r="C183" s="275"/>
      <c r="D183" s="284" t="s">
        <v>1224</v>
      </c>
      <c r="E183" s="270" t="s">
        <v>48</v>
      </c>
      <c r="F183" s="270" t="s">
        <v>15</v>
      </c>
      <c r="G183" s="270">
        <v>0</v>
      </c>
      <c r="H183" s="270" t="s">
        <v>1189</v>
      </c>
      <c r="I183" s="270">
        <v>4</v>
      </c>
      <c r="J183" s="274">
        <v>1</v>
      </c>
      <c r="K183" s="273" t="s">
        <v>1225</v>
      </c>
      <c r="L183" s="272" t="s">
        <v>460</v>
      </c>
      <c r="M183" s="284" t="s">
        <v>1224</v>
      </c>
      <c r="N183" s="284" t="s">
        <v>1224</v>
      </c>
      <c r="O183" s="284" t="s">
        <v>1224</v>
      </c>
      <c r="P183" s="270" t="s">
        <v>1187</v>
      </c>
      <c r="Q183" s="270" t="s">
        <v>1187</v>
      </c>
      <c r="R183" s="270" t="s">
        <v>1187</v>
      </c>
      <c r="S183" s="270" t="s">
        <v>1187</v>
      </c>
      <c r="T183" s="270" t="s">
        <v>1187</v>
      </c>
      <c r="U183" s="283"/>
      <c r="V183" s="260"/>
      <c r="W183" s="260"/>
      <c r="X183" s="260"/>
    </row>
    <row r="184" spans="3:24" ht="18" customHeight="1" x14ac:dyDescent="0.3">
      <c r="C184" s="275"/>
      <c r="D184" s="270" t="s">
        <v>287</v>
      </c>
      <c r="E184" s="270" t="s">
        <v>614</v>
      </c>
      <c r="F184" s="270" t="s">
        <v>15</v>
      </c>
      <c r="G184" s="270">
        <v>0</v>
      </c>
      <c r="H184" s="270" t="s">
        <v>1189</v>
      </c>
      <c r="I184" s="270">
        <v>4</v>
      </c>
      <c r="J184" s="274">
        <v>1</v>
      </c>
      <c r="K184" s="273" t="s">
        <v>1218</v>
      </c>
      <c r="L184" s="272" t="s">
        <v>485</v>
      </c>
      <c r="M184" s="270" t="s">
        <v>287</v>
      </c>
      <c r="N184" s="270" t="s">
        <v>287</v>
      </c>
      <c r="O184" s="270" t="s">
        <v>287</v>
      </c>
      <c r="P184" s="270" t="s">
        <v>1186</v>
      </c>
      <c r="Q184" s="270" t="s">
        <v>1186</v>
      </c>
      <c r="R184" s="270" t="s">
        <v>1186</v>
      </c>
      <c r="S184" s="270" t="s">
        <v>1186</v>
      </c>
      <c r="T184" s="270" t="s">
        <v>1186</v>
      </c>
      <c r="U184" s="281"/>
      <c r="V184" s="260" t="s">
        <v>1221</v>
      </c>
      <c r="W184" s="260"/>
      <c r="X184" s="260"/>
    </row>
    <row r="185" spans="3:24" ht="18" customHeight="1" x14ac:dyDescent="0.3">
      <c r="C185" s="275"/>
      <c r="D185" s="270" t="s">
        <v>289</v>
      </c>
      <c r="E185" s="270" t="s">
        <v>614</v>
      </c>
      <c r="F185" s="270" t="s">
        <v>15</v>
      </c>
      <c r="G185" s="270">
        <v>0</v>
      </c>
      <c r="H185" s="270" t="s">
        <v>1189</v>
      </c>
      <c r="I185" s="270">
        <v>4</v>
      </c>
      <c r="J185" s="274">
        <v>1</v>
      </c>
      <c r="K185" s="273" t="s">
        <v>1218</v>
      </c>
      <c r="L185" s="272" t="s">
        <v>486</v>
      </c>
      <c r="M185" s="270" t="s">
        <v>289</v>
      </c>
      <c r="N185" s="270" t="s">
        <v>289</v>
      </c>
      <c r="O185" s="270" t="s">
        <v>289</v>
      </c>
      <c r="P185" s="270" t="s">
        <v>1186</v>
      </c>
      <c r="Q185" s="270" t="s">
        <v>1186</v>
      </c>
      <c r="R185" s="270" t="s">
        <v>1186</v>
      </c>
      <c r="S185" s="270" t="s">
        <v>1186</v>
      </c>
      <c r="T185" s="270" t="s">
        <v>1186</v>
      </c>
      <c r="U185" s="281"/>
      <c r="V185" s="260" t="s">
        <v>1221</v>
      </c>
      <c r="W185" s="260"/>
      <c r="X185" s="260"/>
    </row>
    <row r="186" spans="3:24" ht="18" customHeight="1" x14ac:dyDescent="0.3">
      <c r="C186" s="275"/>
      <c r="D186" s="270" t="s">
        <v>1223</v>
      </c>
      <c r="E186" s="270" t="s">
        <v>48</v>
      </c>
      <c r="F186" s="270" t="s">
        <v>15</v>
      </c>
      <c r="G186" s="270">
        <v>0</v>
      </c>
      <c r="H186" s="270" t="s">
        <v>1189</v>
      </c>
      <c r="I186" s="270">
        <v>4</v>
      </c>
      <c r="J186" s="274">
        <v>1</v>
      </c>
      <c r="K186" s="273" t="s">
        <v>1218</v>
      </c>
      <c r="L186" s="272" t="s">
        <v>460</v>
      </c>
      <c r="M186" s="270" t="s">
        <v>1223</v>
      </c>
      <c r="N186" s="270" t="s">
        <v>1223</v>
      </c>
      <c r="O186" s="270" t="s">
        <v>1223</v>
      </c>
      <c r="P186" s="270" t="s">
        <v>1187</v>
      </c>
      <c r="Q186" s="270" t="s">
        <v>1187</v>
      </c>
      <c r="R186" s="270" t="s">
        <v>1187</v>
      </c>
      <c r="S186" s="270" t="s">
        <v>1187</v>
      </c>
      <c r="T186" s="270" t="s">
        <v>1187</v>
      </c>
      <c r="U186" s="281"/>
      <c r="V186" s="260"/>
      <c r="W186" s="260"/>
      <c r="X186" s="260"/>
    </row>
    <row r="187" spans="3:24" ht="18" customHeight="1" x14ac:dyDescent="0.3">
      <c r="C187" s="275"/>
      <c r="D187" s="270" t="s">
        <v>1222</v>
      </c>
      <c r="E187" s="270" t="s">
        <v>48</v>
      </c>
      <c r="F187" s="270" t="s">
        <v>15</v>
      </c>
      <c r="G187" s="270">
        <v>0</v>
      </c>
      <c r="H187" s="270" t="s">
        <v>1189</v>
      </c>
      <c r="I187" s="270">
        <v>4</v>
      </c>
      <c r="J187" s="274">
        <v>1</v>
      </c>
      <c r="K187" s="273" t="s">
        <v>1218</v>
      </c>
      <c r="L187" s="272" t="s">
        <v>460</v>
      </c>
      <c r="M187" s="270" t="s">
        <v>1222</v>
      </c>
      <c r="N187" s="270" t="s">
        <v>1222</v>
      </c>
      <c r="O187" s="270" t="s">
        <v>1222</v>
      </c>
      <c r="P187" s="270" t="s">
        <v>1187</v>
      </c>
      <c r="Q187" s="270" t="s">
        <v>1187</v>
      </c>
      <c r="R187" s="270" t="s">
        <v>1187</v>
      </c>
      <c r="S187" s="270" t="s">
        <v>1187</v>
      </c>
      <c r="T187" s="270" t="s">
        <v>1187</v>
      </c>
      <c r="U187" s="281"/>
      <c r="V187" s="260"/>
      <c r="W187" s="260"/>
      <c r="X187" s="260"/>
    </row>
    <row r="188" spans="3:24" ht="18" customHeight="1" x14ac:dyDescent="0.3">
      <c r="C188" s="275"/>
      <c r="D188" s="270" t="s">
        <v>291</v>
      </c>
      <c r="E188" s="270" t="s">
        <v>614</v>
      </c>
      <c r="F188" s="270" t="s">
        <v>15</v>
      </c>
      <c r="G188" s="270">
        <v>0</v>
      </c>
      <c r="H188" s="270" t="s">
        <v>1189</v>
      </c>
      <c r="I188" s="270">
        <v>4</v>
      </c>
      <c r="J188" s="274">
        <v>1</v>
      </c>
      <c r="K188" s="273" t="s">
        <v>1218</v>
      </c>
      <c r="L188" s="272" t="s">
        <v>487</v>
      </c>
      <c r="M188" s="270" t="s">
        <v>291</v>
      </c>
      <c r="N188" s="270" t="s">
        <v>291</v>
      </c>
      <c r="O188" s="270" t="s">
        <v>291</v>
      </c>
      <c r="P188" s="270" t="s">
        <v>1186</v>
      </c>
      <c r="Q188" s="270" t="s">
        <v>1186</v>
      </c>
      <c r="R188" s="270" t="s">
        <v>1186</v>
      </c>
      <c r="S188" s="270" t="s">
        <v>1186</v>
      </c>
      <c r="T188" s="270" t="s">
        <v>1186</v>
      </c>
      <c r="U188" s="281"/>
      <c r="V188" s="260" t="s">
        <v>1221</v>
      </c>
      <c r="W188" s="260"/>
      <c r="X188" s="260"/>
    </row>
    <row r="189" spans="3:24" ht="18" customHeight="1" x14ac:dyDescent="0.3">
      <c r="C189" s="275"/>
      <c r="D189" s="270" t="s">
        <v>293</v>
      </c>
      <c r="E189" s="270" t="s">
        <v>614</v>
      </c>
      <c r="F189" s="270" t="s">
        <v>15</v>
      </c>
      <c r="G189" s="270">
        <v>0</v>
      </c>
      <c r="H189" s="270" t="s">
        <v>1189</v>
      </c>
      <c r="I189" s="270">
        <v>4</v>
      </c>
      <c r="J189" s="274">
        <v>1</v>
      </c>
      <c r="K189" s="273" t="s">
        <v>1218</v>
      </c>
      <c r="L189" s="272" t="s">
        <v>488</v>
      </c>
      <c r="M189" s="270" t="s">
        <v>293</v>
      </c>
      <c r="N189" s="270" t="s">
        <v>293</v>
      </c>
      <c r="O189" s="270" t="s">
        <v>293</v>
      </c>
      <c r="P189" s="270" t="s">
        <v>1186</v>
      </c>
      <c r="Q189" s="270" t="s">
        <v>1186</v>
      </c>
      <c r="R189" s="270" t="s">
        <v>1186</v>
      </c>
      <c r="S189" s="270" t="s">
        <v>1186</v>
      </c>
      <c r="T189" s="270" t="s">
        <v>1186</v>
      </c>
      <c r="U189" s="281"/>
      <c r="V189" s="260"/>
      <c r="W189" s="260"/>
      <c r="X189" s="260"/>
    </row>
    <row r="190" spans="3:24" ht="18" customHeight="1" x14ac:dyDescent="0.3">
      <c r="C190" s="275"/>
      <c r="D190" s="284" t="s">
        <v>1220</v>
      </c>
      <c r="E190" s="270" t="s">
        <v>48</v>
      </c>
      <c r="F190" s="270" t="s">
        <v>15</v>
      </c>
      <c r="G190" s="270">
        <v>0</v>
      </c>
      <c r="H190" s="270" t="s">
        <v>1189</v>
      </c>
      <c r="I190" s="270">
        <v>4</v>
      </c>
      <c r="J190" s="274">
        <v>1</v>
      </c>
      <c r="K190" s="273" t="s">
        <v>1218</v>
      </c>
      <c r="L190" s="272" t="s">
        <v>460</v>
      </c>
      <c r="M190" s="284" t="s">
        <v>1220</v>
      </c>
      <c r="N190" s="284" t="s">
        <v>1220</v>
      </c>
      <c r="O190" s="284" t="s">
        <v>1220</v>
      </c>
      <c r="P190" s="270" t="s">
        <v>1187</v>
      </c>
      <c r="Q190" s="270" t="s">
        <v>1187</v>
      </c>
      <c r="R190" s="270" t="s">
        <v>1187</v>
      </c>
      <c r="S190" s="270" t="s">
        <v>1187</v>
      </c>
      <c r="T190" s="284" t="s">
        <v>1187</v>
      </c>
      <c r="U190" s="283"/>
      <c r="V190" s="260"/>
      <c r="W190" s="260"/>
      <c r="X190" s="260"/>
    </row>
    <row r="191" spans="3:24" ht="18" customHeight="1" x14ac:dyDescent="0.3">
      <c r="C191" s="275"/>
      <c r="D191" s="282" t="s">
        <v>1153</v>
      </c>
      <c r="E191" s="280" t="s">
        <v>1219</v>
      </c>
      <c r="F191" s="270" t="s">
        <v>15</v>
      </c>
      <c r="G191" s="270">
        <v>0</v>
      </c>
      <c r="H191" s="270" t="s">
        <v>1189</v>
      </c>
      <c r="I191" s="270">
        <v>4</v>
      </c>
      <c r="J191" s="274">
        <v>1</v>
      </c>
      <c r="K191" s="273" t="s">
        <v>1218</v>
      </c>
      <c r="L191" s="272" t="s">
        <v>1155</v>
      </c>
      <c r="M191" s="284" t="s">
        <v>1217</v>
      </c>
      <c r="N191" s="282" t="s">
        <v>1153</v>
      </c>
      <c r="O191" s="284" t="s">
        <v>1217</v>
      </c>
      <c r="P191" s="270" t="s">
        <v>1187</v>
      </c>
      <c r="Q191" s="270" t="s">
        <v>1187</v>
      </c>
      <c r="R191" s="270" t="s">
        <v>1187</v>
      </c>
      <c r="S191" s="270" t="s">
        <v>1187</v>
      </c>
      <c r="T191" s="285" t="s">
        <v>1186</v>
      </c>
      <c r="U191" s="283" t="s">
        <v>1185</v>
      </c>
      <c r="V191" s="260" t="s">
        <v>1216</v>
      </c>
      <c r="W191" s="260"/>
      <c r="X191" s="260"/>
    </row>
    <row r="192" spans="3:24" ht="18" customHeight="1" x14ac:dyDescent="0.3">
      <c r="C192" s="275"/>
      <c r="D192" s="284" t="s">
        <v>1215</v>
      </c>
      <c r="E192" s="270" t="s">
        <v>48</v>
      </c>
      <c r="F192" s="270" t="s">
        <v>15</v>
      </c>
      <c r="G192" s="270">
        <v>0</v>
      </c>
      <c r="H192" s="270" t="s">
        <v>1189</v>
      </c>
      <c r="I192" s="270">
        <v>4</v>
      </c>
      <c r="J192" s="274">
        <v>1</v>
      </c>
      <c r="K192" s="273" t="s">
        <v>1209</v>
      </c>
      <c r="L192" s="272" t="s">
        <v>460</v>
      </c>
      <c r="M192" s="284" t="s">
        <v>1215</v>
      </c>
      <c r="N192" s="284" t="s">
        <v>1215</v>
      </c>
      <c r="O192" s="284" t="s">
        <v>1215</v>
      </c>
      <c r="P192" s="270" t="s">
        <v>1187</v>
      </c>
      <c r="Q192" s="270" t="s">
        <v>1187</v>
      </c>
      <c r="R192" s="270" t="s">
        <v>1187</v>
      </c>
      <c r="S192" s="270" t="s">
        <v>1187</v>
      </c>
      <c r="T192" s="270" t="s">
        <v>1187</v>
      </c>
      <c r="U192" s="283"/>
      <c r="V192" s="260"/>
      <c r="W192" s="260"/>
      <c r="X192" s="260"/>
    </row>
    <row r="193" spans="3:24" ht="18" customHeight="1" x14ac:dyDescent="0.3">
      <c r="C193" s="275"/>
      <c r="D193" s="284" t="s">
        <v>1214</v>
      </c>
      <c r="E193" s="270" t="s">
        <v>48</v>
      </c>
      <c r="F193" s="270" t="s">
        <v>15</v>
      </c>
      <c r="G193" s="270">
        <v>0</v>
      </c>
      <c r="H193" s="270" t="s">
        <v>1189</v>
      </c>
      <c r="I193" s="270">
        <v>4</v>
      </c>
      <c r="J193" s="274">
        <v>1</v>
      </c>
      <c r="K193" s="273" t="s">
        <v>1209</v>
      </c>
      <c r="L193" s="272" t="s">
        <v>460</v>
      </c>
      <c r="M193" s="284" t="s">
        <v>1214</v>
      </c>
      <c r="N193" s="284" t="s">
        <v>1214</v>
      </c>
      <c r="O193" s="284" t="s">
        <v>1214</v>
      </c>
      <c r="P193" s="270" t="s">
        <v>1187</v>
      </c>
      <c r="Q193" s="270" t="s">
        <v>1187</v>
      </c>
      <c r="R193" s="270" t="s">
        <v>1187</v>
      </c>
      <c r="S193" s="270" t="s">
        <v>1187</v>
      </c>
      <c r="T193" s="270" t="s">
        <v>1187</v>
      </c>
      <c r="U193" s="283"/>
      <c r="V193" s="260"/>
      <c r="W193" s="260"/>
      <c r="X193" s="260"/>
    </row>
    <row r="194" spans="3:24" ht="18" customHeight="1" x14ac:dyDescent="0.3">
      <c r="C194" s="275"/>
      <c r="D194" s="284" t="s">
        <v>1213</v>
      </c>
      <c r="E194" s="270" t="s">
        <v>48</v>
      </c>
      <c r="F194" s="270" t="s">
        <v>15</v>
      </c>
      <c r="G194" s="270">
        <v>0</v>
      </c>
      <c r="H194" s="270" t="s">
        <v>1189</v>
      </c>
      <c r="I194" s="270">
        <v>4</v>
      </c>
      <c r="J194" s="274">
        <v>1</v>
      </c>
      <c r="K194" s="273" t="s">
        <v>1209</v>
      </c>
      <c r="L194" s="272" t="s">
        <v>460</v>
      </c>
      <c r="M194" s="284" t="s">
        <v>1213</v>
      </c>
      <c r="N194" s="284" t="s">
        <v>1213</v>
      </c>
      <c r="O194" s="284" t="s">
        <v>1213</v>
      </c>
      <c r="P194" s="270" t="s">
        <v>1187</v>
      </c>
      <c r="Q194" s="270" t="s">
        <v>1187</v>
      </c>
      <c r="R194" s="270" t="s">
        <v>1187</v>
      </c>
      <c r="S194" s="270" t="s">
        <v>1187</v>
      </c>
      <c r="T194" s="270" t="s">
        <v>1187</v>
      </c>
      <c r="U194" s="283"/>
      <c r="V194" s="260"/>
      <c r="W194" s="260"/>
      <c r="X194" s="260"/>
    </row>
    <row r="195" spans="3:24" ht="18" customHeight="1" x14ac:dyDescent="0.3">
      <c r="C195" s="275"/>
      <c r="D195" s="284" t="s">
        <v>1212</v>
      </c>
      <c r="E195" s="270" t="s">
        <v>48</v>
      </c>
      <c r="F195" s="270" t="s">
        <v>15</v>
      </c>
      <c r="G195" s="270">
        <v>0</v>
      </c>
      <c r="H195" s="270" t="s">
        <v>1189</v>
      </c>
      <c r="I195" s="270">
        <v>4</v>
      </c>
      <c r="J195" s="274">
        <v>1</v>
      </c>
      <c r="K195" s="273" t="s">
        <v>1209</v>
      </c>
      <c r="L195" s="272" t="s">
        <v>460</v>
      </c>
      <c r="M195" s="284" t="s">
        <v>1212</v>
      </c>
      <c r="N195" s="284" t="s">
        <v>1212</v>
      </c>
      <c r="O195" s="284" t="s">
        <v>1212</v>
      </c>
      <c r="P195" s="270" t="s">
        <v>1187</v>
      </c>
      <c r="Q195" s="270" t="s">
        <v>1187</v>
      </c>
      <c r="R195" s="270" t="s">
        <v>1187</v>
      </c>
      <c r="S195" s="270" t="s">
        <v>1187</v>
      </c>
      <c r="T195" s="270" t="s">
        <v>1187</v>
      </c>
      <c r="U195" s="283"/>
      <c r="V195" s="260"/>
      <c r="W195" s="260"/>
      <c r="X195" s="260"/>
    </row>
    <row r="196" spans="3:24" ht="18" customHeight="1" x14ac:dyDescent="0.3">
      <c r="C196" s="275"/>
      <c r="D196" s="284" t="s">
        <v>1211</v>
      </c>
      <c r="E196" s="270" t="s">
        <v>48</v>
      </c>
      <c r="F196" s="270" t="s">
        <v>15</v>
      </c>
      <c r="G196" s="270">
        <v>0</v>
      </c>
      <c r="H196" s="270" t="s">
        <v>1189</v>
      </c>
      <c r="I196" s="270">
        <v>4</v>
      </c>
      <c r="J196" s="274">
        <v>1</v>
      </c>
      <c r="K196" s="273" t="s">
        <v>1209</v>
      </c>
      <c r="L196" s="272" t="s">
        <v>460</v>
      </c>
      <c r="M196" s="284" t="s">
        <v>1211</v>
      </c>
      <c r="N196" s="284" t="s">
        <v>1211</v>
      </c>
      <c r="O196" s="284" t="s">
        <v>1211</v>
      </c>
      <c r="P196" s="270" t="s">
        <v>1187</v>
      </c>
      <c r="Q196" s="270" t="s">
        <v>1187</v>
      </c>
      <c r="R196" s="270" t="s">
        <v>1187</v>
      </c>
      <c r="S196" s="270" t="s">
        <v>1187</v>
      </c>
      <c r="T196" s="270" t="s">
        <v>1187</v>
      </c>
      <c r="U196" s="283"/>
      <c r="V196" s="260"/>
      <c r="W196" s="260"/>
      <c r="X196" s="260"/>
    </row>
    <row r="197" spans="3:24" ht="18" customHeight="1" x14ac:dyDescent="0.3">
      <c r="C197" s="275"/>
      <c r="D197" s="270" t="s">
        <v>295</v>
      </c>
      <c r="E197" s="270" t="s">
        <v>614</v>
      </c>
      <c r="F197" s="270" t="s">
        <v>15</v>
      </c>
      <c r="G197" s="270">
        <v>0</v>
      </c>
      <c r="H197" s="270" t="s">
        <v>1189</v>
      </c>
      <c r="I197" s="270">
        <v>4</v>
      </c>
      <c r="J197" s="274">
        <v>1</v>
      </c>
      <c r="K197" s="273" t="s">
        <v>1209</v>
      </c>
      <c r="L197" s="272" t="s">
        <v>489</v>
      </c>
      <c r="M197" s="270" t="s">
        <v>295</v>
      </c>
      <c r="N197" s="270" t="s">
        <v>295</v>
      </c>
      <c r="O197" s="270" t="s">
        <v>295</v>
      </c>
      <c r="P197" s="270" t="s">
        <v>1186</v>
      </c>
      <c r="Q197" s="270" t="s">
        <v>1186</v>
      </c>
      <c r="R197" s="270" t="s">
        <v>1186</v>
      </c>
      <c r="S197" s="270" t="s">
        <v>1186</v>
      </c>
      <c r="T197" s="270" t="s">
        <v>1186</v>
      </c>
      <c r="U197" s="281"/>
      <c r="V197" s="260"/>
      <c r="W197" s="260"/>
      <c r="X197" s="260"/>
    </row>
    <row r="198" spans="3:24" ht="18" customHeight="1" x14ac:dyDescent="0.3">
      <c r="C198" s="275"/>
      <c r="D198" s="280" t="s">
        <v>297</v>
      </c>
      <c r="E198" s="270" t="s">
        <v>628</v>
      </c>
      <c r="F198" s="270" t="s">
        <v>15</v>
      </c>
      <c r="G198" s="270">
        <v>0</v>
      </c>
      <c r="H198" s="270" t="s">
        <v>1189</v>
      </c>
      <c r="I198" s="270">
        <v>4</v>
      </c>
      <c r="J198" s="274">
        <v>1</v>
      </c>
      <c r="K198" s="273" t="s">
        <v>1209</v>
      </c>
      <c r="L198" s="272" t="s">
        <v>490</v>
      </c>
      <c r="M198" s="270" t="s">
        <v>297</v>
      </c>
      <c r="N198" s="270" t="s">
        <v>297</v>
      </c>
      <c r="O198" s="270" t="s">
        <v>297</v>
      </c>
      <c r="P198" s="280" t="s">
        <v>1210</v>
      </c>
      <c r="Q198" s="282" t="s">
        <v>1186</v>
      </c>
      <c r="R198" s="282" t="s">
        <v>1186</v>
      </c>
      <c r="S198" s="282" t="s">
        <v>1186</v>
      </c>
      <c r="T198" s="282" t="s">
        <v>1186</v>
      </c>
      <c r="U198" s="281"/>
      <c r="V198" s="260"/>
      <c r="W198" s="260"/>
      <c r="X198" s="260"/>
    </row>
    <row r="199" spans="3:24" ht="18" customHeight="1" x14ac:dyDescent="0.3">
      <c r="C199" s="275"/>
      <c r="D199" s="270" t="s">
        <v>299</v>
      </c>
      <c r="E199" s="270" t="s">
        <v>629</v>
      </c>
      <c r="F199" s="270" t="s">
        <v>15</v>
      </c>
      <c r="G199" s="270">
        <v>0</v>
      </c>
      <c r="H199" s="270" t="s">
        <v>1189</v>
      </c>
      <c r="I199" s="270">
        <v>4</v>
      </c>
      <c r="J199" s="274">
        <v>1</v>
      </c>
      <c r="K199" s="273" t="s">
        <v>1209</v>
      </c>
      <c r="L199" s="272" t="s">
        <v>491</v>
      </c>
      <c r="M199" s="270" t="s">
        <v>299</v>
      </c>
      <c r="N199" s="270" t="s">
        <v>299</v>
      </c>
      <c r="O199" s="270" t="s">
        <v>299</v>
      </c>
      <c r="P199" s="270" t="s">
        <v>1187</v>
      </c>
      <c r="Q199" s="270" t="s">
        <v>1187</v>
      </c>
      <c r="R199" s="270" t="s">
        <v>1187</v>
      </c>
      <c r="S199" s="270" t="s">
        <v>1187</v>
      </c>
      <c r="T199" s="270" t="s">
        <v>1187</v>
      </c>
      <c r="U199" s="281"/>
      <c r="V199" s="260"/>
      <c r="W199" s="260"/>
      <c r="X199" s="260"/>
    </row>
    <row r="200" spans="3:24" ht="18" customHeight="1" x14ac:dyDescent="0.3">
      <c r="C200" s="275" t="s">
        <v>46</v>
      </c>
      <c r="D200" s="270" t="s">
        <v>301</v>
      </c>
      <c r="E200" s="270" t="s">
        <v>631</v>
      </c>
      <c r="F200" s="270" t="s">
        <v>15</v>
      </c>
      <c r="G200" s="270">
        <v>0</v>
      </c>
      <c r="H200" s="270" t="s">
        <v>1189</v>
      </c>
      <c r="I200" s="270">
        <v>4</v>
      </c>
      <c r="J200" s="274">
        <v>1</v>
      </c>
      <c r="K200" s="273" t="s">
        <v>1206</v>
      </c>
      <c r="L200" s="272" t="s">
        <v>492</v>
      </c>
      <c r="M200" s="270" t="s">
        <v>301</v>
      </c>
      <c r="N200" s="270" t="s">
        <v>301</v>
      </c>
      <c r="O200" s="270" t="s">
        <v>301</v>
      </c>
      <c r="P200" s="270" t="s">
        <v>1186</v>
      </c>
      <c r="Q200" s="270" t="s">
        <v>1187</v>
      </c>
      <c r="R200" s="270" t="s">
        <v>1187</v>
      </c>
      <c r="S200" s="270" t="s">
        <v>1187</v>
      </c>
      <c r="T200" s="270" t="s">
        <v>1187</v>
      </c>
      <c r="U200" s="281"/>
      <c r="V200" s="260"/>
      <c r="W200" s="260"/>
      <c r="X200" s="260"/>
    </row>
    <row r="201" spans="3:24" ht="18" customHeight="1" x14ac:dyDescent="0.3">
      <c r="C201" s="275"/>
      <c r="D201" s="271" t="s">
        <v>303</v>
      </c>
      <c r="E201" s="270" t="s">
        <v>631</v>
      </c>
      <c r="F201" s="270" t="s">
        <v>15</v>
      </c>
      <c r="G201" s="270">
        <v>0</v>
      </c>
      <c r="H201" s="270" t="s">
        <v>1189</v>
      </c>
      <c r="I201" s="270">
        <v>4</v>
      </c>
      <c r="J201" s="274">
        <v>1</v>
      </c>
      <c r="K201" s="273" t="s">
        <v>1206</v>
      </c>
      <c r="L201" s="272" t="s">
        <v>493</v>
      </c>
      <c r="M201" s="271" t="s">
        <v>303</v>
      </c>
      <c r="N201" s="271" t="s">
        <v>303</v>
      </c>
      <c r="O201" s="270" t="s">
        <v>303</v>
      </c>
      <c r="P201" s="270" t="s">
        <v>1186</v>
      </c>
      <c r="Q201" s="270" t="s">
        <v>1187</v>
      </c>
      <c r="R201" s="270" t="s">
        <v>1187</v>
      </c>
      <c r="S201" s="270" t="s">
        <v>1187</v>
      </c>
      <c r="T201" s="270" t="s">
        <v>1187</v>
      </c>
      <c r="U201" s="268"/>
      <c r="V201" s="260"/>
      <c r="W201" s="260"/>
      <c r="X201" s="260"/>
    </row>
    <row r="202" spans="3:24" ht="18" customHeight="1" x14ac:dyDescent="0.3">
      <c r="C202" s="275"/>
      <c r="D202" s="271" t="s">
        <v>305</v>
      </c>
      <c r="E202" s="270" t="s">
        <v>631</v>
      </c>
      <c r="F202" s="270" t="s">
        <v>15</v>
      </c>
      <c r="G202" s="270">
        <v>0</v>
      </c>
      <c r="H202" s="270" t="s">
        <v>1189</v>
      </c>
      <c r="I202" s="270">
        <v>4</v>
      </c>
      <c r="J202" s="274">
        <v>1</v>
      </c>
      <c r="K202" s="273" t="s">
        <v>1206</v>
      </c>
      <c r="L202" s="272" t="s">
        <v>494</v>
      </c>
      <c r="M202" s="271" t="s">
        <v>305</v>
      </c>
      <c r="N202" s="271" t="s">
        <v>305</v>
      </c>
      <c r="O202" s="270" t="s">
        <v>305</v>
      </c>
      <c r="P202" s="270" t="s">
        <v>1186</v>
      </c>
      <c r="Q202" s="270" t="s">
        <v>1187</v>
      </c>
      <c r="R202" s="270" t="s">
        <v>1187</v>
      </c>
      <c r="S202" s="270" t="s">
        <v>1187</v>
      </c>
      <c r="T202" s="270" t="s">
        <v>1187</v>
      </c>
      <c r="U202" s="268"/>
      <c r="V202" s="260"/>
      <c r="W202" s="260"/>
      <c r="X202" s="260"/>
    </row>
    <row r="203" spans="3:24" ht="18" customHeight="1" x14ac:dyDescent="0.3">
      <c r="C203" s="275"/>
      <c r="D203" s="271" t="s">
        <v>307</v>
      </c>
      <c r="E203" s="270" t="s">
        <v>631</v>
      </c>
      <c r="F203" s="270" t="s">
        <v>15</v>
      </c>
      <c r="G203" s="270">
        <v>0</v>
      </c>
      <c r="H203" s="270" t="s">
        <v>1189</v>
      </c>
      <c r="I203" s="270">
        <v>4</v>
      </c>
      <c r="J203" s="274">
        <v>1</v>
      </c>
      <c r="K203" s="273" t="s">
        <v>1206</v>
      </c>
      <c r="L203" s="272" t="s">
        <v>495</v>
      </c>
      <c r="M203" s="271" t="s">
        <v>307</v>
      </c>
      <c r="N203" s="271" t="s">
        <v>307</v>
      </c>
      <c r="O203" s="270" t="s">
        <v>307</v>
      </c>
      <c r="P203" s="270" t="s">
        <v>1186</v>
      </c>
      <c r="Q203" s="270" t="s">
        <v>1187</v>
      </c>
      <c r="R203" s="270" t="s">
        <v>1187</v>
      </c>
      <c r="S203" s="270" t="s">
        <v>1187</v>
      </c>
      <c r="T203" s="270" t="s">
        <v>1187</v>
      </c>
      <c r="U203" s="268"/>
      <c r="V203" s="260" t="s">
        <v>1208</v>
      </c>
      <c r="W203" s="260"/>
      <c r="X203" s="260"/>
    </row>
    <row r="204" spans="3:24" ht="18" customHeight="1" x14ac:dyDescent="0.3">
      <c r="C204" s="275"/>
      <c r="D204" s="280" t="s">
        <v>309</v>
      </c>
      <c r="E204" s="279" t="s">
        <v>1207</v>
      </c>
      <c r="F204" s="270" t="s">
        <v>15</v>
      </c>
      <c r="G204" s="270">
        <v>0</v>
      </c>
      <c r="H204" s="270" t="s">
        <v>1189</v>
      </c>
      <c r="I204" s="270">
        <v>4</v>
      </c>
      <c r="J204" s="274">
        <v>1</v>
      </c>
      <c r="K204" s="273" t="s">
        <v>1206</v>
      </c>
      <c r="L204" s="272" t="s">
        <v>496</v>
      </c>
      <c r="M204" s="271" t="s">
        <v>309</v>
      </c>
      <c r="N204" s="271" t="s">
        <v>309</v>
      </c>
      <c r="O204" s="270" t="s">
        <v>309</v>
      </c>
      <c r="P204" s="270" t="s">
        <v>1186</v>
      </c>
      <c r="Q204" s="270" t="s">
        <v>1187</v>
      </c>
      <c r="R204" s="278" t="s">
        <v>1186</v>
      </c>
      <c r="S204" s="269" t="s">
        <v>1187</v>
      </c>
      <c r="T204" s="277" t="s">
        <v>1186</v>
      </c>
      <c r="U204" s="268"/>
      <c r="V204" s="260"/>
      <c r="W204" s="260"/>
      <c r="X204" s="260"/>
    </row>
    <row r="205" spans="3:24" ht="18" customHeight="1" x14ac:dyDescent="0.3">
      <c r="C205" s="275"/>
      <c r="D205" s="271" t="s">
        <v>311</v>
      </c>
      <c r="E205" s="270" t="s">
        <v>631</v>
      </c>
      <c r="F205" s="270" t="s">
        <v>15</v>
      </c>
      <c r="G205" s="270">
        <v>0</v>
      </c>
      <c r="H205" s="270" t="s">
        <v>1189</v>
      </c>
      <c r="I205" s="270">
        <v>4</v>
      </c>
      <c r="J205" s="274">
        <v>1</v>
      </c>
      <c r="K205" s="273" t="s">
        <v>1206</v>
      </c>
      <c r="L205" s="272" t="s">
        <v>497</v>
      </c>
      <c r="M205" s="271" t="s">
        <v>311</v>
      </c>
      <c r="N205" s="271" t="s">
        <v>311</v>
      </c>
      <c r="O205" s="270" t="s">
        <v>311</v>
      </c>
      <c r="P205" s="270" t="s">
        <v>1186</v>
      </c>
      <c r="Q205" s="270" t="s">
        <v>1187</v>
      </c>
      <c r="R205" s="270" t="s">
        <v>1187</v>
      </c>
      <c r="S205" s="270" t="s">
        <v>1187</v>
      </c>
      <c r="T205" s="270" t="s">
        <v>1187</v>
      </c>
      <c r="U205" s="268"/>
      <c r="V205" s="260"/>
      <c r="W205" s="260"/>
      <c r="X205" s="260"/>
    </row>
    <row r="206" spans="3:24" ht="18" customHeight="1" x14ac:dyDescent="0.3">
      <c r="C206" s="275"/>
      <c r="D206" s="271" t="s">
        <v>313</v>
      </c>
      <c r="E206" s="270" t="s">
        <v>631</v>
      </c>
      <c r="F206" s="270" t="s">
        <v>15</v>
      </c>
      <c r="G206" s="270">
        <v>0</v>
      </c>
      <c r="H206" s="270" t="s">
        <v>1189</v>
      </c>
      <c r="I206" s="270">
        <v>4</v>
      </c>
      <c r="J206" s="274">
        <v>1</v>
      </c>
      <c r="K206" s="273" t="s">
        <v>1206</v>
      </c>
      <c r="L206" s="272" t="s">
        <v>498</v>
      </c>
      <c r="M206" s="271" t="s">
        <v>313</v>
      </c>
      <c r="N206" s="271" t="s">
        <v>313</v>
      </c>
      <c r="O206" s="270" t="s">
        <v>313</v>
      </c>
      <c r="P206" s="270" t="s">
        <v>1186</v>
      </c>
      <c r="Q206" s="270" t="s">
        <v>1187</v>
      </c>
      <c r="R206" s="270" t="s">
        <v>1187</v>
      </c>
      <c r="S206" s="270" t="s">
        <v>1187</v>
      </c>
      <c r="T206" s="270" t="s">
        <v>1187</v>
      </c>
      <c r="U206" s="268"/>
      <c r="V206" s="260"/>
      <c r="W206" s="260"/>
      <c r="X206" s="260"/>
    </row>
    <row r="207" spans="3:24" ht="18" customHeight="1" x14ac:dyDescent="0.3">
      <c r="C207" s="275"/>
      <c r="D207" s="271" t="s">
        <v>315</v>
      </c>
      <c r="E207" s="270" t="s">
        <v>631</v>
      </c>
      <c r="F207" s="270" t="s">
        <v>15</v>
      </c>
      <c r="G207" s="270">
        <v>0</v>
      </c>
      <c r="H207" s="270" t="s">
        <v>1189</v>
      </c>
      <c r="I207" s="270">
        <v>4</v>
      </c>
      <c r="J207" s="274">
        <v>1</v>
      </c>
      <c r="K207" s="273" t="s">
        <v>1206</v>
      </c>
      <c r="L207" s="272" t="s">
        <v>499</v>
      </c>
      <c r="M207" s="271" t="s">
        <v>315</v>
      </c>
      <c r="N207" s="271" t="s">
        <v>315</v>
      </c>
      <c r="O207" s="270" t="s">
        <v>315</v>
      </c>
      <c r="P207" s="270" t="s">
        <v>1186</v>
      </c>
      <c r="Q207" s="270" t="s">
        <v>1187</v>
      </c>
      <c r="R207" s="270" t="s">
        <v>1187</v>
      </c>
      <c r="S207" s="270" t="s">
        <v>1187</v>
      </c>
      <c r="T207" s="270" t="s">
        <v>1187</v>
      </c>
      <c r="U207" s="268"/>
      <c r="V207" s="260"/>
      <c r="W207" s="260"/>
      <c r="X207" s="260"/>
    </row>
    <row r="208" spans="3:24" ht="18" customHeight="1" x14ac:dyDescent="0.3">
      <c r="C208" s="275"/>
      <c r="D208" s="271" t="s">
        <v>317</v>
      </c>
      <c r="E208" s="270" t="s">
        <v>631</v>
      </c>
      <c r="F208" s="270" t="s">
        <v>15</v>
      </c>
      <c r="G208" s="270">
        <v>0</v>
      </c>
      <c r="H208" s="270" t="s">
        <v>1189</v>
      </c>
      <c r="I208" s="270">
        <v>4</v>
      </c>
      <c r="J208" s="274">
        <v>1</v>
      </c>
      <c r="K208" s="273" t="s">
        <v>1200</v>
      </c>
      <c r="L208" s="272" t="s">
        <v>500</v>
      </c>
      <c r="M208" s="271" t="s">
        <v>317</v>
      </c>
      <c r="N208" s="271" t="s">
        <v>317</v>
      </c>
      <c r="O208" s="270" t="s">
        <v>317</v>
      </c>
      <c r="P208" s="270" t="s">
        <v>1186</v>
      </c>
      <c r="Q208" s="270" t="s">
        <v>1187</v>
      </c>
      <c r="R208" s="270" t="s">
        <v>1187</v>
      </c>
      <c r="S208" s="270" t="s">
        <v>1187</v>
      </c>
      <c r="T208" s="270" t="s">
        <v>1187</v>
      </c>
      <c r="U208" s="268"/>
      <c r="V208" s="260"/>
      <c r="W208" s="260"/>
      <c r="X208" s="260"/>
    </row>
    <row r="209" spans="3:24" ht="18" customHeight="1" x14ac:dyDescent="0.3">
      <c r="C209" s="275"/>
      <c r="D209" s="271" t="s">
        <v>319</v>
      </c>
      <c r="E209" s="270" t="s">
        <v>631</v>
      </c>
      <c r="F209" s="270" t="s">
        <v>15</v>
      </c>
      <c r="G209" s="270">
        <v>0</v>
      </c>
      <c r="H209" s="270" t="s">
        <v>1189</v>
      </c>
      <c r="I209" s="270">
        <v>4</v>
      </c>
      <c r="J209" s="274">
        <v>1</v>
      </c>
      <c r="K209" s="273" t="s">
        <v>1200</v>
      </c>
      <c r="L209" s="272" t="s">
        <v>501</v>
      </c>
      <c r="M209" s="271" t="s">
        <v>319</v>
      </c>
      <c r="N209" s="271" t="s">
        <v>319</v>
      </c>
      <c r="O209" s="270" t="s">
        <v>319</v>
      </c>
      <c r="P209" s="270" t="s">
        <v>1186</v>
      </c>
      <c r="Q209" s="270" t="s">
        <v>1187</v>
      </c>
      <c r="R209" s="270" t="s">
        <v>1187</v>
      </c>
      <c r="S209" s="270" t="s">
        <v>1187</v>
      </c>
      <c r="T209" s="270" t="s">
        <v>1187</v>
      </c>
      <c r="U209" s="268"/>
      <c r="V209" s="260"/>
      <c r="W209" s="260"/>
      <c r="X209" s="260"/>
    </row>
    <row r="210" spans="3:24" ht="18" customHeight="1" x14ac:dyDescent="0.3">
      <c r="C210" s="275"/>
      <c r="D210" s="271" t="s">
        <v>1205</v>
      </c>
      <c r="E210" s="270" t="s">
        <v>48</v>
      </c>
      <c r="F210" s="270" t="s">
        <v>15</v>
      </c>
      <c r="G210" s="270">
        <v>0</v>
      </c>
      <c r="H210" s="270" t="s">
        <v>1189</v>
      </c>
      <c r="I210" s="270">
        <v>4</v>
      </c>
      <c r="J210" s="274">
        <v>1</v>
      </c>
      <c r="K210" s="273" t="s">
        <v>1200</v>
      </c>
      <c r="L210" s="272" t="s">
        <v>460</v>
      </c>
      <c r="M210" s="271" t="s">
        <v>1205</v>
      </c>
      <c r="N210" s="271" t="s">
        <v>1205</v>
      </c>
      <c r="O210" s="270" t="s">
        <v>1205</v>
      </c>
      <c r="P210" s="270" t="s">
        <v>1187</v>
      </c>
      <c r="Q210" s="270" t="s">
        <v>1187</v>
      </c>
      <c r="R210" s="270" t="s">
        <v>1187</v>
      </c>
      <c r="S210" s="270" t="s">
        <v>1187</v>
      </c>
      <c r="T210" s="270" t="s">
        <v>1187</v>
      </c>
      <c r="U210" s="268"/>
      <c r="V210" s="260"/>
      <c r="W210" s="260"/>
      <c r="X210" s="260"/>
    </row>
    <row r="211" spans="3:24" ht="18" customHeight="1" x14ac:dyDescent="0.3">
      <c r="C211" s="275"/>
      <c r="D211" s="271" t="s">
        <v>1204</v>
      </c>
      <c r="E211" s="270" t="s">
        <v>48</v>
      </c>
      <c r="F211" s="270" t="s">
        <v>15</v>
      </c>
      <c r="G211" s="270">
        <v>0</v>
      </c>
      <c r="H211" s="270" t="s">
        <v>1189</v>
      </c>
      <c r="I211" s="270">
        <v>4</v>
      </c>
      <c r="J211" s="274">
        <v>1</v>
      </c>
      <c r="K211" s="273" t="s">
        <v>1200</v>
      </c>
      <c r="L211" s="272" t="s">
        <v>460</v>
      </c>
      <c r="M211" s="271" t="s">
        <v>1204</v>
      </c>
      <c r="N211" s="271" t="s">
        <v>1204</v>
      </c>
      <c r="O211" s="270" t="s">
        <v>1204</v>
      </c>
      <c r="P211" s="270" t="s">
        <v>1187</v>
      </c>
      <c r="Q211" s="270" t="s">
        <v>1187</v>
      </c>
      <c r="R211" s="270" t="s">
        <v>1187</v>
      </c>
      <c r="S211" s="270" t="s">
        <v>1187</v>
      </c>
      <c r="T211" s="270" t="s">
        <v>1187</v>
      </c>
      <c r="U211" s="268"/>
      <c r="V211" s="260"/>
      <c r="W211" s="260"/>
      <c r="X211" s="260"/>
    </row>
    <row r="212" spans="3:24" ht="18" customHeight="1" x14ac:dyDescent="0.3">
      <c r="C212" s="275"/>
      <c r="D212" s="271" t="s">
        <v>1203</v>
      </c>
      <c r="E212" s="270" t="s">
        <v>48</v>
      </c>
      <c r="F212" s="270" t="s">
        <v>15</v>
      </c>
      <c r="G212" s="270">
        <v>0</v>
      </c>
      <c r="H212" s="270" t="s">
        <v>1189</v>
      </c>
      <c r="I212" s="270">
        <v>4</v>
      </c>
      <c r="J212" s="274">
        <v>1</v>
      </c>
      <c r="K212" s="273" t="s">
        <v>1200</v>
      </c>
      <c r="L212" s="272" t="s">
        <v>460</v>
      </c>
      <c r="M212" s="271" t="s">
        <v>1203</v>
      </c>
      <c r="N212" s="271" t="s">
        <v>1203</v>
      </c>
      <c r="O212" s="270" t="s">
        <v>1203</v>
      </c>
      <c r="P212" s="270" t="s">
        <v>1187</v>
      </c>
      <c r="Q212" s="270" t="s">
        <v>1187</v>
      </c>
      <c r="R212" s="270" t="s">
        <v>1187</v>
      </c>
      <c r="S212" s="270" t="s">
        <v>1187</v>
      </c>
      <c r="T212" s="270" t="s">
        <v>1187</v>
      </c>
      <c r="U212" s="268"/>
      <c r="V212" s="260"/>
      <c r="W212" s="260"/>
      <c r="X212" s="260"/>
    </row>
    <row r="213" spans="3:24" ht="18" customHeight="1" x14ac:dyDescent="0.3">
      <c r="C213" s="275"/>
      <c r="D213" s="271" t="s">
        <v>1202</v>
      </c>
      <c r="E213" s="270" t="s">
        <v>48</v>
      </c>
      <c r="F213" s="270" t="s">
        <v>15</v>
      </c>
      <c r="G213" s="270">
        <v>0</v>
      </c>
      <c r="H213" s="270" t="s">
        <v>1189</v>
      </c>
      <c r="I213" s="270">
        <v>4</v>
      </c>
      <c r="J213" s="274">
        <v>1</v>
      </c>
      <c r="K213" s="273" t="s">
        <v>1200</v>
      </c>
      <c r="L213" s="272" t="s">
        <v>460</v>
      </c>
      <c r="M213" s="271" t="s">
        <v>1202</v>
      </c>
      <c r="N213" s="271" t="s">
        <v>1202</v>
      </c>
      <c r="O213" s="270" t="s">
        <v>1202</v>
      </c>
      <c r="P213" s="270" t="s">
        <v>1187</v>
      </c>
      <c r="Q213" s="270" t="s">
        <v>1187</v>
      </c>
      <c r="R213" s="270" t="s">
        <v>1187</v>
      </c>
      <c r="S213" s="270" t="s">
        <v>1187</v>
      </c>
      <c r="T213" s="270" t="s">
        <v>1187</v>
      </c>
      <c r="U213" s="268"/>
      <c r="V213" s="260"/>
      <c r="W213" s="260"/>
      <c r="X213" s="260"/>
    </row>
    <row r="214" spans="3:24" ht="18" customHeight="1" x14ac:dyDescent="0.3">
      <c r="C214" s="275"/>
      <c r="D214" s="271" t="s">
        <v>1201</v>
      </c>
      <c r="E214" s="270" t="s">
        <v>48</v>
      </c>
      <c r="F214" s="270" t="s">
        <v>15</v>
      </c>
      <c r="G214" s="270">
        <v>0</v>
      </c>
      <c r="H214" s="270" t="s">
        <v>1189</v>
      </c>
      <c r="I214" s="270">
        <v>4</v>
      </c>
      <c r="J214" s="274">
        <v>1</v>
      </c>
      <c r="K214" s="273" t="s">
        <v>1200</v>
      </c>
      <c r="L214" s="272" t="s">
        <v>460</v>
      </c>
      <c r="M214" s="271" t="s">
        <v>1201</v>
      </c>
      <c r="N214" s="271" t="s">
        <v>1201</v>
      </c>
      <c r="O214" s="270" t="s">
        <v>1201</v>
      </c>
      <c r="P214" s="270" t="s">
        <v>1187</v>
      </c>
      <c r="Q214" s="270" t="s">
        <v>1187</v>
      </c>
      <c r="R214" s="270" t="s">
        <v>1187</v>
      </c>
      <c r="S214" s="270" t="s">
        <v>1187</v>
      </c>
      <c r="T214" s="270" t="s">
        <v>1187</v>
      </c>
      <c r="U214" s="268"/>
      <c r="V214" s="260"/>
      <c r="W214" s="260"/>
      <c r="X214" s="260"/>
    </row>
    <row r="215" spans="3:24" ht="18" customHeight="1" x14ac:dyDescent="0.3">
      <c r="C215" s="275"/>
      <c r="D215" s="271" t="s">
        <v>1199</v>
      </c>
      <c r="E215" s="270" t="s">
        <v>48</v>
      </c>
      <c r="F215" s="270" t="s">
        <v>15</v>
      </c>
      <c r="G215" s="270">
        <v>0</v>
      </c>
      <c r="H215" s="270" t="s">
        <v>1189</v>
      </c>
      <c r="I215" s="270">
        <v>4</v>
      </c>
      <c r="J215" s="274">
        <v>1</v>
      </c>
      <c r="K215" s="273" t="s">
        <v>1200</v>
      </c>
      <c r="L215" s="272" t="s">
        <v>460</v>
      </c>
      <c r="M215" s="271" t="s">
        <v>1199</v>
      </c>
      <c r="N215" s="271" t="s">
        <v>1199</v>
      </c>
      <c r="O215" s="270" t="s">
        <v>1199</v>
      </c>
      <c r="P215" s="270" t="s">
        <v>1187</v>
      </c>
      <c r="Q215" s="270" t="s">
        <v>1187</v>
      </c>
      <c r="R215" s="270" t="s">
        <v>1187</v>
      </c>
      <c r="S215" s="270" t="s">
        <v>1187</v>
      </c>
      <c r="T215" s="270" t="s">
        <v>1187</v>
      </c>
      <c r="U215" s="268"/>
      <c r="V215" s="260"/>
      <c r="W215" s="260"/>
      <c r="X215" s="260"/>
    </row>
    <row r="216" spans="3:24" ht="18" customHeight="1" x14ac:dyDescent="0.3">
      <c r="C216" s="275"/>
      <c r="D216" s="271" t="s">
        <v>327</v>
      </c>
      <c r="E216" s="270" t="s">
        <v>631</v>
      </c>
      <c r="F216" s="270" t="s">
        <v>15</v>
      </c>
      <c r="G216" s="270">
        <v>0</v>
      </c>
      <c r="H216" s="270" t="s">
        <v>1189</v>
      </c>
      <c r="I216" s="270">
        <v>4</v>
      </c>
      <c r="J216" s="274">
        <v>1</v>
      </c>
      <c r="K216" s="273" t="s">
        <v>1193</v>
      </c>
      <c r="L216" s="272" t="s">
        <v>502</v>
      </c>
      <c r="M216" s="271" t="s">
        <v>327</v>
      </c>
      <c r="N216" s="271" t="s">
        <v>327</v>
      </c>
      <c r="O216" s="270" t="s">
        <v>327</v>
      </c>
      <c r="P216" s="270" t="s">
        <v>1186</v>
      </c>
      <c r="Q216" s="270" t="s">
        <v>1186</v>
      </c>
      <c r="R216" s="270" t="s">
        <v>1186</v>
      </c>
      <c r="S216" s="270" t="s">
        <v>1186</v>
      </c>
      <c r="T216" s="270" t="s">
        <v>1186</v>
      </c>
      <c r="U216" s="268"/>
      <c r="V216" s="260" t="s">
        <v>1191</v>
      </c>
      <c r="W216" s="260"/>
      <c r="X216" s="260"/>
    </row>
    <row r="217" spans="3:24" ht="18" customHeight="1" x14ac:dyDescent="0.3">
      <c r="C217" s="275"/>
      <c r="D217" s="271" t="s">
        <v>1198</v>
      </c>
      <c r="E217" s="270" t="s">
        <v>48</v>
      </c>
      <c r="F217" s="270" t="s">
        <v>15</v>
      </c>
      <c r="G217" s="270">
        <v>0</v>
      </c>
      <c r="H217" s="270" t="s">
        <v>1189</v>
      </c>
      <c r="I217" s="270">
        <v>4</v>
      </c>
      <c r="J217" s="274">
        <v>1</v>
      </c>
      <c r="K217" s="273" t="s">
        <v>1193</v>
      </c>
      <c r="L217" s="272" t="s">
        <v>460</v>
      </c>
      <c r="M217" s="271" t="s">
        <v>1198</v>
      </c>
      <c r="N217" s="271" t="s">
        <v>1198</v>
      </c>
      <c r="O217" s="270" t="s">
        <v>1198</v>
      </c>
      <c r="P217" s="270" t="s">
        <v>1187</v>
      </c>
      <c r="Q217" s="270" t="s">
        <v>1187</v>
      </c>
      <c r="R217" s="270" t="s">
        <v>1187</v>
      </c>
      <c r="S217" s="270" t="s">
        <v>1187</v>
      </c>
      <c r="T217" s="270" t="s">
        <v>1187</v>
      </c>
      <c r="U217" s="268"/>
      <c r="V217" s="260"/>
      <c r="W217" s="260"/>
      <c r="X217" s="260"/>
    </row>
    <row r="218" spans="3:24" ht="18" customHeight="1" x14ac:dyDescent="0.3">
      <c r="C218" s="275"/>
      <c r="D218" s="271" t="s">
        <v>1197</v>
      </c>
      <c r="E218" s="270" t="s">
        <v>48</v>
      </c>
      <c r="F218" s="270" t="s">
        <v>15</v>
      </c>
      <c r="G218" s="270">
        <v>0</v>
      </c>
      <c r="H218" s="270" t="s">
        <v>1189</v>
      </c>
      <c r="I218" s="270">
        <v>4</v>
      </c>
      <c r="J218" s="274">
        <v>1</v>
      </c>
      <c r="K218" s="273" t="s">
        <v>1193</v>
      </c>
      <c r="L218" s="272" t="s">
        <v>460</v>
      </c>
      <c r="M218" s="271" t="s">
        <v>1197</v>
      </c>
      <c r="N218" s="271" t="s">
        <v>1197</v>
      </c>
      <c r="O218" s="270" t="s">
        <v>1197</v>
      </c>
      <c r="P218" s="270" t="s">
        <v>1187</v>
      </c>
      <c r="Q218" s="270" t="s">
        <v>1187</v>
      </c>
      <c r="R218" s="270" t="s">
        <v>1187</v>
      </c>
      <c r="S218" s="270" t="s">
        <v>1187</v>
      </c>
      <c r="T218" s="270" t="s">
        <v>1187</v>
      </c>
      <c r="U218" s="268"/>
      <c r="V218" s="260"/>
      <c r="W218" s="260"/>
      <c r="X218" s="260"/>
    </row>
    <row r="219" spans="3:24" ht="18" customHeight="1" x14ac:dyDescent="0.3">
      <c r="C219" s="275"/>
      <c r="D219" s="271" t="s">
        <v>331</v>
      </c>
      <c r="E219" s="270" t="s">
        <v>631</v>
      </c>
      <c r="F219" s="270" t="s">
        <v>15</v>
      </c>
      <c r="G219" s="270">
        <v>0</v>
      </c>
      <c r="H219" s="270" t="s">
        <v>1189</v>
      </c>
      <c r="I219" s="270">
        <v>4</v>
      </c>
      <c r="J219" s="274">
        <v>1</v>
      </c>
      <c r="K219" s="273" t="s">
        <v>1193</v>
      </c>
      <c r="L219" s="272" t="s">
        <v>503</v>
      </c>
      <c r="M219" s="271" t="s">
        <v>331</v>
      </c>
      <c r="N219" s="271" t="s">
        <v>331</v>
      </c>
      <c r="O219" s="270" t="s">
        <v>331</v>
      </c>
      <c r="P219" s="270" t="s">
        <v>1186</v>
      </c>
      <c r="Q219" s="270" t="s">
        <v>1186</v>
      </c>
      <c r="R219" s="270" t="s">
        <v>1186</v>
      </c>
      <c r="S219" s="270" t="s">
        <v>1186</v>
      </c>
      <c r="T219" s="270" t="s">
        <v>1186</v>
      </c>
      <c r="U219" s="268"/>
      <c r="V219" s="260" t="s">
        <v>1191</v>
      </c>
      <c r="W219" s="260"/>
      <c r="X219" s="260"/>
    </row>
    <row r="220" spans="3:24" ht="18" customHeight="1" x14ac:dyDescent="0.3">
      <c r="C220" s="275"/>
      <c r="D220" s="271" t="s">
        <v>1196</v>
      </c>
      <c r="E220" s="270" t="s">
        <v>48</v>
      </c>
      <c r="F220" s="270" t="s">
        <v>15</v>
      </c>
      <c r="G220" s="270">
        <v>0</v>
      </c>
      <c r="H220" s="270" t="s">
        <v>1189</v>
      </c>
      <c r="I220" s="270">
        <v>4</v>
      </c>
      <c r="J220" s="274">
        <v>1</v>
      </c>
      <c r="K220" s="273" t="s">
        <v>1193</v>
      </c>
      <c r="L220" s="272" t="s">
        <v>460</v>
      </c>
      <c r="M220" s="271" t="s">
        <v>1196</v>
      </c>
      <c r="N220" s="271" t="s">
        <v>1196</v>
      </c>
      <c r="O220" s="270" t="s">
        <v>1196</v>
      </c>
      <c r="P220" s="270" t="s">
        <v>1187</v>
      </c>
      <c r="Q220" s="270" t="s">
        <v>1187</v>
      </c>
      <c r="R220" s="270" t="s">
        <v>1187</v>
      </c>
      <c r="S220" s="270" t="s">
        <v>1187</v>
      </c>
      <c r="T220" s="270" t="s">
        <v>1187</v>
      </c>
      <c r="U220" s="268"/>
      <c r="V220" s="260"/>
      <c r="W220" s="260"/>
      <c r="X220" s="260"/>
    </row>
    <row r="221" spans="3:24" ht="18" customHeight="1" x14ac:dyDescent="0.3">
      <c r="C221" s="275"/>
      <c r="D221" s="271" t="s">
        <v>1195</v>
      </c>
      <c r="E221" s="270" t="s">
        <v>48</v>
      </c>
      <c r="F221" s="270" t="s">
        <v>15</v>
      </c>
      <c r="G221" s="270">
        <v>0</v>
      </c>
      <c r="H221" s="270" t="s">
        <v>1189</v>
      </c>
      <c r="I221" s="270">
        <v>4</v>
      </c>
      <c r="J221" s="274">
        <v>1</v>
      </c>
      <c r="K221" s="273" t="s">
        <v>1193</v>
      </c>
      <c r="L221" s="272" t="s">
        <v>460</v>
      </c>
      <c r="M221" s="271" t="s">
        <v>1195</v>
      </c>
      <c r="N221" s="271" t="s">
        <v>1195</v>
      </c>
      <c r="O221" s="270" t="s">
        <v>1195</v>
      </c>
      <c r="P221" s="270" t="s">
        <v>1187</v>
      </c>
      <c r="Q221" s="270" t="s">
        <v>1187</v>
      </c>
      <c r="R221" s="270" t="s">
        <v>1187</v>
      </c>
      <c r="S221" s="270" t="s">
        <v>1187</v>
      </c>
      <c r="T221" s="270" t="s">
        <v>1187</v>
      </c>
      <c r="U221" s="268"/>
      <c r="V221" s="260"/>
      <c r="W221" s="260"/>
      <c r="X221" s="260"/>
    </row>
    <row r="222" spans="3:24" ht="18" customHeight="1" x14ac:dyDescent="0.3">
      <c r="C222" s="275"/>
      <c r="D222" s="271" t="s">
        <v>1194</v>
      </c>
      <c r="E222" s="270" t="s">
        <v>48</v>
      </c>
      <c r="F222" s="270" t="s">
        <v>15</v>
      </c>
      <c r="G222" s="270">
        <v>0</v>
      </c>
      <c r="H222" s="270" t="s">
        <v>1189</v>
      </c>
      <c r="I222" s="270">
        <v>4</v>
      </c>
      <c r="J222" s="274">
        <v>1</v>
      </c>
      <c r="K222" s="273" t="s">
        <v>1193</v>
      </c>
      <c r="L222" s="272" t="s">
        <v>460</v>
      </c>
      <c r="M222" s="271" t="s">
        <v>1194</v>
      </c>
      <c r="N222" s="271" t="s">
        <v>1194</v>
      </c>
      <c r="O222" s="270" t="s">
        <v>1194</v>
      </c>
      <c r="P222" s="270" t="s">
        <v>1187</v>
      </c>
      <c r="Q222" s="270" t="s">
        <v>1187</v>
      </c>
      <c r="R222" s="270" t="s">
        <v>1187</v>
      </c>
      <c r="S222" s="270" t="s">
        <v>1187</v>
      </c>
      <c r="T222" s="270" t="s">
        <v>1187</v>
      </c>
      <c r="U222" s="268"/>
      <c r="V222" s="260"/>
      <c r="W222" s="260"/>
      <c r="X222" s="260"/>
    </row>
    <row r="223" spans="3:24" ht="18" customHeight="1" x14ac:dyDescent="0.3">
      <c r="C223" s="275"/>
      <c r="D223" s="271" t="s">
        <v>1192</v>
      </c>
      <c r="E223" s="270" t="s">
        <v>48</v>
      </c>
      <c r="F223" s="270" t="s">
        <v>15</v>
      </c>
      <c r="G223" s="270">
        <v>0</v>
      </c>
      <c r="H223" s="270" t="s">
        <v>1189</v>
      </c>
      <c r="I223" s="270">
        <v>4</v>
      </c>
      <c r="J223" s="274">
        <v>1</v>
      </c>
      <c r="K223" s="273" t="s">
        <v>1193</v>
      </c>
      <c r="L223" s="276" t="s">
        <v>1155</v>
      </c>
      <c r="M223" s="271" t="s">
        <v>1192</v>
      </c>
      <c r="N223" s="271" t="s">
        <v>1192</v>
      </c>
      <c r="O223" s="270" t="s">
        <v>1192</v>
      </c>
      <c r="P223" s="270" t="s">
        <v>1187</v>
      </c>
      <c r="Q223" s="270" t="s">
        <v>1187</v>
      </c>
      <c r="R223" s="270" t="s">
        <v>1187</v>
      </c>
      <c r="S223" s="270" t="s">
        <v>1187</v>
      </c>
      <c r="T223" s="270" t="s">
        <v>1187</v>
      </c>
      <c r="U223" s="268"/>
      <c r="V223" s="260" t="s">
        <v>1191</v>
      </c>
      <c r="W223" s="260"/>
      <c r="X223" s="260"/>
    </row>
    <row r="224" spans="3:24" ht="18" customHeight="1" x14ac:dyDescent="0.3">
      <c r="C224" s="275"/>
      <c r="D224" s="271" t="s">
        <v>337</v>
      </c>
      <c r="E224" s="270" t="s">
        <v>615</v>
      </c>
      <c r="F224" s="270" t="s">
        <v>15</v>
      </c>
      <c r="G224" s="270">
        <v>0</v>
      </c>
      <c r="H224" s="270" t="s">
        <v>1189</v>
      </c>
      <c r="I224" s="270">
        <v>4</v>
      </c>
      <c r="J224" s="274">
        <v>1</v>
      </c>
      <c r="K224" s="273" t="s">
        <v>1188</v>
      </c>
      <c r="L224" s="272" t="s">
        <v>504</v>
      </c>
      <c r="M224" s="271" t="s">
        <v>337</v>
      </c>
      <c r="N224" s="271" t="s">
        <v>337</v>
      </c>
      <c r="O224" s="270" t="s">
        <v>337</v>
      </c>
      <c r="P224" s="270" t="s">
        <v>1186</v>
      </c>
      <c r="Q224" s="270" t="s">
        <v>1186</v>
      </c>
      <c r="R224" s="270" t="s">
        <v>1186</v>
      </c>
      <c r="S224" s="270" t="s">
        <v>1186</v>
      </c>
      <c r="T224" s="269" t="s">
        <v>1186</v>
      </c>
      <c r="U224" s="268" t="s">
        <v>1185</v>
      </c>
      <c r="V224" s="260" t="s">
        <v>1190</v>
      </c>
      <c r="W224" s="260"/>
      <c r="X224" s="260"/>
    </row>
    <row r="225" spans="3:24" ht="18" customHeight="1" x14ac:dyDescent="0.3">
      <c r="C225" s="275"/>
      <c r="D225" s="271" t="s">
        <v>339</v>
      </c>
      <c r="E225" s="270" t="s">
        <v>615</v>
      </c>
      <c r="F225" s="270" t="s">
        <v>15</v>
      </c>
      <c r="G225" s="270">
        <v>0</v>
      </c>
      <c r="H225" s="270" t="s">
        <v>1189</v>
      </c>
      <c r="I225" s="270">
        <v>4</v>
      </c>
      <c r="J225" s="274">
        <v>1</v>
      </c>
      <c r="K225" s="273" t="s">
        <v>1188</v>
      </c>
      <c r="L225" s="272" t="s">
        <v>505</v>
      </c>
      <c r="M225" s="271" t="s">
        <v>339</v>
      </c>
      <c r="N225" s="271" t="s">
        <v>339</v>
      </c>
      <c r="O225" s="270" t="s">
        <v>339</v>
      </c>
      <c r="P225" s="270" t="s">
        <v>1186</v>
      </c>
      <c r="Q225" s="270" t="s">
        <v>1186</v>
      </c>
      <c r="R225" s="270" t="s">
        <v>1186</v>
      </c>
      <c r="S225" s="270" t="s">
        <v>1186</v>
      </c>
      <c r="T225" s="269" t="s">
        <v>1186</v>
      </c>
      <c r="U225" s="268" t="s">
        <v>1185</v>
      </c>
      <c r="V225" s="260" t="s">
        <v>1190</v>
      </c>
      <c r="W225" s="260"/>
      <c r="X225" s="260"/>
    </row>
    <row r="226" spans="3:24" ht="18" customHeight="1" x14ac:dyDescent="0.3">
      <c r="C226" s="275"/>
      <c r="D226" s="271" t="s">
        <v>341</v>
      </c>
      <c r="E226" s="270" t="s">
        <v>615</v>
      </c>
      <c r="F226" s="270" t="s">
        <v>15</v>
      </c>
      <c r="G226" s="270">
        <v>0</v>
      </c>
      <c r="H226" s="270" t="s">
        <v>1189</v>
      </c>
      <c r="I226" s="270">
        <v>4</v>
      </c>
      <c r="J226" s="274">
        <v>1</v>
      </c>
      <c r="K226" s="273" t="s">
        <v>1188</v>
      </c>
      <c r="L226" s="272" t="s">
        <v>506</v>
      </c>
      <c r="M226" s="271" t="s">
        <v>341</v>
      </c>
      <c r="N226" s="271" t="s">
        <v>341</v>
      </c>
      <c r="O226" s="270" t="s">
        <v>341</v>
      </c>
      <c r="P226" s="270" t="s">
        <v>1186</v>
      </c>
      <c r="Q226" s="270" t="s">
        <v>1186</v>
      </c>
      <c r="R226" s="270" t="s">
        <v>1186</v>
      </c>
      <c r="S226" s="270" t="s">
        <v>1186</v>
      </c>
      <c r="T226" s="269" t="s">
        <v>1186</v>
      </c>
      <c r="U226" s="268" t="s">
        <v>1185</v>
      </c>
      <c r="V226" s="260" t="s">
        <v>1190</v>
      </c>
      <c r="W226" s="260"/>
      <c r="X226" s="260"/>
    </row>
    <row r="227" spans="3:24" ht="18" customHeight="1" x14ac:dyDescent="0.3">
      <c r="C227" s="275"/>
      <c r="D227" s="271" t="s">
        <v>343</v>
      </c>
      <c r="E227" s="270" t="s">
        <v>615</v>
      </c>
      <c r="F227" s="270" t="s">
        <v>15</v>
      </c>
      <c r="G227" s="270">
        <v>0</v>
      </c>
      <c r="H227" s="270" t="s">
        <v>1189</v>
      </c>
      <c r="I227" s="270">
        <v>4</v>
      </c>
      <c r="J227" s="274">
        <v>1</v>
      </c>
      <c r="K227" s="273" t="s">
        <v>1188</v>
      </c>
      <c r="L227" s="272" t="s">
        <v>507</v>
      </c>
      <c r="M227" s="271" t="s">
        <v>343</v>
      </c>
      <c r="N227" s="271" t="s">
        <v>343</v>
      </c>
      <c r="O227" s="270" t="s">
        <v>343</v>
      </c>
      <c r="P227" s="270" t="s">
        <v>1186</v>
      </c>
      <c r="Q227" s="270" t="s">
        <v>1186</v>
      </c>
      <c r="R227" s="270" t="s">
        <v>1186</v>
      </c>
      <c r="S227" s="270" t="s">
        <v>1186</v>
      </c>
      <c r="T227" s="269" t="s">
        <v>1186</v>
      </c>
      <c r="U227" s="268" t="s">
        <v>1185</v>
      </c>
      <c r="V227" s="260" t="s">
        <v>1190</v>
      </c>
      <c r="W227" s="260"/>
      <c r="X227" s="260"/>
    </row>
    <row r="228" spans="3:24" ht="18" customHeight="1" x14ac:dyDescent="0.3">
      <c r="C228" s="275"/>
      <c r="D228" s="271" t="s">
        <v>345</v>
      </c>
      <c r="E228" s="270" t="s">
        <v>615</v>
      </c>
      <c r="F228" s="270" t="s">
        <v>15</v>
      </c>
      <c r="G228" s="270">
        <v>0</v>
      </c>
      <c r="H228" s="270" t="s">
        <v>1189</v>
      </c>
      <c r="I228" s="270">
        <v>4</v>
      </c>
      <c r="J228" s="274">
        <v>1</v>
      </c>
      <c r="K228" s="273" t="s">
        <v>1188</v>
      </c>
      <c r="L228" s="272" t="s">
        <v>508</v>
      </c>
      <c r="M228" s="271" t="s">
        <v>345</v>
      </c>
      <c r="N228" s="271" t="s">
        <v>345</v>
      </c>
      <c r="O228" s="270" t="s">
        <v>345</v>
      </c>
      <c r="P228" s="270" t="s">
        <v>1186</v>
      </c>
      <c r="Q228" s="270" t="s">
        <v>1186</v>
      </c>
      <c r="R228" s="270" t="s">
        <v>1186</v>
      </c>
      <c r="S228" s="270" t="s">
        <v>1186</v>
      </c>
      <c r="T228" s="269" t="s">
        <v>1186</v>
      </c>
      <c r="U228" s="268" t="s">
        <v>1185</v>
      </c>
      <c r="V228" s="260" t="s">
        <v>1190</v>
      </c>
      <c r="W228" s="260"/>
      <c r="X228" s="260"/>
    </row>
    <row r="229" spans="3:24" ht="18" customHeight="1" x14ac:dyDescent="0.3">
      <c r="C229" s="275"/>
      <c r="D229" s="271" t="s">
        <v>347</v>
      </c>
      <c r="E229" s="270" t="s">
        <v>615</v>
      </c>
      <c r="F229" s="270" t="s">
        <v>15</v>
      </c>
      <c r="G229" s="270">
        <v>0</v>
      </c>
      <c r="H229" s="270" t="s">
        <v>1189</v>
      </c>
      <c r="I229" s="270">
        <v>4</v>
      </c>
      <c r="J229" s="274">
        <v>1</v>
      </c>
      <c r="K229" s="273" t="s">
        <v>1188</v>
      </c>
      <c r="L229" s="272" t="s">
        <v>509</v>
      </c>
      <c r="M229" s="271" t="s">
        <v>347</v>
      </c>
      <c r="N229" s="271" t="s">
        <v>347</v>
      </c>
      <c r="O229" s="270" t="s">
        <v>347</v>
      </c>
      <c r="P229" s="270" t="s">
        <v>1186</v>
      </c>
      <c r="Q229" s="270" t="s">
        <v>1186</v>
      </c>
      <c r="R229" s="270" t="s">
        <v>1186</v>
      </c>
      <c r="S229" s="270" t="s">
        <v>1186</v>
      </c>
      <c r="T229" s="269" t="s">
        <v>1186</v>
      </c>
      <c r="U229" s="268" t="s">
        <v>1185</v>
      </c>
      <c r="V229" s="260"/>
      <c r="W229" s="260"/>
      <c r="X229" s="260"/>
    </row>
    <row r="230" spans="3:24" ht="18" customHeight="1" x14ac:dyDescent="0.3">
      <c r="C230" s="275"/>
      <c r="D230" s="271" t="s">
        <v>349</v>
      </c>
      <c r="E230" s="270" t="s">
        <v>615</v>
      </c>
      <c r="F230" s="270" t="s">
        <v>15</v>
      </c>
      <c r="G230" s="270">
        <v>0</v>
      </c>
      <c r="H230" s="270" t="s">
        <v>1189</v>
      </c>
      <c r="I230" s="270">
        <v>4</v>
      </c>
      <c r="J230" s="274">
        <v>1</v>
      </c>
      <c r="K230" s="273" t="s">
        <v>1188</v>
      </c>
      <c r="L230" s="272" t="s">
        <v>510</v>
      </c>
      <c r="M230" s="271" t="s">
        <v>349</v>
      </c>
      <c r="N230" s="271" t="s">
        <v>349</v>
      </c>
      <c r="O230" s="270" t="s">
        <v>349</v>
      </c>
      <c r="P230" s="270" t="s">
        <v>1186</v>
      </c>
      <c r="Q230" s="270" t="s">
        <v>1186</v>
      </c>
      <c r="R230" s="270" t="s">
        <v>1186</v>
      </c>
      <c r="S230" s="270" t="s">
        <v>1186</v>
      </c>
      <c r="T230" s="269" t="s">
        <v>1186</v>
      </c>
      <c r="U230" s="268" t="s">
        <v>1185</v>
      </c>
      <c r="V230" s="260"/>
      <c r="W230" s="260"/>
      <c r="X230" s="260"/>
    </row>
    <row r="231" spans="3:24" ht="18" customHeight="1" x14ac:dyDescent="0.3">
      <c r="C231" s="275"/>
      <c r="D231" s="271" t="s">
        <v>351</v>
      </c>
      <c r="E231" s="270" t="s">
        <v>615</v>
      </c>
      <c r="F231" s="270" t="s">
        <v>15</v>
      </c>
      <c r="G231" s="270">
        <v>0</v>
      </c>
      <c r="H231" s="270" t="s">
        <v>1189</v>
      </c>
      <c r="I231" s="270">
        <v>4</v>
      </c>
      <c r="J231" s="274">
        <v>1</v>
      </c>
      <c r="K231" s="273" t="s">
        <v>1188</v>
      </c>
      <c r="L231" s="272" t="s">
        <v>511</v>
      </c>
      <c r="M231" s="271" t="s">
        <v>351</v>
      </c>
      <c r="N231" s="271" t="s">
        <v>351</v>
      </c>
      <c r="O231" s="270" t="s">
        <v>351</v>
      </c>
      <c r="P231" s="270" t="s">
        <v>1186</v>
      </c>
      <c r="Q231" s="270" t="s">
        <v>1186</v>
      </c>
      <c r="R231" s="270" t="s">
        <v>1186</v>
      </c>
      <c r="S231" s="270" t="s">
        <v>1186</v>
      </c>
      <c r="T231" s="269" t="s">
        <v>1186</v>
      </c>
      <c r="U231" s="268" t="s">
        <v>1185</v>
      </c>
      <c r="V231" s="260"/>
      <c r="W231" s="260"/>
      <c r="X231" s="260"/>
    </row>
    <row r="232" spans="3:24" ht="18" customHeight="1" thickBot="1" x14ac:dyDescent="0.35">
      <c r="C232" s="267"/>
      <c r="D232" s="264"/>
      <c r="E232" s="265"/>
      <c r="F232" s="266"/>
      <c r="G232" s="266"/>
      <c r="H232" s="264"/>
      <c r="I232" s="264"/>
      <c r="J232" s="264"/>
      <c r="K232" s="264"/>
      <c r="L232" s="265"/>
      <c r="M232" s="264"/>
      <c r="N232" s="264"/>
      <c r="O232" s="264"/>
      <c r="P232" s="265"/>
      <c r="Q232" s="264"/>
      <c r="R232" s="264"/>
      <c r="S232" s="264"/>
      <c r="T232" s="263"/>
      <c r="U232" s="262"/>
      <c r="V232" s="260"/>
      <c r="W232" s="260"/>
      <c r="X232" s="260"/>
    </row>
  </sheetData>
  <conditionalFormatting sqref="J33:J37">
    <cfRule type="cellIs" dxfId="632" priority="59" operator="equal">
      <formula>0</formula>
    </cfRule>
  </conditionalFormatting>
  <conditionalFormatting sqref="D203">
    <cfRule type="cellIs" dxfId="631" priority="58" operator="equal">
      <formula>0</formula>
    </cfRule>
  </conditionalFormatting>
  <conditionalFormatting sqref="D206">
    <cfRule type="cellIs" dxfId="630" priority="54" operator="equal">
      <formula>0</formula>
    </cfRule>
  </conditionalFormatting>
  <conditionalFormatting sqref="D204">
    <cfRule type="cellIs" dxfId="629" priority="57" operator="equal">
      <formula>0</formula>
    </cfRule>
  </conditionalFormatting>
  <conditionalFormatting sqref="D205">
    <cfRule type="cellIs" dxfId="628" priority="56" operator="equal">
      <formula>0</formula>
    </cfRule>
  </conditionalFormatting>
  <conditionalFormatting sqref="D207">
    <cfRule type="cellIs" dxfId="627" priority="55" operator="equal">
      <formula>0</formula>
    </cfRule>
  </conditionalFormatting>
  <conditionalFormatting sqref="E203">
    <cfRule type="cellIs" dxfId="626" priority="53" operator="equal">
      <formula>0</formula>
    </cfRule>
  </conditionalFormatting>
  <conditionalFormatting sqref="E204">
    <cfRule type="cellIs" dxfId="625" priority="52" operator="equal">
      <formula>0</formula>
    </cfRule>
  </conditionalFormatting>
  <conditionalFormatting sqref="E205">
    <cfRule type="cellIs" dxfId="624" priority="51" operator="equal">
      <formula>0</formula>
    </cfRule>
  </conditionalFormatting>
  <conditionalFormatting sqref="E207">
    <cfRule type="cellIs" dxfId="623" priority="50" operator="equal">
      <formula>0</formula>
    </cfRule>
  </conditionalFormatting>
  <conditionalFormatting sqref="E206">
    <cfRule type="cellIs" dxfId="622" priority="49" operator="equal">
      <formula>0</formula>
    </cfRule>
  </conditionalFormatting>
  <conditionalFormatting sqref="D209">
    <cfRule type="cellIs" dxfId="621" priority="47" operator="equal">
      <formula>0</formula>
    </cfRule>
  </conditionalFormatting>
  <conditionalFormatting sqref="D208 H163:H167">
    <cfRule type="cellIs" priority="48" operator="equal">
      <formula>0</formula>
    </cfRule>
  </conditionalFormatting>
  <conditionalFormatting sqref="E209">
    <cfRule type="cellIs" dxfId="620" priority="45" operator="equal">
      <formula>0</formula>
    </cfRule>
  </conditionalFormatting>
  <conditionalFormatting sqref="E208">
    <cfRule type="cellIs" priority="46" operator="equal">
      <formula>0</formula>
    </cfRule>
  </conditionalFormatting>
  <conditionalFormatting sqref="E210">
    <cfRule type="cellIs" dxfId="619" priority="43" operator="equal">
      <formula>0</formula>
    </cfRule>
    <cfRule type="cellIs" dxfId="618" priority="44" operator="equal">
      <formula>0</formula>
    </cfRule>
  </conditionalFormatting>
  <conditionalFormatting sqref="E212">
    <cfRule type="cellIs" priority="42" operator="equal">
      <formula>0</formula>
    </cfRule>
  </conditionalFormatting>
  <conditionalFormatting sqref="D160 F160">
    <cfRule type="cellIs" dxfId="617" priority="37" operator="equal">
      <formula>0</formula>
    </cfRule>
  </conditionalFormatting>
  <conditionalFormatting sqref="D157 F157:H157 G158:H161">
    <cfRule type="cellIs" dxfId="616" priority="41" operator="equal">
      <formula>0</formula>
    </cfRule>
  </conditionalFormatting>
  <conditionalFormatting sqref="D158 F158">
    <cfRule type="cellIs" dxfId="615" priority="40" operator="equal">
      <formula>0</formula>
    </cfRule>
  </conditionalFormatting>
  <conditionalFormatting sqref="D159 F159">
    <cfRule type="cellIs" dxfId="614" priority="39" operator="equal">
      <formula>0</formula>
    </cfRule>
  </conditionalFormatting>
  <conditionalFormatting sqref="D161">
    <cfRule type="cellIs" dxfId="613" priority="38" operator="equal">
      <formula>0</formula>
    </cfRule>
  </conditionalFormatting>
  <conditionalFormatting sqref="F161">
    <cfRule type="cellIs" dxfId="612" priority="36" operator="equal">
      <formula>0</formula>
    </cfRule>
  </conditionalFormatting>
  <conditionalFormatting sqref="E157">
    <cfRule type="cellIs" dxfId="611" priority="35" operator="equal">
      <formula>0</formula>
    </cfRule>
  </conditionalFormatting>
  <conditionalFormatting sqref="E158">
    <cfRule type="cellIs" dxfId="610" priority="34" operator="equal">
      <formula>0</formula>
    </cfRule>
  </conditionalFormatting>
  <conditionalFormatting sqref="E159">
    <cfRule type="cellIs" dxfId="609" priority="33" operator="equal">
      <formula>0</formula>
    </cfRule>
  </conditionalFormatting>
  <conditionalFormatting sqref="E161">
    <cfRule type="cellIs" dxfId="608" priority="32" operator="equal">
      <formula>0</formula>
    </cfRule>
  </conditionalFormatting>
  <conditionalFormatting sqref="E160">
    <cfRule type="cellIs" dxfId="607" priority="31" operator="equal">
      <formula>0</formula>
    </cfRule>
  </conditionalFormatting>
  <conditionalFormatting sqref="D163 F163">
    <cfRule type="cellIs" dxfId="606" priority="29" operator="equal">
      <formula>0</formula>
    </cfRule>
  </conditionalFormatting>
  <conditionalFormatting sqref="D162 F162:H162 G163:G167">
    <cfRule type="cellIs" priority="30" operator="equal">
      <formula>0</formula>
    </cfRule>
  </conditionalFormatting>
  <conditionalFormatting sqref="D164 F164">
    <cfRule type="cellIs" dxfId="605" priority="27" operator="equal">
      <formula>0</formula>
    </cfRule>
    <cfRule type="cellIs" dxfId="604" priority="28" operator="equal">
      <formula>0</formula>
    </cfRule>
  </conditionalFormatting>
  <conditionalFormatting sqref="E163">
    <cfRule type="cellIs" dxfId="603" priority="25" operator="equal">
      <formula>0</formula>
    </cfRule>
  </conditionalFormatting>
  <conditionalFormatting sqref="E162">
    <cfRule type="cellIs" priority="26" operator="equal">
      <formula>0</formula>
    </cfRule>
  </conditionalFormatting>
  <conditionalFormatting sqref="E164">
    <cfRule type="cellIs" dxfId="602" priority="23" operator="equal">
      <formula>0</formula>
    </cfRule>
    <cfRule type="cellIs" dxfId="601" priority="24" operator="equal">
      <formula>0</formula>
    </cfRule>
  </conditionalFormatting>
  <conditionalFormatting sqref="D165:D166 F165:F166">
    <cfRule type="cellIs" priority="22" operator="equal">
      <formula>0</formula>
    </cfRule>
  </conditionalFormatting>
  <conditionalFormatting sqref="E165:E166">
    <cfRule type="cellIs" priority="21" operator="equal">
      <formula>0</formula>
    </cfRule>
  </conditionalFormatting>
  <conditionalFormatting sqref="N157">
    <cfRule type="cellIs" dxfId="600" priority="20" operator="equal">
      <formula>0</formula>
    </cfRule>
  </conditionalFormatting>
  <conditionalFormatting sqref="N158">
    <cfRule type="cellIs" dxfId="599" priority="19" operator="equal">
      <formula>0</formula>
    </cfRule>
  </conditionalFormatting>
  <conditionalFormatting sqref="N159">
    <cfRule type="cellIs" dxfId="598" priority="18" operator="equal">
      <formula>0</formula>
    </cfRule>
  </conditionalFormatting>
  <conditionalFormatting sqref="N160">
    <cfRule type="cellIs" dxfId="597" priority="17" operator="equal">
      <formula>0</formula>
    </cfRule>
  </conditionalFormatting>
  <conditionalFormatting sqref="N162">
    <cfRule type="cellIs" priority="16" operator="equal">
      <formula>0</formula>
    </cfRule>
  </conditionalFormatting>
  <conditionalFormatting sqref="N163">
    <cfRule type="cellIs" dxfId="596" priority="15" operator="equal">
      <formula>0</formula>
    </cfRule>
  </conditionalFormatting>
  <conditionalFormatting sqref="N164:N166">
    <cfRule type="cellIs" dxfId="595" priority="13" operator="equal">
      <formula>0</formula>
    </cfRule>
    <cfRule type="cellIs" dxfId="594" priority="14" operator="equal">
      <formula>0</formula>
    </cfRule>
  </conditionalFormatting>
  <conditionalFormatting sqref="L157:L159">
    <cfRule type="cellIs" dxfId="593" priority="12" operator="equal">
      <formula>0</formula>
    </cfRule>
  </conditionalFormatting>
  <conditionalFormatting sqref="L157">
    <cfRule type="cellIs" dxfId="592" priority="11" operator="equal">
      <formula>0</formula>
    </cfRule>
  </conditionalFormatting>
  <conditionalFormatting sqref="L158">
    <cfRule type="cellIs" dxfId="591" priority="10" operator="equal">
      <formula>0</formula>
    </cfRule>
  </conditionalFormatting>
  <conditionalFormatting sqref="L159">
    <cfRule type="cellIs" dxfId="590" priority="9" operator="equal">
      <formula>0</formula>
    </cfRule>
  </conditionalFormatting>
  <conditionalFormatting sqref="L160:L161">
    <cfRule type="cellIs" dxfId="589" priority="8" operator="equal">
      <formula>0</formula>
    </cfRule>
  </conditionalFormatting>
  <conditionalFormatting sqref="L160">
    <cfRule type="cellIs" dxfId="588" priority="7" operator="equal">
      <formula>0</formula>
    </cfRule>
  </conditionalFormatting>
  <conditionalFormatting sqref="L161">
    <cfRule type="cellIs" dxfId="587" priority="6" operator="equal">
      <formula>0</formula>
    </cfRule>
  </conditionalFormatting>
  <conditionalFormatting sqref="L166">
    <cfRule type="cellIs" dxfId="586" priority="5" operator="equal">
      <formula>0</formula>
    </cfRule>
  </conditionalFormatting>
  <conditionalFormatting sqref="L167">
    <cfRule type="cellIs" dxfId="585" priority="4" operator="equal">
      <formula>0</formula>
    </cfRule>
  </conditionalFormatting>
  <conditionalFormatting sqref="L165:L166">
    <cfRule type="cellIs" dxfId="584" priority="3" operator="equal">
      <formula>0</formula>
    </cfRule>
  </conditionalFormatting>
  <conditionalFormatting sqref="L165:L166">
    <cfRule type="cellIs" priority="2" operator="equal">
      <formula>0</formula>
    </cfRule>
  </conditionalFormatting>
  <conditionalFormatting sqref="O160">
    <cfRule type="cellIs" dxfId="583"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Q28" workbookViewId="0">
      <selection activeCell="AD45" sqref="AD45"/>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7773437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58" t="s">
        <v>634</v>
      </c>
      <c r="D2" s="459"/>
      <c r="E2" s="460" t="s">
        <v>392</v>
      </c>
      <c r="F2" s="461"/>
      <c r="G2" s="462"/>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7773437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6" t="s">
        <v>367</v>
      </c>
      <c r="N3" s="467" t="s">
        <v>14</v>
      </c>
      <c r="O3" s="470">
        <f ca="1">($G3+$G4+$G5+$G6+$G7)</f>
        <v>1056</v>
      </c>
    </row>
    <row r="4" spans="1:15" ht="15" customHeight="1" x14ac:dyDescent="0.3">
      <c r="A4" s="47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8"/>
      <c r="N4" s="468"/>
      <c r="O4" s="471"/>
    </row>
    <row r="5" spans="1:15" ht="15" customHeight="1" x14ac:dyDescent="0.3">
      <c r="A5" s="47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8"/>
      <c r="N5" s="468"/>
      <c r="O5" s="471"/>
    </row>
    <row r="6" spans="1:15" ht="15" customHeight="1" x14ac:dyDescent="0.3">
      <c r="A6" s="47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8"/>
      <c r="N6" s="468"/>
      <c r="O6" s="471"/>
    </row>
    <row r="7" spans="1:15" ht="15" customHeight="1" thickBot="1" x14ac:dyDescent="0.35">
      <c r="A7" s="47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9"/>
      <c r="N7" s="469"/>
      <c r="O7" s="472"/>
    </row>
    <row r="8" spans="1:15" ht="14.55" customHeight="1" x14ac:dyDescent="0.3">
      <c r="A8" s="48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9" t="s">
        <v>368</v>
      </c>
      <c r="N8" s="482" t="s">
        <v>20</v>
      </c>
      <c r="O8" s="484">
        <f ca="1">($G8+$G9+$G10+$G13)</f>
        <v>960</v>
      </c>
    </row>
    <row r="9" spans="1:15" ht="14.55" customHeight="1" x14ac:dyDescent="0.3">
      <c r="A9" s="48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0"/>
      <c r="N9" s="468"/>
      <c r="O9" s="471"/>
    </row>
    <row r="10" spans="1:15" ht="15" customHeight="1" x14ac:dyDescent="0.3">
      <c r="A10" s="48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0"/>
      <c r="N10" s="468"/>
      <c r="O10" s="471"/>
    </row>
    <row r="11" spans="1:15" ht="15" customHeight="1" x14ac:dyDescent="0.3">
      <c r="A11" s="48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68"/>
      <c r="O11" s="471"/>
    </row>
    <row r="12" spans="1:15" ht="15" customHeight="1" x14ac:dyDescent="0.3">
      <c r="A12" s="48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1"/>
      <c r="N12" s="483"/>
      <c r="O12" s="485"/>
    </row>
    <row r="13" spans="1:15" ht="15" customHeight="1" thickBot="1" x14ac:dyDescent="0.35">
      <c r="A13" s="48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1"/>
      <c r="N13" s="483"/>
      <c r="O13" s="485"/>
    </row>
    <row r="14" spans="1:15" ht="15" customHeight="1" x14ac:dyDescent="0.3">
      <c r="A14" s="474" t="s">
        <v>23</v>
      </c>
      <c r="B14" s="34" t="s">
        <v>24</v>
      </c>
      <c r="C14" s="36" t="s">
        <v>613</v>
      </c>
      <c r="D14" s="464"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76" t="s">
        <v>369</v>
      </c>
      <c r="N14" s="467" t="s">
        <v>29</v>
      </c>
      <c r="O14" s="470">
        <f ca="1">(4*32+G18+G19+G20+G21+G22+G23)</f>
        <v>160</v>
      </c>
    </row>
    <row r="15" spans="1:15" ht="15" customHeight="1" x14ac:dyDescent="0.3">
      <c r="A15" s="475"/>
      <c r="B15" s="35" t="s">
        <v>30</v>
      </c>
      <c r="C15" s="37" t="s">
        <v>613</v>
      </c>
      <c r="D15" s="465"/>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73"/>
      <c r="N15" s="468"/>
      <c r="O15" s="471"/>
    </row>
    <row r="16" spans="1:15" ht="15" customHeight="1" x14ac:dyDescent="0.3">
      <c r="A16" s="475"/>
      <c r="B16" s="35" t="s">
        <v>31</v>
      </c>
      <c r="C16" s="37" t="s">
        <v>613</v>
      </c>
      <c r="D16" s="465"/>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73"/>
      <c r="N16" s="468"/>
      <c r="O16" s="471"/>
    </row>
    <row r="17" spans="1:15" x14ac:dyDescent="0.3">
      <c r="A17" s="475"/>
      <c r="B17" s="35" t="s">
        <v>32</v>
      </c>
      <c r="C17" s="37" t="s">
        <v>613</v>
      </c>
      <c r="D17" s="465"/>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73"/>
      <c r="N17" s="468"/>
      <c r="O17" s="471"/>
    </row>
    <row r="18" spans="1:15" x14ac:dyDescent="0.3">
      <c r="A18" s="475"/>
      <c r="B18" s="35" t="s">
        <v>34</v>
      </c>
      <c r="C18" s="35" t="s">
        <v>253</v>
      </c>
      <c r="D18" s="465"/>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3"/>
      <c r="N18" s="468"/>
      <c r="O18" s="471"/>
    </row>
    <row r="19" spans="1:15" x14ac:dyDescent="0.3">
      <c r="A19" s="475"/>
      <c r="B19" s="35" t="s">
        <v>36</v>
      </c>
      <c r="C19" s="73" t="s">
        <v>214</v>
      </c>
      <c r="D19" s="465"/>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3"/>
      <c r="N19" s="468"/>
      <c r="O19" s="471"/>
    </row>
    <row r="20" spans="1:15" x14ac:dyDescent="0.3">
      <c r="A20" s="475"/>
      <c r="B20" s="73" t="s">
        <v>246</v>
      </c>
      <c r="C20" s="73" t="s">
        <v>205</v>
      </c>
      <c r="D20" s="465"/>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3"/>
      <c r="N20" s="468"/>
      <c r="O20" s="471"/>
    </row>
    <row r="21" spans="1:15" x14ac:dyDescent="0.3">
      <c r="A21" s="475"/>
      <c r="B21" s="73" t="s">
        <v>250</v>
      </c>
      <c r="C21" s="73" t="s">
        <v>390</v>
      </c>
      <c r="D21" s="465"/>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73"/>
      <c r="N21" s="468"/>
      <c r="O21" s="471"/>
    </row>
    <row r="22" spans="1:15" x14ac:dyDescent="0.3">
      <c r="A22" s="475"/>
      <c r="B22" s="73" t="s">
        <v>251</v>
      </c>
      <c r="C22" s="73" t="s">
        <v>390</v>
      </c>
      <c r="D22" s="465"/>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73"/>
      <c r="N22" s="468"/>
      <c r="O22" s="471"/>
    </row>
    <row r="23" spans="1:15" x14ac:dyDescent="0.3">
      <c r="A23" s="475"/>
      <c r="B23" s="73" t="s">
        <v>252</v>
      </c>
      <c r="C23" s="73" t="s">
        <v>390</v>
      </c>
      <c r="D23" s="465"/>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73"/>
      <c r="N23" s="468"/>
      <c r="O23" s="471"/>
    </row>
    <row r="24" spans="1:15" x14ac:dyDescent="0.3">
      <c r="A24" s="475"/>
      <c r="B24" s="35" t="s">
        <v>38</v>
      </c>
      <c r="C24" s="37" t="s">
        <v>613</v>
      </c>
      <c r="D24" s="465"/>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73"/>
      <c r="N24" s="468"/>
      <c r="O24" s="471"/>
    </row>
    <row r="25" spans="1:15" x14ac:dyDescent="0.3">
      <c r="A25" s="474" t="s">
        <v>41</v>
      </c>
      <c r="B25" s="35" t="s">
        <v>42</v>
      </c>
      <c r="C25" s="35" t="s">
        <v>614</v>
      </c>
      <c r="D25" s="465"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73" t="s">
        <v>370</v>
      </c>
      <c r="N25" s="468"/>
      <c r="O25" s="471">
        <f ca="1">(G25+G26)</f>
        <v>64</v>
      </c>
    </row>
    <row r="26" spans="1:15" ht="15" thickBot="1" x14ac:dyDescent="0.35">
      <c r="A26" s="477"/>
      <c r="B26" s="74" t="s">
        <v>46</v>
      </c>
      <c r="C26" s="74" t="s">
        <v>615</v>
      </c>
      <c r="D26" s="466"/>
      <c r="E26" s="123"/>
      <c r="F26" s="76" t="s">
        <v>44</v>
      </c>
      <c r="G26" s="75">
        <f ca="1">IF($C26="No Param",32,VLOOKUP($C26,INDIRECT(Config!$B$1),HLOOKUP(D$1,INDIRECT(Config!$E$1),2,FALSE),FALSE)*32)</f>
        <v>32</v>
      </c>
      <c r="H26" s="26" t="str">
        <f ca="1">IF(G26=0,"N/A","0x8004")</f>
        <v>0x8004</v>
      </c>
      <c r="I26" s="26" t="s">
        <v>47</v>
      </c>
      <c r="J26" s="200" t="s">
        <v>48</v>
      </c>
      <c r="K26" s="200" t="s">
        <v>387</v>
      </c>
      <c r="L26" s="234"/>
      <c r="M26" s="469"/>
      <c r="N26" s="469"/>
      <c r="O26" s="472"/>
    </row>
    <row r="27" spans="1:15" ht="15" thickBot="1" x14ac:dyDescent="0.35">
      <c r="A27" s="104"/>
    </row>
    <row r="28" spans="1:15" x14ac:dyDescent="0.3">
      <c r="A28" s="464"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7" t="s">
        <v>48</v>
      </c>
      <c r="O28" s="470">
        <f ca="1">SUM(G28:G42)</f>
        <v>576</v>
      </c>
    </row>
    <row r="29" spans="1:15" ht="15" customHeight="1" x14ac:dyDescent="0.3">
      <c r="A29" s="465"/>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3" t="s">
        <v>369</v>
      </c>
      <c r="N29" s="468"/>
      <c r="O29" s="471"/>
    </row>
    <row r="30" spans="1:15" x14ac:dyDescent="0.3">
      <c r="A30" s="465"/>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3"/>
      <c r="N30" s="468"/>
      <c r="O30" s="471"/>
    </row>
    <row r="31" spans="1:15" x14ac:dyDescent="0.3">
      <c r="A31" s="465"/>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3"/>
      <c r="N31" s="468"/>
      <c r="O31" s="471"/>
    </row>
    <row r="32" spans="1:15" x14ac:dyDescent="0.3">
      <c r="A32" s="465"/>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8"/>
      <c r="O32" s="471"/>
    </row>
    <row r="33" spans="1:15" x14ac:dyDescent="0.3">
      <c r="A33" s="465"/>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8"/>
      <c r="O33" s="471"/>
    </row>
    <row r="34" spans="1:15" ht="15" customHeight="1" x14ac:dyDescent="0.3">
      <c r="A34" s="465"/>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3" t="s">
        <v>369</v>
      </c>
      <c r="N34" s="468"/>
      <c r="O34" s="471"/>
    </row>
    <row r="35" spans="1:15" x14ac:dyDescent="0.3">
      <c r="A35" s="465"/>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3"/>
      <c r="N35" s="468"/>
      <c r="O35" s="471"/>
    </row>
    <row r="36" spans="1:15" x14ac:dyDescent="0.3">
      <c r="A36" s="465"/>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3"/>
      <c r="N36" s="468"/>
      <c r="O36" s="471"/>
    </row>
    <row r="37" spans="1:15" x14ac:dyDescent="0.3">
      <c r="A37" s="465"/>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8"/>
      <c r="O37" s="471"/>
    </row>
    <row r="38" spans="1:15" x14ac:dyDescent="0.3">
      <c r="A38" s="465"/>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8"/>
      <c r="O38" s="471"/>
    </row>
    <row r="39" spans="1:15" ht="15" customHeight="1" x14ac:dyDescent="0.3">
      <c r="A39" s="465"/>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3" t="s">
        <v>369</v>
      </c>
      <c r="N39" s="468"/>
      <c r="O39" s="471"/>
    </row>
    <row r="40" spans="1:15" x14ac:dyDescent="0.3">
      <c r="A40" s="465"/>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3"/>
      <c r="N40" s="468"/>
      <c r="O40" s="471"/>
    </row>
    <row r="41" spans="1:15" x14ac:dyDescent="0.3">
      <c r="A41" s="465"/>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3"/>
      <c r="N41" s="468"/>
      <c r="O41" s="471"/>
    </row>
    <row r="42" spans="1:15" ht="15" thickBot="1" x14ac:dyDescent="0.35">
      <c r="A42" s="46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9"/>
      <c r="O42" s="472"/>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77734375" customWidth="1"/>
    <col min="6" max="6" width="21.44140625" customWidth="1"/>
    <col min="7" max="7" width="56.2187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586740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8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6" t="s">
        <v>367</v>
      </c>
      <c r="N3" s="467" t="s">
        <v>14</v>
      </c>
      <c r="O3" s="470">
        <f ca="1">($G3+$G4+$G5+$G6+$G7)</f>
        <v>1056</v>
      </c>
    </row>
    <row r="4" spans="1:15" ht="15" customHeight="1" x14ac:dyDescent="0.3">
      <c r="A4" s="48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8"/>
      <c r="N4" s="468"/>
      <c r="O4" s="471"/>
    </row>
    <row r="5" spans="1:15" ht="15" customHeight="1" x14ac:dyDescent="0.3">
      <c r="A5" s="48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8"/>
      <c r="N5" s="468"/>
      <c r="O5" s="471"/>
    </row>
    <row r="6" spans="1:15" ht="15" customHeight="1" x14ac:dyDescent="0.3">
      <c r="A6" s="48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8"/>
      <c r="N6" s="468"/>
      <c r="O6" s="471"/>
    </row>
    <row r="7" spans="1:15" ht="15" customHeight="1" thickBot="1" x14ac:dyDescent="0.35">
      <c r="A7" s="48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9"/>
      <c r="N7" s="469"/>
      <c r="O7" s="472"/>
    </row>
    <row r="8" spans="1:15" ht="15" customHeight="1" x14ac:dyDescent="0.3">
      <c r="A8" s="49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9" t="s">
        <v>368</v>
      </c>
      <c r="N8" s="482" t="s">
        <v>20</v>
      </c>
      <c r="O8" s="484">
        <f ca="1">($G8+$G9+$G10+$G13)</f>
        <v>960</v>
      </c>
    </row>
    <row r="9" spans="1:15" ht="15" customHeight="1" x14ac:dyDescent="0.3">
      <c r="A9" s="49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0"/>
      <c r="N9" s="468"/>
      <c r="O9" s="471"/>
    </row>
    <row r="10" spans="1:15" ht="15" customHeight="1" x14ac:dyDescent="0.3">
      <c r="A10" s="49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0"/>
      <c r="N10" s="468"/>
      <c r="O10" s="471"/>
    </row>
    <row r="11" spans="1:15" ht="15" customHeight="1" x14ac:dyDescent="0.3">
      <c r="A11" s="49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68"/>
      <c r="O11" s="471"/>
    </row>
    <row r="12" spans="1:15" ht="15" customHeight="1" x14ac:dyDescent="0.3">
      <c r="A12" s="49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1"/>
      <c r="N12" s="483"/>
      <c r="O12" s="485"/>
    </row>
    <row r="13" spans="1:15" ht="15" customHeight="1" thickBot="1" x14ac:dyDescent="0.35">
      <c r="A13" s="49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1"/>
      <c r="N13" s="483"/>
      <c r="O13" s="485"/>
    </row>
    <row r="14" spans="1:15" ht="15" customHeight="1" x14ac:dyDescent="0.3">
      <c r="A14" s="493" t="s">
        <v>23</v>
      </c>
      <c r="B14" s="34" t="s">
        <v>24</v>
      </c>
      <c r="C14" s="36" t="s">
        <v>613</v>
      </c>
      <c r="D14" s="464"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76" t="s">
        <v>369</v>
      </c>
      <c r="N14" s="467" t="s">
        <v>29</v>
      </c>
      <c r="O14" s="470">
        <f ca="1">(4*32+G18+G19+G20+G21+G22+G23)</f>
        <v>160</v>
      </c>
    </row>
    <row r="15" spans="1:15" x14ac:dyDescent="0.3">
      <c r="A15" s="494"/>
      <c r="B15" s="35" t="s">
        <v>30</v>
      </c>
      <c r="C15" s="37" t="s">
        <v>613</v>
      </c>
      <c r="D15" s="465"/>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73"/>
      <c r="N15" s="468"/>
      <c r="O15" s="471"/>
    </row>
    <row r="16" spans="1:15" x14ac:dyDescent="0.3">
      <c r="A16" s="494"/>
      <c r="B16" s="35" t="s">
        <v>31</v>
      </c>
      <c r="C16" s="37" t="s">
        <v>613</v>
      </c>
      <c r="D16" s="465"/>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73"/>
      <c r="N16" s="468"/>
      <c r="O16" s="471"/>
    </row>
    <row r="17" spans="1:15" x14ac:dyDescent="0.3">
      <c r="A17" s="494"/>
      <c r="B17" s="35" t="s">
        <v>32</v>
      </c>
      <c r="C17" s="37" t="s">
        <v>613</v>
      </c>
      <c r="D17" s="465"/>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73"/>
      <c r="N17" s="468"/>
      <c r="O17" s="471"/>
    </row>
    <row r="18" spans="1:15" x14ac:dyDescent="0.3">
      <c r="A18" s="494"/>
      <c r="B18" s="35" t="s">
        <v>34</v>
      </c>
      <c r="C18" s="35" t="s">
        <v>253</v>
      </c>
      <c r="D18" s="465"/>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3"/>
      <c r="N18" s="468"/>
      <c r="O18" s="471"/>
    </row>
    <row r="19" spans="1:15" x14ac:dyDescent="0.3">
      <c r="A19" s="494"/>
      <c r="B19" s="35" t="s">
        <v>36</v>
      </c>
      <c r="C19" s="73" t="s">
        <v>214</v>
      </c>
      <c r="D19" s="465"/>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3"/>
      <c r="N19" s="468"/>
      <c r="O19" s="471"/>
    </row>
    <row r="20" spans="1:15" x14ac:dyDescent="0.3">
      <c r="A20" s="494"/>
      <c r="B20" s="73" t="s">
        <v>246</v>
      </c>
      <c r="C20" s="73" t="s">
        <v>205</v>
      </c>
      <c r="D20" s="465"/>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3"/>
      <c r="N20" s="468"/>
      <c r="O20" s="471"/>
    </row>
    <row r="21" spans="1:15" x14ac:dyDescent="0.3">
      <c r="A21" s="494"/>
      <c r="B21" s="73" t="s">
        <v>250</v>
      </c>
      <c r="C21" s="73" t="s">
        <v>390</v>
      </c>
      <c r="D21" s="465"/>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73"/>
      <c r="N21" s="468"/>
      <c r="O21" s="471"/>
    </row>
    <row r="22" spans="1:15" x14ac:dyDescent="0.3">
      <c r="A22" s="494"/>
      <c r="B22" s="73" t="s">
        <v>251</v>
      </c>
      <c r="C22" s="73" t="s">
        <v>390</v>
      </c>
      <c r="D22" s="465"/>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73"/>
      <c r="N22" s="468"/>
      <c r="O22" s="471"/>
    </row>
    <row r="23" spans="1:15" x14ac:dyDescent="0.3">
      <c r="A23" s="494"/>
      <c r="B23" s="73" t="s">
        <v>252</v>
      </c>
      <c r="C23" s="73" t="s">
        <v>390</v>
      </c>
      <c r="D23" s="465"/>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73"/>
      <c r="N23" s="468"/>
      <c r="O23" s="471"/>
    </row>
    <row r="24" spans="1:15" x14ac:dyDescent="0.3">
      <c r="A24" s="494"/>
      <c r="B24" s="35" t="s">
        <v>38</v>
      </c>
      <c r="C24" s="37" t="s">
        <v>613</v>
      </c>
      <c r="D24" s="465"/>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73"/>
      <c r="N24" s="468"/>
      <c r="O24" s="471"/>
    </row>
    <row r="25" spans="1:15" x14ac:dyDescent="0.3">
      <c r="A25" s="493" t="s">
        <v>41</v>
      </c>
      <c r="B25" s="35" t="s">
        <v>42</v>
      </c>
      <c r="C25" s="35" t="s">
        <v>614</v>
      </c>
      <c r="D25" s="465" t="s">
        <v>43</v>
      </c>
      <c r="E25" s="122"/>
      <c r="F25" s="68" t="s">
        <v>44</v>
      </c>
      <c r="G25" s="39">
        <f ca="1">IF($C25="No Param",32,VLOOKUP($C25,INDIRECT(Config!$B$1),HLOOKUP(D$1,INDIRECT(Config!$E$1),2,FALSE),FALSE)*32)</f>
        <v>32</v>
      </c>
      <c r="H25" s="16" t="str">
        <f ca="1">IF(G25=0,"N/A","0x8000")</f>
        <v>0x8000</v>
      </c>
      <c r="I25" s="16" t="s">
        <v>45</v>
      </c>
      <c r="J25" s="16" t="s">
        <v>48</v>
      </c>
      <c r="K25" s="16" t="s">
        <v>387</v>
      </c>
      <c r="L25" s="3"/>
      <c r="M25" s="473" t="s">
        <v>370</v>
      </c>
      <c r="N25" s="468"/>
      <c r="O25" s="471">
        <f ca="1">(G25+G26)</f>
        <v>64</v>
      </c>
    </row>
    <row r="26" spans="1:15" ht="15" thickBot="1" x14ac:dyDescent="0.35">
      <c r="A26" s="495"/>
      <c r="B26" s="74" t="s">
        <v>46</v>
      </c>
      <c r="C26" s="74" t="s">
        <v>615</v>
      </c>
      <c r="D26" s="466"/>
      <c r="E26" s="123"/>
      <c r="F26" s="76" t="s">
        <v>44</v>
      </c>
      <c r="G26" s="75">
        <f ca="1">IF($C26="No Param",32,VLOOKUP($C26,INDIRECT(Config!$B$1),HLOOKUP(D$1,INDIRECT(Config!$E$1),2,FALSE),FALSE)*32)</f>
        <v>32</v>
      </c>
      <c r="H26" s="26" t="str">
        <f ca="1">IF(G26=0,"N/A","0x8004")</f>
        <v>0x8004</v>
      </c>
      <c r="I26" s="26" t="s">
        <v>47</v>
      </c>
      <c r="J26" s="26" t="s">
        <v>48</v>
      </c>
      <c r="K26" s="26" t="s">
        <v>387</v>
      </c>
      <c r="L26" s="234"/>
      <c r="M26" s="469"/>
      <c r="N26" s="469"/>
      <c r="O26" s="472"/>
    </row>
    <row r="27" spans="1:15" ht="15" thickBot="1" x14ac:dyDescent="0.35">
      <c r="A27" s="124"/>
    </row>
    <row r="28" spans="1:15" x14ac:dyDescent="0.3">
      <c r="A28" s="464"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7" t="s">
        <v>48</v>
      </c>
      <c r="O28" s="470">
        <f ca="1">SUM(G28:G42)</f>
        <v>576</v>
      </c>
    </row>
    <row r="29" spans="1:15" ht="15" customHeight="1" x14ac:dyDescent="0.3">
      <c r="A29" s="465"/>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3" t="s">
        <v>369</v>
      </c>
      <c r="N29" s="468"/>
      <c r="O29" s="471"/>
    </row>
    <row r="30" spans="1:15" x14ac:dyDescent="0.3">
      <c r="A30" s="465"/>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3"/>
      <c r="N30" s="468"/>
      <c r="O30" s="471"/>
    </row>
    <row r="31" spans="1:15" x14ac:dyDescent="0.3">
      <c r="A31" s="465"/>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3"/>
      <c r="N31" s="468"/>
      <c r="O31" s="471"/>
    </row>
    <row r="32" spans="1:15" x14ac:dyDescent="0.3">
      <c r="A32" s="465"/>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8"/>
      <c r="O32" s="471"/>
    </row>
    <row r="33" spans="1:15" x14ac:dyDescent="0.3">
      <c r="A33" s="465"/>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8"/>
      <c r="O33" s="471"/>
    </row>
    <row r="34" spans="1:15" ht="15" customHeight="1" x14ac:dyDescent="0.3">
      <c r="A34" s="465"/>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3" t="s">
        <v>369</v>
      </c>
      <c r="N34" s="468"/>
      <c r="O34" s="471"/>
    </row>
    <row r="35" spans="1:15" x14ac:dyDescent="0.3">
      <c r="A35" s="465"/>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3"/>
      <c r="N35" s="468"/>
      <c r="O35" s="471"/>
    </row>
    <row r="36" spans="1:15" x14ac:dyDescent="0.3">
      <c r="A36" s="465"/>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3"/>
      <c r="N36" s="468"/>
      <c r="O36" s="471"/>
    </row>
    <row r="37" spans="1:15" x14ac:dyDescent="0.3">
      <c r="A37" s="465"/>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8"/>
      <c r="O37" s="471"/>
    </row>
    <row r="38" spans="1:15" x14ac:dyDescent="0.3">
      <c r="A38" s="465"/>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8"/>
      <c r="O38" s="471"/>
    </row>
    <row r="39" spans="1:15" ht="15" customHeight="1" x14ac:dyDescent="0.3">
      <c r="A39" s="465"/>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3" t="s">
        <v>369</v>
      </c>
      <c r="N39" s="468"/>
      <c r="O39" s="471"/>
    </row>
    <row r="40" spans="1:15" x14ac:dyDescent="0.3">
      <c r="A40" s="465"/>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3"/>
      <c r="N40" s="468"/>
      <c r="O40" s="471"/>
    </row>
    <row r="41" spans="1:15" x14ac:dyDescent="0.3">
      <c r="A41" s="465"/>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3"/>
      <c r="N41" s="468"/>
      <c r="O41" s="471"/>
    </row>
    <row r="42" spans="1:15" ht="15" thickBot="1" x14ac:dyDescent="0.35">
      <c r="A42" s="46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9"/>
      <c r="O42" s="472"/>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6" t="s">
        <v>367</v>
      </c>
      <c r="N3" s="467" t="s">
        <v>14</v>
      </c>
      <c r="O3" s="470">
        <f ca="1">($G3+$G4+$G5+$G6+$G7)</f>
        <v>1056</v>
      </c>
    </row>
    <row r="4" spans="1:15" ht="15" customHeight="1" x14ac:dyDescent="0.3">
      <c r="A4" s="47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8"/>
      <c r="N4" s="468"/>
      <c r="O4" s="471"/>
    </row>
    <row r="5" spans="1:15" ht="15" customHeight="1" x14ac:dyDescent="0.3">
      <c r="A5" s="47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8"/>
      <c r="N5" s="468"/>
      <c r="O5" s="471"/>
    </row>
    <row r="6" spans="1:15" ht="15" customHeight="1" x14ac:dyDescent="0.3">
      <c r="A6" s="47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8"/>
      <c r="N6" s="468"/>
      <c r="O6" s="471"/>
    </row>
    <row r="7" spans="1:15" ht="15" customHeight="1" thickBot="1" x14ac:dyDescent="0.35">
      <c r="A7" s="47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9"/>
      <c r="N7" s="469"/>
      <c r="O7" s="472"/>
    </row>
    <row r="8" spans="1:15" ht="14.55" customHeight="1" x14ac:dyDescent="0.3">
      <c r="A8" s="48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9" t="s">
        <v>368</v>
      </c>
      <c r="N8" s="482" t="s">
        <v>20</v>
      </c>
      <c r="O8" s="484">
        <f ca="1">($G8+$G9+$G10+$G13)</f>
        <v>960</v>
      </c>
    </row>
    <row r="9" spans="1:15" ht="14.55" customHeight="1" x14ac:dyDescent="0.3">
      <c r="A9" s="48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0"/>
      <c r="N9" s="468"/>
      <c r="O9" s="471"/>
    </row>
    <row r="10" spans="1:15" ht="14.55" customHeight="1" x14ac:dyDescent="0.3">
      <c r="A10" s="48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0"/>
      <c r="N10" s="468"/>
      <c r="O10" s="471"/>
    </row>
    <row r="11" spans="1:15" ht="14.55" customHeight="1" x14ac:dyDescent="0.3">
      <c r="A11" s="48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68"/>
      <c r="O11" s="471"/>
    </row>
    <row r="12" spans="1:15" ht="14.55" customHeight="1" x14ac:dyDescent="0.3">
      <c r="A12" s="48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1"/>
      <c r="N12" s="483"/>
      <c r="O12" s="485"/>
    </row>
    <row r="13" spans="1:15" ht="14.55" customHeight="1" thickBot="1" x14ac:dyDescent="0.35">
      <c r="A13" s="48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1"/>
      <c r="N13" s="483"/>
      <c r="O13" s="485"/>
    </row>
    <row r="14" spans="1:15" ht="14.55" customHeight="1" x14ac:dyDescent="0.3">
      <c r="A14" s="474" t="s">
        <v>23</v>
      </c>
      <c r="B14" s="34" t="s">
        <v>24</v>
      </c>
      <c r="C14" s="36" t="s">
        <v>613</v>
      </c>
      <c r="D14" s="464"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76" t="s">
        <v>369</v>
      </c>
      <c r="N14" s="467" t="s">
        <v>29</v>
      </c>
      <c r="O14" s="470">
        <f ca="1">(4*32+G18+G19+G20+G21+G22+G23)</f>
        <v>160</v>
      </c>
    </row>
    <row r="15" spans="1:15" ht="14.55" customHeight="1" x14ac:dyDescent="0.3">
      <c r="A15" s="475"/>
      <c r="B15" s="35" t="s">
        <v>30</v>
      </c>
      <c r="C15" s="37" t="s">
        <v>613</v>
      </c>
      <c r="D15" s="465"/>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73"/>
      <c r="N15" s="468"/>
      <c r="O15" s="471"/>
    </row>
    <row r="16" spans="1:15" ht="14.55" customHeight="1" x14ac:dyDescent="0.3">
      <c r="A16" s="475"/>
      <c r="B16" s="35" t="s">
        <v>31</v>
      </c>
      <c r="C16" s="37" t="s">
        <v>613</v>
      </c>
      <c r="D16" s="465"/>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73"/>
      <c r="N16" s="468"/>
      <c r="O16" s="471"/>
    </row>
    <row r="17" spans="1:15" x14ac:dyDescent="0.3">
      <c r="A17" s="475"/>
      <c r="B17" s="35" t="s">
        <v>32</v>
      </c>
      <c r="C17" s="37" t="s">
        <v>613</v>
      </c>
      <c r="D17" s="465"/>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73"/>
      <c r="N17" s="468"/>
      <c r="O17" s="471"/>
    </row>
    <row r="18" spans="1:15" x14ac:dyDescent="0.3">
      <c r="A18" s="475"/>
      <c r="B18" s="35" t="s">
        <v>34</v>
      </c>
      <c r="C18" s="35" t="s">
        <v>253</v>
      </c>
      <c r="D18" s="465"/>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3"/>
      <c r="N18" s="468"/>
      <c r="O18" s="471"/>
    </row>
    <row r="19" spans="1:15" x14ac:dyDescent="0.3">
      <c r="A19" s="475"/>
      <c r="B19" s="35" t="s">
        <v>36</v>
      </c>
      <c r="C19" s="73" t="s">
        <v>214</v>
      </c>
      <c r="D19" s="465"/>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3"/>
      <c r="N19" s="468"/>
      <c r="O19" s="471"/>
    </row>
    <row r="20" spans="1:15" x14ac:dyDescent="0.3">
      <c r="A20" s="475"/>
      <c r="B20" s="73" t="s">
        <v>246</v>
      </c>
      <c r="C20" s="73" t="s">
        <v>205</v>
      </c>
      <c r="D20" s="465"/>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3"/>
      <c r="N20" s="468"/>
      <c r="O20" s="471"/>
    </row>
    <row r="21" spans="1:15" x14ac:dyDescent="0.3">
      <c r="A21" s="475"/>
      <c r="B21" s="73" t="s">
        <v>250</v>
      </c>
      <c r="C21" s="73" t="s">
        <v>390</v>
      </c>
      <c r="D21" s="465"/>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73"/>
      <c r="N21" s="468"/>
      <c r="O21" s="471"/>
    </row>
    <row r="22" spans="1:15" x14ac:dyDescent="0.3">
      <c r="A22" s="475"/>
      <c r="B22" s="73" t="s">
        <v>251</v>
      </c>
      <c r="C22" s="73" t="s">
        <v>390</v>
      </c>
      <c r="D22" s="465"/>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73"/>
      <c r="N22" s="468"/>
      <c r="O22" s="471"/>
    </row>
    <row r="23" spans="1:15" x14ac:dyDescent="0.3">
      <c r="A23" s="475"/>
      <c r="B23" s="73" t="s">
        <v>252</v>
      </c>
      <c r="C23" s="73" t="s">
        <v>390</v>
      </c>
      <c r="D23" s="465"/>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73"/>
      <c r="N23" s="468"/>
      <c r="O23" s="471"/>
    </row>
    <row r="24" spans="1:15" x14ac:dyDescent="0.3">
      <c r="A24" s="475"/>
      <c r="B24" s="35" t="s">
        <v>38</v>
      </c>
      <c r="C24" s="37" t="s">
        <v>613</v>
      </c>
      <c r="D24" s="465"/>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73"/>
      <c r="N24" s="468"/>
      <c r="O24" s="471"/>
    </row>
    <row r="25" spans="1:15" x14ac:dyDescent="0.3">
      <c r="A25" s="474" t="s">
        <v>41</v>
      </c>
      <c r="B25" s="35" t="s">
        <v>42</v>
      </c>
      <c r="C25" s="35" t="s">
        <v>614</v>
      </c>
      <c r="D25" s="465" t="s">
        <v>43</v>
      </c>
      <c r="E25" s="122"/>
      <c r="F25" s="68" t="s">
        <v>44</v>
      </c>
      <c r="G25" s="39">
        <f ca="1">IF($C25="No Param",32,VLOOKUP($C25,INDIRECT(Config!$B$1),HLOOKUP(D$1,INDIRECT(Config!$E$1),2,FALSE),FALSE)*32)</f>
        <v>32</v>
      </c>
      <c r="H25" s="16" t="str">
        <f ca="1">IF(G25=0,"N/A","0x8000")</f>
        <v>0x8000</v>
      </c>
      <c r="I25" s="16" t="s">
        <v>45</v>
      </c>
      <c r="J25" s="16" t="s">
        <v>48</v>
      </c>
      <c r="K25" s="16" t="s">
        <v>387</v>
      </c>
      <c r="L25" s="3"/>
      <c r="M25" s="473" t="s">
        <v>370</v>
      </c>
      <c r="N25" s="468"/>
      <c r="O25" s="471">
        <f ca="1">(G25+G26)</f>
        <v>64</v>
      </c>
    </row>
    <row r="26" spans="1:15" ht="15" thickBot="1" x14ac:dyDescent="0.35">
      <c r="A26" s="477"/>
      <c r="B26" s="74" t="s">
        <v>46</v>
      </c>
      <c r="C26" s="74" t="s">
        <v>615</v>
      </c>
      <c r="D26" s="466"/>
      <c r="E26" s="123"/>
      <c r="F26" s="76" t="s">
        <v>44</v>
      </c>
      <c r="G26" s="75">
        <f ca="1">IF($C26="No Param",32,VLOOKUP($C26,INDIRECT(Config!$B$1),HLOOKUP(D$1,INDIRECT(Config!$E$1),2,FALSE),FALSE)*32)</f>
        <v>32</v>
      </c>
      <c r="H26" s="26" t="str">
        <f ca="1">IF(G26=0,"N/A","0x8004")</f>
        <v>0x8004</v>
      </c>
      <c r="I26" s="26" t="s">
        <v>47</v>
      </c>
      <c r="J26" s="26" t="s">
        <v>48</v>
      </c>
      <c r="K26" s="26" t="s">
        <v>387</v>
      </c>
      <c r="L26" s="234"/>
      <c r="M26" s="469"/>
      <c r="N26" s="469"/>
      <c r="O26" s="472"/>
    </row>
    <row r="27" spans="1:15" ht="15" thickBot="1" x14ac:dyDescent="0.35">
      <c r="A27" s="124"/>
    </row>
    <row r="28" spans="1:15" x14ac:dyDescent="0.3">
      <c r="A28" s="464"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7" t="s">
        <v>48</v>
      </c>
      <c r="O28" s="470">
        <f ca="1">SUM(G28:G42)</f>
        <v>576</v>
      </c>
    </row>
    <row r="29" spans="1:15" ht="15" customHeight="1" x14ac:dyDescent="0.3">
      <c r="A29" s="465"/>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3" t="s">
        <v>369</v>
      </c>
      <c r="N29" s="468"/>
      <c r="O29" s="471"/>
    </row>
    <row r="30" spans="1:15" x14ac:dyDescent="0.3">
      <c r="A30" s="465"/>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3"/>
      <c r="N30" s="468"/>
      <c r="O30" s="471"/>
    </row>
    <row r="31" spans="1:15" x14ac:dyDescent="0.3">
      <c r="A31" s="465"/>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3"/>
      <c r="N31" s="468"/>
      <c r="O31" s="471"/>
    </row>
    <row r="32" spans="1:15" x14ac:dyDescent="0.3">
      <c r="A32" s="465"/>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8"/>
      <c r="O32" s="471"/>
    </row>
    <row r="33" spans="1:15" x14ac:dyDescent="0.3">
      <c r="A33" s="465"/>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8"/>
      <c r="O33" s="471"/>
    </row>
    <row r="34" spans="1:15" ht="15" customHeight="1" x14ac:dyDescent="0.3">
      <c r="A34" s="465"/>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3" t="s">
        <v>369</v>
      </c>
      <c r="N34" s="468"/>
      <c r="O34" s="471"/>
    </row>
    <row r="35" spans="1:15" x14ac:dyDescent="0.3">
      <c r="A35" s="465"/>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3"/>
      <c r="N35" s="468"/>
      <c r="O35" s="471"/>
    </row>
    <row r="36" spans="1:15" x14ac:dyDescent="0.3">
      <c r="A36" s="465"/>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3"/>
      <c r="N36" s="468"/>
      <c r="O36" s="471"/>
    </row>
    <row r="37" spans="1:15" x14ac:dyDescent="0.3">
      <c r="A37" s="465"/>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8"/>
      <c r="O37" s="471"/>
    </row>
    <row r="38" spans="1:15" x14ac:dyDescent="0.3">
      <c r="A38" s="465"/>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8"/>
      <c r="O38" s="471"/>
    </row>
    <row r="39" spans="1:15" ht="15" customHeight="1" x14ac:dyDescent="0.3">
      <c r="A39" s="465"/>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3" t="s">
        <v>369</v>
      </c>
      <c r="N39" s="468"/>
      <c r="O39" s="471"/>
    </row>
    <row r="40" spans="1:15" x14ac:dyDescent="0.3">
      <c r="A40" s="465"/>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3"/>
      <c r="N40" s="468"/>
      <c r="O40" s="471"/>
    </row>
    <row r="41" spans="1:15" x14ac:dyDescent="0.3">
      <c r="A41" s="465"/>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3"/>
      <c r="N41" s="468"/>
      <c r="O41" s="471"/>
    </row>
    <row r="42" spans="1:15" ht="15" thickBot="1" x14ac:dyDescent="0.35">
      <c r="A42" s="46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9"/>
      <c r="O42" s="472"/>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customWidth="1"/>
    <col min="9" max="9" width="11.33203125" style="15" customWidth="1"/>
    <col min="10" max="11" width="10.77734375" style="15" bestFit="1" customWidth="1"/>
    <col min="12" max="12" width="34.2187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8"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76" t="s">
        <v>367</v>
      </c>
      <c r="N3" s="467" t="s">
        <v>14</v>
      </c>
      <c r="O3" s="470">
        <f ca="1">($G3+$G4+$G5+$G6+$G7)</f>
        <v>801</v>
      </c>
    </row>
    <row r="4" spans="1:15" ht="15" customHeight="1" x14ac:dyDescent="0.3">
      <c r="A4" s="478"/>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68"/>
      <c r="N4" s="468"/>
      <c r="O4" s="471"/>
    </row>
    <row r="5" spans="1:15" ht="15" customHeight="1" x14ac:dyDescent="0.3">
      <c r="A5" s="478"/>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68"/>
      <c r="N5" s="468"/>
      <c r="O5" s="471"/>
    </row>
    <row r="6" spans="1:15" ht="15" customHeight="1" thickBot="1" x14ac:dyDescent="0.35">
      <c r="A6" s="478"/>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68"/>
      <c r="N6" s="468"/>
      <c r="O6" s="471"/>
    </row>
    <row r="7" spans="1:15" ht="15" customHeight="1" thickBot="1" x14ac:dyDescent="0.35">
      <c r="A7" s="478"/>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83"/>
      <c r="N7" s="483"/>
      <c r="O7" s="485"/>
    </row>
    <row r="8" spans="1:15" ht="14.55" customHeight="1" x14ac:dyDescent="0.3">
      <c r="A8" s="498"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496" t="s">
        <v>368</v>
      </c>
      <c r="N8" s="467" t="s">
        <v>20</v>
      </c>
      <c r="O8" s="470">
        <f ca="1">($G8+$G9+$G10+$G13)</f>
        <v>992</v>
      </c>
    </row>
    <row r="9" spans="1:15" s="131" customFormat="1" ht="14.55" customHeight="1" x14ac:dyDescent="0.3">
      <c r="A9" s="499"/>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80"/>
      <c r="N9" s="468"/>
      <c r="O9" s="471"/>
    </row>
    <row r="10" spans="1:15" ht="14.55" customHeight="1" thickBot="1" x14ac:dyDescent="0.35">
      <c r="A10" s="499"/>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80"/>
      <c r="N10" s="468"/>
      <c r="O10" s="471"/>
    </row>
    <row r="11" spans="1:15" ht="15" customHeight="1" x14ac:dyDescent="0.3">
      <c r="A11" s="499"/>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68"/>
      <c r="O11" s="471"/>
    </row>
    <row r="12" spans="1:15" ht="39.6" customHeight="1" x14ac:dyDescent="0.3">
      <c r="A12" s="499"/>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80"/>
      <c r="N12" s="468"/>
      <c r="O12" s="471"/>
    </row>
    <row r="13" spans="1:15" ht="15" customHeight="1" thickBot="1" x14ac:dyDescent="0.35">
      <c r="A13" s="500"/>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497"/>
      <c r="N13" s="469"/>
      <c r="O13" s="472"/>
    </row>
    <row r="14" spans="1:15" ht="15" customHeight="1" thickBot="1" x14ac:dyDescent="0.35">
      <c r="A14" s="474" t="s">
        <v>23</v>
      </c>
      <c r="B14" s="43" t="s">
        <v>24</v>
      </c>
      <c r="C14" s="171" t="s">
        <v>613</v>
      </c>
      <c r="D14" s="502"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04" t="s">
        <v>369</v>
      </c>
      <c r="N14" s="482" t="s">
        <v>29</v>
      </c>
      <c r="O14" s="484">
        <f ca="1">(4*32+G18+G19+G20+G21+G22+G23)</f>
        <v>128</v>
      </c>
    </row>
    <row r="15" spans="1:15" x14ac:dyDescent="0.3">
      <c r="A15" s="475"/>
      <c r="B15" s="35" t="s">
        <v>30</v>
      </c>
      <c r="C15" s="37" t="s">
        <v>613</v>
      </c>
      <c r="D15" s="503"/>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73"/>
      <c r="N15" s="468"/>
      <c r="O15" s="471"/>
    </row>
    <row r="16" spans="1:15" x14ac:dyDescent="0.3">
      <c r="A16" s="475"/>
      <c r="B16" s="35" t="s">
        <v>31</v>
      </c>
      <c r="C16" s="37" t="s">
        <v>613</v>
      </c>
      <c r="D16" s="503"/>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73"/>
      <c r="N16" s="468"/>
      <c r="O16" s="471"/>
    </row>
    <row r="17" spans="1:15" x14ac:dyDescent="0.3">
      <c r="A17" s="475"/>
      <c r="B17" s="35" t="s">
        <v>32</v>
      </c>
      <c r="C17" s="37" t="s">
        <v>613</v>
      </c>
      <c r="D17" s="503"/>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73"/>
      <c r="N17" s="468"/>
      <c r="O17" s="471"/>
    </row>
    <row r="18" spans="1:15" ht="15" thickBot="1" x14ac:dyDescent="0.35">
      <c r="A18" s="475"/>
      <c r="B18" s="35" t="s">
        <v>34</v>
      </c>
      <c r="C18" s="35" t="s">
        <v>253</v>
      </c>
      <c r="D18" s="503"/>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73"/>
      <c r="N18" s="468"/>
      <c r="O18" s="471"/>
    </row>
    <row r="19" spans="1:15" x14ac:dyDescent="0.3">
      <c r="A19" s="475"/>
      <c r="B19" s="35" t="s">
        <v>36</v>
      </c>
      <c r="C19" s="73" t="s">
        <v>214</v>
      </c>
      <c r="D19" s="503"/>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73"/>
      <c r="N19" s="468"/>
      <c r="O19" s="471"/>
    </row>
    <row r="20" spans="1:15" x14ac:dyDescent="0.3">
      <c r="A20" s="475"/>
      <c r="B20" s="73" t="s">
        <v>246</v>
      </c>
      <c r="C20" s="73" t="s">
        <v>205</v>
      </c>
      <c r="D20" s="503"/>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73"/>
      <c r="N20" s="468"/>
      <c r="O20" s="471"/>
    </row>
    <row r="21" spans="1:15" x14ac:dyDescent="0.3">
      <c r="A21" s="475"/>
      <c r="B21" s="73" t="s">
        <v>250</v>
      </c>
      <c r="C21" s="73" t="s">
        <v>390</v>
      </c>
      <c r="D21" s="503"/>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73"/>
      <c r="N21" s="468"/>
      <c r="O21" s="471"/>
    </row>
    <row r="22" spans="1:15" ht="15" thickBot="1" x14ac:dyDescent="0.35">
      <c r="A22" s="475"/>
      <c r="B22" s="73" t="s">
        <v>251</v>
      </c>
      <c r="C22" s="73" t="s">
        <v>390</v>
      </c>
      <c r="D22" s="503"/>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73"/>
      <c r="N22" s="468"/>
      <c r="O22" s="471"/>
    </row>
    <row r="23" spans="1:15" x14ac:dyDescent="0.3">
      <c r="A23" s="475"/>
      <c r="B23" s="73" t="s">
        <v>252</v>
      </c>
      <c r="C23" s="73" t="s">
        <v>390</v>
      </c>
      <c r="D23" s="503"/>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73"/>
      <c r="N23" s="468"/>
      <c r="O23" s="471"/>
    </row>
    <row r="24" spans="1:15" x14ac:dyDescent="0.3">
      <c r="A24" s="501"/>
      <c r="B24" s="35" t="s">
        <v>38</v>
      </c>
      <c r="C24" s="37" t="s">
        <v>613</v>
      </c>
      <c r="D24" s="503"/>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73"/>
      <c r="N24" s="468"/>
      <c r="O24" s="471"/>
    </row>
    <row r="25" spans="1:15" x14ac:dyDescent="0.3">
      <c r="A25" s="474" t="s">
        <v>41</v>
      </c>
      <c r="B25" s="35" t="s">
        <v>42</v>
      </c>
      <c r="C25" s="35" t="s">
        <v>614</v>
      </c>
      <c r="D25" s="503" t="s">
        <v>43</v>
      </c>
      <c r="E25" s="122"/>
      <c r="F25" s="25" t="s">
        <v>44</v>
      </c>
      <c r="G25" s="39">
        <f ca="1">IF($C25="No Param",32,VLOOKUP($C25,INDIRECT(Config!$B$1),HLOOKUP(D$1,INDIRECT(Config!$E$1),2,FALSE),FALSE)*32)</f>
        <v>0</v>
      </c>
      <c r="H25" s="16" t="str">
        <f ca="1">IF(G25=0,"N/A","0x8000")</f>
        <v>N/A</v>
      </c>
      <c r="I25" s="16" t="s">
        <v>45</v>
      </c>
      <c r="J25" s="16" t="s">
        <v>48</v>
      </c>
      <c r="K25" s="16" t="s">
        <v>387</v>
      </c>
      <c r="L25" s="16"/>
      <c r="M25" s="473" t="s">
        <v>370</v>
      </c>
      <c r="N25" s="468"/>
      <c r="O25" s="471">
        <f ca="1">(G25+G26)</f>
        <v>0</v>
      </c>
    </row>
    <row r="26" spans="1:15" ht="15" thickBot="1" x14ac:dyDescent="0.35">
      <c r="A26" s="477"/>
      <c r="B26" s="74" t="s">
        <v>46</v>
      </c>
      <c r="C26" s="74" t="s">
        <v>615</v>
      </c>
      <c r="D26" s="505"/>
      <c r="E26" s="123"/>
      <c r="F26" s="177" t="s">
        <v>44</v>
      </c>
      <c r="G26" s="75">
        <f ca="1">IF($C26="No Param",32,VLOOKUP($C26,INDIRECT(Config!$B$1),HLOOKUP(D$1,INDIRECT(Config!$E$1),2,FALSE),FALSE)*32)</f>
        <v>0</v>
      </c>
      <c r="H26" s="26" t="str">
        <f ca="1">IF(G26=0,"N/A","0x8004")</f>
        <v>N/A</v>
      </c>
      <c r="I26" s="26" t="s">
        <v>47</v>
      </c>
      <c r="J26" s="26" t="s">
        <v>48</v>
      </c>
      <c r="K26" s="26" t="s">
        <v>387</v>
      </c>
      <c r="L26" s="26"/>
      <c r="M26" s="469"/>
      <c r="N26" s="469"/>
      <c r="O26" s="472"/>
    </row>
    <row r="27" spans="1:15" ht="15" thickBot="1" x14ac:dyDescent="0.35">
      <c r="A27" s="124"/>
    </row>
    <row r="28" spans="1:15" x14ac:dyDescent="0.3">
      <c r="A28" s="464"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67" t="s">
        <v>48</v>
      </c>
      <c r="O28" s="470">
        <f ca="1">SUM(G28:G42)</f>
        <v>0</v>
      </c>
    </row>
    <row r="29" spans="1:15" ht="15" customHeight="1" x14ac:dyDescent="0.3">
      <c r="A29" s="465"/>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3" t="s">
        <v>369</v>
      </c>
      <c r="N29" s="468"/>
      <c r="O29" s="471"/>
    </row>
    <row r="30" spans="1:15" x14ac:dyDescent="0.3">
      <c r="A30" s="465"/>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3"/>
      <c r="N30" s="468"/>
      <c r="O30" s="471"/>
    </row>
    <row r="31" spans="1:15" x14ac:dyDescent="0.3">
      <c r="A31" s="465"/>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3"/>
      <c r="N31" s="468"/>
      <c r="O31" s="471"/>
    </row>
    <row r="32" spans="1:15" x14ac:dyDescent="0.3">
      <c r="A32" s="465"/>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8"/>
      <c r="O32" s="471"/>
    </row>
    <row r="33" spans="1:15" x14ac:dyDescent="0.3">
      <c r="A33" s="465"/>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8"/>
      <c r="O33" s="471"/>
    </row>
    <row r="34" spans="1:15" ht="15" customHeight="1" x14ac:dyDescent="0.3">
      <c r="A34" s="465"/>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3" t="s">
        <v>369</v>
      </c>
      <c r="N34" s="468"/>
      <c r="O34" s="471"/>
    </row>
    <row r="35" spans="1:15" x14ac:dyDescent="0.3">
      <c r="A35" s="465"/>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3"/>
      <c r="N35" s="468"/>
      <c r="O35" s="471"/>
    </row>
    <row r="36" spans="1:15" x14ac:dyDescent="0.3">
      <c r="A36" s="465"/>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3"/>
      <c r="N36" s="468"/>
      <c r="O36" s="471"/>
    </row>
    <row r="37" spans="1:15" x14ac:dyDescent="0.3">
      <c r="A37" s="465"/>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8"/>
      <c r="O37" s="471"/>
    </row>
    <row r="38" spans="1:15" x14ac:dyDescent="0.3">
      <c r="A38" s="465"/>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8"/>
      <c r="O38" s="471"/>
    </row>
    <row r="39" spans="1:15" ht="15" customHeight="1" x14ac:dyDescent="0.3">
      <c r="A39" s="465"/>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3" t="s">
        <v>369</v>
      </c>
      <c r="N39" s="468"/>
      <c r="O39" s="471"/>
    </row>
    <row r="40" spans="1:15" x14ac:dyDescent="0.3">
      <c r="A40" s="465"/>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3"/>
      <c r="N40" s="468"/>
      <c r="O40" s="471"/>
    </row>
    <row r="41" spans="1:15" x14ac:dyDescent="0.3">
      <c r="A41" s="465"/>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3"/>
      <c r="N41" s="468"/>
      <c r="O41" s="471"/>
    </row>
    <row r="42" spans="1:15" ht="15" thickBot="1" x14ac:dyDescent="0.35">
      <c r="A42" s="46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9"/>
      <c r="O42" s="472"/>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464"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67" t="s">
        <v>48</v>
      </c>
      <c r="O3" s="470">
        <f ca="1">SUM(F3:F17)</f>
        <v>576</v>
      </c>
    </row>
    <row r="4" spans="1:15" ht="15.45" customHeight="1" x14ac:dyDescent="0.3">
      <c r="A4" s="465"/>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73" t="s">
        <v>369</v>
      </c>
      <c r="N4" s="468"/>
      <c r="O4" s="471"/>
    </row>
    <row r="5" spans="1:15" ht="15.45" customHeight="1" x14ac:dyDescent="0.3">
      <c r="A5" s="465"/>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73"/>
      <c r="N5" s="468"/>
      <c r="O5" s="471"/>
    </row>
    <row r="6" spans="1:15" ht="15.45" customHeight="1" x14ac:dyDescent="0.3">
      <c r="A6" s="465"/>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73"/>
      <c r="N6" s="468"/>
      <c r="O6" s="471"/>
    </row>
    <row r="7" spans="1:15" ht="15.45" customHeight="1" x14ac:dyDescent="0.3">
      <c r="A7" s="465"/>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68"/>
      <c r="O7" s="471"/>
    </row>
    <row r="8" spans="1:15" ht="15.45" customHeight="1" x14ac:dyDescent="0.3">
      <c r="A8" s="465"/>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68"/>
      <c r="O8" s="471"/>
    </row>
    <row r="9" spans="1:15" ht="15.45" customHeight="1" x14ac:dyDescent="0.3">
      <c r="A9" s="465"/>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73" t="s">
        <v>369</v>
      </c>
      <c r="N9" s="468"/>
      <c r="O9" s="471"/>
    </row>
    <row r="10" spans="1:15" ht="15.45" customHeight="1" x14ac:dyDescent="0.3">
      <c r="A10" s="465"/>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73"/>
      <c r="N10" s="468"/>
      <c r="O10" s="471"/>
    </row>
    <row r="11" spans="1:15" ht="15.45" customHeight="1" x14ac:dyDescent="0.3">
      <c r="A11" s="465"/>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73"/>
      <c r="N11" s="468"/>
      <c r="O11" s="471"/>
    </row>
    <row r="12" spans="1:15" ht="15.45" customHeight="1" x14ac:dyDescent="0.3">
      <c r="A12" s="465"/>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68"/>
      <c r="O12" s="471"/>
    </row>
    <row r="13" spans="1:15" ht="15.45" customHeight="1" x14ac:dyDescent="0.3">
      <c r="A13" s="465"/>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68"/>
      <c r="O13" s="471"/>
    </row>
    <row r="14" spans="1:15" ht="15.45" customHeight="1" x14ac:dyDescent="0.3">
      <c r="A14" s="465"/>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73" t="s">
        <v>369</v>
      </c>
      <c r="N14" s="468"/>
      <c r="O14" s="471"/>
    </row>
    <row r="15" spans="1:15" ht="15.45" customHeight="1" x14ac:dyDescent="0.3">
      <c r="A15" s="465"/>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73"/>
      <c r="N15" s="468"/>
      <c r="O15" s="471"/>
    </row>
    <row r="16" spans="1:15" ht="15.45" customHeight="1" x14ac:dyDescent="0.3">
      <c r="A16" s="465"/>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73"/>
      <c r="N16" s="468"/>
      <c r="O16" s="471"/>
    </row>
    <row r="17" spans="1:15" ht="15.45" customHeight="1" thickBot="1" x14ac:dyDescent="0.35">
      <c r="A17" s="466"/>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69"/>
      <c r="O17" s="472"/>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H11" workbookViewId="0">
      <selection activeCell="P21" sqref="P21"/>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21875" style="194" customWidth="1"/>
    <col min="11" max="11" width="4.44140625" style="194" customWidth="1"/>
    <col min="12" max="12" width="18.88671875" style="15" customWidth="1"/>
    <col min="13" max="13" width="9.21875" style="15" customWidth="1"/>
    <col min="14" max="14" width="7.2187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55" customHeight="1" x14ac:dyDescent="0.3">
      <c r="A2" s="510"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55" customHeight="1" x14ac:dyDescent="0.3">
      <c r="A3" s="510"/>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55" customHeight="1" x14ac:dyDescent="0.3">
      <c r="A4" s="510"/>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55" customHeight="1" x14ac:dyDescent="0.3">
      <c r="A5" s="510"/>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55" customHeight="1" x14ac:dyDescent="0.3">
      <c r="A6" s="510"/>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55" customHeight="1" x14ac:dyDescent="0.3">
      <c r="A7" s="510"/>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55" customHeight="1" x14ac:dyDescent="0.3">
      <c r="A8" s="510"/>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55" customHeight="1" x14ac:dyDescent="0.3">
      <c r="A9" s="510"/>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55" customHeight="1" x14ac:dyDescent="0.3">
      <c r="A10" s="510"/>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55" customHeight="1" x14ac:dyDescent="0.3">
      <c r="A11" s="510"/>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55" customHeight="1" x14ac:dyDescent="0.3">
      <c r="A12" s="510"/>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55" customHeight="1" x14ac:dyDescent="0.3">
      <c r="A13" s="510"/>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55" customHeight="1" x14ac:dyDescent="0.3">
      <c r="A14" s="510"/>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55" customHeight="1" x14ac:dyDescent="0.3">
      <c r="A15" s="510"/>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55" customHeight="1" x14ac:dyDescent="0.3">
      <c r="A16" s="510"/>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55" customHeight="1" x14ac:dyDescent="0.3">
      <c r="A17" s="510"/>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55" customHeight="1" x14ac:dyDescent="0.3">
      <c r="A18" s="510"/>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55" customHeight="1" x14ac:dyDescent="0.3">
      <c r="A19" s="510"/>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55" customHeight="1" x14ac:dyDescent="0.3">
      <c r="A20" s="510"/>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55" customHeight="1" x14ac:dyDescent="0.3">
      <c r="A21" s="510"/>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55" customHeight="1" x14ac:dyDescent="0.3">
      <c r="A22" s="510"/>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55" customHeight="1" x14ac:dyDescent="0.3">
      <c r="A23" s="510"/>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55" customHeight="1" x14ac:dyDescent="0.3">
      <c r="A24" s="510"/>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55" customHeight="1" x14ac:dyDescent="0.3">
      <c r="A25" s="510"/>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55" customHeight="1" x14ac:dyDescent="0.3">
      <c r="A26" s="510"/>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55" customHeight="1" x14ac:dyDescent="0.3">
      <c r="A27" s="510"/>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55" customHeight="1" x14ac:dyDescent="0.3">
      <c r="A28" s="510"/>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55" customHeight="1" x14ac:dyDescent="0.3">
      <c r="A29" s="510"/>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55" customHeight="1" x14ac:dyDescent="0.3">
      <c r="A30" s="510"/>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55" customHeight="1" x14ac:dyDescent="0.3">
      <c r="A31" s="510"/>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55" customHeight="1" x14ac:dyDescent="0.3">
      <c r="A32" s="510"/>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55" customHeight="1" x14ac:dyDescent="0.3">
      <c r="A33" s="510"/>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55" customHeight="1" x14ac:dyDescent="0.3">
      <c r="A34" s="510"/>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55" customHeight="1" x14ac:dyDescent="0.3">
      <c r="A35" s="510"/>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55" customHeight="1" x14ac:dyDescent="0.3">
      <c r="A36" s="468"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55" customHeight="1" x14ac:dyDescent="0.3">
      <c r="A37" s="468"/>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55" customHeight="1" x14ac:dyDescent="0.3">
      <c r="A38" s="468"/>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55" customHeight="1" x14ac:dyDescent="0.3">
      <c r="A39" s="468"/>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55" customHeight="1" x14ac:dyDescent="0.3">
      <c r="A40" s="468"/>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55" customHeight="1" x14ac:dyDescent="0.3">
      <c r="A41" s="468"/>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55" customHeight="1" x14ac:dyDescent="0.3">
      <c r="A42" s="468"/>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55" customHeight="1" x14ac:dyDescent="0.3">
      <c r="A43" s="468"/>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55" customHeight="1" x14ac:dyDescent="0.3">
      <c r="A44" s="468"/>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55" customHeight="1" x14ac:dyDescent="0.3">
      <c r="A45" s="468"/>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55" customHeight="1" x14ac:dyDescent="0.3">
      <c r="A46" s="468"/>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55" customHeight="1" x14ac:dyDescent="0.3">
      <c r="A47" s="468"/>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55" customHeight="1" x14ac:dyDescent="0.3">
      <c r="A48" s="468"/>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55" customHeight="1" x14ac:dyDescent="0.3">
      <c r="A49" s="468"/>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55" customHeight="1" x14ac:dyDescent="0.3">
      <c r="A50" s="468"/>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55" customHeight="1" x14ac:dyDescent="0.3">
      <c r="A51" s="468"/>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55" customHeight="1" x14ac:dyDescent="0.3">
      <c r="A52" s="468"/>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55" customHeight="1" x14ac:dyDescent="0.3">
      <c r="A53" s="468"/>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55" customHeight="1" x14ac:dyDescent="0.3">
      <c r="A54" s="468"/>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55" customHeight="1" x14ac:dyDescent="0.3">
      <c r="A55" s="468"/>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55" customHeight="1" x14ac:dyDescent="0.3">
      <c r="A56" s="468"/>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55" customHeight="1" x14ac:dyDescent="0.3">
      <c r="A57" s="468"/>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55" customHeight="1" x14ac:dyDescent="0.3">
      <c r="A58" s="468"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55" customHeight="1" x14ac:dyDescent="0.3">
      <c r="A59" s="468"/>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55" customHeight="1" x14ac:dyDescent="0.3">
      <c r="A60" s="468"/>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55" customHeight="1" x14ac:dyDescent="0.3">
      <c r="A61" s="468"/>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55" customHeight="1" x14ac:dyDescent="0.3">
      <c r="A62" s="468"/>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55" customHeight="1" x14ac:dyDescent="0.3">
      <c r="A63" s="468"/>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55" customHeight="1" x14ac:dyDescent="0.3">
      <c r="A64" s="468"/>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55" customHeight="1" x14ac:dyDescent="0.3">
      <c r="A65" s="468"/>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55" customHeight="1" x14ac:dyDescent="0.3">
      <c r="A66" s="468"/>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55" customHeight="1" x14ac:dyDescent="0.3">
      <c r="A67" s="468"/>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55" customHeight="1" x14ac:dyDescent="0.3">
      <c r="A68" s="468"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55" customHeight="1" x14ac:dyDescent="0.3">
      <c r="A69" s="468"/>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55" customHeight="1" x14ac:dyDescent="0.3">
      <c r="A70" s="468"/>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55" customHeight="1" x14ac:dyDescent="0.3">
      <c r="A71" s="468"/>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55" customHeight="1" x14ac:dyDescent="0.3">
      <c r="A72" s="468"/>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55" customHeight="1" x14ac:dyDescent="0.3">
      <c r="A73" s="468"/>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55" customHeight="1" x14ac:dyDescent="0.3">
      <c r="A74" s="468"/>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55" customHeight="1" x14ac:dyDescent="0.3">
      <c r="A75" s="468"/>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55" customHeight="1" x14ac:dyDescent="0.3">
      <c r="A76" s="468"/>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55" customHeight="1" x14ac:dyDescent="0.3">
      <c r="A77" s="468"/>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55" customHeight="1" x14ac:dyDescent="0.3">
      <c r="A78" s="468"/>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55" customHeight="1" x14ac:dyDescent="0.3">
      <c r="A79" s="468"/>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55" customHeight="1" x14ac:dyDescent="0.3">
      <c r="A80" s="468"/>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55" customHeight="1" x14ac:dyDescent="0.3">
      <c r="A81" s="468"/>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55" customHeight="1" x14ac:dyDescent="0.3">
      <c r="A82" s="468"/>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55" customHeight="1" x14ac:dyDescent="0.3">
      <c r="A83" s="468"/>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55" customHeight="1" x14ac:dyDescent="0.3">
      <c r="A84" s="468"/>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55" customHeight="1" x14ac:dyDescent="0.3">
      <c r="A85" s="468"/>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55" customHeight="1" x14ac:dyDescent="0.3">
      <c r="A86" s="468"/>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468"/>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55" customHeight="1" x14ac:dyDescent="0.3">
      <c r="A88" s="468"/>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55" customHeight="1" x14ac:dyDescent="0.3">
      <c r="A89" s="468"/>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55" customHeight="1" x14ac:dyDescent="0.3">
      <c r="A90" s="483"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55" customHeight="1" x14ac:dyDescent="0.3">
      <c r="A91" s="509"/>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55" customHeight="1" x14ac:dyDescent="0.3">
      <c r="A92" s="482"/>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55"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55"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55"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55" customHeight="1" x14ac:dyDescent="0.3">
      <c r="A96" s="483"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55" customHeight="1" x14ac:dyDescent="0.3">
      <c r="A97" s="509"/>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55" customHeight="1" x14ac:dyDescent="0.3">
      <c r="A98" s="509"/>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55" customHeight="1" x14ac:dyDescent="0.3">
      <c r="A99" s="482"/>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55" customHeight="1" x14ac:dyDescent="0.3">
      <c r="A100" s="468"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55" customHeight="1" x14ac:dyDescent="0.3">
      <c r="A101" s="468"/>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55" customHeight="1" x14ac:dyDescent="0.3">
      <c r="A102" s="509"/>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55" customHeight="1" x14ac:dyDescent="0.3">
      <c r="A103" s="482"/>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55" customHeight="1" x14ac:dyDescent="0.3">
      <c r="A104" s="483" t="s">
        <v>38</v>
      </c>
      <c r="B104" s="4" t="s">
        <v>613</v>
      </c>
      <c r="C104" s="203">
        <v>0</v>
      </c>
      <c r="D104" s="203">
        <v>16</v>
      </c>
      <c r="E104" s="242" t="s">
        <v>262</v>
      </c>
      <c r="F104" s="203" t="s">
        <v>262</v>
      </c>
      <c r="G104" s="506"/>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55" customHeight="1" x14ac:dyDescent="0.3">
      <c r="A105" s="509"/>
      <c r="B105" s="4" t="s">
        <v>613</v>
      </c>
      <c r="C105" s="203">
        <v>16</v>
      </c>
      <c r="D105" s="203">
        <v>8</v>
      </c>
      <c r="E105" s="242" t="s">
        <v>263</v>
      </c>
      <c r="F105" s="203" t="s">
        <v>263</v>
      </c>
      <c r="G105" s="507"/>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55" customHeight="1" x14ac:dyDescent="0.3">
      <c r="A106" s="509"/>
      <c r="B106" s="4" t="s">
        <v>613</v>
      </c>
      <c r="C106" s="203">
        <v>24</v>
      </c>
      <c r="D106" s="203">
        <v>4</v>
      </c>
      <c r="E106" s="242" t="s">
        <v>264</v>
      </c>
      <c r="F106" s="203" t="s">
        <v>264</v>
      </c>
      <c r="G106" s="507"/>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55" customHeight="1" x14ac:dyDescent="0.3">
      <c r="A107" s="482"/>
      <c r="B107" s="4" t="s">
        <v>613</v>
      </c>
      <c r="C107" s="203">
        <v>28</v>
      </c>
      <c r="D107" s="203">
        <v>4</v>
      </c>
      <c r="E107" s="242" t="s">
        <v>265</v>
      </c>
      <c r="F107" s="203" t="s">
        <v>265</v>
      </c>
      <c r="G107" s="508"/>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55" customHeight="1" x14ac:dyDescent="0.3">
      <c r="A108" s="483"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55" customHeight="1" x14ac:dyDescent="0.3">
      <c r="A109" s="509"/>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55" customHeight="1" x14ac:dyDescent="0.3">
      <c r="A110" s="482"/>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55" customHeight="1" x14ac:dyDescent="0.3">
      <c r="A111" s="483"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55" customHeight="1" x14ac:dyDescent="0.3">
      <c r="A112" s="482"/>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55" customHeight="1" x14ac:dyDescent="0.3">
      <c r="A113" s="483"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55" customHeight="1" x14ac:dyDescent="0.3">
      <c r="A114" s="509"/>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55" customHeight="1" x14ac:dyDescent="0.3">
      <c r="A115" s="482"/>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55" customHeight="1" x14ac:dyDescent="0.3">
      <c r="A116" s="483"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55" customHeight="1" x14ac:dyDescent="0.3">
      <c r="A117" s="482"/>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55" customHeight="1" x14ac:dyDescent="0.3">
      <c r="A118" s="483"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55" customHeight="1" x14ac:dyDescent="0.3">
      <c r="A119" s="509"/>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55" customHeight="1" x14ac:dyDescent="0.3">
      <c r="A120" s="482"/>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55" customHeight="1" x14ac:dyDescent="0.3">
      <c r="A121" s="483"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55" customHeight="1" x14ac:dyDescent="0.3">
      <c r="A122" s="482"/>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55"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55"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55"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B19" sqref="B19"/>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3.44140625" style="193" customWidth="1"/>
    <col min="9" max="9" width="27.88671875" style="194" customWidth="1"/>
    <col min="10" max="10" width="4.44140625" style="194" customWidth="1"/>
    <col min="11" max="11" width="18.88671875" style="6" customWidth="1"/>
    <col min="12" max="12" width="9.21875" style="6" customWidth="1"/>
    <col min="13" max="13" width="25.21875" style="15" customWidth="1"/>
    <col min="14" max="14" width="51.2187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55" customHeight="1" x14ac:dyDescent="0.3">
      <c r="A2" s="510"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55" customHeight="1" x14ac:dyDescent="0.3">
      <c r="A3" s="510"/>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55" customHeight="1" x14ac:dyDescent="0.3">
      <c r="A4" s="510"/>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55" customHeight="1" x14ac:dyDescent="0.3">
      <c r="A5" s="510"/>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55" customHeight="1" x14ac:dyDescent="0.3">
      <c r="A6" s="510"/>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55" customHeight="1" x14ac:dyDescent="0.3">
      <c r="A7" s="510"/>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55" customHeight="1" x14ac:dyDescent="0.3">
      <c r="A8" s="510"/>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55" customHeight="1" x14ac:dyDescent="0.3">
      <c r="A9" s="510"/>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55" customHeight="1" x14ac:dyDescent="0.3">
      <c r="A10" s="510"/>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55" customHeight="1" x14ac:dyDescent="0.3">
      <c r="A11" s="510"/>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55" customHeight="1" x14ac:dyDescent="0.3">
      <c r="A12" s="510"/>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55" customHeight="1" x14ac:dyDescent="0.3">
      <c r="A13" s="510"/>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55" customHeight="1" x14ac:dyDescent="0.3">
      <c r="A14" s="510"/>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55" customHeight="1" x14ac:dyDescent="0.3">
      <c r="A15" s="510"/>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55" customHeight="1" x14ac:dyDescent="0.3">
      <c r="A16" s="510"/>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55" customHeight="1" x14ac:dyDescent="0.3">
      <c r="A17" s="510"/>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55" customHeight="1" x14ac:dyDescent="0.3">
      <c r="A18" s="510"/>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55" customHeight="1" x14ac:dyDescent="0.3">
      <c r="A19" s="510"/>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55" customHeight="1" x14ac:dyDescent="0.3">
      <c r="A20" s="510"/>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55" customHeight="1" x14ac:dyDescent="0.3">
      <c r="A21" s="510"/>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55" customHeight="1" x14ac:dyDescent="0.3">
      <c r="A22" s="510"/>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55" customHeight="1" x14ac:dyDescent="0.3">
      <c r="A23" s="510"/>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55" customHeight="1" x14ac:dyDescent="0.3">
      <c r="A24" s="510"/>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55" customHeight="1" x14ac:dyDescent="0.3">
      <c r="A25" s="510"/>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55" customHeight="1" x14ac:dyDescent="0.3">
      <c r="A26" s="510"/>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55" customHeight="1" x14ac:dyDescent="0.3">
      <c r="A27" s="510"/>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55" customHeight="1" x14ac:dyDescent="0.3">
      <c r="A28" s="510"/>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55" customHeight="1" x14ac:dyDescent="0.3">
      <c r="A29" s="510"/>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55" customHeight="1" x14ac:dyDescent="0.3">
      <c r="A30" s="510"/>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55" customHeight="1" x14ac:dyDescent="0.3">
      <c r="A31" s="510"/>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55" customHeight="1" x14ac:dyDescent="0.3">
      <c r="A32" s="510"/>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55" customHeight="1" x14ac:dyDescent="0.3">
      <c r="A33" s="510"/>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55" customHeight="1" x14ac:dyDescent="0.3">
      <c r="A34" s="510"/>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55" customHeight="1" x14ac:dyDescent="0.3">
      <c r="A35" s="510"/>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55" customHeight="1" x14ac:dyDescent="0.3">
      <c r="A36" s="468"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55" customHeight="1" x14ac:dyDescent="0.3">
      <c r="A37" s="468"/>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55" customHeight="1" x14ac:dyDescent="0.3">
      <c r="A38" s="468"/>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55" customHeight="1" x14ac:dyDescent="0.3">
      <c r="A39" s="468"/>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55" customHeight="1" x14ac:dyDescent="0.3">
      <c r="A40" s="468"/>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55" customHeight="1" x14ac:dyDescent="0.3">
      <c r="A41" s="468"/>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55" customHeight="1" x14ac:dyDescent="0.3">
      <c r="A42" s="468"/>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55" customHeight="1" x14ac:dyDescent="0.3">
      <c r="A43" s="468"/>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55" customHeight="1" x14ac:dyDescent="0.3">
      <c r="A44" s="468"/>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55" customHeight="1" x14ac:dyDescent="0.3">
      <c r="A45" s="468"/>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55" customHeight="1" x14ac:dyDescent="0.3">
      <c r="A46" s="468"/>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55" customHeight="1" x14ac:dyDescent="0.3">
      <c r="A47" s="468"/>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55" customHeight="1" x14ac:dyDescent="0.3">
      <c r="A48" s="468"/>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55" customHeight="1" x14ac:dyDescent="0.3">
      <c r="A49" s="468"/>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55" customHeight="1" x14ac:dyDescent="0.3">
      <c r="A50" s="468"/>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55" customHeight="1" x14ac:dyDescent="0.3">
      <c r="A51" s="468"/>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55" customHeight="1" x14ac:dyDescent="0.3">
      <c r="A52" s="468"/>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55" customHeight="1" x14ac:dyDescent="0.3">
      <c r="A53" s="468"/>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55" customHeight="1" x14ac:dyDescent="0.3">
      <c r="A54" s="468"/>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55" customHeight="1" x14ac:dyDescent="0.3">
      <c r="A55" s="468"/>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55" customHeight="1" x14ac:dyDescent="0.3">
      <c r="A56" s="468"/>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55" customHeight="1" x14ac:dyDescent="0.3">
      <c r="A57" s="468"/>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55" customHeight="1" x14ac:dyDescent="0.3">
      <c r="A58" s="468"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55" customHeight="1" x14ac:dyDescent="0.3">
      <c r="A59" s="468"/>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55" customHeight="1" x14ac:dyDescent="0.3">
      <c r="A60" s="468"/>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55" customHeight="1" x14ac:dyDescent="0.3">
      <c r="A61" s="468"/>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55" customHeight="1" x14ac:dyDescent="0.3">
      <c r="A62" s="468"/>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55" customHeight="1" x14ac:dyDescent="0.3">
      <c r="A63" s="468"/>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55" customHeight="1" x14ac:dyDescent="0.3">
      <c r="A64" s="468"/>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55" customHeight="1" x14ac:dyDescent="0.3">
      <c r="A65" s="468"/>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55" customHeight="1" x14ac:dyDescent="0.3">
      <c r="A66" s="468"/>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55" customHeight="1" x14ac:dyDescent="0.3">
      <c r="A67" s="468"/>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55" customHeight="1" x14ac:dyDescent="0.3">
      <c r="A68" s="468"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55" customHeight="1" x14ac:dyDescent="0.3">
      <c r="A69" s="468"/>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55" customHeight="1" x14ac:dyDescent="0.3">
      <c r="A70" s="468"/>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55" customHeight="1" x14ac:dyDescent="0.3">
      <c r="A71" s="468"/>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55" customHeight="1" x14ac:dyDescent="0.3">
      <c r="A72" s="468"/>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55" customHeight="1" x14ac:dyDescent="0.3">
      <c r="A73" s="468"/>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55" customHeight="1" x14ac:dyDescent="0.3">
      <c r="A74" s="468"/>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55" customHeight="1" x14ac:dyDescent="0.3">
      <c r="A75" s="468"/>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55" customHeight="1" x14ac:dyDescent="0.3">
      <c r="A76" s="468"/>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55" customHeight="1" x14ac:dyDescent="0.3">
      <c r="A77" s="468"/>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55" customHeight="1" x14ac:dyDescent="0.3">
      <c r="A78" s="468"/>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55" customHeight="1" x14ac:dyDescent="0.3">
      <c r="A79" s="468"/>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55" customHeight="1" x14ac:dyDescent="0.3">
      <c r="A80" s="468"/>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55" customHeight="1" x14ac:dyDescent="0.3">
      <c r="A81" s="468"/>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55" customHeight="1" x14ac:dyDescent="0.3">
      <c r="A82" s="468"/>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55" customHeight="1" x14ac:dyDescent="0.3">
      <c r="A83" s="468"/>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55" customHeight="1" x14ac:dyDescent="0.3">
      <c r="A84" s="468"/>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55" customHeight="1" x14ac:dyDescent="0.3">
      <c r="A85" s="468"/>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55" customHeight="1" x14ac:dyDescent="0.3">
      <c r="A86" s="468"/>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55" customHeight="1" x14ac:dyDescent="0.3">
      <c r="A87" s="468"/>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55" customHeight="1" x14ac:dyDescent="0.3">
      <c r="A88" s="468"/>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55" customHeight="1" x14ac:dyDescent="0.3">
      <c r="A89" s="468"/>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55" customHeight="1" x14ac:dyDescent="0.3">
      <c r="A90" s="483"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55" customHeight="1" x14ac:dyDescent="0.3">
      <c r="A91" s="509"/>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55" customHeight="1" x14ac:dyDescent="0.3">
      <c r="A92" s="482"/>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55"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55"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55"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55" customHeight="1" x14ac:dyDescent="0.3">
      <c r="A96" s="483"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55" customHeight="1" x14ac:dyDescent="0.3">
      <c r="A97" s="509"/>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55" customHeight="1" x14ac:dyDescent="0.3">
      <c r="A98" s="509"/>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55" customHeight="1" x14ac:dyDescent="0.3">
      <c r="A99" s="482"/>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55" customHeight="1" x14ac:dyDescent="0.3">
      <c r="A100" s="468"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55" customHeight="1" x14ac:dyDescent="0.3">
      <c r="A101" s="468"/>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55" customHeight="1" x14ac:dyDescent="0.3">
      <c r="A102" s="509"/>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55" customHeight="1" x14ac:dyDescent="0.3">
      <c r="A103" s="482"/>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55" customHeight="1" x14ac:dyDescent="0.3">
      <c r="A104" s="483" t="s">
        <v>38</v>
      </c>
      <c r="B104" s="4" t="s">
        <v>613</v>
      </c>
      <c r="C104" s="203">
        <v>0</v>
      </c>
      <c r="D104" s="203">
        <v>16</v>
      </c>
      <c r="E104" s="203" t="s">
        <v>262</v>
      </c>
      <c r="F104" s="506"/>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55" customHeight="1" x14ac:dyDescent="0.3">
      <c r="A105" s="509"/>
      <c r="B105" s="4" t="s">
        <v>613</v>
      </c>
      <c r="C105" s="203">
        <v>16</v>
      </c>
      <c r="D105" s="203">
        <v>8</v>
      </c>
      <c r="E105" s="203" t="s">
        <v>263</v>
      </c>
      <c r="F105" s="507"/>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55" customHeight="1" x14ac:dyDescent="0.3">
      <c r="A106" s="509"/>
      <c r="B106" s="4" t="s">
        <v>613</v>
      </c>
      <c r="C106" s="203">
        <v>24</v>
      </c>
      <c r="D106" s="203">
        <v>4</v>
      </c>
      <c r="E106" s="203" t="s">
        <v>264</v>
      </c>
      <c r="F106" s="507"/>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55" customHeight="1" x14ac:dyDescent="0.3">
      <c r="A107" s="482"/>
      <c r="B107" s="4" t="s">
        <v>613</v>
      </c>
      <c r="C107" s="203">
        <v>28</v>
      </c>
      <c r="D107" s="203">
        <v>4</v>
      </c>
      <c r="E107" s="203" t="s">
        <v>265</v>
      </c>
      <c r="F107" s="508"/>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55" customHeight="1" x14ac:dyDescent="0.3">
      <c r="A108" s="483"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55" customHeight="1" x14ac:dyDescent="0.3">
      <c r="A109" s="509"/>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55" customHeight="1" x14ac:dyDescent="0.3">
      <c r="A110" s="482"/>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55" customHeight="1" x14ac:dyDescent="0.3">
      <c r="A111" s="483"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55" customHeight="1" x14ac:dyDescent="0.3">
      <c r="A112" s="482"/>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55" customHeight="1" x14ac:dyDescent="0.3">
      <c r="A113" s="483"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55" customHeight="1" x14ac:dyDescent="0.3">
      <c r="A114" s="509"/>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55" customHeight="1" x14ac:dyDescent="0.3">
      <c r="A115" s="482"/>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55" customHeight="1" x14ac:dyDescent="0.3">
      <c r="A116" s="483"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55" customHeight="1" x14ac:dyDescent="0.3">
      <c r="A117" s="482"/>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55" customHeight="1" x14ac:dyDescent="0.3">
      <c r="A118" s="483"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55" customHeight="1" x14ac:dyDescent="0.3">
      <c r="A119" s="509"/>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55" customHeight="1" x14ac:dyDescent="0.3">
      <c r="A120" s="482"/>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55" customHeight="1" x14ac:dyDescent="0.3">
      <c r="A121" s="483"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55" customHeight="1" x14ac:dyDescent="0.3">
      <c r="A122" s="482"/>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55"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55"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55"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17"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11" t="s">
        <v>367</v>
      </c>
      <c r="M3" s="513" t="s">
        <v>14</v>
      </c>
    </row>
    <row r="4" spans="1:13" x14ac:dyDescent="0.3">
      <c r="A4" s="489"/>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89"/>
      <c r="M4" s="514"/>
    </row>
    <row r="5" spans="1:13" x14ac:dyDescent="0.3">
      <c r="A5" s="489"/>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89"/>
      <c r="M5" s="514"/>
    </row>
    <row r="6" spans="1:13" s="15" customFormat="1" x14ac:dyDescent="0.3">
      <c r="A6" s="489"/>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93"/>
      <c r="M6" s="515"/>
    </row>
    <row r="7" spans="1:13" ht="15" thickBot="1" x14ac:dyDescent="0.35">
      <c r="A7" s="512"/>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12"/>
      <c r="M7" s="516"/>
    </row>
    <row r="8" spans="1:13" ht="14.55" customHeight="1" x14ac:dyDescent="0.3">
      <c r="A8" s="491"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19" t="s">
        <v>368</v>
      </c>
      <c r="M8" s="522" t="s">
        <v>20</v>
      </c>
    </row>
    <row r="9" spans="1:13" x14ac:dyDescent="0.3">
      <c r="A9" s="491"/>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20"/>
      <c r="M9" s="523"/>
    </row>
    <row r="10" spans="1:13" x14ac:dyDescent="0.3">
      <c r="A10" s="491"/>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20"/>
      <c r="M10" s="523"/>
    </row>
    <row r="11" spans="1:13" s="15" customFormat="1" x14ac:dyDescent="0.3">
      <c r="A11" s="491"/>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20"/>
      <c r="M11" s="523"/>
    </row>
    <row r="12" spans="1:13" ht="15.45" customHeight="1" x14ac:dyDescent="0.3">
      <c r="A12" s="491"/>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20"/>
      <c r="M12" s="523"/>
    </row>
    <row r="13" spans="1:13" s="15" customFormat="1" ht="14.55" customHeight="1" thickBot="1" x14ac:dyDescent="0.35">
      <c r="A13" s="518"/>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21"/>
      <c r="M13" s="524"/>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topLeftCell="A37" workbookViewId="0">
      <selection activeCell="A34" sqref="A34:A65"/>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481"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25"/>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25"/>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25"/>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25"/>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25"/>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25"/>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25"/>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25"/>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25"/>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25"/>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25"/>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25"/>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25"/>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25"/>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25"/>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25"/>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25"/>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25"/>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25"/>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25"/>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25"/>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25"/>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25"/>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25"/>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25"/>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25"/>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25"/>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25"/>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25"/>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25"/>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26"/>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483"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09"/>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09"/>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09"/>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09"/>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09"/>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09"/>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09"/>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09"/>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09"/>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09"/>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09"/>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09"/>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09"/>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09"/>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09"/>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09"/>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09"/>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09"/>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09"/>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09"/>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09"/>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09"/>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09"/>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09"/>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09"/>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09"/>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09"/>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09"/>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09"/>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09"/>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482"/>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27">
        <v>0</v>
      </c>
      <c r="B2" s="57" t="s">
        <v>577</v>
      </c>
      <c r="C2" s="16">
        <v>0</v>
      </c>
      <c r="D2" s="16"/>
      <c r="E2" s="58"/>
    </row>
    <row r="3" spans="1:5" x14ac:dyDescent="0.3">
      <c r="A3" s="527"/>
      <c r="B3" s="16" t="s">
        <v>578</v>
      </c>
      <c r="C3" s="16">
        <v>8</v>
      </c>
      <c r="D3" s="16"/>
      <c r="E3" s="58"/>
    </row>
    <row r="4" spans="1:5" x14ac:dyDescent="0.3">
      <c r="A4" s="527"/>
      <c r="B4" s="99" t="s">
        <v>584</v>
      </c>
      <c r="C4" s="99" t="s">
        <v>585</v>
      </c>
      <c r="D4" s="16"/>
      <c r="E4" s="58"/>
    </row>
    <row r="5" spans="1:5" x14ac:dyDescent="0.3">
      <c r="A5" s="527"/>
      <c r="B5" s="16" t="s">
        <v>586</v>
      </c>
      <c r="C5" s="16" t="s">
        <v>587</v>
      </c>
      <c r="D5" s="16"/>
      <c r="E5" s="58"/>
    </row>
    <row r="6" spans="1:5" x14ac:dyDescent="0.3">
      <c r="A6" s="527"/>
      <c r="B6" s="16" t="s">
        <v>588</v>
      </c>
      <c r="C6" s="16" t="s">
        <v>589</v>
      </c>
      <c r="D6" s="16"/>
      <c r="E6" s="58"/>
    </row>
    <row r="7" spans="1:5" x14ac:dyDescent="0.3">
      <c r="A7" s="527"/>
      <c r="B7" s="16" t="s">
        <v>590</v>
      </c>
      <c r="C7" s="16" t="s">
        <v>591</v>
      </c>
      <c r="D7" s="16"/>
      <c r="E7" s="58"/>
    </row>
    <row r="8" spans="1:5" ht="57.6" x14ac:dyDescent="0.3">
      <c r="A8" s="527">
        <v>1</v>
      </c>
      <c r="B8" s="98" t="s">
        <v>420</v>
      </c>
      <c r="C8" s="16">
        <v>11</v>
      </c>
      <c r="D8" s="16"/>
      <c r="E8" s="58" t="s">
        <v>595</v>
      </c>
    </row>
    <row r="9" spans="1:5" x14ac:dyDescent="0.3">
      <c r="A9" s="527"/>
      <c r="B9" s="98" t="s">
        <v>581</v>
      </c>
      <c r="C9" s="16">
        <v>0</v>
      </c>
      <c r="D9" s="16"/>
      <c r="E9" s="58" t="s">
        <v>599</v>
      </c>
    </row>
    <row r="10" spans="1:5" x14ac:dyDescent="0.3">
      <c r="A10" s="527"/>
      <c r="B10" s="98" t="s">
        <v>582</v>
      </c>
      <c r="C10" s="16">
        <v>0</v>
      </c>
      <c r="D10" s="16"/>
      <c r="E10" s="58" t="s">
        <v>386</v>
      </c>
    </row>
    <row r="11" spans="1:5" x14ac:dyDescent="0.3">
      <c r="A11" s="527"/>
      <c r="B11" s="98" t="s">
        <v>592</v>
      </c>
      <c r="C11" s="16">
        <v>7</v>
      </c>
      <c r="D11" s="16"/>
      <c r="E11" s="58"/>
    </row>
    <row r="12" spans="1:5" x14ac:dyDescent="0.3">
      <c r="A12" s="527"/>
      <c r="B12" s="98" t="s">
        <v>593</v>
      </c>
      <c r="C12" s="16" t="s">
        <v>594</v>
      </c>
      <c r="D12" s="16"/>
      <c r="E12" s="58"/>
    </row>
    <row r="13" spans="1:5" x14ac:dyDescent="0.3">
      <c r="A13" s="527"/>
      <c r="B13" s="16" t="s">
        <v>390</v>
      </c>
      <c r="C13" s="16"/>
      <c r="D13" s="16"/>
      <c r="E13" s="58"/>
    </row>
    <row r="14" spans="1:5" x14ac:dyDescent="0.3">
      <c r="A14" s="527"/>
      <c r="B14" s="16" t="s">
        <v>205</v>
      </c>
      <c r="C14" s="16"/>
      <c r="D14" s="16"/>
      <c r="E14" s="58"/>
    </row>
    <row r="15" spans="1:5" x14ac:dyDescent="0.3">
      <c r="A15" s="527"/>
      <c r="B15" s="16" t="s">
        <v>579</v>
      </c>
      <c r="C15" s="16" t="s">
        <v>580</v>
      </c>
      <c r="D15" s="16"/>
      <c r="E15" s="58"/>
    </row>
    <row r="16" spans="1:5" x14ac:dyDescent="0.3">
      <c r="A16" s="527"/>
      <c r="B16" s="16" t="s">
        <v>598</v>
      </c>
      <c r="C16" s="16"/>
      <c r="D16" s="16"/>
      <c r="E16" s="58"/>
    </row>
    <row r="17" spans="1:5" x14ac:dyDescent="0.3">
      <c r="A17" s="527">
        <v>2</v>
      </c>
      <c r="B17" s="99" t="s">
        <v>566</v>
      </c>
      <c r="C17" s="99">
        <v>128</v>
      </c>
      <c r="D17" s="16" t="s">
        <v>597</v>
      </c>
      <c r="E17" s="58"/>
    </row>
    <row r="18" spans="1:5" x14ac:dyDescent="0.3">
      <c r="A18" s="527"/>
      <c r="B18" s="99" t="s">
        <v>560</v>
      </c>
      <c r="C18" s="99" t="s">
        <v>563</v>
      </c>
      <c r="D18" s="16"/>
      <c r="E18" s="58"/>
    </row>
    <row r="19" spans="1:5" x14ac:dyDescent="0.3">
      <c r="A19" s="527"/>
      <c r="B19" s="16" t="s">
        <v>561</v>
      </c>
      <c r="C19" s="16" t="s">
        <v>562</v>
      </c>
      <c r="D19" s="16"/>
      <c r="E19" s="58"/>
    </row>
    <row r="20" spans="1:5" x14ac:dyDescent="0.3">
      <c r="A20" s="527"/>
      <c r="B20" s="16" t="s">
        <v>564</v>
      </c>
      <c r="C20" s="16" t="s">
        <v>565</v>
      </c>
      <c r="D20" s="16"/>
      <c r="E20" s="58"/>
    </row>
    <row r="21" spans="1:5" x14ac:dyDescent="0.3">
      <c r="A21" s="527">
        <v>3</v>
      </c>
      <c r="B21" s="99" t="s">
        <v>567</v>
      </c>
      <c r="C21" s="99" t="s">
        <v>568</v>
      </c>
      <c r="D21" s="16"/>
      <c r="E21" s="58"/>
    </row>
    <row r="22" spans="1:5" x14ac:dyDescent="0.3">
      <c r="A22" s="527"/>
      <c r="B22" s="99" t="s">
        <v>569</v>
      </c>
      <c r="C22" s="99" t="s">
        <v>570</v>
      </c>
      <c r="D22" s="16"/>
      <c r="E22" s="58"/>
    </row>
    <row r="23" spans="1:5" x14ac:dyDescent="0.3">
      <c r="A23" s="527"/>
      <c r="B23" s="16" t="s">
        <v>571</v>
      </c>
      <c r="C23" s="16" t="s">
        <v>572</v>
      </c>
      <c r="D23" s="16"/>
      <c r="E23" s="58"/>
    </row>
    <row r="24" spans="1:5" x14ac:dyDescent="0.3">
      <c r="A24" s="527"/>
      <c r="B24" s="16" t="s">
        <v>573</v>
      </c>
      <c r="C24" s="16" t="s">
        <v>574</v>
      </c>
      <c r="D24" s="16"/>
      <c r="E24" s="58"/>
    </row>
    <row r="25" spans="1:5" x14ac:dyDescent="0.3">
      <c r="A25" s="527">
        <v>4</v>
      </c>
      <c r="B25" s="98" t="s">
        <v>575</v>
      </c>
      <c r="C25" s="98" t="s">
        <v>576</v>
      </c>
      <c r="D25" s="16"/>
      <c r="E25" s="58"/>
    </row>
    <row r="26" spans="1:5" x14ac:dyDescent="0.3">
      <c r="A26" s="527"/>
      <c r="B26" s="98" t="s">
        <v>421</v>
      </c>
      <c r="C26" s="16">
        <v>2</v>
      </c>
      <c r="D26" s="16"/>
      <c r="E26" s="58" t="s">
        <v>596</v>
      </c>
    </row>
    <row r="27" spans="1:5" x14ac:dyDescent="0.3">
      <c r="A27" s="527"/>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dimension ref="A1:I160"/>
  <sheetViews>
    <sheetView topLeftCell="A31" workbookViewId="0">
      <selection activeCell="B42" sqref="B42"/>
    </sheetView>
  </sheetViews>
  <sheetFormatPr defaultRowHeight="14.4" x14ac:dyDescent="0.3"/>
  <cols>
    <col min="1" max="1" width="8.88671875" style="15"/>
    <col min="2" max="2" width="32.21875" style="15" customWidth="1"/>
    <col min="3" max="3" width="64.21875" style="15" customWidth="1"/>
    <col min="4" max="4" width="12.2187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1531</v>
      </c>
      <c r="B1" s="15" t="s">
        <v>662</v>
      </c>
      <c r="C1" s="15" t="s">
        <v>1532</v>
      </c>
      <c r="D1" s="15" t="s">
        <v>661</v>
      </c>
      <c r="E1" s="15" t="s">
        <v>1533</v>
      </c>
      <c r="G1" s="15" t="s">
        <v>1534</v>
      </c>
      <c r="H1" s="15" t="s">
        <v>790</v>
      </c>
      <c r="I1" s="15" t="s">
        <v>1598</v>
      </c>
    </row>
    <row r="2" spans="1:9" x14ac:dyDescent="0.3">
      <c r="A2" s="15">
        <v>0</v>
      </c>
      <c r="B2" s="415" t="s">
        <v>64</v>
      </c>
      <c r="C2" s="415" t="s">
        <v>1535</v>
      </c>
      <c r="D2" s="314">
        <v>1</v>
      </c>
      <c r="E2" s="15">
        <v>0</v>
      </c>
      <c r="F2" s="205" t="s">
        <v>65</v>
      </c>
      <c r="G2" s="312" t="s">
        <v>613</v>
      </c>
      <c r="I2" s="412" t="s">
        <v>1430</v>
      </c>
    </row>
    <row r="3" spans="1:9" x14ac:dyDescent="0.3">
      <c r="A3" s="15">
        <v>1</v>
      </c>
      <c r="B3" s="415" t="s">
        <v>67</v>
      </c>
      <c r="C3" s="415" t="s">
        <v>1535</v>
      </c>
      <c r="D3" s="314">
        <v>1</v>
      </c>
      <c r="E3" s="15">
        <f t="shared" ref="E3:E34" si="0">E2+D2</f>
        <v>1</v>
      </c>
      <c r="F3" s="205" t="s">
        <v>68</v>
      </c>
      <c r="G3" s="312" t="s">
        <v>613</v>
      </c>
      <c r="I3" s="412" t="s">
        <v>1429</v>
      </c>
    </row>
    <row r="4" spans="1:9" x14ac:dyDescent="0.3">
      <c r="A4" s="15">
        <v>2</v>
      </c>
      <c r="B4" s="415" t="s">
        <v>71</v>
      </c>
      <c r="C4" s="415" t="s">
        <v>1535</v>
      </c>
      <c r="D4" s="314">
        <v>1</v>
      </c>
      <c r="E4" s="15">
        <f t="shared" si="0"/>
        <v>2</v>
      </c>
      <c r="F4" s="204" t="s">
        <v>72</v>
      </c>
      <c r="G4" s="312" t="s">
        <v>70</v>
      </c>
      <c r="I4" s="412" t="s">
        <v>71</v>
      </c>
    </row>
    <row r="5" spans="1:9" x14ac:dyDescent="0.3">
      <c r="A5" s="15">
        <v>3</v>
      </c>
      <c r="B5" s="415" t="s">
        <v>73</v>
      </c>
      <c r="C5" s="415" t="s">
        <v>1535</v>
      </c>
      <c r="D5" s="314">
        <v>1</v>
      </c>
      <c r="E5" s="15">
        <f t="shared" si="0"/>
        <v>3</v>
      </c>
      <c r="F5" s="205" t="s">
        <v>74</v>
      </c>
      <c r="G5" s="312" t="s">
        <v>613</v>
      </c>
      <c r="I5" s="412" t="s">
        <v>73</v>
      </c>
    </row>
    <row r="6" spans="1:9" ht="43.2" x14ac:dyDescent="0.3">
      <c r="A6" s="15">
        <v>4</v>
      </c>
      <c r="B6" s="415" t="s">
        <v>76</v>
      </c>
      <c r="C6" s="415" t="s">
        <v>1536</v>
      </c>
      <c r="D6" s="314">
        <v>1</v>
      </c>
      <c r="E6" s="15">
        <f t="shared" si="0"/>
        <v>4</v>
      </c>
      <c r="F6" s="204" t="s">
        <v>77</v>
      </c>
      <c r="G6" s="312" t="s">
        <v>75</v>
      </c>
      <c r="H6" s="15">
        <v>0</v>
      </c>
      <c r="I6" s="412" t="s">
        <v>76</v>
      </c>
    </row>
    <row r="7" spans="1:9" x14ac:dyDescent="0.3">
      <c r="A7" s="15">
        <v>5</v>
      </c>
      <c r="B7" s="415" t="s">
        <v>79</v>
      </c>
      <c r="C7" s="415" t="s">
        <v>460</v>
      </c>
      <c r="D7" s="314">
        <v>1</v>
      </c>
      <c r="E7" s="15">
        <f t="shared" si="0"/>
        <v>5</v>
      </c>
      <c r="F7" s="204" t="s">
        <v>80</v>
      </c>
      <c r="G7" s="312" t="s">
        <v>75</v>
      </c>
      <c r="H7" s="15">
        <v>0</v>
      </c>
      <c r="I7" s="412" t="s">
        <v>79</v>
      </c>
    </row>
    <row r="8" spans="1:9" x14ac:dyDescent="0.3">
      <c r="A8" s="15">
        <v>6</v>
      </c>
      <c r="B8" s="415" t="s">
        <v>81</v>
      </c>
      <c r="C8" s="415" t="s">
        <v>1535</v>
      </c>
      <c r="D8" s="314">
        <v>1</v>
      </c>
      <c r="E8" s="15">
        <f t="shared" si="0"/>
        <v>6</v>
      </c>
      <c r="F8" s="205" t="s">
        <v>82</v>
      </c>
      <c r="G8" s="278" t="s">
        <v>1180</v>
      </c>
      <c r="I8" s="412" t="s">
        <v>81</v>
      </c>
    </row>
    <row r="9" spans="1:9" x14ac:dyDescent="0.3">
      <c r="A9" s="15">
        <v>7</v>
      </c>
      <c r="B9" s="415" t="s">
        <v>83</v>
      </c>
      <c r="C9" s="415" t="s">
        <v>1537</v>
      </c>
      <c r="D9" s="314">
        <v>1</v>
      </c>
      <c r="E9" s="15">
        <f t="shared" si="0"/>
        <v>7</v>
      </c>
      <c r="F9" s="205" t="s">
        <v>84</v>
      </c>
      <c r="G9" s="431" t="s">
        <v>1527</v>
      </c>
      <c r="H9" s="15">
        <v>1</v>
      </c>
      <c r="I9" s="412" t="s">
        <v>1420</v>
      </c>
    </row>
    <row r="10" spans="1:9" x14ac:dyDescent="0.3">
      <c r="A10" s="15">
        <v>8</v>
      </c>
      <c r="B10" s="415" t="s">
        <v>85</v>
      </c>
      <c r="C10" s="415" t="s">
        <v>1535</v>
      </c>
      <c r="D10" s="314">
        <v>1</v>
      </c>
      <c r="E10" s="15">
        <f t="shared" si="0"/>
        <v>8</v>
      </c>
      <c r="F10" s="205" t="s">
        <v>86</v>
      </c>
      <c r="G10" s="312" t="s">
        <v>613</v>
      </c>
      <c r="I10" s="412" t="s">
        <v>85</v>
      </c>
    </row>
    <row r="11" spans="1:9" ht="28.8" x14ac:dyDescent="0.3">
      <c r="A11" s="15">
        <v>9</v>
      </c>
      <c r="B11" s="415" t="s">
        <v>811</v>
      </c>
      <c r="C11" s="415" t="s">
        <v>1535</v>
      </c>
      <c r="D11" s="314">
        <v>1</v>
      </c>
      <c r="E11" s="15">
        <f t="shared" si="0"/>
        <v>9</v>
      </c>
      <c r="F11" s="207" t="s">
        <v>88</v>
      </c>
      <c r="G11" s="312" t="s">
        <v>809</v>
      </c>
      <c r="H11" s="15">
        <v>1</v>
      </c>
      <c r="I11" s="412" t="s">
        <v>1416</v>
      </c>
    </row>
    <row r="12" spans="1:9" ht="28.8" x14ac:dyDescent="0.3">
      <c r="A12" s="15">
        <v>10</v>
      </c>
      <c r="B12" s="415" t="s">
        <v>89</v>
      </c>
      <c r="C12" s="415" t="s">
        <v>1538</v>
      </c>
      <c r="D12" s="314">
        <v>1</v>
      </c>
      <c r="E12" s="15">
        <f t="shared" si="0"/>
        <v>10</v>
      </c>
      <c r="F12" s="204" t="s">
        <v>90</v>
      </c>
      <c r="G12" s="312" t="s">
        <v>647</v>
      </c>
      <c r="H12" s="15">
        <v>0</v>
      </c>
      <c r="I12" s="412" t="s">
        <v>1414</v>
      </c>
    </row>
    <row r="13" spans="1:9" x14ac:dyDescent="0.3">
      <c r="A13" s="15">
        <v>11</v>
      </c>
      <c r="B13" s="415" t="s">
        <v>92</v>
      </c>
      <c r="C13" s="415" t="s">
        <v>1535</v>
      </c>
      <c r="D13" s="314">
        <v>1</v>
      </c>
      <c r="E13" s="15">
        <f t="shared" si="0"/>
        <v>11</v>
      </c>
      <c r="F13" s="204" t="s">
        <v>93</v>
      </c>
      <c r="G13" s="312" t="s">
        <v>91</v>
      </c>
      <c r="H13" s="15">
        <v>1</v>
      </c>
      <c r="I13" s="412" t="s">
        <v>1409</v>
      </c>
    </row>
    <row r="14" spans="1:9" ht="57.6" x14ac:dyDescent="0.3">
      <c r="A14" s="15">
        <v>12</v>
      </c>
      <c r="B14" s="415" t="s">
        <v>94</v>
      </c>
      <c r="C14" s="415" t="s">
        <v>1539</v>
      </c>
      <c r="D14" s="314">
        <v>1</v>
      </c>
      <c r="E14" s="15">
        <f t="shared" si="0"/>
        <v>12</v>
      </c>
      <c r="F14" s="204" t="s">
        <v>95</v>
      </c>
      <c r="G14" s="312" t="s">
        <v>649</v>
      </c>
      <c r="H14" s="15">
        <v>1</v>
      </c>
      <c r="I14" s="412" t="s">
        <v>94</v>
      </c>
    </row>
    <row r="15" spans="1:9" x14ac:dyDescent="0.3">
      <c r="A15" s="15">
        <v>13</v>
      </c>
      <c r="B15" s="415" t="s">
        <v>96</v>
      </c>
      <c r="C15" s="415" t="s">
        <v>1535</v>
      </c>
      <c r="D15" s="314">
        <v>1</v>
      </c>
      <c r="E15" s="15">
        <f t="shared" si="0"/>
        <v>13</v>
      </c>
      <c r="F15" s="204" t="s">
        <v>97</v>
      </c>
      <c r="G15" s="312" t="s">
        <v>172</v>
      </c>
      <c r="H15" s="15">
        <v>1</v>
      </c>
      <c r="I15" s="412" t="s">
        <v>96</v>
      </c>
    </row>
    <row r="16" spans="1:9" x14ac:dyDescent="0.3">
      <c r="A16" s="15">
        <v>14</v>
      </c>
      <c r="B16" s="415" t="s">
        <v>98</v>
      </c>
      <c r="C16" s="415" t="s">
        <v>1535</v>
      </c>
      <c r="D16" s="314">
        <v>1</v>
      </c>
      <c r="E16" s="15">
        <f t="shared" si="0"/>
        <v>14</v>
      </c>
      <c r="F16" s="205" t="s">
        <v>99</v>
      </c>
      <c r="G16" s="312" t="s">
        <v>613</v>
      </c>
      <c r="I16" s="412" t="s">
        <v>1577</v>
      </c>
    </row>
    <row r="17" spans="1:9" x14ac:dyDescent="0.3">
      <c r="A17" s="15">
        <v>15</v>
      </c>
      <c r="B17" s="415" t="s">
        <v>101</v>
      </c>
      <c r="C17" s="415" t="s">
        <v>1535</v>
      </c>
      <c r="D17" s="314">
        <v>1</v>
      </c>
      <c r="E17" s="15">
        <f t="shared" si="0"/>
        <v>15</v>
      </c>
      <c r="F17" s="204" t="s">
        <v>102</v>
      </c>
      <c r="G17" s="312" t="s">
        <v>100</v>
      </c>
      <c r="H17" s="15">
        <v>0</v>
      </c>
      <c r="I17" s="412" t="s">
        <v>1578</v>
      </c>
    </row>
    <row r="18" spans="1:9" x14ac:dyDescent="0.3">
      <c r="A18" s="15">
        <v>16</v>
      </c>
      <c r="B18" s="415" t="s">
        <v>103</v>
      </c>
      <c r="C18" s="415" t="s">
        <v>1535</v>
      </c>
      <c r="D18" s="314">
        <v>1</v>
      </c>
      <c r="E18" s="15">
        <f t="shared" si="0"/>
        <v>16</v>
      </c>
      <c r="F18" s="205" t="s">
        <v>104</v>
      </c>
      <c r="G18" s="312" t="s">
        <v>613</v>
      </c>
      <c r="I18" s="412" t="s">
        <v>1395</v>
      </c>
    </row>
    <row r="19" spans="1:9" x14ac:dyDescent="0.3">
      <c r="A19" s="15">
        <v>17</v>
      </c>
      <c r="B19" s="415" t="s">
        <v>105</v>
      </c>
      <c r="C19" s="415" t="s">
        <v>1535</v>
      </c>
      <c r="D19" s="314">
        <v>1</v>
      </c>
      <c r="E19" s="15">
        <f t="shared" si="0"/>
        <v>17</v>
      </c>
      <c r="F19" s="205" t="s">
        <v>106</v>
      </c>
      <c r="G19" s="312" t="s">
        <v>613</v>
      </c>
      <c r="I19" s="412" t="s">
        <v>1394</v>
      </c>
    </row>
    <row r="20" spans="1:9" x14ac:dyDescent="0.3">
      <c r="A20" s="15">
        <v>18</v>
      </c>
      <c r="B20" s="415" t="s">
        <v>107</v>
      </c>
      <c r="C20" s="415" t="s">
        <v>1535</v>
      </c>
      <c r="D20" s="314">
        <v>5</v>
      </c>
      <c r="E20" s="15">
        <f t="shared" si="0"/>
        <v>18</v>
      </c>
      <c r="F20" s="204" t="s">
        <v>1123</v>
      </c>
      <c r="G20" s="312" t="s">
        <v>100</v>
      </c>
      <c r="H20" s="15">
        <v>0</v>
      </c>
    </row>
    <row r="21" spans="1:9" ht="28.8" x14ac:dyDescent="0.3">
      <c r="A21" s="15">
        <v>19</v>
      </c>
      <c r="B21" s="416" t="s">
        <v>109</v>
      </c>
      <c r="C21" s="416" t="s">
        <v>460</v>
      </c>
      <c r="D21" s="341">
        <v>1</v>
      </c>
      <c r="E21" s="15">
        <f t="shared" si="0"/>
        <v>23</v>
      </c>
      <c r="F21" s="204" t="s">
        <v>110</v>
      </c>
      <c r="G21" s="339" t="s">
        <v>108</v>
      </c>
      <c r="H21" s="15">
        <v>0</v>
      </c>
      <c r="I21" s="412" t="s">
        <v>1579</v>
      </c>
    </row>
    <row r="22" spans="1:9" ht="28.8" x14ac:dyDescent="0.3">
      <c r="A22" s="15">
        <v>20</v>
      </c>
      <c r="B22" s="416" t="s">
        <v>111</v>
      </c>
      <c r="C22" s="416" t="s">
        <v>460</v>
      </c>
      <c r="D22" s="341">
        <v>1</v>
      </c>
      <c r="E22" s="15">
        <f t="shared" si="0"/>
        <v>24</v>
      </c>
      <c r="F22" s="204" t="s">
        <v>112</v>
      </c>
      <c r="G22" s="339" t="s">
        <v>108</v>
      </c>
      <c r="H22" s="15">
        <v>0</v>
      </c>
      <c r="I22" s="412" t="s">
        <v>1580</v>
      </c>
    </row>
    <row r="23" spans="1:9" ht="28.8" x14ac:dyDescent="0.3">
      <c r="A23" s="15">
        <v>21</v>
      </c>
      <c r="B23" s="416" t="s">
        <v>113</v>
      </c>
      <c r="C23" s="416" t="s">
        <v>460</v>
      </c>
      <c r="D23" s="341">
        <v>1</v>
      </c>
      <c r="E23" s="15">
        <f t="shared" si="0"/>
        <v>25</v>
      </c>
      <c r="F23" s="204" t="s">
        <v>114</v>
      </c>
      <c r="G23" s="339" t="s">
        <v>108</v>
      </c>
      <c r="H23" s="15">
        <v>0</v>
      </c>
      <c r="I23" s="412" t="s">
        <v>1581</v>
      </c>
    </row>
    <row r="24" spans="1:9" ht="28.8" x14ac:dyDescent="0.3">
      <c r="A24" s="15">
        <v>22</v>
      </c>
      <c r="B24" s="416" t="s">
        <v>115</v>
      </c>
      <c r="C24" s="416" t="s">
        <v>460</v>
      </c>
      <c r="D24" s="341">
        <v>1</v>
      </c>
      <c r="E24" s="15">
        <f t="shared" si="0"/>
        <v>26</v>
      </c>
      <c r="F24" s="204" t="s">
        <v>116</v>
      </c>
      <c r="G24" s="339" t="s">
        <v>108</v>
      </c>
      <c r="H24" s="15">
        <v>0</v>
      </c>
      <c r="I24" s="412" t="s">
        <v>1582</v>
      </c>
    </row>
    <row r="25" spans="1:9" ht="28.8" x14ac:dyDescent="0.3">
      <c r="A25" s="15">
        <v>23</v>
      </c>
      <c r="B25" s="416" t="s">
        <v>117</v>
      </c>
      <c r="C25" s="416" t="s">
        <v>460</v>
      </c>
      <c r="D25" s="341">
        <v>1</v>
      </c>
      <c r="E25" s="15">
        <f t="shared" si="0"/>
        <v>27</v>
      </c>
      <c r="F25" s="204" t="s">
        <v>118</v>
      </c>
      <c r="G25" s="339" t="s">
        <v>108</v>
      </c>
      <c r="H25" s="15">
        <v>0</v>
      </c>
      <c r="I25" s="412" t="s">
        <v>1583</v>
      </c>
    </row>
    <row r="26" spans="1:9" x14ac:dyDescent="0.3">
      <c r="A26" s="15">
        <v>24</v>
      </c>
      <c r="B26" s="415" t="s">
        <v>120</v>
      </c>
      <c r="C26" s="415" t="s">
        <v>460</v>
      </c>
      <c r="D26" s="314">
        <v>1</v>
      </c>
      <c r="E26" s="15">
        <f t="shared" si="0"/>
        <v>28</v>
      </c>
      <c r="F26" s="204" t="s">
        <v>121</v>
      </c>
      <c r="G26" s="312" t="s">
        <v>119</v>
      </c>
      <c r="H26" s="15">
        <v>0</v>
      </c>
      <c r="I26" s="412" t="s">
        <v>1391</v>
      </c>
    </row>
    <row r="27" spans="1:9" x14ac:dyDescent="0.3">
      <c r="A27" s="15">
        <v>25</v>
      </c>
      <c r="B27" s="415" t="s">
        <v>123</v>
      </c>
      <c r="C27" s="415" t="s">
        <v>460</v>
      </c>
      <c r="D27" s="314">
        <v>1</v>
      </c>
      <c r="E27" s="15">
        <f t="shared" si="0"/>
        <v>29</v>
      </c>
      <c r="F27" s="204" t="s">
        <v>124</v>
      </c>
      <c r="G27" s="312" t="s">
        <v>122</v>
      </c>
      <c r="H27" s="15">
        <v>0</v>
      </c>
      <c r="I27" s="412" t="s">
        <v>1390</v>
      </c>
    </row>
    <row r="28" spans="1:9" ht="28.8" x14ac:dyDescent="0.3">
      <c r="A28" s="15">
        <v>26</v>
      </c>
      <c r="B28" s="415" t="s">
        <v>126</v>
      </c>
      <c r="C28" s="415" t="s">
        <v>1540</v>
      </c>
      <c r="D28" s="314">
        <v>1</v>
      </c>
      <c r="E28" s="15">
        <f t="shared" si="0"/>
        <v>30</v>
      </c>
      <c r="F28" s="204" t="s">
        <v>127</v>
      </c>
      <c r="G28" s="312" t="s">
        <v>125</v>
      </c>
      <c r="H28" s="15">
        <v>1</v>
      </c>
      <c r="I28" s="412" t="s">
        <v>126</v>
      </c>
    </row>
    <row r="29" spans="1:9" x14ac:dyDescent="0.3">
      <c r="A29" s="15">
        <v>27</v>
      </c>
      <c r="B29" s="415" t="s">
        <v>129</v>
      </c>
      <c r="C29" s="415" t="s">
        <v>1535</v>
      </c>
      <c r="D29" s="314">
        <v>3</v>
      </c>
      <c r="E29" s="15">
        <f t="shared" si="0"/>
        <v>31</v>
      </c>
      <c r="F29" s="204" t="s">
        <v>130</v>
      </c>
      <c r="G29" s="312" t="s">
        <v>100</v>
      </c>
      <c r="H29" s="15">
        <v>0</v>
      </c>
    </row>
    <row r="30" spans="1:9" ht="28.2" customHeight="1" x14ac:dyDescent="0.3">
      <c r="A30" s="15">
        <v>28</v>
      </c>
      <c r="B30" s="416" t="s">
        <v>131</v>
      </c>
      <c r="C30" s="416" t="s">
        <v>1541</v>
      </c>
      <c r="D30" s="341">
        <v>1</v>
      </c>
      <c r="E30" s="15">
        <f t="shared" si="0"/>
        <v>34</v>
      </c>
      <c r="F30" s="204" t="s">
        <v>132</v>
      </c>
      <c r="G30" s="339" t="s">
        <v>108</v>
      </c>
      <c r="H30" s="15">
        <v>0</v>
      </c>
      <c r="I30" s="412" t="s">
        <v>1584</v>
      </c>
    </row>
    <row r="31" spans="1:9" x14ac:dyDescent="0.3">
      <c r="A31" s="15">
        <v>29</v>
      </c>
      <c r="B31" s="416" t="s">
        <v>1301</v>
      </c>
      <c r="C31" s="416" t="s">
        <v>460</v>
      </c>
      <c r="D31" s="341">
        <v>1</v>
      </c>
      <c r="E31" s="15">
        <f t="shared" si="0"/>
        <v>35</v>
      </c>
      <c r="F31" s="204" t="s">
        <v>374</v>
      </c>
      <c r="G31" s="339" t="s">
        <v>48</v>
      </c>
      <c r="I31" s="412" t="s">
        <v>1585</v>
      </c>
    </row>
    <row r="32" spans="1:9" ht="28.8" x14ac:dyDescent="0.3">
      <c r="A32" s="15">
        <v>30</v>
      </c>
      <c r="B32" s="416" t="s">
        <v>376</v>
      </c>
      <c r="C32" s="416" t="s">
        <v>1542</v>
      </c>
      <c r="D32" s="341">
        <v>1</v>
      </c>
      <c r="E32" s="15">
        <f t="shared" si="0"/>
        <v>36</v>
      </c>
      <c r="F32" s="204" t="s">
        <v>375</v>
      </c>
      <c r="G32" s="339" t="s">
        <v>1148</v>
      </c>
      <c r="H32" s="15">
        <v>0</v>
      </c>
      <c r="I32" s="412" t="s">
        <v>1586</v>
      </c>
    </row>
    <row r="33" spans="1:9" ht="28.2" customHeight="1" x14ac:dyDescent="0.3">
      <c r="A33" s="15">
        <v>31</v>
      </c>
      <c r="B33" s="417" t="s">
        <v>134</v>
      </c>
      <c r="C33" s="415" t="s">
        <v>1542</v>
      </c>
      <c r="D33" s="314">
        <v>1</v>
      </c>
      <c r="E33" s="15">
        <f t="shared" si="0"/>
        <v>37</v>
      </c>
      <c r="F33" s="204" t="s">
        <v>135</v>
      </c>
      <c r="G33" s="312" t="s">
        <v>133</v>
      </c>
      <c r="H33" s="15">
        <v>0</v>
      </c>
      <c r="I33" s="412" t="s">
        <v>1385</v>
      </c>
    </row>
    <row r="34" spans="1:9" ht="28.2" customHeight="1" x14ac:dyDescent="0.3">
      <c r="A34" s="15">
        <v>32</v>
      </c>
      <c r="B34" s="415" t="s">
        <v>136</v>
      </c>
      <c r="C34" s="415" t="s">
        <v>1541</v>
      </c>
      <c r="D34" s="314">
        <v>1</v>
      </c>
      <c r="E34" s="15">
        <f t="shared" si="0"/>
        <v>38</v>
      </c>
      <c r="F34" s="204" t="s">
        <v>137</v>
      </c>
      <c r="G34" s="312" t="s">
        <v>125</v>
      </c>
      <c r="H34" s="15">
        <v>1</v>
      </c>
      <c r="I34" s="412" t="s">
        <v>1383</v>
      </c>
    </row>
    <row r="35" spans="1:9" x14ac:dyDescent="0.3">
      <c r="A35" s="15">
        <v>33</v>
      </c>
      <c r="B35" s="415" t="s">
        <v>138</v>
      </c>
      <c r="C35" s="415" t="s">
        <v>1535</v>
      </c>
      <c r="D35" s="314">
        <v>1</v>
      </c>
      <c r="E35" s="15">
        <f t="shared" ref="E35:E66" si="1">E34+D34</f>
        <v>39</v>
      </c>
      <c r="F35" s="205" t="s">
        <v>139</v>
      </c>
      <c r="G35" s="312" t="s">
        <v>613</v>
      </c>
      <c r="I35" s="412" t="s">
        <v>138</v>
      </c>
    </row>
    <row r="36" spans="1:9" x14ac:dyDescent="0.3">
      <c r="A36" s="15">
        <v>34</v>
      </c>
      <c r="B36" s="415" t="s">
        <v>142</v>
      </c>
      <c r="C36" s="415" t="s">
        <v>460</v>
      </c>
      <c r="D36" s="314">
        <v>1</v>
      </c>
      <c r="E36" s="15">
        <f t="shared" si="1"/>
        <v>40</v>
      </c>
      <c r="F36" s="204" t="s">
        <v>143</v>
      </c>
      <c r="G36" s="312" t="s">
        <v>640</v>
      </c>
      <c r="H36" s="15">
        <v>0</v>
      </c>
      <c r="I36" s="412" t="s">
        <v>142</v>
      </c>
    </row>
    <row r="37" spans="1:9" x14ac:dyDescent="0.3">
      <c r="A37" s="15">
        <v>35</v>
      </c>
      <c r="B37" s="415" t="s">
        <v>145</v>
      </c>
      <c r="C37" s="415" t="s">
        <v>460</v>
      </c>
      <c r="D37" s="314">
        <v>1</v>
      </c>
      <c r="E37" s="15">
        <f t="shared" si="1"/>
        <v>41</v>
      </c>
      <c r="F37" s="204" t="s">
        <v>146</v>
      </c>
      <c r="G37" s="312" t="s">
        <v>144</v>
      </c>
      <c r="H37" s="15">
        <v>0</v>
      </c>
      <c r="I37" s="412" t="s">
        <v>145</v>
      </c>
    </row>
    <row r="38" spans="1:9" x14ac:dyDescent="0.3">
      <c r="A38" s="15">
        <v>36</v>
      </c>
      <c r="B38" s="415" t="s">
        <v>148</v>
      </c>
      <c r="C38" s="415" t="s">
        <v>460</v>
      </c>
      <c r="D38" s="314">
        <v>1</v>
      </c>
      <c r="E38" s="15">
        <f t="shared" si="1"/>
        <v>42</v>
      </c>
      <c r="F38" s="204" t="s">
        <v>149</v>
      </c>
      <c r="G38" s="312" t="s">
        <v>147</v>
      </c>
      <c r="H38" s="15">
        <v>0</v>
      </c>
      <c r="I38" s="412" t="s">
        <v>148</v>
      </c>
    </row>
    <row r="39" spans="1:9" x14ac:dyDescent="0.3">
      <c r="A39" s="15">
        <v>37</v>
      </c>
      <c r="B39" s="415" t="s">
        <v>150</v>
      </c>
      <c r="C39" s="415" t="s">
        <v>460</v>
      </c>
      <c r="D39" s="314">
        <v>1</v>
      </c>
      <c r="E39" s="15">
        <f t="shared" si="1"/>
        <v>43</v>
      </c>
      <c r="F39" s="205" t="s">
        <v>151</v>
      </c>
      <c r="G39" s="279" t="s">
        <v>1182</v>
      </c>
      <c r="H39" s="15">
        <v>0</v>
      </c>
      <c r="I39" s="412" t="s">
        <v>1375</v>
      </c>
    </row>
    <row r="40" spans="1:9" x14ac:dyDescent="0.3">
      <c r="A40" s="15">
        <v>38</v>
      </c>
      <c r="B40" s="415" t="s">
        <v>153</v>
      </c>
      <c r="C40" s="415" t="s">
        <v>460</v>
      </c>
      <c r="D40" s="314">
        <v>1</v>
      </c>
      <c r="E40" s="15">
        <f t="shared" si="1"/>
        <v>44</v>
      </c>
      <c r="F40" s="204" t="s">
        <v>154</v>
      </c>
      <c r="G40" s="312" t="s">
        <v>643</v>
      </c>
      <c r="H40" s="15">
        <v>0</v>
      </c>
      <c r="I40" s="412" t="s">
        <v>153</v>
      </c>
    </row>
    <row r="41" spans="1:9" x14ac:dyDescent="0.3">
      <c r="A41" s="15">
        <v>39</v>
      </c>
      <c r="B41" s="415" t="s">
        <v>155</v>
      </c>
      <c r="C41" s="415" t="s">
        <v>1543</v>
      </c>
      <c r="D41" s="314">
        <v>1</v>
      </c>
      <c r="E41" s="15">
        <f t="shared" si="1"/>
        <v>45</v>
      </c>
      <c r="F41" s="204" t="s">
        <v>156</v>
      </c>
      <c r="G41" s="312" t="s">
        <v>636</v>
      </c>
      <c r="H41" s="15">
        <v>0</v>
      </c>
      <c r="I41" s="412" t="s">
        <v>1371</v>
      </c>
    </row>
    <row r="42" spans="1:9" x14ac:dyDescent="0.3">
      <c r="A42" s="15">
        <v>40</v>
      </c>
      <c r="B42" s="415" t="s">
        <v>157</v>
      </c>
      <c r="C42" s="415" t="s">
        <v>460</v>
      </c>
      <c r="D42" s="314">
        <v>1</v>
      </c>
      <c r="E42" s="15">
        <f t="shared" si="1"/>
        <v>46</v>
      </c>
      <c r="F42" s="205" t="s">
        <v>158</v>
      </c>
      <c r="G42" s="269" t="s">
        <v>157</v>
      </c>
      <c r="H42" s="15">
        <v>0</v>
      </c>
      <c r="I42" s="412" t="s">
        <v>157</v>
      </c>
    </row>
    <row r="43" spans="1:9" x14ac:dyDescent="0.3">
      <c r="A43" s="15">
        <v>41</v>
      </c>
      <c r="B43" s="415" t="s">
        <v>159</v>
      </c>
      <c r="C43" s="415" t="s">
        <v>1535</v>
      </c>
      <c r="D43" s="314">
        <v>1</v>
      </c>
      <c r="E43" s="15">
        <f t="shared" si="1"/>
        <v>47</v>
      </c>
      <c r="F43" s="204" t="s">
        <v>160</v>
      </c>
      <c r="G43" s="312" t="s">
        <v>645</v>
      </c>
      <c r="H43" s="15">
        <v>1</v>
      </c>
      <c r="I43" s="412" t="s">
        <v>1368</v>
      </c>
    </row>
    <row r="44" spans="1:9" x14ac:dyDescent="0.3">
      <c r="A44" s="15">
        <v>42</v>
      </c>
      <c r="B44" s="415" t="s">
        <v>161</v>
      </c>
      <c r="C44" s="415" t="s">
        <v>1543</v>
      </c>
      <c r="D44" s="314">
        <v>1</v>
      </c>
      <c r="E44" s="15">
        <f t="shared" si="1"/>
        <v>48</v>
      </c>
      <c r="F44" s="204" t="s">
        <v>162</v>
      </c>
      <c r="G44" s="312" t="s">
        <v>641</v>
      </c>
      <c r="H44" s="15">
        <v>0</v>
      </c>
      <c r="I44" s="412" t="s">
        <v>1365</v>
      </c>
    </row>
    <row r="45" spans="1:9" ht="28.8" x14ac:dyDescent="0.3">
      <c r="A45" s="15">
        <v>43</v>
      </c>
      <c r="B45" s="415" t="s">
        <v>163</v>
      </c>
      <c r="C45" s="415" t="s">
        <v>460</v>
      </c>
      <c r="D45" s="314">
        <v>3</v>
      </c>
      <c r="E45" s="15">
        <f t="shared" si="1"/>
        <v>49</v>
      </c>
      <c r="F45" s="205" t="s">
        <v>164</v>
      </c>
      <c r="G45" s="269" t="s">
        <v>163</v>
      </c>
      <c r="H45" s="15">
        <v>0</v>
      </c>
      <c r="I45" s="412" t="s">
        <v>1364</v>
      </c>
    </row>
    <row r="46" spans="1:9" x14ac:dyDescent="0.3">
      <c r="A46" s="15">
        <v>44</v>
      </c>
      <c r="B46" s="415" t="s">
        <v>165</v>
      </c>
      <c r="C46" s="415" t="s">
        <v>1543</v>
      </c>
      <c r="D46" s="314">
        <v>1</v>
      </c>
      <c r="E46" s="15">
        <f t="shared" si="1"/>
        <v>52</v>
      </c>
      <c r="F46" s="204" t="s">
        <v>166</v>
      </c>
      <c r="G46" s="312" t="s">
        <v>642</v>
      </c>
      <c r="H46" s="15">
        <v>0</v>
      </c>
      <c r="I46" s="412" t="s">
        <v>1362</v>
      </c>
    </row>
    <row r="47" spans="1:9" x14ac:dyDescent="0.3">
      <c r="A47" s="15">
        <v>45</v>
      </c>
      <c r="B47" s="415" t="s">
        <v>167</v>
      </c>
      <c r="C47" s="415" t="s">
        <v>460</v>
      </c>
      <c r="D47" s="314">
        <v>1</v>
      </c>
      <c r="E47" s="15">
        <f t="shared" si="1"/>
        <v>53</v>
      </c>
      <c r="F47" s="204" t="s">
        <v>168</v>
      </c>
      <c r="G47" s="312" t="s">
        <v>651</v>
      </c>
      <c r="H47" s="15">
        <v>0</v>
      </c>
      <c r="I47" s="412" t="s">
        <v>167</v>
      </c>
    </row>
    <row r="48" spans="1:9" ht="57.6" x14ac:dyDescent="0.3">
      <c r="A48" s="15">
        <v>46</v>
      </c>
      <c r="B48" s="415" t="s">
        <v>169</v>
      </c>
      <c r="C48" s="415" t="s">
        <v>1544</v>
      </c>
      <c r="D48" s="314">
        <v>1</v>
      </c>
      <c r="E48" s="15">
        <f t="shared" si="1"/>
        <v>54</v>
      </c>
      <c r="F48" s="204" t="s">
        <v>170</v>
      </c>
      <c r="G48" s="312" t="s">
        <v>639</v>
      </c>
      <c r="H48" s="15">
        <v>0</v>
      </c>
      <c r="I48" s="412" t="s">
        <v>1359</v>
      </c>
    </row>
    <row r="49" spans="1:9" x14ac:dyDescent="0.3">
      <c r="A49" s="15">
        <v>47</v>
      </c>
      <c r="B49" s="415" t="s">
        <v>673</v>
      </c>
      <c r="C49" s="415" t="s">
        <v>460</v>
      </c>
      <c r="D49" s="314">
        <v>1</v>
      </c>
      <c r="E49" s="15">
        <f t="shared" si="1"/>
        <v>55</v>
      </c>
      <c r="F49" s="204" t="s">
        <v>171</v>
      </c>
      <c r="G49" s="312" t="s">
        <v>637</v>
      </c>
      <c r="H49" s="15">
        <v>0</v>
      </c>
      <c r="I49" s="412" t="s">
        <v>1357</v>
      </c>
    </row>
    <row r="50" spans="1:9" x14ac:dyDescent="0.3">
      <c r="A50" s="15">
        <v>48</v>
      </c>
      <c r="B50" s="415" t="s">
        <v>173</v>
      </c>
      <c r="C50" s="415" t="s">
        <v>1535</v>
      </c>
      <c r="D50" s="314">
        <v>1</v>
      </c>
      <c r="E50" s="15">
        <f t="shared" si="1"/>
        <v>56</v>
      </c>
      <c r="F50" s="204" t="s">
        <v>174</v>
      </c>
      <c r="G50" s="312" t="s">
        <v>172</v>
      </c>
      <c r="H50" s="15">
        <v>1</v>
      </c>
      <c r="I50" s="412" t="s">
        <v>1355</v>
      </c>
    </row>
    <row r="51" spans="1:9" x14ac:dyDescent="0.3">
      <c r="A51" s="15">
        <v>49</v>
      </c>
      <c r="B51" s="415" t="s">
        <v>176</v>
      </c>
      <c r="C51" s="415" t="s">
        <v>1535</v>
      </c>
      <c r="D51" s="314">
        <v>1</v>
      </c>
      <c r="E51" s="15">
        <f t="shared" si="1"/>
        <v>57</v>
      </c>
      <c r="F51" s="204" t="s">
        <v>177</v>
      </c>
      <c r="G51" s="312" t="s">
        <v>172</v>
      </c>
      <c r="H51" s="15">
        <v>1</v>
      </c>
      <c r="I51" s="412" t="s">
        <v>1354</v>
      </c>
    </row>
    <row r="52" spans="1:9" x14ac:dyDescent="0.3">
      <c r="A52" s="15">
        <v>50</v>
      </c>
      <c r="B52" s="415" t="s">
        <v>178</v>
      </c>
      <c r="C52" s="415" t="s">
        <v>1535</v>
      </c>
      <c r="D52" s="314">
        <v>1</v>
      </c>
      <c r="E52" s="15">
        <f t="shared" si="1"/>
        <v>58</v>
      </c>
      <c r="F52" s="204" t="s">
        <v>179</v>
      </c>
      <c r="G52" s="312" t="s">
        <v>172</v>
      </c>
      <c r="H52" s="15">
        <v>1</v>
      </c>
      <c r="I52" s="412" t="s">
        <v>1352</v>
      </c>
    </row>
    <row r="53" spans="1:9" x14ac:dyDescent="0.3">
      <c r="A53" s="15">
        <v>51</v>
      </c>
      <c r="B53" s="415" t="s">
        <v>180</v>
      </c>
      <c r="C53" s="415" t="s">
        <v>1535</v>
      </c>
      <c r="D53" s="314">
        <v>1</v>
      </c>
      <c r="E53" s="15">
        <f t="shared" si="1"/>
        <v>59</v>
      </c>
      <c r="F53" s="204" t="s">
        <v>181</v>
      </c>
      <c r="G53" s="312" t="s">
        <v>638</v>
      </c>
      <c r="H53" s="15">
        <v>1</v>
      </c>
      <c r="I53" s="412" t="s">
        <v>1351</v>
      </c>
    </row>
    <row r="54" spans="1:9" x14ac:dyDescent="0.3">
      <c r="A54" s="15">
        <v>52</v>
      </c>
      <c r="B54" s="415" t="s">
        <v>182</v>
      </c>
      <c r="C54" s="415" t="s">
        <v>460</v>
      </c>
      <c r="D54" s="314">
        <v>1</v>
      </c>
      <c r="E54" s="15">
        <f t="shared" si="1"/>
        <v>60</v>
      </c>
      <c r="F54" s="204" t="s">
        <v>183</v>
      </c>
      <c r="G54" s="312" t="s">
        <v>635</v>
      </c>
      <c r="H54" s="15">
        <v>0</v>
      </c>
      <c r="I54" s="412" t="s">
        <v>182</v>
      </c>
    </row>
    <row r="55" spans="1:9" x14ac:dyDescent="0.3">
      <c r="A55" s="15">
        <v>53</v>
      </c>
      <c r="B55" s="415" t="s">
        <v>184</v>
      </c>
      <c r="C55" s="415" t="s">
        <v>460</v>
      </c>
      <c r="D55" s="314">
        <v>1</v>
      </c>
      <c r="E55" s="15">
        <f t="shared" si="1"/>
        <v>61</v>
      </c>
      <c r="F55" s="204" t="s">
        <v>185</v>
      </c>
      <c r="G55" s="312" t="s">
        <v>644</v>
      </c>
      <c r="H55" s="15">
        <v>0</v>
      </c>
      <c r="I55" s="412" t="s">
        <v>1346</v>
      </c>
    </row>
    <row r="56" spans="1:9" ht="28.8" x14ac:dyDescent="0.3">
      <c r="A56" s="15">
        <v>54</v>
      </c>
      <c r="B56" s="415" t="s">
        <v>187</v>
      </c>
      <c r="C56" s="415" t="s">
        <v>1545</v>
      </c>
      <c r="D56" s="314">
        <v>2</v>
      </c>
      <c r="E56" s="15">
        <f t="shared" si="1"/>
        <v>62</v>
      </c>
      <c r="F56" s="204" t="s">
        <v>188</v>
      </c>
      <c r="G56" s="312" t="s">
        <v>186</v>
      </c>
      <c r="H56" s="15">
        <v>1</v>
      </c>
      <c r="I56" s="412" t="s">
        <v>187</v>
      </c>
    </row>
    <row r="57" spans="1:9" x14ac:dyDescent="0.3">
      <c r="A57" s="15">
        <v>55</v>
      </c>
      <c r="B57" s="415" t="s">
        <v>189</v>
      </c>
      <c r="C57" s="415" t="s">
        <v>1535</v>
      </c>
      <c r="D57" s="314">
        <v>8</v>
      </c>
      <c r="E57" s="15">
        <f t="shared" si="1"/>
        <v>64</v>
      </c>
      <c r="F57" s="205" t="s">
        <v>190</v>
      </c>
      <c r="G57" s="312" t="s">
        <v>613</v>
      </c>
      <c r="I57" s="412" t="s">
        <v>1342</v>
      </c>
    </row>
    <row r="58" spans="1:9" x14ac:dyDescent="0.3">
      <c r="A58" s="15">
        <v>56</v>
      </c>
      <c r="B58" s="415" t="s">
        <v>192</v>
      </c>
      <c r="C58" s="415" t="s">
        <v>1535</v>
      </c>
      <c r="D58" s="314">
        <v>15</v>
      </c>
      <c r="E58" s="15">
        <f t="shared" si="1"/>
        <v>72</v>
      </c>
      <c r="F58" s="205" t="s">
        <v>193</v>
      </c>
      <c r="G58" s="312" t="s">
        <v>394</v>
      </c>
      <c r="I58" s="412" t="s">
        <v>1337</v>
      </c>
    </row>
    <row r="59" spans="1:9" x14ac:dyDescent="0.3">
      <c r="A59" s="15">
        <v>57</v>
      </c>
      <c r="B59" s="415" t="s">
        <v>194</v>
      </c>
      <c r="C59" s="415" t="s">
        <v>460</v>
      </c>
      <c r="D59" s="314">
        <v>1</v>
      </c>
      <c r="E59" s="15">
        <f t="shared" si="1"/>
        <v>87</v>
      </c>
      <c r="F59" s="204" t="s">
        <v>195</v>
      </c>
      <c r="G59" s="312" t="s">
        <v>646</v>
      </c>
      <c r="H59" s="15">
        <v>0</v>
      </c>
      <c r="I59" s="412" t="s">
        <v>1332</v>
      </c>
    </row>
    <row r="60" spans="1:9" x14ac:dyDescent="0.3">
      <c r="A60" s="15">
        <v>58</v>
      </c>
      <c r="B60" s="415" t="s">
        <v>196</v>
      </c>
      <c r="C60" s="415" t="s">
        <v>460</v>
      </c>
      <c r="D60" s="314">
        <v>1</v>
      </c>
      <c r="E60" s="15">
        <f t="shared" si="1"/>
        <v>88</v>
      </c>
      <c r="F60" s="204" t="s">
        <v>197</v>
      </c>
      <c r="G60" s="312" t="s">
        <v>650</v>
      </c>
      <c r="H60" s="15">
        <v>0</v>
      </c>
      <c r="I60" s="412" t="s">
        <v>1328</v>
      </c>
    </row>
    <row r="61" spans="1:9" x14ac:dyDescent="0.3">
      <c r="A61" s="15">
        <v>59</v>
      </c>
      <c r="B61" s="415" t="s">
        <v>237</v>
      </c>
      <c r="C61" s="415" t="s">
        <v>1535</v>
      </c>
      <c r="D61" s="314">
        <v>1</v>
      </c>
      <c r="E61" s="15">
        <f t="shared" si="1"/>
        <v>89</v>
      </c>
      <c r="F61" s="204" t="s">
        <v>198</v>
      </c>
      <c r="G61" s="312" t="s">
        <v>536</v>
      </c>
      <c r="H61" s="15">
        <v>0</v>
      </c>
      <c r="I61" s="412" t="s">
        <v>1327</v>
      </c>
    </row>
    <row r="62" spans="1:9" x14ac:dyDescent="0.3">
      <c r="A62" s="15">
        <v>60</v>
      </c>
      <c r="B62" s="415" t="s">
        <v>199</v>
      </c>
      <c r="C62" s="415" t="s">
        <v>460</v>
      </c>
      <c r="D62" s="314">
        <v>3</v>
      </c>
      <c r="E62" s="15">
        <f t="shared" si="1"/>
        <v>90</v>
      </c>
      <c r="F62" s="205" t="s">
        <v>200</v>
      </c>
      <c r="G62" s="269" t="s">
        <v>199</v>
      </c>
      <c r="H62" s="15">
        <v>0</v>
      </c>
      <c r="I62" s="412" t="s">
        <v>199</v>
      </c>
    </row>
    <row r="63" spans="1:9" x14ac:dyDescent="0.3">
      <c r="A63" s="15">
        <v>61</v>
      </c>
      <c r="B63" s="415" t="s">
        <v>1301</v>
      </c>
      <c r="C63" s="415" t="s">
        <v>460</v>
      </c>
      <c r="D63" s="314">
        <v>1</v>
      </c>
      <c r="E63" s="15">
        <f t="shared" si="1"/>
        <v>93</v>
      </c>
      <c r="F63" s="204" t="s">
        <v>1133</v>
      </c>
      <c r="G63" s="312" t="s">
        <v>48</v>
      </c>
      <c r="I63" s="412" t="s">
        <v>1326</v>
      </c>
    </row>
    <row r="64" spans="1:9" x14ac:dyDescent="0.3">
      <c r="A64" s="15">
        <v>62</v>
      </c>
      <c r="B64" s="415" t="s">
        <v>1301</v>
      </c>
      <c r="C64" s="415" t="s">
        <v>460</v>
      </c>
      <c r="D64" s="314">
        <v>1</v>
      </c>
      <c r="E64" s="15">
        <f t="shared" si="1"/>
        <v>94</v>
      </c>
      <c r="F64" s="204" t="s">
        <v>1137</v>
      </c>
      <c r="G64" s="312" t="s">
        <v>48</v>
      </c>
      <c r="I64" s="412" t="s">
        <v>1325</v>
      </c>
    </row>
    <row r="65" spans="1:9" x14ac:dyDescent="0.3">
      <c r="A65" s="15">
        <v>63</v>
      </c>
      <c r="B65" s="415" t="s">
        <v>1301</v>
      </c>
      <c r="C65" s="415" t="s">
        <v>460</v>
      </c>
      <c r="D65" s="314">
        <v>1</v>
      </c>
      <c r="E65" s="15">
        <f t="shared" si="1"/>
        <v>95</v>
      </c>
      <c r="F65" s="204" t="s">
        <v>1138</v>
      </c>
      <c r="G65" s="312" t="s">
        <v>48</v>
      </c>
      <c r="I65" s="412" t="s">
        <v>1323</v>
      </c>
    </row>
    <row r="66" spans="1:9" x14ac:dyDescent="0.3">
      <c r="A66" s="15">
        <v>64</v>
      </c>
      <c r="B66" s="415" t="s">
        <v>201</v>
      </c>
      <c r="C66" s="415" t="s">
        <v>460</v>
      </c>
      <c r="D66" s="314">
        <v>4</v>
      </c>
      <c r="E66" s="15">
        <f t="shared" si="1"/>
        <v>96</v>
      </c>
      <c r="F66" s="205" t="s">
        <v>202</v>
      </c>
      <c r="G66" s="269" t="s">
        <v>201</v>
      </c>
      <c r="H66" s="15">
        <v>0</v>
      </c>
      <c r="I66" s="412" t="s">
        <v>201</v>
      </c>
    </row>
    <row r="67" spans="1:9" x14ac:dyDescent="0.3">
      <c r="A67" s="15">
        <v>65</v>
      </c>
      <c r="B67" s="415" t="s">
        <v>203</v>
      </c>
      <c r="C67" s="415" t="s">
        <v>460</v>
      </c>
      <c r="D67" s="314">
        <v>4</v>
      </c>
      <c r="E67" s="15">
        <f t="shared" ref="E67:E89" si="2">E66+D66</f>
        <v>100</v>
      </c>
      <c r="F67" s="205" t="s">
        <v>204</v>
      </c>
      <c r="G67" s="269" t="s">
        <v>203</v>
      </c>
      <c r="H67" s="15">
        <v>0</v>
      </c>
      <c r="I67" s="412" t="s">
        <v>203</v>
      </c>
    </row>
    <row r="68" spans="1:9" x14ac:dyDescent="0.3">
      <c r="A68" s="15">
        <v>66</v>
      </c>
      <c r="B68" s="418" t="s">
        <v>1130</v>
      </c>
      <c r="C68" s="415" t="s">
        <v>1535</v>
      </c>
      <c r="D68" s="314">
        <v>1</v>
      </c>
      <c r="E68" s="15">
        <f t="shared" si="2"/>
        <v>104</v>
      </c>
      <c r="F68" s="204" t="s">
        <v>206</v>
      </c>
      <c r="G68" s="312" t="s">
        <v>613</v>
      </c>
      <c r="I68" s="412" t="s">
        <v>1587</v>
      </c>
    </row>
    <row r="69" spans="1:9" x14ac:dyDescent="0.3">
      <c r="A69" s="15">
        <v>67</v>
      </c>
      <c r="B69" s="418" t="s">
        <v>1131</v>
      </c>
      <c r="C69" s="415" t="s">
        <v>66</v>
      </c>
      <c r="D69" s="314">
        <v>1</v>
      </c>
      <c r="E69" s="15">
        <f t="shared" si="2"/>
        <v>105</v>
      </c>
      <c r="F69" s="204" t="s">
        <v>207</v>
      </c>
      <c r="G69" s="312" t="s">
        <v>613</v>
      </c>
      <c r="I69" s="412" t="s">
        <v>1588</v>
      </c>
    </row>
    <row r="70" spans="1:9" x14ac:dyDescent="0.3">
      <c r="A70" s="15">
        <v>68</v>
      </c>
      <c r="B70" s="418" t="s">
        <v>1132</v>
      </c>
      <c r="C70" s="415" t="s">
        <v>66</v>
      </c>
      <c r="D70" s="314">
        <v>1</v>
      </c>
      <c r="E70" s="15">
        <f t="shared" si="2"/>
        <v>106</v>
      </c>
      <c r="F70" s="204" t="s">
        <v>208</v>
      </c>
      <c r="G70" s="312" t="s">
        <v>613</v>
      </c>
      <c r="I70" s="412" t="s">
        <v>1589</v>
      </c>
    </row>
    <row r="71" spans="1:9" x14ac:dyDescent="0.3">
      <c r="A71" s="15">
        <v>69</v>
      </c>
      <c r="B71" s="415" t="s">
        <v>209</v>
      </c>
      <c r="C71" s="415" t="s">
        <v>66</v>
      </c>
      <c r="D71" s="314">
        <v>1</v>
      </c>
      <c r="E71" s="15">
        <f t="shared" si="2"/>
        <v>107</v>
      </c>
      <c r="F71" s="205" t="s">
        <v>210</v>
      </c>
      <c r="G71" s="312" t="s">
        <v>613</v>
      </c>
      <c r="I71" s="412" t="s">
        <v>1317</v>
      </c>
    </row>
    <row r="72" spans="1:9" x14ac:dyDescent="0.3">
      <c r="A72" s="15">
        <v>70</v>
      </c>
      <c r="B72" s="415" t="s">
        <v>211</v>
      </c>
      <c r="C72" s="415" t="s">
        <v>66</v>
      </c>
      <c r="D72" s="314">
        <v>1</v>
      </c>
      <c r="E72" s="15">
        <f t="shared" si="2"/>
        <v>108</v>
      </c>
      <c r="F72" s="205" t="s">
        <v>212</v>
      </c>
      <c r="G72" s="312" t="s">
        <v>613</v>
      </c>
      <c r="I72" s="412" t="s">
        <v>211</v>
      </c>
    </row>
    <row r="73" spans="1:9" x14ac:dyDescent="0.3">
      <c r="A73" s="15">
        <v>71</v>
      </c>
      <c r="B73" s="415" t="s">
        <v>1301</v>
      </c>
      <c r="C73" s="415" t="s">
        <v>460</v>
      </c>
      <c r="D73" s="314">
        <v>1</v>
      </c>
      <c r="E73" s="15">
        <f t="shared" si="2"/>
        <v>109</v>
      </c>
      <c r="F73" s="204" t="s">
        <v>213</v>
      </c>
      <c r="G73" s="312" t="s">
        <v>48</v>
      </c>
      <c r="I73" s="412" t="s">
        <v>1312</v>
      </c>
    </row>
    <row r="74" spans="1:9" x14ac:dyDescent="0.3">
      <c r="A74" s="15">
        <v>72</v>
      </c>
      <c r="B74" s="415" t="s">
        <v>215</v>
      </c>
      <c r="C74" s="415" t="s">
        <v>66</v>
      </c>
      <c r="D74" s="314">
        <v>1</v>
      </c>
      <c r="E74" s="15">
        <f t="shared" si="2"/>
        <v>110</v>
      </c>
      <c r="F74" s="204" t="s">
        <v>216</v>
      </c>
      <c r="G74" s="312" t="s">
        <v>214</v>
      </c>
      <c r="H74" s="15">
        <v>0</v>
      </c>
      <c r="I74" s="412" t="s">
        <v>1311</v>
      </c>
    </row>
    <row r="75" spans="1:9" x14ac:dyDescent="0.3">
      <c r="A75" s="15">
        <v>73</v>
      </c>
      <c r="B75" s="415" t="s">
        <v>217</v>
      </c>
      <c r="C75" s="415" t="s">
        <v>66</v>
      </c>
      <c r="D75" s="314">
        <v>1</v>
      </c>
      <c r="E75" s="15">
        <f t="shared" si="2"/>
        <v>111</v>
      </c>
      <c r="F75" s="204" t="s">
        <v>218</v>
      </c>
      <c r="G75" s="312" t="s">
        <v>214</v>
      </c>
      <c r="H75" s="15">
        <v>0</v>
      </c>
      <c r="I75" s="412" t="s">
        <v>1309</v>
      </c>
    </row>
    <row r="76" spans="1:9" x14ac:dyDescent="0.3">
      <c r="A76" s="15">
        <v>74</v>
      </c>
      <c r="B76" s="415" t="s">
        <v>219</v>
      </c>
      <c r="C76" s="415" t="s">
        <v>66</v>
      </c>
      <c r="D76" s="314">
        <v>1</v>
      </c>
      <c r="E76" s="15">
        <f t="shared" si="2"/>
        <v>112</v>
      </c>
      <c r="F76" s="205" t="s">
        <v>220</v>
      </c>
      <c r="G76" s="312" t="s">
        <v>613</v>
      </c>
      <c r="I76" s="412" t="s">
        <v>219</v>
      </c>
    </row>
    <row r="77" spans="1:9" x14ac:dyDescent="0.3">
      <c r="A77" s="15">
        <v>75</v>
      </c>
      <c r="B77" s="415" t="s">
        <v>222</v>
      </c>
      <c r="C77" s="415" t="s">
        <v>460</v>
      </c>
      <c r="D77" s="314">
        <v>7</v>
      </c>
      <c r="E77" s="15">
        <f t="shared" si="2"/>
        <v>113</v>
      </c>
      <c r="F77" s="204" t="s">
        <v>223</v>
      </c>
      <c r="G77" s="312" t="s">
        <v>221</v>
      </c>
      <c r="H77" s="15">
        <v>0</v>
      </c>
      <c r="I77" s="412" t="s">
        <v>1307</v>
      </c>
    </row>
    <row r="78" spans="1:9" ht="28.8" x14ac:dyDescent="0.3">
      <c r="A78" s="15">
        <v>76</v>
      </c>
      <c r="B78" s="415" t="s">
        <v>225</v>
      </c>
      <c r="C78" s="415" t="s">
        <v>1535</v>
      </c>
      <c r="D78" s="314">
        <v>1</v>
      </c>
      <c r="E78" s="15">
        <f t="shared" si="2"/>
        <v>120</v>
      </c>
      <c r="F78" s="204" t="s">
        <v>226</v>
      </c>
      <c r="G78" s="312" t="s">
        <v>224</v>
      </c>
      <c r="H78" s="15">
        <v>1</v>
      </c>
      <c r="I78" s="412" t="s">
        <v>225</v>
      </c>
    </row>
    <row r="79" spans="1:9" ht="43.2" x14ac:dyDescent="0.3">
      <c r="A79" s="15">
        <v>77</v>
      </c>
      <c r="B79" s="415" t="s">
        <v>674</v>
      </c>
      <c r="C79" s="415" t="s">
        <v>1546</v>
      </c>
      <c r="D79" s="314">
        <v>1</v>
      </c>
      <c r="E79" s="15">
        <f t="shared" si="2"/>
        <v>121</v>
      </c>
      <c r="F79" s="205" t="s">
        <v>227</v>
      </c>
      <c r="G79" s="312" t="s">
        <v>613</v>
      </c>
      <c r="I79" s="412" t="s">
        <v>1305</v>
      </c>
    </row>
    <row r="80" spans="1:9" x14ac:dyDescent="0.3">
      <c r="A80" s="15">
        <v>78</v>
      </c>
      <c r="B80" s="415" t="s">
        <v>228</v>
      </c>
      <c r="C80" s="415" t="s">
        <v>1535</v>
      </c>
      <c r="D80" s="314">
        <v>1</v>
      </c>
      <c r="E80" s="15">
        <f t="shared" si="2"/>
        <v>122</v>
      </c>
      <c r="F80" s="204" t="s">
        <v>229</v>
      </c>
      <c r="G80" s="312" t="s">
        <v>100</v>
      </c>
      <c r="H80" s="15">
        <v>0</v>
      </c>
      <c r="I80" s="412" t="s">
        <v>1590</v>
      </c>
    </row>
    <row r="81" spans="1:9" x14ac:dyDescent="0.3">
      <c r="A81" s="15">
        <v>79</v>
      </c>
      <c r="B81" s="415" t="s">
        <v>230</v>
      </c>
      <c r="C81" s="415" t="s">
        <v>1535</v>
      </c>
      <c r="D81" s="314">
        <v>1</v>
      </c>
      <c r="E81" s="15">
        <f t="shared" si="2"/>
        <v>123</v>
      </c>
      <c r="F81" s="204" t="s">
        <v>231</v>
      </c>
      <c r="G81" s="312" t="s">
        <v>100</v>
      </c>
      <c r="H81" s="15">
        <v>0</v>
      </c>
      <c r="I81" s="412" t="s">
        <v>1591</v>
      </c>
    </row>
    <row r="82" spans="1:9" x14ac:dyDescent="0.3">
      <c r="A82" s="15">
        <v>80</v>
      </c>
      <c r="B82" s="415" t="s">
        <v>232</v>
      </c>
      <c r="C82" s="415" t="s">
        <v>1535</v>
      </c>
      <c r="D82" s="314">
        <v>1</v>
      </c>
      <c r="E82" s="15">
        <f t="shared" si="2"/>
        <v>124</v>
      </c>
      <c r="F82" s="204" t="s">
        <v>233</v>
      </c>
      <c r="G82" s="312" t="s">
        <v>100</v>
      </c>
      <c r="H82" s="15">
        <v>0</v>
      </c>
      <c r="I82" s="412" t="s">
        <v>1592</v>
      </c>
    </row>
    <row r="83" spans="1:9" x14ac:dyDescent="0.3">
      <c r="A83" s="15">
        <v>81</v>
      </c>
      <c r="B83" s="415" t="s">
        <v>235</v>
      </c>
      <c r="C83" s="415" t="s">
        <v>1535</v>
      </c>
      <c r="D83" s="314">
        <v>1</v>
      </c>
      <c r="E83" s="15">
        <f t="shared" si="2"/>
        <v>125</v>
      </c>
      <c r="F83" s="207" t="s">
        <v>236</v>
      </c>
      <c r="G83" s="312" t="s">
        <v>234</v>
      </c>
      <c r="H83" s="15">
        <v>1</v>
      </c>
      <c r="I83" s="412" t="s">
        <v>1593</v>
      </c>
    </row>
    <row r="84" spans="1:9" x14ac:dyDescent="0.3">
      <c r="A84" s="15">
        <v>82</v>
      </c>
      <c r="B84" s="418" t="s">
        <v>1107</v>
      </c>
      <c r="C84" s="415" t="s">
        <v>1535</v>
      </c>
      <c r="D84" s="314">
        <v>1</v>
      </c>
      <c r="E84" s="15">
        <f t="shared" si="2"/>
        <v>126</v>
      </c>
      <c r="F84" s="207" t="s">
        <v>888</v>
      </c>
      <c r="G84" s="312" t="s">
        <v>48</v>
      </c>
      <c r="I84" s="412" t="s">
        <v>1302</v>
      </c>
    </row>
    <row r="85" spans="1:9" x14ac:dyDescent="0.3">
      <c r="A85" s="15">
        <v>83</v>
      </c>
      <c r="B85" s="415" t="s">
        <v>1301</v>
      </c>
      <c r="C85" s="415" t="s">
        <v>460</v>
      </c>
      <c r="D85" s="314">
        <v>1</v>
      </c>
      <c r="E85" s="15">
        <f t="shared" si="2"/>
        <v>127</v>
      </c>
      <c r="F85" s="207" t="s">
        <v>889</v>
      </c>
      <c r="G85" s="312" t="s">
        <v>48</v>
      </c>
      <c r="I85" s="412" t="s">
        <v>1299</v>
      </c>
    </row>
    <row r="86" spans="1:9" ht="28.8" x14ac:dyDescent="0.3">
      <c r="A86" s="15">
        <v>84</v>
      </c>
      <c r="B86" s="418" t="s">
        <v>238</v>
      </c>
      <c r="C86" s="415" t="s">
        <v>1547</v>
      </c>
      <c r="D86" s="314">
        <v>1</v>
      </c>
      <c r="E86" s="15">
        <f t="shared" si="2"/>
        <v>128</v>
      </c>
      <c r="F86" s="205" t="s">
        <v>239</v>
      </c>
      <c r="G86" s="269" t="s">
        <v>613</v>
      </c>
      <c r="I86" s="412" t="s">
        <v>238</v>
      </c>
    </row>
    <row r="87" spans="1:9" ht="28.8" x14ac:dyDescent="0.3">
      <c r="A87" s="15">
        <v>85</v>
      </c>
      <c r="B87" s="418" t="s">
        <v>1548</v>
      </c>
      <c r="C87" s="415" t="s">
        <v>1535</v>
      </c>
      <c r="D87" s="314">
        <v>1</v>
      </c>
      <c r="E87" s="15">
        <f t="shared" si="2"/>
        <v>129</v>
      </c>
      <c r="F87" s="205" t="s">
        <v>240</v>
      </c>
      <c r="G87" s="312" t="s">
        <v>613</v>
      </c>
      <c r="I87" s="412" t="s">
        <v>1106</v>
      </c>
    </row>
    <row r="88" spans="1:9" ht="28.8" x14ac:dyDescent="0.3">
      <c r="A88" s="15">
        <v>86</v>
      </c>
      <c r="B88" s="415" t="s">
        <v>242</v>
      </c>
      <c r="C88" s="415" t="s">
        <v>1549</v>
      </c>
      <c r="D88" s="314">
        <v>5</v>
      </c>
      <c r="E88" s="15">
        <f t="shared" si="2"/>
        <v>130</v>
      </c>
      <c r="F88" s="204" t="s">
        <v>243</v>
      </c>
      <c r="G88" s="312" t="s">
        <v>241</v>
      </c>
      <c r="H88" s="15">
        <v>0</v>
      </c>
      <c r="I88" s="412" t="s">
        <v>242</v>
      </c>
    </row>
    <row r="89" spans="1:9" x14ac:dyDescent="0.3">
      <c r="A89" s="15">
        <v>87</v>
      </c>
      <c r="B89" s="418" t="s">
        <v>244</v>
      </c>
      <c r="C89" s="415" t="s">
        <v>1550</v>
      </c>
      <c r="D89" s="314">
        <v>1</v>
      </c>
      <c r="E89" s="15">
        <f t="shared" si="2"/>
        <v>135</v>
      </c>
      <c r="F89" s="205" t="s">
        <v>245</v>
      </c>
      <c r="G89" s="269" t="s">
        <v>613</v>
      </c>
      <c r="I89" s="412" t="s">
        <v>1293</v>
      </c>
    </row>
    <row r="90" spans="1:9" x14ac:dyDescent="0.3">
      <c r="A90" s="15">
        <v>88</v>
      </c>
      <c r="B90" s="425" t="s">
        <v>254</v>
      </c>
      <c r="D90" s="428">
        <v>24</v>
      </c>
      <c r="I90" s="412" t="s">
        <v>254</v>
      </c>
    </row>
    <row r="91" spans="1:9" x14ac:dyDescent="0.3">
      <c r="A91" s="15">
        <v>89</v>
      </c>
      <c r="B91" s="425" t="s">
        <v>255</v>
      </c>
      <c r="D91" s="428">
        <v>5</v>
      </c>
      <c r="I91" s="412" t="s">
        <v>255</v>
      </c>
    </row>
    <row r="92" spans="1:9" x14ac:dyDescent="0.3">
      <c r="A92" s="15">
        <v>90</v>
      </c>
      <c r="B92" s="425" t="s">
        <v>256</v>
      </c>
      <c r="D92" s="428">
        <v>2</v>
      </c>
      <c r="I92" s="412" t="s">
        <v>1291</v>
      </c>
    </row>
    <row r="93" spans="1:9" x14ac:dyDescent="0.3">
      <c r="A93" s="15">
        <v>91</v>
      </c>
      <c r="B93" s="425" t="s">
        <v>257</v>
      </c>
      <c r="D93" s="428">
        <v>1</v>
      </c>
      <c r="I93" s="412" t="s">
        <v>257</v>
      </c>
    </row>
    <row r="94" spans="1:9" x14ac:dyDescent="0.3">
      <c r="A94" s="15">
        <v>92</v>
      </c>
      <c r="B94" s="425" t="s">
        <v>258</v>
      </c>
      <c r="D94" s="428">
        <v>8</v>
      </c>
      <c r="I94" s="423" t="s">
        <v>258</v>
      </c>
    </row>
    <row r="95" spans="1:9" x14ac:dyDescent="0.3">
      <c r="A95" s="15">
        <v>93</v>
      </c>
      <c r="B95" s="425" t="s">
        <v>259</v>
      </c>
      <c r="D95" s="428">
        <v>8</v>
      </c>
      <c r="I95" s="423" t="s">
        <v>259</v>
      </c>
    </row>
    <row r="96" spans="1:9" x14ac:dyDescent="0.3">
      <c r="A96" s="15">
        <v>94</v>
      </c>
      <c r="B96" s="425" t="s">
        <v>260</v>
      </c>
      <c r="D96" s="428">
        <v>8</v>
      </c>
      <c r="I96" s="423" t="s">
        <v>1286</v>
      </c>
    </row>
    <row r="97" spans="1:9" x14ac:dyDescent="0.3">
      <c r="A97" s="15">
        <v>95</v>
      </c>
      <c r="B97" s="425" t="s">
        <v>261</v>
      </c>
      <c r="D97" s="428">
        <v>8</v>
      </c>
      <c r="I97" s="423" t="s">
        <v>1284</v>
      </c>
    </row>
    <row r="98" spans="1:9" x14ac:dyDescent="0.3">
      <c r="A98" s="15">
        <v>96</v>
      </c>
      <c r="B98" s="425" t="s">
        <v>247</v>
      </c>
      <c r="D98" s="428">
        <v>16</v>
      </c>
    </row>
    <row r="99" spans="1:9" x14ac:dyDescent="0.3">
      <c r="A99" s="15">
        <v>97</v>
      </c>
      <c r="B99" s="425" t="s">
        <v>248</v>
      </c>
      <c r="D99" s="428">
        <v>8</v>
      </c>
    </row>
    <row r="100" spans="1:9" x14ac:dyDescent="0.3">
      <c r="A100" s="15">
        <v>98</v>
      </c>
      <c r="B100" s="425" t="s">
        <v>249</v>
      </c>
      <c r="D100" s="428">
        <v>8</v>
      </c>
    </row>
    <row r="101" spans="1:9" x14ac:dyDescent="0.3">
      <c r="A101" s="15">
        <v>99</v>
      </c>
      <c r="B101" s="425" t="s">
        <v>250</v>
      </c>
      <c r="D101" s="428">
        <v>32</v>
      </c>
    </row>
    <row r="102" spans="1:9" x14ac:dyDescent="0.3">
      <c r="A102" s="15">
        <v>100</v>
      </c>
      <c r="B102" s="425" t="s">
        <v>251</v>
      </c>
      <c r="D102" s="428">
        <v>32</v>
      </c>
    </row>
    <row r="103" spans="1:9" x14ac:dyDescent="0.3">
      <c r="A103" s="15">
        <v>101</v>
      </c>
      <c r="B103" s="425" t="s">
        <v>252</v>
      </c>
      <c r="D103" s="428">
        <v>32</v>
      </c>
    </row>
    <row r="104" spans="1:9" x14ac:dyDescent="0.3">
      <c r="A104" s="15">
        <v>102</v>
      </c>
      <c r="B104" s="425" t="s">
        <v>262</v>
      </c>
      <c r="D104" s="428">
        <v>16</v>
      </c>
      <c r="I104" s="412" t="s">
        <v>1272</v>
      </c>
    </row>
    <row r="105" spans="1:9" x14ac:dyDescent="0.3">
      <c r="A105" s="15">
        <v>103</v>
      </c>
      <c r="B105" s="425" t="s">
        <v>263</v>
      </c>
      <c r="D105" s="428">
        <v>8</v>
      </c>
      <c r="I105" s="412" t="s">
        <v>1270</v>
      </c>
    </row>
    <row r="106" spans="1:9" x14ac:dyDescent="0.3">
      <c r="A106" s="15">
        <v>104</v>
      </c>
      <c r="B106" s="425" t="s">
        <v>264</v>
      </c>
      <c r="D106" s="428">
        <v>4</v>
      </c>
      <c r="I106" s="412" t="s">
        <v>1269</v>
      </c>
    </row>
    <row r="107" spans="1:9" x14ac:dyDescent="0.3">
      <c r="A107" s="15">
        <v>105</v>
      </c>
      <c r="B107" s="425" t="s">
        <v>265</v>
      </c>
      <c r="D107" s="428">
        <v>4</v>
      </c>
      <c r="I107" s="412" t="s">
        <v>1265</v>
      </c>
    </row>
    <row r="108" spans="1:9" x14ac:dyDescent="0.3">
      <c r="A108" s="15">
        <v>106</v>
      </c>
      <c r="B108" s="426" t="s">
        <v>395</v>
      </c>
      <c r="D108" s="429">
        <v>512</v>
      </c>
      <c r="I108" s="412" t="s">
        <v>1263</v>
      </c>
    </row>
    <row r="109" spans="1:9" x14ac:dyDescent="0.3">
      <c r="A109" s="15">
        <v>107</v>
      </c>
      <c r="B109" s="426" t="s">
        <v>396</v>
      </c>
      <c r="D109" s="429">
        <v>32</v>
      </c>
      <c r="I109" s="412" t="s">
        <v>1594</v>
      </c>
    </row>
    <row r="110" spans="1:9" x14ac:dyDescent="0.3">
      <c r="A110" s="15">
        <v>108</v>
      </c>
      <c r="B110" s="426" t="s">
        <v>397</v>
      </c>
      <c r="D110" s="429">
        <v>256</v>
      </c>
      <c r="I110" s="412" t="s">
        <v>1595</v>
      </c>
    </row>
    <row r="111" spans="1:9" x14ac:dyDescent="0.3">
      <c r="A111" s="15">
        <v>109</v>
      </c>
      <c r="B111" s="426" t="s">
        <v>398</v>
      </c>
      <c r="D111" s="429">
        <v>256</v>
      </c>
      <c r="I111" s="412" t="s">
        <v>1596</v>
      </c>
    </row>
    <row r="112" spans="1:9" x14ac:dyDescent="0.3">
      <c r="A112" s="15">
        <v>110</v>
      </c>
      <c r="B112" s="426" t="s">
        <v>422</v>
      </c>
      <c r="D112" s="429">
        <v>0</v>
      </c>
      <c r="I112" s="412" t="s">
        <v>1597</v>
      </c>
    </row>
    <row r="113" spans="1:9" x14ac:dyDescent="0.3">
      <c r="A113" s="15">
        <v>111</v>
      </c>
      <c r="B113" s="427" t="s">
        <v>16</v>
      </c>
      <c r="D113" s="430">
        <v>768</v>
      </c>
      <c r="I113" s="412" t="s">
        <v>16</v>
      </c>
    </row>
    <row r="114" spans="1:9" x14ac:dyDescent="0.3">
      <c r="A114" s="15">
        <v>112</v>
      </c>
      <c r="B114" s="427" t="s">
        <v>399</v>
      </c>
      <c r="D114" s="430">
        <v>160</v>
      </c>
      <c r="I114" s="412"/>
    </row>
    <row r="115" spans="1:9" x14ac:dyDescent="0.3">
      <c r="A115" s="15">
        <v>113</v>
      </c>
      <c r="B115" s="427" t="s">
        <v>22</v>
      </c>
      <c r="D115" s="430">
        <v>32</v>
      </c>
      <c r="I115" s="412"/>
    </row>
    <row r="116" spans="1:9" x14ac:dyDescent="0.3">
      <c r="A116" s="15">
        <v>114</v>
      </c>
      <c r="B116" s="427" t="s">
        <v>884</v>
      </c>
      <c r="D116" s="430">
        <v>320</v>
      </c>
      <c r="I116" s="412"/>
    </row>
    <row r="117" spans="1:9" x14ac:dyDescent="0.3">
      <c r="A117" s="15">
        <v>115</v>
      </c>
      <c r="B117" s="427" t="s">
        <v>21</v>
      </c>
      <c r="D117" s="430">
        <v>6400</v>
      </c>
      <c r="I117" s="412"/>
    </row>
    <row r="118" spans="1:9" x14ac:dyDescent="0.3">
      <c r="A118" s="15">
        <v>116</v>
      </c>
      <c r="B118" s="427" t="s">
        <v>423</v>
      </c>
      <c r="D118" s="430">
        <v>0</v>
      </c>
      <c r="I118" s="412"/>
    </row>
    <row r="119" spans="1:9" x14ac:dyDescent="0.3">
      <c r="I119" s="412"/>
    </row>
    <row r="120" spans="1:9" x14ac:dyDescent="0.3">
      <c r="I120" s="412"/>
    </row>
    <row r="121" spans="1:9" x14ac:dyDescent="0.3">
      <c r="I121" s="412"/>
    </row>
    <row r="122" spans="1:9" x14ac:dyDescent="0.3">
      <c r="I122" s="412"/>
    </row>
    <row r="123" spans="1:9" x14ac:dyDescent="0.3">
      <c r="I123" s="412"/>
    </row>
    <row r="124" spans="1:9" x14ac:dyDescent="0.3">
      <c r="I124" s="424"/>
    </row>
    <row r="125" spans="1:9" x14ac:dyDescent="0.3">
      <c r="I125" s="424"/>
    </row>
    <row r="126" spans="1:9" x14ac:dyDescent="0.3">
      <c r="I126" s="424"/>
    </row>
    <row r="127" spans="1:9" x14ac:dyDescent="0.3">
      <c r="I127" s="424"/>
    </row>
    <row r="128" spans="1:9" x14ac:dyDescent="0.3">
      <c r="I128" s="424"/>
    </row>
    <row r="129" spans="9:9" x14ac:dyDescent="0.3">
      <c r="I129" s="424"/>
    </row>
    <row r="130" spans="9:9" x14ac:dyDescent="0.3">
      <c r="I130" s="424"/>
    </row>
    <row r="131" spans="9:9" x14ac:dyDescent="0.3">
      <c r="I131" s="424"/>
    </row>
    <row r="132" spans="9:9" x14ac:dyDescent="0.3">
      <c r="I132" s="424"/>
    </row>
    <row r="133" spans="9:9" x14ac:dyDescent="0.3">
      <c r="I133" s="424"/>
    </row>
    <row r="134" spans="9:9" x14ac:dyDescent="0.3">
      <c r="I134" s="424"/>
    </row>
    <row r="135" spans="9:9" x14ac:dyDescent="0.3">
      <c r="I135" s="424"/>
    </row>
    <row r="136" spans="9:9" x14ac:dyDescent="0.3">
      <c r="I136" s="424"/>
    </row>
    <row r="137" spans="9:9" x14ac:dyDescent="0.3">
      <c r="I137" s="424"/>
    </row>
    <row r="138" spans="9:9" x14ac:dyDescent="0.3">
      <c r="I138" s="424"/>
    </row>
    <row r="139" spans="9:9" x14ac:dyDescent="0.3">
      <c r="I139" s="424"/>
    </row>
    <row r="140" spans="9:9" x14ac:dyDescent="0.3">
      <c r="I140" s="424"/>
    </row>
    <row r="141" spans="9:9" x14ac:dyDescent="0.3">
      <c r="I141" s="424"/>
    </row>
    <row r="142" spans="9:9" x14ac:dyDescent="0.3">
      <c r="I142" s="424"/>
    </row>
    <row r="143" spans="9:9" x14ac:dyDescent="0.3">
      <c r="I143" s="424"/>
    </row>
    <row r="144" spans="9:9" x14ac:dyDescent="0.3">
      <c r="I144" s="424"/>
    </row>
    <row r="145" spans="9:9" x14ac:dyDescent="0.3">
      <c r="I145" s="424"/>
    </row>
    <row r="146" spans="9:9" x14ac:dyDescent="0.3">
      <c r="I146" s="424"/>
    </row>
    <row r="147" spans="9:9" x14ac:dyDescent="0.3">
      <c r="I147" s="424"/>
    </row>
    <row r="148" spans="9:9" x14ac:dyDescent="0.3">
      <c r="I148" s="424"/>
    </row>
    <row r="149" spans="9:9" x14ac:dyDescent="0.3">
      <c r="I149" s="424"/>
    </row>
    <row r="150" spans="9:9" x14ac:dyDescent="0.3">
      <c r="I150" s="424"/>
    </row>
    <row r="151" spans="9:9" x14ac:dyDescent="0.3">
      <c r="I151" s="424"/>
    </row>
    <row r="152" spans="9:9" x14ac:dyDescent="0.3">
      <c r="I152" s="424"/>
    </row>
    <row r="153" spans="9:9" x14ac:dyDescent="0.3">
      <c r="I153" s="424"/>
    </row>
    <row r="154" spans="9:9" x14ac:dyDescent="0.3">
      <c r="I154" s="424"/>
    </row>
    <row r="155" spans="9:9" x14ac:dyDescent="0.3">
      <c r="I155" s="412"/>
    </row>
    <row r="156" spans="9:9" x14ac:dyDescent="0.3">
      <c r="I156" s="412"/>
    </row>
    <row r="157" spans="9:9" x14ac:dyDescent="0.3">
      <c r="I157" s="412"/>
    </row>
    <row r="158" spans="9:9" x14ac:dyDescent="0.3">
      <c r="I158" s="412"/>
    </row>
    <row r="159" spans="9:9" x14ac:dyDescent="0.3">
      <c r="I159" s="412"/>
    </row>
    <row r="160" spans="9:9" x14ac:dyDescent="0.3">
      <c r="I160" s="412"/>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verticalDpi="0"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dimension ref="A1:I94"/>
  <sheetViews>
    <sheetView topLeftCell="A18" workbookViewId="0">
      <selection activeCell="B34" sqref="B34"/>
    </sheetView>
  </sheetViews>
  <sheetFormatPr defaultRowHeight="14.4" x14ac:dyDescent="0.3"/>
  <cols>
    <col min="1" max="1" width="8.88671875" style="15"/>
    <col min="2" max="2" width="44.77734375" style="15" customWidth="1"/>
    <col min="3" max="4" width="30.5546875" style="15" customWidth="1"/>
    <col min="5" max="5" width="21.109375" style="15" customWidth="1"/>
    <col min="6" max="6" width="17.21875" style="15" customWidth="1"/>
    <col min="7" max="7" width="26.88671875" style="15" customWidth="1"/>
    <col min="8" max="8" width="27.33203125" style="15" customWidth="1"/>
    <col min="9" max="9" width="21" style="15" customWidth="1"/>
    <col min="10" max="16384" width="8.88671875" style="15"/>
  </cols>
  <sheetData>
    <row r="1" spans="1:9" x14ac:dyDescent="0.3">
      <c r="A1" s="15" t="s">
        <v>1531</v>
      </c>
      <c r="B1" s="15" t="s">
        <v>1</v>
      </c>
      <c r="C1" s="15" t="s">
        <v>1551</v>
      </c>
      <c r="D1" s="15" t="s">
        <v>1560</v>
      </c>
      <c r="E1" s="15" t="s">
        <v>661</v>
      </c>
      <c r="F1" s="15" t="s">
        <v>1533</v>
      </c>
      <c r="H1" s="15" t="s">
        <v>1552</v>
      </c>
      <c r="I1" s="15" t="s">
        <v>1553</v>
      </c>
    </row>
    <row r="2" spans="1:9" x14ac:dyDescent="0.3">
      <c r="A2" s="15">
        <v>0</v>
      </c>
      <c r="B2" s="415" t="s">
        <v>64</v>
      </c>
      <c r="C2" s="15" t="s">
        <v>1554</v>
      </c>
      <c r="D2" s="15" t="s">
        <v>1554</v>
      </c>
      <c r="E2" s="314">
        <v>1</v>
      </c>
      <c r="F2" s="15">
        <v>0</v>
      </c>
      <c r="G2" s="205" t="s">
        <v>65</v>
      </c>
      <c r="H2" s="312" t="s">
        <v>613</v>
      </c>
    </row>
    <row r="3" spans="1:9" x14ac:dyDescent="0.3">
      <c r="A3" s="15">
        <v>1</v>
      </c>
      <c r="B3" s="415" t="s">
        <v>67</v>
      </c>
      <c r="C3" s="15" t="s">
        <v>1554</v>
      </c>
      <c r="D3" s="15" t="s">
        <v>1554</v>
      </c>
      <c r="E3" s="314">
        <v>1</v>
      </c>
      <c r="F3" s="15">
        <f t="shared" ref="F3:F34" si="0">E2+F2</f>
        <v>1</v>
      </c>
      <c r="G3" s="205" t="s">
        <v>68</v>
      </c>
      <c r="H3" s="312" t="s">
        <v>613</v>
      </c>
    </row>
    <row r="4" spans="1:9" x14ac:dyDescent="0.3">
      <c r="A4" s="15">
        <v>2</v>
      </c>
      <c r="B4" s="415" t="s">
        <v>71</v>
      </c>
      <c r="C4" s="15" t="s">
        <v>1554</v>
      </c>
      <c r="D4" s="15" t="s">
        <v>1554</v>
      </c>
      <c r="E4" s="314">
        <v>1</v>
      </c>
      <c r="F4" s="15">
        <f t="shared" si="0"/>
        <v>2</v>
      </c>
      <c r="G4" s="204" t="s">
        <v>72</v>
      </c>
      <c r="H4" s="312" t="s">
        <v>70</v>
      </c>
      <c r="I4" s="15">
        <v>1</v>
      </c>
    </row>
    <row r="5" spans="1:9" x14ac:dyDescent="0.3">
      <c r="A5" s="15">
        <v>3</v>
      </c>
      <c r="B5" s="415" t="s">
        <v>73</v>
      </c>
      <c r="C5" s="15" t="s">
        <v>1554</v>
      </c>
      <c r="D5" s="15" t="s">
        <v>1554</v>
      </c>
      <c r="E5" s="314">
        <v>1</v>
      </c>
      <c r="F5" s="15">
        <f t="shared" si="0"/>
        <v>3</v>
      </c>
      <c r="G5" s="205" t="s">
        <v>74</v>
      </c>
      <c r="H5" s="312" t="s">
        <v>613</v>
      </c>
    </row>
    <row r="6" spans="1:9" x14ac:dyDescent="0.3">
      <c r="A6" s="15">
        <v>4</v>
      </c>
      <c r="B6" s="415" t="s">
        <v>76</v>
      </c>
      <c r="C6" s="15" t="s">
        <v>1555</v>
      </c>
      <c r="D6" s="15" t="s">
        <v>1555</v>
      </c>
      <c r="E6" s="314">
        <v>1</v>
      </c>
      <c r="F6" s="15">
        <f t="shared" si="0"/>
        <v>4</v>
      </c>
      <c r="G6" s="204" t="s">
        <v>77</v>
      </c>
      <c r="H6" s="312" t="s">
        <v>75</v>
      </c>
      <c r="I6" s="15">
        <v>0</v>
      </c>
    </row>
    <row r="7" spans="1:9" x14ac:dyDescent="0.3">
      <c r="A7" s="15">
        <v>5</v>
      </c>
      <c r="B7" s="415" t="s">
        <v>79</v>
      </c>
      <c r="C7" s="15" t="s">
        <v>1555</v>
      </c>
      <c r="D7" s="15" t="s">
        <v>1555</v>
      </c>
      <c r="E7" s="314">
        <v>1</v>
      </c>
      <c r="F7" s="15">
        <f t="shared" si="0"/>
        <v>5</v>
      </c>
      <c r="G7" s="204" t="s">
        <v>80</v>
      </c>
      <c r="H7" s="312" t="s">
        <v>75</v>
      </c>
      <c r="I7" s="15">
        <v>0</v>
      </c>
    </row>
    <row r="8" spans="1:9" x14ac:dyDescent="0.3">
      <c r="A8" s="15">
        <v>6</v>
      </c>
      <c r="B8" s="415" t="s">
        <v>81</v>
      </c>
      <c r="C8" s="15" t="s">
        <v>1554</v>
      </c>
      <c r="D8" s="15" t="s">
        <v>1554</v>
      </c>
      <c r="E8" s="314">
        <v>1</v>
      </c>
      <c r="F8" s="15">
        <f t="shared" si="0"/>
        <v>6</v>
      </c>
      <c r="G8" s="205" t="s">
        <v>82</v>
      </c>
      <c r="H8" s="278" t="s">
        <v>1180</v>
      </c>
      <c r="I8" s="15">
        <v>1</v>
      </c>
    </row>
    <row r="9" spans="1:9" x14ac:dyDescent="0.3">
      <c r="A9" s="15">
        <v>7</v>
      </c>
      <c r="B9" s="415" t="s">
        <v>83</v>
      </c>
      <c r="C9" s="15" t="s">
        <v>1554</v>
      </c>
      <c r="D9" s="422" t="s">
        <v>1555</v>
      </c>
      <c r="E9" s="314">
        <v>1</v>
      </c>
      <c r="F9" s="15">
        <f t="shared" si="0"/>
        <v>7</v>
      </c>
      <c r="G9" s="205" t="s">
        <v>84</v>
      </c>
      <c r="H9" s="431" t="s">
        <v>1527</v>
      </c>
      <c r="I9" s="15">
        <v>1</v>
      </c>
    </row>
    <row r="10" spans="1:9" x14ac:dyDescent="0.3">
      <c r="A10" s="15">
        <v>8</v>
      </c>
      <c r="B10" s="415" t="s">
        <v>85</v>
      </c>
      <c r="C10" s="15" t="s">
        <v>1554</v>
      </c>
      <c r="D10" s="15" t="s">
        <v>1554</v>
      </c>
      <c r="E10" s="314">
        <v>1</v>
      </c>
      <c r="F10" s="15">
        <f t="shared" si="0"/>
        <v>8</v>
      </c>
      <c r="G10" s="205" t="s">
        <v>86</v>
      </c>
      <c r="H10" s="312" t="s">
        <v>613</v>
      </c>
    </row>
    <row r="11" spans="1:9" ht="28.8" x14ac:dyDescent="0.3">
      <c r="A11" s="15">
        <v>9</v>
      </c>
      <c r="B11" s="415" t="s">
        <v>811</v>
      </c>
      <c r="C11" s="15" t="s">
        <v>1555</v>
      </c>
      <c r="D11" s="422" t="s">
        <v>1605</v>
      </c>
      <c r="E11" s="314">
        <v>1</v>
      </c>
      <c r="F11" s="15">
        <f t="shared" si="0"/>
        <v>9</v>
      </c>
      <c r="G11" s="207" t="s">
        <v>88</v>
      </c>
      <c r="H11" s="312" t="s">
        <v>809</v>
      </c>
      <c r="I11" s="15">
        <v>0</v>
      </c>
    </row>
    <row r="12" spans="1:9" x14ac:dyDescent="0.3">
      <c r="A12" s="15">
        <v>10</v>
      </c>
      <c r="B12" s="415" t="s">
        <v>89</v>
      </c>
      <c r="C12" s="15" t="s">
        <v>1555</v>
      </c>
      <c r="D12" s="15" t="s">
        <v>1555</v>
      </c>
      <c r="E12" s="314">
        <v>1</v>
      </c>
      <c r="F12" s="15">
        <f t="shared" si="0"/>
        <v>10</v>
      </c>
      <c r="G12" s="204" t="s">
        <v>90</v>
      </c>
      <c r="H12" s="312" t="s">
        <v>647</v>
      </c>
      <c r="I12" s="15">
        <v>0</v>
      </c>
    </row>
    <row r="13" spans="1:9" x14ac:dyDescent="0.3">
      <c r="A13" s="15">
        <v>11</v>
      </c>
      <c r="B13" s="415" t="s">
        <v>92</v>
      </c>
      <c r="C13" s="15" t="s">
        <v>1555</v>
      </c>
      <c r="D13" s="15" t="s">
        <v>1555</v>
      </c>
      <c r="E13" s="314">
        <v>1</v>
      </c>
      <c r="F13" s="15">
        <f t="shared" si="0"/>
        <v>11</v>
      </c>
      <c r="G13" s="204" t="s">
        <v>93</v>
      </c>
      <c r="H13" s="312" t="s">
        <v>91</v>
      </c>
      <c r="I13" s="15">
        <v>0</v>
      </c>
    </row>
    <row r="14" spans="1:9" x14ac:dyDescent="0.3">
      <c r="A14" s="15">
        <v>12</v>
      </c>
      <c r="B14" s="415" t="s">
        <v>94</v>
      </c>
      <c r="C14" s="15" t="s">
        <v>1555</v>
      </c>
      <c r="D14" s="15" t="s">
        <v>1555</v>
      </c>
      <c r="E14" s="314">
        <v>1</v>
      </c>
      <c r="F14" s="15">
        <f t="shared" si="0"/>
        <v>12</v>
      </c>
      <c r="G14" s="204" t="s">
        <v>95</v>
      </c>
      <c r="H14" s="312" t="s">
        <v>649</v>
      </c>
      <c r="I14" s="15">
        <v>0</v>
      </c>
    </row>
    <row r="15" spans="1:9" x14ac:dyDescent="0.3">
      <c r="A15" s="15">
        <v>13</v>
      </c>
      <c r="B15" s="415" t="s">
        <v>96</v>
      </c>
      <c r="C15" s="15" t="s">
        <v>1555</v>
      </c>
      <c r="D15" s="15" t="s">
        <v>1555</v>
      </c>
      <c r="E15" s="314">
        <v>1</v>
      </c>
      <c r="F15" s="15">
        <f t="shared" si="0"/>
        <v>13</v>
      </c>
      <c r="G15" s="204" t="s">
        <v>97</v>
      </c>
      <c r="H15" s="312" t="s">
        <v>172</v>
      </c>
      <c r="I15" s="15">
        <v>0</v>
      </c>
    </row>
    <row r="16" spans="1:9" x14ac:dyDescent="0.3">
      <c r="A16" s="15">
        <v>14</v>
      </c>
      <c r="B16" s="415" t="s">
        <v>98</v>
      </c>
      <c r="C16" s="15" t="s">
        <v>1554</v>
      </c>
      <c r="D16" s="15" t="s">
        <v>1554</v>
      </c>
      <c r="E16" s="314">
        <v>1</v>
      </c>
      <c r="F16" s="15">
        <f t="shared" si="0"/>
        <v>14</v>
      </c>
      <c r="G16" s="205" t="s">
        <v>99</v>
      </c>
      <c r="H16" s="312" t="s">
        <v>613</v>
      </c>
    </row>
    <row r="17" spans="1:9" x14ac:dyDescent="0.3">
      <c r="A17" s="15">
        <v>15</v>
      </c>
      <c r="B17" s="415" t="s">
        <v>101</v>
      </c>
      <c r="C17" s="15" t="s">
        <v>1555</v>
      </c>
      <c r="D17" s="15" t="s">
        <v>1555</v>
      </c>
      <c r="E17" s="314">
        <v>1</v>
      </c>
      <c r="F17" s="15">
        <f t="shared" si="0"/>
        <v>15</v>
      </c>
      <c r="G17" s="204" t="s">
        <v>102</v>
      </c>
      <c r="H17" s="312" t="s">
        <v>100</v>
      </c>
      <c r="I17" s="15">
        <v>0</v>
      </c>
    </row>
    <row r="18" spans="1:9" x14ac:dyDescent="0.3">
      <c r="A18" s="15">
        <v>16</v>
      </c>
      <c r="B18" s="415" t="s">
        <v>103</v>
      </c>
      <c r="C18" s="15" t="s">
        <v>1554</v>
      </c>
      <c r="D18" s="15" t="s">
        <v>1554</v>
      </c>
      <c r="E18" s="314">
        <v>1</v>
      </c>
      <c r="F18" s="15">
        <f t="shared" si="0"/>
        <v>16</v>
      </c>
      <c r="G18" s="205" t="s">
        <v>104</v>
      </c>
      <c r="H18" s="312" t="s">
        <v>613</v>
      </c>
    </row>
    <row r="19" spans="1:9" x14ac:dyDescent="0.3">
      <c r="A19" s="15">
        <v>17</v>
      </c>
      <c r="B19" s="415" t="s">
        <v>105</v>
      </c>
      <c r="C19" s="15" t="s">
        <v>1554</v>
      </c>
      <c r="D19" s="15" t="s">
        <v>1554</v>
      </c>
      <c r="E19" s="314">
        <v>1</v>
      </c>
      <c r="F19" s="15">
        <f t="shared" si="0"/>
        <v>17</v>
      </c>
      <c r="G19" s="205" t="s">
        <v>106</v>
      </c>
      <c r="H19" s="312" t="s">
        <v>613</v>
      </c>
    </row>
    <row r="20" spans="1:9" x14ac:dyDescent="0.3">
      <c r="A20" s="15">
        <v>18</v>
      </c>
      <c r="B20" s="415" t="s">
        <v>107</v>
      </c>
      <c r="C20" s="15" t="s">
        <v>1555</v>
      </c>
      <c r="D20" s="15" t="s">
        <v>1555</v>
      </c>
      <c r="E20" s="314">
        <v>5</v>
      </c>
      <c r="F20" s="15">
        <f t="shared" si="0"/>
        <v>18</v>
      </c>
      <c r="G20" s="204" t="s">
        <v>1123</v>
      </c>
      <c r="H20" s="312" t="s">
        <v>100</v>
      </c>
      <c r="I20" s="15">
        <v>0</v>
      </c>
    </row>
    <row r="21" spans="1:9" ht="28.8" x14ac:dyDescent="0.3">
      <c r="A21" s="15">
        <v>19</v>
      </c>
      <c r="B21" s="416" t="s">
        <v>109</v>
      </c>
      <c r="C21" s="15" t="s">
        <v>1555</v>
      </c>
      <c r="D21" s="15" t="s">
        <v>1555</v>
      </c>
      <c r="E21" s="341">
        <v>1</v>
      </c>
      <c r="F21" s="15">
        <f t="shared" si="0"/>
        <v>23</v>
      </c>
      <c r="G21" s="204" t="s">
        <v>110</v>
      </c>
      <c r="H21" s="339" t="s">
        <v>108</v>
      </c>
      <c r="I21" s="15">
        <v>0</v>
      </c>
    </row>
    <row r="22" spans="1:9" ht="28.8" x14ac:dyDescent="0.3">
      <c r="A22" s="15">
        <v>20</v>
      </c>
      <c r="B22" s="416" t="s">
        <v>111</v>
      </c>
      <c r="C22" s="15" t="s">
        <v>1555</v>
      </c>
      <c r="D22" s="15" t="s">
        <v>1555</v>
      </c>
      <c r="E22" s="341">
        <v>1</v>
      </c>
      <c r="F22" s="15">
        <f t="shared" si="0"/>
        <v>24</v>
      </c>
      <c r="G22" s="204" t="s">
        <v>112</v>
      </c>
      <c r="H22" s="339" t="s">
        <v>108</v>
      </c>
      <c r="I22" s="15">
        <v>0</v>
      </c>
    </row>
    <row r="23" spans="1:9" ht="28.8" x14ac:dyDescent="0.3">
      <c r="A23" s="15">
        <v>21</v>
      </c>
      <c r="B23" s="416" t="s">
        <v>113</v>
      </c>
      <c r="C23" s="15" t="s">
        <v>1555</v>
      </c>
      <c r="D23" s="15" t="s">
        <v>1555</v>
      </c>
      <c r="E23" s="341">
        <v>1</v>
      </c>
      <c r="F23" s="15">
        <f t="shared" si="0"/>
        <v>25</v>
      </c>
      <c r="G23" s="204" t="s">
        <v>114</v>
      </c>
      <c r="H23" s="339" t="s">
        <v>108</v>
      </c>
      <c r="I23" s="15">
        <v>0</v>
      </c>
    </row>
    <row r="24" spans="1:9" ht="28.8" x14ac:dyDescent="0.3">
      <c r="A24" s="15">
        <v>22</v>
      </c>
      <c r="B24" s="416" t="s">
        <v>115</v>
      </c>
      <c r="C24" s="15" t="s">
        <v>1555</v>
      </c>
      <c r="D24" s="15" t="s">
        <v>1555</v>
      </c>
      <c r="E24" s="341">
        <v>1</v>
      </c>
      <c r="F24" s="15">
        <f t="shared" si="0"/>
        <v>26</v>
      </c>
      <c r="G24" s="204" t="s">
        <v>116</v>
      </c>
      <c r="H24" s="339" t="s">
        <v>108</v>
      </c>
      <c r="I24" s="15">
        <v>0</v>
      </c>
    </row>
    <row r="25" spans="1:9" ht="28.8" x14ac:dyDescent="0.3">
      <c r="A25" s="15">
        <v>23</v>
      </c>
      <c r="B25" s="416" t="s">
        <v>117</v>
      </c>
      <c r="C25" s="15" t="s">
        <v>1555</v>
      </c>
      <c r="D25" s="15" t="s">
        <v>1555</v>
      </c>
      <c r="E25" s="341">
        <v>1</v>
      </c>
      <c r="F25" s="15">
        <f t="shared" si="0"/>
        <v>27</v>
      </c>
      <c r="G25" s="204" t="s">
        <v>118</v>
      </c>
      <c r="H25" s="339" t="s">
        <v>108</v>
      </c>
      <c r="I25" s="15">
        <v>0</v>
      </c>
    </row>
    <row r="26" spans="1:9" x14ac:dyDescent="0.3">
      <c r="A26" s="15">
        <v>24</v>
      </c>
      <c r="B26" s="415" t="s">
        <v>120</v>
      </c>
      <c r="C26" s="15" t="s">
        <v>1555</v>
      </c>
      <c r="D26" s="15" t="s">
        <v>1555</v>
      </c>
      <c r="E26" s="314">
        <v>1</v>
      </c>
      <c r="F26" s="15">
        <f t="shared" si="0"/>
        <v>28</v>
      </c>
      <c r="G26" s="204" t="s">
        <v>121</v>
      </c>
      <c r="H26" s="312" t="s">
        <v>119</v>
      </c>
      <c r="I26" s="15">
        <v>0</v>
      </c>
    </row>
    <row r="27" spans="1:9" x14ac:dyDescent="0.3">
      <c r="A27" s="15">
        <v>25</v>
      </c>
      <c r="B27" s="415" t="s">
        <v>123</v>
      </c>
      <c r="C27" s="15" t="s">
        <v>1555</v>
      </c>
      <c r="D27" s="15" t="s">
        <v>1555</v>
      </c>
      <c r="E27" s="314">
        <v>1</v>
      </c>
      <c r="F27" s="15">
        <f t="shared" si="0"/>
        <v>29</v>
      </c>
      <c r="G27" s="204" t="s">
        <v>124</v>
      </c>
      <c r="H27" s="312" t="s">
        <v>122</v>
      </c>
      <c r="I27" s="15">
        <v>0</v>
      </c>
    </row>
    <row r="28" spans="1:9" x14ac:dyDescent="0.3">
      <c r="A28" s="15">
        <v>26</v>
      </c>
      <c r="B28" s="415" t="s">
        <v>126</v>
      </c>
      <c r="C28" s="15" t="s">
        <v>1555</v>
      </c>
      <c r="D28" s="15" t="s">
        <v>1555</v>
      </c>
      <c r="E28" s="314">
        <v>1</v>
      </c>
      <c r="F28" s="15">
        <f t="shared" si="0"/>
        <v>30</v>
      </c>
      <c r="G28" s="204" t="s">
        <v>127</v>
      </c>
      <c r="H28" s="312" t="s">
        <v>125</v>
      </c>
      <c r="I28" s="15">
        <v>0</v>
      </c>
    </row>
    <row r="29" spans="1:9" x14ac:dyDescent="0.3">
      <c r="A29" s="15">
        <v>27</v>
      </c>
      <c r="B29" s="415" t="s">
        <v>129</v>
      </c>
      <c r="C29" s="15" t="s">
        <v>1555</v>
      </c>
      <c r="D29" s="15" t="s">
        <v>1555</v>
      </c>
      <c r="E29" s="314">
        <v>3</v>
      </c>
      <c r="F29" s="15">
        <f t="shared" si="0"/>
        <v>31</v>
      </c>
      <c r="G29" s="204" t="s">
        <v>130</v>
      </c>
      <c r="H29" s="312" t="s">
        <v>100</v>
      </c>
      <c r="I29" s="15">
        <v>0</v>
      </c>
    </row>
    <row r="30" spans="1:9" ht="28.8" x14ac:dyDescent="0.3">
      <c r="A30" s="15">
        <v>28</v>
      </c>
      <c r="B30" s="416" t="s">
        <v>131</v>
      </c>
      <c r="C30" s="15" t="s">
        <v>1555</v>
      </c>
      <c r="D30" s="15" t="s">
        <v>1555</v>
      </c>
      <c r="E30" s="341">
        <v>1</v>
      </c>
      <c r="F30" s="15">
        <f t="shared" si="0"/>
        <v>34</v>
      </c>
      <c r="G30" s="204" t="s">
        <v>132</v>
      </c>
      <c r="H30" s="339" t="s">
        <v>108</v>
      </c>
      <c r="I30" s="15">
        <v>0</v>
      </c>
    </row>
    <row r="31" spans="1:9" x14ac:dyDescent="0.3">
      <c r="A31" s="15">
        <v>29</v>
      </c>
      <c r="B31" s="416" t="s">
        <v>1301</v>
      </c>
      <c r="C31" s="15" t="s">
        <v>1555</v>
      </c>
      <c r="D31" s="15" t="s">
        <v>1555</v>
      </c>
      <c r="E31" s="341">
        <v>1</v>
      </c>
      <c r="F31" s="15">
        <f t="shared" si="0"/>
        <v>35</v>
      </c>
      <c r="G31" s="204" t="s">
        <v>374</v>
      </c>
      <c r="H31" s="339" t="s">
        <v>48</v>
      </c>
      <c r="I31" s="15">
        <v>0</v>
      </c>
    </row>
    <row r="32" spans="1:9" ht="28.8" x14ac:dyDescent="0.3">
      <c r="A32" s="15">
        <v>30</v>
      </c>
      <c r="B32" s="416" t="s">
        <v>376</v>
      </c>
      <c r="C32" s="15" t="s">
        <v>1555</v>
      </c>
      <c r="D32" s="15" t="s">
        <v>1555</v>
      </c>
      <c r="E32" s="341">
        <v>1</v>
      </c>
      <c r="F32" s="15">
        <f t="shared" si="0"/>
        <v>36</v>
      </c>
      <c r="G32" s="204" t="s">
        <v>375</v>
      </c>
      <c r="H32" s="339" t="s">
        <v>1148</v>
      </c>
      <c r="I32" s="15">
        <v>0</v>
      </c>
    </row>
    <row r="33" spans="1:9" x14ac:dyDescent="0.3">
      <c r="A33" s="15">
        <v>31</v>
      </c>
      <c r="B33" s="417" t="s">
        <v>134</v>
      </c>
      <c r="C33" s="15" t="s">
        <v>1555</v>
      </c>
      <c r="D33" s="15" t="s">
        <v>1555</v>
      </c>
      <c r="E33" s="314">
        <v>1</v>
      </c>
      <c r="F33" s="15">
        <f t="shared" si="0"/>
        <v>37</v>
      </c>
      <c r="G33" s="204" t="s">
        <v>135</v>
      </c>
      <c r="H33" s="312" t="s">
        <v>133</v>
      </c>
      <c r="I33" s="15">
        <v>0</v>
      </c>
    </row>
    <row r="34" spans="1:9" x14ac:dyDescent="0.3">
      <c r="A34" s="15">
        <v>32</v>
      </c>
      <c r="B34" s="415" t="s">
        <v>136</v>
      </c>
      <c r="C34" s="15" t="s">
        <v>1555</v>
      </c>
      <c r="D34" s="15" t="s">
        <v>1555</v>
      </c>
      <c r="E34" s="314">
        <v>1</v>
      </c>
      <c r="F34" s="15">
        <f t="shared" si="0"/>
        <v>38</v>
      </c>
      <c r="G34" s="204" t="s">
        <v>137</v>
      </c>
      <c r="H34" s="312" t="s">
        <v>125</v>
      </c>
      <c r="I34" s="15">
        <v>0</v>
      </c>
    </row>
    <row r="35" spans="1:9" x14ac:dyDescent="0.3">
      <c r="A35" s="15">
        <v>33</v>
      </c>
      <c r="B35" s="415" t="s">
        <v>138</v>
      </c>
      <c r="C35" s="15" t="s">
        <v>1554</v>
      </c>
      <c r="D35" s="15" t="s">
        <v>1554</v>
      </c>
      <c r="E35" s="314">
        <v>1</v>
      </c>
      <c r="F35" s="15">
        <f t="shared" ref="F35:F66" si="1">E34+F34</f>
        <v>39</v>
      </c>
      <c r="G35" s="205" t="s">
        <v>139</v>
      </c>
      <c r="H35" s="312" t="s">
        <v>613</v>
      </c>
    </row>
    <row r="36" spans="1:9" x14ac:dyDescent="0.3">
      <c r="A36" s="15">
        <v>34</v>
      </c>
      <c r="B36" s="415" t="s">
        <v>142</v>
      </c>
      <c r="C36" s="15" t="s">
        <v>1555</v>
      </c>
      <c r="D36" s="15" t="s">
        <v>1555</v>
      </c>
      <c r="E36" s="314">
        <v>1</v>
      </c>
      <c r="F36" s="15">
        <f t="shared" si="1"/>
        <v>40</v>
      </c>
      <c r="G36" s="204" t="s">
        <v>143</v>
      </c>
      <c r="H36" s="312" t="s">
        <v>640</v>
      </c>
      <c r="I36" s="15">
        <v>0</v>
      </c>
    </row>
    <row r="37" spans="1:9" x14ac:dyDescent="0.3">
      <c r="A37" s="15">
        <v>35</v>
      </c>
      <c r="B37" s="415" t="s">
        <v>145</v>
      </c>
      <c r="C37" s="15" t="s">
        <v>1555</v>
      </c>
      <c r="D37" s="15" t="s">
        <v>1555</v>
      </c>
      <c r="E37" s="314">
        <v>1</v>
      </c>
      <c r="F37" s="15">
        <f t="shared" si="1"/>
        <v>41</v>
      </c>
      <c r="G37" s="204" t="s">
        <v>146</v>
      </c>
      <c r="H37" s="312" t="s">
        <v>144</v>
      </c>
      <c r="I37" s="15">
        <v>0</v>
      </c>
    </row>
    <row r="38" spans="1:9" x14ac:dyDescent="0.3">
      <c r="A38" s="15">
        <v>36</v>
      </c>
      <c r="B38" s="415" t="s">
        <v>148</v>
      </c>
      <c r="C38" s="15" t="s">
        <v>1555</v>
      </c>
      <c r="D38" s="15" t="s">
        <v>1555</v>
      </c>
      <c r="E38" s="314">
        <v>1</v>
      </c>
      <c r="F38" s="15">
        <f t="shared" si="1"/>
        <v>42</v>
      </c>
      <c r="G38" s="204" t="s">
        <v>149</v>
      </c>
      <c r="H38" s="312" t="s">
        <v>147</v>
      </c>
      <c r="I38" s="15">
        <v>0</v>
      </c>
    </row>
    <row r="39" spans="1:9" x14ac:dyDescent="0.3">
      <c r="A39" s="15">
        <v>37</v>
      </c>
      <c r="B39" s="415" t="s">
        <v>150</v>
      </c>
      <c r="C39" s="15" t="s">
        <v>1554</v>
      </c>
      <c r="D39" s="15" t="s">
        <v>1554</v>
      </c>
      <c r="E39" s="314">
        <v>1</v>
      </c>
      <c r="F39" s="15">
        <f t="shared" si="1"/>
        <v>43</v>
      </c>
      <c r="G39" s="205" t="s">
        <v>151</v>
      </c>
      <c r="H39" s="279" t="s">
        <v>1182</v>
      </c>
      <c r="I39" s="15">
        <v>1</v>
      </c>
    </row>
    <row r="40" spans="1:9" x14ac:dyDescent="0.3">
      <c r="A40" s="15">
        <v>38</v>
      </c>
      <c r="B40" s="415" t="s">
        <v>153</v>
      </c>
      <c r="C40" s="15" t="s">
        <v>1555</v>
      </c>
      <c r="D40" s="15" t="s">
        <v>1555</v>
      </c>
      <c r="E40" s="314">
        <v>1</v>
      </c>
      <c r="F40" s="15">
        <f t="shared" si="1"/>
        <v>44</v>
      </c>
      <c r="G40" s="204" t="s">
        <v>154</v>
      </c>
      <c r="H40" s="312" t="s">
        <v>643</v>
      </c>
      <c r="I40" s="15">
        <v>0</v>
      </c>
    </row>
    <row r="41" spans="1:9" x14ac:dyDescent="0.3">
      <c r="A41" s="15">
        <v>39</v>
      </c>
      <c r="B41" s="415" t="s">
        <v>155</v>
      </c>
      <c r="C41" s="15" t="s">
        <v>1555</v>
      </c>
      <c r="D41" s="15" t="s">
        <v>1555</v>
      </c>
      <c r="E41" s="314">
        <v>1</v>
      </c>
      <c r="F41" s="15">
        <f t="shared" si="1"/>
        <v>45</v>
      </c>
      <c r="G41" s="204" t="s">
        <v>156</v>
      </c>
      <c r="H41" s="312" t="s">
        <v>636</v>
      </c>
      <c r="I41" s="15">
        <v>0</v>
      </c>
    </row>
    <row r="42" spans="1:9" x14ac:dyDescent="0.3">
      <c r="A42" s="15">
        <v>40</v>
      </c>
      <c r="B42" s="415" t="s">
        <v>157</v>
      </c>
      <c r="C42" s="15" t="s">
        <v>1554</v>
      </c>
      <c r="D42" s="15" t="s">
        <v>1554</v>
      </c>
      <c r="E42" s="314">
        <v>1</v>
      </c>
      <c r="F42" s="15">
        <f t="shared" si="1"/>
        <v>46</v>
      </c>
      <c r="G42" s="205" t="s">
        <v>158</v>
      </c>
      <c r="H42" s="269" t="s">
        <v>157</v>
      </c>
      <c r="I42" s="15">
        <v>1</v>
      </c>
    </row>
    <row r="43" spans="1:9" x14ac:dyDescent="0.3">
      <c r="A43" s="15">
        <v>41</v>
      </c>
      <c r="B43" s="415" t="s">
        <v>159</v>
      </c>
      <c r="C43" s="15" t="s">
        <v>1554</v>
      </c>
      <c r="D43" s="15" t="s">
        <v>1554</v>
      </c>
      <c r="E43" s="314">
        <v>1</v>
      </c>
      <c r="F43" s="15">
        <f t="shared" si="1"/>
        <v>47</v>
      </c>
      <c r="G43" s="204" t="s">
        <v>160</v>
      </c>
      <c r="H43" s="312" t="s">
        <v>645</v>
      </c>
      <c r="I43" s="15">
        <v>1</v>
      </c>
    </row>
    <row r="44" spans="1:9" x14ac:dyDescent="0.3">
      <c r="A44" s="15">
        <v>42</v>
      </c>
      <c r="B44" s="415" t="s">
        <v>161</v>
      </c>
      <c r="C44" s="15" t="s">
        <v>1555</v>
      </c>
      <c r="D44" s="15" t="s">
        <v>1555</v>
      </c>
      <c r="E44" s="314">
        <v>1</v>
      </c>
      <c r="F44" s="15">
        <f t="shared" si="1"/>
        <v>48</v>
      </c>
      <c r="G44" s="204" t="s">
        <v>162</v>
      </c>
      <c r="H44" s="312" t="s">
        <v>641</v>
      </c>
      <c r="I44" s="15">
        <v>0</v>
      </c>
    </row>
    <row r="45" spans="1:9" ht="28.8" x14ac:dyDescent="0.3">
      <c r="A45" s="15">
        <v>43</v>
      </c>
      <c r="B45" s="415" t="s">
        <v>163</v>
      </c>
      <c r="C45" s="15" t="s">
        <v>1554</v>
      </c>
      <c r="D45" s="15" t="s">
        <v>1554</v>
      </c>
      <c r="E45" s="314">
        <v>3</v>
      </c>
      <c r="F45" s="15">
        <f t="shared" si="1"/>
        <v>49</v>
      </c>
      <c r="G45" s="205" t="s">
        <v>164</v>
      </c>
      <c r="H45" s="269" t="s">
        <v>163</v>
      </c>
      <c r="I45" s="15">
        <v>1</v>
      </c>
    </row>
    <row r="46" spans="1:9" x14ac:dyDescent="0.3">
      <c r="A46" s="15">
        <v>44</v>
      </c>
      <c r="B46" s="415" t="s">
        <v>165</v>
      </c>
      <c r="C46" s="15" t="s">
        <v>1555</v>
      </c>
      <c r="D46" s="15" t="s">
        <v>1555</v>
      </c>
      <c r="E46" s="314">
        <v>1</v>
      </c>
      <c r="F46" s="15">
        <f t="shared" si="1"/>
        <v>52</v>
      </c>
      <c r="G46" s="204" t="s">
        <v>166</v>
      </c>
      <c r="H46" s="312" t="s">
        <v>642</v>
      </c>
      <c r="I46" s="15">
        <v>0</v>
      </c>
    </row>
    <row r="47" spans="1:9" x14ac:dyDescent="0.3">
      <c r="A47" s="15">
        <v>45</v>
      </c>
      <c r="B47" s="415" t="s">
        <v>167</v>
      </c>
      <c r="C47" s="15" t="s">
        <v>1554</v>
      </c>
      <c r="D47" s="15" t="s">
        <v>1554</v>
      </c>
      <c r="E47" s="314">
        <v>1</v>
      </c>
      <c r="F47" s="15">
        <f t="shared" si="1"/>
        <v>53</v>
      </c>
      <c r="G47" s="204" t="s">
        <v>168</v>
      </c>
      <c r="H47" s="312" t="s">
        <v>651</v>
      </c>
      <c r="I47" s="15">
        <v>1</v>
      </c>
    </row>
    <row r="48" spans="1:9" x14ac:dyDescent="0.3">
      <c r="A48" s="15">
        <v>46</v>
      </c>
      <c r="B48" s="415" t="s">
        <v>169</v>
      </c>
      <c r="C48" s="15" t="s">
        <v>1555</v>
      </c>
      <c r="D48" s="15" t="s">
        <v>1555</v>
      </c>
      <c r="E48" s="314">
        <v>1</v>
      </c>
      <c r="F48" s="15">
        <f t="shared" si="1"/>
        <v>54</v>
      </c>
      <c r="G48" s="204" t="s">
        <v>170</v>
      </c>
      <c r="H48" s="312" t="s">
        <v>639</v>
      </c>
      <c r="I48" s="15">
        <v>0</v>
      </c>
    </row>
    <row r="49" spans="1:9" x14ac:dyDescent="0.3">
      <c r="A49" s="15">
        <v>47</v>
      </c>
      <c r="B49" s="415" t="s">
        <v>673</v>
      </c>
      <c r="C49" s="15" t="s">
        <v>1554</v>
      </c>
      <c r="D49" s="15" t="s">
        <v>1554</v>
      </c>
      <c r="E49" s="314">
        <v>1</v>
      </c>
      <c r="F49" s="15">
        <f t="shared" si="1"/>
        <v>55</v>
      </c>
      <c r="G49" s="204" t="s">
        <v>171</v>
      </c>
      <c r="H49" s="312" t="s">
        <v>637</v>
      </c>
      <c r="I49" s="15">
        <v>1</v>
      </c>
    </row>
    <row r="50" spans="1:9" x14ac:dyDescent="0.3">
      <c r="A50" s="15">
        <v>48</v>
      </c>
      <c r="B50" s="415" t="s">
        <v>173</v>
      </c>
      <c r="C50" s="15" t="s">
        <v>1555</v>
      </c>
      <c r="D50" s="15" t="s">
        <v>1555</v>
      </c>
      <c r="E50" s="314">
        <v>1</v>
      </c>
      <c r="F50" s="15">
        <f t="shared" si="1"/>
        <v>56</v>
      </c>
      <c r="G50" s="204" t="s">
        <v>174</v>
      </c>
      <c r="H50" s="312" t="s">
        <v>172</v>
      </c>
      <c r="I50" s="15">
        <v>0</v>
      </c>
    </row>
    <row r="51" spans="1:9" x14ac:dyDescent="0.3">
      <c r="A51" s="15">
        <v>49</v>
      </c>
      <c r="B51" s="415" t="s">
        <v>176</v>
      </c>
      <c r="C51" s="15" t="s">
        <v>1555</v>
      </c>
      <c r="D51" s="15" t="s">
        <v>1555</v>
      </c>
      <c r="E51" s="314">
        <v>1</v>
      </c>
      <c r="F51" s="15">
        <f t="shared" si="1"/>
        <v>57</v>
      </c>
      <c r="G51" s="204" t="s">
        <v>177</v>
      </c>
      <c r="H51" s="312" t="s">
        <v>172</v>
      </c>
      <c r="I51" s="15">
        <v>0</v>
      </c>
    </row>
    <row r="52" spans="1:9" x14ac:dyDescent="0.3">
      <c r="A52" s="15">
        <v>50</v>
      </c>
      <c r="B52" s="415" t="s">
        <v>178</v>
      </c>
      <c r="C52" s="15" t="s">
        <v>1555</v>
      </c>
      <c r="D52" s="15" t="s">
        <v>1555</v>
      </c>
      <c r="E52" s="314">
        <v>1</v>
      </c>
      <c r="F52" s="15">
        <f t="shared" si="1"/>
        <v>58</v>
      </c>
      <c r="G52" s="204" t="s">
        <v>179</v>
      </c>
      <c r="H52" s="312" t="s">
        <v>172</v>
      </c>
      <c r="I52" s="15">
        <v>0</v>
      </c>
    </row>
    <row r="53" spans="1:9" x14ac:dyDescent="0.3">
      <c r="A53" s="15">
        <v>51</v>
      </c>
      <c r="B53" s="415" t="s">
        <v>180</v>
      </c>
      <c r="C53" s="15" t="s">
        <v>1555</v>
      </c>
      <c r="D53" s="15" t="s">
        <v>1555</v>
      </c>
      <c r="E53" s="314">
        <v>1</v>
      </c>
      <c r="F53" s="15">
        <f t="shared" si="1"/>
        <v>59</v>
      </c>
      <c r="G53" s="204" t="s">
        <v>181</v>
      </c>
      <c r="H53" s="312" t="s">
        <v>638</v>
      </c>
      <c r="I53" s="15">
        <v>0</v>
      </c>
    </row>
    <row r="54" spans="1:9" x14ac:dyDescent="0.3">
      <c r="A54" s="15">
        <v>52</v>
      </c>
      <c r="B54" s="415" t="s">
        <v>182</v>
      </c>
      <c r="C54" s="15" t="s">
        <v>1555</v>
      </c>
      <c r="D54" s="15" t="s">
        <v>1555</v>
      </c>
      <c r="E54" s="314">
        <v>1</v>
      </c>
      <c r="F54" s="15">
        <f t="shared" si="1"/>
        <v>60</v>
      </c>
      <c r="G54" s="204" t="s">
        <v>183</v>
      </c>
      <c r="H54" s="312" t="s">
        <v>635</v>
      </c>
      <c r="I54" s="15">
        <v>0</v>
      </c>
    </row>
    <row r="55" spans="1:9" x14ac:dyDescent="0.3">
      <c r="A55" s="15">
        <v>53</v>
      </c>
      <c r="B55" s="415" t="s">
        <v>184</v>
      </c>
      <c r="C55" s="15" t="s">
        <v>1555</v>
      </c>
      <c r="D55" s="15" t="s">
        <v>1555</v>
      </c>
      <c r="E55" s="314">
        <v>1</v>
      </c>
      <c r="F55" s="15">
        <f t="shared" si="1"/>
        <v>61</v>
      </c>
      <c r="G55" s="204" t="s">
        <v>185</v>
      </c>
      <c r="H55" s="312" t="s">
        <v>644</v>
      </c>
      <c r="I55" s="15">
        <v>0</v>
      </c>
    </row>
    <row r="56" spans="1:9" x14ac:dyDescent="0.3">
      <c r="A56" s="15">
        <v>54</v>
      </c>
      <c r="B56" s="415" t="s">
        <v>187</v>
      </c>
      <c r="C56" s="15" t="s">
        <v>1555</v>
      </c>
      <c r="D56" s="15" t="s">
        <v>1555</v>
      </c>
      <c r="E56" s="314">
        <v>2</v>
      </c>
      <c r="F56" s="15">
        <f t="shared" si="1"/>
        <v>62</v>
      </c>
      <c r="G56" s="204" t="s">
        <v>188</v>
      </c>
      <c r="H56" s="312" t="s">
        <v>186</v>
      </c>
      <c r="I56" s="15">
        <v>0</v>
      </c>
    </row>
    <row r="57" spans="1:9" x14ac:dyDescent="0.3">
      <c r="A57" s="15">
        <v>55</v>
      </c>
      <c r="B57" s="415" t="s">
        <v>189</v>
      </c>
      <c r="C57" s="15" t="s">
        <v>1554</v>
      </c>
      <c r="D57" s="15" t="s">
        <v>1554</v>
      </c>
      <c r="E57" s="314">
        <v>8</v>
      </c>
      <c r="F57" s="15">
        <f t="shared" si="1"/>
        <v>64</v>
      </c>
      <c r="G57" s="205" t="s">
        <v>190</v>
      </c>
      <c r="H57" s="312" t="s">
        <v>613</v>
      </c>
    </row>
    <row r="58" spans="1:9" x14ac:dyDescent="0.3">
      <c r="A58" s="15">
        <v>56</v>
      </c>
      <c r="B58" s="415" t="s">
        <v>192</v>
      </c>
      <c r="C58" s="15" t="s">
        <v>1554</v>
      </c>
      <c r="D58" s="15" t="s">
        <v>1554</v>
      </c>
      <c r="E58" s="314">
        <v>15</v>
      </c>
      <c r="F58" s="15">
        <f t="shared" si="1"/>
        <v>72</v>
      </c>
      <c r="G58" s="205" t="s">
        <v>193</v>
      </c>
      <c r="H58" s="312" t="s">
        <v>394</v>
      </c>
    </row>
    <row r="59" spans="1:9" x14ac:dyDescent="0.3">
      <c r="A59" s="15">
        <v>57</v>
      </c>
      <c r="B59" s="415" t="s">
        <v>194</v>
      </c>
      <c r="C59" s="15" t="s">
        <v>1555</v>
      </c>
      <c r="D59" s="15" t="s">
        <v>1555</v>
      </c>
      <c r="E59" s="314">
        <v>1</v>
      </c>
      <c r="F59" s="15">
        <f t="shared" si="1"/>
        <v>87</v>
      </c>
      <c r="G59" s="204" t="s">
        <v>195</v>
      </c>
      <c r="H59" s="312" t="s">
        <v>646</v>
      </c>
      <c r="I59" s="15">
        <v>0</v>
      </c>
    </row>
    <row r="60" spans="1:9" x14ac:dyDescent="0.3">
      <c r="A60" s="15">
        <v>58</v>
      </c>
      <c r="B60" s="415" t="s">
        <v>196</v>
      </c>
      <c r="C60" s="15" t="s">
        <v>1555</v>
      </c>
      <c r="D60" s="15" t="s">
        <v>1555</v>
      </c>
      <c r="E60" s="314">
        <v>1</v>
      </c>
      <c r="F60" s="15">
        <f t="shared" si="1"/>
        <v>88</v>
      </c>
      <c r="G60" s="204" t="s">
        <v>197</v>
      </c>
      <c r="H60" s="312" t="s">
        <v>650</v>
      </c>
      <c r="I60" s="15">
        <v>0</v>
      </c>
    </row>
    <row r="61" spans="1:9" x14ac:dyDescent="0.3">
      <c r="A61" s="15">
        <v>59</v>
      </c>
      <c r="B61" s="415" t="s">
        <v>237</v>
      </c>
      <c r="C61" s="15" t="s">
        <v>1554</v>
      </c>
      <c r="D61" s="15" t="s">
        <v>1554</v>
      </c>
      <c r="E61" s="314">
        <v>1</v>
      </c>
      <c r="F61" s="15">
        <f t="shared" si="1"/>
        <v>89</v>
      </c>
      <c r="G61" s="204" t="s">
        <v>198</v>
      </c>
      <c r="H61" s="312" t="s">
        <v>536</v>
      </c>
      <c r="I61" s="15">
        <v>1</v>
      </c>
    </row>
    <row r="62" spans="1:9" x14ac:dyDescent="0.3">
      <c r="A62" s="15">
        <v>60</v>
      </c>
      <c r="B62" s="415" t="s">
        <v>199</v>
      </c>
      <c r="C62" s="15" t="s">
        <v>1554</v>
      </c>
      <c r="D62" s="15" t="s">
        <v>1554</v>
      </c>
      <c r="E62" s="314">
        <v>3</v>
      </c>
      <c r="F62" s="15">
        <f t="shared" si="1"/>
        <v>90</v>
      </c>
      <c r="G62" s="205" t="s">
        <v>200</v>
      </c>
      <c r="H62" s="269" t="s">
        <v>199</v>
      </c>
      <c r="I62" s="15">
        <v>1</v>
      </c>
    </row>
    <row r="63" spans="1:9" x14ac:dyDescent="0.3">
      <c r="A63" s="15">
        <v>61</v>
      </c>
      <c r="B63" s="415" t="s">
        <v>1301</v>
      </c>
      <c r="C63" s="15" t="s">
        <v>1556</v>
      </c>
      <c r="D63" s="15" t="s">
        <v>1556</v>
      </c>
      <c r="E63" s="314">
        <v>1</v>
      </c>
      <c r="F63" s="15">
        <f t="shared" si="1"/>
        <v>93</v>
      </c>
      <c r="G63" s="204" t="s">
        <v>1133</v>
      </c>
      <c r="H63" s="312" t="s">
        <v>48</v>
      </c>
      <c r="I63" s="15">
        <v>0</v>
      </c>
    </row>
    <row r="64" spans="1:9" x14ac:dyDescent="0.3">
      <c r="A64" s="15">
        <v>62</v>
      </c>
      <c r="B64" s="415" t="s">
        <v>1301</v>
      </c>
      <c r="E64" s="314">
        <v>1</v>
      </c>
      <c r="F64" s="15">
        <f t="shared" si="1"/>
        <v>94</v>
      </c>
      <c r="G64" s="204" t="s">
        <v>1137</v>
      </c>
      <c r="H64" s="312" t="s">
        <v>48</v>
      </c>
      <c r="I64" s="15">
        <v>0</v>
      </c>
    </row>
    <row r="65" spans="1:9" x14ac:dyDescent="0.3">
      <c r="A65" s="15">
        <v>63</v>
      </c>
      <c r="B65" s="415" t="s">
        <v>1301</v>
      </c>
      <c r="E65" s="314">
        <v>1</v>
      </c>
      <c r="F65" s="15">
        <f t="shared" si="1"/>
        <v>95</v>
      </c>
      <c r="G65" s="204" t="s">
        <v>1138</v>
      </c>
      <c r="H65" s="312" t="s">
        <v>48</v>
      </c>
      <c r="I65" s="15">
        <v>0</v>
      </c>
    </row>
    <row r="66" spans="1:9" x14ac:dyDescent="0.3">
      <c r="A66" s="15">
        <v>64</v>
      </c>
      <c r="B66" s="415" t="s">
        <v>201</v>
      </c>
      <c r="C66" s="15" t="s">
        <v>1554</v>
      </c>
      <c r="D66" s="15" t="s">
        <v>1554</v>
      </c>
      <c r="E66" s="314">
        <v>4</v>
      </c>
      <c r="F66" s="15">
        <f t="shared" si="1"/>
        <v>96</v>
      </c>
      <c r="G66" s="205" t="s">
        <v>202</v>
      </c>
      <c r="H66" s="269" t="s">
        <v>201</v>
      </c>
      <c r="I66" s="15">
        <v>1</v>
      </c>
    </row>
    <row r="67" spans="1:9" x14ac:dyDescent="0.3">
      <c r="A67" s="15">
        <v>65</v>
      </c>
      <c r="B67" s="415" t="s">
        <v>203</v>
      </c>
      <c r="C67" s="15" t="s">
        <v>1554</v>
      </c>
      <c r="D67" s="15" t="s">
        <v>1554</v>
      </c>
      <c r="E67" s="314">
        <v>4</v>
      </c>
      <c r="F67" s="15">
        <f t="shared" ref="F67:F89" si="2">E66+F66</f>
        <v>100</v>
      </c>
      <c r="G67" s="205" t="s">
        <v>204</v>
      </c>
      <c r="H67" s="269" t="s">
        <v>203</v>
      </c>
      <c r="I67" s="15">
        <v>1</v>
      </c>
    </row>
    <row r="68" spans="1:9" x14ac:dyDescent="0.3">
      <c r="A68" s="15">
        <v>66</v>
      </c>
      <c r="B68" s="418" t="s">
        <v>1130</v>
      </c>
      <c r="C68" s="15" t="s">
        <v>1555</v>
      </c>
      <c r="D68" s="15" t="s">
        <v>1555</v>
      </c>
      <c r="E68" s="314">
        <v>1</v>
      </c>
      <c r="F68" s="15">
        <f t="shared" si="2"/>
        <v>104</v>
      </c>
      <c r="G68" s="204" t="s">
        <v>206</v>
      </c>
      <c r="H68" s="312" t="s">
        <v>613</v>
      </c>
    </row>
    <row r="69" spans="1:9" x14ac:dyDescent="0.3">
      <c r="A69" s="15">
        <v>67</v>
      </c>
      <c r="B69" s="418" t="s">
        <v>1131</v>
      </c>
      <c r="C69" s="15" t="s">
        <v>1555</v>
      </c>
      <c r="D69" s="15" t="s">
        <v>1555</v>
      </c>
      <c r="E69" s="314">
        <v>1</v>
      </c>
      <c r="F69" s="15">
        <f t="shared" si="2"/>
        <v>105</v>
      </c>
      <c r="G69" s="204" t="s">
        <v>207</v>
      </c>
      <c r="H69" s="312" t="s">
        <v>613</v>
      </c>
    </row>
    <row r="70" spans="1:9" x14ac:dyDescent="0.3">
      <c r="A70" s="15">
        <v>68</v>
      </c>
      <c r="B70" s="418" t="s">
        <v>1132</v>
      </c>
      <c r="C70" s="15" t="s">
        <v>1555</v>
      </c>
      <c r="D70" s="15" t="s">
        <v>1555</v>
      </c>
      <c r="E70" s="314">
        <v>1</v>
      </c>
      <c r="F70" s="15">
        <f t="shared" si="2"/>
        <v>106</v>
      </c>
      <c r="G70" s="204" t="s">
        <v>208</v>
      </c>
      <c r="H70" s="312" t="s">
        <v>613</v>
      </c>
    </row>
    <row r="71" spans="1:9" x14ac:dyDescent="0.3">
      <c r="A71" s="15">
        <v>69</v>
      </c>
      <c r="B71" s="415" t="s">
        <v>209</v>
      </c>
      <c r="C71" s="15" t="s">
        <v>1554</v>
      </c>
      <c r="D71" s="15" t="s">
        <v>1554</v>
      </c>
      <c r="E71" s="314">
        <v>1</v>
      </c>
      <c r="F71" s="15">
        <f t="shared" si="2"/>
        <v>107</v>
      </c>
      <c r="G71" s="205" t="s">
        <v>210</v>
      </c>
      <c r="H71" s="312" t="s">
        <v>613</v>
      </c>
    </row>
    <row r="72" spans="1:9" x14ac:dyDescent="0.3">
      <c r="A72" s="15">
        <v>70</v>
      </c>
      <c r="B72" s="415" t="s">
        <v>211</v>
      </c>
      <c r="C72" s="15" t="s">
        <v>1554</v>
      </c>
      <c r="D72" s="15" t="s">
        <v>1554</v>
      </c>
      <c r="E72" s="314">
        <v>1</v>
      </c>
      <c r="F72" s="15">
        <f t="shared" si="2"/>
        <v>108</v>
      </c>
      <c r="G72" s="205" t="s">
        <v>212</v>
      </c>
      <c r="H72" s="312" t="s">
        <v>613</v>
      </c>
    </row>
    <row r="73" spans="1:9" x14ac:dyDescent="0.3">
      <c r="A73" s="15">
        <v>71</v>
      </c>
      <c r="B73" s="415" t="s">
        <v>1301</v>
      </c>
      <c r="C73" s="15" t="s">
        <v>1556</v>
      </c>
      <c r="D73" s="422" t="s">
        <v>1601</v>
      </c>
      <c r="E73" s="314">
        <v>1</v>
      </c>
      <c r="F73" s="15">
        <f t="shared" si="2"/>
        <v>109</v>
      </c>
      <c r="G73" s="204" t="s">
        <v>213</v>
      </c>
      <c r="H73" s="312" t="s">
        <v>48</v>
      </c>
      <c r="I73" s="15">
        <v>0</v>
      </c>
    </row>
    <row r="74" spans="1:9" x14ac:dyDescent="0.3">
      <c r="A74" s="15">
        <v>72</v>
      </c>
      <c r="B74" s="415" t="s">
        <v>215</v>
      </c>
      <c r="C74" s="15" t="s">
        <v>1555</v>
      </c>
      <c r="D74" s="15" t="s">
        <v>1555</v>
      </c>
      <c r="E74" s="314">
        <v>1</v>
      </c>
      <c r="F74" s="15">
        <f t="shared" si="2"/>
        <v>110</v>
      </c>
      <c r="G74" s="204" t="s">
        <v>216</v>
      </c>
      <c r="H74" s="312" t="s">
        <v>214</v>
      </c>
      <c r="I74" s="15">
        <v>0</v>
      </c>
    </row>
    <row r="75" spans="1:9" x14ac:dyDescent="0.3">
      <c r="A75" s="15">
        <v>73</v>
      </c>
      <c r="B75" s="415" t="s">
        <v>217</v>
      </c>
      <c r="C75" s="15" t="s">
        <v>1555</v>
      </c>
      <c r="D75" s="15" t="s">
        <v>1555</v>
      </c>
      <c r="E75" s="314">
        <v>1</v>
      </c>
      <c r="F75" s="15">
        <f t="shared" si="2"/>
        <v>111</v>
      </c>
      <c r="G75" s="204" t="s">
        <v>218</v>
      </c>
      <c r="H75" s="312" t="s">
        <v>214</v>
      </c>
      <c r="I75" s="15">
        <v>0</v>
      </c>
    </row>
    <row r="76" spans="1:9" x14ac:dyDescent="0.3">
      <c r="A76" s="15">
        <v>74</v>
      </c>
      <c r="B76" s="415" t="s">
        <v>219</v>
      </c>
      <c r="C76" s="15" t="s">
        <v>1554</v>
      </c>
      <c r="D76" s="15" t="s">
        <v>1554</v>
      </c>
      <c r="E76" s="314">
        <v>1</v>
      </c>
      <c r="F76" s="15">
        <f t="shared" si="2"/>
        <v>112</v>
      </c>
      <c r="G76" s="205" t="s">
        <v>220</v>
      </c>
      <c r="H76" s="312" t="s">
        <v>613</v>
      </c>
    </row>
    <row r="77" spans="1:9" x14ac:dyDescent="0.3">
      <c r="A77" s="15">
        <v>75</v>
      </c>
      <c r="B77" s="415" t="s">
        <v>222</v>
      </c>
      <c r="C77" s="15" t="s">
        <v>1555</v>
      </c>
      <c r="D77" s="15" t="s">
        <v>1555</v>
      </c>
      <c r="E77" s="314">
        <v>7</v>
      </c>
      <c r="F77" s="15">
        <f t="shared" si="2"/>
        <v>113</v>
      </c>
      <c r="G77" s="204" t="s">
        <v>223</v>
      </c>
      <c r="H77" s="312" t="s">
        <v>221</v>
      </c>
      <c r="I77" s="15">
        <v>0</v>
      </c>
    </row>
    <row r="78" spans="1:9" ht="28.8" x14ac:dyDescent="0.3">
      <c r="A78" s="15">
        <v>76</v>
      </c>
      <c r="B78" s="415" t="s">
        <v>225</v>
      </c>
      <c r="C78" s="15" t="s">
        <v>1555</v>
      </c>
      <c r="D78" s="15" t="s">
        <v>1555</v>
      </c>
      <c r="E78" s="314">
        <v>1</v>
      </c>
      <c r="F78" s="15">
        <f t="shared" si="2"/>
        <v>120</v>
      </c>
      <c r="G78" s="204" t="s">
        <v>226</v>
      </c>
      <c r="H78" s="312" t="s">
        <v>224</v>
      </c>
      <c r="I78" s="15">
        <v>0</v>
      </c>
    </row>
    <row r="79" spans="1:9" x14ac:dyDescent="0.3">
      <c r="A79" s="15">
        <v>77</v>
      </c>
      <c r="B79" s="415" t="s">
        <v>674</v>
      </c>
      <c r="C79" s="15" t="s">
        <v>1554</v>
      </c>
      <c r="D79" s="15" t="s">
        <v>1554</v>
      </c>
      <c r="E79" s="314">
        <v>1</v>
      </c>
      <c r="F79" s="15">
        <f t="shared" si="2"/>
        <v>121</v>
      </c>
      <c r="G79" s="205" t="s">
        <v>227</v>
      </c>
      <c r="H79" s="312" t="s">
        <v>613</v>
      </c>
    </row>
    <row r="80" spans="1:9" x14ac:dyDescent="0.3">
      <c r="A80" s="15">
        <v>78</v>
      </c>
      <c r="B80" s="415" t="s">
        <v>228</v>
      </c>
      <c r="C80" s="15" t="s">
        <v>1555</v>
      </c>
      <c r="D80" s="15" t="s">
        <v>1555</v>
      </c>
      <c r="E80" s="314">
        <v>1</v>
      </c>
      <c r="F80" s="15">
        <f t="shared" si="2"/>
        <v>122</v>
      </c>
      <c r="G80" s="204" t="s">
        <v>229</v>
      </c>
      <c r="H80" s="312" t="s">
        <v>100</v>
      </c>
      <c r="I80" s="15">
        <v>0</v>
      </c>
    </row>
    <row r="81" spans="1:9" x14ac:dyDescent="0.3">
      <c r="A81" s="15">
        <v>79</v>
      </c>
      <c r="B81" s="415" t="s">
        <v>230</v>
      </c>
      <c r="C81" s="15" t="s">
        <v>1555</v>
      </c>
      <c r="D81" s="15" t="s">
        <v>1555</v>
      </c>
      <c r="E81" s="314">
        <v>1</v>
      </c>
      <c r="F81" s="15">
        <f t="shared" si="2"/>
        <v>123</v>
      </c>
      <c r="G81" s="204" t="s">
        <v>231</v>
      </c>
      <c r="H81" s="312" t="s">
        <v>100</v>
      </c>
      <c r="I81" s="15">
        <v>0</v>
      </c>
    </row>
    <row r="82" spans="1:9" x14ac:dyDescent="0.3">
      <c r="A82" s="15">
        <v>80</v>
      </c>
      <c r="B82" s="415" t="s">
        <v>232</v>
      </c>
      <c r="C82" s="15" t="s">
        <v>1555</v>
      </c>
      <c r="D82" s="15" t="s">
        <v>1555</v>
      </c>
      <c r="E82" s="314">
        <v>1</v>
      </c>
      <c r="F82" s="15">
        <f t="shared" si="2"/>
        <v>124</v>
      </c>
      <c r="G82" s="204" t="s">
        <v>233</v>
      </c>
      <c r="H82" s="312" t="s">
        <v>100</v>
      </c>
      <c r="I82" s="15">
        <v>0</v>
      </c>
    </row>
    <row r="83" spans="1:9" x14ac:dyDescent="0.3">
      <c r="A83" s="15">
        <v>81</v>
      </c>
      <c r="B83" s="415" t="s">
        <v>235</v>
      </c>
      <c r="C83" s="15" t="s">
        <v>1555</v>
      </c>
      <c r="D83" s="15" t="s">
        <v>1555</v>
      </c>
      <c r="E83" s="314">
        <v>1</v>
      </c>
      <c r="F83" s="15">
        <f t="shared" si="2"/>
        <v>125</v>
      </c>
      <c r="G83" s="207" t="s">
        <v>236</v>
      </c>
      <c r="H83" s="312" t="s">
        <v>234</v>
      </c>
      <c r="I83" s="15">
        <v>0</v>
      </c>
    </row>
    <row r="84" spans="1:9" x14ac:dyDescent="0.3">
      <c r="A84" s="15">
        <v>82</v>
      </c>
      <c r="B84" s="418" t="s">
        <v>1107</v>
      </c>
      <c r="C84" s="15" t="s">
        <v>1555</v>
      </c>
      <c r="D84" s="15" t="s">
        <v>1554</v>
      </c>
      <c r="E84" s="314">
        <v>1</v>
      </c>
      <c r="F84" s="15">
        <f t="shared" si="2"/>
        <v>126</v>
      </c>
      <c r="G84" s="207" t="s">
        <v>888</v>
      </c>
      <c r="H84" s="312" t="s">
        <v>48</v>
      </c>
      <c r="I84" s="15">
        <v>0</v>
      </c>
    </row>
    <row r="85" spans="1:9" x14ac:dyDescent="0.3">
      <c r="A85" s="15">
        <v>83</v>
      </c>
      <c r="B85" s="415" t="s">
        <v>1301</v>
      </c>
      <c r="D85" s="422" t="s">
        <v>1602</v>
      </c>
      <c r="E85" s="314">
        <v>1</v>
      </c>
      <c r="F85" s="15">
        <f t="shared" si="2"/>
        <v>127</v>
      </c>
      <c r="G85" s="207" t="s">
        <v>889</v>
      </c>
      <c r="H85" s="312" t="s">
        <v>48</v>
      </c>
      <c r="I85" s="15">
        <v>0</v>
      </c>
    </row>
    <row r="86" spans="1:9" x14ac:dyDescent="0.3">
      <c r="A86" s="15">
        <v>84</v>
      </c>
      <c r="B86" s="418" t="s">
        <v>238</v>
      </c>
      <c r="C86" s="15" t="s">
        <v>1554</v>
      </c>
      <c r="D86" s="15" t="s">
        <v>1554</v>
      </c>
      <c r="E86" s="314">
        <v>1</v>
      </c>
      <c r="F86" s="15">
        <f t="shared" si="2"/>
        <v>128</v>
      </c>
      <c r="G86" s="205" t="s">
        <v>239</v>
      </c>
      <c r="H86" s="269" t="s">
        <v>613</v>
      </c>
    </row>
    <row r="87" spans="1:9" ht="28.8" x14ac:dyDescent="0.3">
      <c r="A87" s="15">
        <v>85</v>
      </c>
      <c r="B87" s="418" t="s">
        <v>1548</v>
      </c>
      <c r="C87" s="15" t="s">
        <v>1557</v>
      </c>
      <c r="D87" s="422" t="s">
        <v>1561</v>
      </c>
      <c r="E87" s="314">
        <v>1</v>
      </c>
      <c r="F87" s="15">
        <f t="shared" si="2"/>
        <v>129</v>
      </c>
      <c r="G87" s="205" t="s">
        <v>240</v>
      </c>
      <c r="H87" s="312" t="s">
        <v>613</v>
      </c>
    </row>
    <row r="88" spans="1:9" x14ac:dyDescent="0.3">
      <c r="A88" s="15">
        <v>86</v>
      </c>
      <c r="B88" s="415" t="s">
        <v>242</v>
      </c>
      <c r="C88" s="15" t="s">
        <v>1555</v>
      </c>
      <c r="D88" s="15" t="s">
        <v>1555</v>
      </c>
      <c r="E88" s="314">
        <v>5</v>
      </c>
      <c r="F88" s="15">
        <f t="shared" si="2"/>
        <v>130</v>
      </c>
      <c r="G88" s="204" t="s">
        <v>243</v>
      </c>
      <c r="H88" s="312" t="s">
        <v>241</v>
      </c>
      <c r="I88" s="15">
        <v>0</v>
      </c>
    </row>
    <row r="89" spans="1:9" x14ac:dyDescent="0.3">
      <c r="A89" s="15">
        <v>87</v>
      </c>
      <c r="B89" s="418" t="s">
        <v>244</v>
      </c>
      <c r="C89" s="15" t="s">
        <v>1558</v>
      </c>
      <c r="D89" s="422" t="s">
        <v>1555</v>
      </c>
      <c r="E89" s="314">
        <v>1</v>
      </c>
      <c r="F89" s="15">
        <f t="shared" si="2"/>
        <v>135</v>
      </c>
      <c r="G89" s="205" t="s">
        <v>245</v>
      </c>
      <c r="H89" s="269" t="s">
        <v>613</v>
      </c>
    </row>
    <row r="93" spans="1:9" x14ac:dyDescent="0.3">
      <c r="B93" s="15" t="s">
        <v>1604</v>
      </c>
    </row>
    <row r="94" spans="1:9" x14ac:dyDescent="0.3">
      <c r="B94" s="422"/>
      <c r="C94" s="15" t="s">
        <v>1603</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verticalDpi="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ConfigNew</vt:lpstr>
      <vt:lpstr>CSxE_ESE_GSC_FuseCfg_1</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2020-12-08T16:55:07Z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