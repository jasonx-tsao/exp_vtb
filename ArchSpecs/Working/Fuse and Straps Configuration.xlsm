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1.xml" ContentType="application/vnd.ms-excel.threadedcomments+xml"/>
  <Override PartName="/xl/comments7.xml" ContentType="application/vnd.openxmlformats-officedocument.spreadsheetml.comments+xml"/>
  <Override PartName="/xl/threadedComments/threadedComment2.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Documents\ISAT_SecArch\Perforce\projects\coe\CSME\ArchSpecs\Working\"/>
    </mc:Choice>
  </mc:AlternateContent>
  <xr:revisionPtr revIDLastSave="0" documentId="13_ncr:1_{E59C02D0-08E6-494F-B699-B681CAD3811E}" xr6:coauthVersionLast="45" xr6:coauthVersionMax="45" xr10:uidLastSave="{00000000-0000-0000-0000-000000000000}"/>
  <bookViews>
    <workbookView xWindow="-108" yWindow="-108" windowWidth="23256" windowHeight="12576" activeTab="1"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GSC)" sheetId="30" r:id="rId9"/>
    <sheet name="Group1" sheetId="7" r:id="rId10"/>
    <sheet name="Group2,3" sheetId="15" r:id="rId11"/>
    <sheet name="Softstrap" sheetId="8" r:id="rId12"/>
    <sheet name="MISC" sheetId="17" r:id="rId13"/>
  </sheets>
  <functionGroups builtInGroupCount="19"/>
  <definedNames>
    <definedName name="_xlnm._FilterDatabase" localSheetId="9" hidden="1">Group1!$A$1:$Q$107</definedName>
    <definedName name="_xlnm._FilterDatabase" localSheetId="8" hidden="1">'Group1 (GSC)'!$A$1:$R$107</definedName>
    <definedName name="_xlnm._FilterDatabase" localSheetId="11"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72" i="12" l="1"/>
  <c r="J72" i="12"/>
  <c r="K69" i="12"/>
  <c r="J69" i="12"/>
  <c r="I72" i="12"/>
  <c r="H7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R23" i="30"/>
  <c r="P7" i="30"/>
  <c r="P33" i="30"/>
  <c r="P22" i="30"/>
  <c r="Q110" i="30"/>
  <c r="R40" i="30"/>
  <c r="P40" i="30"/>
  <c r="Q44" i="30"/>
  <c r="Q113" i="30"/>
  <c r="P49" i="30"/>
  <c r="R118" i="30"/>
  <c r="Q46" i="30"/>
  <c r="R22" i="30"/>
  <c r="Q117" i="30"/>
  <c r="Q56" i="30"/>
  <c r="R100" i="30"/>
  <c r="P51" i="30"/>
  <c r="P82" i="30"/>
  <c r="R75" i="30"/>
  <c r="P93" i="30"/>
  <c r="Q25" i="30"/>
  <c r="R41" i="30"/>
  <c r="P54" i="30"/>
  <c r="R94" i="30"/>
  <c r="Q95" i="30"/>
  <c r="P109" i="30"/>
  <c r="P118" i="30"/>
  <c r="R91" i="30"/>
  <c r="R28" i="30"/>
  <c r="R117" i="30"/>
  <c r="R97" i="30"/>
  <c r="P23" i="30"/>
  <c r="R38" i="30"/>
  <c r="R101" i="30"/>
  <c r="R6" i="30"/>
  <c r="R81" i="30"/>
  <c r="P37" i="30"/>
  <c r="P122" i="30"/>
  <c r="R109" i="30"/>
  <c r="R103" i="30"/>
  <c r="P59" i="30"/>
  <c r="R51" i="30"/>
  <c r="Q98" i="30"/>
  <c r="P43" i="30"/>
  <c r="Q4" i="30"/>
  <c r="P17" i="30"/>
  <c r="P123" i="30"/>
  <c r="P29" i="30"/>
  <c r="Q24" i="30"/>
  <c r="P108" i="30"/>
  <c r="P91" i="30"/>
  <c r="P26" i="30"/>
  <c r="R11" i="30"/>
  <c r="R59" i="30"/>
  <c r="Q53" i="30"/>
  <c r="R61" i="30"/>
  <c r="Q116" i="30"/>
  <c r="P83" i="30"/>
  <c r="Q82" i="30"/>
  <c r="R88" i="30"/>
  <c r="P120" i="30"/>
  <c r="P121" i="30"/>
  <c r="R122" i="30"/>
  <c r="R116" i="30"/>
  <c r="Q17" i="30"/>
  <c r="R115" i="30"/>
  <c r="R92" i="30"/>
  <c r="P28" i="30"/>
  <c r="P14" i="30"/>
  <c r="P114" i="30"/>
  <c r="Q118" i="30"/>
  <c r="Q60" i="30"/>
  <c r="P41" i="30"/>
  <c r="R12" i="30"/>
  <c r="R110" i="30"/>
  <c r="Q90" i="30"/>
  <c r="P80" i="30"/>
  <c r="P99" i="30"/>
  <c r="Q21" i="30"/>
  <c r="Q122" i="30"/>
  <c r="Q47" i="30"/>
  <c r="Q36" i="30"/>
  <c r="R113" i="30"/>
  <c r="Q120" i="30"/>
  <c r="Q55" i="30"/>
  <c r="R111" i="30"/>
  <c r="Q29" i="30"/>
  <c r="P47" i="30"/>
  <c r="P102" i="30"/>
  <c r="R124" i="30"/>
  <c r="R119" i="30"/>
  <c r="R25" i="30"/>
  <c r="Q37" i="30"/>
  <c r="P81" i="30"/>
  <c r="R98" i="30"/>
  <c r="P6" i="30"/>
  <c r="Q93" i="30"/>
  <c r="R99" i="30"/>
  <c r="Q94" i="30"/>
  <c r="P60" i="30"/>
  <c r="P117" i="30"/>
  <c r="Q27" i="30"/>
  <c r="R44" i="30"/>
  <c r="R37" i="30"/>
  <c r="Q13" i="30"/>
  <c r="R96" i="30"/>
  <c r="Q30" i="30"/>
  <c r="R123" i="30"/>
  <c r="R108" i="30"/>
  <c r="P4" i="30"/>
  <c r="R95" i="30"/>
  <c r="Q83" i="30"/>
  <c r="P119" i="30"/>
  <c r="P92" i="30"/>
  <c r="P115" i="30"/>
  <c r="R24" i="30"/>
  <c r="P27" i="30"/>
  <c r="R90" i="30"/>
  <c r="Q14" i="30"/>
  <c r="Q123" i="30"/>
  <c r="P15" i="30"/>
  <c r="P44" i="30"/>
  <c r="P98" i="30"/>
  <c r="R78" i="30"/>
  <c r="P13" i="30"/>
  <c r="P56" i="30"/>
  <c r="Q49" i="30"/>
  <c r="P75" i="30"/>
  <c r="Q81" i="30"/>
  <c r="Q22" i="30"/>
  <c r="Q12" i="30"/>
  <c r="P55" i="30"/>
  <c r="Q101" i="30"/>
  <c r="P94" i="30"/>
  <c r="Q100" i="30"/>
  <c r="Q114" i="30"/>
  <c r="P58" i="30"/>
  <c r="R21" i="30"/>
  <c r="Q124" i="30"/>
  <c r="Q38" i="30"/>
  <c r="R4" i="30"/>
  <c r="R74" i="30"/>
  <c r="P11" i="30"/>
  <c r="R120" i="30"/>
  <c r="Q43" i="30"/>
  <c r="Q59" i="30"/>
  <c r="R93" i="30"/>
  <c r="Q109" i="30"/>
  <c r="P38" i="30"/>
  <c r="P12" i="30"/>
  <c r="R14" i="30"/>
  <c r="P124" i="30"/>
  <c r="R102" i="30"/>
  <c r="P36" i="30"/>
  <c r="Q58" i="30"/>
  <c r="Q75" i="30"/>
  <c r="Q99" i="30"/>
  <c r="P95" i="30"/>
  <c r="R27" i="30"/>
  <c r="R48" i="30"/>
  <c r="Q11" i="30"/>
  <c r="R13" i="30"/>
  <c r="R77" i="30"/>
  <c r="Q125" i="30"/>
  <c r="R54" i="30"/>
  <c r="R49" i="30"/>
  <c r="Q97" i="30"/>
  <c r="Q6" i="30"/>
  <c r="Q48" i="30"/>
  <c r="P25" i="30"/>
  <c r="R34" i="30"/>
  <c r="P30" i="30"/>
  <c r="Q74" i="30"/>
  <c r="Q78" i="30"/>
  <c r="R83" i="30"/>
  <c r="Q15" i="30"/>
  <c r="R20" i="30"/>
  <c r="P20" i="30"/>
  <c r="R17" i="30"/>
  <c r="R7" i="30"/>
  <c r="Q96" i="30"/>
  <c r="Q88" i="30"/>
  <c r="P52" i="30"/>
  <c r="Q61" i="30"/>
  <c r="Q108" i="30"/>
  <c r="Q54" i="30"/>
  <c r="P21" i="30"/>
  <c r="P78" i="30"/>
  <c r="Q51" i="30"/>
  <c r="Q91" i="30"/>
  <c r="P74" i="30"/>
  <c r="Q77" i="30"/>
  <c r="R58" i="30"/>
  <c r="P32" i="30"/>
  <c r="Q102" i="30"/>
  <c r="R121" i="30"/>
  <c r="R125" i="30"/>
  <c r="R32" i="30"/>
  <c r="P48" i="30"/>
  <c r="R47" i="30"/>
  <c r="R26" i="30"/>
  <c r="Q28" i="30"/>
  <c r="P53" i="30"/>
  <c r="P34" i="30"/>
  <c r="R60" i="30"/>
  <c r="P100" i="30"/>
  <c r="P111" i="30"/>
  <c r="Q52" i="30"/>
  <c r="Q111" i="30"/>
  <c r="P24" i="30"/>
  <c r="P110" i="30"/>
  <c r="Q23" i="30"/>
  <c r="P112" i="30"/>
  <c r="Q121" i="30"/>
  <c r="Q119" i="30"/>
  <c r="P125" i="30"/>
  <c r="R15" i="30"/>
  <c r="P77" i="30"/>
  <c r="Q20" i="30"/>
  <c r="R80" i="30"/>
  <c r="Q50" i="30"/>
  <c r="Q7" i="30"/>
  <c r="P90" i="30"/>
  <c r="Q32" i="30"/>
  <c r="R43" i="30"/>
  <c r="Q80" i="30"/>
  <c r="P103" i="30"/>
  <c r="R52" i="30"/>
  <c r="R36" i="30"/>
  <c r="R112" i="30"/>
  <c r="P61" i="30"/>
  <c r="Q92" i="30"/>
  <c r="R53" i="30"/>
  <c r="Q33" i="30"/>
  <c r="P46" i="30"/>
  <c r="P50" i="30"/>
  <c r="R46" i="30"/>
  <c r="R30" i="30"/>
  <c r="Q112" i="30"/>
  <c r="R55" i="30"/>
  <c r="P113" i="30"/>
  <c r="Q34" i="30"/>
  <c r="R82" i="30"/>
  <c r="R29" i="30"/>
  <c r="R50" i="30"/>
  <c r="R114" i="30"/>
  <c r="R33" i="30"/>
  <c r="Q26" i="30"/>
  <c r="P116" i="30"/>
  <c r="P96" i="30"/>
  <c r="P97" i="30"/>
  <c r="R56" i="30"/>
  <c r="Q40" i="30"/>
  <c r="P101" i="30"/>
  <c r="P88" i="30"/>
  <c r="Q41" i="30"/>
  <c r="Q115" i="30"/>
  <c r="Q103" i="30"/>
  <c r="L17" i="29"/>
  <c r="G12" i="29"/>
  <c r="L36" i="28"/>
  <c r="L12" i="27"/>
  <c r="G23" i="29"/>
  <c r="G7" i="27"/>
  <c r="F13" i="21"/>
  <c r="Q4" i="7"/>
  <c r="G7" i="24"/>
  <c r="G37" i="24"/>
  <c r="L31" i="27"/>
  <c r="O90" i="7"/>
  <c r="L5" i="28"/>
  <c r="L14" i="28"/>
  <c r="L11" i="24"/>
  <c r="G28" i="29"/>
  <c r="O11" i="7"/>
  <c r="F9" i="21"/>
  <c r="G34" i="28"/>
  <c r="L14" i="29"/>
  <c r="L11" i="28"/>
  <c r="G21" i="27"/>
  <c r="G32" i="24"/>
  <c r="L12" i="28"/>
  <c r="L21" i="24"/>
  <c r="L39" i="27"/>
  <c r="O4" i="7"/>
  <c r="L17" i="27"/>
  <c r="G5" i="24"/>
  <c r="L37" i="27"/>
  <c r="L17" i="28"/>
  <c r="G33" i="28"/>
  <c r="L3" i="27"/>
  <c r="G18" i="29"/>
  <c r="L24" i="29"/>
  <c r="G13" i="29"/>
  <c r="L4" i="24"/>
  <c r="L29" i="27"/>
  <c r="G5" i="27"/>
  <c r="O78" i="7"/>
  <c r="G3" i="27"/>
  <c r="G42" i="27"/>
  <c r="G36" i="27"/>
  <c r="L34" i="27"/>
  <c r="G10" i="15"/>
  <c r="G8" i="29"/>
  <c r="G35" i="27"/>
  <c r="G3" i="24"/>
  <c r="L13" i="24"/>
  <c r="G9" i="15"/>
  <c r="L16" i="29"/>
  <c r="G37" i="29"/>
  <c r="G8" i="24"/>
  <c r="G42" i="28"/>
  <c r="G34" i="29"/>
  <c r="L3" i="24"/>
  <c r="G23" i="28"/>
  <c r="G9" i="24"/>
  <c r="L32" i="28"/>
  <c r="L10" i="27"/>
  <c r="G31" i="29"/>
  <c r="G8" i="28"/>
  <c r="G32" i="28"/>
  <c r="L15" i="24"/>
  <c r="P78" i="7"/>
  <c r="G41" i="28"/>
  <c r="G40" i="28"/>
  <c r="L31" i="28"/>
  <c r="G25" i="27"/>
  <c r="G22" i="28"/>
  <c r="L21" i="28"/>
  <c r="G37" i="28"/>
  <c r="G20" i="29"/>
  <c r="G12" i="28"/>
  <c r="G36" i="29"/>
  <c r="G38" i="28"/>
  <c r="G13" i="15"/>
  <c r="L29" i="28"/>
  <c r="G22" i="29"/>
  <c r="L16" i="24"/>
  <c r="G19" i="28"/>
  <c r="L41" i="27"/>
  <c r="L18" i="28"/>
  <c r="G10" i="28"/>
  <c r="G28" i="27"/>
  <c r="G42" i="24"/>
  <c r="L35" i="27"/>
  <c r="G4" i="29"/>
  <c r="G3" i="29"/>
  <c r="G28" i="28"/>
  <c r="G18" i="27"/>
  <c r="G13" i="27"/>
  <c r="G12" i="27"/>
  <c r="G33" i="27"/>
  <c r="L20" i="27"/>
  <c r="F17" i="21"/>
  <c r="L7" i="24"/>
  <c r="G12" i="24"/>
  <c r="G8" i="27"/>
  <c r="G11" i="27"/>
  <c r="L23" i="28"/>
  <c r="G26" i="28"/>
  <c r="G4" i="27"/>
  <c r="G35" i="29"/>
  <c r="G32" i="29"/>
  <c r="G34" i="27"/>
  <c r="G8" i="15"/>
  <c r="G21" i="29"/>
  <c r="L9" i="28"/>
  <c r="G6" i="27"/>
  <c r="Q78" i="7"/>
  <c r="G9" i="29"/>
  <c r="G19" i="27"/>
  <c r="G40" i="29"/>
  <c r="G10" i="27"/>
  <c r="L6" i="27"/>
  <c r="G33" i="29"/>
  <c r="G13" i="24"/>
  <c r="Q11" i="7"/>
  <c r="L15" i="28"/>
  <c r="G11" i="29"/>
  <c r="L10" i="24"/>
  <c r="L20" i="24"/>
  <c r="G37" i="27"/>
  <c r="F8" i="21"/>
  <c r="G26" i="29"/>
  <c r="G4" i="24"/>
  <c r="L18" i="24"/>
  <c r="L7" i="27"/>
  <c r="G32" i="27"/>
  <c r="L37" i="28"/>
  <c r="L5" i="24"/>
  <c r="F7" i="21"/>
  <c r="G4" i="28"/>
  <c r="G9" i="28"/>
  <c r="G22" i="27"/>
  <c r="L19" i="28"/>
  <c r="G7" i="28"/>
  <c r="G39" i="29"/>
  <c r="G7" i="29"/>
  <c r="G18" i="28"/>
  <c r="G10" i="29"/>
  <c r="L18" i="27"/>
  <c r="L8" i="28"/>
  <c r="L30" i="27"/>
  <c r="G12" i="15"/>
  <c r="G25" i="28"/>
  <c r="G20" i="28"/>
  <c r="L17" i="24"/>
  <c r="G41" i="27"/>
  <c r="G11" i="15"/>
  <c r="G13" i="28"/>
  <c r="L13" i="27"/>
  <c r="G30" i="29"/>
  <c r="L22" i="27"/>
  <c r="L21" i="27"/>
  <c r="L24" i="24"/>
  <c r="G38" i="29"/>
  <c r="G5" i="29"/>
  <c r="L11" i="27"/>
  <c r="G38" i="27"/>
  <c r="G29" i="28"/>
  <c r="G35" i="28"/>
  <c r="F11" i="21"/>
  <c r="G41" i="29"/>
  <c r="G11" i="28"/>
  <c r="G30"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5" i="29"/>
  <c r="G39" i="27"/>
  <c r="L8" i="27"/>
  <c r="F5" i="21"/>
  <c r="M57" i="8"/>
  <c r="L34" i="28"/>
  <c r="G29" i="29"/>
  <c r="G9" i="27"/>
  <c r="L41" i="28"/>
  <c r="G20" i="27"/>
  <c r="L7" i="28"/>
  <c r="L31" i="29"/>
  <c r="L16" i="27"/>
  <c r="L22" i="29"/>
  <c r="F4" i="21"/>
  <c r="L7" i="29"/>
  <c r="L14" i="27"/>
  <c r="L40" i="27"/>
  <c r="L41" i="29"/>
  <c r="F3" i="21"/>
  <c r="G25" i="29"/>
  <c r="F14" i="21"/>
  <c r="L35" i="29"/>
  <c r="G5" i="28"/>
  <c r="L36" i="27"/>
  <c r="L57" i="8"/>
  <c r="L5" i="27"/>
  <c r="L10" i="29"/>
  <c r="L4" i="28"/>
  <c r="G11" i="24"/>
  <c r="L9" i="27"/>
  <c r="G3" i="28"/>
  <c r="F12" i="21"/>
  <c r="L3" i="28"/>
  <c r="L32" i="29"/>
  <c r="L15" i="29"/>
  <c r="L4" i="27"/>
  <c r="G23" i="27"/>
  <c r="P4" i="7"/>
  <c r="L22" i="24"/>
  <c r="L22" i="28"/>
  <c r="L6" i="24"/>
  <c r="F15" i="21"/>
  <c r="G30" i="28"/>
  <c r="N57" i="8"/>
  <c r="L20" i="29"/>
  <c r="L14" i="24"/>
  <c r="L21" i="29"/>
  <c r="L32" i="27"/>
  <c r="G26" i="27"/>
  <c r="G21" i="28"/>
  <c r="L4" i="29"/>
  <c r="G6" i="24"/>
  <c r="L42" i="27"/>
  <c r="L13" i="29"/>
  <c r="G40" i="27"/>
  <c r="G29" i="27"/>
  <c r="L34" i="29"/>
  <c r="F10" i="21"/>
  <c r="F16" i="21"/>
  <c r="L24" i="27"/>
  <c r="L24" i="28"/>
  <c r="L42" i="28"/>
  <c r="L36" i="29"/>
  <c r="L3" i="29"/>
  <c r="L19" i="24"/>
  <c r="L40" i="28"/>
  <c r="L9" i="24"/>
  <c r="L8" i="29"/>
  <c r="L20" i="28"/>
  <c r="L11" i="29"/>
  <c r="L16" i="28"/>
  <c r="L23" i="27"/>
  <c r="L10" i="28"/>
  <c r="G39" i="28"/>
  <c r="L30" i="28"/>
  <c r="L12" i="29"/>
  <c r="G19" i="29"/>
  <c r="G6" i="29"/>
  <c r="L40" i="29"/>
  <c r="L39" i="29"/>
  <c r="G42" i="29"/>
  <c r="F6" i="21"/>
  <c r="G31" i="28"/>
  <c r="G36" i="28"/>
  <c r="L23" i="24"/>
  <c r="P11" i="7"/>
  <c r="G6" i="28"/>
  <c r="L13" i="28"/>
  <c r="L30" i="29"/>
  <c r="L37" i="29"/>
  <c r="L19" i="27"/>
  <c r="G31" i="27"/>
  <c r="L39" i="28"/>
  <c r="L6" i="28"/>
  <c r="L15" i="27"/>
  <c r="L12" i="24"/>
  <c r="L35" i="28"/>
  <c r="L8" i="24"/>
  <c r="L9" i="29"/>
  <c r="G10" i="24"/>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P59" i="7"/>
  <c r="M12" i="8"/>
  <c r="M8" i="8"/>
  <c r="Q125" i="7"/>
  <c r="O28" i="7"/>
  <c r="O113" i="7"/>
  <c r="Q38" i="7"/>
  <c r="M39" i="8"/>
  <c r="N8" i="8"/>
  <c r="O22" i="7"/>
  <c r="Q52" i="7"/>
  <c r="Q101" i="7"/>
  <c r="K17" i="21"/>
  <c r="P49" i="7"/>
  <c r="G30" i="24"/>
  <c r="M4" i="8"/>
  <c r="L60" i="8"/>
  <c r="P24" i="7"/>
  <c r="M22" i="8"/>
  <c r="M58" i="8"/>
  <c r="Q6" i="7"/>
  <c r="L53" i="8"/>
  <c r="P46" i="7"/>
  <c r="L58" i="8"/>
  <c r="O116" i="7"/>
  <c r="L8" i="8"/>
  <c r="L33" i="8"/>
  <c r="O27" i="7"/>
  <c r="P83" i="7"/>
  <c r="O29" i="7"/>
  <c r="G7" i="15"/>
  <c r="O120" i="7"/>
  <c r="K15" i="21"/>
  <c r="L19" i="8"/>
  <c r="O55" i="7"/>
  <c r="P29" i="7"/>
  <c r="P61" i="7"/>
  <c r="N65" i="8"/>
  <c r="M2" i="8"/>
  <c r="K10" i="21"/>
  <c r="N12" i="8"/>
  <c r="P117" i="7"/>
  <c r="L23" i="8"/>
  <c r="P48" i="7"/>
  <c r="L43" i="8"/>
  <c r="M41" i="8"/>
  <c r="N13" i="8"/>
  <c r="M61" i="8"/>
  <c r="Q112" i="7"/>
  <c r="P25" i="7"/>
  <c r="O37" i="7"/>
  <c r="N41" i="8"/>
  <c r="L39" i="24"/>
  <c r="Q115" i="7"/>
  <c r="O77" i="7"/>
  <c r="G36" i="24"/>
  <c r="N39" i="8"/>
  <c r="L11" i="8"/>
  <c r="O23" i="7"/>
  <c r="L42" i="29"/>
  <c r="Q75" i="7"/>
  <c r="L65" i="8"/>
  <c r="L32" i="24"/>
  <c r="M13" i="8"/>
  <c r="M19" i="8"/>
  <c r="O119" i="7"/>
  <c r="L30" i="24"/>
  <c r="G4" i="15"/>
  <c r="M11" i="8"/>
  <c r="L36" i="8"/>
  <c r="O59" i="7"/>
  <c r="P98" i="7"/>
  <c r="O110" i="7"/>
  <c r="M63" i="8"/>
  <c r="P20" i="7"/>
  <c r="O75" i="7"/>
  <c r="O112" i="7"/>
  <c r="P119" i="7"/>
  <c r="G35" i="24"/>
  <c r="O21" i="7"/>
  <c r="M6" i="8"/>
  <c r="G41" i="24"/>
  <c r="Q17" i="7"/>
  <c r="Q27" i="7"/>
  <c r="Q20" i="7"/>
  <c r="P101" i="7"/>
  <c r="L19" i="29"/>
  <c r="O51" i="7"/>
  <c r="N62" i="8"/>
  <c r="Q12" i="7"/>
  <c r="O83" i="7"/>
  <c r="M31" i="8"/>
  <c r="P88" i="7"/>
  <c r="O43" i="7"/>
  <c r="Q7" i="7"/>
  <c r="P95" i="7"/>
  <c r="Q61" i="7"/>
  <c r="Q34" i="7"/>
  <c r="N58" i="8"/>
  <c r="O34" i="7"/>
  <c r="N40" i="8"/>
  <c r="N37" i="8"/>
  <c r="G31" i="24"/>
  <c r="Q40" i="7"/>
  <c r="P108" i="7"/>
  <c r="G20" i="24"/>
  <c r="N4" i="8"/>
  <c r="O111" i="7"/>
  <c r="G5" i="15"/>
  <c r="L29" i="24"/>
  <c r="O88" i="7"/>
  <c r="K16" i="21"/>
  <c r="P121" i="7"/>
  <c r="O13" i="7"/>
  <c r="N32" i="8"/>
  <c r="Q77" i="7"/>
  <c r="Q91" i="7"/>
  <c r="P118" i="7"/>
  <c r="M53" i="8"/>
  <c r="Q36" i="7"/>
  <c r="N33" i="8"/>
  <c r="O99" i="7"/>
  <c r="P53" i="7"/>
  <c r="O97" i="7"/>
  <c r="L37" i="8"/>
  <c r="L18" i="29"/>
  <c r="P82" i="7"/>
  <c r="O40" i="7"/>
  <c r="O118" i="7"/>
  <c r="O96" i="7"/>
  <c r="M7" i="8"/>
  <c r="P93" i="7"/>
  <c r="L12" i="8"/>
  <c r="O103" i="7"/>
  <c r="P122" i="7"/>
  <c r="L13" i="8"/>
  <c r="L31" i="24"/>
  <c r="Q111" i="7"/>
  <c r="K11" i="21"/>
  <c r="P52" i="7"/>
  <c r="Q26" i="7"/>
  <c r="P81" i="7"/>
  <c r="O44" i="7"/>
  <c r="O49" i="7"/>
  <c r="L3" i="8"/>
  <c r="N59" i="8"/>
  <c r="Q124" i="7"/>
  <c r="Q96" i="7"/>
  <c r="Q102" i="7"/>
  <c r="Q55" i="7"/>
  <c r="L42" i="24"/>
  <c r="K9" i="21"/>
  <c r="M62" i="8"/>
  <c r="G38" i="24"/>
  <c r="O12" i="7"/>
  <c r="O109" i="7"/>
  <c r="Q24" i="7"/>
  <c r="L63" i="8"/>
  <c r="O93" i="7"/>
  <c r="O58" i="7"/>
  <c r="L59" i="8"/>
  <c r="O91" i="7"/>
  <c r="L50" i="8"/>
  <c r="P21" i="7"/>
  <c r="Q44" i="7"/>
  <c r="L42" i="8"/>
  <c r="P40" i="7"/>
  <c r="Q99" i="7"/>
  <c r="Q56" i="7"/>
  <c r="P41" i="7"/>
  <c r="P125" i="7"/>
  <c r="O108" i="7"/>
  <c r="P17" i="7"/>
  <c r="P94" i="7"/>
  <c r="N11" i="8"/>
  <c r="O50" i="7"/>
  <c r="O125" i="7"/>
  <c r="N22" i="8"/>
  <c r="Q120" i="7"/>
  <c r="P58" i="7"/>
  <c r="M3" i="8"/>
  <c r="K4" i="21"/>
  <c r="G3" i="15"/>
  <c r="K12" i="21"/>
  <c r="Q82" i="7"/>
  <c r="G19" i="24"/>
  <c r="G21" i="24"/>
  <c r="L39" i="8"/>
  <c r="P92" i="7"/>
  <c r="O114" i="7"/>
  <c r="O17" i="7"/>
  <c r="L41" i="24"/>
  <c r="P97" i="7"/>
  <c r="P13" i="7"/>
  <c r="O24" i="7"/>
  <c r="O32" i="7"/>
  <c r="L23" i="29"/>
  <c r="N35" i="8"/>
  <c r="L41" i="8"/>
  <c r="M60" i="8"/>
  <c r="P120" i="7"/>
  <c r="P36" i="7"/>
  <c r="N38" i="8"/>
  <c r="P15" i="7"/>
  <c r="N36" i="8"/>
  <c r="Q97" i="7"/>
  <c r="O123" i="7"/>
  <c r="L2" i="8"/>
  <c r="O47" i="7"/>
  <c r="P102" i="7"/>
  <c r="O52" i="7"/>
  <c r="Q46" i="7"/>
  <c r="G26" i="24"/>
  <c r="P124" i="7"/>
  <c r="L62" i="8"/>
  <c r="L9" i="8"/>
  <c r="P123" i="7"/>
  <c r="Q48" i="7"/>
  <c r="G40" i="24"/>
  <c r="P43" i="7"/>
  <c r="P80" i="7"/>
  <c r="Q95" i="7"/>
  <c r="P38" i="7"/>
  <c r="Q21" i="7"/>
  <c r="N9" i="8"/>
  <c r="P26" i="7"/>
  <c r="Q108" i="7"/>
  <c r="P32" i="7"/>
  <c r="L34" i="24"/>
  <c r="Q14" i="7"/>
  <c r="O26" i="7"/>
  <c r="M43" i="8"/>
  <c r="P116" i="7"/>
  <c r="O14" i="7"/>
  <c r="P55" i="7"/>
  <c r="L61" i="8"/>
  <c r="G34" i="24"/>
  <c r="M35" i="8"/>
  <c r="Q58" i="7"/>
  <c r="Q90" i="7"/>
  <c r="L38" i="8"/>
  <c r="P54" i="7"/>
  <c r="P113" i="7"/>
  <c r="N34" i="8"/>
  <c r="O117" i="7"/>
  <c r="Q43" i="7"/>
  <c r="M50" i="8"/>
  <c r="G25" i="24"/>
  <c r="Q110" i="7"/>
  <c r="O101" i="7"/>
  <c r="O33" i="7"/>
  <c r="Q116" i="7"/>
  <c r="O98" i="7"/>
  <c r="G23" i="24"/>
  <c r="P100" i="7"/>
  <c r="L4" i="8"/>
  <c r="Q123" i="7"/>
  <c r="N42" i="8"/>
  <c r="L40" i="8"/>
  <c r="Q117" i="7"/>
  <c r="P30" i="7"/>
  <c r="Q30" i="7"/>
  <c r="Q81" i="7"/>
  <c r="P23" i="7"/>
  <c r="N18" i="8"/>
  <c r="O124" i="7"/>
  <c r="Q29" i="7"/>
  <c r="N43" i="8"/>
  <c r="Q92" i="7"/>
  <c r="N53" i="8"/>
  <c r="N23" i="8"/>
  <c r="P47" i="7"/>
  <c r="Q50" i="7"/>
  <c r="M65" i="8"/>
  <c r="Q33" i="7"/>
  <c r="P115" i="7"/>
  <c r="O25" i="7"/>
  <c r="M40" i="8"/>
  <c r="L34" i="8"/>
  <c r="L37" i="24"/>
  <c r="O102" i="7"/>
  <c r="M33" i="8"/>
  <c r="L29" i="29"/>
  <c r="N3" i="8"/>
  <c r="O115" i="7"/>
  <c r="Q41" i="7"/>
  <c r="N2" i="8"/>
  <c r="O41" i="7"/>
  <c r="O7" i="7"/>
  <c r="P56" i="7"/>
  <c r="Q94" i="7"/>
  <c r="P77" i="7"/>
  <c r="P91" i="7"/>
  <c r="P103" i="7"/>
  <c r="Q113" i="7"/>
  <c r="M38" i="8"/>
  <c r="P44" i="7"/>
  <c r="P22" i="7"/>
  <c r="P34" i="7"/>
  <c r="N7" i="8"/>
  <c r="O60" i="7"/>
  <c r="P7" i="7"/>
  <c r="N64" i="8"/>
  <c r="L7" i="8"/>
  <c r="O20" i="7"/>
  <c r="Q119" i="7"/>
  <c r="K14" i="21"/>
  <c r="Q93" i="7"/>
  <c r="Q28" i="7"/>
  <c r="P6" i="7"/>
  <c r="N60" i="8"/>
  <c r="L35" i="8"/>
  <c r="P74" i="7"/>
  <c r="P51" i="7"/>
  <c r="O80" i="7"/>
  <c r="G29" i="24"/>
  <c r="M37" i="8"/>
  <c r="M36" i="8"/>
  <c r="Q37" i="7"/>
  <c r="P75" i="7"/>
  <c r="O121" i="7"/>
  <c r="O95" i="7"/>
  <c r="M23" i="8"/>
  <c r="O46" i="7"/>
  <c r="P50" i="7"/>
  <c r="M9" i="8"/>
  <c r="P90" i="7"/>
  <c r="Q23" i="7"/>
  <c r="P33" i="7"/>
  <c r="Q88" i="7"/>
  <c r="G18" i="24"/>
  <c r="L36" i="24"/>
  <c r="O6" i="7"/>
  <c r="O36" i="7"/>
  <c r="Q100" i="7"/>
  <c r="Q13" i="7"/>
  <c r="O48" i="7"/>
  <c r="K7" i="21"/>
  <c r="P12" i="7"/>
  <c r="M34" i="8"/>
  <c r="K6" i="21"/>
  <c r="M59" i="8"/>
  <c r="Q109" i="7"/>
  <c r="P111" i="7"/>
  <c r="Q53" i="7"/>
  <c r="Q22" i="7"/>
  <c r="Q54" i="7"/>
  <c r="O74" i="7"/>
  <c r="Q103" i="7"/>
  <c r="N61" i="8"/>
  <c r="P14" i="7"/>
  <c r="O81" i="7"/>
  <c r="O122" i="7"/>
  <c r="P114" i="7"/>
  <c r="Q121" i="7"/>
  <c r="O82" i="7"/>
  <c r="G6" i="15"/>
  <c r="P28" i="7"/>
  <c r="Q74" i="7"/>
  <c r="P112" i="7"/>
  <c r="L6" i="29"/>
  <c r="L40" i="24"/>
  <c r="L35" i="24"/>
  <c r="O53" i="7"/>
  <c r="N50" i="8"/>
  <c r="O54" i="7"/>
  <c r="Q122" i="7"/>
  <c r="L31" i="8"/>
  <c r="M18" i="8"/>
  <c r="L22" i="8"/>
  <c r="G39" i="24"/>
  <c r="O56" i="7"/>
  <c r="O15" i="7"/>
  <c r="N63" i="8"/>
  <c r="O92" i="7"/>
  <c r="G33" i="24"/>
  <c r="N6" i="8"/>
  <c r="O94" i="7"/>
  <c r="L32" i="8"/>
  <c r="Q59" i="7"/>
  <c r="G22" i="24"/>
  <c r="Q51" i="7"/>
  <c r="Q83" i="7"/>
  <c r="M32" i="8"/>
  <c r="Q114" i="7"/>
  <c r="Q47" i="7"/>
  <c r="Q118" i="7"/>
  <c r="M64" i="8"/>
  <c r="Q25" i="7"/>
  <c r="P110" i="7"/>
  <c r="Q49" i="7"/>
  <c r="M42" i="8"/>
  <c r="Q60" i="7"/>
  <c r="P60" i="7"/>
  <c r="G28" i="24"/>
  <c r="L18" i="8"/>
  <c r="P109" i="7"/>
  <c r="P99" i="7"/>
  <c r="N19" i="8"/>
  <c r="O100" i="7"/>
  <c r="K5" i="21"/>
  <c r="Q15" i="7"/>
  <c r="O38" i="7"/>
  <c r="P96" i="7"/>
  <c r="N31" i="8"/>
  <c r="O30" i="7"/>
  <c r="O61" i="7"/>
  <c r="L6" i="8"/>
  <c r="L64" i="8"/>
  <c r="P27" i="7"/>
  <c r="Q32" i="7"/>
  <c r="Q98" i="7"/>
  <c r="P37" i="7"/>
  <c r="Q8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charset val="1"/>
          </rPr>
          <t>Shui, Yaxin:</t>
        </r>
        <r>
          <rPr>
            <sz val="9"/>
            <color indexed="81"/>
            <rFont val="Tahoma"/>
            <charset val="1"/>
          </rPr>
          <t xml:space="preserve">
Place holder. It is same as MTL-SOC-M GSC</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3"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4"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4" authorId="0" shapeId="0" xr:uid="{CCF2B8E2-F3BF-440C-9F2C-B9BD835AD6E6}">
      <text>
        <r>
          <rPr>
            <b/>
            <sz val="9"/>
            <color indexed="81"/>
            <rFont val="Tahoma"/>
            <family val="2"/>
          </rPr>
          <t>Shui, Yaxin:</t>
        </r>
        <r>
          <rPr>
            <sz val="9"/>
            <color indexed="81"/>
            <rFont val="Tahoma"/>
            <family val="2"/>
          </rPr>
          <t xml:space="preserve">
No Clink </t>
        </r>
      </text>
    </comment>
    <comment ref="J14" authorId="0" shapeId="0" xr:uid="{BB43584B-32FB-4BE3-BD56-AB49BBDA82FD}">
      <text>
        <r>
          <rPr>
            <b/>
            <sz val="9"/>
            <color indexed="81"/>
            <rFont val="Tahoma"/>
            <family val="2"/>
          </rPr>
          <t>Shui, Yaxin:</t>
        </r>
        <r>
          <rPr>
            <sz val="9"/>
            <color indexed="81"/>
            <rFont val="Tahoma"/>
            <family val="2"/>
          </rPr>
          <t xml:space="preserve">
No Clink </t>
        </r>
      </text>
    </comment>
    <comment ref="K14" authorId="0" shapeId="0" xr:uid="{AF2B3477-F004-4BC0-8A43-DCFDAD97975B}">
      <text>
        <r>
          <rPr>
            <b/>
            <sz val="9"/>
            <color indexed="81"/>
            <rFont val="Tahoma"/>
            <family val="2"/>
          </rPr>
          <t>Shui, Yaxin:</t>
        </r>
        <r>
          <rPr>
            <sz val="9"/>
            <color indexed="81"/>
            <rFont val="Tahoma"/>
            <family val="2"/>
          </rPr>
          <t xml:space="preserve">
No Clink </t>
        </r>
      </text>
    </comment>
    <comment ref="H15"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H19" authorId="0" shapeId="0" xr:uid="{FF9D7C40-C53D-4F8B-B206-12D23882021C}">
      <text>
        <r>
          <rPr>
            <b/>
            <sz val="9"/>
            <color indexed="81"/>
            <rFont val="Tahoma"/>
            <family val="2"/>
          </rPr>
          <t>Shui, Yaxin:</t>
        </r>
        <r>
          <rPr>
            <sz val="9"/>
            <color indexed="81"/>
            <rFont val="Tahoma"/>
            <family val="2"/>
          </rPr>
          <t xml:space="preserve">
No HSIO support from MTL</t>
        </r>
      </text>
    </comment>
    <comment ref="H26" authorId="0" shapeId="0" xr:uid="{C32EDEEC-03BA-479F-AA1C-0CD376818BF2}">
      <text>
        <r>
          <rPr>
            <b/>
            <sz val="9"/>
            <color indexed="81"/>
            <rFont val="Tahoma"/>
            <family val="2"/>
          </rPr>
          <t>Shui, Yaxin:</t>
        </r>
        <r>
          <rPr>
            <sz val="9"/>
            <color indexed="81"/>
            <rFont val="Tahoma"/>
            <family val="2"/>
          </rPr>
          <t xml:space="preserve">
ISH is in PCH, not in SOC</t>
        </r>
      </text>
    </comment>
    <comment ref="H28"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2"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38"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2"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43"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45" authorId="0" shapeId="0" xr:uid="{6CE3E1A3-A067-4571-92D0-41164F0B00B2}">
      <text>
        <r>
          <rPr>
            <b/>
            <sz val="9"/>
            <color indexed="81"/>
            <rFont val="Tahoma"/>
            <family val="2"/>
          </rPr>
          <t>Shui, Yaxin:</t>
        </r>
        <r>
          <rPr>
            <sz val="9"/>
            <color indexed="81"/>
            <rFont val="Tahoma"/>
            <family val="2"/>
          </rPr>
          <t xml:space="preserve">
same as ADP-S, BUF</t>
        </r>
      </text>
    </comment>
    <comment ref="H48"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H59" authorId="0" shapeId="0" xr:uid="{D02DE5E0-F7AB-4A64-8186-3AEF32B7221A}">
      <text>
        <r>
          <rPr>
            <b/>
            <sz val="9"/>
            <color indexed="81"/>
            <rFont val="Tahoma"/>
            <family val="2"/>
          </rPr>
          <t>Shui, Yaxin:</t>
        </r>
        <r>
          <rPr>
            <sz val="9"/>
            <color indexed="81"/>
            <rFont val="Tahoma"/>
            <family val="2"/>
          </rPr>
          <t xml:space="preserve">
Chaitu : need from FW team</t>
        </r>
      </text>
    </comment>
    <comment ref="H6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6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7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<sst xmlns="http://schemas.openxmlformats.org/spreadsheetml/2006/main" count="4541" uniqueCount="1177">
  <si>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</si>
  <si>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</si>
  <si>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</si>
  <si>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</si>
  <si>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</si>
  <si>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</si>
  <si>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</si>
  <si>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</si>
  <si>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</si>
  <si>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</si>
  <si>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</si>
  <si>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</si>
  <si>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</si>
  <si>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</si>
  <si>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</si>
  <si>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</si>
  <si>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</si>
  <si>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</si>
  <si>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</si>
  <si>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</si>
  <si>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</si>
  <si>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</si>
  <si>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</si>
  <si>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</si>
  <si>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</si>
  <si>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</si>
  <si>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</si>
  <si>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</si>
  <si>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</si>
  <si>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</si>
  <si>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</si>
  <si>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</si>
  <si>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</si>
  <si>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</si>
  <si>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</si>
  <si>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</si>
  <si>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</si>
  <si>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</si>
  <si>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</si>
  <si>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</si>
  <si>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</si>
  <si>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</si>
  <si>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</si>
  <si>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</si>
  <si>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</si>
  <si>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</si>
  <si>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</si>
  <si>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</si>
  <si>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</si>
  <si>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</si>
  <si>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</si>
  <si>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</si>
  <si>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</si>
  <si>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</si>
  <si>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</si>
  <si>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</si>
  <si>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</si>
  <si>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</si>
  <si>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</si>
  <si>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</si>
  <si>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</si>
  <si>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</si>
  <si>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</si>
  <si>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</si>
  <si>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</si>
  <si>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</si>
  <si>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</si>
  <si>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</si>
  <si>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</si>
  <si>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</si>
  <si>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</si>
  <si>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</si>
  <si>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</si>
  <si>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</si>
  <si>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</si>
  <si>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</si>
  <si>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</si>
  <si>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</si>
  <si>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</si>
  <si>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</si>
  <si>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</si>
  <si>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</si>
  <si>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</si>
  <si>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</si>
  <si>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</si>
  <si>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</si>
  <si>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</si>
  <si>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</si>
  <si>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</si>
  <si>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</si>
  <si>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</si>
  <si>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</si>
  <si>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</si>
  <si>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</si>
  <si>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</si>
  <si>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</si>
  <si>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</si>
  <si>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</si>
  <si>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</si>
  <si>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</si>
  <si>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</si>
  <si>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</si>
  <si>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</si>
  <si>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</si>
  <si>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</si>
  <si>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</si>
  <si>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</si>
  <si>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</si>
  <si>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</si>
  <si>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</si>
  <si>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</si>
  <si>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</si>
  <si>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</si>
  <si>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</si>
  <si>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</si>
  <si>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</si>
  <si>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</si>
  <si>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</si>
  <si>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</si>
  <si>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</si>
  <si>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</si>
  <si>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</si>
  <si>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</si>
  <si>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</si>
  <si>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</si>
  <si>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</si>
  <si>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</si>
  <si>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</si>
  <si>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</si>
  <si>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</si>
  <si>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</si>
  <si>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</si>
  <si>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</si>
  <si>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</si>
  <si>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</si>
  <si>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</si>
  <si>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</si>
  <si>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</si>
  <si>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</si>
  <si>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</si>
  <si>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</si>
  <si>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</si>
  <si>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</si>
  <si>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</si>
  <si>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</si>
  <si>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</si>
  <si>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</si>
  <si>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</si>
  <si>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</si>
  <si>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</si>
  <si>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</si>
  <si>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</si>
  <si>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</si>
  <si>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</si>
  <si>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</si>
  <si>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</si>
  <si>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</si>
  <si>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</si>
  <si>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</si>
  <si>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</si>
  <si>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</si>
  <si>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</si>
  <si>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</si>
  <si>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</si>
  <si>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</si>
  <si>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</si>
  <si>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</si>
  <si>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</si>
  <si>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</si>
  <si>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</si>
  <si>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</si>
  <si>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</si>
  <si>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</si>
  <si>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</si>
  <si>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</si>
  <si>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</si>
  <si>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</si>
  <si>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</si>
  <si>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</si>
  <si>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</si>
  <si>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</si>
  <si>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</si>
  <si>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</si>
  <si>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</si>
  <si>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</si>
  <si>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</si>
  <si>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</si>
  <si>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</si>
  <si>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</si>
  <si>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</si>
  <si>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</si>
  <si>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</si>
  <si>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</si>
  <si>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</si>
  <si>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</si>
  <si>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</si>
  <si>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</si>
  <si>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</si>
  <si>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</si>
  <si>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</si>
  <si>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</si>
  <si>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</si>
  <si>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</si>
  <si>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</si>
  <si>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</si>
  <si>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</si>
  <si>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</si>
  <si>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</si>
  <si>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</si>
  <si>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</si>
  <si>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</si>
  <si>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</si>
  <si>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</si>
  <si>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</si>
  <si>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</si>
  <si>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</si>
  <si>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</si>
  <si>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</si>
  <si>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</si>
  <si>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</si>
  <si>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</si>
  <si>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</si>
  <si>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</si>
  <si>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</si>
  <si>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</si>
  <si>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</si>
  <si>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</si>
  <si>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</si>
  <si>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</si>
  <si>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</si>
  <si>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</si>
  <si>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</si>
  <si>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</si>
  <si>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</si>
  <si>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</si>
  <si>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</si>
  <si>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</si>
  <si>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</si>
  <si>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</si>
  <si>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</si>
  <si>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</si>
  <si>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</si>
  <si>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</si>
  <si>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</si>
  <si>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</si>
  <si>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</si>
  <si>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</si>
  <si>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</si>
  <si>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</si>
  <si>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</si>
  <si>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</si>
  <si>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</si>
  <si>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</si>
  <si>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</si>
  <si>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</si>
  <si>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</si>
  <si>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</si>
  <si>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</si>
  <si>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</si>
  <si>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</si>
  <si>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</si>
  <si>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</si>
  <si>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</si>
  <si>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</si>
  <si>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</si>
  <si>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</si>
  <si>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</si>
  <si>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</si>
  <si>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</si>
  <si>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</si>
  <si>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</si>
  <si>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</si>
  <si>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</si>
  <si>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</si>
  <si>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</si>
  <si>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</si>
  <si>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</si>
  <si>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</si>
  <si>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</si>
  <si>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</si>
  <si>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</si>
  <si>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</si>
  <si>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</si>
  <si>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</si>
  <si>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</si>
  <si>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</si>
  <si>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</si>
  <si>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</si>
  <si>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</si>
  <si>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</si>
  <si>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</si>
  <si>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</si>
  <si>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</si>
  <si>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</si>
  <si>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</si>
  <si>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</si>
  <si>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</si>
  <si>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</si>
  <si>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</si>
  <si>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</si>
  <si>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</si>
  <si>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</si>
  <si>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</si>
  <si>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</si>
  <si>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</si>
  <si>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</si>
  <si>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</si>
  <si>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</si>
  <si>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</si>
  <si>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</si>
  <si>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</si>
  <si>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</si>
  <si>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</si>
  <si>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</si>
  <si>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</si>
  <si>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</si>
  <si>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</si>
  <si>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</si>
  <si>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</si>
  <si>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</si>
  <si>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</si>
  <si>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</si>
  <si>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</si>
  <si>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</si>
  <si>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</si>
  <si>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</si>
  <si>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</si>
  <si>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</si>
  <si>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</si>
  <si>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</si>
  <si>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</si>
  <si>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</si>
  <si>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</si>
  <si>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</si>
  <si>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</si>
  <si>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</si>
  <si>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</si>
  <si>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</si>
  <si>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</si>
  <si>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</si>
  <si>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</si>
  <si>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</si>
  <si>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</si>
  <si>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</si>
  <si>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</si>
  <si>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</si>
  <si>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</si>
  <si>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</si>
  <si>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</si>
  <si>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</si>
  <si>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</si>
  <si>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</si>
  <si>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</si>
  <si>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</si>
  <si>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</si>
  <si>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</si>
  <si>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</si>
  <si>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</si>
  <si>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</si>
  <si>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</si>
  <si>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</si>
  <si>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</si>
  <si>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</si>
  <si>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</si>
  <si>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</si>
  <si>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</si>
  <si>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</si>
  <si>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</si>
  <si>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</si>
  <si>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</si>
  <si>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</si>
  <si>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</si>
  <si>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</si>
  <si>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</si>
  <si>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</si>
  <si>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</si>
  <si>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</si>
  <si>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</si>
  <si>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</si>
  <si>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</si>
  <si>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</si>
  <si>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</si>
  <si>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</si>
  <si>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</si>
  <si>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</si>
  <si>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</si>
  <si>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</si>
  <si>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</si>
  <si>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</si>
  <si>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</si>
  <si>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</si>
  <si>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</si>
  <si>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</si>
  <si>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</si>
  <si>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</si>
  <si>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</si>
  <si>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</si>
  <si>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</si>
  <si>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</si>
  <si>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</si>
  <si>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</si>
  <si>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</si>
  <si>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</si>
  <si>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</si>
  <si>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</si>
  <si>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</si>
  <si>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</si>
  <si>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</si>
  <si>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</si>
  <si>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</si>
  <si>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</si>
  <si>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</si>
  <si>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</si>
  <si>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</si>
  <si>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</si>
  <si>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</si>
  <si>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</si>
  <si>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</si>
  <si>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</si>
  <si>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</si>
  <si>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</si>
  <si>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</si>
  <si>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</si>
  <si>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</si>
  <si>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</si>
  <si>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</si>
  <si>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</si>
  <si>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</si>
  <si>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</si>
  <si>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</si>
  <si>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</si>
  <si>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</si>
  <si>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</si>
  <si>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</si>
  <si>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</si>
  <si>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</si>
  <si>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</si>
  <si>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</si>
  <si>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</si>
  <si>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</si>
  <si>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</si>
  <si>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</si>
  <si>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</si>
  <si>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</si>
  <si>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</si>
  <si>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</si>
  <si>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</si>
  <si>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</si>
  <si>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</si>
  <si>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</si>
  <si>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</si>
  <si>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</si>
  <si>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</si>
  <si>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</si>
  <si>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</si>
  <si>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</si>
  <si>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</si>
  <si>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</si>
  <si>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</si>
  <si>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</si>
  <si>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</si>
  <si>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</si>
  <si>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</si>
  <si>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</si>
  <si>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</si>
  <si>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</si>
  <si>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</si>
  <si>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</si>
  <si>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</si>
  <si>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</si>
  <si>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</si>
  <si>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</si>
  <si>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</si>
  <si>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</si>
  <si>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</si>
  <si>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</si>
  <si>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</si>
  <si>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</si>
  <si>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</si>
  <si>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</si>
  <si>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</si>
  <si>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</si>
  <si>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</si>
  <si>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</si>
  <si>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</si>
  <si>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</si>
  <si>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</si>
  <si>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</si>
  <si>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</si>
  <si>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</si>
  <si>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</si>
  <si>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</si>
  <si>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</si>
  <si>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</si>
  <si>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</si>
  <si>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</si>
  <si>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</si>
  <si>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</si>
  <si>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</si>
  <si>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</si>
  <si>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</si>
  <si>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</si>
  <si>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</si>
  <si>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</si>
  <si>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</si>
  <si>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</si>
  <si>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</si>
  <si>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</si>
  <si>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</si>
  <si>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</si>
  <si>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</si>
  <si>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</si>
  <si>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</si>
  <si>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</si>
  <si>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</si>
  <si>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</si>
  <si>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</si>
  <si>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</si>
  <si>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</si>
  <si>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</si>
  <si>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</si>
  <si>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</si>
  <si>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</si>
  <si>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</si>
  <si>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</si>
  <si>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</si>
  <si>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</si>
  <si>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</si>
  <si>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</si>
  <si>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</si>
  <si>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</si>
  <si>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</si>
  <si>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</si>
  <si>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</si>
  <si>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</si>
  <si>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</si>
  <si>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</si>
  <si>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</si>
  <si>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</si>
  <si>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</si>
  <si>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</si>
  <si>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</si>
  <si>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</si>
  <si>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</si>
  <si>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</si>
  <si>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</si>
  <si>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</si>
  <si>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</si>
  <si>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</si>
  <si>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</si>
  <si>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</si>
  <si>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</si>
  <si>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</si>
  <si>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</si>
  <si>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</si>
  <si>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</si>
  <si>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</si>
  <si>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</si>
  <si>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</si>
  <si>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</si>
  <si>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</si>
  <si>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</si>
  <si>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</si>
  <si>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</si>
  <si>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</si>
  <si>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</si>
  <si>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</si>
  <si>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</si>
  <si>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</si>
  <si>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</si>
  <si>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</si>
  <si>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</si>
  <si>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</si>
  <si>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</si>
  <si>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</si>
  <si>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</si>
  <si>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</si>
  <si>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</si>
  <si>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</si>
  <si>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</si>
  <si>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</si>
  <si>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</si>
  <si>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</si>
  <si>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</si>
  <si>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</si>
  <si>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</si>
  <si>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</si>
  <si>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</si>
  <si>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</si>
  <si>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</si>
  <si>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</si>
  <si>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</si>
  <si>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</si>
  <si>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</si>
  <si>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</si>
  <si>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</si>
  <si>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</si>
  <si>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</si>
  <si>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</si>
  <si>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</si>
  <si>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</si>
  <si>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</si>
  <si>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</si>
  <si>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</si>
  <si>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</si>
  <si>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</si>
  <si>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</si>
  <si>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</si>
  <si>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</si>
  <si>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</si>
  <si>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</si>
  <si>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</si>
  <si>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</si>
  <si>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</si>
  <si>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</si>
  <si>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</si>
  <si>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</si>
  <si>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</si>
  <si>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</si>
  <si>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</si>
  <si>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</si>
  <si>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</si>
  <si>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</si>
  <si>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</si>
  <si>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</si>
  <si>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</si>
  <si>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</si>
  <si>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</si>
  <si>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</si>
  <si>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</si>
  <si>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</si>
  <si>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</si>
  <si>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</si>
  <si>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</si>
  <si>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</si>
  <si>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</si>
  <si>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</si>
  <si>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</si>
  <si>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</si>
  <si>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</si>
  <si>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</si>
  <si>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</si>
  <si>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</si>
  <si>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</si>
  <si>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</si>
  <si>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</si>
  <si>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</si>
  <si>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</si>
  <si>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</si>
  <si>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</si>
  <si>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</si>
  <si>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</si>
  <si>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</si>
  <si>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</si>
  <si>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</si>
  <si>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</si>
  <si>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</si>
  <si>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</si>
  <si>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</si>
  <si>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</si>
  <si>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</si>
  <si>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</si>
  <si>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</si>
  <si>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</si>
  <si>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</si>
  <si>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</si>
  <si>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</si>
  <si>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</si>
  <si>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</si>
  <si>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</si>
  <si>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</si>
  <si>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</si>
  <si>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</si>
  <si>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</si>
  <si>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</si>
  <si>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</si>
  <si>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</si>
  <si>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</si>
  <si>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</si>
  <si>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</si>
  <si>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</si>
  <si>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</si>
  <si>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</si>
  <si>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</si>
  <si>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</si>
  <si>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</si>
  <si>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</si>
  <si>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</si>
  <si>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</si>
  <si>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</si>
  <si>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</si>
  <si>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</si>
  <si>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</si>
  <si>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</si>
  <si>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</si>
  <si>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</si>
  <si>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</si>
  <si>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</si>
  <si>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</si>
  <si>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</si>
  <si>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</si>
  <si>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</si>
  <si>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</si>
  <si>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</si>
  <si>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</si>
  <si>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</si>
  <si>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</si>
  <si>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</si>
  <si>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</si>
  <si>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</si>
  <si>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</si>
  <si>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</si>
  <si>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</si>
  <si>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</si>
  <si>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</si>
  <si>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</si>
  <si>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</si>
  <si>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</si>
  <si>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</si>
  <si>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</si>
  <si>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</si>
  <si>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</si>
  <si>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</si>
  <si>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</si>
  <si>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</si>
  <si>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</si>
  <si>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</si>
  <si>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</si>
  <si>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</si>
  <si>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</si>
  <si>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</si>
  <si>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</si>
  <si>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</si>
  <si>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</si>
  <si>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</si>
  <si>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</si>
  <si>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</si>
  <si>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</si>
  <si>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</si>
  <si>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</si>
  <si>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</si>
  <si>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</si>
  <si>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</si>
  <si>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</si>
  <si>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</si>
  <si>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</si>
  <si>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</si>
  <si>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</si>
  <si>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</si>
  <si>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</si>
  <si>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</si>
  <si>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</si>
  <si>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</si>
  <si>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</si>
  <si>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</si>
  <si>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</si>
  <si>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</si>
  <si>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</si>
  <si>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</si>
  <si>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</si>
  <si>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</si>
  <si>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</si>
  <si>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</si>
  <si>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</si>
  <si>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</si>
  <si>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</si>
  <si>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</si>
  <si>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</si>
  <si>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</si>
  <si>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</si>
  <si>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</si>
  <si>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</si>
  <si>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</si>
  <si>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</si>
  <si>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</si>
  <si>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</si>
  <si>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</si>
  <si>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</si>
  <si>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</si>
  <si>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</si>
  <si>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</si>
  <si>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</si>
  <si>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</si>
  <si>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</si>
  <si>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</si>
  <si>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</si>
  <si>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</si>
  <si>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</si>
  <si>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</si>
  <si>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</si>
  <si>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</si>
  <si>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</si>
  <si>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</si>
  <si>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</si>
  <si>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</si>
  <si>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</si>
  <si>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</si>
  <si>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</si>
  <si>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</si>
  <si>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</si>
  <si>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</si>
  <si>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</si>
  <si>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</si>
  <si>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</si>
  <si>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</si>
  <si>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</si>
  <si>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</si>
  <si>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</si>
  <si>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</si>
  <si>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</si>
  <si>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</si>
  <si>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</si>
  <si>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</si>
  <si>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</si>
  <si>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</si>
  <si>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</si>
  <si>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</si>
  <si>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</si>
  <si>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</si>
  <si>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</si>
  <si>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</si>
  <si>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</si>
  <si>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</si>
  <si>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</si>
  <si>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</si>
  <si>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</si>
  <si>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</si>
  <si>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</si>
  <si>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</si>
  <si>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</si>
  <si>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</si>
  <si>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</si>
  <si>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</si>
  <si>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</si>
  <si>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</si>
  <si>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</si>
  <si>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</si>
  <si>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</si>
  <si>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</si>
  <si>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</si>
  <si>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</si>
  <si>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</si>
  <si>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</si>
  <si>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</si>
  <si>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</si>
  <si>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</si>
  <si>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</si>
  <si>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</si>
  <si>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</si>
  <si>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</si>
  <si>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</si>
  <si>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</si>
  <si>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</si>
  <si>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</si>
  <si>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</si>
  <si>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</si>
  <si>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</si>
  <si>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</si>
  <si>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</si>
  <si>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</si>
  <si>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</si>
  <si>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</si>
  <si>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</si>
  <si>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</si>
  <si>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</si>
  <si>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</si>
  <si>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</si>
  <si>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</si>
  <si>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</si>
  <si>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</si>
  <si>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</si>
  <si>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</si>
  <si>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</si>
  <si>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</si>
  <si>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</si>
  <si>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</si>
  <si>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</si>
  <si>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</si>
  <si>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</si>
  <si>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</si>
  <si>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</si>
  <si>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</si>
  <si>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</si>
  <si>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</si>
  <si>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</si>
  <si>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</si>
  <si>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</si>
  <si>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</si>
  <si>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</si>
  <si>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</si>
  <si>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</si>
  <si>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</si>
  <si>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</si>
  <si>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</si>
  <si>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</si>
  <si>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</si>
  <si>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</si>
  <si>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</si>
  <si>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</si>
  <si>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</si>
  <si>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</si>
  <si>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</si>
  <si>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</si>
  <si>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</si>
  <si>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</si>
  <si>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</si>
  <si>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</si>
  <si>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</si>
  <si>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</si>
  <si>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</si>
  <si>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</si>
  <si>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</si>
  <si>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</si>
  <si>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</si>
  <si>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</si>
  <si>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</si>
  <si>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</si>
  <si>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</si>
  <si>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</si>
  <si>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</si>
  <si>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</si>
  <si>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</si>
  <si>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</si>
  <si>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</si>
  <si>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</si>
  <si>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</si>
  <si>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</si>
  <si>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</si>
  <si>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</si>
  <si>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</si>
  <si>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</si>
  <si>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</si>
  <si>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</si>
  <si>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</si>
  <si>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</si>
  <si>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</si>
  <si>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</si>
  <si>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</si>
  <si>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</si>
  <si>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</si>
  <si>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</si>
  <si>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</si>
  <si>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</si>
  <si>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</si>
  <si>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</si>
  <si>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</si>
  <si>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</si>
  <si>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</si>
  <si>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</si>
  <si>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</si>
  <si>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</si>
  <si>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</si>
  <si>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</si>
  <si>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</si>
  <si>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</si>
  <si>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</si>
  <si>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</si>
  <si>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</si>
  <si>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</si>
  <si>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</si>
  <si>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</si>
  <si>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</si>
  <si>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</si>
  <si>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</si>
  <si>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</si>
  <si>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</si>
  <si>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</si>
  <si>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</si>
  <si>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</si>
  <si>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</si>
  <si>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</si>
  <si>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</si>
  <si>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</si>
  <si>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</si>
  <si>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</si>
  <si>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</si>
  <si>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</si>
  <si>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</si>
  <si>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</si>
  <si>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</si>
  <si>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</si>
  <si>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</si>
  <si>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</si>
  <si>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</si>
  <si>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</si>
  <si>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</si>
  <si>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</si>
  <si>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</si>
  <si>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</si>
  <si>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</si>
  <si>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</si>
  <si>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</si>
  <si>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</si>
  <si>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</si>
  <si>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</si>
  <si>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</si>
  <si>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</si>
  <si>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</si>
  <si>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</si>
  <si>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</si>
  <si>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</si>
  <si>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</si>
  <si>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</si>
  <si>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</si>
  <si>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</si>
  <si>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</si>
  <si>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</si>
  <si>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</si>
  <si>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</si>
  <si>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</si>
  <si>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</si>
  <si>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</si>
  <si>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</si>
  <si>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</si>
  <si>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</si>
  <si>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</si>
  <si>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</si>
  <si>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</si>
  <si>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</si>
  <si>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</si>
  <si>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</si>
  <si>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</si>
  <si>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</si>
  <si>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</si>
  <si>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</si>
  <si>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</si>
  <si>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</si>
  <si>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</si>
  <si>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</si>
  <si>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</si>
  <si>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</si>
  <si>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</si>
  <si>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</si>
  <si>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</si>
  <si>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</si>
  <si>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</si>
  <si>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</si>
  <si>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</si>
  <si>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</si>
  <si>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</si>
  <si>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</si>
  <si>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</si>
  <si>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</si>
  <si>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</si>
  <si>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</si>
  <si>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</si>
  <si>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</si>
  <si>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</si>
  <si>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</si>
  <si>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</si>
  <si>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</si>
  <si>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</si>
  <si>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</si>
  <si>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</si>
  <si>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</si>
  <si>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</si>
  <si>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</si>
  <si>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</si>
  <si>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</si>
  <si>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</si>
  <si>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</si>
  <si>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</si>
  <si>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</si>
  <si>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</si>
  <si>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</si>
  <si>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</si>
  <si>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</si>
  <si>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</si>
  <si>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</si>
  <si>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</si>
  <si>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</si>
  <si>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</si>
  <si>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</si>
  <si>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</si>
  <si>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</si>
  <si>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</si>
  <si>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</si>
  <si>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</si>
  <si>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</si>
  <si>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</si>
  <si>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</si>
  <si>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</si>
  <si>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</si>
  <si>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</si>
  <si>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</si>
  <si>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</si>
  <si>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</si>
  <si>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</si>
  <si>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</si>
  <si>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</si>
  <si>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</si>
  <si>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</si>
  <si>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</si>
  <si>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</si>
  <si>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</si>
  <si>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</si>
  <si>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</si>
  <si>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</si>
  <si>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</si>
  <si>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</si>
  <si>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</si>
  <si>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</si>
  <si>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</si>
  <si>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</si>
  <si>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</si>
  <si>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</si>
  <si>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</si>
  <si>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</si>
  <si>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</si>
  <si>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</si>
  <si>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</si>
  <si>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</si>
  <si>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</si>
  <si>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</si>
  <si>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</si>
  <si>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</si>
  <si>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</si>
  <si>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</si>
  <si>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</si>
  <si>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</si>
  <si>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</si>
  <si>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</si>
  <si>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</si>
  <si>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</si>
  <si>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</si>
  <si>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</si>
  <si>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</si>
  <si>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</si>
  <si>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</si>
  <si>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</si>
  <si>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</si>
  <si>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</si>
  <si>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</si>
  <si>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</si>
  <si>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</si>
  <si>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</si>
  <si>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</si>
  <si>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</si>
  <si>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</si>
  <si>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</si>
  <si>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</si>
  <si>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</si>
  <si>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</si>
  <si>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</si>
  <si>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</si>
  <si>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</si>
  <si>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</si>
  <si>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</si>
  <si>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</si>
  <si>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</si>
  <si>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</si>
  <si>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</si>
  <si>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</si>
  <si>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</si>
  <si>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</si>
  <si>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</si>
  <si>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</si>
  <si>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</si>
  <si>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</si>
  <si>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</si>
  <si>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</si>
  <si>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</si>
  <si>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</si>
  <si>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</si>
  <si>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</si>
  <si>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</si>
  <si>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</si>
  <si>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</si>
  <si>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</si>
  <si>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</si>
  <si>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</si>
  <si>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0 ??</t>
  </si>
  <si>
    <t>0 ?</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</si>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</sst>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9"/>
      <color indexed="81"/>
      <name val="Tahoma"/>
      <charset val="1"/>
    </font>
    <font>
      <b/>
      <sz val="9"/>
      <color indexed="81"/>
      <name val="Tahoma"/>
      <charset val="1"/>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s>
  <borders count="6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s>
  <cellStyleXfs count="1">
    <xf numFmtId="0" fontId="0" fillId="0" borderId="0"/>
  </cellStyleXfs>
  <cellXfs count="33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0" fillId="0" borderId="4" xfId="0" applyFill="1" applyBorder="1" applyAlignment="1">
      <alignment horizontal="center" vertical="center"/>
    </xf>
    <xf numFmtId="0" fontId="0" fillId="0" borderId="4" xfId="0" applyFill="1" applyBorder="1" applyAlignment="1">
      <alignment wrapText="1"/>
    </xf>
    <xf numFmtId="0" fontId="25" fillId="0" borderId="2" xfId="0" applyFont="1" applyBorder="1"/>
    <xf numFmtId="0" fontId="25" fillId="0" borderId="2" xfId="0" applyFont="1" applyBorder="1" applyAlignment="1">
      <alignment wrapText="1"/>
    </xf>
    <xf numFmtId="0" fontId="0" fillId="0" borderId="4" xfId="0" applyFill="1" applyBorder="1" applyAlignment="1">
      <alignment horizontal="lef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38" xfId="0" applyBorder="1" applyAlignment="1">
      <alignment horizontal="center"/>
    </xf>
    <xf numFmtId="0" fontId="8" fillId="4" borderId="2" xfId="0" applyFont="1" applyFill="1" applyBorder="1" applyAlignment="1">
      <alignment horizontal="left" vertical="center" wrapText="1"/>
    </xf>
    <xf numFmtId="0" fontId="6" fillId="6" borderId="2" xfId="0" applyFont="1" applyFill="1" applyBorder="1"/>
    <xf numFmtId="14" fontId="0" fillId="0" borderId="0" xfId="0" applyNumberFormat="1" applyAlignment="1">
      <alignment vertical="center"/>
    </xf>
  </cellXfs>
  <cellStyles count="1">
    <cellStyle name="Normal" xfId="0" builtinId="0"/>
  </cellStyles>
  <dxfs count="55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6"/>
  <sheetViews>
    <sheetView topLeftCell="A19" workbookViewId="0">
      <selection activeCell="D26" sqref="D26"/>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72" x14ac:dyDescent="0.3">
      <c r="A24" s="253">
        <v>23</v>
      </c>
      <c r="B24" s="330">
        <v>44055</v>
      </c>
      <c r="C24" s="247" t="s">
        <v>606</v>
      </c>
      <c r="D24" s="254" t="s">
        <v>1166</v>
      </c>
    </row>
    <row r="25" spans="1:4" ht="28.8" x14ac:dyDescent="0.3">
      <c r="A25" s="253">
        <v>24</v>
      </c>
      <c r="B25" s="330">
        <v>44056</v>
      </c>
      <c r="C25" s="248" t="s">
        <v>606</v>
      </c>
      <c r="D25" s="254" t="s">
        <v>1167</v>
      </c>
    </row>
    <row r="26" spans="1:4" ht="28.8" x14ac:dyDescent="0.3">
      <c r="A26" s="253">
        <v>25</v>
      </c>
      <c r="B26" s="330">
        <v>44056</v>
      </c>
      <c r="C26" s="257" t="s">
        <v>1168</v>
      </c>
      <c r="D26" s="254" t="s">
        <v>1176</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abSelected="1" workbookViewId="0">
      <pane xSplit="12" ySplit="4" topLeftCell="M5" activePane="bottomRight" state="frozen"/>
      <selection pane="topRight" activeCell="M1" sqref="M1"/>
      <selection pane="bottomLeft" activeCell="A5" sqref="A5"/>
      <selection pane="bottomRight" activeCell="L7" sqref="L7"/>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61" t="s">
        <v>634</v>
      </c>
      <c r="D2" s="262"/>
      <c r="E2" s="258" t="s">
        <v>392</v>
      </c>
      <c r="F2" s="259"/>
      <c r="G2" s="260"/>
      <c r="H2" s="261" t="s">
        <v>634</v>
      </c>
      <c r="I2" s="327"/>
      <c r="J2" s="258" t="s">
        <v>392</v>
      </c>
      <c r="K2" s="259"/>
      <c r="L2" s="260"/>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328" t="s">
        <v>1169</v>
      </c>
      <c r="I3" s="105" t="s">
        <v>1170</v>
      </c>
      <c r="J3" s="61" t="s">
        <v>1173</v>
      </c>
      <c r="K3" s="61" t="s">
        <v>1174</v>
      </c>
      <c r="L3" s="61" t="s">
        <v>1175</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v>1</v>
      </c>
      <c r="I5" s="16">
        <v>0</v>
      </c>
      <c r="J5" s="16">
        <v>0</v>
      </c>
      <c r="K5" s="16">
        <v>0</v>
      </c>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v>1</v>
      </c>
      <c r="I7" s="16">
        <v>0</v>
      </c>
      <c r="J7" s="16">
        <v>0</v>
      </c>
      <c r="K7" s="16">
        <v>0</v>
      </c>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v>1</v>
      </c>
      <c r="I8" s="16">
        <v>1</v>
      </c>
      <c r="J8" s="16">
        <v>1</v>
      </c>
      <c r="K8" s="16">
        <v>1</v>
      </c>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63">
        <v>1</v>
      </c>
      <c r="I9" s="63">
        <v>1</v>
      </c>
      <c r="J9" s="63">
        <v>0</v>
      </c>
      <c r="K9" s="63">
        <v>1</v>
      </c>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v>1</v>
      </c>
      <c r="I10" s="16">
        <v>0</v>
      </c>
      <c r="J10" s="16">
        <v>0</v>
      </c>
      <c r="K10" s="16">
        <v>0</v>
      </c>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v>15</v>
      </c>
      <c r="I11" s="16">
        <v>5</v>
      </c>
      <c r="J11" s="16">
        <v>7</v>
      </c>
      <c r="K11" s="16">
        <v>5</v>
      </c>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v>0</v>
      </c>
      <c r="I12" s="16">
        <v>0</v>
      </c>
      <c r="J12" s="16">
        <v>0</v>
      </c>
      <c r="K12" s="16">
        <v>0</v>
      </c>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329">
        <v>0</v>
      </c>
      <c r="I13" s="63">
        <v>0</v>
      </c>
      <c r="J13" s="63">
        <v>0</v>
      </c>
      <c r="K13" s="63">
        <v>0</v>
      </c>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63">
        <v>1</v>
      </c>
      <c r="I14" s="329">
        <v>0</v>
      </c>
      <c r="J14" s="329">
        <v>0</v>
      </c>
      <c r="K14" s="329">
        <v>0</v>
      </c>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v>0</v>
      </c>
      <c r="I15" s="16">
        <v>0</v>
      </c>
      <c r="J15" s="16">
        <v>0</v>
      </c>
      <c r="K15" s="16">
        <v>0</v>
      </c>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v>1</v>
      </c>
      <c r="I16" s="16">
        <v>0</v>
      </c>
      <c r="J16" s="16">
        <v>0</v>
      </c>
      <c r="K16" s="16">
        <v>0</v>
      </c>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v>0</v>
      </c>
      <c r="I17" s="16">
        <v>0</v>
      </c>
      <c r="J17" s="16">
        <v>0</v>
      </c>
      <c r="K17" s="16">
        <v>0</v>
      </c>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v>0</v>
      </c>
      <c r="I18" s="16">
        <v>0</v>
      </c>
      <c r="J18" s="16">
        <v>0</v>
      </c>
      <c r="K18" s="16">
        <v>0</v>
      </c>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63">
        <v>0</v>
      </c>
      <c r="I19" s="16">
        <v>0</v>
      </c>
      <c r="J19" s="16">
        <v>0</v>
      </c>
      <c r="K19" s="16">
        <v>0</v>
      </c>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v>1</v>
      </c>
      <c r="I20" s="16">
        <v>0</v>
      </c>
      <c r="J20" s="63">
        <v>1</v>
      </c>
      <c r="K20" s="16">
        <v>0</v>
      </c>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v>1</v>
      </c>
      <c r="I21" s="16">
        <v>0</v>
      </c>
      <c r="J21" s="63">
        <v>1</v>
      </c>
      <c r="K21" s="16">
        <v>0</v>
      </c>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v>1</v>
      </c>
      <c r="I22" s="16">
        <v>0</v>
      </c>
      <c r="J22" s="63">
        <v>1</v>
      </c>
      <c r="K22" s="16">
        <v>0</v>
      </c>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v>0</v>
      </c>
      <c r="I23" s="16">
        <v>0</v>
      </c>
      <c r="J23" s="16">
        <v>0</v>
      </c>
      <c r="K23" s="16">
        <v>0</v>
      </c>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v>0</v>
      </c>
      <c r="I24" s="16">
        <v>0</v>
      </c>
      <c r="J24" s="16">
        <v>0</v>
      </c>
      <c r="K24" s="16">
        <v>0</v>
      </c>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v>1</v>
      </c>
      <c r="I25" s="16">
        <v>0</v>
      </c>
      <c r="J25" s="63">
        <v>1</v>
      </c>
      <c r="K25" s="16">
        <v>0</v>
      </c>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63">
        <v>0</v>
      </c>
      <c r="I26" s="16">
        <v>0</v>
      </c>
      <c r="J26" s="63">
        <v>1</v>
      </c>
      <c r="K26" s="16">
        <v>0</v>
      </c>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v>1</v>
      </c>
      <c r="I27" s="16">
        <v>0</v>
      </c>
      <c r="J27" s="63">
        <v>1</v>
      </c>
      <c r="K27" s="16">
        <v>0</v>
      </c>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63" t="s">
        <v>1171</v>
      </c>
      <c r="I28" s="16">
        <v>0</v>
      </c>
      <c r="J28" s="16">
        <v>0</v>
      </c>
      <c r="K28" s="16">
        <v>0</v>
      </c>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v>1</v>
      </c>
      <c r="I29" s="16">
        <v>0</v>
      </c>
      <c r="J29" s="63">
        <v>1</v>
      </c>
      <c r="K29" s="16">
        <v>0</v>
      </c>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63">
        <v>0</v>
      </c>
      <c r="I30" s="16">
        <v>0</v>
      </c>
      <c r="J30" s="16">
        <v>0</v>
      </c>
      <c r="K30" s="16">
        <v>0</v>
      </c>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v>0</v>
      </c>
      <c r="I31" s="16">
        <v>0</v>
      </c>
      <c r="J31" s="16">
        <v>0</v>
      </c>
      <c r="K31" s="16">
        <v>0</v>
      </c>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63">
        <v>1</v>
      </c>
      <c r="I32" s="63">
        <v>1</v>
      </c>
      <c r="J32" s="63">
        <v>1</v>
      </c>
      <c r="K32" s="63">
        <v>1</v>
      </c>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v>0</v>
      </c>
      <c r="I33" s="16">
        <v>0</v>
      </c>
      <c r="J33" s="16">
        <v>0</v>
      </c>
      <c r="K33" s="16">
        <v>0</v>
      </c>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v>1</v>
      </c>
      <c r="I34" s="16">
        <v>0</v>
      </c>
      <c r="J34" s="63">
        <v>1</v>
      </c>
      <c r="K34" s="16">
        <v>0</v>
      </c>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v>0</v>
      </c>
      <c r="I35" s="16">
        <v>0</v>
      </c>
      <c r="J35" s="16">
        <v>0</v>
      </c>
      <c r="K35" s="16">
        <v>0</v>
      </c>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v>1</v>
      </c>
      <c r="I36" s="16">
        <v>0</v>
      </c>
      <c r="J36" s="63">
        <v>1</v>
      </c>
      <c r="K36" s="16">
        <v>0</v>
      </c>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v>1</v>
      </c>
      <c r="I37" s="16">
        <v>0</v>
      </c>
      <c r="J37" s="63">
        <v>1</v>
      </c>
      <c r="K37" s="16">
        <v>0</v>
      </c>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v>0</v>
      </c>
      <c r="I38" s="16">
        <v>0</v>
      </c>
      <c r="J38" s="16">
        <v>0</v>
      </c>
      <c r="K38" s="16">
        <v>0</v>
      </c>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v>1</v>
      </c>
      <c r="I39" s="16">
        <v>0</v>
      </c>
      <c r="J39" s="63">
        <v>1</v>
      </c>
      <c r="K39" s="16">
        <v>0</v>
      </c>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v>1</v>
      </c>
      <c r="I40" s="16">
        <v>0</v>
      </c>
      <c r="J40" s="63">
        <v>1</v>
      </c>
      <c r="K40" s="16">
        <v>0</v>
      </c>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v>0</v>
      </c>
      <c r="I41" s="16">
        <v>0</v>
      </c>
      <c r="J41" s="16">
        <v>0</v>
      </c>
      <c r="K41" s="16">
        <v>0</v>
      </c>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63">
        <v>0</v>
      </c>
      <c r="I42" s="16">
        <v>0</v>
      </c>
      <c r="J42" s="16">
        <v>0</v>
      </c>
      <c r="K42" s="16">
        <v>0</v>
      </c>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63">
        <v>1</v>
      </c>
      <c r="I43" s="16">
        <v>1</v>
      </c>
      <c r="J43" s="63">
        <v>1</v>
      </c>
      <c r="K43" s="16">
        <v>1</v>
      </c>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v>1</v>
      </c>
      <c r="I44" s="16">
        <v>0</v>
      </c>
      <c r="J44" s="16">
        <v>0</v>
      </c>
      <c r="K44" s="16">
        <v>0</v>
      </c>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63">
        <v>1</v>
      </c>
      <c r="I45" s="16">
        <v>0</v>
      </c>
      <c r="J45" s="16">
        <v>0</v>
      </c>
      <c r="K45" s="16">
        <v>0</v>
      </c>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63">
        <v>1</v>
      </c>
      <c r="I46" s="16">
        <v>1</v>
      </c>
      <c r="J46" s="63">
        <v>1</v>
      </c>
      <c r="K46" s="16">
        <v>1</v>
      </c>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63">
        <v>1</v>
      </c>
      <c r="I47" s="16">
        <v>1</v>
      </c>
      <c r="J47" s="63">
        <v>1</v>
      </c>
      <c r="K47" s="16">
        <v>1</v>
      </c>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63" t="s">
        <v>1172</v>
      </c>
      <c r="I48" s="16">
        <v>0</v>
      </c>
      <c r="J48" s="16">
        <v>0</v>
      </c>
      <c r="K48" s="16">
        <v>0</v>
      </c>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v>1</v>
      </c>
      <c r="I49" s="16">
        <v>0</v>
      </c>
      <c r="J49" s="63">
        <v>1</v>
      </c>
      <c r="K49" s="16">
        <v>0</v>
      </c>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v>1</v>
      </c>
      <c r="I50" s="16">
        <v>0</v>
      </c>
      <c r="J50" s="63">
        <v>1</v>
      </c>
      <c r="K50" s="16">
        <v>0</v>
      </c>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v>1</v>
      </c>
      <c r="I51" s="16">
        <v>0</v>
      </c>
      <c r="J51" s="63">
        <v>1</v>
      </c>
      <c r="K51" s="16">
        <v>0</v>
      </c>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v>1</v>
      </c>
      <c r="I53" s="16">
        <v>1</v>
      </c>
      <c r="J53" s="16">
        <v>1</v>
      </c>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v>1</v>
      </c>
      <c r="I54" s="16">
        <v>1</v>
      </c>
      <c r="J54" s="16">
        <v>1</v>
      </c>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v>512</v>
      </c>
      <c r="I56" s="16">
        <v>512</v>
      </c>
      <c r="J56" s="16">
        <v>512</v>
      </c>
      <c r="K56" s="16">
        <v>512</v>
      </c>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v>32</v>
      </c>
      <c r="I57" s="16">
        <v>32</v>
      </c>
      <c r="J57" s="16">
        <v>32</v>
      </c>
      <c r="K57" s="16">
        <v>32</v>
      </c>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v>256</v>
      </c>
      <c r="I58" s="16">
        <v>256</v>
      </c>
      <c r="J58" s="16">
        <v>256</v>
      </c>
      <c r="K58" s="16">
        <v>256</v>
      </c>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63">
        <v>256</v>
      </c>
      <c r="I59" s="63">
        <v>256</v>
      </c>
      <c r="J59" s="16">
        <v>256</v>
      </c>
      <c r="K59" s="16">
        <v>256</v>
      </c>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v>0</v>
      </c>
      <c r="I60" s="16">
        <v>0</v>
      </c>
      <c r="J60" s="16">
        <v>0</v>
      </c>
      <c r="K60" s="16">
        <v>0</v>
      </c>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v>768</v>
      </c>
      <c r="I62" s="16">
        <v>768</v>
      </c>
      <c r="J62" s="16">
        <v>768</v>
      </c>
      <c r="K62" s="16">
        <v>768</v>
      </c>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63">
        <v>160</v>
      </c>
      <c r="I63" s="16">
        <v>160</v>
      </c>
      <c r="J63" s="16">
        <v>160</v>
      </c>
      <c r="K63" s="16">
        <v>160</v>
      </c>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v>0</v>
      </c>
      <c r="I64" s="16">
        <v>0</v>
      </c>
      <c r="J64" s="16">
        <v>0</v>
      </c>
      <c r="K64" s="16">
        <v>0</v>
      </c>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v>32</v>
      </c>
      <c r="I65" s="16">
        <v>32</v>
      </c>
      <c r="J65" s="16">
        <v>32</v>
      </c>
      <c r="K65" s="16">
        <v>32</v>
      </c>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v>0</v>
      </c>
      <c r="I66" s="16">
        <v>0</v>
      </c>
      <c r="J66" s="16">
        <v>0</v>
      </c>
      <c r="K66" s="16">
        <v>0</v>
      </c>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63">
        <v>320</v>
      </c>
      <c r="I67" s="63">
        <v>320</v>
      </c>
      <c r="J67" s="63">
        <v>320</v>
      </c>
      <c r="K67" s="63">
        <v>320</v>
      </c>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v>512</v>
      </c>
      <c r="I69" s="16">
        <v>512</v>
      </c>
      <c r="J69" s="16">
        <f>HEX2DEC(40)*8</f>
        <v>512</v>
      </c>
      <c r="K69" s="16">
        <f>HEX2DEC(40)*8</f>
        <v>512</v>
      </c>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63">
        <v>0</v>
      </c>
      <c r="I70" s="16">
        <v>0</v>
      </c>
      <c r="J70" s="16">
        <v>0</v>
      </c>
      <c r="K70" s="16">
        <v>0</v>
      </c>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63">
        <v>0</v>
      </c>
      <c r="I71" s="16">
        <v>0</v>
      </c>
      <c r="J71" s="16">
        <v>0</v>
      </c>
      <c r="K71" s="16">
        <v>0</v>
      </c>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f>2048/32</f>
        <v>64</v>
      </c>
      <c r="I72" s="16">
        <f>2048/32</f>
        <v>64</v>
      </c>
      <c r="J72" s="16">
        <f>2048/32</f>
        <v>64</v>
      </c>
      <c r="K72" s="16">
        <f>2048/32</f>
        <v>64</v>
      </c>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v>0</v>
      </c>
      <c r="I73" s="16">
        <v>0</v>
      </c>
      <c r="J73" s="16">
        <v>0</v>
      </c>
      <c r="K73" s="16">
        <v>0</v>
      </c>
      <c r="L73" s="16"/>
      <c r="M73" s="16"/>
      <c r="N73" s="16"/>
      <c r="O73" s="16"/>
      <c r="P73" s="16"/>
      <c r="Q73" s="16"/>
      <c r="R73" s="16"/>
      <c r="S73" s="16"/>
      <c r="T73" s="16"/>
      <c r="U73" s="16"/>
      <c r="V73" s="16"/>
      <c r="W73" s="16"/>
      <c r="X73" s="16"/>
      <c r="Y73" s="16"/>
      <c r="Z73" s="16"/>
      <c r="AA73" s="16"/>
      <c r="AB73" s="16"/>
      <c r="AC73" s="16"/>
      <c r="AD73" s="141" t="s">
        <v>832</v>
      </c>
    </row>
  </sheetData>
  <mergeCells count="4">
    <mergeCell ref="E2:G2"/>
    <mergeCell ref="C2:D2"/>
    <mergeCell ref="H2:I2"/>
    <mergeCell ref="J2:L2"/>
  </mergeCells>
  <conditionalFormatting sqref="A56">
    <cfRule type="cellIs" dxfId="556" priority="10" operator="equal">
      <formula>0</formula>
    </cfRule>
  </conditionalFormatting>
  <conditionalFormatting sqref="A57">
    <cfRule type="cellIs" dxfId="555" priority="9" operator="equal">
      <formula>0</formula>
    </cfRule>
  </conditionalFormatting>
  <conditionalFormatting sqref="A58">
    <cfRule type="cellIs" dxfId="554" priority="8" operator="equal">
      <formula>0</formula>
    </cfRule>
  </conditionalFormatting>
  <conditionalFormatting sqref="A60">
    <cfRule type="cellIs" dxfId="553" priority="7" operator="equal">
      <formula>0</formula>
    </cfRule>
  </conditionalFormatting>
  <conditionalFormatting sqref="A62 A67">
    <cfRule type="cellIs" priority="6" operator="equal">
      <formula>0</formula>
    </cfRule>
  </conditionalFormatting>
  <conditionalFormatting sqref="A63">
    <cfRule type="cellIs" dxfId="552" priority="5" operator="equal">
      <formula>0</formula>
    </cfRule>
  </conditionalFormatting>
  <conditionalFormatting sqref="A64">
    <cfRule type="cellIs" dxfId="551" priority="3" operator="equal">
      <formula>0</formula>
    </cfRule>
    <cfRule type="cellIs" dxfId="550" priority="4" operator="equal">
      <formula>0</formula>
    </cfRule>
  </conditionalFormatting>
  <conditionalFormatting sqref="A59">
    <cfRule type="cellIs" dxfId="549"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election activeCell="D1" sqref="D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77"/>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77"/>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77"/>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4.55" customHeight="1" x14ac:dyDescent="0.3">
      <c r="A8" s="28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4.55" customHeight="1" x14ac:dyDescent="0.3">
      <c r="A9" s="28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5" customHeight="1" x14ac:dyDescent="0.3">
      <c r="A10" s="28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5" customHeight="1" x14ac:dyDescent="0.3">
      <c r="A11" s="28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5" customHeight="1" x14ac:dyDescent="0.3">
      <c r="A12" s="28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5" customHeight="1" thickBot="1" x14ac:dyDescent="0.35">
      <c r="A13" s="28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5" customHeight="1" x14ac:dyDescent="0.3">
      <c r="A14" s="273" t="s">
        <v>23</v>
      </c>
      <c r="B14" s="34" t="s">
        <v>24</v>
      </c>
      <c r="C14" s="36" t="s">
        <v>613</v>
      </c>
      <c r="D14" s="263"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275" t="s">
        <v>369</v>
      </c>
      <c r="N14" s="266" t="s">
        <v>29</v>
      </c>
      <c r="O14" s="269">
        <f ca="1">(4*32+G18+G19+G20+G21+G22+G23)</f>
        <v>160</v>
      </c>
    </row>
    <row r="15" spans="1:15" ht="15" customHeight="1" x14ac:dyDescent="0.3">
      <c r="A15" s="274"/>
      <c r="B15" s="35" t="s">
        <v>30</v>
      </c>
      <c r="C15" s="37" t="s">
        <v>613</v>
      </c>
      <c r="D15" s="26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72"/>
      <c r="N15" s="267"/>
      <c r="O15" s="270"/>
    </row>
    <row r="16" spans="1:15" ht="15" customHeight="1" x14ac:dyDescent="0.3">
      <c r="A16" s="274"/>
      <c r="B16" s="35" t="s">
        <v>31</v>
      </c>
      <c r="C16" s="37" t="s">
        <v>613</v>
      </c>
      <c r="D16" s="26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72"/>
      <c r="N16" s="267"/>
      <c r="O16" s="270"/>
    </row>
    <row r="17" spans="1:15" x14ac:dyDescent="0.3">
      <c r="A17" s="274"/>
      <c r="B17" s="35" t="s">
        <v>32</v>
      </c>
      <c r="C17" s="37" t="s">
        <v>613</v>
      </c>
      <c r="D17" s="264"/>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72"/>
      <c r="N17" s="267"/>
      <c r="O17" s="270"/>
    </row>
    <row r="18" spans="1:15" x14ac:dyDescent="0.3">
      <c r="A18" s="274"/>
      <c r="B18" s="35" t="s">
        <v>34</v>
      </c>
      <c r="C18" s="35" t="s">
        <v>253</v>
      </c>
      <c r="D18" s="264"/>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264"/>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264"/>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264"/>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74"/>
      <c r="B22" s="73" t="s">
        <v>251</v>
      </c>
      <c r="C22" s="73" t="s">
        <v>390</v>
      </c>
      <c r="D22" s="264"/>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264"/>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74"/>
      <c r="B24" s="35" t="s">
        <v>38</v>
      </c>
      <c r="C24" s="37" t="s">
        <v>613</v>
      </c>
      <c r="D24" s="264"/>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72"/>
      <c r="N24" s="267"/>
      <c r="O24" s="270"/>
    </row>
    <row r="25" spans="1:15" x14ac:dyDescent="0.3">
      <c r="A25" s="273"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72" t="s">
        <v>370</v>
      </c>
      <c r="N25" s="267"/>
      <c r="O25" s="270">
        <f ca="1">(G25+G26)</f>
        <v>64</v>
      </c>
    </row>
    <row r="26" spans="1:15" ht="15" thickBot="1" x14ac:dyDescent="0.35">
      <c r="A26" s="276"/>
      <c r="B26" s="74" t="s">
        <v>46</v>
      </c>
      <c r="C26" s="74" t="s">
        <v>615</v>
      </c>
      <c r="D26" s="265"/>
      <c r="E26" s="123"/>
      <c r="F26" s="76" t="s">
        <v>44</v>
      </c>
      <c r="G26" s="75">
        <f ca="1">IF($C26="No Param",32,VLOOKUP($C26,INDIRECT(Config!$B$1),HLOOKUP(D$1,INDIRECT(Config!$E$1),2,FALSE),FALSE)*32)</f>
        <v>32</v>
      </c>
      <c r="H26" s="26" t="str">
        <f ca="1">IF(G26=0,"N/A","0x8004")</f>
        <v>0x8004</v>
      </c>
      <c r="I26" s="26" t="s">
        <v>47</v>
      </c>
      <c r="J26" s="203" t="s">
        <v>48</v>
      </c>
      <c r="K26" s="203" t="s">
        <v>387</v>
      </c>
      <c r="L26" s="237"/>
      <c r="M26" s="268"/>
      <c r="N26" s="268"/>
      <c r="O26" s="271"/>
    </row>
    <row r="27" spans="1:15" ht="15" thickBot="1" x14ac:dyDescent="0.35">
      <c r="A27" s="10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88"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88"/>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88"/>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88"/>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88"/>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5" customHeight="1" x14ac:dyDescent="0.3">
      <c r="A8" s="289"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5" customHeight="1" x14ac:dyDescent="0.3">
      <c r="A9" s="290"/>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5" customHeight="1" x14ac:dyDescent="0.3">
      <c r="A10" s="290"/>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5" customHeight="1" x14ac:dyDescent="0.3">
      <c r="A11" s="290"/>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5" customHeight="1" x14ac:dyDescent="0.3">
      <c r="A12" s="290"/>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5" customHeight="1" thickBot="1" x14ac:dyDescent="0.35">
      <c r="A13" s="291"/>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5" customHeight="1" x14ac:dyDescent="0.3">
      <c r="A14" s="292" t="s">
        <v>23</v>
      </c>
      <c r="B14" s="34" t="s">
        <v>24</v>
      </c>
      <c r="C14" s="36" t="s">
        <v>613</v>
      </c>
      <c r="D14" s="263"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275" t="s">
        <v>369</v>
      </c>
      <c r="N14" s="266" t="s">
        <v>29</v>
      </c>
      <c r="O14" s="269">
        <f ca="1">(4*32+G18+G19+G20+G21+G22+G23)</f>
        <v>160</v>
      </c>
    </row>
    <row r="15" spans="1:15" x14ac:dyDescent="0.3">
      <c r="A15" s="293"/>
      <c r="B15" s="35" t="s">
        <v>30</v>
      </c>
      <c r="C15" s="37" t="s">
        <v>613</v>
      </c>
      <c r="D15" s="2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72"/>
      <c r="N15" s="267"/>
      <c r="O15" s="270"/>
    </row>
    <row r="16" spans="1:15" x14ac:dyDescent="0.3">
      <c r="A16" s="293"/>
      <c r="B16" s="35" t="s">
        <v>31</v>
      </c>
      <c r="C16" s="37" t="s">
        <v>613</v>
      </c>
      <c r="D16" s="2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72"/>
      <c r="N16" s="267"/>
      <c r="O16" s="270"/>
    </row>
    <row r="17" spans="1:15" x14ac:dyDescent="0.3">
      <c r="A17" s="293"/>
      <c r="B17" s="35" t="s">
        <v>32</v>
      </c>
      <c r="C17" s="37" t="s">
        <v>613</v>
      </c>
      <c r="D17" s="2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72"/>
      <c r="N17" s="267"/>
      <c r="O17" s="270"/>
    </row>
    <row r="18" spans="1:15" x14ac:dyDescent="0.3">
      <c r="A18" s="293"/>
      <c r="B18" s="35" t="s">
        <v>34</v>
      </c>
      <c r="C18" s="35" t="s">
        <v>253</v>
      </c>
      <c r="D18" s="26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93"/>
      <c r="B19" s="35" t="s">
        <v>36</v>
      </c>
      <c r="C19" s="73" t="s">
        <v>214</v>
      </c>
      <c r="D19" s="26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93"/>
      <c r="B20" s="73" t="s">
        <v>246</v>
      </c>
      <c r="C20" s="73" t="s">
        <v>205</v>
      </c>
      <c r="D20" s="26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93"/>
      <c r="B21" s="73" t="s">
        <v>250</v>
      </c>
      <c r="C21" s="73" t="s">
        <v>390</v>
      </c>
      <c r="D21" s="2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93"/>
      <c r="B22" s="73" t="s">
        <v>251</v>
      </c>
      <c r="C22" s="73" t="s">
        <v>390</v>
      </c>
      <c r="D22" s="2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93"/>
      <c r="B23" s="73" t="s">
        <v>252</v>
      </c>
      <c r="C23" s="73" t="s">
        <v>390</v>
      </c>
      <c r="D23" s="2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93"/>
      <c r="B24" s="35" t="s">
        <v>38</v>
      </c>
      <c r="C24" s="37" t="s">
        <v>613</v>
      </c>
      <c r="D24" s="26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67"/>
      <c r="O24" s="270"/>
    </row>
    <row r="25" spans="1:15" x14ac:dyDescent="0.3">
      <c r="A25" s="292"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67"/>
      <c r="O25" s="270">
        <f ca="1">(G25+G26)</f>
        <v>64</v>
      </c>
    </row>
    <row r="26" spans="1:15" ht="15" thickBot="1" x14ac:dyDescent="0.35">
      <c r="A26" s="294"/>
      <c r="B26" s="74" t="s">
        <v>46</v>
      </c>
      <c r="C26" s="74" t="s">
        <v>615</v>
      </c>
      <c r="D26" s="265"/>
      <c r="E26" s="123"/>
      <c r="F26" s="76" t="s">
        <v>44</v>
      </c>
      <c r="G26" s="75">
        <f ca="1">IF($C26="No Param",32,VLOOKUP($C26,INDIRECT(Config!$B$1),HLOOKUP(D$1,INDIRECT(Config!$E$1),2,FALSE),FALSE)*32)</f>
        <v>32</v>
      </c>
      <c r="H26" s="26" t="str">
        <f ca="1">IF(G26=0,"N/A","0x8004")</f>
        <v>0x8004</v>
      </c>
      <c r="I26" s="26" t="s">
        <v>47</v>
      </c>
      <c r="J26" s="26" t="s">
        <v>48</v>
      </c>
      <c r="K26" s="26" t="s">
        <v>387</v>
      </c>
      <c r="L26" s="237"/>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C29" sqref="C29"/>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75" t="s">
        <v>367</v>
      </c>
      <c r="N3" s="266" t="s">
        <v>14</v>
      </c>
      <c r="O3" s="269">
        <f ca="1">($G3+$G4+$G5+$G6+$G7)</f>
        <v>1056</v>
      </c>
    </row>
    <row r="4" spans="1:15" ht="15" customHeight="1" x14ac:dyDescent="0.3">
      <c r="A4" s="277"/>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67"/>
      <c r="N4" s="267"/>
      <c r="O4" s="270"/>
    </row>
    <row r="5" spans="1:15" ht="15" customHeight="1" x14ac:dyDescent="0.3">
      <c r="A5" s="277"/>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67"/>
      <c r="N5" s="267"/>
      <c r="O5" s="270"/>
    </row>
    <row r="6" spans="1:15" ht="15" customHeight="1" x14ac:dyDescent="0.3">
      <c r="A6" s="277"/>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68"/>
      <c r="N7" s="268"/>
      <c r="O7" s="271"/>
    </row>
    <row r="8" spans="1:15" ht="14.55" customHeight="1" x14ac:dyDescent="0.3">
      <c r="A8" s="28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78" t="s">
        <v>368</v>
      </c>
      <c r="N8" s="281" t="s">
        <v>20</v>
      </c>
      <c r="O8" s="283">
        <f ca="1">($G8+$G9+$G10+$G13)</f>
        <v>960</v>
      </c>
    </row>
    <row r="9" spans="1:15" ht="14.55" customHeight="1" x14ac:dyDescent="0.3">
      <c r="A9" s="28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9"/>
      <c r="N9" s="267"/>
      <c r="O9" s="270"/>
    </row>
    <row r="10" spans="1:15" ht="14.55" customHeight="1" x14ac:dyDescent="0.3">
      <c r="A10" s="28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9"/>
      <c r="N10" s="267"/>
      <c r="O10" s="270"/>
    </row>
    <row r="11" spans="1:15" ht="14.55" customHeight="1" x14ac:dyDescent="0.3">
      <c r="A11" s="28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14.55" customHeight="1" x14ac:dyDescent="0.3">
      <c r="A12" s="28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80"/>
      <c r="N12" s="282"/>
      <c r="O12" s="284"/>
    </row>
    <row r="13" spans="1:15" ht="14.55" customHeight="1" thickBot="1" x14ac:dyDescent="0.35">
      <c r="A13" s="28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80"/>
      <c r="N13" s="282"/>
      <c r="O13" s="284"/>
    </row>
    <row r="14" spans="1:15" ht="14.55" customHeight="1" x14ac:dyDescent="0.3">
      <c r="A14" s="273" t="s">
        <v>23</v>
      </c>
      <c r="B14" s="34" t="s">
        <v>24</v>
      </c>
      <c r="C14" s="36" t="s">
        <v>613</v>
      </c>
      <c r="D14" s="263"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275" t="s">
        <v>369</v>
      </c>
      <c r="N14" s="266" t="s">
        <v>29</v>
      </c>
      <c r="O14" s="269">
        <f ca="1">(4*32+G18+G19+G20+G21+G22+G23)</f>
        <v>160</v>
      </c>
    </row>
    <row r="15" spans="1:15" ht="14.55" customHeight="1" x14ac:dyDescent="0.3">
      <c r="A15" s="274"/>
      <c r="B15" s="35" t="s">
        <v>30</v>
      </c>
      <c r="C15" s="37" t="s">
        <v>613</v>
      </c>
      <c r="D15" s="26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72"/>
      <c r="N15" s="267"/>
      <c r="O15" s="270"/>
    </row>
    <row r="16" spans="1:15" ht="14.55" customHeight="1" x14ac:dyDescent="0.3">
      <c r="A16" s="274"/>
      <c r="B16" s="35" t="s">
        <v>31</v>
      </c>
      <c r="C16" s="37" t="s">
        <v>613</v>
      </c>
      <c r="D16" s="26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72"/>
      <c r="N16" s="267"/>
      <c r="O16" s="270"/>
    </row>
    <row r="17" spans="1:15" x14ac:dyDescent="0.3">
      <c r="A17" s="274"/>
      <c r="B17" s="35" t="s">
        <v>32</v>
      </c>
      <c r="C17" s="37" t="s">
        <v>613</v>
      </c>
      <c r="D17" s="26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72"/>
      <c r="N17" s="267"/>
      <c r="O17" s="270"/>
    </row>
    <row r="18" spans="1:15" x14ac:dyDescent="0.3">
      <c r="A18" s="274"/>
      <c r="B18" s="35" t="s">
        <v>34</v>
      </c>
      <c r="C18" s="35" t="s">
        <v>253</v>
      </c>
      <c r="D18" s="264"/>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264"/>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264"/>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26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72"/>
      <c r="N21" s="267"/>
      <c r="O21" s="270"/>
    </row>
    <row r="22" spans="1:15" x14ac:dyDescent="0.3">
      <c r="A22" s="274"/>
      <c r="B22" s="73" t="s">
        <v>251</v>
      </c>
      <c r="C22" s="73" t="s">
        <v>390</v>
      </c>
      <c r="D22" s="26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26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274"/>
      <c r="B24" s="35" t="s">
        <v>38</v>
      </c>
      <c r="C24" s="37" t="s">
        <v>613</v>
      </c>
      <c r="D24" s="264"/>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72"/>
      <c r="N24" s="267"/>
      <c r="O24" s="270"/>
    </row>
    <row r="25" spans="1:15" x14ac:dyDescent="0.3">
      <c r="A25" s="273" t="s">
        <v>41</v>
      </c>
      <c r="B25" s="35" t="s">
        <v>42</v>
      </c>
      <c r="C25" s="35" t="s">
        <v>614</v>
      </c>
      <c r="D25" s="264" t="s">
        <v>43</v>
      </c>
      <c r="E25" s="122"/>
      <c r="F25" s="68" t="s">
        <v>44</v>
      </c>
      <c r="G25" s="39">
        <f ca="1">IF($C25="No Param",32,VLOOKUP($C25,INDIRECT(Config!$B$1),HLOOKUP(D$1,INDIRECT(Config!$E$1),2,FALSE),FALSE)*32)</f>
        <v>32</v>
      </c>
      <c r="H25" s="16" t="str">
        <f ca="1">IF(G25=0,"N/A","0x8000")</f>
        <v>0x8000</v>
      </c>
      <c r="I25" s="16" t="s">
        <v>45</v>
      </c>
      <c r="J25" s="16" t="s">
        <v>48</v>
      </c>
      <c r="K25" s="16" t="s">
        <v>387</v>
      </c>
      <c r="L25" s="3"/>
      <c r="M25" s="272" t="s">
        <v>370</v>
      </c>
      <c r="N25" s="267"/>
      <c r="O25" s="270">
        <f ca="1">(G25+G26)</f>
        <v>64</v>
      </c>
    </row>
    <row r="26" spans="1:15" ht="15" thickBot="1" x14ac:dyDescent="0.35">
      <c r="A26" s="276"/>
      <c r="B26" s="74" t="s">
        <v>46</v>
      </c>
      <c r="C26" s="74" t="s">
        <v>615</v>
      </c>
      <c r="D26" s="265"/>
      <c r="E26" s="123"/>
      <c r="F26" s="76" t="s">
        <v>44</v>
      </c>
      <c r="G26" s="75">
        <f ca="1">IF($C26="No Param",32,VLOOKUP($C26,INDIRECT(Config!$B$1),HLOOKUP(D$1,INDIRECT(Config!$E$1),2,FALSE),FALSE)*32)</f>
        <v>32</v>
      </c>
      <c r="H26" s="26" t="str">
        <f ca="1">IF(G26=0,"N/A","0x8004")</f>
        <v>0x8004</v>
      </c>
      <c r="I26" s="26" t="s">
        <v>47</v>
      </c>
      <c r="J26" s="26" t="s">
        <v>48</v>
      </c>
      <c r="K26" s="26" t="s">
        <v>387</v>
      </c>
      <c r="L26" s="237"/>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66" t="s">
        <v>48</v>
      </c>
      <c r="O28" s="269">
        <f ca="1">SUM(G28:G42)</f>
        <v>576</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7"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75" t="s">
        <v>367</v>
      </c>
      <c r="N3" s="266" t="s">
        <v>14</v>
      </c>
      <c r="O3" s="269">
        <f ca="1">($G3+$G4+$G5+$G6+$G7)</f>
        <v>801</v>
      </c>
    </row>
    <row r="4" spans="1:15" ht="15" customHeight="1" x14ac:dyDescent="0.3">
      <c r="A4" s="277"/>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67"/>
      <c r="N4" s="267"/>
      <c r="O4" s="270"/>
    </row>
    <row r="5" spans="1:15" ht="15" customHeight="1" x14ac:dyDescent="0.3">
      <c r="A5" s="277"/>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67"/>
      <c r="N5" s="267"/>
      <c r="O5" s="270"/>
    </row>
    <row r="6" spans="1:15" ht="15" customHeight="1" thickBot="1" x14ac:dyDescent="0.35">
      <c r="A6" s="277"/>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67"/>
      <c r="N6" s="267"/>
      <c r="O6" s="270"/>
    </row>
    <row r="7" spans="1:15" ht="15" customHeight="1" thickBot="1" x14ac:dyDescent="0.35">
      <c r="A7" s="277"/>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82"/>
      <c r="N7" s="282"/>
      <c r="O7" s="284"/>
    </row>
    <row r="8" spans="1:15" ht="14.55" customHeight="1" x14ac:dyDescent="0.3">
      <c r="A8" s="297"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95" t="s">
        <v>368</v>
      </c>
      <c r="N8" s="266" t="s">
        <v>20</v>
      </c>
      <c r="O8" s="269">
        <f ca="1">($G8+$G9+$G10+$G13)</f>
        <v>992</v>
      </c>
    </row>
    <row r="9" spans="1:15" s="133" customFormat="1" ht="14.55" customHeight="1" x14ac:dyDescent="0.3">
      <c r="A9" s="298"/>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79"/>
      <c r="N9" s="267"/>
      <c r="O9" s="270"/>
    </row>
    <row r="10" spans="1:15" ht="14.55" customHeight="1" thickBot="1" x14ac:dyDescent="0.35">
      <c r="A10" s="298"/>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79"/>
      <c r="N10" s="267"/>
      <c r="O10" s="270"/>
    </row>
    <row r="11" spans="1:15" ht="15" customHeight="1" x14ac:dyDescent="0.3">
      <c r="A11" s="298"/>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9"/>
      <c r="N11" s="267"/>
      <c r="O11" s="270"/>
    </row>
    <row r="12" spans="1:15" ht="39.6" customHeight="1" x14ac:dyDescent="0.3">
      <c r="A12" s="298"/>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9"/>
      <c r="N12" s="267"/>
      <c r="O12" s="270"/>
    </row>
    <row r="13" spans="1:15" ht="15" customHeight="1" thickBot="1" x14ac:dyDescent="0.35">
      <c r="A13" s="299"/>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96"/>
      <c r="N13" s="268"/>
      <c r="O13" s="271"/>
    </row>
    <row r="14" spans="1:15" ht="15" customHeight="1" thickBot="1" x14ac:dyDescent="0.35">
      <c r="A14" s="273" t="s">
        <v>23</v>
      </c>
      <c r="B14" s="43" t="s">
        <v>24</v>
      </c>
      <c r="C14" s="174" t="s">
        <v>613</v>
      </c>
      <c r="D14" s="301"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303" t="s">
        <v>369</v>
      </c>
      <c r="N14" s="281" t="s">
        <v>29</v>
      </c>
      <c r="O14" s="283">
        <f ca="1">(4*32+G18+G19+G20+G21+G22+G23)</f>
        <v>128</v>
      </c>
    </row>
    <row r="15" spans="1:15" x14ac:dyDescent="0.3">
      <c r="A15" s="274"/>
      <c r="B15" s="35" t="s">
        <v>30</v>
      </c>
      <c r="C15" s="37" t="s">
        <v>613</v>
      </c>
      <c r="D15" s="302"/>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72"/>
      <c r="N15" s="267"/>
      <c r="O15" s="270"/>
    </row>
    <row r="16" spans="1:15" x14ac:dyDescent="0.3">
      <c r="A16" s="274"/>
      <c r="B16" s="35" t="s">
        <v>31</v>
      </c>
      <c r="C16" s="37" t="s">
        <v>613</v>
      </c>
      <c r="D16" s="30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72"/>
      <c r="N16" s="267"/>
      <c r="O16" s="270"/>
    </row>
    <row r="17" spans="1:15" x14ac:dyDescent="0.3">
      <c r="A17" s="274"/>
      <c r="B17" s="35" t="s">
        <v>32</v>
      </c>
      <c r="C17" s="37" t="s">
        <v>613</v>
      </c>
      <c r="D17" s="30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72"/>
      <c r="N17" s="267"/>
      <c r="O17" s="270"/>
    </row>
    <row r="18" spans="1:15" ht="15" thickBot="1" x14ac:dyDescent="0.35">
      <c r="A18" s="274"/>
      <c r="B18" s="35" t="s">
        <v>34</v>
      </c>
      <c r="C18" s="35" t="s">
        <v>253</v>
      </c>
      <c r="D18" s="302"/>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72"/>
      <c r="N18" s="267"/>
      <c r="O18" s="270"/>
    </row>
    <row r="19" spans="1:15" x14ac:dyDescent="0.3">
      <c r="A19" s="274"/>
      <c r="B19" s="35" t="s">
        <v>36</v>
      </c>
      <c r="C19" s="73" t="s">
        <v>214</v>
      </c>
      <c r="D19" s="302"/>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72"/>
      <c r="N19" s="267"/>
      <c r="O19" s="270"/>
    </row>
    <row r="20" spans="1:15" x14ac:dyDescent="0.3">
      <c r="A20" s="274"/>
      <c r="B20" s="73" t="s">
        <v>246</v>
      </c>
      <c r="C20" s="73" t="s">
        <v>205</v>
      </c>
      <c r="D20" s="302"/>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72"/>
      <c r="N20" s="267"/>
      <c r="O20" s="270"/>
    </row>
    <row r="21" spans="1:15" x14ac:dyDescent="0.3">
      <c r="A21" s="274"/>
      <c r="B21" s="73" t="s">
        <v>250</v>
      </c>
      <c r="C21" s="73" t="s">
        <v>390</v>
      </c>
      <c r="D21" s="30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72"/>
      <c r="N21" s="267"/>
      <c r="O21" s="270"/>
    </row>
    <row r="22" spans="1:15" ht="15" thickBot="1" x14ac:dyDescent="0.35">
      <c r="A22" s="274"/>
      <c r="B22" s="73" t="s">
        <v>251</v>
      </c>
      <c r="C22" s="73" t="s">
        <v>390</v>
      </c>
      <c r="D22" s="30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72"/>
      <c r="N22" s="267"/>
      <c r="O22" s="270"/>
    </row>
    <row r="23" spans="1:15" x14ac:dyDescent="0.3">
      <c r="A23" s="274"/>
      <c r="B23" s="73" t="s">
        <v>252</v>
      </c>
      <c r="C23" s="73" t="s">
        <v>390</v>
      </c>
      <c r="D23" s="302"/>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72"/>
      <c r="N23" s="267"/>
      <c r="O23" s="270"/>
    </row>
    <row r="24" spans="1:15" x14ac:dyDescent="0.3">
      <c r="A24" s="300"/>
      <c r="B24" s="35" t="s">
        <v>38</v>
      </c>
      <c r="C24" s="37" t="s">
        <v>613</v>
      </c>
      <c r="D24" s="302"/>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72"/>
      <c r="N24" s="267"/>
      <c r="O24" s="270"/>
    </row>
    <row r="25" spans="1:15" x14ac:dyDescent="0.3">
      <c r="A25" s="273" t="s">
        <v>41</v>
      </c>
      <c r="B25" s="35" t="s">
        <v>42</v>
      </c>
      <c r="C25" s="35" t="s">
        <v>614</v>
      </c>
      <c r="D25" s="302" t="s">
        <v>43</v>
      </c>
      <c r="E25" s="122"/>
      <c r="F25" s="25" t="s">
        <v>44</v>
      </c>
      <c r="G25" s="39">
        <f ca="1">IF($C25="No Param",32,VLOOKUP($C25,INDIRECT(Config!$B$1),HLOOKUP(D$1,INDIRECT(Config!$E$1),2,FALSE),FALSE)*32)</f>
        <v>0</v>
      </c>
      <c r="H25" s="16" t="str">
        <f ca="1">IF(G25=0,"N/A","0x8000")</f>
        <v>N/A</v>
      </c>
      <c r="I25" s="16" t="s">
        <v>45</v>
      </c>
      <c r="J25" s="16" t="s">
        <v>48</v>
      </c>
      <c r="K25" s="16" t="s">
        <v>387</v>
      </c>
      <c r="L25" s="16"/>
      <c r="M25" s="272" t="s">
        <v>370</v>
      </c>
      <c r="N25" s="267"/>
      <c r="O25" s="270">
        <f ca="1">(G25+G26)</f>
        <v>0</v>
      </c>
    </row>
    <row r="26" spans="1:15" ht="15" thickBot="1" x14ac:dyDescent="0.35">
      <c r="A26" s="276"/>
      <c r="B26" s="74" t="s">
        <v>46</v>
      </c>
      <c r="C26" s="74" t="s">
        <v>615</v>
      </c>
      <c r="D26" s="304"/>
      <c r="E26" s="123"/>
      <c r="F26" s="180" t="s">
        <v>44</v>
      </c>
      <c r="G26" s="75">
        <f ca="1">IF($C26="No Param",32,VLOOKUP($C26,INDIRECT(Config!$B$1),HLOOKUP(D$1,INDIRECT(Config!$E$1),2,FALSE),FALSE)*32)</f>
        <v>0</v>
      </c>
      <c r="H26" s="26" t="str">
        <f ca="1">IF(G26=0,"N/A","0x8004")</f>
        <v>N/A</v>
      </c>
      <c r="I26" s="26" t="s">
        <v>47</v>
      </c>
      <c r="J26" s="26" t="s">
        <v>48</v>
      </c>
      <c r="K26" s="26" t="s">
        <v>387</v>
      </c>
      <c r="L26" s="26"/>
      <c r="M26" s="268"/>
      <c r="N26" s="268"/>
      <c r="O26" s="271"/>
    </row>
    <row r="27" spans="1:15" ht="15" thickBot="1" x14ac:dyDescent="0.35">
      <c r="A27" s="124"/>
    </row>
    <row r="28" spans="1:15" x14ac:dyDescent="0.3">
      <c r="A28" s="26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66" t="s">
        <v>48</v>
      </c>
      <c r="O28" s="269">
        <f ca="1">SUM(G28:G42)</f>
        <v>0</v>
      </c>
    </row>
    <row r="29" spans="1:15" ht="15" customHeight="1" x14ac:dyDescent="0.3">
      <c r="A29" s="26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72" t="s">
        <v>369</v>
      </c>
      <c r="N29" s="267"/>
      <c r="O29" s="270"/>
    </row>
    <row r="30" spans="1:15" x14ac:dyDescent="0.3">
      <c r="A30" s="26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72"/>
      <c r="N30" s="267"/>
      <c r="O30" s="270"/>
    </row>
    <row r="31" spans="1:15" x14ac:dyDescent="0.3">
      <c r="A31" s="26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72"/>
      <c r="N31" s="267"/>
      <c r="O31" s="270"/>
    </row>
    <row r="32" spans="1:15" x14ac:dyDescent="0.3">
      <c r="A32" s="26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67"/>
      <c r="O32" s="270"/>
    </row>
    <row r="33" spans="1:15" x14ac:dyDescent="0.3">
      <c r="A33" s="26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67"/>
      <c r="O33" s="270"/>
    </row>
    <row r="34" spans="1:15" ht="15" customHeight="1" x14ac:dyDescent="0.3">
      <c r="A34" s="26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72" t="s">
        <v>369</v>
      </c>
      <c r="N34" s="267"/>
      <c r="O34" s="270"/>
    </row>
    <row r="35" spans="1:15" x14ac:dyDescent="0.3">
      <c r="A35" s="26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72"/>
      <c r="N35" s="267"/>
      <c r="O35" s="270"/>
    </row>
    <row r="36" spans="1:15" x14ac:dyDescent="0.3">
      <c r="A36" s="26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72"/>
      <c r="N36" s="267"/>
      <c r="O36" s="270"/>
    </row>
    <row r="37" spans="1:15" x14ac:dyDescent="0.3">
      <c r="A37" s="26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67"/>
      <c r="O37" s="270"/>
    </row>
    <row r="38" spans="1:15" x14ac:dyDescent="0.3">
      <c r="A38" s="26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67"/>
      <c r="O38" s="270"/>
    </row>
    <row r="39" spans="1:15" ht="15" customHeight="1" x14ac:dyDescent="0.3">
      <c r="A39" s="26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72" t="s">
        <v>369</v>
      </c>
      <c r="N39" s="267"/>
      <c r="O39" s="270"/>
    </row>
    <row r="40" spans="1:15" x14ac:dyDescent="0.3">
      <c r="A40" s="26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72"/>
      <c r="N40" s="267"/>
      <c r="O40" s="270"/>
    </row>
    <row r="41" spans="1:15" x14ac:dyDescent="0.3">
      <c r="A41" s="26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72"/>
      <c r="N41" s="267"/>
      <c r="O41" s="270"/>
    </row>
    <row r="42" spans="1:15" ht="15" thickBot="1" x14ac:dyDescent="0.35">
      <c r="A42" s="26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68"/>
      <c r="O42" s="271"/>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6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66" t="s">
        <v>48</v>
      </c>
      <c r="O3" s="269">
        <f ca="1">SUM(F3:F17)</f>
        <v>576</v>
      </c>
    </row>
    <row r="4" spans="1:15" ht="15.45" customHeight="1" x14ac:dyDescent="0.3">
      <c r="A4" s="26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72" t="s">
        <v>369</v>
      </c>
      <c r="N4" s="267"/>
      <c r="O4" s="270"/>
    </row>
    <row r="5" spans="1:15" ht="15.45" customHeight="1" x14ac:dyDescent="0.3">
      <c r="A5" s="26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72"/>
      <c r="N5" s="267"/>
      <c r="O5" s="270"/>
    </row>
    <row r="6" spans="1:15" ht="15.45" customHeight="1" x14ac:dyDescent="0.3">
      <c r="A6" s="26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72"/>
      <c r="N6" s="267"/>
      <c r="O6" s="270"/>
    </row>
    <row r="7" spans="1:15" ht="15.45" customHeight="1" x14ac:dyDescent="0.3">
      <c r="A7" s="26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67"/>
      <c r="O7" s="270"/>
    </row>
    <row r="8" spans="1:15" ht="15.45" customHeight="1" x14ac:dyDescent="0.3">
      <c r="A8" s="26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67"/>
      <c r="O8" s="270"/>
    </row>
    <row r="9" spans="1:15" ht="15.45" customHeight="1" x14ac:dyDescent="0.3">
      <c r="A9" s="26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72" t="s">
        <v>369</v>
      </c>
      <c r="N9" s="267"/>
      <c r="O9" s="270"/>
    </row>
    <row r="10" spans="1:15" ht="15.45" customHeight="1" x14ac:dyDescent="0.3">
      <c r="A10" s="26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72"/>
      <c r="N10" s="267"/>
      <c r="O10" s="270"/>
    </row>
    <row r="11" spans="1:15" ht="15.45" customHeight="1" x14ac:dyDescent="0.3">
      <c r="A11" s="26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72"/>
      <c r="N11" s="267"/>
      <c r="O11" s="270"/>
    </row>
    <row r="12" spans="1:15" ht="15.45" customHeight="1" x14ac:dyDescent="0.3">
      <c r="A12" s="26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67"/>
      <c r="O12" s="270"/>
    </row>
    <row r="13" spans="1:15" ht="15.45" customHeight="1" x14ac:dyDescent="0.3">
      <c r="A13" s="26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67"/>
      <c r="O13" s="270"/>
    </row>
    <row r="14" spans="1:15" ht="15.45" customHeight="1" x14ac:dyDescent="0.3">
      <c r="A14" s="26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72" t="s">
        <v>369</v>
      </c>
      <c r="N14" s="267"/>
      <c r="O14" s="270"/>
    </row>
    <row r="15" spans="1:15" ht="15.45" customHeight="1" x14ac:dyDescent="0.3">
      <c r="A15" s="26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72"/>
      <c r="N15" s="267"/>
      <c r="O15" s="270"/>
    </row>
    <row r="16" spans="1:15" ht="15.45" customHeight="1" x14ac:dyDescent="0.3">
      <c r="A16" s="26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72"/>
      <c r="N16" s="267"/>
      <c r="O16" s="270"/>
    </row>
    <row r="17" spans="1:15" ht="15.45" customHeight="1" thickBot="1" x14ac:dyDescent="0.35">
      <c r="A17" s="26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68"/>
      <c r="O17" s="271"/>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2" zoomScale="85" zoomScaleNormal="85" workbookViewId="0">
      <selection activeCell="F58" sqref="F58"/>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51"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309"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309"/>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309"/>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309"/>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309"/>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309"/>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309"/>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309"/>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309"/>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309"/>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309"/>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309"/>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309"/>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309"/>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309"/>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309"/>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309"/>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309"/>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309"/>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309"/>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309"/>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309"/>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309"/>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309"/>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309"/>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309"/>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309"/>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309"/>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309"/>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309"/>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309"/>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309"/>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309"/>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309"/>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267"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267"/>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267"/>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267"/>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267"/>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267"/>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267"/>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267"/>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267"/>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267"/>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267"/>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267"/>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267"/>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267"/>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267"/>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267"/>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267"/>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267"/>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267"/>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267"/>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267"/>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267"/>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267"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267"/>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267"/>
      <c r="B60" s="16" t="s">
        <v>650</v>
      </c>
      <c r="C60" s="206">
        <v>16</v>
      </c>
      <c r="D60" s="206">
        <v>1</v>
      </c>
      <c r="E60" s="207" t="s">
        <v>197</v>
      </c>
      <c r="F60" s="207" t="s">
        <v>196</v>
      </c>
      <c r="G60" s="207" t="s">
        <v>197</v>
      </c>
      <c r="H60" s="209" t="s">
        <v>943</v>
      </c>
      <c r="I60" s="209">
        <v>0</v>
      </c>
      <c r="J60" s="209" t="s">
        <v>1036</v>
      </c>
      <c r="K60" s="209">
        <v>0</v>
      </c>
      <c r="L60" s="216" t="s">
        <v>1109</v>
      </c>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267"/>
      <c r="B61" s="7" t="s">
        <v>536</v>
      </c>
      <c r="C61" s="206">
        <v>17</v>
      </c>
      <c r="D61" s="206">
        <v>1</v>
      </c>
      <c r="E61" s="249" t="s">
        <v>237</v>
      </c>
      <c r="F61" s="218" t="s">
        <v>237</v>
      </c>
      <c r="G61" s="206" t="s">
        <v>198</v>
      </c>
      <c r="H61" s="209" t="s">
        <v>944</v>
      </c>
      <c r="I61" s="209">
        <v>0</v>
      </c>
      <c r="J61" s="209" t="s">
        <v>1037</v>
      </c>
      <c r="K61" s="209">
        <v>0</v>
      </c>
      <c r="L61" s="216" t="s">
        <v>668</v>
      </c>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267"/>
      <c r="B62" s="4" t="s">
        <v>613</v>
      </c>
      <c r="C62" s="206">
        <v>18</v>
      </c>
      <c r="D62" s="206">
        <v>3</v>
      </c>
      <c r="E62" s="207" t="s">
        <v>199</v>
      </c>
      <c r="F62" s="207" t="s">
        <v>199</v>
      </c>
      <c r="G62" s="208" t="s">
        <v>200</v>
      </c>
      <c r="H62" s="209" t="s">
        <v>970</v>
      </c>
      <c r="I62" s="209">
        <v>0</v>
      </c>
      <c r="J62" s="209" t="s">
        <v>1038</v>
      </c>
      <c r="K62" s="209">
        <v>0</v>
      </c>
      <c r="L62" s="216" t="s">
        <v>1109</v>
      </c>
      <c r="M62" s="206" t="s">
        <v>87</v>
      </c>
      <c r="N62" s="206" t="s">
        <v>722</v>
      </c>
      <c r="O62" s="206" t="s">
        <v>454</v>
      </c>
      <c r="P62" s="211">
        <f>IF($B62="N/A", "N/A", 1)</f>
        <v>1</v>
      </c>
      <c r="Q62" s="211">
        <f>IF($B62="N/A", "N/A", 1)</f>
        <v>1</v>
      </c>
      <c r="R62" s="211">
        <f>IF($B62="N/A", "N/A", 1)</f>
        <v>1</v>
      </c>
    </row>
    <row r="63" spans="1:18" ht="14.55" customHeight="1" x14ac:dyDescent="0.3">
      <c r="A63" s="267"/>
      <c r="B63" s="2" t="s">
        <v>48</v>
      </c>
      <c r="C63" s="208">
        <v>21</v>
      </c>
      <c r="D63" s="208">
        <v>1</v>
      </c>
      <c r="E63" s="207" t="s">
        <v>1159</v>
      </c>
      <c r="F63" s="208"/>
      <c r="G63" s="206" t="s">
        <v>1133</v>
      </c>
      <c r="H63" s="215" t="s">
        <v>1134</v>
      </c>
      <c r="I63" s="215">
        <v>0</v>
      </c>
      <c r="J63" s="215" t="s">
        <v>1135</v>
      </c>
      <c r="K63" s="215">
        <v>0</v>
      </c>
      <c r="L63" s="216" t="s">
        <v>1109</v>
      </c>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267"/>
      <c r="B64" s="2" t="s">
        <v>48</v>
      </c>
      <c r="C64" s="208">
        <v>22</v>
      </c>
      <c r="D64" s="208">
        <v>1</v>
      </c>
      <c r="E64" s="15"/>
      <c r="F64" s="208"/>
      <c r="G64" s="206" t="s">
        <v>1137</v>
      </c>
      <c r="H64" s="215" t="s">
        <v>1139</v>
      </c>
      <c r="I64" s="215">
        <v>0</v>
      </c>
      <c r="J64" s="215" t="s">
        <v>1141</v>
      </c>
      <c r="K64" s="215">
        <v>0</v>
      </c>
      <c r="L64" s="216" t="s">
        <v>1109</v>
      </c>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267"/>
      <c r="B65" s="2" t="s">
        <v>48</v>
      </c>
      <c r="C65" s="208">
        <v>23</v>
      </c>
      <c r="D65" s="208">
        <v>1</v>
      </c>
      <c r="E65" s="15"/>
      <c r="F65" s="208"/>
      <c r="G65" s="206" t="s">
        <v>1138</v>
      </c>
      <c r="H65" s="215" t="s">
        <v>1140</v>
      </c>
      <c r="I65" s="215">
        <v>0</v>
      </c>
      <c r="J65" s="215" t="s">
        <v>1142</v>
      </c>
      <c r="K65" s="215">
        <v>0</v>
      </c>
      <c r="L65" s="216" t="s">
        <v>1109</v>
      </c>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267"/>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267"/>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267" t="s">
        <v>32</v>
      </c>
      <c r="B68" s="4" t="s">
        <v>613</v>
      </c>
      <c r="C68" s="206">
        <v>0</v>
      </c>
      <c r="D68" s="206">
        <v>1</v>
      </c>
      <c r="E68" s="207" t="s">
        <v>206</v>
      </c>
      <c r="F68" s="255"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267"/>
      <c r="B69" s="4" t="s">
        <v>613</v>
      </c>
      <c r="C69" s="206">
        <v>1</v>
      </c>
      <c r="D69" s="206">
        <v>1</v>
      </c>
      <c r="E69" s="207" t="s">
        <v>207</v>
      </c>
      <c r="F69" s="255"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267"/>
      <c r="B70" s="4" t="s">
        <v>613</v>
      </c>
      <c r="C70" s="206">
        <v>2</v>
      </c>
      <c r="D70" s="206">
        <v>1</v>
      </c>
      <c r="E70" s="207" t="s">
        <v>208</v>
      </c>
      <c r="F70" s="255"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267"/>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267"/>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267"/>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267"/>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267"/>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267"/>
      <c r="B76" s="4" t="s">
        <v>613</v>
      </c>
      <c r="C76" s="206">
        <v>8</v>
      </c>
      <c r="D76" s="206">
        <v>1</v>
      </c>
      <c r="E76" s="207" t="s">
        <v>219</v>
      </c>
      <c r="F76" s="207" t="s">
        <v>219</v>
      </c>
      <c r="G76" s="208" t="s">
        <v>220</v>
      </c>
      <c r="H76" s="209" t="s">
        <v>953</v>
      </c>
      <c r="I76" s="209">
        <v>0</v>
      </c>
      <c r="J76" s="209" t="s">
        <v>1049</v>
      </c>
      <c r="K76" s="209">
        <v>0</v>
      </c>
      <c r="L76" s="216" t="s">
        <v>668</v>
      </c>
      <c r="M76" s="206" t="s">
        <v>69</v>
      </c>
      <c r="N76" s="206" t="s">
        <v>735</v>
      </c>
      <c r="O76" s="206" t="s">
        <v>531</v>
      </c>
      <c r="P76" s="211">
        <f>IF($B76="N/A", "N/A", 1)</f>
        <v>1</v>
      </c>
      <c r="Q76" s="211">
        <f>IF($B76="N/A", "N/A", 1)</f>
        <v>1</v>
      </c>
      <c r="R76" s="211">
        <f>IF($B76="N/A", "N/A", 1)</f>
        <v>1</v>
      </c>
    </row>
    <row r="77" spans="1:18" ht="14.55" customHeight="1" x14ac:dyDescent="0.3">
      <c r="A77" s="267"/>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267"/>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267"/>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267"/>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267"/>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267"/>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267"/>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267"/>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267"/>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267"/>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267"/>
      <c r="B87" s="4" t="s">
        <v>613</v>
      </c>
      <c r="C87" s="206">
        <v>25</v>
      </c>
      <c r="D87" s="206">
        <v>1</v>
      </c>
      <c r="E87" s="250" t="s">
        <v>1161</v>
      </c>
      <c r="F87" s="256"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267"/>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267"/>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282"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308"/>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281"/>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282"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308"/>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308"/>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281"/>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267"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267"/>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308"/>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281"/>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282" t="s">
        <v>38</v>
      </c>
      <c r="B104" s="4" t="s">
        <v>613</v>
      </c>
      <c r="C104" s="206">
        <v>0</v>
      </c>
      <c r="D104" s="206">
        <v>16</v>
      </c>
      <c r="E104" s="250" t="s">
        <v>262</v>
      </c>
      <c r="F104" s="206" t="s">
        <v>262</v>
      </c>
      <c r="G104" s="305"/>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308"/>
      <c r="B105" s="4" t="s">
        <v>613</v>
      </c>
      <c r="C105" s="206">
        <v>16</v>
      </c>
      <c r="D105" s="206">
        <v>8</v>
      </c>
      <c r="E105" s="250" t="s">
        <v>263</v>
      </c>
      <c r="F105" s="206" t="s">
        <v>263</v>
      </c>
      <c r="G105" s="306"/>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308"/>
      <c r="B106" s="4" t="s">
        <v>613</v>
      </c>
      <c r="C106" s="206">
        <v>24</v>
      </c>
      <c r="D106" s="206">
        <v>4</v>
      </c>
      <c r="E106" s="250" t="s">
        <v>264</v>
      </c>
      <c r="F106" s="206" t="s">
        <v>264</v>
      </c>
      <c r="G106" s="306"/>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281"/>
      <c r="B107" s="4" t="s">
        <v>613</v>
      </c>
      <c r="C107" s="206">
        <v>28</v>
      </c>
      <c r="D107" s="206">
        <v>4</v>
      </c>
      <c r="E107" s="250" t="s">
        <v>265</v>
      </c>
      <c r="F107" s="206" t="s">
        <v>265</v>
      </c>
      <c r="G107" s="307"/>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282"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308"/>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281"/>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282"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281"/>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282"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308"/>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281"/>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282"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281"/>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282"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308"/>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281"/>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282"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281"/>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309"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309"/>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309"/>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309"/>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309"/>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309"/>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309"/>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309"/>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309"/>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309"/>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309"/>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309"/>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309"/>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309"/>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309"/>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309"/>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309"/>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309"/>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309"/>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309"/>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309"/>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309"/>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309"/>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309"/>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309"/>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309"/>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309"/>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309"/>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309"/>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309"/>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309"/>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309"/>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309"/>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309"/>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267"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267"/>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267"/>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267"/>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267"/>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267"/>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267"/>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267"/>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267"/>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267"/>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267"/>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267"/>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267"/>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267"/>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267"/>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267"/>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267"/>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267"/>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267"/>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267"/>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267"/>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267"/>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267"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267"/>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267"/>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267"/>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267"/>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267"/>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267"/>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267"/>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267"/>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267"/>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267"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267"/>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267"/>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267"/>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267"/>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267"/>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267"/>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267"/>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267"/>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267"/>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267"/>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267"/>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267"/>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267"/>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267"/>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267"/>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267"/>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267"/>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267"/>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267"/>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267"/>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267"/>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282"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308"/>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281"/>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282"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308"/>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308"/>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281"/>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267"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267"/>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308"/>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281"/>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282" t="s">
        <v>38</v>
      </c>
      <c r="B104" s="4" t="s">
        <v>613</v>
      </c>
      <c r="C104" s="206">
        <v>0</v>
      </c>
      <c r="D104" s="206">
        <v>16</v>
      </c>
      <c r="E104" s="206" t="s">
        <v>262</v>
      </c>
      <c r="F104" s="305"/>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308"/>
      <c r="B105" s="4" t="s">
        <v>613</v>
      </c>
      <c r="C105" s="206">
        <v>16</v>
      </c>
      <c r="D105" s="206">
        <v>8</v>
      </c>
      <c r="E105" s="206" t="s">
        <v>263</v>
      </c>
      <c r="F105" s="306"/>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308"/>
      <c r="B106" s="4" t="s">
        <v>613</v>
      </c>
      <c r="C106" s="206">
        <v>24</v>
      </c>
      <c r="D106" s="206">
        <v>4</v>
      </c>
      <c r="E106" s="206" t="s">
        <v>264</v>
      </c>
      <c r="F106" s="306"/>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281"/>
      <c r="B107" s="4" t="s">
        <v>613</v>
      </c>
      <c r="C107" s="206">
        <v>28</v>
      </c>
      <c r="D107" s="206">
        <v>4</v>
      </c>
      <c r="E107" s="206" t="s">
        <v>265</v>
      </c>
      <c r="F107" s="307"/>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282"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308"/>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281"/>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282"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281"/>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282"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308"/>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281"/>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282"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281"/>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282"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308"/>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281"/>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282"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281"/>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316"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310" t="s">
        <v>367</v>
      </c>
      <c r="M3" s="312" t="s">
        <v>14</v>
      </c>
    </row>
    <row r="4" spans="1:13" x14ac:dyDescent="0.3">
      <c r="A4" s="288"/>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88"/>
      <c r="M4" s="313"/>
    </row>
    <row r="5" spans="1:13" x14ac:dyDescent="0.3">
      <c r="A5" s="288"/>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88"/>
      <c r="M5" s="313"/>
    </row>
    <row r="6" spans="1:13" s="15" customFormat="1" x14ac:dyDescent="0.3">
      <c r="A6" s="288"/>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92"/>
      <c r="M6" s="314"/>
    </row>
    <row r="7" spans="1:13" ht="15" thickBot="1" x14ac:dyDescent="0.35">
      <c r="A7" s="311"/>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11"/>
      <c r="M7" s="315"/>
    </row>
    <row r="8" spans="1:13" ht="14.55" customHeight="1" x14ac:dyDescent="0.3">
      <c r="A8" s="290"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18" t="s">
        <v>368</v>
      </c>
      <c r="M8" s="321" t="s">
        <v>20</v>
      </c>
    </row>
    <row r="9" spans="1:13" x14ac:dyDescent="0.3">
      <c r="A9" s="290"/>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19"/>
      <c r="M9" s="322"/>
    </row>
    <row r="10" spans="1:13" x14ac:dyDescent="0.3">
      <c r="A10" s="290"/>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19"/>
      <c r="M10" s="322"/>
    </row>
    <row r="11" spans="1:13" s="15" customFormat="1" x14ac:dyDescent="0.3">
      <c r="A11" s="290"/>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19"/>
      <c r="M11" s="322"/>
    </row>
    <row r="12" spans="1:13" ht="15.45" customHeight="1" x14ac:dyDescent="0.3">
      <c r="A12" s="290"/>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19"/>
      <c r="M12" s="322"/>
    </row>
    <row r="13" spans="1:13" s="15" customFormat="1" ht="14.55" customHeight="1" thickBot="1" x14ac:dyDescent="0.35">
      <c r="A13" s="317"/>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20"/>
      <c r="M13" s="323"/>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2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2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2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2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2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2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2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2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2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2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2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2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2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2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2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2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2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2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2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2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2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2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2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2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2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2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2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2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2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2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2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30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30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30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30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30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30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30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30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30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30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30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30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30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30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30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30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30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30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30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30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30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30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308"/>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30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30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30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30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30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30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30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26">
        <v>0</v>
      </c>
      <c r="B2" s="57" t="s">
        <v>577</v>
      </c>
      <c r="C2" s="16">
        <v>0</v>
      </c>
      <c r="D2" s="16"/>
      <c r="E2" s="58"/>
    </row>
    <row r="3" spans="1:5" x14ac:dyDescent="0.3">
      <c r="A3" s="326"/>
      <c r="B3" s="16" t="s">
        <v>578</v>
      </c>
      <c r="C3" s="16">
        <v>8</v>
      </c>
      <c r="D3" s="16"/>
      <c r="E3" s="58"/>
    </row>
    <row r="4" spans="1:5" x14ac:dyDescent="0.3">
      <c r="A4" s="326"/>
      <c r="B4" s="99" t="s">
        <v>584</v>
      </c>
      <c r="C4" s="99" t="s">
        <v>585</v>
      </c>
      <c r="D4" s="16"/>
      <c r="E4" s="58"/>
    </row>
    <row r="5" spans="1:5" x14ac:dyDescent="0.3">
      <c r="A5" s="326"/>
      <c r="B5" s="16" t="s">
        <v>586</v>
      </c>
      <c r="C5" s="16" t="s">
        <v>587</v>
      </c>
      <c r="D5" s="16"/>
      <c r="E5" s="58"/>
    </row>
    <row r="6" spans="1:5" x14ac:dyDescent="0.3">
      <c r="A6" s="326"/>
      <c r="B6" s="16" t="s">
        <v>588</v>
      </c>
      <c r="C6" s="16" t="s">
        <v>589</v>
      </c>
      <c r="D6" s="16"/>
      <c r="E6" s="58"/>
    </row>
    <row r="7" spans="1:5" x14ac:dyDescent="0.3">
      <c r="A7" s="326"/>
      <c r="B7" s="16" t="s">
        <v>590</v>
      </c>
      <c r="C7" s="16" t="s">
        <v>591</v>
      </c>
      <c r="D7" s="16"/>
      <c r="E7" s="58"/>
    </row>
    <row r="8" spans="1:5" ht="57.6" x14ac:dyDescent="0.3">
      <c r="A8" s="326">
        <v>1</v>
      </c>
      <c r="B8" s="98" t="s">
        <v>420</v>
      </c>
      <c r="C8" s="16">
        <v>11</v>
      </c>
      <c r="D8" s="16"/>
      <c r="E8" s="58" t="s">
        <v>595</v>
      </c>
    </row>
    <row r="9" spans="1:5" x14ac:dyDescent="0.3">
      <c r="A9" s="326"/>
      <c r="B9" s="98" t="s">
        <v>581</v>
      </c>
      <c r="C9" s="16">
        <v>0</v>
      </c>
      <c r="D9" s="16"/>
      <c r="E9" s="58" t="s">
        <v>599</v>
      </c>
    </row>
    <row r="10" spans="1:5" x14ac:dyDescent="0.3">
      <c r="A10" s="326"/>
      <c r="B10" s="98" t="s">
        <v>582</v>
      </c>
      <c r="C10" s="16">
        <v>0</v>
      </c>
      <c r="D10" s="16"/>
      <c r="E10" s="58" t="s">
        <v>386</v>
      </c>
    </row>
    <row r="11" spans="1:5" x14ac:dyDescent="0.3">
      <c r="A11" s="326"/>
      <c r="B11" s="98" t="s">
        <v>592</v>
      </c>
      <c r="C11" s="16">
        <v>7</v>
      </c>
      <c r="D11" s="16"/>
      <c r="E11" s="58"/>
    </row>
    <row r="12" spans="1:5" x14ac:dyDescent="0.3">
      <c r="A12" s="326"/>
      <c r="B12" s="98" t="s">
        <v>593</v>
      </c>
      <c r="C12" s="16" t="s">
        <v>594</v>
      </c>
      <c r="D12" s="16"/>
      <c r="E12" s="58"/>
    </row>
    <row r="13" spans="1:5" x14ac:dyDescent="0.3">
      <c r="A13" s="326"/>
      <c r="B13" s="16" t="s">
        <v>390</v>
      </c>
      <c r="C13" s="16"/>
      <c r="D13" s="16"/>
      <c r="E13" s="58"/>
    </row>
    <row r="14" spans="1:5" x14ac:dyDescent="0.3">
      <c r="A14" s="326"/>
      <c r="B14" s="16" t="s">
        <v>205</v>
      </c>
      <c r="C14" s="16"/>
      <c r="D14" s="16"/>
      <c r="E14" s="58"/>
    </row>
    <row r="15" spans="1:5" x14ac:dyDescent="0.3">
      <c r="A15" s="326"/>
      <c r="B15" s="16" t="s">
        <v>579</v>
      </c>
      <c r="C15" s="16" t="s">
        <v>580</v>
      </c>
      <c r="D15" s="16"/>
      <c r="E15" s="58"/>
    </row>
    <row r="16" spans="1:5" x14ac:dyDescent="0.3">
      <c r="A16" s="326"/>
      <c r="B16" s="16" t="s">
        <v>598</v>
      </c>
      <c r="C16" s="16"/>
      <c r="D16" s="16"/>
      <c r="E16" s="58"/>
    </row>
    <row r="17" spans="1:5" x14ac:dyDescent="0.3">
      <c r="A17" s="326">
        <v>2</v>
      </c>
      <c r="B17" s="99" t="s">
        <v>566</v>
      </c>
      <c r="C17" s="99">
        <v>128</v>
      </c>
      <c r="D17" s="16" t="s">
        <v>597</v>
      </c>
      <c r="E17" s="58"/>
    </row>
    <row r="18" spans="1:5" x14ac:dyDescent="0.3">
      <c r="A18" s="326"/>
      <c r="B18" s="99" t="s">
        <v>560</v>
      </c>
      <c r="C18" s="99" t="s">
        <v>563</v>
      </c>
      <c r="D18" s="16"/>
      <c r="E18" s="58"/>
    </row>
    <row r="19" spans="1:5" x14ac:dyDescent="0.3">
      <c r="A19" s="326"/>
      <c r="B19" s="16" t="s">
        <v>561</v>
      </c>
      <c r="C19" s="16" t="s">
        <v>562</v>
      </c>
      <c r="D19" s="16"/>
      <c r="E19" s="58"/>
    </row>
    <row r="20" spans="1:5" x14ac:dyDescent="0.3">
      <c r="A20" s="326"/>
      <c r="B20" s="16" t="s">
        <v>564</v>
      </c>
      <c r="C20" s="16" t="s">
        <v>565</v>
      </c>
      <c r="D20" s="16"/>
      <c r="E20" s="58"/>
    </row>
    <row r="21" spans="1:5" x14ac:dyDescent="0.3">
      <c r="A21" s="326">
        <v>3</v>
      </c>
      <c r="B21" s="99" t="s">
        <v>567</v>
      </c>
      <c r="C21" s="99" t="s">
        <v>568</v>
      </c>
      <c r="D21" s="16"/>
      <c r="E21" s="58"/>
    </row>
    <row r="22" spans="1:5" x14ac:dyDescent="0.3">
      <c r="A22" s="326"/>
      <c r="B22" s="99" t="s">
        <v>569</v>
      </c>
      <c r="C22" s="99" t="s">
        <v>570</v>
      </c>
      <c r="D22" s="16"/>
      <c r="E22" s="58"/>
    </row>
    <row r="23" spans="1:5" x14ac:dyDescent="0.3">
      <c r="A23" s="326"/>
      <c r="B23" s="16" t="s">
        <v>571</v>
      </c>
      <c r="C23" s="16" t="s">
        <v>572</v>
      </c>
      <c r="D23" s="16"/>
      <c r="E23" s="58"/>
    </row>
    <row r="24" spans="1:5" x14ac:dyDescent="0.3">
      <c r="A24" s="326"/>
      <c r="B24" s="16" t="s">
        <v>573</v>
      </c>
      <c r="C24" s="16" t="s">
        <v>574</v>
      </c>
      <c r="D24" s="16"/>
      <c r="E24" s="58"/>
    </row>
    <row r="25" spans="1:5" x14ac:dyDescent="0.3">
      <c r="A25" s="326">
        <v>4</v>
      </c>
      <c r="B25" s="98" t="s">
        <v>575</v>
      </c>
      <c r="C25" s="98" t="s">
        <v>576</v>
      </c>
      <c r="D25" s="16"/>
      <c r="E25" s="58"/>
    </row>
    <row r="26" spans="1:5" x14ac:dyDescent="0.3">
      <c r="A26" s="326"/>
      <c r="B26" s="98" t="s">
        <v>421</v>
      </c>
      <c r="C26" s="16">
        <v>2</v>
      </c>
      <c r="D26" s="16"/>
      <c r="E26" s="58" t="s">
        <v>596</v>
      </c>
    </row>
    <row r="27" spans="1:5" x14ac:dyDescent="0.3">
      <c r="A27" s="32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2020-08-13T20:31:03Z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