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hreadedComments/threadedComment4.xml" ContentType="application/vnd.ms-excel.threadedcomments+xml"/>
  <Override PartName="/xl/comments12.xml" ContentType="application/vnd.openxmlformats-officedocument.spreadsheetml.comments+xml"/>
  <Override PartName="/xl/threadedComments/threadedComment5.xml" ContentType="application/vnd.ms-excel.threaded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79B8BA16-31B0-4808-9770-1B8E5D05F639}" xr6:coauthVersionLast="45" xr6:coauthVersionMax="45" xr10:uidLastSave="{00000000-0000-0000-0000-000000000000}"/>
  <bookViews>
    <workbookView xWindow="-28920" yWindow="-120" windowWidth="29040" windowHeight="15840" activeTab="5" xr2:uid="{2B594C35-F97C-4EE0-A0C6-60F0B7EACB17}"/>
  </bookViews>
  <sheets>
    <sheet name="Revision" sheetId="33" r:id="rId1"/>
    <sheet name="ConfigNew" sheetId="31" r:id="rId2"/>
    <sheet name="CSxE_ESE_GSC_FuseCfg_1" sheetId="39" r:id="rId3"/>
    <sheet name="CSxE_ESE_GSC_FuseCfg" sheetId="32" r:id="rId4"/>
    <sheet name="Elasti_CSC_review_new" sheetId="34" r:id="rId5"/>
    <sheet name="Elasti_GSC_review" sheetId="35" r:id="rId6"/>
    <sheet name="Config" sheetId="12" r:id="rId7"/>
    <sheet name="LookUp" sheetId="24" r:id="rId8"/>
    <sheet name="GetGroup1" sheetId="26" r:id="rId9"/>
    <sheet name="MTL-SOC-M CSME" sheetId="27" r:id="rId10"/>
    <sheet name="MTL-SOC-M ESE" sheetId="28" r:id="rId11"/>
    <sheet name="MTL-SOC-M GSC" sheetId="29" r:id="rId12"/>
    <sheet name="Group0" sheetId="21" r:id="rId13"/>
    <sheet name="Group1 (GSC)" sheetId="30" r:id="rId14"/>
    <sheet name="Group1" sheetId="7" r:id="rId15"/>
    <sheet name="Group2,3" sheetId="15" r:id="rId16"/>
    <sheet name="Softstrap" sheetId="8" r:id="rId17"/>
    <sheet name="MISC" sheetId="17" r:id="rId18"/>
  </sheets>
  <functionGroups builtInGroupCount="19"/>
  <definedNames>
    <definedName name="_xlnm._FilterDatabase" localSheetId="4" hidden="1">Elasti_CSC_review_new!$A$1:$H$89</definedName>
    <definedName name="_xlnm._FilterDatabase" localSheetId="5" hidden="1">Elasti_GSC_review!$A$1:$I$89</definedName>
    <definedName name="_xlnm._FilterDatabase" localSheetId="14" hidden="1">Group1!$A$1:$Q$107</definedName>
    <definedName name="_xlnm._FilterDatabase" localSheetId="13" hidden="1">'Group1 (GSC)'!$A$1:$R$107</definedName>
    <definedName name="_xlnm._FilterDatabase" localSheetId="16"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N89" i="31"/>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P34" i="30"/>
  <c r="P109" i="30"/>
  <c r="Q22" i="30"/>
  <c r="P119" i="30"/>
  <c r="Q43" i="30"/>
  <c r="R14" i="30"/>
  <c r="P49" i="30"/>
  <c r="Q29" i="30"/>
  <c r="P30" i="30"/>
  <c r="Q20" i="30"/>
  <c r="P59" i="30"/>
  <c r="Q59" i="30"/>
  <c r="R22" i="30"/>
  <c r="Q108" i="30"/>
  <c r="R92" i="30"/>
  <c r="P48" i="30"/>
  <c r="R114" i="30"/>
  <c r="P14" i="30"/>
  <c r="Q51" i="30"/>
  <c r="Q11" i="30"/>
  <c r="R37" i="30"/>
  <c r="R112" i="30"/>
  <c r="Q38" i="30"/>
  <c r="R15" i="30"/>
  <c r="R109" i="30"/>
  <c r="R120" i="30"/>
  <c r="P32" i="30"/>
  <c r="R47" i="30"/>
  <c r="P6" i="30"/>
  <c r="R74" i="30"/>
  <c r="P78" i="30"/>
  <c r="P55" i="30"/>
  <c r="P47" i="30"/>
  <c r="Q33" i="30"/>
  <c r="P4" i="30"/>
  <c r="P40" i="30"/>
  <c r="P75" i="30"/>
  <c r="R102" i="30"/>
  <c r="R27" i="30"/>
  <c r="P100" i="30"/>
  <c r="P96" i="30"/>
  <c r="R33" i="30"/>
  <c r="P115" i="30"/>
  <c r="Q123" i="30"/>
  <c r="Q36" i="30"/>
  <c r="R40" i="30"/>
  <c r="P41" i="30"/>
  <c r="P92" i="30"/>
  <c r="Q30" i="30"/>
  <c r="Q121" i="30"/>
  <c r="R98" i="30"/>
  <c r="Q54" i="30"/>
  <c r="Q117" i="30"/>
  <c r="Q78" i="30"/>
  <c r="Q34" i="30"/>
  <c r="P82" i="30"/>
  <c r="P38" i="30"/>
  <c r="Q81" i="30"/>
  <c r="P17" i="30"/>
  <c r="P112" i="30"/>
  <c r="Q27" i="30"/>
  <c r="Q14" i="30"/>
  <c r="Q6" i="30"/>
  <c r="R28" i="30"/>
  <c r="P23" i="30"/>
  <c r="Q92" i="30"/>
  <c r="R121" i="30"/>
  <c r="P27" i="30"/>
  <c r="Q47" i="30"/>
  <c r="Q91" i="30"/>
  <c r="P99" i="30"/>
  <c r="R12" i="30"/>
  <c r="P101" i="30"/>
  <c r="Q113" i="30"/>
  <c r="Q75" i="30"/>
  <c r="P110" i="30"/>
  <c r="R38" i="30"/>
  <c r="R21" i="30"/>
  <c r="R25" i="30"/>
  <c r="Q48" i="30"/>
  <c r="P54" i="30"/>
  <c r="Q17" i="30"/>
  <c r="Q7" i="30"/>
  <c r="R75" i="30"/>
  <c r="Q103" i="30"/>
  <c r="P58" i="30"/>
  <c r="R44" i="30"/>
  <c r="R116" i="30"/>
  <c r="P93" i="30"/>
  <c r="Q111" i="30"/>
  <c r="R97" i="30"/>
  <c r="Q114" i="30"/>
  <c r="Q13" i="30"/>
  <c r="Q49" i="30"/>
  <c r="Q112" i="30"/>
  <c r="P102" i="30"/>
  <c r="R50" i="30"/>
  <c r="Q77" i="30"/>
  <c r="R17" i="30"/>
  <c r="R122" i="30"/>
  <c r="P117" i="30"/>
  <c r="R30" i="30"/>
  <c r="R113" i="30"/>
  <c r="P53" i="30"/>
  <c r="Q95" i="30"/>
  <c r="R95" i="30"/>
  <c r="Q4" i="30"/>
  <c r="Q94" i="30"/>
  <c r="P22" i="30"/>
  <c r="Q96" i="30"/>
  <c r="R26" i="30"/>
  <c r="R78" i="30"/>
  <c r="R96" i="30"/>
  <c r="P111" i="30"/>
  <c r="Q50" i="30"/>
  <c r="P51" i="30"/>
  <c r="R34" i="30"/>
  <c r="Q28" i="30"/>
  <c r="Q119" i="30"/>
  <c r="R36" i="30"/>
  <c r="Q102" i="30"/>
  <c r="Q122" i="30"/>
  <c r="P56" i="30"/>
  <c r="P80" i="30"/>
  <c r="R46" i="30"/>
  <c r="Q115" i="30"/>
  <c r="Q61" i="30"/>
  <c r="P13" i="30"/>
  <c r="R99" i="30"/>
  <c r="R91" i="30"/>
  <c r="P122" i="30"/>
  <c r="P28" i="30"/>
  <c r="R83" i="30"/>
  <c r="R90" i="30"/>
  <c r="P124" i="30"/>
  <c r="R56" i="30"/>
  <c r="P90" i="30"/>
  <c r="R23" i="30"/>
  <c r="R32" i="30"/>
  <c r="R118" i="30"/>
  <c r="P24" i="30"/>
  <c r="P113" i="30"/>
  <c r="R123" i="30"/>
  <c r="R54" i="30"/>
  <c r="P11" i="30"/>
  <c r="R43" i="30"/>
  <c r="R94" i="30"/>
  <c r="Q109" i="30"/>
  <c r="R29" i="30"/>
  <c r="P44" i="30"/>
  <c r="Q90" i="30"/>
  <c r="R6" i="30"/>
  <c r="Q40" i="30"/>
  <c r="Q98" i="30"/>
  <c r="P123" i="30"/>
  <c r="P81" i="30"/>
  <c r="P50" i="30"/>
  <c r="R88" i="30"/>
  <c r="R77" i="30"/>
  <c r="Q93" i="30"/>
  <c r="Q55" i="30"/>
  <c r="R108" i="30"/>
  <c r="P37" i="30"/>
  <c r="P98" i="30"/>
  <c r="R60" i="30"/>
  <c r="P97" i="30"/>
  <c r="R111" i="30"/>
  <c r="P20" i="30"/>
  <c r="P120" i="30"/>
  <c r="Q80" i="30"/>
  <c r="P83" i="30"/>
  <c r="R119" i="30"/>
  <c r="P94" i="30"/>
  <c r="P26" i="30"/>
  <c r="R124" i="30"/>
  <c r="P77" i="30"/>
  <c r="Q32" i="30"/>
  <c r="Q21" i="30"/>
  <c r="R24" i="30"/>
  <c r="P116" i="30"/>
  <c r="Q120" i="30"/>
  <c r="Q15" i="30"/>
  <c r="Q53" i="30"/>
  <c r="Q41" i="30"/>
  <c r="R117" i="30"/>
  <c r="R11" i="30"/>
  <c r="R81" i="30"/>
  <c r="R125" i="30"/>
  <c r="R52" i="30"/>
  <c r="P108" i="30"/>
  <c r="Q58" i="30"/>
  <c r="P33" i="30"/>
  <c r="P29" i="30"/>
  <c r="Q52" i="30"/>
  <c r="P95" i="30"/>
  <c r="P43" i="30"/>
  <c r="R110" i="30"/>
  <c r="R82" i="30"/>
  <c r="Q118" i="30"/>
  <c r="P25" i="30"/>
  <c r="Q83" i="30"/>
  <c r="Q12" i="30"/>
  <c r="Q46" i="30"/>
  <c r="Q26" i="30"/>
  <c r="Q44" i="30"/>
  <c r="R80" i="30"/>
  <c r="R51" i="30"/>
  <c r="R93" i="30"/>
  <c r="Q56" i="30"/>
  <c r="P15" i="30"/>
  <c r="R59" i="30"/>
  <c r="Q60" i="30"/>
  <c r="R41" i="30"/>
  <c r="P121" i="30"/>
  <c r="P46" i="30"/>
  <c r="Q82" i="30"/>
  <c r="R13" i="30"/>
  <c r="Q110" i="30"/>
  <c r="Q116" i="30"/>
  <c r="P60" i="30"/>
  <c r="P88" i="30"/>
  <c r="R58" i="30"/>
  <c r="Q74" i="30"/>
  <c r="Q125" i="30"/>
  <c r="P114" i="30"/>
  <c r="Q97" i="30"/>
  <c r="P12" i="30"/>
  <c r="P91" i="30"/>
  <c r="R53" i="30"/>
  <c r="R61" i="30"/>
  <c r="R48" i="30"/>
  <c r="P21" i="30"/>
  <c r="R55" i="30"/>
  <c r="Q100" i="30"/>
  <c r="Q88" i="30"/>
  <c r="Q101" i="30"/>
  <c r="Q25" i="30"/>
  <c r="Q23" i="30"/>
  <c r="R101" i="30"/>
  <c r="Q124" i="30"/>
  <c r="P7" i="30"/>
  <c r="R20" i="30"/>
  <c r="P52" i="30"/>
  <c r="Q37" i="30"/>
  <c r="Q99" i="30"/>
  <c r="P118" i="30"/>
  <c r="P103" i="30"/>
  <c r="Q24" i="30"/>
  <c r="P36" i="30"/>
  <c r="R100" i="30"/>
  <c r="R103" i="30"/>
  <c r="P125" i="30"/>
  <c r="P61" i="30"/>
  <c r="P74" i="30"/>
  <c r="R4" i="30"/>
  <c r="R115" i="30"/>
  <c r="R7" i="30"/>
  <c r="R49" i="30"/>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37" i="24"/>
  <c r="G20" i="29"/>
  <c r="L18" i="27"/>
  <c r="G35" i="28"/>
  <c r="L10" i="24"/>
  <c r="F11" i="21"/>
  <c r="G7" i="27"/>
  <c r="G9" i="15"/>
  <c r="L29" i="28"/>
  <c r="L4" i="24"/>
  <c r="L22" i="27"/>
  <c r="G41" i="29"/>
  <c r="G34" i="27"/>
  <c r="G12" i="24"/>
  <c r="G34" i="29"/>
  <c r="G35" i="27"/>
  <c r="G41" i="28"/>
  <c r="L17" i="29"/>
  <c r="L15" i="24"/>
  <c r="G4" i="27"/>
  <c r="G28" i="28"/>
  <c r="G32" i="28"/>
  <c r="G7" i="24"/>
  <c r="G21" i="29"/>
  <c r="G10" i="15"/>
  <c r="L13" i="27"/>
  <c r="L34" i="27"/>
  <c r="G5" i="27"/>
  <c r="G4" i="24"/>
  <c r="G3" i="27"/>
  <c r="F9" i="21"/>
  <c r="G19" i="28"/>
  <c r="G19" i="27"/>
  <c r="G40" i="29"/>
  <c r="G22" i="27"/>
  <c r="G7" i="29"/>
  <c r="L37" i="27"/>
  <c r="L30" i="27"/>
  <c r="G33" i="27"/>
  <c r="G37" i="27"/>
  <c r="G11" i="28"/>
  <c r="L14" i="28"/>
  <c r="G20" i="28"/>
  <c r="G39" i="29"/>
  <c r="L16" i="29"/>
  <c r="L41" i="27"/>
  <c r="G37" i="28"/>
  <c r="L16" i="24"/>
  <c r="L18" i="28"/>
  <c r="L5" i="28"/>
  <c r="L18" i="24"/>
  <c r="L39" i="27"/>
  <c r="G3" i="29"/>
  <c r="G11" i="15"/>
  <c r="Q78" i="7"/>
  <c r="L32" i="28"/>
  <c r="L23" i="28"/>
  <c r="L29" i="27"/>
  <c r="F8" i="21"/>
  <c r="G26" i="28"/>
  <c r="L19" i="28"/>
  <c r="L7" i="24"/>
  <c r="G21" i="27"/>
  <c r="G7" i="28"/>
  <c r="Q4" i="7"/>
  <c r="L21" i="28"/>
  <c r="G10" i="29"/>
  <c r="O11" i="7"/>
  <c r="G13" i="15"/>
  <c r="O4" i="7"/>
  <c r="G18" i="29"/>
  <c r="L15" i="28"/>
  <c r="G29" i="28"/>
  <c r="L12" i="27"/>
  <c r="G40" i="28"/>
  <c r="G32" i="29"/>
  <c r="G8" i="24"/>
  <c r="L11" i="24"/>
  <c r="L24" i="24"/>
  <c r="L10" i="27"/>
  <c r="L13" i="24"/>
  <c r="L21" i="27"/>
  <c r="F13" i="21"/>
  <c r="G28" i="29"/>
  <c r="G22" i="29"/>
  <c r="G12" i="15"/>
  <c r="G3" i="24"/>
  <c r="L21" i="24"/>
  <c r="G4" i="29"/>
  <c r="G13" i="24"/>
  <c r="G13" i="28"/>
  <c r="G32" i="24"/>
  <c r="G33" i="29"/>
  <c r="L3" i="27"/>
  <c r="G41" i="27"/>
  <c r="G38" i="29"/>
  <c r="G25" i="28"/>
  <c r="G38" i="28"/>
  <c r="L17" i="24"/>
  <c r="G8" i="15"/>
  <c r="G42" i="27"/>
  <c r="G38" i="27"/>
  <c r="L36" i="28"/>
  <c r="O90" i="7"/>
  <c r="G36" i="29"/>
  <c r="L8" i="28"/>
  <c r="G25" i="27"/>
  <c r="L17" i="28"/>
  <c r="G23" i="29"/>
  <c r="L31" i="28"/>
  <c r="G18" i="28"/>
  <c r="G31" i="29"/>
  <c r="L12" i="28"/>
  <c r="L35" i="27"/>
  <c r="L9" i="28"/>
  <c r="G32" i="27"/>
  <c r="L5" i="24"/>
  <c r="G33" i="28"/>
  <c r="G23" i="28"/>
  <c r="G11" i="27"/>
  <c r="L24" i="29"/>
  <c r="L17" i="27"/>
  <c r="G18" i="27"/>
  <c r="G11" i="29"/>
  <c r="G12" i="27"/>
  <c r="G8" i="28"/>
  <c r="L11" i="28"/>
  <c r="G10" i="28"/>
  <c r="G10" i="27"/>
  <c r="G26" i="29"/>
  <c r="G42" i="28"/>
  <c r="O78" i="7"/>
  <c r="L7" i="27"/>
  <c r="L31" i="27"/>
  <c r="G36" i="27"/>
  <c r="L37" i="28"/>
  <c r="F17" i="21"/>
  <c r="G9" i="24"/>
  <c r="G35" i="29"/>
  <c r="L14" i="29"/>
  <c r="G6" i="27"/>
  <c r="G4" i="28"/>
  <c r="G12" i="29"/>
  <c r="P78" i="7"/>
  <c r="G37" i="29"/>
  <c r="F7" i="21"/>
  <c r="G13" i="29"/>
  <c r="G30" i="29"/>
  <c r="G9" i="28"/>
  <c r="G30" i="27"/>
  <c r="G22" i="28"/>
  <c r="G5" i="24"/>
  <c r="G13" i="27"/>
  <c r="L20" i="24"/>
  <c r="G8" i="29"/>
  <c r="G42" i="24"/>
  <c r="G5" i="29"/>
  <c r="L20" i="27"/>
  <c r="Q11" i="7"/>
  <c r="L6" i="27"/>
  <c r="L3" i="24"/>
  <c r="G8" i="27"/>
  <c r="G12" i="28"/>
  <c r="G9" i="29"/>
  <c r="G34" i="28"/>
  <c r="G28" i="27"/>
  <c r="L11"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41" i="29"/>
  <c r="L30" i="28"/>
  <c r="F5" i="21"/>
  <c r="L13" i="29"/>
  <c r="L35" i="29"/>
  <c r="G39" i="27"/>
  <c r="L32" i="29"/>
  <c r="G31" i="28"/>
  <c r="L15" i="29"/>
  <c r="L6" i="24"/>
  <c r="L15" i="27"/>
  <c r="L11" i="29"/>
  <c r="F10" i="21"/>
  <c r="L31" i="29"/>
  <c r="L3" i="29"/>
  <c r="G11" i="24"/>
  <c r="L4" i="27"/>
  <c r="L22" i="24"/>
  <c r="L10" i="29"/>
  <c r="L22" i="28"/>
  <c r="L8" i="29"/>
  <c r="G26" i="27"/>
  <c r="G3" i="28"/>
  <c r="L40" i="27"/>
  <c r="L32" i="27"/>
  <c r="F15" i="21"/>
  <c r="N57" i="8"/>
  <c r="L23" i="24"/>
  <c r="L35" i="28"/>
  <c r="F3" i="21"/>
  <c r="G19" i="29"/>
  <c r="L24" i="28"/>
  <c r="L10" i="28"/>
  <c r="L21" i="29"/>
  <c r="L12" i="24"/>
  <c r="L39" i="28"/>
  <c r="G10" i="24"/>
  <c r="L3" i="28"/>
  <c r="G5" i="28"/>
  <c r="L23" i="27"/>
  <c r="L19" i="27"/>
  <c r="G29" i="27"/>
  <c r="M57" i="8"/>
  <c r="L57" i="8"/>
  <c r="L34" i="28"/>
  <c r="G40" i="27"/>
  <c r="G9" i="27"/>
  <c r="L9" i="24"/>
  <c r="G30" i="28"/>
  <c r="G23" i="27"/>
  <c r="P11" i="7"/>
  <c r="G6" i="28"/>
  <c r="L8" i="24"/>
  <c r="G36" i="28"/>
  <c r="L16" i="27"/>
  <c r="L19" i="24"/>
  <c r="L22" i="29"/>
  <c r="L40" i="28"/>
  <c r="L39" i="29"/>
  <c r="L5" i="29"/>
  <c r="L4" i="29"/>
  <c r="L20" i="29"/>
  <c r="G20" i="27"/>
  <c r="L24" i="27"/>
  <c r="L40" i="29"/>
  <c r="L7" i="29"/>
  <c r="G25" i="29"/>
  <c r="G31" i="27"/>
  <c r="F14" i="21"/>
  <c r="G42" i="29"/>
  <c r="G21" i="28"/>
  <c r="L41" i="28"/>
  <c r="L34" i="29"/>
  <c r="L8" i="27"/>
  <c r="L42" i="27"/>
  <c r="G6" i="24"/>
  <c r="P4" i="7"/>
  <c r="L42" i="28"/>
  <c r="L9" i="29"/>
  <c r="G39" i="28"/>
  <c r="L9" i="27"/>
  <c r="L12" i="29"/>
  <c r="F16" i="21"/>
  <c r="L6" i="28"/>
  <c r="L14" i="27"/>
  <c r="L16" i="28"/>
  <c r="F12" i="21"/>
  <c r="L13" i="28"/>
  <c r="F6" i="21"/>
  <c r="L7" i="28"/>
  <c r="L36" i="29"/>
  <c r="L4" i="28"/>
  <c r="L14" i="24"/>
  <c r="F4" i="21"/>
  <c r="L5" i="27"/>
  <c r="L30" i="29"/>
  <c r="L20" i="28"/>
  <c r="L37" i="29"/>
  <c r="G6" i="29"/>
  <c r="L36" i="27"/>
  <c r="G29" i="29"/>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77" i="7"/>
  <c r="L61" i="8"/>
  <c r="L31" i="24"/>
  <c r="P120" i="7"/>
  <c r="Q28" i="7"/>
  <c r="Q74" i="7"/>
  <c r="O120" i="7"/>
  <c r="O47" i="7"/>
  <c r="O99" i="7"/>
  <c r="G19" i="24"/>
  <c r="Q92" i="7"/>
  <c r="G6" i="15"/>
  <c r="P109" i="7"/>
  <c r="Q48" i="7"/>
  <c r="P59" i="7"/>
  <c r="M19" i="8"/>
  <c r="Q81" i="7"/>
  <c r="Q124" i="7"/>
  <c r="N42" i="8"/>
  <c r="O122" i="7"/>
  <c r="N19" i="8"/>
  <c r="Q101" i="7"/>
  <c r="G25" i="24"/>
  <c r="Q46" i="7"/>
  <c r="L13" i="8"/>
  <c r="M12" i="8"/>
  <c r="O119" i="7"/>
  <c r="O124" i="7"/>
  <c r="Q96" i="7"/>
  <c r="P30" i="7"/>
  <c r="N50" i="8"/>
  <c r="O38" i="7"/>
  <c r="P102" i="7"/>
  <c r="L36" i="24"/>
  <c r="P103" i="7"/>
  <c r="O20" i="7"/>
  <c r="K16" i="21"/>
  <c r="Q52" i="7"/>
  <c r="P20" i="7"/>
  <c r="P77" i="7"/>
  <c r="Q24" i="7"/>
  <c r="L31" i="8"/>
  <c r="Q54" i="7"/>
  <c r="Q36" i="7"/>
  <c r="Q6" i="7"/>
  <c r="Q20" i="7"/>
  <c r="G31" i="24"/>
  <c r="P40" i="7"/>
  <c r="P123" i="7"/>
  <c r="O54" i="7"/>
  <c r="G23" i="24"/>
  <c r="P88" i="7"/>
  <c r="N11" i="8"/>
  <c r="P99" i="7"/>
  <c r="Q44" i="7"/>
  <c r="Q32" i="7"/>
  <c r="L37" i="8"/>
  <c r="L39" i="24"/>
  <c r="Q119" i="7"/>
  <c r="P43" i="7"/>
  <c r="N34" i="8"/>
  <c r="Q90" i="7"/>
  <c r="N58" i="8"/>
  <c r="P52" i="7"/>
  <c r="N23" i="8"/>
  <c r="Q102" i="7"/>
  <c r="P44" i="7"/>
  <c r="P111" i="7"/>
  <c r="L32" i="24"/>
  <c r="Q123" i="7"/>
  <c r="L3" i="8"/>
  <c r="Q116" i="7"/>
  <c r="K6" i="21"/>
  <c r="Q49" i="7"/>
  <c r="K10" i="21"/>
  <c r="Q95" i="7"/>
  <c r="O96" i="7"/>
  <c r="P13" i="7"/>
  <c r="Q113" i="7"/>
  <c r="G18" i="24"/>
  <c r="O113" i="7"/>
  <c r="Q40" i="7"/>
  <c r="N8" i="8"/>
  <c r="O110" i="7"/>
  <c r="Q41" i="7"/>
  <c r="O12" i="7"/>
  <c r="M33" i="8"/>
  <c r="M36" i="8"/>
  <c r="O46" i="7"/>
  <c r="M58" i="8"/>
  <c r="N37" i="8"/>
  <c r="L37" i="24"/>
  <c r="O50" i="7"/>
  <c r="O22" i="7"/>
  <c r="M63" i="8"/>
  <c r="O7" i="7"/>
  <c r="O109" i="7"/>
  <c r="O115" i="7"/>
  <c r="O95" i="7"/>
  <c r="Q23" i="7"/>
  <c r="L34" i="24"/>
  <c r="Q114" i="7"/>
  <c r="L29" i="24"/>
  <c r="N6" i="8"/>
  <c r="O40" i="7"/>
  <c r="M22" i="8"/>
  <c r="Q17" i="7"/>
  <c r="N40" i="8"/>
  <c r="P17" i="7"/>
  <c r="O61" i="7"/>
  <c r="Q13" i="7"/>
  <c r="K9" i="21"/>
  <c r="P83" i="7"/>
  <c r="O88" i="7"/>
  <c r="P55" i="7"/>
  <c r="O49" i="7"/>
  <c r="P112" i="7"/>
  <c r="P124" i="7"/>
  <c r="K7" i="21"/>
  <c r="P14" i="7"/>
  <c r="P97" i="7"/>
  <c r="O51" i="7"/>
  <c r="M37" i="8"/>
  <c r="L11" i="8"/>
  <c r="Q109" i="7"/>
  <c r="N43" i="8"/>
  <c r="O112" i="7"/>
  <c r="Q38" i="7"/>
  <c r="O59" i="7"/>
  <c r="O102" i="7"/>
  <c r="M62" i="8"/>
  <c r="P115" i="7"/>
  <c r="P6" i="7"/>
  <c r="G29" i="24"/>
  <c r="M61" i="8"/>
  <c r="M35" i="8"/>
  <c r="Q111" i="7"/>
  <c r="P36" i="7"/>
  <c r="P74" i="7"/>
  <c r="L35" i="24"/>
  <c r="P49" i="7"/>
  <c r="O58" i="7"/>
  <c r="L60" i="8"/>
  <c r="M6" i="8"/>
  <c r="N36" i="8"/>
  <c r="L50" i="8"/>
  <c r="K14" i="21"/>
  <c r="N61" i="8"/>
  <c r="O53" i="7"/>
  <c r="O27" i="7"/>
  <c r="P118" i="7"/>
  <c r="P33" i="7"/>
  <c r="Q50" i="7"/>
  <c r="P24" i="7"/>
  <c r="G41" i="24"/>
  <c r="Q97" i="7"/>
  <c r="P21" i="7"/>
  <c r="L2" i="8"/>
  <c r="P114" i="7"/>
  <c r="O56" i="7"/>
  <c r="M40" i="8"/>
  <c r="P29" i="7"/>
  <c r="L18" i="29"/>
  <c r="P60" i="7"/>
  <c r="K12" i="21"/>
  <c r="L33" i="8"/>
  <c r="O83" i="7"/>
  <c r="G5" i="15"/>
  <c r="M3" i="8"/>
  <c r="Q14" i="7"/>
  <c r="O29" i="7"/>
  <c r="L41" i="24"/>
  <c r="P61" i="7"/>
  <c r="P37" i="7"/>
  <c r="M53" i="8"/>
  <c r="G3" i="15"/>
  <c r="L40" i="8"/>
  <c r="M32" i="8"/>
  <c r="Q99" i="7"/>
  <c r="N41" i="8"/>
  <c r="Q34" i="7"/>
  <c r="O101" i="7"/>
  <c r="M18" i="8"/>
  <c r="O123" i="7"/>
  <c r="O41" i="7"/>
  <c r="L65" i="8"/>
  <c r="P122" i="7"/>
  <c r="N2" i="8"/>
  <c r="P90" i="7"/>
  <c r="N22" i="8"/>
  <c r="N39" i="8"/>
  <c r="Q122" i="7"/>
  <c r="O26" i="7"/>
  <c r="M43" i="8"/>
  <c r="Q88" i="7"/>
  <c r="P91" i="7"/>
  <c r="G30" i="24"/>
  <c r="G35" i="24"/>
  <c r="P7" i="7"/>
  <c r="L59" i="8"/>
  <c r="N7" i="8"/>
  <c r="M59" i="8"/>
  <c r="O74" i="7"/>
  <c r="G36" i="24"/>
  <c r="Q117" i="7"/>
  <c r="N59" i="8"/>
  <c r="P100" i="7"/>
  <c r="Q53" i="7"/>
  <c r="G28" i="24"/>
  <c r="L53" i="8"/>
  <c r="M60" i="8"/>
  <c r="O116" i="7"/>
  <c r="N62" i="8"/>
  <c r="N4" i="8"/>
  <c r="P125" i="7"/>
  <c r="P26" i="7"/>
  <c r="Q51" i="7"/>
  <c r="L6" i="29"/>
  <c r="P48" i="7"/>
  <c r="P81" i="7"/>
  <c r="L40" i="24"/>
  <c r="Q30" i="7"/>
  <c r="L8" i="8"/>
  <c r="Q12" i="7"/>
  <c r="O111" i="7"/>
  <c r="O108" i="7"/>
  <c r="Q108" i="7"/>
  <c r="Q47" i="7"/>
  <c r="O15" i="7"/>
  <c r="P50" i="7"/>
  <c r="L42" i="29"/>
  <c r="Q55" i="7"/>
  <c r="O80" i="7"/>
  <c r="M38" i="8"/>
  <c r="O55" i="7"/>
  <c r="Q98" i="7"/>
  <c r="Q91" i="7"/>
  <c r="L23" i="29"/>
  <c r="O103" i="7"/>
  <c r="M41" i="8"/>
  <c r="G40" i="24"/>
  <c r="L43" i="8"/>
  <c r="L9" i="8"/>
  <c r="P82" i="7"/>
  <c r="O17" i="7"/>
  <c r="N3" i="8"/>
  <c r="Q37" i="7"/>
  <c r="Q110" i="7"/>
  <c r="Q61" i="7"/>
  <c r="M50" i="8"/>
  <c r="O81" i="7"/>
  <c r="L63" i="8"/>
  <c r="G33" i="24"/>
  <c r="L19" i="8"/>
  <c r="P58" i="7"/>
  <c r="O75" i="7"/>
  <c r="L23" i="8"/>
  <c r="P94" i="7"/>
  <c r="L41" i="8"/>
  <c r="Q94" i="7"/>
  <c r="Q25" i="7"/>
  <c r="N38" i="8"/>
  <c r="Q29" i="7"/>
  <c r="O121" i="7"/>
  <c r="M8" i="8"/>
  <c r="K17" i="21"/>
  <c r="M42" i="8"/>
  <c r="P46" i="7"/>
  <c r="L19" i="29"/>
  <c r="P108" i="7"/>
  <c r="Q56" i="7"/>
  <c r="P80" i="7"/>
  <c r="N63" i="8"/>
  <c r="P96" i="7"/>
  <c r="M13" i="8"/>
  <c r="L29" i="29"/>
  <c r="G38" i="24"/>
  <c r="L34" i="8"/>
  <c r="P51" i="7"/>
  <c r="P75" i="7"/>
  <c r="N65" i="8"/>
  <c r="G34" i="24"/>
  <c r="K15" i="21"/>
  <c r="N32" i="8"/>
  <c r="Q120" i="7"/>
  <c r="P28" i="7"/>
  <c r="O48" i="7"/>
  <c r="Q77" i="7"/>
  <c r="K4" i="21"/>
  <c r="P116" i="7"/>
  <c r="P95" i="7"/>
  <c r="L64" i="8"/>
  <c r="M9" i="8"/>
  <c r="G7" i="15"/>
  <c r="Q7" i="7"/>
  <c r="P121" i="7"/>
  <c r="O125" i="7"/>
  <c r="L38" i="8"/>
  <c r="O30" i="7"/>
  <c r="M39" i="8"/>
  <c r="P98" i="7"/>
  <c r="L7" i="8"/>
  <c r="O91" i="7"/>
  <c r="P15" i="7"/>
  <c r="Q22" i="7"/>
  <c r="O82" i="7"/>
  <c r="Q115" i="7"/>
  <c r="N31" i="8"/>
  <c r="N12" i="8"/>
  <c r="O52" i="7"/>
  <c r="P53" i="7"/>
  <c r="G21" i="24"/>
  <c r="P47" i="7"/>
  <c r="G22" i="24"/>
  <c r="O92" i="7"/>
  <c r="G4" i="15"/>
  <c r="L42" i="8"/>
  <c r="L32" i="8"/>
  <c r="Q15" i="7"/>
  <c r="P117" i="7"/>
  <c r="G26" i="24"/>
  <c r="O97" i="7"/>
  <c r="L39" i="8"/>
  <c r="Q33" i="7"/>
  <c r="K5" i="21"/>
  <c r="P92" i="7"/>
  <c r="P110" i="7"/>
  <c r="M31" i="8"/>
  <c r="N35" i="8"/>
  <c r="M34" i="8"/>
  <c r="L18" i="8"/>
  <c r="O37" i="7"/>
  <c r="P32" i="7"/>
  <c r="L12" i="8"/>
  <c r="O98" i="7"/>
  <c r="P54" i="7"/>
  <c r="P101" i="7"/>
  <c r="L35" i="8"/>
  <c r="Q75" i="7"/>
  <c r="O33" i="7"/>
  <c r="O44" i="7"/>
  <c r="O117" i="7"/>
  <c r="O6" i="7"/>
  <c r="Q83" i="7"/>
  <c r="L22" i="8"/>
  <c r="M23" i="8"/>
  <c r="P27" i="7"/>
  <c r="Q125" i="7"/>
  <c r="P113" i="7"/>
  <c r="P23" i="7"/>
  <c r="L30" i="24"/>
  <c r="O93" i="7"/>
  <c r="M2" i="8"/>
  <c r="Q80" i="7"/>
  <c r="N33" i="8"/>
  <c r="Q82" i="7"/>
  <c r="N18" i="8"/>
  <c r="L6" i="8"/>
  <c r="M4" i="8"/>
  <c r="O21" i="7"/>
  <c r="G20" i="24"/>
  <c r="P41" i="7"/>
  <c r="Q21" i="7"/>
  <c r="O94" i="7"/>
  <c r="Q103" i="7"/>
  <c r="L36" i="8"/>
  <c r="Q121" i="7"/>
  <c r="Q112" i="7"/>
  <c r="P38" i="7"/>
  <c r="M7" i="8"/>
  <c r="O24" i="7"/>
  <c r="P22" i="7"/>
  <c r="Q100" i="7"/>
  <c r="Q59" i="7"/>
  <c r="Q27" i="7"/>
  <c r="O114" i="7"/>
  <c r="M64" i="8"/>
  <c r="Q118" i="7"/>
  <c r="P25" i="7"/>
  <c r="N9" i="8"/>
  <c r="P93" i="7"/>
  <c r="O32" i="7"/>
  <c r="O60" i="7"/>
  <c r="P12" i="7"/>
  <c r="Q58" i="7"/>
  <c r="N60" i="8"/>
  <c r="L62" i="8"/>
  <c r="P56" i="7"/>
  <c r="P119" i="7"/>
  <c r="O100" i="7"/>
  <c r="O23" i="7"/>
  <c r="Q43" i="7"/>
  <c r="Q26" i="7"/>
  <c r="N64" i="8"/>
  <c r="L4" i="8"/>
  <c r="O34" i="7"/>
  <c r="O28" i="7"/>
  <c r="M11" i="8"/>
  <c r="M65" i="8"/>
  <c r="L42" i="24"/>
  <c r="N53" i="8"/>
  <c r="Q60" i="7"/>
  <c r="Q93" i="7"/>
  <c r="N13" i="8"/>
  <c r="O118" i="7"/>
  <c r="L58" i="8"/>
  <c r="O13" i="7"/>
  <c r="O43" i="7"/>
  <c r="K11" i="21"/>
  <c r="O14" i="7"/>
  <c r="G39" i="24"/>
  <c r="O25" i="7"/>
  <c r="P34" i="7"/>
  <c r="O36"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tc={FC90B090-EC07-4CF0-B57A-24B816C8E269}</author>
    <author>tc={075E0309-8EF5-4731-AB74-41411E933874}</author>
    <author>Kakeda, Masahide</author>
    <author>tc={AAD9B433-651F-4766-B13B-C310CF9DAF9A}</author>
    <author>tc={B51941D4-79EC-472C-A636-C26ED3F4EA38}</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H63"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5"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5" authorId="0" shapeId="0" xr:uid="{932680D4-BCE7-4FC4-A166-6D3F901B67BC}">
      <text>
        <r>
          <rPr>
            <b/>
            <sz val="9"/>
            <color indexed="81"/>
            <rFont val="Tahoma"/>
            <family val="2"/>
          </rPr>
          <t>Shui, Yaxin:</t>
        </r>
        <r>
          <rPr>
            <sz val="9"/>
            <color indexed="81"/>
            <rFont val="Tahoma"/>
            <family val="2"/>
          </rPr>
          <t xml:space="preserve">
No Clink </t>
        </r>
      </text>
    </comment>
    <comment ref="J75" authorId="0" shapeId="0" xr:uid="{2A350FB0-9CBC-4A29-8F8B-2455A60055BC}">
      <text>
        <r>
          <rPr>
            <b/>
            <sz val="9"/>
            <color indexed="81"/>
            <rFont val="Tahoma"/>
            <family val="2"/>
          </rPr>
          <t>Shui, Yaxin:</t>
        </r>
        <r>
          <rPr>
            <sz val="9"/>
            <color indexed="81"/>
            <rFont val="Tahoma"/>
            <family val="2"/>
          </rPr>
          <t xml:space="preserve">
No Clink </t>
        </r>
      </text>
    </comment>
    <comment ref="K75" authorId="0" shapeId="0" xr:uid="{32F47547-E1EE-4BF5-B204-B998BF7DA593}">
      <text>
        <r>
          <rPr>
            <b/>
            <sz val="9"/>
            <color indexed="81"/>
            <rFont val="Tahoma"/>
            <family val="2"/>
          </rPr>
          <t>Shui, Yaxin:</t>
        </r>
        <r>
          <rPr>
            <sz val="9"/>
            <color indexed="81"/>
            <rFont val="Tahoma"/>
            <family val="2"/>
          </rPr>
          <t xml:space="preserve">
No Clink </t>
        </r>
      </text>
    </comment>
    <comment ref="L75" authorId="0" shapeId="0" xr:uid="{CA075824-6F47-4D6A-AA2D-8AAAEB02CE3F}">
      <text>
        <r>
          <rPr>
            <b/>
            <sz val="9"/>
            <color indexed="81"/>
            <rFont val="Tahoma"/>
            <family val="2"/>
          </rPr>
          <t>Shui, Yaxin:</t>
        </r>
        <r>
          <rPr>
            <sz val="9"/>
            <color indexed="81"/>
            <rFont val="Tahoma"/>
            <family val="2"/>
          </rPr>
          <t xml:space="preserve">
No Clink </t>
        </r>
      </text>
    </comment>
    <comment ref="H7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79" authorId="1"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3" authorId="2"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4" authorId="3"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4" authorId="4"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5" authorId="3"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7" authorId="5" shapeId="0" xr:uid="{B51941D4-79EC-472C-A636-C26ED3F4EA38}">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89"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tc={5F61125A-8E8B-48BE-9ACF-757E3B6C8EAF}</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0484D8E1-36D9-4B0D-95E1-4203322AFB8F}">
      <text>
        <r>
          <rPr>
            <b/>
            <sz val="9"/>
            <color indexed="81"/>
            <rFont val="Tahoma"/>
            <family val="2"/>
          </rPr>
          <t>Kakeda, Masahide:</t>
        </r>
        <r>
          <rPr>
            <sz val="9"/>
            <color indexed="81"/>
            <rFont val="Tahoma"/>
            <family val="2"/>
          </rPr>
          <t xml:space="preserve">
used in EBG</t>
        </r>
      </text>
    </comment>
    <comment ref="E107" authorId="1" shapeId="0" xr:uid="{E9952A2D-01F5-401C-9E56-150F00DE0CFD}">
      <text>
        <r>
          <rPr>
            <b/>
            <sz val="9"/>
            <color indexed="81"/>
            <rFont val="Tahoma"/>
            <family val="2"/>
          </rPr>
          <t>Kakeda, Masahide:</t>
        </r>
        <r>
          <rPr>
            <sz val="9"/>
            <color indexed="81"/>
            <rFont val="Tahoma"/>
            <family val="2"/>
          </rPr>
          <t xml:space="preserve">
(1 &lt;&lt; x ) - 1
</t>
        </r>
      </text>
    </comment>
    <comment ref="G107" authorId="1"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267BF3B8-7A69-4CF2-8DA1-8A0431763A23}">
      <text>
        <r>
          <rPr>
            <b/>
            <sz val="9"/>
            <color indexed="81"/>
            <rFont val="Tahoma"/>
            <family val="2"/>
          </rPr>
          <t>Kakeda, Masahide:</t>
        </r>
        <r>
          <rPr>
            <sz val="9"/>
            <color indexed="81"/>
            <rFont val="Tahoma"/>
            <family val="2"/>
          </rPr>
          <t xml:space="preserve">
For SPS FW</t>
        </r>
      </text>
    </comment>
    <comment ref="D133" authorId="1"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8"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tc={926BDF14-A141-46E9-BD1F-5F1BC62C0080}</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926BDF14-A141-46E9-BD1F-5F1BC62C0080}">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<sst xmlns="http://schemas.openxmlformats.org/spreadsheetml/2006/main" count="11669" uniqueCount="1607">
  <si>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</si>
  <si>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</si>
  <si>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</si>
  <si>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</si>
  <si>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</si>
  <si>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</si>
  <si>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</si>
  <si>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</si>
  <si>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</si>
  <si>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</si>
  <si>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</si>
  <si>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</si>
  <si>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</si>
  <si>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</si>
  <si>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</si>
  <si>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</si>
  <si>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</si>
  <si>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</si>
  <si>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</si>
  <si>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</si>
  <si>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</si>
  <si>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</si>
  <si>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</si>
  <si>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</si>
  <si>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</si>
  <si>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</si>
  <si>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</si>
  <si>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</si>
  <si>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</si>
  <si>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</si>
  <si>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</si>
  <si>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</si>
  <si>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</si>
  <si>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</si>
  <si>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</si>
  <si>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</si>
  <si>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</si>
  <si>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</si>
  <si>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</si>
  <si>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</si>
  <si>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</si>
  <si>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</si>
  <si>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</si>
  <si>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</si>
  <si>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</si>
  <si>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</si>
  <si>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</si>
  <si>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</si>
  <si>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</si>
  <si>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</si>
  <si>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</si>
  <si>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</si>
  <si>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</si>
  <si>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</si>
  <si>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</si>
  <si>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</si>
  <si>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</si>
  <si>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</si>
  <si>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</si>
  <si>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</si>
  <si>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</si>
  <si>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</si>
  <si>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</si>
  <si>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</si>
  <si>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</si>
  <si>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</si>
  <si>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</si>
  <si>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</si>
  <si>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</si>
  <si>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</si>
  <si>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</si>
  <si>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</si>
  <si>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</si>
  <si>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</si>
  <si>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</si>
  <si>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</si>
  <si>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</si>
  <si>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</si>
  <si>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</si>
  <si>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</si>
  <si>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</si>
  <si>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</si>
  <si>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</si>
  <si>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</si>
  <si>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</si>
  <si>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</si>
  <si>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</si>
  <si>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</si>
  <si>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</si>
  <si>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</si>
  <si>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</si>
  <si>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</si>
  <si>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</si>
  <si>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</si>
  <si>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</si>
  <si>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</si>
  <si>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</si>
  <si>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</si>
  <si>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</si>
  <si>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</si>
  <si>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</si>
  <si>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</si>
  <si>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</si>
  <si>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</si>
  <si>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</si>
  <si>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</si>
  <si>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</si>
  <si>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</si>
  <si>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</si>
  <si>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</si>
  <si>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</si>
  <si>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</si>
  <si>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</si>
  <si>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</si>
  <si>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</si>
  <si>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</si>
  <si>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</si>
  <si>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</si>
  <si>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</si>
  <si>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</si>
  <si>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</si>
  <si>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</si>
  <si>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</si>
  <si>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</si>
  <si>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</si>
  <si>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</si>
  <si>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</si>
  <si>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</si>
  <si>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</si>
  <si>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</si>
  <si>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</si>
  <si>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</si>
  <si>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</si>
  <si>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</si>
  <si>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</si>
  <si>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</si>
  <si>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</si>
  <si>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</si>
  <si>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</si>
  <si>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</si>
  <si>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</si>
  <si>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</si>
  <si>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</si>
  <si>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</si>
  <si>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</si>
  <si>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</si>
  <si>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</si>
  <si>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</si>
  <si>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</si>
  <si>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</si>
  <si>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</si>
  <si>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</si>
  <si>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</si>
  <si>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</si>
  <si>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</si>
  <si>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</si>
  <si>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</si>
  <si>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</si>
  <si>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</si>
  <si>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</si>
  <si>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</si>
  <si>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</si>
  <si>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</si>
  <si>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</si>
  <si>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</si>
  <si>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</si>
  <si>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</si>
  <si>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</si>
  <si>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</si>
  <si>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</si>
  <si>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</si>
  <si>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</si>
  <si>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</si>
  <si>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</si>
  <si>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</si>
  <si>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</si>
  <si>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</si>
  <si>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</si>
  <si>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</si>
  <si>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</si>
  <si>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</si>
  <si>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</si>
  <si>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</si>
  <si>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</si>
  <si>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</si>
  <si>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</si>
  <si>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</si>
  <si>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</si>
  <si>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</si>
  <si>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</si>
  <si>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</si>
  <si>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</si>
  <si>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</si>
  <si>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</si>
  <si>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</si>
  <si>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</si>
  <si>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</si>
  <si>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</si>
  <si>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</si>
  <si>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</si>
  <si>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</si>
  <si>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</si>
  <si>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</si>
  <si>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</si>
  <si>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</si>
  <si>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</si>
  <si>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</si>
  <si>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</si>
  <si>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</si>
  <si>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</si>
  <si>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</si>
  <si>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</si>
  <si>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</si>
  <si>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</si>
  <si>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</si>
  <si>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</si>
  <si>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</si>
  <si>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</si>
  <si>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</si>
  <si>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</si>
  <si>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</si>
  <si>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</si>
  <si>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</si>
  <si>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</si>
  <si>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</si>
  <si>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</si>
  <si>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</si>
  <si>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</si>
  <si>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</si>
  <si>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</si>
  <si>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</si>
  <si>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</si>
  <si>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</si>
  <si>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</si>
  <si>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</si>
  <si>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</si>
  <si>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</si>
  <si>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</si>
  <si>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</si>
  <si>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</si>
  <si>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</si>
  <si>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</si>
  <si>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</si>
  <si>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</si>
  <si>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</si>
  <si>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</si>
  <si>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</si>
  <si>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</si>
  <si>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</si>
  <si>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</si>
  <si>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</si>
  <si>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</si>
  <si>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</si>
  <si>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</si>
  <si>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</si>
  <si>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</si>
  <si>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</si>
  <si>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</si>
  <si>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</si>
  <si>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</si>
  <si>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</si>
  <si>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</si>
  <si>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</si>
  <si>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</si>
  <si>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</si>
  <si>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</si>
  <si>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</si>
  <si>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</si>
  <si>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</si>
  <si>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</si>
  <si>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</si>
  <si>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</si>
  <si>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</si>
  <si>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</si>
  <si>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</si>
  <si>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</si>
  <si>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</si>
  <si>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</si>
  <si>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</si>
  <si>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</si>
  <si>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</si>
  <si>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</si>
  <si>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</si>
  <si>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</si>
  <si>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</si>
  <si>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</si>
  <si>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</si>
  <si>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</si>
  <si>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</si>
  <si>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</si>
  <si>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</si>
  <si>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</si>
  <si>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</si>
  <si>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</si>
  <si>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</si>
  <si>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</si>
  <si>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</si>
  <si>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</si>
  <si>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</si>
  <si>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</si>
  <si>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</si>
  <si>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</si>
  <si>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</si>
  <si>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</si>
  <si>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</si>
  <si>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</si>
  <si>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</si>
  <si>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</si>
  <si>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</si>
  <si>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</si>
  <si>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</si>
  <si>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</si>
  <si>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</si>
  <si>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</si>
  <si>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</si>
  <si>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</si>
  <si>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</si>
  <si>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</si>
  <si>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</si>
  <si>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</si>
  <si>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</si>
  <si>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</si>
  <si>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</si>
  <si>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</si>
  <si>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</si>
  <si>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</si>
  <si>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</si>
  <si>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</si>
  <si>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</si>
  <si>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</si>
  <si>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</si>
  <si>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</si>
  <si>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</si>
  <si>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</si>
  <si>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</si>
  <si>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</si>
  <si>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</si>
  <si>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</si>
  <si>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</si>
  <si>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</si>
  <si>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</si>
  <si>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</si>
  <si>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</si>
  <si>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</si>
  <si>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</si>
  <si>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</si>
  <si>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</si>
  <si>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</si>
  <si>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</si>
  <si>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</si>
  <si>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</si>
  <si>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</si>
  <si>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</si>
  <si>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</si>
  <si>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</si>
  <si>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</si>
  <si>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</si>
  <si>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</si>
  <si>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</si>
  <si>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</si>
  <si>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</si>
  <si>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</si>
  <si>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</si>
  <si>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</si>
  <si>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</si>
  <si>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</si>
  <si>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</si>
  <si>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</si>
  <si>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</si>
  <si>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</si>
  <si>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</si>
  <si>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</si>
  <si>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</si>
  <si>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</si>
  <si>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</si>
  <si>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</si>
  <si>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</si>
  <si>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</si>
  <si>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</si>
  <si>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</si>
  <si>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</si>
  <si>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</si>
  <si>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</si>
  <si>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</si>
  <si>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</si>
  <si>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</si>
  <si>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</si>
  <si>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</si>
  <si>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</si>
  <si>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</si>
  <si>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</si>
  <si>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</si>
  <si>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</si>
  <si>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</si>
  <si>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</si>
  <si>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</si>
  <si>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</si>
  <si>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</si>
  <si>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</si>
  <si>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</si>
  <si>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</si>
  <si>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</si>
  <si>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</si>
  <si>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</si>
  <si>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</si>
  <si>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</si>
  <si>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</si>
  <si>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</si>
  <si>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</si>
  <si>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</si>
  <si>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</si>
  <si>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</si>
  <si>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</si>
  <si>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</si>
  <si>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</si>
  <si>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</si>
  <si>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</si>
  <si>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</si>
  <si>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</si>
  <si>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</si>
  <si>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</si>
  <si>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</si>
  <si>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</si>
  <si>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</si>
  <si>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</si>
  <si>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</si>
  <si>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</si>
  <si>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</si>
  <si>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</si>
  <si>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</si>
  <si>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</si>
  <si>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</si>
  <si>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</si>
  <si>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</si>
  <si>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</si>
  <si>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</si>
  <si>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</si>
  <si>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</si>
  <si>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</si>
  <si>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</si>
  <si>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</si>
  <si>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</si>
  <si>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</si>
  <si>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</si>
  <si>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</si>
  <si>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</si>
  <si>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</si>
  <si>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</si>
  <si>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</si>
  <si>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</si>
  <si>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</si>
  <si>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</si>
  <si>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</si>
  <si>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</si>
  <si>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</si>
  <si>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</si>
  <si>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</si>
  <si>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</si>
  <si>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</si>
  <si>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</si>
  <si>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</si>
  <si>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</si>
  <si>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</si>
  <si>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</si>
  <si>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</si>
  <si>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</si>
  <si>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</si>
  <si>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</si>
  <si>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</si>
  <si>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</si>
  <si>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</si>
  <si>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</si>
  <si>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</si>
  <si>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</si>
  <si>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</si>
  <si>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</si>
  <si>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</si>
  <si>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</si>
  <si>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</si>
  <si>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</si>
  <si>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</si>
  <si>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</si>
  <si>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</si>
  <si>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</si>
  <si>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</si>
  <si>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</si>
  <si>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</si>
  <si>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</si>
  <si>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</si>
  <si>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</si>
  <si>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</si>
  <si>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</si>
  <si>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</si>
  <si>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</si>
  <si>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</si>
  <si>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</si>
  <si>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</si>
  <si>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</si>
  <si>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</si>
  <si>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</si>
  <si>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</si>
  <si>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</si>
  <si>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</si>
  <si>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</si>
  <si>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</si>
  <si>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</si>
  <si>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</si>
  <si>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</si>
  <si>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</si>
  <si>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</si>
  <si>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</si>
  <si>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</si>
  <si>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</si>
  <si>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</si>
  <si>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</si>
  <si>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</si>
  <si>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</si>
  <si>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</si>
  <si>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</si>
  <si>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</si>
  <si>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</si>
  <si>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</si>
  <si>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</si>
  <si>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</si>
  <si>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</si>
  <si>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</si>
  <si>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</si>
  <si>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</si>
  <si>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</si>
  <si>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</si>
  <si>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</si>
  <si>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</si>
  <si>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</si>
  <si>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</si>
  <si>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</si>
  <si>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</si>
  <si>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</si>
  <si>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</si>
  <si>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</si>
  <si>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</si>
  <si>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</si>
  <si>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</si>
  <si>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</si>
  <si>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</si>
  <si>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</si>
  <si>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</si>
  <si>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</si>
  <si>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</si>
  <si>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</si>
  <si>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</si>
  <si>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</si>
  <si>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</si>
  <si>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</si>
  <si>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</si>
  <si>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</si>
  <si>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</si>
  <si>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</si>
  <si>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</si>
  <si>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</si>
  <si>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</si>
  <si>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</si>
  <si>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</si>
  <si>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</si>
  <si>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</si>
  <si>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</si>
  <si>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</si>
  <si>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</si>
  <si>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</si>
  <si>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</si>
  <si>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</si>
  <si>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</si>
  <si>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</si>
  <si>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</si>
  <si>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</si>
  <si>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</si>
  <si>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</si>
  <si>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</si>
  <si>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</si>
  <si>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</si>
  <si>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</si>
  <si>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</si>
  <si>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</si>
  <si>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</si>
  <si>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</si>
  <si>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</si>
  <si>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</si>
  <si>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</si>
  <si>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</si>
  <si>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</si>
  <si>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</si>
  <si>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</si>
  <si>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</si>
  <si>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</si>
  <si>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</si>
  <si>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</si>
  <si>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</si>
  <si>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</si>
  <si>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</si>
  <si>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</si>
  <si>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</si>
  <si>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</si>
  <si>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</si>
  <si>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</si>
  <si>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</si>
  <si>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</si>
  <si>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</si>
  <si>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</si>
  <si>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</si>
  <si>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</si>
  <si>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</si>
  <si>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</si>
  <si>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</si>
  <si>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</si>
  <si>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</si>
  <si>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</si>
  <si>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</si>
  <si>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</si>
  <si>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</si>
  <si>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</si>
  <si>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</si>
  <si>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</si>
  <si>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</si>
  <si>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</si>
  <si>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</si>
  <si>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</si>
  <si>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</si>
  <si>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</si>
  <si>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</si>
  <si>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</si>
  <si>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</si>
  <si>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</si>
  <si>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</si>
  <si>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</si>
  <si>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</si>
  <si>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</si>
  <si>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</si>
  <si>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</si>
  <si>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</si>
  <si>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</si>
  <si>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</si>
  <si>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</si>
  <si>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</si>
  <si>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</si>
  <si>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</si>
  <si>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</si>
  <si>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</si>
  <si>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</si>
  <si>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</si>
  <si>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</si>
  <si>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</si>
  <si>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</si>
  <si>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</si>
  <si>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</si>
  <si>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</si>
  <si>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</si>
  <si>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</si>
  <si>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</si>
  <si>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</si>
  <si>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</si>
  <si>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</si>
  <si>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</si>
  <si>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</si>
  <si>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</si>
  <si>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</si>
  <si>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</si>
  <si>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</si>
  <si>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</si>
  <si>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</si>
  <si>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</si>
  <si>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</si>
  <si>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</si>
  <si>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</si>
  <si>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</si>
  <si>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</si>
  <si>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</si>
  <si>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</si>
  <si>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</si>
  <si>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</si>
  <si>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</si>
  <si>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</si>
  <si>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</si>
  <si>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</si>
  <si>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</si>
  <si>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</si>
  <si>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</si>
  <si>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</si>
  <si>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</si>
  <si>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</si>
  <si>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</si>
  <si>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</si>
  <si>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</si>
  <si>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</si>
  <si>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</si>
  <si>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</si>
  <si>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</si>
  <si>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</si>
  <si>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</si>
  <si>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</si>
  <si>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</si>
  <si>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</si>
  <si>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</si>
  <si>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</si>
  <si>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</si>
  <si>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</si>
  <si>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</si>
  <si>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</si>
  <si>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</si>
  <si>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</si>
  <si>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</si>
  <si>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</si>
  <si>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</si>
  <si>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</si>
  <si>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</si>
  <si>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</si>
  <si>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</si>
  <si>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</si>
  <si>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</si>
  <si>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</si>
  <si>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</si>
  <si>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</si>
  <si>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</si>
  <si>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</si>
  <si>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</si>
  <si>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</si>
  <si>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</si>
  <si>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</si>
  <si>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</si>
  <si>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</si>
  <si>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</si>
  <si>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</si>
  <si>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</si>
  <si>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</si>
  <si>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</si>
  <si>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</si>
  <si>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</si>
  <si>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</si>
  <si>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</si>
  <si>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</si>
  <si>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</si>
  <si>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</si>
  <si>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</si>
  <si>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</si>
  <si>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</si>
  <si>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</si>
  <si>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</si>
  <si>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</si>
  <si>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</si>
  <si>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</si>
  <si>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</si>
  <si>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</si>
  <si>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</si>
  <si>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</si>
  <si>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</si>
  <si>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</si>
  <si>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</si>
  <si>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</si>
  <si>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</si>
  <si>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</si>
  <si>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</si>
  <si>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</si>
  <si>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</si>
  <si>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</si>
  <si>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</si>
  <si>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</si>
  <si>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</si>
  <si>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</si>
  <si>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</si>
  <si>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</si>
  <si>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</si>
  <si>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</si>
  <si>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</si>
  <si>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</si>
  <si>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</si>
  <si>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</si>
  <si>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</si>
  <si>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</si>
  <si>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</si>
  <si>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</si>
  <si>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</si>
  <si>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</si>
  <si>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</si>
  <si>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</si>
  <si>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</si>
  <si>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</si>
  <si>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</si>
  <si>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</si>
  <si>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</si>
  <si>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</si>
  <si>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</si>
  <si>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</si>
  <si>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</si>
  <si>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</si>
  <si>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</si>
  <si>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</si>
  <si>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</si>
  <si>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</si>
  <si>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</si>
  <si>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</si>
  <si>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</si>
  <si>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</si>
  <si>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</si>
  <si>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</si>
  <si>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</si>
  <si>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</si>
  <si>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</si>
  <si>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</si>
  <si>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</si>
  <si>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</si>
  <si>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</si>
  <si>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</si>
  <si>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</si>
  <si>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</si>
  <si>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</si>
  <si>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</si>
  <si>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</si>
  <si>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</si>
  <si>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</si>
  <si>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</si>
  <si>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</si>
  <si>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</si>
  <si>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</si>
  <si>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</si>
  <si>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</si>
  <si>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</si>
  <si>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</si>
  <si>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</si>
  <si>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</si>
  <si>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</si>
  <si>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</si>
  <si>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</si>
  <si>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</si>
  <si>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</si>
  <si>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</si>
  <si>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</si>
  <si>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</si>
  <si>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</si>
  <si>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</si>
  <si>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</si>
  <si>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</si>
  <si>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</si>
  <si>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</si>
  <si>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</si>
  <si>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</si>
  <si>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</si>
  <si>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</si>
  <si>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</si>
  <si>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</si>
  <si>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</si>
  <si>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</si>
  <si>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</si>
  <si>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</si>
  <si>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</si>
  <si>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</si>
  <si>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</si>
  <si>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</si>
  <si>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</si>
  <si>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</si>
  <si>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</si>
  <si>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</si>
  <si>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</si>
  <si>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</si>
  <si>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</si>
  <si>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</si>
  <si>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</si>
  <si>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</si>
  <si>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</si>
  <si>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</si>
  <si>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</si>
  <si>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</si>
  <si>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</si>
  <si>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</si>
  <si>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</si>
  <si>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</si>
  <si>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</si>
  <si>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</si>
  <si>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</si>
  <si>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</si>
  <si>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</si>
  <si>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</si>
  <si>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</si>
  <si>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</si>
  <si>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</si>
  <si>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</si>
  <si>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</si>
  <si>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</si>
  <si>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</si>
  <si>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</si>
  <si>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</si>
  <si>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</si>
  <si>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</si>
  <si>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</si>
  <si>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</si>
  <si>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</si>
  <si>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</si>
  <si>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</si>
  <si>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</si>
  <si>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</si>
  <si>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</si>
  <si>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</si>
  <si>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</si>
  <si>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</si>
  <si>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</si>
  <si>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</si>
  <si>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</si>
  <si>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</si>
  <si>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</si>
  <si>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</si>
  <si>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</si>
  <si>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</si>
  <si>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</si>
  <si>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</si>
  <si>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</si>
  <si>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</si>
  <si>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</si>
  <si>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</si>
  <si>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</si>
  <si>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</si>
  <si>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</si>
  <si>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</si>
  <si>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</si>
  <si>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</si>
  <si>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</si>
  <si>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</si>
  <si>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</si>
  <si>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</si>
  <si>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</si>
  <si>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</si>
  <si>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</si>
  <si>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</si>
  <si>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</si>
  <si>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</si>
  <si>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</si>
  <si>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</si>
  <si>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</si>
  <si>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</si>
  <si>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</si>
  <si>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</si>
  <si>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</si>
  <si>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</si>
  <si>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</si>
  <si>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</si>
  <si>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</si>
  <si>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</si>
  <si>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</si>
  <si>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</si>
  <si>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</si>
  <si>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</si>
  <si>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</si>
  <si>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</si>
  <si>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</si>
  <si>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</si>
  <si>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</si>
  <si>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</si>
  <si>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</si>
  <si>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</si>
  <si>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</si>
  <si>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</si>
  <si>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</si>
  <si>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</si>
  <si>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</si>
  <si>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</si>
  <si>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</si>
  <si>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</si>
  <si>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</si>
  <si>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</si>
  <si>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</si>
  <si>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</si>
  <si>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</si>
  <si>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</si>
  <si>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</si>
  <si>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</si>
  <si>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</si>
  <si>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</si>
  <si>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</si>
  <si>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</si>
  <si>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</si>
  <si>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</si>
  <si>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</si>
  <si>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</si>
  <si>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</si>
  <si>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</si>
  <si>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</si>
  <si>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</si>
  <si>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</si>
  <si>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</si>
  <si>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</si>
  <si>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</si>
  <si>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</si>
  <si>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</si>
  <si>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</si>
  <si>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</si>
  <si>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</si>
  <si>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</si>
  <si>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</si>
  <si>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</si>
  <si>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</si>
  <si>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</si>
  <si>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</si>
  <si>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</si>
  <si>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</si>
  <si>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</si>
  <si>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</si>
  <si>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</si>
  <si>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</si>
  <si>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</si>
  <si>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</si>
  <si>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</si>
  <si>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</si>
  <si>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</si>
  <si>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</si>
  <si>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</si>
  <si>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</si>
  <si>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</si>
  <si>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</si>
  <si>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</si>
  <si>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</si>
  <si>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</si>
  <si>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</si>
  <si>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</si>
  <si>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</si>
  <si>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</si>
  <si>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</si>
  <si>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</si>
  <si>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</si>
  <si>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</si>
  <si>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</si>
  <si>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</si>
  <si>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</si>
  <si>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</si>
  <si>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</si>
  <si>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</si>
  <si>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</si>
  <si>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</si>
  <si>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</si>
  <si>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</si>
  <si>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</si>
  <si>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</si>
  <si>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</si>
  <si>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</si>
  <si>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</si>
  <si>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</si>
  <si>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</si>
  <si>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</si>
  <si>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</si>
  <si>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</si>
  <si>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</si>
  <si>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</si>
  <si>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</si>
  <si>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</si>
  <si>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</si>
  <si>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</si>
  <si>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</si>
  <si>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</si>
  <si>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</si>
  <si>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</si>
  <si>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</si>
  <si>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</si>
  <si>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</si>
  <si>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</si>
  <si>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</si>
  <si>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</si>
  <si>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</si>
  <si>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</si>
  <si>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</si>
  <si>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</si>
  <si>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</si>
  <si>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</si>
  <si>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</si>
  <si>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</si>
  <si>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</si>
  <si>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</si>
  <si>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</si>
  <si>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</si>
  <si>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</si>
  <si>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</si>
  <si>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</si>
  <si>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</si>
  <si>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</si>
  <si>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</si>
  <si>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</si>
  <si>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</si>
  <si>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</si>
  <si>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</si>
  <si>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</si>
  <si>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</si>
  <si>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</si>
  <si>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</si>
  <si>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</si>
  <si>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</si>
  <si>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</si>
  <si>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</si>
  <si>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</si>
  <si>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</si>
  <si>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</si>
  <si>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</si>
  <si>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</si>
  <si>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</si>
  <si>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</si>
  <si>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</si>
  <si>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</si>
  <si>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</si>
  <si>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</si>
  <si>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</si>
  <si>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</si>
  <si>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</si>
  <si>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</si>
  <si>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</si>
  <si>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</si>
  <si>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</si>
  <si>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</si>
  <si>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</si>
  <si>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</si>
  <si>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</si>
  <si>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</si>
  <si>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</si>
  <si>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</si>
  <si>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</si>
  <si>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</si>
  <si>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</si>
  <si>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</si>
  <si>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</si>
  <si>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</si>
  <si>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</si>
  <si>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</si>
  <si>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</si>
  <si>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</si>
  <si>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</si>
  <si>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</si>
  <si>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</si>
  <si>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</si>
  <si>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</si>
  <si>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</si>
  <si>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</si>
  <si>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</si>
  <si>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</si>
  <si>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</si>
  <si>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</si>
  <si>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</si>
  <si>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</si>
  <si>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</si>
  <si>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</si>
  <si>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</si>
  <si>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</si>
  <si>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</si>
  <si>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</si>
  <si>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</si>
  <si>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</si>
  <si>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</si>
  <si>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</si>
  <si>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</si>
  <si>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</si>
  <si>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</si>
  <si>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</si>
  <si>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</si>
  <si>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</si>
  <si>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</si>
  <si>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</si>
  <si>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</si>
  <si>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</si>
  <si>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</si>
  <si>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</si>
  <si>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</si>
  <si>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</si>
  <si>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</si>
  <si>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</si>
  <si>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</si>
  <si>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</si>
  <si>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</si>
  <si>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</si>
  <si>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</si>
  <si>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</si>
  <si>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</si>
  <si>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</si>
  <si>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</si>
  <si>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</si>
  <si>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</si>
  <si>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</si>
  <si>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</si>
  <si>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</si>
  <si>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</si>
  <si>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</si>
  <si>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</si>
  <si>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</si>
  <si>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</si>
  <si>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</si>
  <si>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</si>
  <si>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</si>
  <si>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</si>
  <si>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</si>
  <si>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</si>
  <si>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</si>
  <si>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</si>
  <si>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</si>
  <si>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</si>
  <si>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</si>
  <si>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</si>
  <si>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</si>
  <si>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</si>
  <si>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</si>
  <si>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</si>
  <si>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</si>
  <si>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</si>
  <si>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</si>
  <si>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</si>
  <si>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</si>
  <si>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</si>
  <si>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</si>
  <si>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</si>
  <si>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</si>
  <si>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</si>
  <si>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</si>
  <si>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</si>
  <si>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</si>
  <si>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</si>
  <si>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</si>
  <si>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</si>
  <si>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</si>
  <si>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</si>
  <si>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</si>
  <si>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</si>
  <si>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</si>
  <si>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</si>
  <si>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</si>
  <si>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</si>
  <si>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</si>
  <si>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</si>
  <si>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</si>
  <si>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</si>
  <si>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</si>
  <si>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</si>
  <si>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</si>
  <si>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</si>
  <si>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</si>
  <si>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</si>
  <si>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</si>
  <si>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</si>
  <si>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</si>
  <si>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</si>
  <si>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</si>
  <si>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</si>
  <si>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</si>
  <si>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</si>
  <si>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</si>
  <si>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</si>
  <si>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</si>
  <si>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</si>
  <si>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</si>
  <si>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</si>
  <si>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</si>
  <si>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</si>
  <si>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</si>
  <si>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</si>
  <si>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</si>
  <si>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</si>
  <si>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</si>
  <si>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</si>
  <si>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</si>
  <si>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</si>
  <si>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</si>
  <si>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</si>
  <si>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</si>
  <si>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</si>
  <si>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</si>
  <si>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</si>
  <si>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</si>
  <si>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</si>
  <si>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</si>
  <si>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</si>
  <si>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</si>
  <si>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</si>
  <si>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</si>
  <si>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</si>
  <si>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</si>
  <si>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</si>
  <si>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</si>
  <si>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</si>
  <si>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</si>
  <si>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</si>
  <si>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</si>
  <si>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</si>
  <si>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</si>
  <si>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</si>
  <si>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</si>
  <si>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</si>
  <si>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</si>
  <si>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</si>
  <si>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</si>
  <si>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</si>
  <si>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</si>
  <si>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</si>
  <si>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</si>
  <si>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</si>
  <si>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</si>
  <si>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</si>
  <si>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</si>
  <si>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</si>
  <si>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</si>
  <si>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</si>
  <si>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</si>
  <si>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</si>
  <si>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</si>
  <si>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</si>
  <si>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</si>
  <si>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</si>
  <si>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</si>
  <si>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</si>
  <si>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</si>
  <si>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</si>
  <si>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</si>
  <si>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</si>
  <si>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</si>
  <si>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</si>
  <si>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</si>
  <si>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</si>
  <si>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</si>
  <si>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</si>
  <si>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</si>
  <si>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</si>
  <si>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</si>
  <si>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</si>
  <si>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</si>
  <si>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</si>
  <si>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</si>
  <si>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</si>
  <si>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</si>
  <si>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</si>
  <si>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</si>
  <si>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</si>
  <si>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</si>
  <si>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</si>
  <si>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</si>
  <si>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</si>
  <si>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</si>
  <si>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</si>
  <si>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</si>
  <si>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</si>
  <si>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</si>
  <si>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</si>
  <si>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</si>
  <si>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</si>
  <si>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</si>
  <si>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</si>
  <si>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</si>
  <si>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</si>
  <si>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</si>
  <si>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</si>
  <si>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</si>
  <si>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</si>
  <si>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</si>
  <si>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</si>
  <si>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</si>
  <si>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</si>
  <si>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</si>
  <si>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</si>
  <si>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</si>
  <si>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</si>
  <si>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</si>
  <si>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</si>
  <si>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</si>
  <si>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</si>
  <si>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</si>
  <si>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</si>
  <si>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</si>
  <si>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</si>
  <si>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</si>
  <si>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</si>
  <si>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</si>
  <si>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</si>
  <si>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</si>
  <si>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</si>
  <si>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</si>
  <si>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</si>
  <si>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</si>
  <si>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</si>
  <si>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</si>
  <si>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</si>
  <si>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</si>
  <si>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</si>
  <si>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</si>
  <si>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</si>
  <si>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</si>
  <si>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</si>
  <si>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</si>
  <si>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</si>
  <si>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</si>
  <si>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</si>
  <si>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</si>
  <si>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</si>
  <si>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</si>
  <si>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</si>
  <si>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</si>
  <si>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</si>
  <si>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</si>
  <si>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</si>
  <si>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</si>
  <si>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</si>
  <si>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</si>
  <si>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</si>
  <si>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</si>
  <si>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</si>
  <si>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</si>
  <si>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</si>
  <si>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</si>
  <si>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</si>
  <si>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</si>
  <si>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</si>
  <si>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</si>
  <si>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</si>
  <si>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</si>
  <si>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</si>
  <si>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</si>
  <si>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</si>
  <si>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</si>
  <si>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</si>
  <si>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</si>
  <si>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</si>
  <si>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</si>
  <si>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</si>
  <si>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</si>
  <si>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</si>
  <si>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</si>
  <si>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</si>
  <si>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</si>
  <si>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</si>
  <si>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</si>
  <si>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</si>
  <si>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</si>
  <si>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</si>
  <si>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</si>
  <si>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</si>
  <si>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</si>
  <si>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</si>
  <si>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</si>
  <si>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</si>
  <si>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</si>
  <si>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</si>
  <si>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</si>
  <si>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</si>
  <si>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</si>
  <si>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</si>
  <si>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</si>
  <si>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</si>
  <si>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</si>
  <si>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</si>
  <si>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</si>
  <si>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</si>
  <si>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</si>
  <si>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</si>
  <si>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</si>
  <si>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</si>
  <si>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</si>
  <si>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</si>
  <si>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</si>
  <si>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</si>
  <si>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</si>
  <si>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</si>
  <si>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</si>
  <si>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</si>
  <si>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</si>
  <si>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</si>
  <si>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</si>
  <si>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</si>
  <si>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</si>
  <si>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</si>
  <si>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</si>
  <si>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</si>
  <si>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</si>
  <si>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</si>
  <si>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</si>
  <si>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</si>
  <si>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</si>
  <si>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</si>
  <si>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</si>
  <si>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</si>
  <si>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</si>
  <si>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</si>
  <si>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</si>
  <si>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</si>
  <si>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</si>
  <si>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</si>
  <si>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</si>
  <si>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</si>
  <si>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</si>
  <si>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</si>
  <si>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</si>
  <si>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</si>
  <si>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</si>
  <si>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</si>
  <si>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</si>
  <si>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</si>
  <si>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</si>
  <si>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</si>
  <si>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</si>
  <si>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</si>
  <si>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</si>
  <si>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</si>
  <si>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</si>
  <si>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</si>
  <si>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</si>
  <si>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</si>
  <si>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</si>
  <si>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</si>
  <si>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</si>
  <si>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</si>
  <si>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</si>
  <si>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</si>
  <si>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</si>
  <si>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</si>
  <si>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</si>
  <si>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</si>
  <si>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</si>
  <si>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</si>
  <si>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</si>
  <si>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</si>
  <si>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</si>
  <si>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</si>
  <si>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</si>
  <si>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</si>
  <si>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</si>
  <si>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</si>
  <si>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IntelIPF</t>
  </si>
  <si>
    <t>OEMIPF</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</si>
  <si>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</si>
  <si>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</si>
  <si>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</si>
  <si>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</si>
  <si>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</si>
  <si>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</si>
  <si>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</si>
  <si>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</si>
  <si>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</si>
  <si>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</si>
  <si>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</si>
  <si>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</si>
  <si>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</si>
  <si>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</si>
  <si>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</si>
  <si>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</si>
  <si>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</si>
  <si>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</si>
  <si>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</si>
  <si>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</si>
  <si>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</si>
  <si>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</si>
  <si>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</si>
  <si>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</si>
  <si>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</si>
  <si>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</si>
  <si>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</si>
  <si>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</si>
  <si>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</si>
  <si>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</si>
  <si>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</si>
  <si>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</si>
  <si>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</si>
  <si>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</si>
  <si>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</si>
  <si>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</si>
  <si>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</si>
  <si>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</si>
  <si>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</si>
  <si>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</si>
  <si>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</si>
  <si>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</si>
  <si>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</si>
  <si>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</si>
  <si>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</si>
  <si>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</si>
  <si>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JtagWr = FW_CONFIG_FUSE_OWR_EN, SBWr =FW_CONFIG_FUSE_OWR_EN</t>
  </si>
  <si>
    <t>Attributes (eg: BOD=True, others=False or others = based on parameter)</t>
  </si>
  <si>
    <t>OCS_INCLUDE_TRNG</t>
  </si>
  <si>
    <t>OCS_FOUNDRY_PUF_ENABLE</t>
  </si>
  <si>
    <t>TRNG_ZEROIZE_EN</t>
  </si>
  <si>
    <t xml:space="preserve">SpareFuse </t>
  </si>
  <si>
    <t xml:space="preserve">N/A </t>
  </si>
  <si>
    <t xml:space="preserve">Reserved
</t>
  </si>
  <si>
    <t xml:space="preserve">JtagWr , SBWr </t>
  </si>
  <si>
    <t>Attributes (eg: BOD=True, others=False )</t>
  </si>
  <si>
    <t xml:space="preserve"> TRNG_ZEROIZE_EN</t>
  </si>
  <si>
    <t>TRNG_Zeorize Enable</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</si>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</sst>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z val="9"/>
      <color indexed="81"/>
      <name val="Tahoma"/>
      <charset val="1"/>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s>
  <borders count="7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s>
  <cellStyleXfs count="1">
    <xf numFmtId="0" fontId="0" fillId="0" borderId="0"/>
  </cellStyleXfs>
  <cellXfs count="50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cellXfs>
  <cellStyles count="1">
    <cellStyle name="Normal" xfId="0" builtinId="0"/>
  </cellStyles>
  <dxfs count="711">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X231" totalsRowShown="0" headerRowDxfId="710" dataDxfId="708" headerRowBorderDxfId="709">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9EDAF894-8331-4743-94F4-7A2C61AEC0A1}" name="Fuse Registers" dataDxfId="707"/>
    <tableColumn id="2" xr3:uid="{56080C49-2132-4BBC-BD70-66605F446E4C}" name="Fuse name" dataDxfId="706"/>
    <tableColumn id="3" xr3:uid="{82A3AB6F-2E1A-4461-9A3C-6FFC945FECF1}" name="Parameter" dataDxfId="705"/>
    <tableColumn id="4" xr3:uid="{BB2BCB78-F408-4B6B-921B-9C4173134BF7}" name="Attributes (eg: BOD=True, others=False or others = based on parameter)" dataDxfId="704"/>
    <tableColumn id="21" xr3:uid="{D7EDDA1C-9A33-4016-9C63-467315747559}" name="Default" dataDxfId="703"/>
    <tableColumn id="20" xr3:uid="{38861B6B-B95F-422E-A032-993645580F06}" name="Category" dataDxfId="702"/>
    <tableColumn id="5" xr3:uid="{3F162C8D-1B65-4512-AE9E-472563802795}" name="Group" dataDxfId="701"/>
    <tableColumn id="6" xr3:uid="{DA79B23D-5FE0-43F6-829B-8D575A2A0C4E}" name="Bit Width" dataDxfId="700"/>
    <tableColumn id="7" xr3:uid="{511BA9F9-3C6B-4C63-866D-52DFBC8525D9}" name="Receiver Addr" dataDxfId="699"/>
    <tableColumn id="18" xr3:uid="{87197C3F-A42F-4DDA-864A-968D83B48D5E}" name="Descriptions " dataDxfId="698"/>
    <tableColumn id="11" xr3:uid="{2C3BC7C9-07FC-405D-8BC0-ED6E89154F90}" name="ADP-S_x000a_(Kaizen Sheet)" dataDxfId="697"/>
    <tableColumn id="8" xr3:uid="{27226D23-4345-4FE7-A41C-5F515779B1C4}" name="MTL-M CSME _x000a_(Kaizen Sheet)" dataDxfId="696"/>
    <tableColumn id="10" xr3:uid="{BF367567-B609-4EB6-BD3D-80CCCDD3DB11}" name="MTL-M ESE _x000a_(Kaizen Sheet)" dataDxfId="695"/>
    <tableColumn id="14" xr3:uid="{EDC8F3D1-15DA-47B8-B419-42C2ECC31D0B}" name="MTP-PCH-S CSME" dataDxfId="694"/>
    <tableColumn id="15" xr3:uid="{51424B1A-17A0-415B-A62E-161C9907ADD7}" name="MTP-PCH-S ESE" dataDxfId="693"/>
    <tableColumn id="17" xr3:uid="{D0DEA104-7BF8-4527-AC3F-3B36CA6A520B}" name="MTL-SOC-S CSE" dataDxfId="692"/>
    <tableColumn id="16" xr3:uid="{3C0A934E-AC5E-4047-B641-7E684018856A}" name="MTL-SOC-S ESE" dataDxfId="691"/>
    <tableColumn id="22" xr3:uid="{06D8154B-4A39-45E2-9FE6-D860FF964ED3}" name="MTL-SOC-S ESE++" dataDxfId="690"/>
    <tableColumn id="9" xr3:uid="{025D42BA-8D40-4BF5-A107-32DA8E79D40E}" name="Note" dataDxfId="689"/>
    <tableColumn id="12" xr3:uid="{B4A9B220-D9C2-414A-A890-9AF9449678C0}" name="MB Comment (8/31)" dataDxfId="688"/>
    <tableColumn id="13" xr3:uid="{5BD9F532-FB37-48F7-8624-F84F895D40F2}" name="ELI Comment (8/31)" dataDxfId="687"/>
    <tableColumn id="19" xr3:uid="{8A21F9C7-D960-4B70-90D2-F1220CE4D69C}" name="yanai (9/1)" dataDxfId="686"/>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685" dataDxfId="683" headerRowBorderDxfId="684">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682"/>
    <tableColumn id="2" xr3:uid="{D21251A0-37C9-45E6-B726-781EC4215022}" name="Fuse name" dataDxfId="681"/>
    <tableColumn id="3" xr3:uid="{3AFE4E5B-76A5-479F-A7A9-F3778F869E06}" name="Parameter" dataDxfId="680"/>
    <tableColumn id="4" xr3:uid="{A4E58B23-35D5-456C-A2A2-847F2791944F}" name="Attributes (eg: BOD=True, others=False )" dataDxfId="679"/>
    <tableColumn id="21" xr3:uid="{74A7BBD5-7BD8-45A4-84B5-1D9D9620F2A3}" name="Default" dataDxfId="678"/>
    <tableColumn id="20" xr3:uid="{F98987BC-4BC6-4168-8FA9-BBC1EE595974}" name="Category" dataDxfId="677"/>
    <tableColumn id="5" xr3:uid="{F05F1131-BEDF-4E26-B06C-B4122ED17ACF}" name="Group" dataDxfId="676"/>
    <tableColumn id="6" xr3:uid="{BA72FD20-41B5-4FB6-A6F5-A443B88D01FD}" name="Bit Width" dataDxfId="675"/>
    <tableColumn id="7" xr3:uid="{2F2A1DB8-C949-47E3-A9CD-756C3A8BCC18}" name="Receiver Addr" dataDxfId="674"/>
    <tableColumn id="18" xr3:uid="{539D630D-BFA4-4BAF-A257-C5D6CE84F52B}" name="Descriptions " dataDxfId="673"/>
    <tableColumn id="11" xr3:uid="{2DCEDA3F-2ECB-4491-B17C-E566F79CB88E}" name="ADP-S_x000a_(Kaizen Sheet)" dataDxfId="672"/>
    <tableColumn id="8" xr3:uid="{A42AEA6B-9531-45CB-B07C-47D6920931C5}" name="MTL-M CSME _x000a_(Kaizen Sheet)" dataDxfId="671"/>
    <tableColumn id="10" xr3:uid="{B6C688F0-B36C-4898-9F87-8AE0551BA7D5}" name="MTL-M ESE _x000a_(Kaizen Sheet)" dataDxfId="670"/>
    <tableColumn id="14" xr3:uid="{E8EA5CD8-D9D6-489D-9D88-675B6C7ADB3C}" name="MTP-PCH-S CSME" dataDxfId="669"/>
    <tableColumn id="15" xr3:uid="{D8BCE37C-9A59-49CD-95E1-41F1F8572D8F}" name="MTP-PCH-S ESE" dataDxfId="668"/>
    <tableColumn id="17" xr3:uid="{F78434EF-A38C-41B8-807D-D702782C86D1}" name="MTL-SOC-S CSE" dataDxfId="667"/>
    <tableColumn id="16" xr3:uid="{2DE7B815-9127-4E3E-AE4F-A7CF8217A8B2}" name="MTL-SOC-S ESE" dataDxfId="666"/>
    <tableColumn id="22" xr3:uid="{D4C31EF1-51C7-4C6A-A4AD-139A52F29BE0}" name="MTL-SOC-S ESE++" dataDxfId="665"/>
    <tableColumn id="9" xr3:uid="{10509C27-1562-4EBF-8A26-26F8C2621A6A}" name="Note" dataDxfId="664"/>
    <tableColumn id="12" xr3:uid="{B2B1AA03-9295-4C91-A65D-0634681820CE}" name="MB Comment (8/31)" dataDxfId="663"/>
    <tableColumn id="13" xr3:uid="{1AF59E81-A695-41D7-8CB4-31104033AD56}" name="ELI Comment (8/31)" dataDxfId="662"/>
    <tableColumn id="19" xr3:uid="{C07F96B9-9FCD-4390-B4C0-C3D63B887D00}" name="yanai (9/1)" dataDxfId="661"/>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3" dT="2020-11-23T23:33:22.14" personId="{A2DE5FF8-E295-4803-B02B-F176E08C7223}" id="{075E0309-8EF5-4731-AB74-41411E933874}">
    <text>what is this parameter for REPAIR_FUSE_SUPPORT_EN</text>
  </threadedComment>
  <threadedComment ref="N84" dT="2020-11-24T22:46:52.85" personId="{A2DE5FF8-E295-4803-B02B-F176E08C7223}" id="{AAD9B433-651F-4766-B13B-C310CF9DAF9A}">
    <text>no internal fuse pull for CSC starting DG2</text>
  </threadedComment>
  <threadedComment ref="A87" dT="2020-11-23T23:47:38.64" personId="{A2DE5FF8-E295-4803-B02B-F176E08C7223}" id="{B51941D4-79EC-472C-A636-C26ED3F4EA38}">
    <text>Adding a parameter to allow FW_CONFIG fuses to be overriden</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D122"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D122" dT="2020-11-23T22:38:52.31" personId="{A2DE5FF8-E295-4803-B02B-F176E08C7223}" id="{926BDF14-A141-46E9-BD1F-5F1BC62C0080}">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 Id="rId4" Type="http://schemas.microsoft.com/office/2017/10/relationships/threadedComment" Target="../threadedComments/threadedComment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37"/>
  <sheetViews>
    <sheetView topLeftCell="A37" workbookViewId="0">
      <selection activeCell="D37" sqref="D37"/>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00">
        <v>44055</v>
      </c>
      <c r="C24" s="247" t="s">
        <v>606</v>
      </c>
      <c r="D24" s="138" t="s">
        <v>1166</v>
      </c>
    </row>
    <row r="25" spans="1:4" ht="28.8" x14ac:dyDescent="0.3">
      <c r="A25" s="134">
        <v>24</v>
      </c>
      <c r="B25" s="400">
        <v>44056</v>
      </c>
      <c r="C25" s="247" t="s">
        <v>606</v>
      </c>
      <c r="D25" s="138" t="s">
        <v>1167</v>
      </c>
    </row>
    <row r="26" spans="1:4" ht="28.8" x14ac:dyDescent="0.3">
      <c r="A26" s="134">
        <v>25</v>
      </c>
      <c r="B26" s="400">
        <v>44056</v>
      </c>
      <c r="C26" s="247" t="s">
        <v>1507</v>
      </c>
      <c r="D26" s="138" t="s">
        <v>1508</v>
      </c>
    </row>
    <row r="27" spans="1:4" ht="100.8" x14ac:dyDescent="0.3">
      <c r="A27" s="134">
        <v>26</v>
      </c>
      <c r="B27" s="400">
        <v>44077</v>
      </c>
      <c r="C27" s="247" t="s">
        <v>1507</v>
      </c>
      <c r="D27" s="138" t="s">
        <v>1509</v>
      </c>
    </row>
    <row r="28" spans="1:4" ht="72" x14ac:dyDescent="0.3">
      <c r="A28" s="134">
        <v>27</v>
      </c>
      <c r="B28" s="401">
        <v>44098</v>
      </c>
      <c r="C28" s="247" t="s">
        <v>1507</v>
      </c>
      <c r="D28" s="138" t="s">
        <v>1510</v>
      </c>
    </row>
    <row r="29" spans="1:4" ht="129.6" x14ac:dyDescent="0.3">
      <c r="A29" s="134">
        <v>28</v>
      </c>
      <c r="B29" s="402">
        <v>44099</v>
      </c>
      <c r="C29" s="247" t="s">
        <v>1507</v>
      </c>
      <c r="D29" s="138" t="s">
        <v>1511</v>
      </c>
    </row>
    <row r="30" spans="1:4" ht="158.4" x14ac:dyDescent="0.3">
      <c r="A30" s="403">
        <v>29</v>
      </c>
      <c r="B30" s="404">
        <v>44125</v>
      </c>
      <c r="C30" s="248" t="s">
        <v>1507</v>
      </c>
      <c r="D30" s="405" t="s">
        <v>1512</v>
      </c>
    </row>
    <row r="31" spans="1:4" ht="115.2" x14ac:dyDescent="0.3">
      <c r="A31" s="95"/>
      <c r="B31" s="95"/>
      <c r="C31" s="95"/>
      <c r="D31" s="406" t="s">
        <v>1513</v>
      </c>
    </row>
    <row r="32" spans="1:4" ht="187.2" x14ac:dyDescent="0.3">
      <c r="A32" s="95"/>
      <c r="B32" s="95"/>
      <c r="C32" s="95"/>
      <c r="D32" s="406" t="s">
        <v>1514</v>
      </c>
    </row>
    <row r="33" spans="1:4" ht="115.2" x14ac:dyDescent="0.3">
      <c r="A33" s="95"/>
      <c r="B33" s="95"/>
      <c r="C33" s="95"/>
      <c r="D33" s="406" t="s">
        <v>1515</v>
      </c>
    </row>
    <row r="34" spans="1:4" x14ac:dyDescent="0.3">
      <c r="A34" s="134">
        <v>30</v>
      </c>
      <c r="B34" s="235">
        <v>44126</v>
      </c>
      <c r="C34" s="247" t="s">
        <v>555</v>
      </c>
      <c r="D34" s="138" t="s">
        <v>1516</v>
      </c>
    </row>
    <row r="35" spans="1:4" ht="216" x14ac:dyDescent="0.3">
      <c r="A35" s="64">
        <v>31</v>
      </c>
      <c r="B35" s="407">
        <v>44153</v>
      </c>
      <c r="C35" s="64" t="s">
        <v>1507</v>
      </c>
      <c r="D35" s="408" t="s">
        <v>1517</v>
      </c>
    </row>
    <row r="36" spans="1:4" ht="230.4" x14ac:dyDescent="0.3">
      <c r="A36" s="16">
        <v>32</v>
      </c>
      <c r="B36" s="411">
        <v>44155</v>
      </c>
      <c r="C36" s="16" t="s">
        <v>1507</v>
      </c>
      <c r="D36" s="138" t="s">
        <v>1531</v>
      </c>
    </row>
    <row r="37" spans="1:4" ht="288" x14ac:dyDescent="0.3">
      <c r="A37" s="413">
        <v>33</v>
      </c>
      <c r="B37" s="414">
        <v>43853</v>
      </c>
      <c r="C37" s="413" t="s">
        <v>606</v>
      </c>
      <c r="D37" s="257" t="s">
        <v>1604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89"/>
  <sheetViews>
    <sheetView topLeftCell="A50" workbookViewId="0">
      <selection activeCell="N85" sqref="N85"/>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7.4414062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22" t="s">
        <v>634</v>
      </c>
      <c r="D4" s="423"/>
      <c r="E4" s="424" t="s">
        <v>392</v>
      </c>
      <c r="F4" s="425"/>
      <c r="G4" s="426"/>
      <c r="H4" s="422" t="s">
        <v>634</v>
      </c>
      <c r="I4" s="427"/>
      <c r="J4" s="424" t="s">
        <v>392</v>
      </c>
      <c r="K4" s="425"/>
      <c r="L4" s="425"/>
      <c r="M4" s="426"/>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1564</v>
      </c>
      <c r="O5" s="62" t="s">
        <v>1565</v>
      </c>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0</v>
      </c>
      <c r="O22" s="16">
        <v>0</v>
      </c>
      <c r="P22" s="16"/>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c r="Q45" s="16"/>
      <c r="R45" s="16"/>
      <c r="S45" s="16"/>
      <c r="T45" s="16"/>
      <c r="U45" s="16"/>
      <c r="V45" s="16"/>
      <c r="W45" s="16"/>
      <c r="X45" s="16"/>
      <c r="Y45" s="16"/>
      <c r="Z45" s="16"/>
      <c r="AA45" s="16"/>
      <c r="AB45" s="16"/>
      <c r="AC45" s="16"/>
      <c r="AD45" s="16"/>
      <c r="AE45" s="16" t="s">
        <v>875</v>
      </c>
    </row>
    <row r="46" spans="1:31" ht="13.5" customHeight="1" x14ac:dyDescent="0.3">
      <c r="A46" s="239" t="s">
        <v>1572</v>
      </c>
      <c r="B46" s="16">
        <v>0</v>
      </c>
      <c r="C46" s="16">
        <v>0</v>
      </c>
      <c r="D46" s="16">
        <v>0</v>
      </c>
      <c r="E46" s="16">
        <v>0</v>
      </c>
      <c r="F46" s="16">
        <v>0</v>
      </c>
      <c r="G46" s="16">
        <v>0</v>
      </c>
      <c r="H46" s="16">
        <v>0</v>
      </c>
      <c r="I46" s="16">
        <v>0</v>
      </c>
      <c r="J46" s="16">
        <v>0</v>
      </c>
      <c r="K46" s="16">
        <v>0</v>
      </c>
      <c r="L46" s="16">
        <v>0</v>
      </c>
      <c r="M46" s="16">
        <v>0</v>
      </c>
      <c r="N46" s="16">
        <v>1</v>
      </c>
      <c r="O46" s="16">
        <v>1</v>
      </c>
      <c r="P46" s="16"/>
      <c r="Q46" s="16"/>
      <c r="R46" s="16"/>
      <c r="S46" s="16"/>
      <c r="T46" s="16"/>
      <c r="U46" s="16"/>
      <c r="V46" s="16"/>
      <c r="W46" s="16"/>
      <c r="X46" s="16"/>
      <c r="Y46" s="16"/>
      <c r="Z46" s="16"/>
      <c r="AA46" s="16"/>
      <c r="AB46" s="16"/>
      <c r="AC46" s="16"/>
      <c r="AD46" s="16"/>
      <c r="AE46" s="16"/>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16"/>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1</v>
      </c>
      <c r="N56" s="16">
        <v>1</v>
      </c>
      <c r="O56" s="16">
        <v>1</v>
      </c>
      <c r="P56" s="16"/>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16"/>
      <c r="Q59" s="16"/>
      <c r="R59" s="16"/>
      <c r="S59" s="16"/>
      <c r="T59" s="16"/>
      <c r="U59" s="16"/>
      <c r="V59" s="16"/>
      <c r="W59" s="16"/>
      <c r="X59" s="16"/>
      <c r="Y59" s="16"/>
      <c r="Z59" s="16"/>
      <c r="AA59" s="16"/>
      <c r="AB59" s="16"/>
      <c r="AC59" s="16"/>
      <c r="AD59" s="16"/>
      <c r="AE59" s="16" t="s">
        <v>836</v>
      </c>
    </row>
    <row r="60" spans="1:31" ht="12.45" customHeight="1" x14ac:dyDescent="0.3">
      <c r="A60" s="41" t="s">
        <v>21</v>
      </c>
      <c r="B60" s="16">
        <v>0</v>
      </c>
      <c r="C60" s="16">
        <v>0</v>
      </c>
      <c r="D60" s="16">
        <v>0</v>
      </c>
      <c r="E60" s="16">
        <v>0</v>
      </c>
      <c r="F60" s="16">
        <v>0</v>
      </c>
      <c r="G60" s="16">
        <v>0</v>
      </c>
      <c r="H60" s="16">
        <v>6400</v>
      </c>
      <c r="I60" s="16">
        <v>0</v>
      </c>
      <c r="J60" s="16">
        <v>0</v>
      </c>
      <c r="K60" s="16">
        <v>0</v>
      </c>
      <c r="L60" s="16">
        <v>0</v>
      </c>
      <c r="M60" s="16">
        <v>0</v>
      </c>
      <c r="N60" s="16">
        <v>0</v>
      </c>
      <c r="O60" s="16">
        <v>0</v>
      </c>
      <c r="P60" s="16"/>
      <c r="Q60" s="16"/>
      <c r="R60" s="16"/>
      <c r="S60" s="16"/>
      <c r="T60" s="16"/>
      <c r="U60" s="16"/>
      <c r="V60" s="16"/>
      <c r="W60" s="16"/>
      <c r="X60" s="16"/>
      <c r="Y60" s="16"/>
      <c r="Z60" s="16"/>
      <c r="AA60" s="16"/>
      <c r="AB60" s="16"/>
      <c r="AC60" s="16"/>
      <c r="AD60" s="16"/>
      <c r="AE60" s="16" t="s">
        <v>837</v>
      </c>
    </row>
    <row r="61" spans="1:31" ht="12.45" customHeight="1" x14ac:dyDescent="0.3">
      <c r="A61" s="41" t="s">
        <v>22</v>
      </c>
      <c r="B61" s="16">
        <v>32</v>
      </c>
      <c r="C61" s="16">
        <v>32</v>
      </c>
      <c r="D61" s="16">
        <v>32</v>
      </c>
      <c r="E61" s="16">
        <v>32</v>
      </c>
      <c r="F61" s="16">
        <v>32</v>
      </c>
      <c r="G61" s="16">
        <v>32</v>
      </c>
      <c r="H61" s="16">
        <v>32</v>
      </c>
      <c r="I61" s="16">
        <v>32</v>
      </c>
      <c r="J61" s="16">
        <v>32</v>
      </c>
      <c r="K61" s="16">
        <v>32</v>
      </c>
      <c r="L61" s="16">
        <v>32</v>
      </c>
      <c r="M61" s="16">
        <v>32</v>
      </c>
      <c r="N61" s="16">
        <v>32</v>
      </c>
      <c r="O61" s="16">
        <v>32</v>
      </c>
      <c r="P61" s="16"/>
      <c r="Q61" s="16"/>
      <c r="R61" s="16"/>
      <c r="S61" s="16"/>
      <c r="T61" s="16"/>
      <c r="U61" s="16"/>
      <c r="V61" s="16"/>
      <c r="W61" s="16"/>
      <c r="X61" s="16"/>
      <c r="Y61" s="16"/>
      <c r="Z61" s="16"/>
      <c r="AA61" s="16"/>
      <c r="AB61" s="16"/>
      <c r="AC61" s="16"/>
      <c r="AD61" s="16"/>
      <c r="AE61" s="16" t="s">
        <v>838</v>
      </c>
    </row>
    <row r="62" spans="1:31" ht="12.45" customHeight="1" x14ac:dyDescent="0.3">
      <c r="A62" s="41" t="s">
        <v>423</v>
      </c>
      <c r="B62" s="16">
        <v>0</v>
      </c>
      <c r="C62" s="16">
        <v>0</v>
      </c>
      <c r="D62" s="16">
        <v>0</v>
      </c>
      <c r="E62" s="16">
        <v>0</v>
      </c>
      <c r="F62" s="16">
        <v>0</v>
      </c>
      <c r="G62" s="16">
        <v>0</v>
      </c>
      <c r="H62" s="16">
        <v>0</v>
      </c>
      <c r="I62" s="16">
        <v>0</v>
      </c>
      <c r="J62" s="16">
        <v>0</v>
      </c>
      <c r="K62" s="16">
        <v>0</v>
      </c>
      <c r="L62" s="16">
        <v>0</v>
      </c>
      <c r="M62" s="16">
        <v>0</v>
      </c>
      <c r="N62" s="16">
        <v>0</v>
      </c>
      <c r="O62" s="16">
        <v>0</v>
      </c>
      <c r="P62" s="16"/>
      <c r="Q62" s="16"/>
      <c r="R62" s="16"/>
      <c r="S62" s="16"/>
      <c r="T62" s="16"/>
      <c r="U62" s="16"/>
      <c r="V62" s="16"/>
      <c r="W62" s="16"/>
      <c r="X62" s="16"/>
      <c r="Y62" s="16"/>
      <c r="Z62" s="16"/>
      <c r="AA62" s="16"/>
      <c r="AB62" s="16"/>
      <c r="AC62" s="16"/>
      <c r="AD62" s="16"/>
      <c r="AE62" s="138" t="s">
        <v>833</v>
      </c>
    </row>
    <row r="63" spans="1:31" ht="12.45" customHeight="1" x14ac:dyDescent="0.3">
      <c r="A63" s="182" t="s">
        <v>884</v>
      </c>
      <c r="B63" s="16">
        <v>0</v>
      </c>
      <c r="C63" s="16">
        <v>0</v>
      </c>
      <c r="D63" s="16">
        <v>0</v>
      </c>
      <c r="E63" s="16">
        <v>320</v>
      </c>
      <c r="F63" s="16">
        <v>320</v>
      </c>
      <c r="G63" s="16">
        <v>0</v>
      </c>
      <c r="H63" s="16">
        <v>320</v>
      </c>
      <c r="I63" s="16">
        <v>320</v>
      </c>
      <c r="J63" s="16">
        <v>320</v>
      </c>
      <c r="K63" s="16">
        <v>320</v>
      </c>
      <c r="L63" s="16">
        <v>320</v>
      </c>
      <c r="M63" s="16">
        <v>0</v>
      </c>
      <c r="N63" s="16">
        <v>320</v>
      </c>
      <c r="O63" s="16">
        <v>0</v>
      </c>
      <c r="P63" s="16"/>
      <c r="Q63" s="16"/>
      <c r="R63" s="16"/>
      <c r="S63" s="16"/>
      <c r="T63" s="16"/>
      <c r="U63" s="16"/>
      <c r="V63" s="16"/>
      <c r="W63" s="16"/>
      <c r="X63" s="16"/>
      <c r="Y63" s="16"/>
      <c r="Z63" s="16"/>
      <c r="AA63" s="16"/>
      <c r="AB63" s="16"/>
      <c r="AC63" s="16"/>
      <c r="AD63" s="16"/>
      <c r="AE63" s="138" t="s">
        <v>883</v>
      </c>
    </row>
    <row r="64" spans="1:31" ht="12.45" customHeight="1" x14ac:dyDescent="0.3">
      <c r="A64" s="18" t="s">
        <v>1522</v>
      </c>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row>
    <row r="65" spans="1:31" ht="15" customHeight="1" x14ac:dyDescent="0.3">
      <c r="A65" s="63" t="s">
        <v>1532</v>
      </c>
      <c r="B65" s="409"/>
      <c r="C65" s="409"/>
      <c r="D65" s="409"/>
      <c r="E65" s="409"/>
      <c r="F65" s="409"/>
      <c r="G65" s="409"/>
      <c r="H65" s="63">
        <v>4</v>
      </c>
      <c r="I65" s="63">
        <v>3</v>
      </c>
      <c r="J65" s="63">
        <v>4</v>
      </c>
      <c r="K65" s="63">
        <v>3</v>
      </c>
      <c r="L65" s="63">
        <v>4</v>
      </c>
      <c r="M65" s="16">
        <v>0</v>
      </c>
      <c r="N65" s="16">
        <v>1</v>
      </c>
      <c r="O65" s="16">
        <v>0</v>
      </c>
      <c r="P65" s="16"/>
      <c r="Q65" s="16"/>
      <c r="R65" s="16"/>
      <c r="S65" s="16"/>
      <c r="T65" s="16"/>
      <c r="U65" s="16"/>
      <c r="V65" s="16"/>
      <c r="W65" s="16"/>
      <c r="X65" s="16"/>
      <c r="Y65" s="16"/>
      <c r="Z65" s="16"/>
      <c r="AA65" s="16"/>
      <c r="AB65" s="16"/>
      <c r="AC65" s="16"/>
      <c r="AD65" s="16"/>
      <c r="AE65" s="138" t="s">
        <v>1525</v>
      </c>
    </row>
    <row r="66" spans="1:31" ht="15" customHeight="1" x14ac:dyDescent="0.3">
      <c r="A66" s="63" t="s">
        <v>1524</v>
      </c>
      <c r="B66" s="409"/>
      <c r="C66" s="409"/>
      <c r="D66" s="409"/>
      <c r="E66" s="409"/>
      <c r="F66" s="409"/>
      <c r="G66" s="409"/>
      <c r="H66" s="63" t="s">
        <v>1520</v>
      </c>
      <c r="I66" s="63" t="s">
        <v>1521</v>
      </c>
      <c r="J66" s="63" t="s">
        <v>1520</v>
      </c>
      <c r="K66" s="63" t="s">
        <v>1521</v>
      </c>
      <c r="L66" s="63" t="s">
        <v>1520</v>
      </c>
      <c r="M66" s="16" t="s">
        <v>1178</v>
      </c>
      <c r="N66" s="16" t="s">
        <v>1566</v>
      </c>
      <c r="O66" s="16" t="s">
        <v>1178</v>
      </c>
      <c r="P66" s="16"/>
      <c r="Q66" s="16"/>
      <c r="R66" s="16"/>
      <c r="S66" s="16"/>
      <c r="T66" s="16"/>
      <c r="U66" s="16"/>
      <c r="V66" s="16"/>
      <c r="W66" s="16"/>
      <c r="X66" s="16"/>
      <c r="Y66" s="16"/>
      <c r="Z66" s="16"/>
      <c r="AA66" s="16"/>
      <c r="AB66" s="16"/>
      <c r="AC66" s="16"/>
      <c r="AD66" s="16"/>
      <c r="AE66" s="138" t="s">
        <v>1526</v>
      </c>
    </row>
    <row r="69" spans="1:31" ht="15.6" x14ac:dyDescent="0.3">
      <c r="A69" s="255" t="s">
        <v>1179</v>
      </c>
    </row>
    <row r="70" spans="1:31" ht="13.5" customHeight="1" x14ac:dyDescent="0.3">
      <c r="A70" s="239" t="s">
        <v>70</v>
      </c>
      <c r="B70" s="16">
        <v>1</v>
      </c>
      <c r="C70" s="16">
        <v>1</v>
      </c>
      <c r="D70" s="16">
        <v>1</v>
      </c>
      <c r="E70" s="16">
        <v>0</v>
      </c>
      <c r="F70" s="16">
        <v>1</v>
      </c>
      <c r="G70" s="16">
        <v>0</v>
      </c>
      <c r="H70" s="16">
        <v>0</v>
      </c>
      <c r="I70" s="16">
        <v>1</v>
      </c>
      <c r="J70" s="16">
        <v>0</v>
      </c>
      <c r="K70" s="16">
        <v>1</v>
      </c>
      <c r="L70" s="16">
        <v>1</v>
      </c>
      <c r="M70" s="16">
        <v>0</v>
      </c>
      <c r="N70" s="63">
        <v>0</v>
      </c>
      <c r="O70" s="16">
        <v>0</v>
      </c>
      <c r="P70" s="16"/>
      <c r="Q70" s="16"/>
      <c r="R70" s="16"/>
      <c r="S70" s="16"/>
      <c r="T70" s="16"/>
      <c r="U70" s="16"/>
      <c r="V70" s="16"/>
      <c r="W70" s="16"/>
      <c r="X70" s="16"/>
      <c r="Y70" s="16"/>
      <c r="Z70" s="16"/>
      <c r="AA70" s="16"/>
      <c r="AB70" s="16"/>
      <c r="AC70" s="16"/>
      <c r="AD70" s="16"/>
      <c r="AE70" s="138" t="s">
        <v>817</v>
      </c>
    </row>
    <row r="71" spans="1:31" ht="13.5" customHeight="1" x14ac:dyDescent="0.3">
      <c r="A71" s="256" t="s">
        <v>1180</v>
      </c>
      <c r="B71" s="63">
        <v>1</v>
      </c>
      <c r="C71" s="63">
        <v>1</v>
      </c>
      <c r="D71" s="63">
        <v>1</v>
      </c>
      <c r="E71" s="63">
        <v>0</v>
      </c>
      <c r="F71" s="63">
        <v>1</v>
      </c>
      <c r="G71" s="63">
        <v>0</v>
      </c>
      <c r="H71" s="63">
        <v>0</v>
      </c>
      <c r="I71" s="63">
        <v>1</v>
      </c>
      <c r="J71" s="63">
        <v>0</v>
      </c>
      <c r="K71" s="63">
        <v>1</v>
      </c>
      <c r="L71" s="63">
        <v>1</v>
      </c>
      <c r="M71" s="63">
        <v>0</v>
      </c>
      <c r="N71" s="63">
        <v>0</v>
      </c>
      <c r="O71" s="16">
        <v>0</v>
      </c>
      <c r="P71" s="16"/>
      <c r="Q71" s="16"/>
      <c r="R71" s="16"/>
      <c r="S71" s="16"/>
      <c r="T71" s="16"/>
      <c r="U71" s="16"/>
      <c r="V71" s="16"/>
      <c r="W71" s="16"/>
      <c r="X71" s="16"/>
      <c r="Y71" s="16"/>
      <c r="Z71" s="16"/>
      <c r="AA71" s="16"/>
      <c r="AB71" s="16"/>
      <c r="AC71" s="16"/>
      <c r="AD71" s="16"/>
      <c r="AE71" s="138" t="s">
        <v>1181</v>
      </c>
    </row>
    <row r="72" spans="1:31" ht="13.5" customHeight="1" x14ac:dyDescent="0.3">
      <c r="A72" s="40" t="s">
        <v>224</v>
      </c>
      <c r="B72" s="16">
        <v>1</v>
      </c>
      <c r="C72" s="16">
        <v>1</v>
      </c>
      <c r="D72" s="16">
        <v>1</v>
      </c>
      <c r="E72" s="16">
        <v>1</v>
      </c>
      <c r="F72" s="16">
        <v>0</v>
      </c>
      <c r="G72" s="16">
        <v>0</v>
      </c>
      <c r="H72" s="16">
        <v>1</v>
      </c>
      <c r="I72" s="16">
        <v>0</v>
      </c>
      <c r="J72" s="16">
        <v>0</v>
      </c>
      <c r="K72" s="16">
        <v>0</v>
      </c>
      <c r="L72" s="16">
        <v>0</v>
      </c>
      <c r="M72" s="16">
        <v>0</v>
      </c>
      <c r="N72" s="16">
        <v>0</v>
      </c>
      <c r="O72" s="16">
        <v>0</v>
      </c>
      <c r="P72" s="16"/>
      <c r="Q72" s="16"/>
      <c r="R72" s="16"/>
      <c r="S72" s="16"/>
      <c r="T72" s="16"/>
      <c r="U72" s="16"/>
      <c r="V72" s="16"/>
      <c r="W72" s="16"/>
      <c r="X72" s="16"/>
      <c r="Y72" s="16"/>
      <c r="Z72" s="16"/>
      <c r="AA72" s="16"/>
      <c r="AB72" s="16"/>
      <c r="AC72" s="16"/>
      <c r="AD72" s="16"/>
      <c r="AE72" s="138" t="s">
        <v>818</v>
      </c>
    </row>
    <row r="73" spans="1:31" ht="13.5" customHeight="1" x14ac:dyDescent="0.3">
      <c r="A73" s="40" t="s">
        <v>394</v>
      </c>
      <c r="B73" s="16">
        <v>13</v>
      </c>
      <c r="C73" s="16">
        <v>15</v>
      </c>
      <c r="D73" s="16">
        <v>15</v>
      </c>
      <c r="E73" s="16">
        <v>13</v>
      </c>
      <c r="F73" s="57">
        <v>4</v>
      </c>
      <c r="G73" s="16">
        <v>5</v>
      </c>
      <c r="H73" s="16">
        <v>15</v>
      </c>
      <c r="I73" s="16">
        <v>5</v>
      </c>
      <c r="J73" s="16">
        <v>7</v>
      </c>
      <c r="K73" s="16">
        <v>5</v>
      </c>
      <c r="L73" s="16">
        <v>7</v>
      </c>
      <c r="M73" s="16">
        <v>5</v>
      </c>
      <c r="N73" s="16">
        <v>12</v>
      </c>
      <c r="O73" s="16">
        <v>5</v>
      </c>
      <c r="P73" s="16"/>
      <c r="Q73" s="16"/>
      <c r="R73" s="16"/>
      <c r="S73" s="16"/>
      <c r="T73" s="16"/>
      <c r="U73" s="16"/>
      <c r="V73" s="16"/>
      <c r="W73" s="16"/>
      <c r="X73" s="16"/>
      <c r="Y73" s="16"/>
      <c r="Z73" s="16"/>
      <c r="AA73" s="16"/>
      <c r="AB73" s="16"/>
      <c r="AC73" s="16"/>
      <c r="AD73" s="16"/>
      <c r="AE73" s="138" t="s">
        <v>819</v>
      </c>
    </row>
    <row r="74" spans="1:31" ht="13.5" customHeight="1" x14ac:dyDescent="0.3">
      <c r="A74" s="42" t="s">
        <v>241</v>
      </c>
      <c r="B74" s="16">
        <v>0</v>
      </c>
      <c r="C74" s="16">
        <v>1</v>
      </c>
      <c r="D74" s="16">
        <v>1</v>
      </c>
      <c r="E74" s="16">
        <v>0</v>
      </c>
      <c r="F74" s="16">
        <v>0</v>
      </c>
      <c r="G74" s="16">
        <v>0</v>
      </c>
      <c r="H74" s="57">
        <v>1</v>
      </c>
      <c r="I74" s="16">
        <v>0</v>
      </c>
      <c r="J74" s="63">
        <v>1</v>
      </c>
      <c r="K74" s="63">
        <v>0</v>
      </c>
      <c r="L74" s="63">
        <v>1</v>
      </c>
      <c r="M74" s="16">
        <v>0</v>
      </c>
      <c r="N74" s="16">
        <v>0</v>
      </c>
      <c r="O74" s="16">
        <v>0</v>
      </c>
      <c r="P74" s="16"/>
      <c r="Q74" s="16"/>
      <c r="R74" s="16"/>
      <c r="S74" s="16"/>
      <c r="T74" s="16"/>
      <c r="U74" s="16"/>
      <c r="V74" s="16"/>
      <c r="W74" s="16"/>
      <c r="X74" s="16"/>
      <c r="Y74" s="16"/>
      <c r="Z74" s="16"/>
      <c r="AA74" s="16"/>
      <c r="AB74" s="16"/>
      <c r="AC74" s="16"/>
      <c r="AD74" s="16"/>
      <c r="AE74" s="16" t="s">
        <v>849</v>
      </c>
    </row>
    <row r="75" spans="1:31" ht="13.5" customHeight="1" x14ac:dyDescent="0.3">
      <c r="A75" s="239" t="s">
        <v>1151</v>
      </c>
      <c r="B75" s="16">
        <v>0</v>
      </c>
      <c r="C75" s="16">
        <v>0</v>
      </c>
      <c r="D75" s="16">
        <v>0</v>
      </c>
      <c r="E75" s="16">
        <v>1</v>
      </c>
      <c r="F75" s="16">
        <v>0</v>
      </c>
      <c r="G75" s="16">
        <v>0</v>
      </c>
      <c r="H75" s="16">
        <v>1</v>
      </c>
      <c r="I75" s="57">
        <v>0</v>
      </c>
      <c r="J75" s="57">
        <v>0</v>
      </c>
      <c r="K75" s="57">
        <v>0</v>
      </c>
      <c r="L75" s="57">
        <v>0</v>
      </c>
      <c r="M75" s="16">
        <v>0</v>
      </c>
      <c r="N75" s="16">
        <v>0</v>
      </c>
      <c r="O75" s="16">
        <v>0</v>
      </c>
      <c r="P75" s="16"/>
      <c r="Q75" s="16"/>
      <c r="R75" s="16"/>
      <c r="S75" s="16"/>
      <c r="T75" s="16"/>
      <c r="U75" s="16"/>
      <c r="V75" s="16"/>
      <c r="W75" s="16"/>
      <c r="X75" s="16"/>
      <c r="Y75" s="16"/>
      <c r="Z75" s="16"/>
      <c r="AA75" s="16"/>
      <c r="AB75" s="16"/>
      <c r="AC75" s="16"/>
      <c r="AD75" s="16"/>
      <c r="AE75" s="138" t="s">
        <v>1152</v>
      </c>
    </row>
    <row r="76" spans="1:31" ht="13.5" customHeight="1" x14ac:dyDescent="0.3">
      <c r="A76" s="125" t="s">
        <v>536</v>
      </c>
      <c r="B76" s="16">
        <v>0</v>
      </c>
      <c r="C76" s="16">
        <v>0</v>
      </c>
      <c r="D76" s="16">
        <v>0</v>
      </c>
      <c r="E76" s="16">
        <v>0</v>
      </c>
      <c r="F76" s="16">
        <v>0</v>
      </c>
      <c r="G76" s="16">
        <v>1</v>
      </c>
      <c r="H76" s="16">
        <v>0</v>
      </c>
      <c r="I76" s="16">
        <v>0</v>
      </c>
      <c r="J76" s="16">
        <v>0</v>
      </c>
      <c r="K76" s="16">
        <v>0</v>
      </c>
      <c r="L76" s="16">
        <v>0</v>
      </c>
      <c r="M76" s="16">
        <v>1</v>
      </c>
      <c r="N76" s="16">
        <v>0</v>
      </c>
      <c r="O76" s="16">
        <v>1</v>
      </c>
      <c r="P76" s="16"/>
      <c r="Q76" s="16"/>
      <c r="R76" s="16"/>
      <c r="S76" s="16"/>
      <c r="T76" s="16"/>
      <c r="U76" s="16"/>
      <c r="V76" s="16"/>
      <c r="W76" s="16"/>
      <c r="X76" s="16"/>
      <c r="Y76" s="16"/>
      <c r="Z76" s="16"/>
      <c r="AA76" s="16"/>
      <c r="AB76" s="16"/>
      <c r="AC76" s="16"/>
      <c r="AD76" s="16"/>
      <c r="AE76" s="138" t="s">
        <v>820</v>
      </c>
    </row>
    <row r="77" spans="1:31" ht="13.5" customHeight="1" x14ac:dyDescent="0.3">
      <c r="A77" s="239" t="s">
        <v>827</v>
      </c>
      <c r="B77" s="16">
        <v>0</v>
      </c>
      <c r="C77" s="16">
        <v>0</v>
      </c>
      <c r="D77" s="16">
        <v>0</v>
      </c>
      <c r="E77" s="16">
        <v>0</v>
      </c>
      <c r="F77" s="16">
        <v>0</v>
      </c>
      <c r="G77" s="16">
        <v>0</v>
      </c>
      <c r="H77" s="16">
        <v>0</v>
      </c>
      <c r="I77" s="16">
        <v>0</v>
      </c>
      <c r="J77" s="16">
        <v>0</v>
      </c>
      <c r="K77" s="16">
        <v>0</v>
      </c>
      <c r="L77" s="16">
        <v>0</v>
      </c>
      <c r="M77" s="16">
        <v>0</v>
      </c>
      <c r="N77" s="63">
        <v>0</v>
      </c>
      <c r="O77" s="63">
        <v>0</v>
      </c>
      <c r="P77" s="16"/>
      <c r="Q77" s="16"/>
      <c r="R77" s="16"/>
      <c r="S77" s="16"/>
      <c r="T77" s="16"/>
      <c r="U77" s="16"/>
      <c r="V77" s="16"/>
      <c r="W77" s="16"/>
      <c r="X77" s="16"/>
      <c r="Y77" s="16"/>
      <c r="Z77" s="16"/>
      <c r="AA77" s="16"/>
      <c r="AB77" s="16"/>
      <c r="AC77" s="16"/>
      <c r="AD77" s="16"/>
      <c r="AE77" s="138" t="s">
        <v>826</v>
      </c>
    </row>
    <row r="78" spans="1:31" ht="13.5" customHeight="1" x14ac:dyDescent="0.3">
      <c r="A78" s="125" t="s">
        <v>214</v>
      </c>
      <c r="B78" s="16">
        <v>0</v>
      </c>
      <c r="C78" s="16">
        <v>0</v>
      </c>
      <c r="D78" s="16">
        <v>0</v>
      </c>
      <c r="E78" s="16">
        <v>0</v>
      </c>
      <c r="F78" s="16">
        <v>0</v>
      </c>
      <c r="G78" s="16">
        <v>0</v>
      </c>
      <c r="H78" s="16">
        <v>0</v>
      </c>
      <c r="I78" s="16">
        <v>0</v>
      </c>
      <c r="J78" s="16">
        <v>0</v>
      </c>
      <c r="K78" s="16">
        <v>0</v>
      </c>
      <c r="L78" s="16">
        <v>0</v>
      </c>
      <c r="M78" s="16">
        <v>0</v>
      </c>
      <c r="N78" s="16">
        <v>0</v>
      </c>
      <c r="O78" s="16">
        <v>0</v>
      </c>
      <c r="P78" s="16"/>
      <c r="Q78" s="16"/>
      <c r="R78" s="16"/>
      <c r="S78" s="16"/>
      <c r="T78" s="16"/>
      <c r="U78" s="16"/>
      <c r="V78" s="16"/>
      <c r="W78" s="16"/>
      <c r="X78" s="16"/>
      <c r="Y78" s="16"/>
      <c r="Z78" s="16"/>
      <c r="AA78" s="16"/>
      <c r="AB78" s="16"/>
      <c r="AC78" s="16"/>
      <c r="AD78" s="16"/>
      <c r="AE78" s="138" t="s">
        <v>821</v>
      </c>
    </row>
    <row r="79" spans="1:31" ht="13.5" customHeight="1" x14ac:dyDescent="0.3">
      <c r="A79" s="419" t="s">
        <v>1527</v>
      </c>
      <c r="B79" s="420">
        <v>0</v>
      </c>
      <c r="C79" s="420">
        <v>0</v>
      </c>
      <c r="D79" s="420">
        <v>0</v>
      </c>
      <c r="E79" s="420">
        <v>0</v>
      </c>
      <c r="F79" s="420">
        <v>0</v>
      </c>
      <c r="G79" s="420">
        <v>0</v>
      </c>
      <c r="H79" s="7">
        <v>0</v>
      </c>
      <c r="I79" s="7">
        <v>0</v>
      </c>
      <c r="J79" s="7">
        <v>0</v>
      </c>
      <c r="K79" s="7">
        <v>0</v>
      </c>
      <c r="L79" s="7">
        <v>0</v>
      </c>
      <c r="M79" s="7">
        <v>0</v>
      </c>
      <c r="N79" s="413">
        <v>0</v>
      </c>
      <c r="O79" s="413">
        <v>0</v>
      </c>
      <c r="P79" s="16"/>
      <c r="Q79" s="16"/>
      <c r="R79" s="16"/>
      <c r="S79" s="16"/>
      <c r="T79" s="16"/>
      <c r="U79" s="16"/>
      <c r="V79" s="16"/>
      <c r="W79" s="16"/>
      <c r="X79" s="16"/>
      <c r="Y79" s="16"/>
      <c r="Z79" s="16"/>
      <c r="AA79" s="16"/>
      <c r="AB79" s="16"/>
      <c r="AC79" s="16"/>
      <c r="AD79" s="16"/>
      <c r="AE79" s="138" t="s">
        <v>1528</v>
      </c>
    </row>
    <row r="80" spans="1:31" ht="13.5" customHeight="1" x14ac:dyDescent="0.3">
      <c r="A80" s="63" t="s">
        <v>1182</v>
      </c>
      <c r="B80" s="16">
        <v>1</v>
      </c>
      <c r="C80" s="16">
        <v>1</v>
      </c>
      <c r="D80" s="16">
        <v>1</v>
      </c>
      <c r="E80" s="16">
        <v>1</v>
      </c>
      <c r="F80" s="16">
        <v>1</v>
      </c>
      <c r="G80" s="16">
        <v>1</v>
      </c>
      <c r="H80" s="16">
        <v>0</v>
      </c>
      <c r="I80" s="16">
        <v>0</v>
      </c>
      <c r="J80" s="16">
        <v>0</v>
      </c>
      <c r="K80" s="16">
        <v>0</v>
      </c>
      <c r="L80" s="16">
        <v>0</v>
      </c>
      <c r="M80" s="16">
        <v>1</v>
      </c>
      <c r="N80" s="63">
        <v>0</v>
      </c>
      <c r="O80" s="63">
        <v>0</v>
      </c>
      <c r="P80" s="16"/>
      <c r="Q80" s="16"/>
      <c r="R80" s="16"/>
      <c r="S80" s="16"/>
      <c r="T80" s="16"/>
      <c r="U80" s="16"/>
      <c r="V80" s="16"/>
      <c r="W80" s="16"/>
      <c r="X80" s="16"/>
      <c r="Y80" s="16"/>
      <c r="Z80" s="16"/>
      <c r="AA80" s="16"/>
      <c r="AB80" s="16"/>
      <c r="AC80" s="16"/>
      <c r="AD80" s="16"/>
      <c r="AE80" s="16"/>
    </row>
    <row r="81" spans="1:31" ht="13.5" customHeight="1" x14ac:dyDescent="0.3">
      <c r="A81" s="40" t="s">
        <v>360</v>
      </c>
      <c r="B81" s="16">
        <v>0</v>
      </c>
      <c r="C81" s="16">
        <v>0</v>
      </c>
      <c r="D81" s="16">
        <v>0</v>
      </c>
      <c r="E81" s="16">
        <v>0</v>
      </c>
      <c r="F81" s="16">
        <v>0</v>
      </c>
      <c r="G81" s="16">
        <v>0</v>
      </c>
      <c r="H81" s="16">
        <v>0</v>
      </c>
      <c r="I81" s="16">
        <v>0</v>
      </c>
      <c r="J81" s="16">
        <v>0</v>
      </c>
      <c r="K81" s="16">
        <v>0</v>
      </c>
      <c r="L81" s="16">
        <v>0</v>
      </c>
      <c r="M81" s="16">
        <v>0</v>
      </c>
      <c r="N81" s="16">
        <v>0</v>
      </c>
      <c r="O81" s="16">
        <v>0</v>
      </c>
      <c r="P81" s="16"/>
      <c r="Q81" s="16"/>
      <c r="R81" s="16"/>
      <c r="S81" s="16"/>
      <c r="T81" s="16"/>
      <c r="U81" s="16"/>
      <c r="V81" s="16"/>
      <c r="W81" s="16"/>
      <c r="X81" s="16"/>
      <c r="Y81" s="16"/>
      <c r="Z81" s="16"/>
      <c r="AA81" s="16"/>
      <c r="AB81" s="16"/>
      <c r="AC81" s="16"/>
      <c r="AD81" s="16"/>
      <c r="AE81" s="138" t="s">
        <v>822</v>
      </c>
    </row>
    <row r="82" spans="1:31" ht="13.5" customHeight="1" x14ac:dyDescent="0.3">
      <c r="A82" s="63" t="s">
        <v>1183</v>
      </c>
      <c r="B82" s="16">
        <v>1</v>
      </c>
      <c r="C82" s="16">
        <v>0</v>
      </c>
      <c r="D82" s="16">
        <v>0</v>
      </c>
      <c r="E82" s="16">
        <v>1</v>
      </c>
      <c r="F82" s="16">
        <v>1</v>
      </c>
      <c r="G82" s="16">
        <v>1</v>
      </c>
      <c r="H82" s="16">
        <v>1</v>
      </c>
      <c r="I82" s="16">
        <v>1</v>
      </c>
      <c r="J82" s="16">
        <v>1</v>
      </c>
      <c r="K82" s="16">
        <v>1</v>
      </c>
      <c r="L82" s="16">
        <v>1</v>
      </c>
      <c r="M82" s="16">
        <v>1</v>
      </c>
      <c r="N82" s="63">
        <v>1</v>
      </c>
      <c r="O82" s="63">
        <v>1</v>
      </c>
      <c r="P82" s="16"/>
      <c r="Q82" s="16"/>
      <c r="R82" s="16"/>
      <c r="S82" s="16"/>
      <c r="T82" s="16"/>
      <c r="U82" s="16"/>
      <c r="V82" s="16"/>
      <c r="W82" s="16"/>
      <c r="X82" s="16"/>
      <c r="Y82" s="16"/>
      <c r="Z82" s="16"/>
      <c r="AA82" s="16"/>
      <c r="AB82" s="16"/>
      <c r="AC82" s="16"/>
      <c r="AD82" s="16"/>
      <c r="AE82" s="138" t="s">
        <v>815</v>
      </c>
    </row>
    <row r="83" spans="1:31" ht="13.5" customHeight="1" x14ac:dyDescent="0.3">
      <c r="A83" s="63" t="s">
        <v>1184</v>
      </c>
      <c r="B83" s="16">
        <v>0</v>
      </c>
      <c r="C83" s="16">
        <v>0</v>
      </c>
      <c r="D83" s="16">
        <v>0</v>
      </c>
      <c r="E83" s="16">
        <v>0</v>
      </c>
      <c r="F83" s="16">
        <v>0</v>
      </c>
      <c r="G83" s="16">
        <v>0</v>
      </c>
      <c r="H83" s="16">
        <v>0</v>
      </c>
      <c r="I83" s="16">
        <v>0</v>
      </c>
      <c r="J83" s="16">
        <v>0</v>
      </c>
      <c r="K83" s="16">
        <v>0</v>
      </c>
      <c r="L83" s="16">
        <v>0</v>
      </c>
      <c r="M83" s="16">
        <v>0</v>
      </c>
      <c r="N83" s="16">
        <v>0</v>
      </c>
      <c r="O83" s="16">
        <v>0</v>
      </c>
      <c r="P83" s="16"/>
      <c r="Q83" s="16"/>
      <c r="R83" s="16"/>
      <c r="S83" s="16"/>
      <c r="T83" s="16"/>
      <c r="U83" s="16"/>
      <c r="V83" s="16"/>
      <c r="W83" s="16"/>
      <c r="X83" s="16"/>
      <c r="Y83" s="16"/>
      <c r="Z83" s="16"/>
      <c r="AA83" s="16"/>
      <c r="AB83" s="16"/>
      <c r="AC83" s="16"/>
      <c r="AD83" s="16"/>
      <c r="AE83" s="138" t="s">
        <v>816</v>
      </c>
    </row>
    <row r="84" spans="1:31" ht="12.6" customHeight="1" x14ac:dyDescent="0.3">
      <c r="A84" s="40" t="s">
        <v>390</v>
      </c>
      <c r="B84" s="16">
        <v>0</v>
      </c>
      <c r="C84" s="16">
        <v>0</v>
      </c>
      <c r="D84" s="16">
        <v>0</v>
      </c>
      <c r="E84" s="16">
        <v>0</v>
      </c>
      <c r="F84" s="16">
        <v>0</v>
      </c>
      <c r="G84" s="16">
        <v>0</v>
      </c>
      <c r="H84" s="16">
        <v>0</v>
      </c>
      <c r="I84" s="16">
        <v>0</v>
      </c>
      <c r="J84" s="16">
        <v>0</v>
      </c>
      <c r="K84" s="16">
        <v>0</v>
      </c>
      <c r="L84" s="16">
        <v>0</v>
      </c>
      <c r="M84" s="16">
        <v>0</v>
      </c>
      <c r="N84" s="16">
        <v>0</v>
      </c>
      <c r="O84" s="16">
        <v>0</v>
      </c>
      <c r="P84" s="16"/>
      <c r="Q84" s="16"/>
      <c r="R84" s="16"/>
      <c r="S84" s="16"/>
      <c r="T84" s="16"/>
      <c r="U84" s="16"/>
      <c r="V84" s="16"/>
      <c r="W84" s="16"/>
      <c r="X84" s="16"/>
      <c r="Y84" s="16"/>
      <c r="Z84" s="16"/>
      <c r="AA84" s="16"/>
      <c r="AB84" s="16"/>
      <c r="AC84" s="16"/>
      <c r="AD84" s="16"/>
      <c r="AE84" s="138" t="s">
        <v>823</v>
      </c>
    </row>
    <row r="85" spans="1:31" ht="13.5" customHeight="1" x14ac:dyDescent="0.3">
      <c r="A85" s="40" t="s">
        <v>205</v>
      </c>
      <c r="B85" s="16">
        <v>0</v>
      </c>
      <c r="C85" s="16">
        <v>0</v>
      </c>
      <c r="D85" s="16">
        <v>0</v>
      </c>
      <c r="E85" s="16">
        <v>0</v>
      </c>
      <c r="F85" s="16">
        <v>0</v>
      </c>
      <c r="G85" s="16">
        <v>0</v>
      </c>
      <c r="H85" s="16">
        <v>0</v>
      </c>
      <c r="I85" s="16">
        <v>0</v>
      </c>
      <c r="J85" s="16">
        <v>0</v>
      </c>
      <c r="K85" s="16">
        <v>0</v>
      </c>
      <c r="L85" s="16">
        <v>0</v>
      </c>
      <c r="M85" s="16">
        <v>0</v>
      </c>
      <c r="N85" s="16">
        <v>0</v>
      </c>
      <c r="O85" s="16">
        <v>0</v>
      </c>
      <c r="P85" s="16"/>
      <c r="Q85" s="16"/>
      <c r="R85" s="16"/>
      <c r="S85" s="16"/>
      <c r="T85" s="16"/>
      <c r="U85" s="16"/>
      <c r="V85" s="16"/>
      <c r="W85" s="16"/>
      <c r="X85" s="16"/>
      <c r="Y85" s="16"/>
      <c r="Z85" s="16"/>
      <c r="AA85" s="16"/>
      <c r="AB85" s="16"/>
      <c r="AC85" s="16"/>
      <c r="AD85" s="16"/>
      <c r="AE85" s="138" t="s">
        <v>824</v>
      </c>
    </row>
    <row r="86" spans="1:31" ht="13.5" customHeight="1" x14ac:dyDescent="0.3">
      <c r="A86" s="40" t="s">
        <v>253</v>
      </c>
      <c r="B86" s="16">
        <v>1</v>
      </c>
      <c r="C86" s="16">
        <v>1</v>
      </c>
      <c r="D86" s="16">
        <v>1</v>
      </c>
      <c r="E86" s="16">
        <v>1</v>
      </c>
      <c r="F86" s="16">
        <v>1</v>
      </c>
      <c r="G86" s="16">
        <v>0</v>
      </c>
      <c r="H86" s="16">
        <v>1</v>
      </c>
      <c r="I86" s="16">
        <v>1</v>
      </c>
      <c r="J86" s="16">
        <v>1</v>
      </c>
      <c r="K86" s="16">
        <v>1</v>
      </c>
      <c r="L86" s="16">
        <v>1</v>
      </c>
      <c r="M86" s="16">
        <v>0</v>
      </c>
      <c r="N86" s="16">
        <v>0</v>
      </c>
      <c r="O86" s="16">
        <v>0</v>
      </c>
      <c r="P86" s="16"/>
      <c r="Q86" s="16"/>
      <c r="R86" s="16"/>
      <c r="S86" s="16"/>
      <c r="T86" s="16"/>
      <c r="U86" s="16"/>
      <c r="V86" s="16"/>
      <c r="W86" s="16"/>
      <c r="X86" s="16"/>
      <c r="Y86" s="16"/>
      <c r="Z86" s="16"/>
      <c r="AA86" s="16"/>
      <c r="AB86" s="16"/>
      <c r="AC86" s="16"/>
      <c r="AD86" s="16"/>
      <c r="AE86" s="138" t="s">
        <v>825</v>
      </c>
    </row>
    <row r="87" spans="1:31" x14ac:dyDescent="0.3">
      <c r="A87" s="421" t="s">
        <v>1567</v>
      </c>
      <c r="B87" s="413">
        <v>0</v>
      </c>
      <c r="C87" s="413">
        <v>0</v>
      </c>
      <c r="D87" s="413">
        <v>0</v>
      </c>
      <c r="E87" s="413">
        <v>0</v>
      </c>
      <c r="F87" s="413">
        <v>0</v>
      </c>
      <c r="G87" s="413">
        <v>1</v>
      </c>
      <c r="H87" s="413">
        <v>0</v>
      </c>
      <c r="I87" s="413">
        <v>0</v>
      </c>
      <c r="J87" s="413">
        <v>0</v>
      </c>
      <c r="K87" s="413">
        <v>0</v>
      </c>
      <c r="L87" s="413">
        <v>0</v>
      </c>
      <c r="M87" s="413">
        <v>1</v>
      </c>
      <c r="N87" s="413">
        <v>0</v>
      </c>
      <c r="O87" s="413">
        <v>1</v>
      </c>
    </row>
    <row r="88" spans="1:31" x14ac:dyDescent="0.3">
      <c r="A88" s="421" t="s">
        <v>1570</v>
      </c>
      <c r="B88" s="413">
        <v>0</v>
      </c>
      <c r="C88" s="413">
        <v>0</v>
      </c>
      <c r="D88" s="413">
        <v>0</v>
      </c>
      <c r="E88" s="413">
        <v>0</v>
      </c>
      <c r="F88" s="413">
        <v>0</v>
      </c>
      <c r="G88" s="413">
        <v>0</v>
      </c>
      <c r="H88" s="413">
        <v>0</v>
      </c>
      <c r="I88" s="413">
        <v>0</v>
      </c>
      <c r="J88" s="413">
        <v>0</v>
      </c>
      <c r="K88" s="413">
        <v>0</v>
      </c>
      <c r="L88" s="413">
        <v>0</v>
      </c>
      <c r="M88" s="413">
        <v>0</v>
      </c>
      <c r="N88" s="413">
        <v>1</v>
      </c>
      <c r="O88" s="413">
        <v>1</v>
      </c>
    </row>
    <row r="89" spans="1:31" x14ac:dyDescent="0.3">
      <c r="A89" s="15" t="s">
        <v>1571</v>
      </c>
      <c r="B89" s="16">
        <v>0</v>
      </c>
      <c r="C89" s="16">
        <v>1</v>
      </c>
      <c r="D89" s="16">
        <v>0</v>
      </c>
      <c r="E89" s="16">
        <v>0</v>
      </c>
      <c r="F89" s="16">
        <v>0</v>
      </c>
      <c r="G89" s="16">
        <v>0</v>
      </c>
      <c r="H89" s="16">
        <v>1</v>
      </c>
      <c r="I89" s="16">
        <v>0</v>
      </c>
      <c r="J89" s="16">
        <v>0</v>
      </c>
      <c r="K89" s="16">
        <v>0</v>
      </c>
      <c r="L89" s="16">
        <v>0</v>
      </c>
      <c r="M89" s="16">
        <v>0</v>
      </c>
      <c r="N89" s="16" t="e">
        <f>VLOOKUP(A89,Elasti_CSC_review_new!$G$2:$H$89,2,0)</f>
        <v>#N/A</v>
      </c>
      <c r="O89" s="16">
        <v>0</v>
      </c>
    </row>
  </sheetData>
  <mergeCells count="4">
    <mergeCell ref="C4:D4"/>
    <mergeCell ref="E4:G4"/>
    <mergeCell ref="H4:I4"/>
    <mergeCell ref="J4:M4"/>
  </mergeCells>
  <conditionalFormatting sqref="A52">
    <cfRule type="cellIs" dxfId="660" priority="9" operator="equal">
      <formula>0</formula>
    </cfRule>
  </conditionalFormatting>
  <conditionalFormatting sqref="A53">
    <cfRule type="cellIs" dxfId="659" priority="8" operator="equal">
      <formula>0</formula>
    </cfRule>
  </conditionalFormatting>
  <conditionalFormatting sqref="A54">
    <cfRule type="cellIs" dxfId="658" priority="7" operator="equal">
      <formula>0</formula>
    </cfRule>
  </conditionalFormatting>
  <conditionalFormatting sqref="A56">
    <cfRule type="cellIs" dxfId="657" priority="6" operator="equal">
      <formula>0</formula>
    </cfRule>
  </conditionalFormatting>
  <conditionalFormatting sqref="A58 A63">
    <cfRule type="cellIs" priority="5" operator="equal">
      <formula>0</formula>
    </cfRule>
  </conditionalFormatting>
  <conditionalFormatting sqref="A59">
    <cfRule type="cellIs" dxfId="656" priority="4" operator="equal">
      <formula>0</formula>
    </cfRule>
  </conditionalFormatting>
  <conditionalFormatting sqref="A60">
    <cfRule type="cellIs" dxfId="655" priority="2" operator="equal">
      <formula>0</formula>
    </cfRule>
    <cfRule type="cellIs" dxfId="654" priority="3" operator="equal">
      <formula>0</formula>
    </cfRule>
  </conditionalFormatting>
  <conditionalFormatting sqref="A55">
    <cfRule type="cellIs" dxfId="653"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C1:X232"/>
  <sheetViews>
    <sheetView topLeftCell="E119" zoomScaleNormal="100" workbookViewId="0">
      <selection activeCell="N134" sqref="N134"/>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1569</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1529</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100</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100</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108</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108</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108</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108</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108</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100</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108</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1148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1523</v>
      </c>
      <c r="F107" s="316" t="s">
        <v>1295</v>
      </c>
      <c r="G107" s="410" t="s">
        <v>1530</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26" t="s">
        <v>1579</v>
      </c>
      <c r="E122" s="328" t="s">
        <v>1578</v>
      </c>
      <c r="F122" s="316" t="s">
        <v>1295</v>
      </c>
      <c r="G122" s="315">
        <v>0</v>
      </c>
      <c r="H122" s="312" t="s">
        <v>1267</v>
      </c>
      <c r="I122" s="312">
        <v>1</v>
      </c>
      <c r="J122" s="314">
        <v>1</v>
      </c>
      <c r="K122" s="314" t="s">
        <v>1310</v>
      </c>
      <c r="L122" s="313" t="s">
        <v>1561</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100</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100</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100</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26" t="s">
        <v>1580</v>
      </c>
      <c r="E134" s="328" t="s">
        <v>1570</v>
      </c>
      <c r="F134" s="320" t="s">
        <v>1277</v>
      </c>
      <c r="G134" s="315">
        <v>0</v>
      </c>
      <c r="H134" s="312" t="s">
        <v>1267</v>
      </c>
      <c r="I134" s="312">
        <v>1</v>
      </c>
      <c r="J134" s="314">
        <v>1</v>
      </c>
      <c r="K134" s="314" t="s">
        <v>1300</v>
      </c>
      <c r="L134" s="313" t="s">
        <v>1603</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1568</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52" priority="62" operator="equal">
      <formula>0</formula>
    </cfRule>
  </conditionalFormatting>
  <conditionalFormatting sqref="E203">
    <cfRule type="cellIs" dxfId="651" priority="56" operator="equal">
      <formula>0</formula>
    </cfRule>
  </conditionalFormatting>
  <conditionalFormatting sqref="E204">
    <cfRule type="cellIs" dxfId="650" priority="55" operator="equal">
      <formula>0</formula>
    </cfRule>
  </conditionalFormatting>
  <conditionalFormatting sqref="E205">
    <cfRule type="cellIs" dxfId="649" priority="54" operator="equal">
      <formula>0</formula>
    </cfRule>
  </conditionalFormatting>
  <conditionalFormatting sqref="E207">
    <cfRule type="cellIs" dxfId="648" priority="53" operator="equal">
      <formula>0</formula>
    </cfRule>
  </conditionalFormatting>
  <conditionalFormatting sqref="E206">
    <cfRule type="cellIs" dxfId="647" priority="52" operator="equal">
      <formula>0</formula>
    </cfRule>
  </conditionalFormatting>
  <conditionalFormatting sqref="H163:H167">
    <cfRule type="cellIs" priority="51" operator="equal">
      <formula>0</formula>
    </cfRule>
  </conditionalFormatting>
  <conditionalFormatting sqref="E209">
    <cfRule type="cellIs" dxfId="646" priority="48" operator="equal">
      <formula>0</formula>
    </cfRule>
  </conditionalFormatting>
  <conditionalFormatting sqref="E208">
    <cfRule type="cellIs" priority="49" operator="equal">
      <formula>0</formula>
    </cfRule>
  </conditionalFormatting>
  <conditionalFormatting sqref="E210">
    <cfRule type="cellIs" dxfId="645" priority="46" operator="equal">
      <formula>0</formula>
    </cfRule>
    <cfRule type="cellIs" dxfId="644" priority="47" operator="equal">
      <formula>0</formula>
    </cfRule>
  </conditionalFormatting>
  <conditionalFormatting sqref="E212">
    <cfRule type="cellIs" priority="45" operator="equal">
      <formula>0</formula>
    </cfRule>
  </conditionalFormatting>
  <conditionalFormatting sqref="F160">
    <cfRule type="cellIs" dxfId="643" priority="40" operator="equal">
      <formula>0</formula>
    </cfRule>
  </conditionalFormatting>
  <conditionalFormatting sqref="F157:H157 G158:H161">
    <cfRule type="cellIs" dxfId="642" priority="44" operator="equal">
      <formula>0</formula>
    </cfRule>
  </conditionalFormatting>
  <conditionalFormatting sqref="F158">
    <cfRule type="cellIs" dxfId="641" priority="43" operator="equal">
      <formula>0</formula>
    </cfRule>
  </conditionalFormatting>
  <conditionalFormatting sqref="F159">
    <cfRule type="cellIs" dxfId="640" priority="42" operator="equal">
      <formula>0</formula>
    </cfRule>
  </conditionalFormatting>
  <conditionalFormatting sqref="F161">
    <cfRule type="cellIs" dxfId="639" priority="39" operator="equal">
      <formula>0</formula>
    </cfRule>
  </conditionalFormatting>
  <conditionalFormatting sqref="E157">
    <cfRule type="cellIs" dxfId="638" priority="38" operator="equal">
      <formula>0</formula>
    </cfRule>
  </conditionalFormatting>
  <conditionalFormatting sqref="E158">
    <cfRule type="cellIs" dxfId="637" priority="37" operator="equal">
      <formula>0</formula>
    </cfRule>
  </conditionalFormatting>
  <conditionalFormatting sqref="E159">
    <cfRule type="cellIs" dxfId="636" priority="36" operator="equal">
      <formula>0</formula>
    </cfRule>
  </conditionalFormatting>
  <conditionalFormatting sqref="E161">
    <cfRule type="cellIs" dxfId="635" priority="35" operator="equal">
      <formula>0</formula>
    </cfRule>
  </conditionalFormatting>
  <conditionalFormatting sqref="E160">
    <cfRule type="cellIs" dxfId="634" priority="34" operator="equal">
      <formula>0</formula>
    </cfRule>
  </conditionalFormatting>
  <conditionalFormatting sqref="F163">
    <cfRule type="cellIs" dxfId="633" priority="32" operator="equal">
      <formula>0</formula>
    </cfRule>
  </conditionalFormatting>
  <conditionalFormatting sqref="F162:H162 G163:G167">
    <cfRule type="cellIs" priority="33" operator="equal">
      <formula>0</formula>
    </cfRule>
  </conditionalFormatting>
  <conditionalFormatting sqref="F164">
    <cfRule type="cellIs" dxfId="632" priority="30" operator="equal">
      <formula>0</formula>
    </cfRule>
    <cfRule type="cellIs" dxfId="631" priority="31" operator="equal">
      <formula>0</formula>
    </cfRule>
  </conditionalFormatting>
  <conditionalFormatting sqref="E163">
    <cfRule type="cellIs" dxfId="630" priority="28" operator="equal">
      <formula>0</formula>
    </cfRule>
  </conditionalFormatting>
  <conditionalFormatting sqref="E162">
    <cfRule type="cellIs" priority="29" operator="equal">
      <formula>0</formula>
    </cfRule>
  </conditionalFormatting>
  <conditionalFormatting sqref="E164">
    <cfRule type="cellIs" dxfId="629" priority="26" operator="equal">
      <formula>0</formula>
    </cfRule>
    <cfRule type="cellIs" dxfId="628" priority="27" operator="equal">
      <formula>0</formula>
    </cfRule>
  </conditionalFormatting>
  <conditionalFormatting sqref="F165:F166">
    <cfRule type="cellIs" priority="25" operator="equal">
      <formula>0</formula>
    </cfRule>
  </conditionalFormatting>
  <conditionalFormatting sqref="E165:E166">
    <cfRule type="cellIs" priority="24" operator="equal">
      <formula>0</formula>
    </cfRule>
  </conditionalFormatting>
  <conditionalFormatting sqref="N157">
    <cfRule type="cellIs" dxfId="627" priority="23" operator="equal">
      <formula>0</formula>
    </cfRule>
  </conditionalFormatting>
  <conditionalFormatting sqref="N158">
    <cfRule type="cellIs" dxfId="626" priority="22" operator="equal">
      <formula>0</formula>
    </cfRule>
  </conditionalFormatting>
  <conditionalFormatting sqref="N159">
    <cfRule type="cellIs" dxfId="625" priority="21" operator="equal">
      <formula>0</formula>
    </cfRule>
  </conditionalFormatting>
  <conditionalFormatting sqref="N160">
    <cfRule type="cellIs" dxfId="624" priority="20" operator="equal">
      <formula>0</formula>
    </cfRule>
  </conditionalFormatting>
  <conditionalFormatting sqref="N162">
    <cfRule type="cellIs" priority="19" operator="equal">
      <formula>0</formula>
    </cfRule>
  </conditionalFormatting>
  <conditionalFormatting sqref="N163">
    <cfRule type="cellIs" dxfId="623" priority="18" operator="equal">
      <formula>0</formula>
    </cfRule>
  </conditionalFormatting>
  <conditionalFormatting sqref="N164:N166">
    <cfRule type="cellIs" dxfId="622" priority="16" operator="equal">
      <formula>0</formula>
    </cfRule>
    <cfRule type="cellIs" dxfId="621" priority="17" operator="equal">
      <formula>0</formula>
    </cfRule>
  </conditionalFormatting>
  <conditionalFormatting sqref="L157:L159">
    <cfRule type="cellIs" dxfId="620" priority="15" operator="equal">
      <formula>0</formula>
    </cfRule>
  </conditionalFormatting>
  <conditionalFormatting sqref="L157">
    <cfRule type="cellIs" dxfId="619" priority="14" operator="equal">
      <formula>0</formula>
    </cfRule>
  </conditionalFormatting>
  <conditionalFormatting sqref="L158">
    <cfRule type="cellIs" dxfId="618" priority="13" operator="equal">
      <formula>0</formula>
    </cfRule>
  </conditionalFormatting>
  <conditionalFormatting sqref="L159">
    <cfRule type="cellIs" dxfId="617" priority="12" operator="equal">
      <formula>0</formula>
    </cfRule>
  </conditionalFormatting>
  <conditionalFormatting sqref="L160:L161">
    <cfRule type="cellIs" dxfId="616" priority="11" operator="equal">
      <formula>0</formula>
    </cfRule>
  </conditionalFormatting>
  <conditionalFormatting sqref="L160">
    <cfRule type="cellIs" dxfId="615" priority="10" operator="equal">
      <formula>0</formula>
    </cfRule>
  </conditionalFormatting>
  <conditionalFormatting sqref="L161">
    <cfRule type="cellIs" dxfId="614" priority="9" operator="equal">
      <formula>0</formula>
    </cfRule>
  </conditionalFormatting>
  <conditionalFormatting sqref="L166">
    <cfRule type="cellIs" dxfId="613" priority="8" operator="equal">
      <formula>0</formula>
    </cfRule>
  </conditionalFormatting>
  <conditionalFormatting sqref="L167">
    <cfRule type="cellIs" dxfId="612" priority="7" operator="equal">
      <formula>0</formula>
    </cfRule>
  </conditionalFormatting>
  <conditionalFormatting sqref="L165:L166">
    <cfRule type="cellIs" dxfId="611" priority="6" operator="equal">
      <formula>0</formula>
    </cfRule>
  </conditionalFormatting>
  <conditionalFormatting sqref="L165:L166">
    <cfRule type="cellIs" priority="5" operator="equal">
      <formula>0</formula>
    </cfRule>
  </conditionalFormatting>
  <conditionalFormatting sqref="O160">
    <cfRule type="cellIs" dxfId="610"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A78" workbookViewId="0">
      <selection activeCell="D66" sqref="D66"/>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1577</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1529</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100</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100</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108</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108</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108</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108</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108</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100</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108</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1148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1523</v>
      </c>
      <c r="F107" s="316" t="s">
        <v>1295</v>
      </c>
      <c r="G107" s="410" t="s">
        <v>1530</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32" t="s">
        <v>1573</v>
      </c>
      <c r="E122" s="330" t="s">
        <v>1574</v>
      </c>
      <c r="F122" s="316" t="s">
        <v>1295</v>
      </c>
      <c r="G122" s="315">
        <v>0</v>
      </c>
      <c r="H122" s="312" t="s">
        <v>1267</v>
      </c>
      <c r="I122" s="312">
        <v>1</v>
      </c>
      <c r="J122" s="314">
        <v>1</v>
      </c>
      <c r="K122" s="314" t="s">
        <v>1310</v>
      </c>
      <c r="L122" s="313" t="s">
        <v>460</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100</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100</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100</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32" t="s">
        <v>1301</v>
      </c>
      <c r="E134" s="330" t="s">
        <v>48</v>
      </c>
      <c r="F134" s="320" t="s">
        <v>1277</v>
      </c>
      <c r="G134" s="315">
        <v>0</v>
      </c>
      <c r="H134" s="312" t="s">
        <v>1267</v>
      </c>
      <c r="I134" s="312">
        <v>1</v>
      </c>
      <c r="J134" s="314">
        <v>1</v>
      </c>
      <c r="K134" s="314" t="s">
        <v>1300</v>
      </c>
      <c r="L134" s="313" t="s">
        <v>1575</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1576</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09" priority="59" operator="equal">
      <formula>0</formula>
    </cfRule>
  </conditionalFormatting>
  <conditionalFormatting sqref="D203">
    <cfRule type="cellIs" dxfId="608" priority="58" operator="equal">
      <formula>0</formula>
    </cfRule>
  </conditionalFormatting>
  <conditionalFormatting sqref="D206">
    <cfRule type="cellIs" dxfId="607" priority="54" operator="equal">
      <formula>0</formula>
    </cfRule>
  </conditionalFormatting>
  <conditionalFormatting sqref="D204">
    <cfRule type="cellIs" dxfId="606" priority="57" operator="equal">
      <formula>0</formula>
    </cfRule>
  </conditionalFormatting>
  <conditionalFormatting sqref="D205">
    <cfRule type="cellIs" dxfId="605" priority="56" operator="equal">
      <formula>0</formula>
    </cfRule>
  </conditionalFormatting>
  <conditionalFormatting sqref="D207">
    <cfRule type="cellIs" dxfId="604" priority="55" operator="equal">
      <formula>0</formula>
    </cfRule>
  </conditionalFormatting>
  <conditionalFormatting sqref="E203">
    <cfRule type="cellIs" dxfId="603" priority="53" operator="equal">
      <formula>0</formula>
    </cfRule>
  </conditionalFormatting>
  <conditionalFormatting sqref="E204">
    <cfRule type="cellIs" dxfId="602" priority="52" operator="equal">
      <formula>0</formula>
    </cfRule>
  </conditionalFormatting>
  <conditionalFormatting sqref="E205">
    <cfRule type="cellIs" dxfId="601" priority="51" operator="equal">
      <formula>0</formula>
    </cfRule>
  </conditionalFormatting>
  <conditionalFormatting sqref="E207">
    <cfRule type="cellIs" dxfId="600" priority="50" operator="equal">
      <formula>0</formula>
    </cfRule>
  </conditionalFormatting>
  <conditionalFormatting sqref="E206">
    <cfRule type="cellIs" dxfId="599" priority="49" operator="equal">
      <formula>0</formula>
    </cfRule>
  </conditionalFormatting>
  <conditionalFormatting sqref="D209">
    <cfRule type="cellIs" dxfId="598" priority="47" operator="equal">
      <formula>0</formula>
    </cfRule>
  </conditionalFormatting>
  <conditionalFormatting sqref="D208 H163:H167">
    <cfRule type="cellIs" priority="48" operator="equal">
      <formula>0</formula>
    </cfRule>
  </conditionalFormatting>
  <conditionalFormatting sqref="E209">
    <cfRule type="cellIs" dxfId="597" priority="45" operator="equal">
      <formula>0</formula>
    </cfRule>
  </conditionalFormatting>
  <conditionalFormatting sqref="E208">
    <cfRule type="cellIs" priority="46" operator="equal">
      <formula>0</formula>
    </cfRule>
  </conditionalFormatting>
  <conditionalFormatting sqref="E210">
    <cfRule type="cellIs" dxfId="596" priority="43" operator="equal">
      <formula>0</formula>
    </cfRule>
    <cfRule type="cellIs" dxfId="595" priority="44" operator="equal">
      <formula>0</formula>
    </cfRule>
  </conditionalFormatting>
  <conditionalFormatting sqref="E212">
    <cfRule type="cellIs" priority="42" operator="equal">
      <formula>0</formula>
    </cfRule>
  </conditionalFormatting>
  <conditionalFormatting sqref="D160 F160">
    <cfRule type="cellIs" dxfId="594" priority="37" operator="equal">
      <formula>0</formula>
    </cfRule>
  </conditionalFormatting>
  <conditionalFormatting sqref="D157 F157:H157 G158:H161">
    <cfRule type="cellIs" dxfId="593" priority="41" operator="equal">
      <formula>0</formula>
    </cfRule>
  </conditionalFormatting>
  <conditionalFormatting sqref="D158 F158">
    <cfRule type="cellIs" dxfId="592" priority="40" operator="equal">
      <formula>0</formula>
    </cfRule>
  </conditionalFormatting>
  <conditionalFormatting sqref="D159 F159">
    <cfRule type="cellIs" dxfId="591" priority="39" operator="equal">
      <formula>0</formula>
    </cfRule>
  </conditionalFormatting>
  <conditionalFormatting sqref="D161">
    <cfRule type="cellIs" dxfId="590" priority="38" operator="equal">
      <formula>0</formula>
    </cfRule>
  </conditionalFormatting>
  <conditionalFormatting sqref="F161">
    <cfRule type="cellIs" dxfId="589" priority="36" operator="equal">
      <formula>0</formula>
    </cfRule>
  </conditionalFormatting>
  <conditionalFormatting sqref="E157">
    <cfRule type="cellIs" dxfId="588" priority="35" operator="equal">
      <formula>0</formula>
    </cfRule>
  </conditionalFormatting>
  <conditionalFormatting sqref="E158">
    <cfRule type="cellIs" dxfId="587" priority="34" operator="equal">
      <formula>0</formula>
    </cfRule>
  </conditionalFormatting>
  <conditionalFormatting sqref="E159">
    <cfRule type="cellIs" dxfId="586" priority="33" operator="equal">
      <formula>0</formula>
    </cfRule>
  </conditionalFormatting>
  <conditionalFormatting sqref="E161">
    <cfRule type="cellIs" dxfId="585" priority="32" operator="equal">
      <formula>0</formula>
    </cfRule>
  </conditionalFormatting>
  <conditionalFormatting sqref="E160">
    <cfRule type="cellIs" dxfId="584" priority="31" operator="equal">
      <formula>0</formula>
    </cfRule>
  </conditionalFormatting>
  <conditionalFormatting sqref="D163 F163">
    <cfRule type="cellIs" dxfId="583" priority="29" operator="equal">
      <formula>0</formula>
    </cfRule>
  </conditionalFormatting>
  <conditionalFormatting sqref="D162 F162:H162 G163:G167">
    <cfRule type="cellIs" priority="30" operator="equal">
      <formula>0</formula>
    </cfRule>
  </conditionalFormatting>
  <conditionalFormatting sqref="D164 F164">
    <cfRule type="cellIs" dxfId="582" priority="27" operator="equal">
      <formula>0</formula>
    </cfRule>
    <cfRule type="cellIs" dxfId="581" priority="28" operator="equal">
      <formula>0</formula>
    </cfRule>
  </conditionalFormatting>
  <conditionalFormatting sqref="E163">
    <cfRule type="cellIs" dxfId="580" priority="25" operator="equal">
      <formula>0</formula>
    </cfRule>
  </conditionalFormatting>
  <conditionalFormatting sqref="E162">
    <cfRule type="cellIs" priority="26" operator="equal">
      <formula>0</formula>
    </cfRule>
  </conditionalFormatting>
  <conditionalFormatting sqref="E164">
    <cfRule type="cellIs" dxfId="579" priority="23" operator="equal">
      <formula>0</formula>
    </cfRule>
    <cfRule type="cellIs" dxfId="578"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577" priority="20" operator="equal">
      <formula>0</formula>
    </cfRule>
  </conditionalFormatting>
  <conditionalFormatting sqref="N158">
    <cfRule type="cellIs" dxfId="576" priority="19" operator="equal">
      <formula>0</formula>
    </cfRule>
  </conditionalFormatting>
  <conditionalFormatting sqref="N159">
    <cfRule type="cellIs" dxfId="575" priority="18" operator="equal">
      <formula>0</formula>
    </cfRule>
  </conditionalFormatting>
  <conditionalFormatting sqref="N160">
    <cfRule type="cellIs" dxfId="574" priority="17" operator="equal">
      <formula>0</formula>
    </cfRule>
  </conditionalFormatting>
  <conditionalFormatting sqref="N162">
    <cfRule type="cellIs" priority="16" operator="equal">
      <formula>0</formula>
    </cfRule>
  </conditionalFormatting>
  <conditionalFormatting sqref="N163">
    <cfRule type="cellIs" dxfId="573" priority="15" operator="equal">
      <formula>0</formula>
    </cfRule>
  </conditionalFormatting>
  <conditionalFormatting sqref="N164:N166">
    <cfRule type="cellIs" dxfId="572" priority="13" operator="equal">
      <formula>0</formula>
    </cfRule>
    <cfRule type="cellIs" dxfId="571" priority="14" operator="equal">
      <formula>0</formula>
    </cfRule>
  </conditionalFormatting>
  <conditionalFormatting sqref="L157:L159">
    <cfRule type="cellIs" dxfId="570" priority="12" operator="equal">
      <formula>0</formula>
    </cfRule>
  </conditionalFormatting>
  <conditionalFormatting sqref="L157">
    <cfRule type="cellIs" dxfId="569" priority="11" operator="equal">
      <formula>0</formula>
    </cfRule>
  </conditionalFormatting>
  <conditionalFormatting sqref="L158">
    <cfRule type="cellIs" dxfId="568" priority="10" operator="equal">
      <formula>0</formula>
    </cfRule>
  </conditionalFormatting>
  <conditionalFormatting sqref="L159">
    <cfRule type="cellIs" dxfId="567" priority="9" operator="equal">
      <formula>0</formula>
    </cfRule>
  </conditionalFormatting>
  <conditionalFormatting sqref="L160:L161">
    <cfRule type="cellIs" dxfId="566" priority="8" operator="equal">
      <formula>0</formula>
    </cfRule>
  </conditionalFormatting>
  <conditionalFormatting sqref="L160">
    <cfRule type="cellIs" dxfId="565" priority="7" operator="equal">
      <formula>0</formula>
    </cfRule>
  </conditionalFormatting>
  <conditionalFormatting sqref="L161">
    <cfRule type="cellIs" dxfId="564" priority="6" operator="equal">
      <formula>0</formula>
    </cfRule>
  </conditionalFormatting>
  <conditionalFormatting sqref="L166">
    <cfRule type="cellIs" dxfId="563" priority="5" operator="equal">
      <formula>0</formula>
    </cfRule>
  </conditionalFormatting>
  <conditionalFormatting sqref="L167">
    <cfRule type="cellIs" dxfId="562" priority="4" operator="equal">
      <formula>0</formula>
    </cfRule>
  </conditionalFormatting>
  <conditionalFormatting sqref="L165:L166">
    <cfRule type="cellIs" dxfId="561" priority="3" operator="equal">
      <formula>0</formula>
    </cfRule>
  </conditionalFormatting>
  <conditionalFormatting sqref="L165:L166">
    <cfRule type="cellIs" priority="2" operator="equal">
      <formula>0</formula>
    </cfRule>
  </conditionalFormatting>
  <conditionalFormatting sqref="O160">
    <cfRule type="cellIs" dxfId="560"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60" workbookViewId="0">
      <selection activeCell="C78" sqref="C78"/>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1533</v>
      </c>
      <c r="B1" s="15" t="s">
        <v>662</v>
      </c>
      <c r="C1" s="15" t="s">
        <v>1534</v>
      </c>
      <c r="D1" s="15" t="s">
        <v>661</v>
      </c>
      <c r="E1" s="15" t="s">
        <v>1535</v>
      </c>
      <c r="G1" s="15" t="s">
        <v>1536</v>
      </c>
      <c r="H1" s="15" t="s">
        <v>790</v>
      </c>
      <c r="I1" s="15" t="s">
        <v>1602</v>
      </c>
    </row>
    <row r="2" spans="1:9" x14ac:dyDescent="0.3">
      <c r="A2" s="15">
        <v>0</v>
      </c>
      <c r="B2" s="415" t="s">
        <v>64</v>
      </c>
      <c r="C2" s="415" t="s">
        <v>1537</v>
      </c>
      <c r="D2" s="314">
        <v>1</v>
      </c>
      <c r="E2" s="15">
        <v>0</v>
      </c>
      <c r="F2" s="205" t="s">
        <v>65</v>
      </c>
      <c r="G2" s="312" t="s">
        <v>613</v>
      </c>
      <c r="I2" s="412" t="s">
        <v>1430</v>
      </c>
    </row>
    <row r="3" spans="1:9" x14ac:dyDescent="0.3">
      <c r="A3" s="15">
        <v>1</v>
      </c>
      <c r="B3" s="415" t="s">
        <v>67</v>
      </c>
      <c r="C3" s="415" t="s">
        <v>1537</v>
      </c>
      <c r="D3" s="314">
        <v>1</v>
      </c>
      <c r="E3" s="15">
        <f t="shared" ref="E3:E34" si="0">E2+D2</f>
        <v>1</v>
      </c>
      <c r="F3" s="205" t="s">
        <v>68</v>
      </c>
      <c r="G3" s="312" t="s">
        <v>613</v>
      </c>
      <c r="I3" s="412" t="s">
        <v>1429</v>
      </c>
    </row>
    <row r="4" spans="1:9" x14ac:dyDescent="0.3">
      <c r="A4" s="15">
        <v>2</v>
      </c>
      <c r="B4" s="415" t="s">
        <v>71</v>
      </c>
      <c r="C4" s="415" t="s">
        <v>1537</v>
      </c>
      <c r="D4" s="314">
        <v>1</v>
      </c>
      <c r="E4" s="15">
        <f t="shared" si="0"/>
        <v>2</v>
      </c>
      <c r="F4" s="204" t="s">
        <v>72</v>
      </c>
      <c r="G4" s="312" t="s">
        <v>70</v>
      </c>
      <c r="I4" s="412" t="s">
        <v>71</v>
      </c>
    </row>
    <row r="5" spans="1:9" x14ac:dyDescent="0.3">
      <c r="A5" s="15">
        <v>3</v>
      </c>
      <c r="B5" s="415" t="s">
        <v>73</v>
      </c>
      <c r="C5" s="415" t="s">
        <v>1537</v>
      </c>
      <c r="D5" s="314">
        <v>1</v>
      </c>
      <c r="E5" s="15">
        <f t="shared" si="0"/>
        <v>3</v>
      </c>
      <c r="F5" s="205" t="s">
        <v>74</v>
      </c>
      <c r="G5" s="312" t="s">
        <v>613</v>
      </c>
      <c r="I5" s="412" t="s">
        <v>73</v>
      </c>
    </row>
    <row r="6" spans="1:9" ht="43.2" x14ac:dyDescent="0.3">
      <c r="A6" s="15">
        <v>4</v>
      </c>
      <c r="B6" s="415" t="s">
        <v>76</v>
      </c>
      <c r="C6" s="415" t="s">
        <v>1538</v>
      </c>
      <c r="D6" s="314">
        <v>1</v>
      </c>
      <c r="E6" s="15">
        <f t="shared" si="0"/>
        <v>4</v>
      </c>
      <c r="F6" s="204" t="s">
        <v>77</v>
      </c>
      <c r="G6" s="312" t="s">
        <v>75</v>
      </c>
      <c r="H6" s="15">
        <v>0</v>
      </c>
      <c r="I6" s="412" t="s">
        <v>76</v>
      </c>
    </row>
    <row r="7" spans="1:9" x14ac:dyDescent="0.3">
      <c r="A7" s="15">
        <v>5</v>
      </c>
      <c r="B7" s="415" t="s">
        <v>79</v>
      </c>
      <c r="C7" s="415" t="s">
        <v>460</v>
      </c>
      <c r="D7" s="314">
        <v>1</v>
      </c>
      <c r="E7" s="15">
        <f t="shared" si="0"/>
        <v>5</v>
      </c>
      <c r="F7" s="204" t="s">
        <v>80</v>
      </c>
      <c r="G7" s="312" t="s">
        <v>75</v>
      </c>
      <c r="H7" s="15">
        <v>0</v>
      </c>
      <c r="I7" s="412" t="s">
        <v>79</v>
      </c>
    </row>
    <row r="8" spans="1:9" x14ac:dyDescent="0.3">
      <c r="A8" s="15">
        <v>6</v>
      </c>
      <c r="B8" s="415" t="s">
        <v>81</v>
      </c>
      <c r="C8" s="415" t="s">
        <v>1537</v>
      </c>
      <c r="D8" s="314">
        <v>1</v>
      </c>
      <c r="E8" s="15">
        <f t="shared" si="0"/>
        <v>6</v>
      </c>
      <c r="F8" s="205" t="s">
        <v>82</v>
      </c>
      <c r="G8" s="278" t="s">
        <v>1180</v>
      </c>
      <c r="I8" s="412" t="s">
        <v>81</v>
      </c>
    </row>
    <row r="9" spans="1:9" x14ac:dyDescent="0.3">
      <c r="A9" s="15">
        <v>7</v>
      </c>
      <c r="B9" s="415" t="s">
        <v>83</v>
      </c>
      <c r="C9" s="415" t="s">
        <v>1539</v>
      </c>
      <c r="D9" s="314">
        <v>1</v>
      </c>
      <c r="E9" s="15">
        <f t="shared" si="0"/>
        <v>7</v>
      </c>
      <c r="F9" s="205" t="s">
        <v>84</v>
      </c>
      <c r="G9" s="501" t="s">
        <v>1529</v>
      </c>
      <c r="H9" s="15">
        <v>1</v>
      </c>
      <c r="I9" s="412" t="s">
        <v>1420</v>
      </c>
    </row>
    <row r="10" spans="1:9" x14ac:dyDescent="0.3">
      <c r="A10" s="15">
        <v>8</v>
      </c>
      <c r="B10" s="415" t="s">
        <v>85</v>
      </c>
      <c r="C10" s="415" t="s">
        <v>1537</v>
      </c>
      <c r="D10" s="314">
        <v>1</v>
      </c>
      <c r="E10" s="15">
        <f t="shared" si="0"/>
        <v>8</v>
      </c>
      <c r="F10" s="205" t="s">
        <v>86</v>
      </c>
      <c r="G10" s="312" t="s">
        <v>613</v>
      </c>
      <c r="I10" s="412" t="s">
        <v>85</v>
      </c>
    </row>
    <row r="11" spans="1:9" ht="28.8" x14ac:dyDescent="0.3">
      <c r="A11" s="15">
        <v>9</v>
      </c>
      <c r="B11" s="415" t="s">
        <v>811</v>
      </c>
      <c r="C11" s="415" t="s">
        <v>1537</v>
      </c>
      <c r="D11" s="314">
        <v>1</v>
      </c>
      <c r="E11" s="15">
        <f t="shared" si="0"/>
        <v>9</v>
      </c>
      <c r="F11" s="207" t="s">
        <v>88</v>
      </c>
      <c r="G11" s="312" t="s">
        <v>809</v>
      </c>
      <c r="H11" s="15">
        <v>1</v>
      </c>
      <c r="I11" s="412" t="s">
        <v>1416</v>
      </c>
    </row>
    <row r="12" spans="1:9" ht="28.8" x14ac:dyDescent="0.3">
      <c r="A12" s="15">
        <v>10</v>
      </c>
      <c r="B12" s="415" t="s">
        <v>89</v>
      </c>
      <c r="C12" s="415" t="s">
        <v>1540</v>
      </c>
      <c r="D12" s="314">
        <v>1</v>
      </c>
      <c r="E12" s="15">
        <f t="shared" si="0"/>
        <v>10</v>
      </c>
      <c r="F12" s="204" t="s">
        <v>90</v>
      </c>
      <c r="G12" s="312" t="s">
        <v>647</v>
      </c>
      <c r="H12" s="15">
        <v>0</v>
      </c>
      <c r="I12" s="412" t="s">
        <v>1414</v>
      </c>
    </row>
    <row r="13" spans="1:9" x14ac:dyDescent="0.3">
      <c r="A13" s="15">
        <v>11</v>
      </c>
      <c r="B13" s="415" t="s">
        <v>92</v>
      </c>
      <c r="C13" s="415" t="s">
        <v>1537</v>
      </c>
      <c r="D13" s="314">
        <v>1</v>
      </c>
      <c r="E13" s="15">
        <f t="shared" si="0"/>
        <v>11</v>
      </c>
      <c r="F13" s="204" t="s">
        <v>93</v>
      </c>
      <c r="G13" s="312" t="s">
        <v>91</v>
      </c>
      <c r="H13" s="15">
        <v>1</v>
      </c>
      <c r="I13" s="412" t="s">
        <v>1409</v>
      </c>
    </row>
    <row r="14" spans="1:9" ht="57.6" x14ac:dyDescent="0.3">
      <c r="A14" s="15">
        <v>12</v>
      </c>
      <c r="B14" s="415" t="s">
        <v>94</v>
      </c>
      <c r="C14" s="415" t="s">
        <v>1541</v>
      </c>
      <c r="D14" s="314">
        <v>1</v>
      </c>
      <c r="E14" s="15">
        <f t="shared" si="0"/>
        <v>12</v>
      </c>
      <c r="F14" s="204" t="s">
        <v>95</v>
      </c>
      <c r="G14" s="312" t="s">
        <v>649</v>
      </c>
      <c r="H14" s="15">
        <v>1</v>
      </c>
      <c r="I14" s="412" t="s">
        <v>94</v>
      </c>
    </row>
    <row r="15" spans="1:9" x14ac:dyDescent="0.3">
      <c r="A15" s="15">
        <v>13</v>
      </c>
      <c r="B15" s="415" t="s">
        <v>96</v>
      </c>
      <c r="C15" s="415" t="s">
        <v>1537</v>
      </c>
      <c r="D15" s="314">
        <v>1</v>
      </c>
      <c r="E15" s="15">
        <f t="shared" si="0"/>
        <v>13</v>
      </c>
      <c r="F15" s="204" t="s">
        <v>97</v>
      </c>
      <c r="G15" s="312" t="s">
        <v>172</v>
      </c>
      <c r="H15" s="15">
        <v>1</v>
      </c>
      <c r="I15" s="412" t="s">
        <v>96</v>
      </c>
    </row>
    <row r="16" spans="1:9" x14ac:dyDescent="0.3">
      <c r="A16" s="15">
        <v>14</v>
      </c>
      <c r="B16" s="415" t="s">
        <v>98</v>
      </c>
      <c r="C16" s="415" t="s">
        <v>1537</v>
      </c>
      <c r="D16" s="314">
        <v>1</v>
      </c>
      <c r="E16" s="15">
        <f t="shared" si="0"/>
        <v>14</v>
      </c>
      <c r="F16" s="205" t="s">
        <v>99</v>
      </c>
      <c r="G16" s="312" t="s">
        <v>613</v>
      </c>
      <c r="I16" s="412" t="s">
        <v>1581</v>
      </c>
    </row>
    <row r="17" spans="1:9" x14ac:dyDescent="0.3">
      <c r="A17" s="15">
        <v>15</v>
      </c>
      <c r="B17" s="415" t="s">
        <v>101</v>
      </c>
      <c r="C17" s="415" t="s">
        <v>1537</v>
      </c>
      <c r="D17" s="314">
        <v>1</v>
      </c>
      <c r="E17" s="15">
        <f t="shared" si="0"/>
        <v>15</v>
      </c>
      <c r="F17" s="204" t="s">
        <v>102</v>
      </c>
      <c r="G17" s="312" t="s">
        <v>100</v>
      </c>
      <c r="H17" s="15">
        <v>0</v>
      </c>
      <c r="I17" s="412" t="s">
        <v>1582</v>
      </c>
    </row>
    <row r="18" spans="1:9" x14ac:dyDescent="0.3">
      <c r="A18" s="15">
        <v>16</v>
      </c>
      <c r="B18" s="415" t="s">
        <v>103</v>
      </c>
      <c r="C18" s="415" t="s">
        <v>1537</v>
      </c>
      <c r="D18" s="314">
        <v>1</v>
      </c>
      <c r="E18" s="15">
        <f t="shared" si="0"/>
        <v>16</v>
      </c>
      <c r="F18" s="205" t="s">
        <v>104</v>
      </c>
      <c r="G18" s="312" t="s">
        <v>613</v>
      </c>
      <c r="I18" s="412" t="s">
        <v>1395</v>
      </c>
    </row>
    <row r="19" spans="1:9" x14ac:dyDescent="0.3">
      <c r="A19" s="15">
        <v>17</v>
      </c>
      <c r="B19" s="415" t="s">
        <v>105</v>
      </c>
      <c r="C19" s="415" t="s">
        <v>1537</v>
      </c>
      <c r="D19" s="314">
        <v>1</v>
      </c>
      <c r="E19" s="15">
        <f t="shared" si="0"/>
        <v>17</v>
      </c>
      <c r="F19" s="205" t="s">
        <v>106</v>
      </c>
      <c r="G19" s="312" t="s">
        <v>613</v>
      </c>
      <c r="I19" s="412" t="s">
        <v>1394</v>
      </c>
    </row>
    <row r="20" spans="1:9" x14ac:dyDescent="0.3">
      <c r="A20" s="15">
        <v>18</v>
      </c>
      <c r="B20" s="415" t="s">
        <v>107</v>
      </c>
      <c r="C20" s="415" t="s">
        <v>1537</v>
      </c>
      <c r="D20" s="314">
        <v>5</v>
      </c>
      <c r="E20" s="15">
        <f t="shared" si="0"/>
        <v>18</v>
      </c>
      <c r="F20" s="204" t="s">
        <v>1123</v>
      </c>
      <c r="G20" s="312" t="s">
        <v>100</v>
      </c>
      <c r="H20" s="15">
        <v>0</v>
      </c>
    </row>
    <row r="21" spans="1:9" ht="28.8" x14ac:dyDescent="0.3">
      <c r="A21" s="15">
        <v>19</v>
      </c>
      <c r="B21" s="416" t="s">
        <v>109</v>
      </c>
      <c r="C21" s="416" t="s">
        <v>460</v>
      </c>
      <c r="D21" s="341">
        <v>1</v>
      </c>
      <c r="E21" s="15">
        <f t="shared" si="0"/>
        <v>23</v>
      </c>
      <c r="F21" s="204" t="s">
        <v>110</v>
      </c>
      <c r="G21" s="339" t="s">
        <v>108</v>
      </c>
      <c r="H21" s="15">
        <v>0</v>
      </c>
      <c r="I21" s="412" t="s">
        <v>1583</v>
      </c>
    </row>
    <row r="22" spans="1:9" ht="28.8" x14ac:dyDescent="0.3">
      <c r="A22" s="15">
        <v>20</v>
      </c>
      <c r="B22" s="416" t="s">
        <v>111</v>
      </c>
      <c r="C22" s="416" t="s">
        <v>460</v>
      </c>
      <c r="D22" s="341">
        <v>1</v>
      </c>
      <c r="E22" s="15">
        <f t="shared" si="0"/>
        <v>24</v>
      </c>
      <c r="F22" s="204" t="s">
        <v>112</v>
      </c>
      <c r="G22" s="339" t="s">
        <v>108</v>
      </c>
      <c r="H22" s="15">
        <v>0</v>
      </c>
      <c r="I22" s="412" t="s">
        <v>1584</v>
      </c>
    </row>
    <row r="23" spans="1:9" ht="28.8" x14ac:dyDescent="0.3">
      <c r="A23" s="15">
        <v>21</v>
      </c>
      <c r="B23" s="416" t="s">
        <v>113</v>
      </c>
      <c r="C23" s="416" t="s">
        <v>460</v>
      </c>
      <c r="D23" s="341">
        <v>1</v>
      </c>
      <c r="E23" s="15">
        <f t="shared" si="0"/>
        <v>25</v>
      </c>
      <c r="F23" s="204" t="s">
        <v>114</v>
      </c>
      <c r="G23" s="339" t="s">
        <v>108</v>
      </c>
      <c r="H23" s="15">
        <v>0</v>
      </c>
      <c r="I23" s="412" t="s">
        <v>1585</v>
      </c>
    </row>
    <row r="24" spans="1:9" ht="28.8" x14ac:dyDescent="0.3">
      <c r="A24" s="15">
        <v>22</v>
      </c>
      <c r="B24" s="416" t="s">
        <v>115</v>
      </c>
      <c r="C24" s="416" t="s">
        <v>460</v>
      </c>
      <c r="D24" s="341">
        <v>1</v>
      </c>
      <c r="E24" s="15">
        <f t="shared" si="0"/>
        <v>26</v>
      </c>
      <c r="F24" s="204" t="s">
        <v>116</v>
      </c>
      <c r="G24" s="339" t="s">
        <v>108</v>
      </c>
      <c r="H24" s="15">
        <v>0</v>
      </c>
      <c r="I24" s="412" t="s">
        <v>1586</v>
      </c>
    </row>
    <row r="25" spans="1:9" ht="28.8" x14ac:dyDescent="0.3">
      <c r="A25" s="15">
        <v>23</v>
      </c>
      <c r="B25" s="416" t="s">
        <v>117</v>
      </c>
      <c r="C25" s="416" t="s">
        <v>460</v>
      </c>
      <c r="D25" s="341">
        <v>1</v>
      </c>
      <c r="E25" s="15">
        <f t="shared" si="0"/>
        <v>27</v>
      </c>
      <c r="F25" s="204" t="s">
        <v>118</v>
      </c>
      <c r="G25" s="339" t="s">
        <v>108</v>
      </c>
      <c r="H25" s="15">
        <v>0</v>
      </c>
      <c r="I25" s="412" t="s">
        <v>1587</v>
      </c>
    </row>
    <row r="26" spans="1:9" x14ac:dyDescent="0.3">
      <c r="A26" s="15">
        <v>24</v>
      </c>
      <c r="B26" s="415" t="s">
        <v>120</v>
      </c>
      <c r="C26" s="415" t="s">
        <v>460</v>
      </c>
      <c r="D26" s="314">
        <v>1</v>
      </c>
      <c r="E26" s="15">
        <f t="shared" si="0"/>
        <v>28</v>
      </c>
      <c r="F26" s="204" t="s">
        <v>121</v>
      </c>
      <c r="G26" s="312" t="s">
        <v>119</v>
      </c>
      <c r="H26" s="15">
        <v>0</v>
      </c>
      <c r="I26" s="412" t="s">
        <v>1391</v>
      </c>
    </row>
    <row r="27" spans="1:9" x14ac:dyDescent="0.3">
      <c r="A27" s="15">
        <v>25</v>
      </c>
      <c r="B27" s="415" t="s">
        <v>123</v>
      </c>
      <c r="C27" s="415" t="s">
        <v>460</v>
      </c>
      <c r="D27" s="314">
        <v>1</v>
      </c>
      <c r="E27" s="15">
        <f t="shared" si="0"/>
        <v>29</v>
      </c>
      <c r="F27" s="204" t="s">
        <v>124</v>
      </c>
      <c r="G27" s="312" t="s">
        <v>122</v>
      </c>
      <c r="H27" s="15">
        <v>0</v>
      </c>
      <c r="I27" s="412" t="s">
        <v>1390</v>
      </c>
    </row>
    <row r="28" spans="1:9" ht="28.8" x14ac:dyDescent="0.3">
      <c r="A28" s="15">
        <v>26</v>
      </c>
      <c r="B28" s="415" t="s">
        <v>126</v>
      </c>
      <c r="C28" s="415" t="s">
        <v>1542</v>
      </c>
      <c r="D28" s="314">
        <v>1</v>
      </c>
      <c r="E28" s="15">
        <f t="shared" si="0"/>
        <v>30</v>
      </c>
      <c r="F28" s="204" t="s">
        <v>127</v>
      </c>
      <c r="G28" s="312" t="s">
        <v>125</v>
      </c>
      <c r="H28" s="15">
        <v>1</v>
      </c>
      <c r="I28" s="412" t="s">
        <v>126</v>
      </c>
    </row>
    <row r="29" spans="1:9" x14ac:dyDescent="0.3">
      <c r="A29" s="15">
        <v>27</v>
      </c>
      <c r="B29" s="415" t="s">
        <v>129</v>
      </c>
      <c r="C29" s="415" t="s">
        <v>1537</v>
      </c>
      <c r="D29" s="314">
        <v>3</v>
      </c>
      <c r="E29" s="15">
        <f t="shared" si="0"/>
        <v>31</v>
      </c>
      <c r="F29" s="204" t="s">
        <v>130</v>
      </c>
      <c r="G29" s="312" t="s">
        <v>100</v>
      </c>
      <c r="H29" s="15">
        <v>0</v>
      </c>
    </row>
    <row r="30" spans="1:9" ht="28.2" customHeight="1" x14ac:dyDescent="0.3">
      <c r="A30" s="15">
        <v>28</v>
      </c>
      <c r="B30" s="416" t="s">
        <v>131</v>
      </c>
      <c r="C30" s="416" t="s">
        <v>1543</v>
      </c>
      <c r="D30" s="341">
        <v>1</v>
      </c>
      <c r="E30" s="15">
        <f t="shared" si="0"/>
        <v>34</v>
      </c>
      <c r="F30" s="204" t="s">
        <v>132</v>
      </c>
      <c r="G30" s="339" t="s">
        <v>108</v>
      </c>
      <c r="H30" s="15">
        <v>0</v>
      </c>
      <c r="I30" s="412" t="s">
        <v>1588</v>
      </c>
    </row>
    <row r="31" spans="1:9" x14ac:dyDescent="0.3">
      <c r="A31" s="15">
        <v>29</v>
      </c>
      <c r="B31" s="416" t="s">
        <v>1301</v>
      </c>
      <c r="C31" s="416" t="s">
        <v>460</v>
      </c>
      <c r="D31" s="341">
        <v>1</v>
      </c>
      <c r="E31" s="15">
        <f t="shared" si="0"/>
        <v>35</v>
      </c>
      <c r="F31" s="204" t="s">
        <v>374</v>
      </c>
      <c r="G31" s="339" t="s">
        <v>48</v>
      </c>
      <c r="I31" s="412" t="s">
        <v>1589</v>
      </c>
    </row>
    <row r="32" spans="1:9" ht="28.8" x14ac:dyDescent="0.3">
      <c r="A32" s="15">
        <v>30</v>
      </c>
      <c r="B32" s="416" t="s">
        <v>376</v>
      </c>
      <c r="C32" s="416" t="s">
        <v>1544</v>
      </c>
      <c r="D32" s="341">
        <v>1</v>
      </c>
      <c r="E32" s="15">
        <f t="shared" si="0"/>
        <v>36</v>
      </c>
      <c r="F32" s="204" t="s">
        <v>375</v>
      </c>
      <c r="G32" s="339" t="s">
        <v>1148</v>
      </c>
      <c r="H32" s="15">
        <v>0</v>
      </c>
      <c r="I32" s="412" t="s">
        <v>1590</v>
      </c>
    </row>
    <row r="33" spans="1:9" ht="28.2" customHeight="1" x14ac:dyDescent="0.3">
      <c r="A33" s="15">
        <v>31</v>
      </c>
      <c r="B33" s="417" t="s">
        <v>134</v>
      </c>
      <c r="C33" s="415" t="s">
        <v>1544</v>
      </c>
      <c r="D33" s="314">
        <v>1</v>
      </c>
      <c r="E33" s="15">
        <f t="shared" si="0"/>
        <v>37</v>
      </c>
      <c r="F33" s="204" t="s">
        <v>135</v>
      </c>
      <c r="G33" s="312" t="s">
        <v>133</v>
      </c>
      <c r="H33" s="15">
        <v>0</v>
      </c>
      <c r="I33" s="412" t="s">
        <v>1385</v>
      </c>
    </row>
    <row r="34" spans="1:9" ht="28.2" customHeight="1" x14ac:dyDescent="0.3">
      <c r="A34" s="15">
        <v>32</v>
      </c>
      <c r="B34" s="415" t="s">
        <v>136</v>
      </c>
      <c r="C34" s="415" t="s">
        <v>1543</v>
      </c>
      <c r="D34" s="314">
        <v>1</v>
      </c>
      <c r="E34" s="15">
        <f t="shared" si="0"/>
        <v>38</v>
      </c>
      <c r="F34" s="204" t="s">
        <v>137</v>
      </c>
      <c r="G34" s="312" t="s">
        <v>125</v>
      </c>
      <c r="H34" s="15">
        <v>1</v>
      </c>
      <c r="I34" s="412" t="s">
        <v>1383</v>
      </c>
    </row>
    <row r="35" spans="1:9" x14ac:dyDescent="0.3">
      <c r="A35" s="15">
        <v>33</v>
      </c>
      <c r="B35" s="415" t="s">
        <v>138</v>
      </c>
      <c r="C35" s="415" t="s">
        <v>1537</v>
      </c>
      <c r="D35" s="314">
        <v>1</v>
      </c>
      <c r="E35" s="15">
        <f t="shared" ref="E35:E66" si="1">E34+D34</f>
        <v>39</v>
      </c>
      <c r="F35" s="205" t="s">
        <v>139</v>
      </c>
      <c r="G35" s="312" t="s">
        <v>613</v>
      </c>
      <c r="I35" s="412" t="s">
        <v>138</v>
      </c>
    </row>
    <row r="36" spans="1:9" x14ac:dyDescent="0.3">
      <c r="A36" s="15">
        <v>34</v>
      </c>
      <c r="B36" s="415" t="s">
        <v>142</v>
      </c>
      <c r="C36" s="415" t="s">
        <v>460</v>
      </c>
      <c r="D36" s="314">
        <v>1</v>
      </c>
      <c r="E36" s="15">
        <f t="shared" si="1"/>
        <v>40</v>
      </c>
      <c r="F36" s="204" t="s">
        <v>143</v>
      </c>
      <c r="G36" s="312" t="s">
        <v>640</v>
      </c>
      <c r="H36" s="15">
        <v>0</v>
      </c>
      <c r="I36" s="412" t="s">
        <v>142</v>
      </c>
    </row>
    <row r="37" spans="1:9" x14ac:dyDescent="0.3">
      <c r="A37" s="15">
        <v>35</v>
      </c>
      <c r="B37" s="415" t="s">
        <v>145</v>
      </c>
      <c r="C37" s="415" t="s">
        <v>460</v>
      </c>
      <c r="D37" s="314">
        <v>1</v>
      </c>
      <c r="E37" s="15">
        <f t="shared" si="1"/>
        <v>41</v>
      </c>
      <c r="F37" s="204" t="s">
        <v>146</v>
      </c>
      <c r="G37" s="312" t="s">
        <v>144</v>
      </c>
      <c r="H37" s="15">
        <v>0</v>
      </c>
      <c r="I37" s="412" t="s">
        <v>145</v>
      </c>
    </row>
    <row r="38" spans="1:9" x14ac:dyDescent="0.3">
      <c r="A38" s="15">
        <v>36</v>
      </c>
      <c r="B38" s="415" t="s">
        <v>148</v>
      </c>
      <c r="C38" s="415" t="s">
        <v>460</v>
      </c>
      <c r="D38" s="314">
        <v>1</v>
      </c>
      <c r="E38" s="15">
        <f t="shared" si="1"/>
        <v>42</v>
      </c>
      <c r="F38" s="204" t="s">
        <v>149</v>
      </c>
      <c r="G38" s="312" t="s">
        <v>147</v>
      </c>
      <c r="H38" s="15">
        <v>0</v>
      </c>
      <c r="I38" s="412" t="s">
        <v>148</v>
      </c>
    </row>
    <row r="39" spans="1:9" x14ac:dyDescent="0.3">
      <c r="A39" s="15">
        <v>37</v>
      </c>
      <c r="B39" s="415" t="s">
        <v>150</v>
      </c>
      <c r="C39" s="415" t="s">
        <v>460</v>
      </c>
      <c r="D39" s="314">
        <v>1</v>
      </c>
      <c r="E39" s="15">
        <f t="shared" si="1"/>
        <v>43</v>
      </c>
      <c r="F39" s="205" t="s">
        <v>151</v>
      </c>
      <c r="G39" s="279" t="s">
        <v>1182</v>
      </c>
      <c r="H39" s="15">
        <v>0</v>
      </c>
      <c r="I39" s="412" t="s">
        <v>1375</v>
      </c>
    </row>
    <row r="40" spans="1:9" x14ac:dyDescent="0.3">
      <c r="A40" s="15">
        <v>38</v>
      </c>
      <c r="B40" s="415" t="s">
        <v>153</v>
      </c>
      <c r="C40" s="415" t="s">
        <v>460</v>
      </c>
      <c r="D40" s="314">
        <v>1</v>
      </c>
      <c r="E40" s="15">
        <f t="shared" si="1"/>
        <v>44</v>
      </c>
      <c r="F40" s="204" t="s">
        <v>154</v>
      </c>
      <c r="G40" s="312" t="s">
        <v>643</v>
      </c>
      <c r="H40" s="15">
        <v>0</v>
      </c>
      <c r="I40" s="412" t="s">
        <v>153</v>
      </c>
    </row>
    <row r="41" spans="1:9" x14ac:dyDescent="0.3">
      <c r="A41" s="15">
        <v>39</v>
      </c>
      <c r="B41" s="415" t="s">
        <v>155</v>
      </c>
      <c r="C41" s="415" t="s">
        <v>1545</v>
      </c>
      <c r="D41" s="314">
        <v>1</v>
      </c>
      <c r="E41" s="15">
        <f t="shared" si="1"/>
        <v>45</v>
      </c>
      <c r="F41" s="204" t="s">
        <v>156</v>
      </c>
      <c r="G41" s="312" t="s">
        <v>636</v>
      </c>
      <c r="H41" s="15">
        <v>0</v>
      </c>
      <c r="I41" s="412" t="s">
        <v>1371</v>
      </c>
    </row>
    <row r="42" spans="1:9" x14ac:dyDescent="0.3">
      <c r="A42" s="15">
        <v>40</v>
      </c>
      <c r="B42" s="415" t="s">
        <v>157</v>
      </c>
      <c r="C42" s="415" t="s">
        <v>460</v>
      </c>
      <c r="D42" s="314">
        <v>1</v>
      </c>
      <c r="E42" s="15">
        <f t="shared" si="1"/>
        <v>46</v>
      </c>
      <c r="F42" s="205" t="s">
        <v>158</v>
      </c>
      <c r="G42" s="269" t="s">
        <v>157</v>
      </c>
      <c r="H42" s="15">
        <v>0</v>
      </c>
      <c r="I42" s="412" t="s">
        <v>157</v>
      </c>
    </row>
    <row r="43" spans="1:9" x14ac:dyDescent="0.3">
      <c r="A43" s="15">
        <v>41</v>
      </c>
      <c r="B43" s="415" t="s">
        <v>159</v>
      </c>
      <c r="C43" s="415" t="s">
        <v>1537</v>
      </c>
      <c r="D43" s="314">
        <v>1</v>
      </c>
      <c r="E43" s="15">
        <f t="shared" si="1"/>
        <v>47</v>
      </c>
      <c r="F43" s="204" t="s">
        <v>160</v>
      </c>
      <c r="G43" s="312" t="s">
        <v>645</v>
      </c>
      <c r="H43" s="15">
        <v>1</v>
      </c>
      <c r="I43" s="412" t="s">
        <v>1368</v>
      </c>
    </row>
    <row r="44" spans="1:9" x14ac:dyDescent="0.3">
      <c r="A44" s="15">
        <v>42</v>
      </c>
      <c r="B44" s="415" t="s">
        <v>161</v>
      </c>
      <c r="C44" s="415" t="s">
        <v>1545</v>
      </c>
      <c r="D44" s="314">
        <v>1</v>
      </c>
      <c r="E44" s="15">
        <f t="shared" si="1"/>
        <v>48</v>
      </c>
      <c r="F44" s="204" t="s">
        <v>162</v>
      </c>
      <c r="G44" s="312" t="s">
        <v>641</v>
      </c>
      <c r="H44" s="15">
        <v>0</v>
      </c>
      <c r="I44" s="412" t="s">
        <v>1365</v>
      </c>
    </row>
    <row r="45" spans="1:9" ht="28.8" x14ac:dyDescent="0.3">
      <c r="A45" s="15">
        <v>43</v>
      </c>
      <c r="B45" s="415" t="s">
        <v>163</v>
      </c>
      <c r="C45" s="415" t="s">
        <v>460</v>
      </c>
      <c r="D45" s="314">
        <v>3</v>
      </c>
      <c r="E45" s="15">
        <f t="shared" si="1"/>
        <v>49</v>
      </c>
      <c r="F45" s="205" t="s">
        <v>164</v>
      </c>
      <c r="G45" s="269" t="s">
        <v>163</v>
      </c>
      <c r="H45" s="15">
        <v>0</v>
      </c>
      <c r="I45" s="412" t="s">
        <v>1364</v>
      </c>
    </row>
    <row r="46" spans="1:9" x14ac:dyDescent="0.3">
      <c r="A46" s="15">
        <v>44</v>
      </c>
      <c r="B46" s="415" t="s">
        <v>165</v>
      </c>
      <c r="C46" s="415" t="s">
        <v>1545</v>
      </c>
      <c r="D46" s="314">
        <v>1</v>
      </c>
      <c r="E46" s="15">
        <f t="shared" si="1"/>
        <v>52</v>
      </c>
      <c r="F46" s="204" t="s">
        <v>166</v>
      </c>
      <c r="G46" s="312" t="s">
        <v>642</v>
      </c>
      <c r="H46" s="15">
        <v>0</v>
      </c>
      <c r="I46" s="412" t="s">
        <v>1362</v>
      </c>
    </row>
    <row r="47" spans="1:9" x14ac:dyDescent="0.3">
      <c r="A47" s="15">
        <v>45</v>
      </c>
      <c r="B47" s="415" t="s">
        <v>167</v>
      </c>
      <c r="C47" s="415" t="s">
        <v>460</v>
      </c>
      <c r="D47" s="314">
        <v>1</v>
      </c>
      <c r="E47" s="15">
        <f t="shared" si="1"/>
        <v>53</v>
      </c>
      <c r="F47" s="204" t="s">
        <v>168</v>
      </c>
      <c r="G47" s="312" t="s">
        <v>651</v>
      </c>
      <c r="H47" s="15">
        <v>0</v>
      </c>
      <c r="I47" s="412" t="s">
        <v>167</v>
      </c>
    </row>
    <row r="48" spans="1:9" ht="57.6" x14ac:dyDescent="0.3">
      <c r="A48" s="15">
        <v>46</v>
      </c>
      <c r="B48" s="415" t="s">
        <v>169</v>
      </c>
      <c r="C48" s="415" t="s">
        <v>1546</v>
      </c>
      <c r="D48" s="314">
        <v>1</v>
      </c>
      <c r="E48" s="15">
        <f t="shared" si="1"/>
        <v>54</v>
      </c>
      <c r="F48" s="204" t="s">
        <v>170</v>
      </c>
      <c r="G48" s="312" t="s">
        <v>639</v>
      </c>
      <c r="H48" s="15">
        <v>0</v>
      </c>
      <c r="I48" s="412" t="s">
        <v>1359</v>
      </c>
    </row>
    <row r="49" spans="1:9" x14ac:dyDescent="0.3">
      <c r="A49" s="15">
        <v>47</v>
      </c>
      <c r="B49" s="415" t="s">
        <v>673</v>
      </c>
      <c r="C49" s="415" t="s">
        <v>460</v>
      </c>
      <c r="D49" s="314">
        <v>1</v>
      </c>
      <c r="E49" s="15">
        <f t="shared" si="1"/>
        <v>55</v>
      </c>
      <c r="F49" s="204" t="s">
        <v>171</v>
      </c>
      <c r="G49" s="312" t="s">
        <v>637</v>
      </c>
      <c r="H49" s="15">
        <v>0</v>
      </c>
      <c r="I49" s="412" t="s">
        <v>1357</v>
      </c>
    </row>
    <row r="50" spans="1:9" x14ac:dyDescent="0.3">
      <c r="A50" s="15">
        <v>48</v>
      </c>
      <c r="B50" s="415" t="s">
        <v>173</v>
      </c>
      <c r="C50" s="415" t="s">
        <v>1537</v>
      </c>
      <c r="D50" s="314">
        <v>1</v>
      </c>
      <c r="E50" s="15">
        <f t="shared" si="1"/>
        <v>56</v>
      </c>
      <c r="F50" s="204" t="s">
        <v>174</v>
      </c>
      <c r="G50" s="312" t="s">
        <v>172</v>
      </c>
      <c r="H50" s="15">
        <v>1</v>
      </c>
      <c r="I50" s="412" t="s">
        <v>1355</v>
      </c>
    </row>
    <row r="51" spans="1:9" x14ac:dyDescent="0.3">
      <c r="A51" s="15">
        <v>49</v>
      </c>
      <c r="B51" s="415" t="s">
        <v>176</v>
      </c>
      <c r="C51" s="415" t="s">
        <v>1537</v>
      </c>
      <c r="D51" s="314">
        <v>1</v>
      </c>
      <c r="E51" s="15">
        <f t="shared" si="1"/>
        <v>57</v>
      </c>
      <c r="F51" s="204" t="s">
        <v>177</v>
      </c>
      <c r="G51" s="312" t="s">
        <v>172</v>
      </c>
      <c r="H51" s="15">
        <v>1</v>
      </c>
      <c r="I51" s="412" t="s">
        <v>1354</v>
      </c>
    </row>
    <row r="52" spans="1:9" x14ac:dyDescent="0.3">
      <c r="A52" s="15">
        <v>50</v>
      </c>
      <c r="B52" s="415" t="s">
        <v>178</v>
      </c>
      <c r="C52" s="415" t="s">
        <v>1537</v>
      </c>
      <c r="D52" s="314">
        <v>1</v>
      </c>
      <c r="E52" s="15">
        <f t="shared" si="1"/>
        <v>58</v>
      </c>
      <c r="F52" s="204" t="s">
        <v>179</v>
      </c>
      <c r="G52" s="312" t="s">
        <v>172</v>
      </c>
      <c r="H52" s="15">
        <v>1</v>
      </c>
      <c r="I52" s="412" t="s">
        <v>1352</v>
      </c>
    </row>
    <row r="53" spans="1:9" x14ac:dyDescent="0.3">
      <c r="A53" s="15">
        <v>51</v>
      </c>
      <c r="B53" s="415" t="s">
        <v>180</v>
      </c>
      <c r="C53" s="415" t="s">
        <v>1537</v>
      </c>
      <c r="D53" s="314">
        <v>1</v>
      </c>
      <c r="E53" s="15">
        <f t="shared" si="1"/>
        <v>59</v>
      </c>
      <c r="F53" s="204" t="s">
        <v>181</v>
      </c>
      <c r="G53" s="312" t="s">
        <v>638</v>
      </c>
      <c r="H53" s="15">
        <v>1</v>
      </c>
      <c r="I53" s="412" t="s">
        <v>1351</v>
      </c>
    </row>
    <row r="54" spans="1:9" x14ac:dyDescent="0.3">
      <c r="A54" s="15">
        <v>52</v>
      </c>
      <c r="B54" s="415" t="s">
        <v>182</v>
      </c>
      <c r="C54" s="415" t="s">
        <v>460</v>
      </c>
      <c r="D54" s="314">
        <v>1</v>
      </c>
      <c r="E54" s="15">
        <f t="shared" si="1"/>
        <v>60</v>
      </c>
      <c r="F54" s="204" t="s">
        <v>183</v>
      </c>
      <c r="G54" s="312" t="s">
        <v>635</v>
      </c>
      <c r="H54" s="15">
        <v>0</v>
      </c>
      <c r="I54" s="412" t="s">
        <v>182</v>
      </c>
    </row>
    <row r="55" spans="1:9" x14ac:dyDescent="0.3">
      <c r="A55" s="15">
        <v>53</v>
      </c>
      <c r="B55" s="415" t="s">
        <v>184</v>
      </c>
      <c r="C55" s="415" t="s">
        <v>460</v>
      </c>
      <c r="D55" s="314">
        <v>1</v>
      </c>
      <c r="E55" s="15">
        <f t="shared" si="1"/>
        <v>61</v>
      </c>
      <c r="F55" s="204" t="s">
        <v>185</v>
      </c>
      <c r="G55" s="312" t="s">
        <v>644</v>
      </c>
      <c r="H55" s="15">
        <v>0</v>
      </c>
      <c r="I55" s="412" t="s">
        <v>1346</v>
      </c>
    </row>
    <row r="56" spans="1:9" ht="28.8" x14ac:dyDescent="0.3">
      <c r="A56" s="15">
        <v>54</v>
      </c>
      <c r="B56" s="415" t="s">
        <v>187</v>
      </c>
      <c r="C56" s="415" t="s">
        <v>1547</v>
      </c>
      <c r="D56" s="314">
        <v>2</v>
      </c>
      <c r="E56" s="15">
        <f t="shared" si="1"/>
        <v>62</v>
      </c>
      <c r="F56" s="204" t="s">
        <v>188</v>
      </c>
      <c r="G56" s="312" t="s">
        <v>186</v>
      </c>
      <c r="H56" s="15">
        <v>1</v>
      </c>
      <c r="I56" s="412" t="s">
        <v>187</v>
      </c>
    </row>
    <row r="57" spans="1:9" x14ac:dyDescent="0.3">
      <c r="A57" s="15">
        <v>55</v>
      </c>
      <c r="B57" s="415" t="s">
        <v>189</v>
      </c>
      <c r="C57" s="415" t="s">
        <v>1537</v>
      </c>
      <c r="D57" s="314">
        <v>8</v>
      </c>
      <c r="E57" s="15">
        <f t="shared" si="1"/>
        <v>64</v>
      </c>
      <c r="F57" s="205" t="s">
        <v>190</v>
      </c>
      <c r="G57" s="312" t="s">
        <v>613</v>
      </c>
      <c r="I57" s="412" t="s">
        <v>1342</v>
      </c>
    </row>
    <row r="58" spans="1:9" x14ac:dyDescent="0.3">
      <c r="A58" s="15">
        <v>56</v>
      </c>
      <c r="B58" s="415" t="s">
        <v>192</v>
      </c>
      <c r="C58" s="415" t="s">
        <v>1537</v>
      </c>
      <c r="D58" s="314">
        <v>15</v>
      </c>
      <c r="E58" s="15">
        <f t="shared" si="1"/>
        <v>72</v>
      </c>
      <c r="F58" s="205" t="s">
        <v>193</v>
      </c>
      <c r="G58" s="312" t="s">
        <v>394</v>
      </c>
      <c r="I58" s="412" t="s">
        <v>1337</v>
      </c>
    </row>
    <row r="59" spans="1:9" x14ac:dyDescent="0.3">
      <c r="A59" s="15">
        <v>57</v>
      </c>
      <c r="B59" s="415" t="s">
        <v>194</v>
      </c>
      <c r="C59" s="415" t="s">
        <v>460</v>
      </c>
      <c r="D59" s="314">
        <v>1</v>
      </c>
      <c r="E59" s="15">
        <f t="shared" si="1"/>
        <v>87</v>
      </c>
      <c r="F59" s="204" t="s">
        <v>195</v>
      </c>
      <c r="G59" s="312" t="s">
        <v>646</v>
      </c>
      <c r="H59" s="15">
        <v>0</v>
      </c>
      <c r="I59" s="412" t="s">
        <v>1332</v>
      </c>
    </row>
    <row r="60" spans="1:9" x14ac:dyDescent="0.3">
      <c r="A60" s="15">
        <v>58</v>
      </c>
      <c r="B60" s="415" t="s">
        <v>196</v>
      </c>
      <c r="C60" s="415" t="s">
        <v>460</v>
      </c>
      <c r="D60" s="314">
        <v>1</v>
      </c>
      <c r="E60" s="15">
        <f t="shared" si="1"/>
        <v>88</v>
      </c>
      <c r="F60" s="204" t="s">
        <v>197</v>
      </c>
      <c r="G60" s="312" t="s">
        <v>650</v>
      </c>
      <c r="H60" s="15">
        <v>0</v>
      </c>
      <c r="I60" s="412" t="s">
        <v>1328</v>
      </c>
    </row>
    <row r="61" spans="1:9" x14ac:dyDescent="0.3">
      <c r="A61" s="15">
        <v>59</v>
      </c>
      <c r="B61" s="415" t="s">
        <v>237</v>
      </c>
      <c r="C61" s="415" t="s">
        <v>1537</v>
      </c>
      <c r="D61" s="314">
        <v>1</v>
      </c>
      <c r="E61" s="15">
        <f t="shared" si="1"/>
        <v>89</v>
      </c>
      <c r="F61" s="204" t="s">
        <v>198</v>
      </c>
      <c r="G61" s="312" t="s">
        <v>536</v>
      </c>
      <c r="H61" s="15">
        <v>0</v>
      </c>
      <c r="I61" s="412" t="s">
        <v>1327</v>
      </c>
    </row>
    <row r="62" spans="1:9" x14ac:dyDescent="0.3">
      <c r="A62" s="15">
        <v>60</v>
      </c>
      <c r="B62" s="415" t="s">
        <v>199</v>
      </c>
      <c r="C62" s="415" t="s">
        <v>460</v>
      </c>
      <c r="D62" s="314">
        <v>3</v>
      </c>
      <c r="E62" s="15">
        <f t="shared" si="1"/>
        <v>90</v>
      </c>
      <c r="F62" s="205" t="s">
        <v>200</v>
      </c>
      <c r="G62" s="269" t="s">
        <v>199</v>
      </c>
      <c r="H62" s="15">
        <v>0</v>
      </c>
      <c r="I62" s="412" t="s">
        <v>199</v>
      </c>
    </row>
    <row r="63" spans="1:9" x14ac:dyDescent="0.3">
      <c r="A63" s="15">
        <v>61</v>
      </c>
      <c r="B63" s="415" t="s">
        <v>1301</v>
      </c>
      <c r="C63" s="415" t="s">
        <v>460</v>
      </c>
      <c r="D63" s="314">
        <v>1</v>
      </c>
      <c r="E63" s="15">
        <f t="shared" si="1"/>
        <v>93</v>
      </c>
      <c r="F63" s="204" t="s">
        <v>1133</v>
      </c>
      <c r="G63" s="312" t="s">
        <v>48</v>
      </c>
      <c r="I63" s="412" t="s">
        <v>1326</v>
      </c>
    </row>
    <row r="64" spans="1:9" x14ac:dyDescent="0.3">
      <c r="A64" s="15">
        <v>62</v>
      </c>
      <c r="B64" s="415" t="s">
        <v>1301</v>
      </c>
      <c r="C64" s="415" t="s">
        <v>460</v>
      </c>
      <c r="D64" s="314">
        <v>1</v>
      </c>
      <c r="E64" s="15">
        <f t="shared" si="1"/>
        <v>94</v>
      </c>
      <c r="F64" s="204" t="s">
        <v>1137</v>
      </c>
      <c r="G64" s="312" t="s">
        <v>48</v>
      </c>
      <c r="I64" s="412" t="s">
        <v>1325</v>
      </c>
    </row>
    <row r="65" spans="1:9" x14ac:dyDescent="0.3">
      <c r="A65" s="15">
        <v>63</v>
      </c>
      <c r="B65" s="415" t="s">
        <v>1301</v>
      </c>
      <c r="C65" s="415" t="s">
        <v>460</v>
      </c>
      <c r="D65" s="314">
        <v>1</v>
      </c>
      <c r="E65" s="15">
        <f t="shared" si="1"/>
        <v>95</v>
      </c>
      <c r="F65" s="204" t="s">
        <v>1138</v>
      </c>
      <c r="G65" s="312" t="s">
        <v>48</v>
      </c>
      <c r="I65" s="412" t="s">
        <v>1323</v>
      </c>
    </row>
    <row r="66" spans="1:9" x14ac:dyDescent="0.3">
      <c r="A66" s="15">
        <v>64</v>
      </c>
      <c r="B66" s="415" t="s">
        <v>201</v>
      </c>
      <c r="C66" s="415" t="s">
        <v>460</v>
      </c>
      <c r="D66" s="314">
        <v>4</v>
      </c>
      <c r="E66" s="15">
        <f t="shared" si="1"/>
        <v>96</v>
      </c>
      <c r="F66" s="205" t="s">
        <v>202</v>
      </c>
      <c r="G66" s="269" t="s">
        <v>201</v>
      </c>
      <c r="H66" s="15">
        <v>0</v>
      </c>
      <c r="I66" s="412" t="s">
        <v>201</v>
      </c>
    </row>
    <row r="67" spans="1:9" x14ac:dyDescent="0.3">
      <c r="A67" s="15">
        <v>65</v>
      </c>
      <c r="B67" s="415" t="s">
        <v>203</v>
      </c>
      <c r="C67" s="415" t="s">
        <v>460</v>
      </c>
      <c r="D67" s="314">
        <v>4</v>
      </c>
      <c r="E67" s="15">
        <f t="shared" ref="E67:E89" si="2">E66+D66</f>
        <v>100</v>
      </c>
      <c r="F67" s="205" t="s">
        <v>204</v>
      </c>
      <c r="G67" s="269" t="s">
        <v>203</v>
      </c>
      <c r="H67" s="15">
        <v>0</v>
      </c>
      <c r="I67" s="412" t="s">
        <v>203</v>
      </c>
    </row>
    <row r="68" spans="1:9" x14ac:dyDescent="0.3">
      <c r="A68" s="15">
        <v>66</v>
      </c>
      <c r="B68" s="418" t="s">
        <v>1130</v>
      </c>
      <c r="C68" s="415" t="s">
        <v>1537</v>
      </c>
      <c r="D68" s="314">
        <v>1</v>
      </c>
      <c r="E68" s="15">
        <f t="shared" si="2"/>
        <v>104</v>
      </c>
      <c r="F68" s="204" t="s">
        <v>206</v>
      </c>
      <c r="G68" s="312" t="s">
        <v>613</v>
      </c>
      <c r="I68" s="412" t="s">
        <v>1591</v>
      </c>
    </row>
    <row r="69" spans="1:9" x14ac:dyDescent="0.3">
      <c r="A69" s="15">
        <v>67</v>
      </c>
      <c r="B69" s="418" t="s">
        <v>1131</v>
      </c>
      <c r="C69" s="415" t="s">
        <v>66</v>
      </c>
      <c r="D69" s="314">
        <v>1</v>
      </c>
      <c r="E69" s="15">
        <f t="shared" si="2"/>
        <v>105</v>
      </c>
      <c r="F69" s="204" t="s">
        <v>207</v>
      </c>
      <c r="G69" s="312" t="s">
        <v>613</v>
      </c>
      <c r="I69" s="412" t="s">
        <v>1592</v>
      </c>
    </row>
    <row r="70" spans="1:9" x14ac:dyDescent="0.3">
      <c r="A70" s="15">
        <v>68</v>
      </c>
      <c r="B70" s="418" t="s">
        <v>1132</v>
      </c>
      <c r="C70" s="415" t="s">
        <v>66</v>
      </c>
      <c r="D70" s="314">
        <v>1</v>
      </c>
      <c r="E70" s="15">
        <f t="shared" si="2"/>
        <v>106</v>
      </c>
      <c r="F70" s="204" t="s">
        <v>208</v>
      </c>
      <c r="G70" s="312" t="s">
        <v>613</v>
      </c>
      <c r="I70" s="412" t="s">
        <v>1593</v>
      </c>
    </row>
    <row r="71" spans="1:9" x14ac:dyDescent="0.3">
      <c r="A71" s="15">
        <v>69</v>
      </c>
      <c r="B71" s="415" t="s">
        <v>209</v>
      </c>
      <c r="C71" s="415" t="s">
        <v>66</v>
      </c>
      <c r="D71" s="314">
        <v>1</v>
      </c>
      <c r="E71" s="15">
        <f t="shared" si="2"/>
        <v>107</v>
      </c>
      <c r="F71" s="205" t="s">
        <v>210</v>
      </c>
      <c r="G71" s="312" t="s">
        <v>613</v>
      </c>
      <c r="I71" s="412" t="s">
        <v>1317</v>
      </c>
    </row>
    <row r="72" spans="1:9" x14ac:dyDescent="0.3">
      <c r="A72" s="15">
        <v>70</v>
      </c>
      <c r="B72" s="415" t="s">
        <v>211</v>
      </c>
      <c r="C72" s="415" t="s">
        <v>66</v>
      </c>
      <c r="D72" s="314">
        <v>1</v>
      </c>
      <c r="E72" s="15">
        <f t="shared" si="2"/>
        <v>108</v>
      </c>
      <c r="F72" s="205" t="s">
        <v>212</v>
      </c>
      <c r="G72" s="312" t="s">
        <v>613</v>
      </c>
      <c r="I72" s="412" t="s">
        <v>211</v>
      </c>
    </row>
    <row r="73" spans="1:9" x14ac:dyDescent="0.3">
      <c r="A73" s="15">
        <v>71</v>
      </c>
      <c r="B73" s="415" t="s">
        <v>1301</v>
      </c>
      <c r="C73" s="415" t="s">
        <v>460</v>
      </c>
      <c r="D73" s="314">
        <v>1</v>
      </c>
      <c r="E73" s="15">
        <f t="shared" si="2"/>
        <v>109</v>
      </c>
      <c r="F73" s="204" t="s">
        <v>213</v>
      </c>
      <c r="G73" s="312" t="s">
        <v>48</v>
      </c>
      <c r="I73" s="412" t="s">
        <v>1312</v>
      </c>
    </row>
    <row r="74" spans="1:9" x14ac:dyDescent="0.3">
      <c r="A74" s="15">
        <v>72</v>
      </c>
      <c r="B74" s="415" t="s">
        <v>215</v>
      </c>
      <c r="C74" s="415" t="s">
        <v>66</v>
      </c>
      <c r="D74" s="314">
        <v>1</v>
      </c>
      <c r="E74" s="15">
        <f t="shared" si="2"/>
        <v>110</v>
      </c>
      <c r="F74" s="204" t="s">
        <v>216</v>
      </c>
      <c r="G74" s="312" t="s">
        <v>214</v>
      </c>
      <c r="H74" s="15">
        <v>0</v>
      </c>
      <c r="I74" s="412" t="s">
        <v>1311</v>
      </c>
    </row>
    <row r="75" spans="1:9" x14ac:dyDescent="0.3">
      <c r="A75" s="15">
        <v>73</v>
      </c>
      <c r="B75" s="415" t="s">
        <v>217</v>
      </c>
      <c r="C75" s="415" t="s">
        <v>66</v>
      </c>
      <c r="D75" s="314">
        <v>1</v>
      </c>
      <c r="E75" s="15">
        <f t="shared" si="2"/>
        <v>111</v>
      </c>
      <c r="F75" s="204" t="s">
        <v>218</v>
      </c>
      <c r="G75" s="312" t="s">
        <v>214</v>
      </c>
      <c r="H75" s="15">
        <v>0</v>
      </c>
      <c r="I75" s="412" t="s">
        <v>1309</v>
      </c>
    </row>
    <row r="76" spans="1:9" x14ac:dyDescent="0.3">
      <c r="A76" s="15">
        <v>74</v>
      </c>
      <c r="B76" s="415" t="s">
        <v>219</v>
      </c>
      <c r="C76" s="415" t="s">
        <v>66</v>
      </c>
      <c r="D76" s="314">
        <v>1</v>
      </c>
      <c r="E76" s="15">
        <f t="shared" si="2"/>
        <v>112</v>
      </c>
      <c r="F76" s="205" t="s">
        <v>220</v>
      </c>
      <c r="G76" s="312" t="s">
        <v>613</v>
      </c>
      <c r="I76" s="412" t="s">
        <v>219</v>
      </c>
    </row>
    <row r="77" spans="1:9" x14ac:dyDescent="0.3">
      <c r="A77" s="15">
        <v>75</v>
      </c>
      <c r="B77" s="415" t="s">
        <v>222</v>
      </c>
      <c r="C77" s="415" t="s">
        <v>460</v>
      </c>
      <c r="D77" s="314">
        <v>7</v>
      </c>
      <c r="E77" s="15">
        <f t="shared" si="2"/>
        <v>113</v>
      </c>
      <c r="F77" s="204" t="s">
        <v>223</v>
      </c>
      <c r="G77" s="312" t="s">
        <v>221</v>
      </c>
      <c r="H77" s="15">
        <v>0</v>
      </c>
      <c r="I77" s="412" t="s">
        <v>1307</v>
      </c>
    </row>
    <row r="78" spans="1:9" ht="28.8" x14ac:dyDescent="0.3">
      <c r="A78" s="15">
        <v>76</v>
      </c>
      <c r="B78" s="415" t="s">
        <v>225</v>
      </c>
      <c r="C78" s="415" t="s">
        <v>1537</v>
      </c>
      <c r="D78" s="314">
        <v>1</v>
      </c>
      <c r="E78" s="15">
        <f t="shared" si="2"/>
        <v>120</v>
      </c>
      <c r="F78" s="204" t="s">
        <v>226</v>
      </c>
      <c r="G78" s="312" t="s">
        <v>224</v>
      </c>
      <c r="H78" s="15">
        <v>1</v>
      </c>
      <c r="I78" s="412" t="s">
        <v>225</v>
      </c>
    </row>
    <row r="79" spans="1:9" ht="43.2" x14ac:dyDescent="0.3">
      <c r="A79" s="15">
        <v>77</v>
      </c>
      <c r="B79" s="415" t="s">
        <v>674</v>
      </c>
      <c r="C79" s="415" t="s">
        <v>1548</v>
      </c>
      <c r="D79" s="314">
        <v>1</v>
      </c>
      <c r="E79" s="15">
        <f t="shared" si="2"/>
        <v>121</v>
      </c>
      <c r="F79" s="205" t="s">
        <v>227</v>
      </c>
      <c r="G79" s="312" t="s">
        <v>613</v>
      </c>
      <c r="I79" s="412" t="s">
        <v>1305</v>
      </c>
    </row>
    <row r="80" spans="1:9" x14ac:dyDescent="0.3">
      <c r="A80" s="15">
        <v>78</v>
      </c>
      <c r="B80" s="415" t="s">
        <v>228</v>
      </c>
      <c r="C80" s="415" t="s">
        <v>1537</v>
      </c>
      <c r="D80" s="314">
        <v>1</v>
      </c>
      <c r="E80" s="15">
        <f t="shared" si="2"/>
        <v>122</v>
      </c>
      <c r="F80" s="204" t="s">
        <v>229</v>
      </c>
      <c r="G80" s="312" t="s">
        <v>100</v>
      </c>
      <c r="H80" s="15">
        <v>0</v>
      </c>
      <c r="I80" s="412" t="s">
        <v>1594</v>
      </c>
    </row>
    <row r="81" spans="1:9" x14ac:dyDescent="0.3">
      <c r="A81" s="15">
        <v>79</v>
      </c>
      <c r="B81" s="415" t="s">
        <v>230</v>
      </c>
      <c r="C81" s="415" t="s">
        <v>1537</v>
      </c>
      <c r="D81" s="314">
        <v>1</v>
      </c>
      <c r="E81" s="15">
        <f t="shared" si="2"/>
        <v>123</v>
      </c>
      <c r="F81" s="204" t="s">
        <v>231</v>
      </c>
      <c r="G81" s="312" t="s">
        <v>100</v>
      </c>
      <c r="H81" s="15">
        <v>0</v>
      </c>
      <c r="I81" s="412" t="s">
        <v>1595</v>
      </c>
    </row>
    <row r="82" spans="1:9" x14ac:dyDescent="0.3">
      <c r="A82" s="15">
        <v>80</v>
      </c>
      <c r="B82" s="415" t="s">
        <v>232</v>
      </c>
      <c r="C82" s="415" t="s">
        <v>1537</v>
      </c>
      <c r="D82" s="314">
        <v>1</v>
      </c>
      <c r="E82" s="15">
        <f t="shared" si="2"/>
        <v>124</v>
      </c>
      <c r="F82" s="204" t="s">
        <v>233</v>
      </c>
      <c r="G82" s="312" t="s">
        <v>100</v>
      </c>
      <c r="H82" s="15">
        <v>0</v>
      </c>
      <c r="I82" s="412" t="s">
        <v>1596</v>
      </c>
    </row>
    <row r="83" spans="1:9" x14ac:dyDescent="0.3">
      <c r="A83" s="15">
        <v>81</v>
      </c>
      <c r="B83" s="415" t="s">
        <v>235</v>
      </c>
      <c r="C83" s="415" t="s">
        <v>1537</v>
      </c>
      <c r="D83" s="314">
        <v>1</v>
      </c>
      <c r="E83" s="15">
        <f t="shared" si="2"/>
        <v>125</v>
      </c>
      <c r="F83" s="207" t="s">
        <v>236</v>
      </c>
      <c r="G83" s="312" t="s">
        <v>234</v>
      </c>
      <c r="H83" s="15">
        <v>1</v>
      </c>
      <c r="I83" s="412" t="s">
        <v>1597</v>
      </c>
    </row>
    <row r="84" spans="1:9" x14ac:dyDescent="0.3">
      <c r="A84" s="15">
        <v>82</v>
      </c>
      <c r="B84" s="418" t="s">
        <v>1107</v>
      </c>
      <c r="C84" s="415" t="s">
        <v>1537</v>
      </c>
      <c r="D84" s="314">
        <v>1</v>
      </c>
      <c r="E84" s="15">
        <f t="shared" si="2"/>
        <v>126</v>
      </c>
      <c r="F84" s="207" t="s">
        <v>888</v>
      </c>
      <c r="G84" s="312" t="s">
        <v>48</v>
      </c>
      <c r="I84" s="412" t="s">
        <v>1302</v>
      </c>
    </row>
    <row r="85" spans="1:9" x14ac:dyDescent="0.3">
      <c r="A85" s="15">
        <v>83</v>
      </c>
      <c r="B85" s="415" t="s">
        <v>1301</v>
      </c>
      <c r="C85" s="415" t="s">
        <v>460</v>
      </c>
      <c r="D85" s="314">
        <v>1</v>
      </c>
      <c r="E85" s="15">
        <f t="shared" si="2"/>
        <v>127</v>
      </c>
      <c r="F85" s="207" t="s">
        <v>889</v>
      </c>
      <c r="G85" s="312" t="s">
        <v>48</v>
      </c>
      <c r="I85" s="412" t="s">
        <v>1299</v>
      </c>
    </row>
    <row r="86" spans="1:9" ht="28.8" x14ac:dyDescent="0.3">
      <c r="A86" s="15">
        <v>84</v>
      </c>
      <c r="B86" s="418" t="s">
        <v>238</v>
      </c>
      <c r="C86" s="415" t="s">
        <v>1549</v>
      </c>
      <c r="D86" s="314">
        <v>1</v>
      </c>
      <c r="E86" s="15">
        <f t="shared" si="2"/>
        <v>128</v>
      </c>
      <c r="F86" s="205" t="s">
        <v>239</v>
      </c>
      <c r="G86" s="269" t="s">
        <v>613</v>
      </c>
      <c r="I86" s="412" t="s">
        <v>238</v>
      </c>
    </row>
    <row r="87" spans="1:9" ht="28.8" x14ac:dyDescent="0.3">
      <c r="A87" s="15">
        <v>85</v>
      </c>
      <c r="B87" s="418" t="s">
        <v>1550</v>
      </c>
      <c r="C87" s="415" t="s">
        <v>1537</v>
      </c>
      <c r="D87" s="314">
        <v>1</v>
      </c>
      <c r="E87" s="15">
        <f t="shared" si="2"/>
        <v>129</v>
      </c>
      <c r="F87" s="205" t="s">
        <v>240</v>
      </c>
      <c r="G87" s="312" t="s">
        <v>613</v>
      </c>
      <c r="I87" s="412" t="s">
        <v>1106</v>
      </c>
    </row>
    <row r="88" spans="1:9" ht="28.8" x14ac:dyDescent="0.3">
      <c r="A88" s="15">
        <v>86</v>
      </c>
      <c r="B88" s="415" t="s">
        <v>242</v>
      </c>
      <c r="C88" s="415" t="s">
        <v>1551</v>
      </c>
      <c r="D88" s="314">
        <v>5</v>
      </c>
      <c r="E88" s="15">
        <f t="shared" si="2"/>
        <v>130</v>
      </c>
      <c r="F88" s="204" t="s">
        <v>243</v>
      </c>
      <c r="G88" s="312" t="s">
        <v>241</v>
      </c>
      <c r="H88" s="15">
        <v>0</v>
      </c>
      <c r="I88" s="412" t="s">
        <v>242</v>
      </c>
    </row>
    <row r="89" spans="1:9" x14ac:dyDescent="0.3">
      <c r="A89" s="15">
        <v>87</v>
      </c>
      <c r="B89" s="418" t="s">
        <v>244</v>
      </c>
      <c r="C89" s="415" t="s">
        <v>1552</v>
      </c>
      <c r="D89" s="314">
        <v>1</v>
      </c>
      <c r="E89" s="15">
        <f t="shared" si="2"/>
        <v>135</v>
      </c>
      <c r="F89" s="205" t="s">
        <v>245</v>
      </c>
      <c r="G89" s="269" t="s">
        <v>613</v>
      </c>
      <c r="I89" s="412" t="s">
        <v>1293</v>
      </c>
    </row>
    <row r="90" spans="1:9" x14ac:dyDescent="0.3">
      <c r="A90" s="15">
        <v>88</v>
      </c>
      <c r="B90" s="495" t="s">
        <v>254</v>
      </c>
      <c r="D90" s="498">
        <v>24</v>
      </c>
      <c r="I90" s="412" t="s">
        <v>254</v>
      </c>
    </row>
    <row r="91" spans="1:9" x14ac:dyDescent="0.3">
      <c r="A91" s="15">
        <v>89</v>
      </c>
      <c r="B91" s="495" t="s">
        <v>255</v>
      </c>
      <c r="D91" s="498">
        <v>5</v>
      </c>
      <c r="I91" s="412" t="s">
        <v>255</v>
      </c>
    </row>
    <row r="92" spans="1:9" x14ac:dyDescent="0.3">
      <c r="A92" s="15">
        <v>90</v>
      </c>
      <c r="B92" s="495" t="s">
        <v>256</v>
      </c>
      <c r="D92" s="498">
        <v>2</v>
      </c>
      <c r="I92" s="412" t="s">
        <v>1291</v>
      </c>
    </row>
    <row r="93" spans="1:9" x14ac:dyDescent="0.3">
      <c r="A93" s="15">
        <v>91</v>
      </c>
      <c r="B93" s="495" t="s">
        <v>257</v>
      </c>
      <c r="D93" s="498">
        <v>1</v>
      </c>
      <c r="I93" s="412" t="s">
        <v>257</v>
      </c>
    </row>
    <row r="94" spans="1:9" x14ac:dyDescent="0.3">
      <c r="A94" s="15">
        <v>92</v>
      </c>
      <c r="B94" s="495" t="s">
        <v>258</v>
      </c>
      <c r="D94" s="498">
        <v>8</v>
      </c>
      <c r="I94" s="493" t="s">
        <v>258</v>
      </c>
    </row>
    <row r="95" spans="1:9" x14ac:dyDescent="0.3">
      <c r="A95" s="15">
        <v>93</v>
      </c>
      <c r="B95" s="495" t="s">
        <v>259</v>
      </c>
      <c r="D95" s="498">
        <v>8</v>
      </c>
      <c r="I95" s="493" t="s">
        <v>259</v>
      </c>
    </row>
    <row r="96" spans="1:9" x14ac:dyDescent="0.3">
      <c r="A96" s="15">
        <v>94</v>
      </c>
      <c r="B96" s="495" t="s">
        <v>260</v>
      </c>
      <c r="D96" s="498">
        <v>8</v>
      </c>
      <c r="I96" s="493" t="s">
        <v>1286</v>
      </c>
    </row>
    <row r="97" spans="1:9" x14ac:dyDescent="0.3">
      <c r="A97" s="15">
        <v>95</v>
      </c>
      <c r="B97" s="495" t="s">
        <v>261</v>
      </c>
      <c r="D97" s="498">
        <v>8</v>
      </c>
      <c r="I97" s="493" t="s">
        <v>1284</v>
      </c>
    </row>
    <row r="98" spans="1:9" x14ac:dyDescent="0.3">
      <c r="A98" s="15">
        <v>96</v>
      </c>
      <c r="B98" s="495" t="s">
        <v>247</v>
      </c>
      <c r="D98" s="498">
        <v>16</v>
      </c>
    </row>
    <row r="99" spans="1:9" x14ac:dyDescent="0.3">
      <c r="A99" s="15">
        <v>97</v>
      </c>
      <c r="B99" s="495" t="s">
        <v>248</v>
      </c>
      <c r="D99" s="498">
        <v>8</v>
      </c>
    </row>
    <row r="100" spans="1:9" x14ac:dyDescent="0.3">
      <c r="A100" s="15">
        <v>98</v>
      </c>
      <c r="B100" s="495" t="s">
        <v>249</v>
      </c>
      <c r="D100" s="498">
        <v>8</v>
      </c>
    </row>
    <row r="101" spans="1:9" x14ac:dyDescent="0.3">
      <c r="A101" s="15">
        <v>99</v>
      </c>
      <c r="B101" s="495" t="s">
        <v>250</v>
      </c>
      <c r="D101" s="498">
        <v>32</v>
      </c>
    </row>
    <row r="102" spans="1:9" x14ac:dyDescent="0.3">
      <c r="A102" s="15">
        <v>100</v>
      </c>
      <c r="B102" s="495" t="s">
        <v>251</v>
      </c>
      <c r="D102" s="498">
        <v>32</v>
      </c>
    </row>
    <row r="103" spans="1:9" x14ac:dyDescent="0.3">
      <c r="A103" s="15">
        <v>101</v>
      </c>
      <c r="B103" s="495" t="s">
        <v>252</v>
      </c>
      <c r="D103" s="498">
        <v>32</v>
      </c>
    </row>
    <row r="104" spans="1:9" x14ac:dyDescent="0.3">
      <c r="A104" s="15">
        <v>102</v>
      </c>
      <c r="B104" s="495" t="s">
        <v>262</v>
      </c>
      <c r="D104" s="498">
        <v>16</v>
      </c>
      <c r="I104" s="412" t="s">
        <v>1272</v>
      </c>
    </row>
    <row r="105" spans="1:9" x14ac:dyDescent="0.3">
      <c r="A105" s="15">
        <v>103</v>
      </c>
      <c r="B105" s="495" t="s">
        <v>263</v>
      </c>
      <c r="D105" s="498">
        <v>8</v>
      </c>
      <c r="I105" s="412" t="s">
        <v>1270</v>
      </c>
    </row>
    <row r="106" spans="1:9" x14ac:dyDescent="0.3">
      <c r="A106" s="15">
        <v>104</v>
      </c>
      <c r="B106" s="495" t="s">
        <v>264</v>
      </c>
      <c r="D106" s="498">
        <v>4</v>
      </c>
      <c r="I106" s="412" t="s">
        <v>1269</v>
      </c>
    </row>
    <row r="107" spans="1:9" x14ac:dyDescent="0.3">
      <c r="A107" s="15">
        <v>105</v>
      </c>
      <c r="B107" s="495" t="s">
        <v>265</v>
      </c>
      <c r="D107" s="498">
        <v>4</v>
      </c>
      <c r="I107" s="412" t="s">
        <v>1265</v>
      </c>
    </row>
    <row r="108" spans="1:9" x14ac:dyDescent="0.3">
      <c r="A108" s="15">
        <v>106</v>
      </c>
      <c r="B108" s="496" t="s">
        <v>395</v>
      </c>
      <c r="D108" s="499">
        <v>512</v>
      </c>
      <c r="I108" s="412" t="s">
        <v>1263</v>
      </c>
    </row>
    <row r="109" spans="1:9" x14ac:dyDescent="0.3">
      <c r="A109" s="15">
        <v>107</v>
      </c>
      <c r="B109" s="496" t="s">
        <v>396</v>
      </c>
      <c r="D109" s="499">
        <v>32</v>
      </c>
      <c r="I109" s="412" t="s">
        <v>1598</v>
      </c>
    </row>
    <row r="110" spans="1:9" x14ac:dyDescent="0.3">
      <c r="A110" s="15">
        <v>108</v>
      </c>
      <c r="B110" s="496" t="s">
        <v>397</v>
      </c>
      <c r="D110" s="499">
        <v>256</v>
      </c>
      <c r="I110" s="412" t="s">
        <v>1599</v>
      </c>
    </row>
    <row r="111" spans="1:9" x14ac:dyDescent="0.3">
      <c r="A111" s="15">
        <v>109</v>
      </c>
      <c r="B111" s="496" t="s">
        <v>398</v>
      </c>
      <c r="D111" s="499">
        <v>256</v>
      </c>
      <c r="I111" s="412" t="s">
        <v>1600</v>
      </c>
    </row>
    <row r="112" spans="1:9" x14ac:dyDescent="0.3">
      <c r="A112" s="15">
        <v>110</v>
      </c>
      <c r="B112" s="496" t="s">
        <v>422</v>
      </c>
      <c r="D112" s="499">
        <v>0</v>
      </c>
      <c r="I112" s="412" t="s">
        <v>1601</v>
      </c>
    </row>
    <row r="113" spans="1:9" x14ac:dyDescent="0.3">
      <c r="A113" s="15">
        <v>111</v>
      </c>
      <c r="B113" s="497" t="s">
        <v>16</v>
      </c>
      <c r="D113" s="500">
        <v>768</v>
      </c>
      <c r="I113" s="412" t="s">
        <v>16</v>
      </c>
    </row>
    <row r="114" spans="1:9" x14ac:dyDescent="0.3">
      <c r="A114" s="15">
        <v>112</v>
      </c>
      <c r="B114" s="497" t="s">
        <v>399</v>
      </c>
      <c r="D114" s="500">
        <v>160</v>
      </c>
      <c r="I114" s="412"/>
    </row>
    <row r="115" spans="1:9" x14ac:dyDescent="0.3">
      <c r="A115" s="15">
        <v>113</v>
      </c>
      <c r="B115" s="497" t="s">
        <v>22</v>
      </c>
      <c r="D115" s="500">
        <v>32</v>
      </c>
      <c r="I115" s="412"/>
    </row>
    <row r="116" spans="1:9" x14ac:dyDescent="0.3">
      <c r="A116" s="15">
        <v>114</v>
      </c>
      <c r="B116" s="497" t="s">
        <v>884</v>
      </c>
      <c r="D116" s="500">
        <v>320</v>
      </c>
      <c r="I116" s="412"/>
    </row>
    <row r="117" spans="1:9" x14ac:dyDescent="0.3">
      <c r="A117" s="15">
        <v>115</v>
      </c>
      <c r="B117" s="497" t="s">
        <v>21</v>
      </c>
      <c r="D117" s="500">
        <v>6400</v>
      </c>
      <c r="I117" s="412"/>
    </row>
    <row r="118" spans="1:9" x14ac:dyDescent="0.3">
      <c r="A118" s="15">
        <v>116</v>
      </c>
      <c r="B118" s="497" t="s">
        <v>423</v>
      </c>
      <c r="D118" s="500">
        <v>0</v>
      </c>
      <c r="I118" s="412"/>
    </row>
    <row r="119" spans="1:9" x14ac:dyDescent="0.3">
      <c r="I119" s="412"/>
    </row>
    <row r="120" spans="1:9" x14ac:dyDescent="0.3">
      <c r="I120" s="412"/>
    </row>
    <row r="121" spans="1:9" x14ac:dyDescent="0.3">
      <c r="I121" s="412"/>
    </row>
    <row r="122" spans="1:9" x14ac:dyDescent="0.3">
      <c r="I122" s="412"/>
    </row>
    <row r="123" spans="1:9" x14ac:dyDescent="0.3">
      <c r="I123" s="412"/>
    </row>
    <row r="124" spans="1:9" x14ac:dyDescent="0.3">
      <c r="I124" s="494"/>
    </row>
    <row r="125" spans="1:9" x14ac:dyDescent="0.3">
      <c r="I125" s="494"/>
    </row>
    <row r="126" spans="1:9" x14ac:dyDescent="0.3">
      <c r="I126" s="494"/>
    </row>
    <row r="127" spans="1:9" x14ac:dyDescent="0.3">
      <c r="I127" s="494"/>
    </row>
    <row r="128" spans="1:9" x14ac:dyDescent="0.3">
      <c r="I128" s="494"/>
    </row>
    <row r="129" spans="9:9" x14ac:dyDescent="0.3">
      <c r="I129" s="494"/>
    </row>
    <row r="130" spans="9:9" x14ac:dyDescent="0.3">
      <c r="I130" s="494"/>
    </row>
    <row r="131" spans="9:9" x14ac:dyDescent="0.3">
      <c r="I131" s="494"/>
    </row>
    <row r="132" spans="9:9" x14ac:dyDescent="0.3">
      <c r="I132" s="494"/>
    </row>
    <row r="133" spans="9:9" x14ac:dyDescent="0.3">
      <c r="I133" s="494"/>
    </row>
    <row r="134" spans="9:9" x14ac:dyDescent="0.3">
      <c r="I134" s="494"/>
    </row>
    <row r="135" spans="9:9" x14ac:dyDescent="0.3">
      <c r="I135" s="494"/>
    </row>
    <row r="136" spans="9:9" x14ac:dyDescent="0.3">
      <c r="I136" s="494"/>
    </row>
    <row r="137" spans="9:9" x14ac:dyDescent="0.3">
      <c r="I137" s="494"/>
    </row>
    <row r="138" spans="9:9" x14ac:dyDescent="0.3">
      <c r="I138" s="494"/>
    </row>
    <row r="139" spans="9:9" x14ac:dyDescent="0.3">
      <c r="I139" s="494"/>
    </row>
    <row r="140" spans="9:9" x14ac:dyDescent="0.3">
      <c r="I140" s="494"/>
    </row>
    <row r="141" spans="9:9" x14ac:dyDescent="0.3">
      <c r="I141" s="494"/>
    </row>
    <row r="142" spans="9:9" x14ac:dyDescent="0.3">
      <c r="I142" s="494"/>
    </row>
    <row r="143" spans="9:9" x14ac:dyDescent="0.3">
      <c r="I143" s="494"/>
    </row>
    <row r="144" spans="9:9" x14ac:dyDescent="0.3">
      <c r="I144" s="494"/>
    </row>
    <row r="145" spans="9:9" x14ac:dyDescent="0.3">
      <c r="I145" s="494"/>
    </row>
    <row r="146" spans="9:9" x14ac:dyDescent="0.3">
      <c r="I146" s="494"/>
    </row>
    <row r="147" spans="9:9" x14ac:dyDescent="0.3">
      <c r="I147" s="494"/>
    </row>
    <row r="148" spans="9:9" x14ac:dyDescent="0.3">
      <c r="I148" s="494"/>
    </row>
    <row r="149" spans="9:9" x14ac:dyDescent="0.3">
      <c r="I149" s="494"/>
    </row>
    <row r="150" spans="9:9" x14ac:dyDescent="0.3">
      <c r="I150" s="494"/>
    </row>
    <row r="151" spans="9:9" x14ac:dyDescent="0.3">
      <c r="I151" s="494"/>
    </row>
    <row r="152" spans="9:9" x14ac:dyDescent="0.3">
      <c r="I152" s="494"/>
    </row>
    <row r="153" spans="9:9" x14ac:dyDescent="0.3">
      <c r="I153" s="494"/>
    </row>
    <row r="154" spans="9:9" x14ac:dyDescent="0.3">
      <c r="I154" s="494"/>
    </row>
    <row r="155" spans="9:9" x14ac:dyDescent="0.3">
      <c r="I155" s="412"/>
    </row>
    <row r="156" spans="9:9" x14ac:dyDescent="0.3">
      <c r="I156" s="412"/>
    </row>
    <row r="157" spans="9:9" x14ac:dyDescent="0.3">
      <c r="I157" s="412"/>
    </row>
    <row r="158" spans="9:9" x14ac:dyDescent="0.3">
      <c r="I158" s="412"/>
    </row>
    <row r="159" spans="9:9" x14ac:dyDescent="0.3">
      <c r="I159" s="412"/>
    </row>
    <row r="160" spans="9:9" x14ac:dyDescent="0.3">
      <c r="I160" s="412"/>
    </row>
  </sheetData>
  <autoFilter ref="A1:H89" xr:uid="{20137023-DCF3-41E8-BF46-752FA4236132}">
    <sortState xmlns:xlrd2="http://schemas.microsoft.com/office/spreadsheetml/2017/richdata2" ref="A2:H89">
      <sortCondition ref="A1:A89"/>
    </sortState>
  </autoFilter>
  <conditionalFormatting sqref="B2:B89">
    <cfRule type="expression" dxfId="559" priority="1">
      <formula>$B2&lt;&gt;$I2</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89"/>
  <sheetViews>
    <sheetView tabSelected="1" topLeftCell="A58" workbookViewId="0">
      <selection activeCell="D91" sqref="D91"/>
    </sheetView>
  </sheetViews>
  <sheetFormatPr defaultRowHeight="14.4" x14ac:dyDescent="0.3"/>
  <cols>
    <col min="1" max="1" width="8.88671875" style="15"/>
    <col min="2" max="2" width="48.664062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1533</v>
      </c>
      <c r="B1" s="15" t="s">
        <v>1</v>
      </c>
      <c r="C1" s="15" t="s">
        <v>1553</v>
      </c>
      <c r="D1" s="15" t="s">
        <v>1562</v>
      </c>
      <c r="E1" s="15" t="s">
        <v>661</v>
      </c>
      <c r="F1" s="15" t="s">
        <v>1535</v>
      </c>
      <c r="H1" s="15" t="s">
        <v>1554</v>
      </c>
      <c r="I1" s="15" t="s">
        <v>1555</v>
      </c>
    </row>
    <row r="2" spans="1:9" x14ac:dyDescent="0.3">
      <c r="A2" s="15">
        <v>0</v>
      </c>
      <c r="B2" s="415" t="s">
        <v>64</v>
      </c>
      <c r="C2" s="15" t="s">
        <v>1556</v>
      </c>
      <c r="D2" s="15" t="s">
        <v>1556</v>
      </c>
      <c r="E2" s="314">
        <v>1</v>
      </c>
      <c r="F2" s="15">
        <v>0</v>
      </c>
      <c r="G2" s="205" t="s">
        <v>65</v>
      </c>
      <c r="H2" s="312" t="s">
        <v>613</v>
      </c>
    </row>
    <row r="3" spans="1:9" x14ac:dyDescent="0.3">
      <c r="A3" s="15">
        <v>1</v>
      </c>
      <c r="B3" s="415" t="s">
        <v>67</v>
      </c>
      <c r="C3" s="15" t="s">
        <v>1556</v>
      </c>
      <c r="D3" s="15" t="s">
        <v>1556</v>
      </c>
      <c r="E3" s="314">
        <v>1</v>
      </c>
      <c r="F3" s="15">
        <f t="shared" ref="F3:F34" si="0">E2+F2</f>
        <v>1</v>
      </c>
      <c r="G3" s="205" t="s">
        <v>68</v>
      </c>
      <c r="H3" s="312" t="s">
        <v>613</v>
      </c>
    </row>
    <row r="4" spans="1:9" x14ac:dyDescent="0.3">
      <c r="A4" s="15">
        <v>2</v>
      </c>
      <c r="B4" s="415" t="s">
        <v>71</v>
      </c>
      <c r="C4" s="15" t="s">
        <v>1556</v>
      </c>
      <c r="D4" s="15" t="s">
        <v>1556</v>
      </c>
      <c r="E4" s="314">
        <v>1</v>
      </c>
      <c r="F4" s="15">
        <f t="shared" si="0"/>
        <v>2</v>
      </c>
      <c r="G4" s="204" t="s">
        <v>72</v>
      </c>
      <c r="H4" s="312" t="s">
        <v>70</v>
      </c>
      <c r="I4" s="15">
        <v>1</v>
      </c>
    </row>
    <row r="5" spans="1:9" x14ac:dyDescent="0.3">
      <c r="A5" s="15">
        <v>3</v>
      </c>
      <c r="B5" s="415" t="s">
        <v>73</v>
      </c>
      <c r="C5" s="15" t="s">
        <v>1556</v>
      </c>
      <c r="D5" s="15" t="s">
        <v>1556</v>
      </c>
      <c r="E5" s="314">
        <v>1</v>
      </c>
      <c r="F5" s="15">
        <f t="shared" si="0"/>
        <v>3</v>
      </c>
      <c r="G5" s="205" t="s">
        <v>74</v>
      </c>
      <c r="H5" s="312" t="s">
        <v>613</v>
      </c>
    </row>
    <row r="6" spans="1:9" x14ac:dyDescent="0.3">
      <c r="A6" s="15">
        <v>4</v>
      </c>
      <c r="B6" s="415" t="s">
        <v>76</v>
      </c>
      <c r="C6" s="15" t="s">
        <v>1557</v>
      </c>
      <c r="D6" s="15" t="s">
        <v>1557</v>
      </c>
      <c r="E6" s="314">
        <v>1</v>
      </c>
      <c r="F6" s="15">
        <f t="shared" si="0"/>
        <v>4</v>
      </c>
      <c r="G6" s="204" t="s">
        <v>77</v>
      </c>
      <c r="H6" s="312" t="s">
        <v>75</v>
      </c>
      <c r="I6" s="15">
        <v>0</v>
      </c>
    </row>
    <row r="7" spans="1:9" x14ac:dyDescent="0.3">
      <c r="A7" s="15">
        <v>5</v>
      </c>
      <c r="B7" s="415" t="s">
        <v>79</v>
      </c>
      <c r="C7" s="15" t="s">
        <v>1557</v>
      </c>
      <c r="D7" s="15" t="s">
        <v>1557</v>
      </c>
      <c r="E7" s="314">
        <v>1</v>
      </c>
      <c r="F7" s="15">
        <f t="shared" si="0"/>
        <v>5</v>
      </c>
      <c r="G7" s="204" t="s">
        <v>80</v>
      </c>
      <c r="H7" s="312" t="s">
        <v>75</v>
      </c>
      <c r="I7" s="15">
        <v>0</v>
      </c>
    </row>
    <row r="8" spans="1:9" x14ac:dyDescent="0.3">
      <c r="A8" s="15">
        <v>6</v>
      </c>
      <c r="B8" s="415" t="s">
        <v>81</v>
      </c>
      <c r="C8" s="15" t="s">
        <v>1556</v>
      </c>
      <c r="D8" s="15" t="s">
        <v>1556</v>
      </c>
      <c r="E8" s="314">
        <v>1</v>
      </c>
      <c r="F8" s="15">
        <f t="shared" si="0"/>
        <v>6</v>
      </c>
      <c r="G8" s="205" t="s">
        <v>82</v>
      </c>
      <c r="H8" s="278" t="s">
        <v>1180</v>
      </c>
      <c r="I8" s="15">
        <v>1</v>
      </c>
    </row>
    <row r="9" spans="1:9" x14ac:dyDescent="0.3">
      <c r="A9" s="15">
        <v>7</v>
      </c>
      <c r="B9" s="415" t="s">
        <v>83</v>
      </c>
      <c r="C9" s="15" t="s">
        <v>1556</v>
      </c>
      <c r="D9" s="492" t="s">
        <v>1557</v>
      </c>
      <c r="E9" s="314">
        <v>1</v>
      </c>
      <c r="F9" s="15">
        <f t="shared" si="0"/>
        <v>7</v>
      </c>
      <c r="G9" s="205" t="s">
        <v>84</v>
      </c>
      <c r="H9" s="501" t="s">
        <v>1529</v>
      </c>
      <c r="I9" s="15">
        <v>1</v>
      </c>
    </row>
    <row r="10" spans="1:9" x14ac:dyDescent="0.3">
      <c r="A10" s="15">
        <v>8</v>
      </c>
      <c r="B10" s="415" t="s">
        <v>85</v>
      </c>
      <c r="C10" s="15" t="s">
        <v>1556</v>
      </c>
      <c r="D10" s="15" t="s">
        <v>1556</v>
      </c>
      <c r="E10" s="314">
        <v>1</v>
      </c>
      <c r="F10" s="15">
        <f t="shared" si="0"/>
        <v>8</v>
      </c>
      <c r="G10" s="205" t="s">
        <v>86</v>
      </c>
      <c r="H10" s="312" t="s">
        <v>613</v>
      </c>
    </row>
    <row r="11" spans="1:9" ht="28.8" x14ac:dyDescent="0.3">
      <c r="A11" s="15">
        <v>9</v>
      </c>
      <c r="B11" s="415" t="s">
        <v>811</v>
      </c>
      <c r="C11" s="15" t="s">
        <v>1557</v>
      </c>
      <c r="D11" s="492" t="s">
        <v>1563</v>
      </c>
      <c r="E11" s="314">
        <v>1</v>
      </c>
      <c r="F11" s="15">
        <f t="shared" si="0"/>
        <v>9</v>
      </c>
      <c r="G11" s="207" t="s">
        <v>88</v>
      </c>
      <c r="H11" s="312" t="s">
        <v>809</v>
      </c>
      <c r="I11" s="15">
        <v>0</v>
      </c>
    </row>
    <row r="12" spans="1:9" x14ac:dyDescent="0.3">
      <c r="A12" s="15">
        <v>10</v>
      </c>
      <c r="B12" s="415" t="s">
        <v>89</v>
      </c>
      <c r="C12" s="15" t="s">
        <v>1557</v>
      </c>
      <c r="D12" s="15" t="s">
        <v>1557</v>
      </c>
      <c r="E12" s="314">
        <v>1</v>
      </c>
      <c r="F12" s="15">
        <f t="shared" si="0"/>
        <v>10</v>
      </c>
      <c r="G12" s="204" t="s">
        <v>90</v>
      </c>
      <c r="H12" s="312" t="s">
        <v>647</v>
      </c>
      <c r="I12" s="15">
        <v>0</v>
      </c>
    </row>
    <row r="13" spans="1:9" x14ac:dyDescent="0.3">
      <c r="A13" s="15">
        <v>11</v>
      </c>
      <c r="B13" s="415" t="s">
        <v>92</v>
      </c>
      <c r="C13" s="15" t="s">
        <v>1557</v>
      </c>
      <c r="D13" s="15" t="s">
        <v>1557</v>
      </c>
      <c r="E13" s="314">
        <v>1</v>
      </c>
      <c r="F13" s="15">
        <f t="shared" si="0"/>
        <v>11</v>
      </c>
      <c r="G13" s="204" t="s">
        <v>93</v>
      </c>
      <c r="H13" s="312" t="s">
        <v>91</v>
      </c>
      <c r="I13" s="15">
        <v>0</v>
      </c>
    </row>
    <row r="14" spans="1:9" x14ac:dyDescent="0.3">
      <c r="A14" s="15">
        <v>12</v>
      </c>
      <c r="B14" s="415" t="s">
        <v>94</v>
      </c>
      <c r="C14" s="15" t="s">
        <v>1557</v>
      </c>
      <c r="D14" s="15" t="s">
        <v>1557</v>
      </c>
      <c r="E14" s="314">
        <v>1</v>
      </c>
      <c r="F14" s="15">
        <f t="shared" si="0"/>
        <v>12</v>
      </c>
      <c r="G14" s="204" t="s">
        <v>95</v>
      </c>
      <c r="H14" s="312" t="s">
        <v>649</v>
      </c>
      <c r="I14" s="15">
        <v>0</v>
      </c>
    </row>
    <row r="15" spans="1:9" x14ac:dyDescent="0.3">
      <c r="A15" s="15">
        <v>13</v>
      </c>
      <c r="B15" s="415" t="s">
        <v>96</v>
      </c>
      <c r="C15" s="15" t="s">
        <v>1557</v>
      </c>
      <c r="D15" s="15" t="s">
        <v>1557</v>
      </c>
      <c r="E15" s="314">
        <v>1</v>
      </c>
      <c r="F15" s="15">
        <f t="shared" si="0"/>
        <v>13</v>
      </c>
      <c r="G15" s="204" t="s">
        <v>97</v>
      </c>
      <c r="H15" s="312" t="s">
        <v>172</v>
      </c>
      <c r="I15" s="15">
        <v>0</v>
      </c>
    </row>
    <row r="16" spans="1:9" x14ac:dyDescent="0.3">
      <c r="A16" s="15">
        <v>14</v>
      </c>
      <c r="B16" s="415" t="s">
        <v>98</v>
      </c>
      <c r="C16" s="15" t="s">
        <v>1556</v>
      </c>
      <c r="D16" s="15" t="s">
        <v>1556</v>
      </c>
      <c r="E16" s="314">
        <v>1</v>
      </c>
      <c r="F16" s="15">
        <f t="shared" si="0"/>
        <v>14</v>
      </c>
      <c r="G16" s="205" t="s">
        <v>99</v>
      </c>
      <c r="H16" s="312" t="s">
        <v>613</v>
      </c>
    </row>
    <row r="17" spans="1:9" x14ac:dyDescent="0.3">
      <c r="A17" s="15">
        <v>15</v>
      </c>
      <c r="B17" s="415" t="s">
        <v>101</v>
      </c>
      <c r="C17" s="15" t="s">
        <v>1557</v>
      </c>
      <c r="D17" s="15" t="s">
        <v>1557</v>
      </c>
      <c r="E17" s="314">
        <v>1</v>
      </c>
      <c r="F17" s="15">
        <f t="shared" si="0"/>
        <v>15</v>
      </c>
      <c r="G17" s="204" t="s">
        <v>102</v>
      </c>
      <c r="H17" s="312" t="s">
        <v>100</v>
      </c>
      <c r="I17" s="15">
        <v>0</v>
      </c>
    </row>
    <row r="18" spans="1:9" x14ac:dyDescent="0.3">
      <c r="A18" s="15">
        <v>16</v>
      </c>
      <c r="B18" s="415" t="s">
        <v>103</v>
      </c>
      <c r="C18" s="15" t="s">
        <v>1556</v>
      </c>
      <c r="D18" s="15" t="s">
        <v>1556</v>
      </c>
      <c r="E18" s="314">
        <v>1</v>
      </c>
      <c r="F18" s="15">
        <f t="shared" si="0"/>
        <v>16</v>
      </c>
      <c r="G18" s="205" t="s">
        <v>104</v>
      </c>
      <c r="H18" s="312" t="s">
        <v>613</v>
      </c>
    </row>
    <row r="19" spans="1:9" x14ac:dyDescent="0.3">
      <c r="A19" s="15">
        <v>17</v>
      </c>
      <c r="B19" s="415" t="s">
        <v>105</v>
      </c>
      <c r="C19" s="15" t="s">
        <v>1556</v>
      </c>
      <c r="D19" s="15" t="s">
        <v>1556</v>
      </c>
      <c r="E19" s="314">
        <v>1</v>
      </c>
      <c r="F19" s="15">
        <f t="shared" si="0"/>
        <v>17</v>
      </c>
      <c r="G19" s="205" t="s">
        <v>106</v>
      </c>
      <c r="H19" s="312" t="s">
        <v>613</v>
      </c>
    </row>
    <row r="20" spans="1:9" x14ac:dyDescent="0.3">
      <c r="A20" s="15">
        <v>18</v>
      </c>
      <c r="B20" s="415" t="s">
        <v>107</v>
      </c>
      <c r="C20" s="15" t="s">
        <v>1557</v>
      </c>
      <c r="D20" s="15" t="s">
        <v>1557</v>
      </c>
      <c r="E20" s="314">
        <v>5</v>
      </c>
      <c r="F20" s="15">
        <f t="shared" si="0"/>
        <v>18</v>
      </c>
      <c r="G20" s="204" t="s">
        <v>1123</v>
      </c>
      <c r="H20" s="312" t="s">
        <v>100</v>
      </c>
      <c r="I20" s="15">
        <v>0</v>
      </c>
    </row>
    <row r="21" spans="1:9" ht="28.8" x14ac:dyDescent="0.3">
      <c r="A21" s="15">
        <v>19</v>
      </c>
      <c r="B21" s="416" t="s">
        <v>109</v>
      </c>
      <c r="C21" s="15" t="s">
        <v>1557</v>
      </c>
      <c r="D21" s="15" t="s">
        <v>1557</v>
      </c>
      <c r="E21" s="341">
        <v>1</v>
      </c>
      <c r="F21" s="15">
        <f t="shared" si="0"/>
        <v>23</v>
      </c>
      <c r="G21" s="204" t="s">
        <v>110</v>
      </c>
      <c r="H21" s="339" t="s">
        <v>108</v>
      </c>
      <c r="I21" s="15">
        <v>0</v>
      </c>
    </row>
    <row r="22" spans="1:9" ht="28.8" x14ac:dyDescent="0.3">
      <c r="A22" s="15">
        <v>20</v>
      </c>
      <c r="B22" s="416" t="s">
        <v>111</v>
      </c>
      <c r="C22" s="15" t="s">
        <v>1557</v>
      </c>
      <c r="D22" s="15" t="s">
        <v>1557</v>
      </c>
      <c r="E22" s="341">
        <v>1</v>
      </c>
      <c r="F22" s="15">
        <f t="shared" si="0"/>
        <v>24</v>
      </c>
      <c r="G22" s="204" t="s">
        <v>112</v>
      </c>
      <c r="H22" s="339" t="s">
        <v>108</v>
      </c>
      <c r="I22" s="15">
        <v>0</v>
      </c>
    </row>
    <row r="23" spans="1:9" ht="28.8" x14ac:dyDescent="0.3">
      <c r="A23" s="15">
        <v>21</v>
      </c>
      <c r="B23" s="416" t="s">
        <v>113</v>
      </c>
      <c r="C23" s="15" t="s">
        <v>1557</v>
      </c>
      <c r="D23" s="15" t="s">
        <v>1557</v>
      </c>
      <c r="E23" s="341">
        <v>1</v>
      </c>
      <c r="F23" s="15">
        <f t="shared" si="0"/>
        <v>25</v>
      </c>
      <c r="G23" s="204" t="s">
        <v>114</v>
      </c>
      <c r="H23" s="339" t="s">
        <v>108</v>
      </c>
      <c r="I23" s="15">
        <v>0</v>
      </c>
    </row>
    <row r="24" spans="1:9" ht="28.8" x14ac:dyDescent="0.3">
      <c r="A24" s="15">
        <v>22</v>
      </c>
      <c r="B24" s="416" t="s">
        <v>115</v>
      </c>
      <c r="C24" s="15" t="s">
        <v>1557</v>
      </c>
      <c r="D24" s="15" t="s">
        <v>1557</v>
      </c>
      <c r="E24" s="341">
        <v>1</v>
      </c>
      <c r="F24" s="15">
        <f t="shared" si="0"/>
        <v>26</v>
      </c>
      <c r="G24" s="204" t="s">
        <v>116</v>
      </c>
      <c r="H24" s="339" t="s">
        <v>108</v>
      </c>
      <c r="I24" s="15">
        <v>0</v>
      </c>
    </row>
    <row r="25" spans="1:9" ht="28.8" x14ac:dyDescent="0.3">
      <c r="A25" s="15">
        <v>23</v>
      </c>
      <c r="B25" s="416" t="s">
        <v>117</v>
      </c>
      <c r="C25" s="15" t="s">
        <v>1557</v>
      </c>
      <c r="D25" s="15" t="s">
        <v>1557</v>
      </c>
      <c r="E25" s="341">
        <v>1</v>
      </c>
      <c r="F25" s="15">
        <f t="shared" si="0"/>
        <v>27</v>
      </c>
      <c r="G25" s="204" t="s">
        <v>118</v>
      </c>
      <c r="H25" s="339" t="s">
        <v>108</v>
      </c>
      <c r="I25" s="15">
        <v>0</v>
      </c>
    </row>
    <row r="26" spans="1:9" x14ac:dyDescent="0.3">
      <c r="A26" s="15">
        <v>24</v>
      </c>
      <c r="B26" s="415" t="s">
        <v>120</v>
      </c>
      <c r="C26" s="15" t="s">
        <v>1557</v>
      </c>
      <c r="D26" s="15" t="s">
        <v>1557</v>
      </c>
      <c r="E26" s="314">
        <v>1</v>
      </c>
      <c r="F26" s="15">
        <f t="shared" si="0"/>
        <v>28</v>
      </c>
      <c r="G26" s="204" t="s">
        <v>121</v>
      </c>
      <c r="H26" s="312" t="s">
        <v>119</v>
      </c>
      <c r="I26" s="15">
        <v>0</v>
      </c>
    </row>
    <row r="27" spans="1:9" x14ac:dyDescent="0.3">
      <c r="A27" s="15">
        <v>25</v>
      </c>
      <c r="B27" s="415" t="s">
        <v>123</v>
      </c>
      <c r="C27" s="15" t="s">
        <v>1557</v>
      </c>
      <c r="D27" s="15" t="s">
        <v>1557</v>
      </c>
      <c r="E27" s="314">
        <v>1</v>
      </c>
      <c r="F27" s="15">
        <f t="shared" si="0"/>
        <v>29</v>
      </c>
      <c r="G27" s="204" t="s">
        <v>124</v>
      </c>
      <c r="H27" s="312" t="s">
        <v>122</v>
      </c>
      <c r="I27" s="15">
        <v>0</v>
      </c>
    </row>
    <row r="28" spans="1:9" x14ac:dyDescent="0.3">
      <c r="A28" s="15">
        <v>26</v>
      </c>
      <c r="B28" s="415" t="s">
        <v>126</v>
      </c>
      <c r="C28" s="15" t="s">
        <v>1557</v>
      </c>
      <c r="D28" s="15" t="s">
        <v>1557</v>
      </c>
      <c r="E28" s="314">
        <v>1</v>
      </c>
      <c r="F28" s="15">
        <f t="shared" si="0"/>
        <v>30</v>
      </c>
      <c r="G28" s="204" t="s">
        <v>127</v>
      </c>
      <c r="H28" s="312" t="s">
        <v>125</v>
      </c>
      <c r="I28" s="15">
        <v>0</v>
      </c>
    </row>
    <row r="29" spans="1:9" x14ac:dyDescent="0.3">
      <c r="A29" s="15">
        <v>27</v>
      </c>
      <c r="B29" s="415" t="s">
        <v>129</v>
      </c>
      <c r="C29" s="15" t="s">
        <v>1557</v>
      </c>
      <c r="D29" s="15" t="s">
        <v>1557</v>
      </c>
      <c r="E29" s="314">
        <v>3</v>
      </c>
      <c r="F29" s="15">
        <f t="shared" si="0"/>
        <v>31</v>
      </c>
      <c r="G29" s="204" t="s">
        <v>130</v>
      </c>
      <c r="H29" s="312" t="s">
        <v>100</v>
      </c>
      <c r="I29" s="15">
        <v>0</v>
      </c>
    </row>
    <row r="30" spans="1:9" ht="28.8" x14ac:dyDescent="0.3">
      <c r="A30" s="15">
        <v>28</v>
      </c>
      <c r="B30" s="416" t="s">
        <v>131</v>
      </c>
      <c r="C30" s="15" t="s">
        <v>1557</v>
      </c>
      <c r="D30" s="15" t="s">
        <v>1557</v>
      </c>
      <c r="E30" s="341">
        <v>1</v>
      </c>
      <c r="F30" s="15">
        <f t="shared" si="0"/>
        <v>34</v>
      </c>
      <c r="G30" s="204" t="s">
        <v>132</v>
      </c>
      <c r="H30" s="339" t="s">
        <v>108</v>
      </c>
      <c r="I30" s="15">
        <v>0</v>
      </c>
    </row>
    <row r="31" spans="1:9" x14ac:dyDescent="0.3">
      <c r="A31" s="15">
        <v>29</v>
      </c>
      <c r="B31" s="416" t="s">
        <v>1301</v>
      </c>
      <c r="C31" s="15" t="s">
        <v>1557</v>
      </c>
      <c r="D31" s="15" t="s">
        <v>1557</v>
      </c>
      <c r="E31" s="341">
        <v>1</v>
      </c>
      <c r="F31" s="15">
        <f t="shared" si="0"/>
        <v>35</v>
      </c>
      <c r="G31" s="204" t="s">
        <v>374</v>
      </c>
      <c r="H31" s="339" t="s">
        <v>48</v>
      </c>
      <c r="I31" s="15">
        <v>0</v>
      </c>
    </row>
    <row r="32" spans="1:9" ht="28.8" x14ac:dyDescent="0.3">
      <c r="A32" s="15">
        <v>30</v>
      </c>
      <c r="B32" s="416" t="s">
        <v>376</v>
      </c>
      <c r="C32" s="15" t="s">
        <v>1557</v>
      </c>
      <c r="D32" s="15" t="s">
        <v>1557</v>
      </c>
      <c r="E32" s="341">
        <v>1</v>
      </c>
      <c r="F32" s="15">
        <f t="shared" si="0"/>
        <v>36</v>
      </c>
      <c r="G32" s="204" t="s">
        <v>375</v>
      </c>
      <c r="H32" s="339" t="s">
        <v>1148</v>
      </c>
      <c r="I32" s="15">
        <v>0</v>
      </c>
    </row>
    <row r="33" spans="1:9" x14ac:dyDescent="0.3">
      <c r="A33" s="15">
        <v>31</v>
      </c>
      <c r="B33" s="417" t="s">
        <v>134</v>
      </c>
      <c r="C33" s="15" t="s">
        <v>1557</v>
      </c>
      <c r="D33" s="15" t="s">
        <v>1557</v>
      </c>
      <c r="E33" s="314">
        <v>1</v>
      </c>
      <c r="F33" s="15">
        <f t="shared" si="0"/>
        <v>37</v>
      </c>
      <c r="G33" s="204" t="s">
        <v>135</v>
      </c>
      <c r="H33" s="312" t="s">
        <v>133</v>
      </c>
      <c r="I33" s="15">
        <v>0</v>
      </c>
    </row>
    <row r="34" spans="1:9" x14ac:dyDescent="0.3">
      <c r="A34" s="15">
        <v>32</v>
      </c>
      <c r="B34" s="415" t="s">
        <v>136</v>
      </c>
      <c r="C34" s="15" t="s">
        <v>1557</v>
      </c>
      <c r="D34" s="15" t="s">
        <v>1557</v>
      </c>
      <c r="E34" s="314">
        <v>1</v>
      </c>
      <c r="F34" s="15">
        <f t="shared" si="0"/>
        <v>38</v>
      </c>
      <c r="G34" s="204" t="s">
        <v>137</v>
      </c>
      <c r="H34" s="312" t="s">
        <v>125</v>
      </c>
      <c r="I34" s="15">
        <v>0</v>
      </c>
    </row>
    <row r="35" spans="1:9" x14ac:dyDescent="0.3">
      <c r="A35" s="15">
        <v>33</v>
      </c>
      <c r="B35" s="415" t="s">
        <v>138</v>
      </c>
      <c r="C35" s="15" t="s">
        <v>1556</v>
      </c>
      <c r="D35" s="15" t="s">
        <v>1556</v>
      </c>
      <c r="E35" s="314">
        <v>1</v>
      </c>
      <c r="F35" s="15">
        <f t="shared" ref="F35:F66" si="1">E34+F34</f>
        <v>39</v>
      </c>
      <c r="G35" s="205" t="s">
        <v>139</v>
      </c>
      <c r="H35" s="312" t="s">
        <v>613</v>
      </c>
    </row>
    <row r="36" spans="1:9" x14ac:dyDescent="0.3">
      <c r="A36" s="15">
        <v>34</v>
      </c>
      <c r="B36" s="415" t="s">
        <v>142</v>
      </c>
      <c r="C36" s="15" t="s">
        <v>1557</v>
      </c>
      <c r="D36" s="15" t="s">
        <v>1557</v>
      </c>
      <c r="E36" s="314">
        <v>1</v>
      </c>
      <c r="F36" s="15">
        <f t="shared" si="1"/>
        <v>40</v>
      </c>
      <c r="G36" s="204" t="s">
        <v>143</v>
      </c>
      <c r="H36" s="312" t="s">
        <v>640</v>
      </c>
      <c r="I36" s="15">
        <v>0</v>
      </c>
    </row>
    <row r="37" spans="1:9" x14ac:dyDescent="0.3">
      <c r="A37" s="15">
        <v>35</v>
      </c>
      <c r="B37" s="415" t="s">
        <v>145</v>
      </c>
      <c r="C37" s="15" t="s">
        <v>1557</v>
      </c>
      <c r="D37" s="15" t="s">
        <v>1557</v>
      </c>
      <c r="E37" s="314">
        <v>1</v>
      </c>
      <c r="F37" s="15">
        <f t="shared" si="1"/>
        <v>41</v>
      </c>
      <c r="G37" s="204" t="s">
        <v>146</v>
      </c>
      <c r="H37" s="312" t="s">
        <v>144</v>
      </c>
      <c r="I37" s="15">
        <v>0</v>
      </c>
    </row>
    <row r="38" spans="1:9" x14ac:dyDescent="0.3">
      <c r="A38" s="15">
        <v>36</v>
      </c>
      <c r="B38" s="415" t="s">
        <v>148</v>
      </c>
      <c r="C38" s="15" t="s">
        <v>1557</v>
      </c>
      <c r="D38" s="15" t="s">
        <v>1557</v>
      </c>
      <c r="E38" s="314">
        <v>1</v>
      </c>
      <c r="F38" s="15">
        <f t="shared" si="1"/>
        <v>42</v>
      </c>
      <c r="G38" s="204" t="s">
        <v>149</v>
      </c>
      <c r="H38" s="312" t="s">
        <v>147</v>
      </c>
      <c r="I38" s="15">
        <v>0</v>
      </c>
    </row>
    <row r="39" spans="1:9" x14ac:dyDescent="0.3">
      <c r="A39" s="15">
        <v>37</v>
      </c>
      <c r="B39" s="415" t="s">
        <v>150</v>
      </c>
      <c r="C39" s="15" t="s">
        <v>1556</v>
      </c>
      <c r="D39" s="15" t="s">
        <v>1556</v>
      </c>
      <c r="E39" s="314">
        <v>1</v>
      </c>
      <c r="F39" s="15">
        <f t="shared" si="1"/>
        <v>43</v>
      </c>
      <c r="G39" s="205" t="s">
        <v>151</v>
      </c>
      <c r="H39" s="279" t="s">
        <v>1182</v>
      </c>
      <c r="I39" s="15">
        <v>1</v>
      </c>
    </row>
    <row r="40" spans="1:9" x14ac:dyDescent="0.3">
      <c r="A40" s="15">
        <v>38</v>
      </c>
      <c r="B40" s="415" t="s">
        <v>153</v>
      </c>
      <c r="C40" s="15" t="s">
        <v>1557</v>
      </c>
      <c r="D40" s="15" t="s">
        <v>1557</v>
      </c>
      <c r="E40" s="314">
        <v>1</v>
      </c>
      <c r="F40" s="15">
        <f t="shared" si="1"/>
        <v>44</v>
      </c>
      <c r="G40" s="204" t="s">
        <v>154</v>
      </c>
      <c r="H40" s="312" t="s">
        <v>643</v>
      </c>
      <c r="I40" s="15">
        <v>0</v>
      </c>
    </row>
    <row r="41" spans="1:9" x14ac:dyDescent="0.3">
      <c r="A41" s="15">
        <v>39</v>
      </c>
      <c r="B41" s="415" t="s">
        <v>155</v>
      </c>
      <c r="C41" s="15" t="s">
        <v>1557</v>
      </c>
      <c r="D41" s="15" t="s">
        <v>1557</v>
      </c>
      <c r="E41" s="314">
        <v>1</v>
      </c>
      <c r="F41" s="15">
        <f t="shared" si="1"/>
        <v>45</v>
      </c>
      <c r="G41" s="204" t="s">
        <v>156</v>
      </c>
      <c r="H41" s="312" t="s">
        <v>636</v>
      </c>
      <c r="I41" s="15">
        <v>0</v>
      </c>
    </row>
    <row r="42" spans="1:9" x14ac:dyDescent="0.3">
      <c r="A42" s="15">
        <v>40</v>
      </c>
      <c r="B42" s="415" t="s">
        <v>157</v>
      </c>
      <c r="C42" s="15" t="s">
        <v>1556</v>
      </c>
      <c r="D42" s="15" t="s">
        <v>1556</v>
      </c>
      <c r="E42" s="314">
        <v>1</v>
      </c>
      <c r="F42" s="15">
        <f t="shared" si="1"/>
        <v>46</v>
      </c>
      <c r="G42" s="205" t="s">
        <v>158</v>
      </c>
      <c r="H42" s="269" t="s">
        <v>157</v>
      </c>
      <c r="I42" s="15">
        <v>1</v>
      </c>
    </row>
    <row r="43" spans="1:9" x14ac:dyDescent="0.3">
      <c r="A43" s="15">
        <v>41</v>
      </c>
      <c r="B43" s="415" t="s">
        <v>159</v>
      </c>
      <c r="C43" s="15" t="s">
        <v>1556</v>
      </c>
      <c r="D43" s="15" t="s">
        <v>1556</v>
      </c>
      <c r="E43" s="314">
        <v>1</v>
      </c>
      <c r="F43" s="15">
        <f t="shared" si="1"/>
        <v>47</v>
      </c>
      <c r="G43" s="204" t="s">
        <v>160</v>
      </c>
      <c r="H43" s="312" t="s">
        <v>645</v>
      </c>
      <c r="I43" s="15">
        <v>1</v>
      </c>
    </row>
    <row r="44" spans="1:9" x14ac:dyDescent="0.3">
      <c r="A44" s="15">
        <v>42</v>
      </c>
      <c r="B44" s="415" t="s">
        <v>161</v>
      </c>
      <c r="C44" s="15" t="s">
        <v>1557</v>
      </c>
      <c r="D44" s="15" t="s">
        <v>1557</v>
      </c>
      <c r="E44" s="314">
        <v>1</v>
      </c>
      <c r="F44" s="15">
        <f t="shared" si="1"/>
        <v>48</v>
      </c>
      <c r="G44" s="204" t="s">
        <v>162</v>
      </c>
      <c r="H44" s="312" t="s">
        <v>641</v>
      </c>
      <c r="I44" s="15">
        <v>0</v>
      </c>
    </row>
    <row r="45" spans="1:9" ht="28.8" x14ac:dyDescent="0.3">
      <c r="A45" s="15">
        <v>43</v>
      </c>
      <c r="B45" s="415" t="s">
        <v>163</v>
      </c>
      <c r="C45" s="15" t="s">
        <v>1556</v>
      </c>
      <c r="D45" s="15" t="s">
        <v>1556</v>
      </c>
      <c r="E45" s="314">
        <v>3</v>
      </c>
      <c r="F45" s="15">
        <f t="shared" si="1"/>
        <v>49</v>
      </c>
      <c r="G45" s="205" t="s">
        <v>164</v>
      </c>
      <c r="H45" s="269" t="s">
        <v>163</v>
      </c>
      <c r="I45" s="15">
        <v>1</v>
      </c>
    </row>
    <row r="46" spans="1:9" x14ac:dyDescent="0.3">
      <c r="A46" s="15">
        <v>44</v>
      </c>
      <c r="B46" s="415" t="s">
        <v>165</v>
      </c>
      <c r="C46" s="15" t="s">
        <v>1557</v>
      </c>
      <c r="D46" s="15" t="s">
        <v>1557</v>
      </c>
      <c r="E46" s="314">
        <v>1</v>
      </c>
      <c r="F46" s="15">
        <f t="shared" si="1"/>
        <v>52</v>
      </c>
      <c r="G46" s="204" t="s">
        <v>166</v>
      </c>
      <c r="H46" s="312" t="s">
        <v>642</v>
      </c>
      <c r="I46" s="15">
        <v>0</v>
      </c>
    </row>
    <row r="47" spans="1:9" x14ac:dyDescent="0.3">
      <c r="A47" s="15">
        <v>45</v>
      </c>
      <c r="B47" s="415" t="s">
        <v>167</v>
      </c>
      <c r="C47" s="15" t="s">
        <v>1556</v>
      </c>
      <c r="D47" s="15" t="s">
        <v>1556</v>
      </c>
      <c r="E47" s="314">
        <v>1</v>
      </c>
      <c r="F47" s="15">
        <f t="shared" si="1"/>
        <v>53</v>
      </c>
      <c r="G47" s="204" t="s">
        <v>168</v>
      </c>
      <c r="H47" s="312" t="s">
        <v>651</v>
      </c>
      <c r="I47" s="15">
        <v>1</v>
      </c>
    </row>
    <row r="48" spans="1:9" x14ac:dyDescent="0.3">
      <c r="A48" s="15">
        <v>46</v>
      </c>
      <c r="B48" s="415" t="s">
        <v>169</v>
      </c>
      <c r="C48" s="15" t="s">
        <v>1557</v>
      </c>
      <c r="D48" s="15" t="s">
        <v>1557</v>
      </c>
      <c r="E48" s="314">
        <v>1</v>
      </c>
      <c r="F48" s="15">
        <f t="shared" si="1"/>
        <v>54</v>
      </c>
      <c r="G48" s="204" t="s">
        <v>170</v>
      </c>
      <c r="H48" s="312" t="s">
        <v>639</v>
      </c>
      <c r="I48" s="15">
        <v>0</v>
      </c>
    </row>
    <row r="49" spans="1:9" x14ac:dyDescent="0.3">
      <c r="A49" s="15">
        <v>47</v>
      </c>
      <c r="B49" s="415" t="s">
        <v>673</v>
      </c>
      <c r="C49" s="15" t="s">
        <v>1556</v>
      </c>
      <c r="D49" s="15" t="s">
        <v>1556</v>
      </c>
      <c r="E49" s="314">
        <v>1</v>
      </c>
      <c r="F49" s="15">
        <f t="shared" si="1"/>
        <v>55</v>
      </c>
      <c r="G49" s="204" t="s">
        <v>171</v>
      </c>
      <c r="H49" s="312" t="s">
        <v>637</v>
      </c>
      <c r="I49" s="15">
        <v>1</v>
      </c>
    </row>
    <row r="50" spans="1:9" x14ac:dyDescent="0.3">
      <c r="A50" s="15">
        <v>48</v>
      </c>
      <c r="B50" s="415" t="s">
        <v>173</v>
      </c>
      <c r="C50" s="15" t="s">
        <v>1557</v>
      </c>
      <c r="D50" s="15" t="s">
        <v>1557</v>
      </c>
      <c r="E50" s="314">
        <v>1</v>
      </c>
      <c r="F50" s="15">
        <f t="shared" si="1"/>
        <v>56</v>
      </c>
      <c r="G50" s="204" t="s">
        <v>174</v>
      </c>
      <c r="H50" s="312" t="s">
        <v>172</v>
      </c>
      <c r="I50" s="15">
        <v>0</v>
      </c>
    </row>
    <row r="51" spans="1:9" x14ac:dyDescent="0.3">
      <c r="A51" s="15">
        <v>49</v>
      </c>
      <c r="B51" s="415" t="s">
        <v>176</v>
      </c>
      <c r="C51" s="15" t="s">
        <v>1557</v>
      </c>
      <c r="D51" s="15" t="s">
        <v>1557</v>
      </c>
      <c r="E51" s="314">
        <v>1</v>
      </c>
      <c r="F51" s="15">
        <f t="shared" si="1"/>
        <v>57</v>
      </c>
      <c r="G51" s="204" t="s">
        <v>177</v>
      </c>
      <c r="H51" s="312" t="s">
        <v>172</v>
      </c>
      <c r="I51" s="15">
        <v>0</v>
      </c>
    </row>
    <row r="52" spans="1:9" x14ac:dyDescent="0.3">
      <c r="A52" s="15">
        <v>50</v>
      </c>
      <c r="B52" s="415" t="s">
        <v>178</v>
      </c>
      <c r="C52" s="15" t="s">
        <v>1557</v>
      </c>
      <c r="D52" s="15" t="s">
        <v>1557</v>
      </c>
      <c r="E52" s="314">
        <v>1</v>
      </c>
      <c r="F52" s="15">
        <f t="shared" si="1"/>
        <v>58</v>
      </c>
      <c r="G52" s="204" t="s">
        <v>179</v>
      </c>
      <c r="H52" s="312" t="s">
        <v>172</v>
      </c>
      <c r="I52" s="15">
        <v>0</v>
      </c>
    </row>
    <row r="53" spans="1:9" x14ac:dyDescent="0.3">
      <c r="A53" s="15">
        <v>51</v>
      </c>
      <c r="B53" s="415" t="s">
        <v>180</v>
      </c>
      <c r="C53" s="15" t="s">
        <v>1557</v>
      </c>
      <c r="D53" s="15" t="s">
        <v>1557</v>
      </c>
      <c r="E53" s="314">
        <v>1</v>
      </c>
      <c r="F53" s="15">
        <f t="shared" si="1"/>
        <v>59</v>
      </c>
      <c r="G53" s="204" t="s">
        <v>181</v>
      </c>
      <c r="H53" s="312" t="s">
        <v>638</v>
      </c>
      <c r="I53" s="15">
        <v>0</v>
      </c>
    </row>
    <row r="54" spans="1:9" x14ac:dyDescent="0.3">
      <c r="A54" s="15">
        <v>52</v>
      </c>
      <c r="B54" s="415" t="s">
        <v>182</v>
      </c>
      <c r="C54" s="15" t="s">
        <v>1557</v>
      </c>
      <c r="D54" s="15" t="s">
        <v>1557</v>
      </c>
      <c r="E54" s="314">
        <v>1</v>
      </c>
      <c r="F54" s="15">
        <f t="shared" si="1"/>
        <v>60</v>
      </c>
      <c r="G54" s="204" t="s">
        <v>183</v>
      </c>
      <c r="H54" s="312" t="s">
        <v>635</v>
      </c>
      <c r="I54" s="15">
        <v>0</v>
      </c>
    </row>
    <row r="55" spans="1:9" x14ac:dyDescent="0.3">
      <c r="A55" s="15">
        <v>53</v>
      </c>
      <c r="B55" s="415" t="s">
        <v>184</v>
      </c>
      <c r="C55" s="15" t="s">
        <v>1557</v>
      </c>
      <c r="D55" s="15" t="s">
        <v>1557</v>
      </c>
      <c r="E55" s="314">
        <v>1</v>
      </c>
      <c r="F55" s="15">
        <f t="shared" si="1"/>
        <v>61</v>
      </c>
      <c r="G55" s="204" t="s">
        <v>185</v>
      </c>
      <c r="H55" s="312" t="s">
        <v>644</v>
      </c>
      <c r="I55" s="15">
        <v>0</v>
      </c>
    </row>
    <row r="56" spans="1:9" x14ac:dyDescent="0.3">
      <c r="A56" s="15">
        <v>54</v>
      </c>
      <c r="B56" s="415" t="s">
        <v>187</v>
      </c>
      <c r="C56" s="15" t="s">
        <v>1557</v>
      </c>
      <c r="D56" s="15" t="s">
        <v>1557</v>
      </c>
      <c r="E56" s="314">
        <v>2</v>
      </c>
      <c r="F56" s="15">
        <f t="shared" si="1"/>
        <v>62</v>
      </c>
      <c r="G56" s="204" t="s">
        <v>188</v>
      </c>
      <c r="H56" s="312" t="s">
        <v>186</v>
      </c>
      <c r="I56" s="15">
        <v>0</v>
      </c>
    </row>
    <row r="57" spans="1:9" x14ac:dyDescent="0.3">
      <c r="A57" s="15">
        <v>55</v>
      </c>
      <c r="B57" s="415" t="s">
        <v>189</v>
      </c>
      <c r="C57" s="15" t="s">
        <v>1556</v>
      </c>
      <c r="D57" s="15" t="s">
        <v>1556</v>
      </c>
      <c r="E57" s="314">
        <v>8</v>
      </c>
      <c r="F57" s="15">
        <f t="shared" si="1"/>
        <v>64</v>
      </c>
      <c r="G57" s="205" t="s">
        <v>190</v>
      </c>
      <c r="H57" s="312" t="s">
        <v>613</v>
      </c>
    </row>
    <row r="58" spans="1:9" x14ac:dyDescent="0.3">
      <c r="A58" s="15">
        <v>56</v>
      </c>
      <c r="B58" s="415" t="s">
        <v>192</v>
      </c>
      <c r="C58" s="15" t="s">
        <v>1556</v>
      </c>
      <c r="D58" s="15" t="s">
        <v>1556</v>
      </c>
      <c r="E58" s="314">
        <v>15</v>
      </c>
      <c r="F58" s="15">
        <f t="shared" si="1"/>
        <v>72</v>
      </c>
      <c r="G58" s="205" t="s">
        <v>193</v>
      </c>
      <c r="H58" s="312" t="s">
        <v>394</v>
      </c>
    </row>
    <row r="59" spans="1:9" x14ac:dyDescent="0.3">
      <c r="A59" s="15">
        <v>57</v>
      </c>
      <c r="B59" s="415" t="s">
        <v>194</v>
      </c>
      <c r="C59" s="15" t="s">
        <v>1557</v>
      </c>
      <c r="D59" s="15" t="s">
        <v>1557</v>
      </c>
      <c r="E59" s="314">
        <v>1</v>
      </c>
      <c r="F59" s="15">
        <f t="shared" si="1"/>
        <v>87</v>
      </c>
      <c r="G59" s="204" t="s">
        <v>195</v>
      </c>
      <c r="H59" s="312" t="s">
        <v>646</v>
      </c>
      <c r="I59" s="15">
        <v>0</v>
      </c>
    </row>
    <row r="60" spans="1:9" x14ac:dyDescent="0.3">
      <c r="A60" s="15">
        <v>58</v>
      </c>
      <c r="B60" s="415" t="s">
        <v>196</v>
      </c>
      <c r="C60" s="15" t="s">
        <v>1557</v>
      </c>
      <c r="D60" s="15" t="s">
        <v>1557</v>
      </c>
      <c r="E60" s="314">
        <v>1</v>
      </c>
      <c r="F60" s="15">
        <f t="shared" si="1"/>
        <v>88</v>
      </c>
      <c r="G60" s="204" t="s">
        <v>197</v>
      </c>
      <c r="H60" s="312" t="s">
        <v>650</v>
      </c>
      <c r="I60" s="15">
        <v>0</v>
      </c>
    </row>
    <row r="61" spans="1:9" x14ac:dyDescent="0.3">
      <c r="A61" s="15">
        <v>59</v>
      </c>
      <c r="B61" s="415" t="s">
        <v>237</v>
      </c>
      <c r="C61" s="15" t="s">
        <v>1556</v>
      </c>
      <c r="D61" s="15" t="s">
        <v>1556</v>
      </c>
      <c r="E61" s="314">
        <v>1</v>
      </c>
      <c r="F61" s="15">
        <f t="shared" si="1"/>
        <v>89</v>
      </c>
      <c r="G61" s="204" t="s">
        <v>198</v>
      </c>
      <c r="H61" s="312" t="s">
        <v>536</v>
      </c>
      <c r="I61" s="15">
        <v>1</v>
      </c>
    </row>
    <row r="62" spans="1:9" x14ac:dyDescent="0.3">
      <c r="A62" s="15">
        <v>60</v>
      </c>
      <c r="B62" s="415" t="s">
        <v>199</v>
      </c>
      <c r="C62" s="15" t="s">
        <v>1556</v>
      </c>
      <c r="D62" s="15" t="s">
        <v>1556</v>
      </c>
      <c r="E62" s="314">
        <v>3</v>
      </c>
      <c r="F62" s="15">
        <f t="shared" si="1"/>
        <v>90</v>
      </c>
      <c r="G62" s="205" t="s">
        <v>200</v>
      </c>
      <c r="H62" s="269" t="s">
        <v>199</v>
      </c>
      <c r="I62" s="15">
        <v>1</v>
      </c>
    </row>
    <row r="63" spans="1:9" x14ac:dyDescent="0.3">
      <c r="A63" s="15">
        <v>61</v>
      </c>
      <c r="B63" s="415" t="s">
        <v>1301</v>
      </c>
      <c r="C63" s="15" t="s">
        <v>1558</v>
      </c>
      <c r="D63" s="15" t="s">
        <v>1558</v>
      </c>
      <c r="E63" s="314">
        <v>1</v>
      </c>
      <c r="F63" s="15">
        <f t="shared" si="1"/>
        <v>93</v>
      </c>
      <c r="G63" s="204" t="s">
        <v>1133</v>
      </c>
      <c r="H63" s="312" t="s">
        <v>48</v>
      </c>
      <c r="I63" s="15">
        <v>0</v>
      </c>
    </row>
    <row r="64" spans="1:9" x14ac:dyDescent="0.3">
      <c r="A64" s="15">
        <v>62</v>
      </c>
      <c r="B64" s="415" t="s">
        <v>1301</v>
      </c>
      <c r="E64" s="314">
        <v>1</v>
      </c>
      <c r="F64" s="15">
        <f t="shared" si="1"/>
        <v>94</v>
      </c>
      <c r="G64" s="204" t="s">
        <v>1137</v>
      </c>
      <c r="H64" s="312" t="s">
        <v>48</v>
      </c>
      <c r="I64" s="15">
        <v>0</v>
      </c>
    </row>
    <row r="65" spans="1:9" x14ac:dyDescent="0.3">
      <c r="A65" s="15">
        <v>63</v>
      </c>
      <c r="B65" s="415" t="s">
        <v>1301</v>
      </c>
      <c r="E65" s="314">
        <v>1</v>
      </c>
      <c r="F65" s="15">
        <f t="shared" si="1"/>
        <v>95</v>
      </c>
      <c r="G65" s="204" t="s">
        <v>1138</v>
      </c>
      <c r="H65" s="312" t="s">
        <v>48</v>
      </c>
      <c r="I65" s="15">
        <v>0</v>
      </c>
    </row>
    <row r="66" spans="1:9" x14ac:dyDescent="0.3">
      <c r="A66" s="15">
        <v>64</v>
      </c>
      <c r="B66" s="415" t="s">
        <v>201</v>
      </c>
      <c r="C66" s="15" t="s">
        <v>1556</v>
      </c>
      <c r="D66" s="15" t="s">
        <v>1556</v>
      </c>
      <c r="E66" s="314">
        <v>4</v>
      </c>
      <c r="F66" s="15">
        <f t="shared" si="1"/>
        <v>96</v>
      </c>
      <c r="G66" s="205" t="s">
        <v>202</v>
      </c>
      <c r="H66" s="269" t="s">
        <v>201</v>
      </c>
      <c r="I66" s="15">
        <v>1</v>
      </c>
    </row>
    <row r="67" spans="1:9" x14ac:dyDescent="0.3">
      <c r="A67" s="15">
        <v>65</v>
      </c>
      <c r="B67" s="415" t="s">
        <v>203</v>
      </c>
      <c r="C67" s="15" t="s">
        <v>1556</v>
      </c>
      <c r="D67" s="15" t="s">
        <v>1556</v>
      </c>
      <c r="E67" s="314">
        <v>4</v>
      </c>
      <c r="F67" s="15">
        <f t="shared" ref="F67:F89" si="2">E66+F66</f>
        <v>100</v>
      </c>
      <c r="G67" s="205" t="s">
        <v>204</v>
      </c>
      <c r="H67" s="269" t="s">
        <v>203</v>
      </c>
      <c r="I67" s="15">
        <v>1</v>
      </c>
    </row>
    <row r="68" spans="1:9" x14ac:dyDescent="0.3">
      <c r="A68" s="15">
        <v>66</v>
      </c>
      <c r="B68" s="418" t="s">
        <v>1130</v>
      </c>
      <c r="C68" s="15" t="s">
        <v>1557</v>
      </c>
      <c r="D68" s="15" t="s">
        <v>1557</v>
      </c>
      <c r="E68" s="314">
        <v>1</v>
      </c>
      <c r="F68" s="15">
        <f t="shared" si="2"/>
        <v>104</v>
      </c>
      <c r="G68" s="204" t="s">
        <v>206</v>
      </c>
      <c r="H68" s="312" t="s">
        <v>613</v>
      </c>
    </row>
    <row r="69" spans="1:9" x14ac:dyDescent="0.3">
      <c r="A69" s="15">
        <v>67</v>
      </c>
      <c r="B69" s="418" t="s">
        <v>1131</v>
      </c>
      <c r="C69" s="15" t="s">
        <v>1557</v>
      </c>
      <c r="D69" s="15" t="s">
        <v>1557</v>
      </c>
      <c r="E69" s="314">
        <v>1</v>
      </c>
      <c r="F69" s="15">
        <f t="shared" si="2"/>
        <v>105</v>
      </c>
      <c r="G69" s="204" t="s">
        <v>207</v>
      </c>
      <c r="H69" s="312" t="s">
        <v>613</v>
      </c>
    </row>
    <row r="70" spans="1:9" x14ac:dyDescent="0.3">
      <c r="A70" s="15">
        <v>68</v>
      </c>
      <c r="B70" s="418" t="s">
        <v>1132</v>
      </c>
      <c r="C70" s="15" t="s">
        <v>1557</v>
      </c>
      <c r="D70" s="15" t="s">
        <v>1557</v>
      </c>
      <c r="E70" s="314">
        <v>1</v>
      </c>
      <c r="F70" s="15">
        <f t="shared" si="2"/>
        <v>106</v>
      </c>
      <c r="G70" s="204" t="s">
        <v>208</v>
      </c>
      <c r="H70" s="312" t="s">
        <v>613</v>
      </c>
    </row>
    <row r="71" spans="1:9" x14ac:dyDescent="0.3">
      <c r="A71" s="15">
        <v>69</v>
      </c>
      <c r="B71" s="415" t="s">
        <v>209</v>
      </c>
      <c r="C71" s="15" t="s">
        <v>1556</v>
      </c>
      <c r="D71" s="15" t="s">
        <v>1556</v>
      </c>
      <c r="E71" s="314">
        <v>1</v>
      </c>
      <c r="F71" s="15">
        <f t="shared" si="2"/>
        <v>107</v>
      </c>
      <c r="G71" s="205" t="s">
        <v>210</v>
      </c>
      <c r="H71" s="312" t="s">
        <v>613</v>
      </c>
    </row>
    <row r="72" spans="1:9" x14ac:dyDescent="0.3">
      <c r="A72" s="15">
        <v>70</v>
      </c>
      <c r="B72" s="415" t="s">
        <v>211</v>
      </c>
      <c r="C72" s="15" t="s">
        <v>1556</v>
      </c>
      <c r="D72" s="15" t="s">
        <v>1556</v>
      </c>
      <c r="E72" s="314">
        <v>1</v>
      </c>
      <c r="F72" s="15">
        <f t="shared" si="2"/>
        <v>108</v>
      </c>
      <c r="G72" s="205" t="s">
        <v>212</v>
      </c>
      <c r="H72" s="312" t="s">
        <v>613</v>
      </c>
    </row>
    <row r="73" spans="1:9" x14ac:dyDescent="0.3">
      <c r="A73" s="15">
        <v>71</v>
      </c>
      <c r="B73" s="415" t="s">
        <v>1301</v>
      </c>
      <c r="C73" s="15" t="s">
        <v>1558</v>
      </c>
      <c r="D73" s="492" t="s">
        <v>1605</v>
      </c>
      <c r="E73" s="314">
        <v>1</v>
      </c>
      <c r="F73" s="15">
        <f t="shared" si="2"/>
        <v>109</v>
      </c>
      <c r="G73" s="204" t="s">
        <v>213</v>
      </c>
      <c r="H73" s="312" t="s">
        <v>48</v>
      </c>
      <c r="I73" s="15">
        <v>0</v>
      </c>
    </row>
    <row r="74" spans="1:9" x14ac:dyDescent="0.3">
      <c r="A74" s="15">
        <v>72</v>
      </c>
      <c r="B74" s="415" t="s">
        <v>215</v>
      </c>
      <c r="C74" s="15" t="s">
        <v>1557</v>
      </c>
      <c r="D74" s="15" t="s">
        <v>1557</v>
      </c>
      <c r="E74" s="314">
        <v>1</v>
      </c>
      <c r="F74" s="15">
        <f t="shared" si="2"/>
        <v>110</v>
      </c>
      <c r="G74" s="204" t="s">
        <v>216</v>
      </c>
      <c r="H74" s="312" t="s">
        <v>214</v>
      </c>
      <c r="I74" s="15">
        <v>0</v>
      </c>
    </row>
    <row r="75" spans="1:9" x14ac:dyDescent="0.3">
      <c r="A75" s="15">
        <v>73</v>
      </c>
      <c r="B75" s="415" t="s">
        <v>217</v>
      </c>
      <c r="C75" s="15" t="s">
        <v>1557</v>
      </c>
      <c r="D75" s="15" t="s">
        <v>1557</v>
      </c>
      <c r="E75" s="314">
        <v>1</v>
      </c>
      <c r="F75" s="15">
        <f t="shared" si="2"/>
        <v>111</v>
      </c>
      <c r="G75" s="204" t="s">
        <v>218</v>
      </c>
      <c r="H75" s="312" t="s">
        <v>214</v>
      </c>
      <c r="I75" s="15">
        <v>0</v>
      </c>
    </row>
    <row r="76" spans="1:9" x14ac:dyDescent="0.3">
      <c r="A76" s="15">
        <v>74</v>
      </c>
      <c r="B76" s="415" t="s">
        <v>219</v>
      </c>
      <c r="C76" s="15" t="s">
        <v>1556</v>
      </c>
      <c r="D76" s="15" t="s">
        <v>1556</v>
      </c>
      <c r="E76" s="314">
        <v>1</v>
      </c>
      <c r="F76" s="15">
        <f t="shared" si="2"/>
        <v>112</v>
      </c>
      <c r="G76" s="205" t="s">
        <v>220</v>
      </c>
      <c r="H76" s="312" t="s">
        <v>613</v>
      </c>
    </row>
    <row r="77" spans="1:9" x14ac:dyDescent="0.3">
      <c r="A77" s="15">
        <v>75</v>
      </c>
      <c r="B77" s="415" t="s">
        <v>222</v>
      </c>
      <c r="C77" s="15" t="s">
        <v>1557</v>
      </c>
      <c r="D77" s="15" t="s">
        <v>1557</v>
      </c>
      <c r="E77" s="314">
        <v>7</v>
      </c>
      <c r="F77" s="15">
        <f t="shared" si="2"/>
        <v>113</v>
      </c>
      <c r="G77" s="204" t="s">
        <v>223</v>
      </c>
      <c r="H77" s="312" t="s">
        <v>221</v>
      </c>
      <c r="I77" s="15">
        <v>0</v>
      </c>
    </row>
    <row r="78" spans="1:9" ht="28.8" x14ac:dyDescent="0.3">
      <c r="A78" s="15">
        <v>76</v>
      </c>
      <c r="B78" s="415" t="s">
        <v>225</v>
      </c>
      <c r="C78" s="15" t="s">
        <v>1557</v>
      </c>
      <c r="D78" s="15" t="s">
        <v>1557</v>
      </c>
      <c r="E78" s="314">
        <v>1</v>
      </c>
      <c r="F78" s="15">
        <f t="shared" si="2"/>
        <v>120</v>
      </c>
      <c r="G78" s="204" t="s">
        <v>226</v>
      </c>
      <c r="H78" s="312" t="s">
        <v>224</v>
      </c>
      <c r="I78" s="15">
        <v>0</v>
      </c>
    </row>
    <row r="79" spans="1:9" x14ac:dyDescent="0.3">
      <c r="A79" s="15">
        <v>77</v>
      </c>
      <c r="B79" s="415" t="s">
        <v>674</v>
      </c>
      <c r="C79" s="15" t="s">
        <v>1556</v>
      </c>
      <c r="D79" s="15" t="s">
        <v>1556</v>
      </c>
      <c r="E79" s="314">
        <v>1</v>
      </c>
      <c r="F79" s="15">
        <f t="shared" si="2"/>
        <v>121</v>
      </c>
      <c r="G79" s="205" t="s">
        <v>227</v>
      </c>
      <c r="H79" s="312" t="s">
        <v>613</v>
      </c>
    </row>
    <row r="80" spans="1:9" x14ac:dyDescent="0.3">
      <c r="A80" s="15">
        <v>78</v>
      </c>
      <c r="B80" s="415" t="s">
        <v>228</v>
      </c>
      <c r="C80" s="15" t="s">
        <v>1557</v>
      </c>
      <c r="D80" s="15" t="s">
        <v>1557</v>
      </c>
      <c r="E80" s="314">
        <v>1</v>
      </c>
      <c r="F80" s="15">
        <f t="shared" si="2"/>
        <v>122</v>
      </c>
      <c r="G80" s="204" t="s">
        <v>229</v>
      </c>
      <c r="H80" s="312" t="s">
        <v>100</v>
      </c>
      <c r="I80" s="15">
        <v>0</v>
      </c>
    </row>
    <row r="81" spans="1:9" x14ac:dyDescent="0.3">
      <c r="A81" s="15">
        <v>79</v>
      </c>
      <c r="B81" s="415" t="s">
        <v>230</v>
      </c>
      <c r="C81" s="15" t="s">
        <v>1557</v>
      </c>
      <c r="D81" s="15" t="s">
        <v>1557</v>
      </c>
      <c r="E81" s="314">
        <v>1</v>
      </c>
      <c r="F81" s="15">
        <f t="shared" si="2"/>
        <v>123</v>
      </c>
      <c r="G81" s="204" t="s">
        <v>231</v>
      </c>
      <c r="H81" s="312" t="s">
        <v>100</v>
      </c>
      <c r="I81" s="15">
        <v>0</v>
      </c>
    </row>
    <row r="82" spans="1:9" x14ac:dyDescent="0.3">
      <c r="A82" s="15">
        <v>80</v>
      </c>
      <c r="B82" s="415" t="s">
        <v>232</v>
      </c>
      <c r="C82" s="15" t="s">
        <v>1557</v>
      </c>
      <c r="D82" s="15" t="s">
        <v>1557</v>
      </c>
      <c r="E82" s="314">
        <v>1</v>
      </c>
      <c r="F82" s="15">
        <f t="shared" si="2"/>
        <v>124</v>
      </c>
      <c r="G82" s="204" t="s">
        <v>233</v>
      </c>
      <c r="H82" s="312" t="s">
        <v>100</v>
      </c>
      <c r="I82" s="15">
        <v>0</v>
      </c>
    </row>
    <row r="83" spans="1:9" x14ac:dyDescent="0.3">
      <c r="A83" s="15">
        <v>81</v>
      </c>
      <c r="B83" s="415" t="s">
        <v>235</v>
      </c>
      <c r="C83" s="15" t="s">
        <v>1557</v>
      </c>
      <c r="D83" s="15" t="s">
        <v>1557</v>
      </c>
      <c r="E83" s="314">
        <v>1</v>
      </c>
      <c r="F83" s="15">
        <f t="shared" si="2"/>
        <v>125</v>
      </c>
      <c r="G83" s="207" t="s">
        <v>236</v>
      </c>
      <c r="H83" s="312" t="s">
        <v>234</v>
      </c>
      <c r="I83" s="15">
        <v>0</v>
      </c>
    </row>
    <row r="84" spans="1:9" x14ac:dyDescent="0.3">
      <c r="A84" s="15">
        <v>82</v>
      </c>
      <c r="B84" s="418" t="s">
        <v>1107</v>
      </c>
      <c r="C84" s="15" t="s">
        <v>1557</v>
      </c>
      <c r="D84" s="15" t="s">
        <v>1556</v>
      </c>
      <c r="E84" s="314">
        <v>1</v>
      </c>
      <c r="F84" s="15">
        <f t="shared" si="2"/>
        <v>126</v>
      </c>
      <c r="G84" s="207" t="s">
        <v>888</v>
      </c>
      <c r="H84" s="312" t="s">
        <v>48</v>
      </c>
      <c r="I84" s="15">
        <v>0</v>
      </c>
    </row>
    <row r="85" spans="1:9" x14ac:dyDescent="0.3">
      <c r="A85" s="15">
        <v>83</v>
      </c>
      <c r="B85" s="415" t="s">
        <v>1301</v>
      </c>
      <c r="D85" s="492" t="s">
        <v>1606</v>
      </c>
      <c r="E85" s="314">
        <v>1</v>
      </c>
      <c r="F85" s="15">
        <f t="shared" si="2"/>
        <v>127</v>
      </c>
      <c r="G85" s="207" t="s">
        <v>889</v>
      </c>
      <c r="H85" s="312" t="s">
        <v>48</v>
      </c>
      <c r="I85" s="15">
        <v>0</v>
      </c>
    </row>
    <row r="86" spans="1:9" x14ac:dyDescent="0.3">
      <c r="A86" s="15">
        <v>84</v>
      </c>
      <c r="B86" s="418" t="s">
        <v>238</v>
      </c>
      <c r="C86" s="15" t="s">
        <v>1556</v>
      </c>
      <c r="D86" s="15" t="s">
        <v>1556</v>
      </c>
      <c r="E86" s="314">
        <v>1</v>
      </c>
      <c r="F86" s="15">
        <f t="shared" si="2"/>
        <v>128</v>
      </c>
      <c r="G86" s="205" t="s">
        <v>239</v>
      </c>
      <c r="H86" s="269" t="s">
        <v>613</v>
      </c>
    </row>
    <row r="87" spans="1:9" ht="28.8" x14ac:dyDescent="0.3">
      <c r="A87" s="15">
        <v>85</v>
      </c>
      <c r="B87" s="418" t="s">
        <v>1550</v>
      </c>
      <c r="C87" s="15" t="s">
        <v>1559</v>
      </c>
      <c r="D87" s="492" t="s">
        <v>1563</v>
      </c>
      <c r="E87" s="314">
        <v>1</v>
      </c>
      <c r="F87" s="15">
        <f t="shared" si="2"/>
        <v>129</v>
      </c>
      <c r="G87" s="205" t="s">
        <v>240</v>
      </c>
      <c r="H87" s="312" t="s">
        <v>613</v>
      </c>
    </row>
    <row r="88" spans="1:9" x14ac:dyDescent="0.3">
      <c r="A88" s="15">
        <v>86</v>
      </c>
      <c r="B88" s="415" t="s">
        <v>242</v>
      </c>
      <c r="C88" s="15" t="s">
        <v>1557</v>
      </c>
      <c r="D88" s="15" t="s">
        <v>1557</v>
      </c>
      <c r="E88" s="314">
        <v>5</v>
      </c>
      <c r="F88" s="15">
        <f t="shared" si="2"/>
        <v>130</v>
      </c>
      <c r="G88" s="204" t="s">
        <v>243</v>
      </c>
      <c r="H88" s="312" t="s">
        <v>241</v>
      </c>
      <c r="I88" s="15">
        <v>0</v>
      </c>
    </row>
    <row r="89" spans="1:9" x14ac:dyDescent="0.3">
      <c r="A89" s="15">
        <v>87</v>
      </c>
      <c r="B89" s="418" t="s">
        <v>244</v>
      </c>
      <c r="C89" s="15" t="s">
        <v>1560</v>
      </c>
      <c r="D89" s="492" t="s">
        <v>1557</v>
      </c>
      <c r="E89" s="314">
        <v>1</v>
      </c>
      <c r="F89" s="15">
        <f t="shared" si="2"/>
        <v>135</v>
      </c>
      <c r="G89" s="205" t="s">
        <v>245</v>
      </c>
      <c r="H89" s="269" t="s">
        <v>613</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22" t="s">
        <v>634</v>
      </c>
      <c r="D2" s="423"/>
      <c r="E2" s="424" t="s">
        <v>392</v>
      </c>
      <c r="F2" s="425"/>
      <c r="G2" s="426"/>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8" priority="10" operator="equal">
      <formula>0</formula>
    </cfRule>
  </conditionalFormatting>
  <conditionalFormatting sqref="A57">
    <cfRule type="cellIs" dxfId="557" priority="9" operator="equal">
      <formula>0</formula>
    </cfRule>
  </conditionalFormatting>
  <conditionalFormatting sqref="A58">
    <cfRule type="cellIs" dxfId="556" priority="8" operator="equal">
      <formula>0</formula>
    </cfRule>
  </conditionalFormatting>
  <conditionalFormatting sqref="A60">
    <cfRule type="cellIs" dxfId="555" priority="7" operator="equal">
      <formula>0</formula>
    </cfRule>
  </conditionalFormatting>
  <conditionalFormatting sqref="A62 A67">
    <cfRule type="cellIs" priority="6" operator="equal">
      <formula>0</formula>
    </cfRule>
  </conditionalFormatting>
  <conditionalFormatting sqref="A63">
    <cfRule type="cellIs" dxfId="554" priority="5" operator="equal">
      <formula>0</formula>
    </cfRule>
  </conditionalFormatting>
  <conditionalFormatting sqref="A64">
    <cfRule type="cellIs" dxfId="553" priority="3" operator="equal">
      <formula>0</formula>
    </cfRule>
    <cfRule type="cellIs" dxfId="552" priority="4" operator="equal">
      <formula>0</formula>
    </cfRule>
  </conditionalFormatting>
  <conditionalFormatting sqref="A59">
    <cfRule type="cellIs" dxfId="551"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3">
      <c r="A4" s="44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3">
      <c r="A5" s="44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3">
      <c r="A6" s="44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5">
      <c r="A7" s="44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4.55" customHeight="1" x14ac:dyDescent="0.3">
      <c r="A8" s="45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4.55" customHeight="1" x14ac:dyDescent="0.3">
      <c r="A9" s="45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5" customHeight="1" x14ac:dyDescent="0.3">
      <c r="A10" s="45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5" customHeight="1" x14ac:dyDescent="0.3">
      <c r="A11" s="45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5" customHeight="1" x14ac:dyDescent="0.3">
      <c r="A12" s="45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5" customHeight="1" thickBot="1" x14ac:dyDescent="0.35">
      <c r="A13" s="45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5" customHeight="1" x14ac:dyDescent="0.3">
      <c r="A14" s="438" t="s">
        <v>23</v>
      </c>
      <c r="B14" s="34" t="s">
        <v>24</v>
      </c>
      <c r="C14" s="36" t="s">
        <v>613</v>
      </c>
      <c r="D14" s="42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40" t="s">
        <v>369</v>
      </c>
      <c r="N14" s="431" t="s">
        <v>29</v>
      </c>
      <c r="O14" s="434">
        <f ca="1">(4*32+G18+G19+G20+G21+G22+G23)</f>
        <v>160</v>
      </c>
    </row>
    <row r="15" spans="1:15" ht="15" customHeight="1" x14ac:dyDescent="0.3">
      <c r="A15" s="439"/>
      <c r="B15" s="35" t="s">
        <v>30</v>
      </c>
      <c r="C15" s="37" t="s">
        <v>613</v>
      </c>
      <c r="D15" s="42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37"/>
      <c r="N15" s="432"/>
      <c r="O15" s="435"/>
    </row>
    <row r="16" spans="1:15" ht="15" customHeight="1" x14ac:dyDescent="0.3">
      <c r="A16" s="439"/>
      <c r="B16" s="35" t="s">
        <v>31</v>
      </c>
      <c r="C16" s="37" t="s">
        <v>613</v>
      </c>
      <c r="D16" s="42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37"/>
      <c r="N16" s="432"/>
      <c r="O16" s="435"/>
    </row>
    <row r="17" spans="1:15" x14ac:dyDescent="0.3">
      <c r="A17" s="439"/>
      <c r="B17" s="35" t="s">
        <v>32</v>
      </c>
      <c r="C17" s="37" t="s">
        <v>613</v>
      </c>
      <c r="D17" s="42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37"/>
      <c r="N17" s="432"/>
      <c r="O17" s="435"/>
    </row>
    <row r="18" spans="1:15" x14ac:dyDescent="0.3">
      <c r="A18" s="439"/>
      <c r="B18" s="35" t="s">
        <v>34</v>
      </c>
      <c r="C18" s="35" t="s">
        <v>253</v>
      </c>
      <c r="D18" s="42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3">
      <c r="A19" s="439"/>
      <c r="B19" s="35" t="s">
        <v>36</v>
      </c>
      <c r="C19" s="73" t="s">
        <v>214</v>
      </c>
      <c r="D19" s="42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3">
      <c r="A20" s="439"/>
      <c r="B20" s="73" t="s">
        <v>246</v>
      </c>
      <c r="C20" s="73" t="s">
        <v>205</v>
      </c>
      <c r="D20" s="42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3">
      <c r="A21" s="439"/>
      <c r="B21" s="73" t="s">
        <v>250</v>
      </c>
      <c r="C21" s="73" t="s">
        <v>390</v>
      </c>
      <c r="D21" s="42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3">
      <c r="A22" s="439"/>
      <c r="B22" s="73" t="s">
        <v>251</v>
      </c>
      <c r="C22" s="73" t="s">
        <v>390</v>
      </c>
      <c r="D22" s="42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3">
      <c r="A23" s="439"/>
      <c r="B23" s="73" t="s">
        <v>252</v>
      </c>
      <c r="C23" s="73" t="s">
        <v>390</v>
      </c>
      <c r="D23" s="42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3">
      <c r="A24" s="439"/>
      <c r="B24" s="35" t="s">
        <v>38</v>
      </c>
      <c r="C24" s="37" t="s">
        <v>613</v>
      </c>
      <c r="D24" s="42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37"/>
      <c r="N24" s="432"/>
      <c r="O24" s="435"/>
    </row>
    <row r="25" spans="1:15" x14ac:dyDescent="0.3">
      <c r="A25" s="438"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37" t="s">
        <v>370</v>
      </c>
      <c r="N25" s="432"/>
      <c r="O25" s="435">
        <f ca="1">(G25+G26)</f>
        <v>64</v>
      </c>
    </row>
    <row r="26" spans="1:15" ht="15" thickBot="1" x14ac:dyDescent="0.35">
      <c r="A26" s="441"/>
      <c r="B26" s="74" t="s">
        <v>46</v>
      </c>
      <c r="C26" s="74" t="s">
        <v>615</v>
      </c>
      <c r="D26" s="430"/>
      <c r="E26" s="123"/>
      <c r="F26" s="76" t="s">
        <v>44</v>
      </c>
      <c r="G26" s="75">
        <f ca="1">IF($C26="No Param",32,VLOOKUP($C26,INDIRECT(Config!$B$1),HLOOKUP(D$1,INDIRECT(Config!$E$1),2,FALSE),FALSE)*32)</f>
        <v>32</v>
      </c>
      <c r="H26" s="26" t="str">
        <f ca="1">IF(G26=0,"N/A","0x8004")</f>
        <v>0x8004</v>
      </c>
      <c r="I26" s="26" t="s">
        <v>47</v>
      </c>
      <c r="J26" s="200" t="s">
        <v>48</v>
      </c>
      <c r="K26" s="200" t="s">
        <v>387</v>
      </c>
      <c r="L26" s="234"/>
      <c r="M26" s="433"/>
      <c r="N26" s="433"/>
      <c r="O26" s="436"/>
    </row>
    <row r="27" spans="1:15" ht="15" thickBot="1" x14ac:dyDescent="0.35">
      <c r="A27" s="104"/>
    </row>
    <row r="28" spans="1:15" x14ac:dyDescent="0.3">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3">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3">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3">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3">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3">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3">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3">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3">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3">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3">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3">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3">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3">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 thickBot="1" x14ac:dyDescent="0.35">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0" priority="297" operator="equal">
      <formula>0</formula>
    </cfRule>
  </conditionalFormatting>
  <conditionalFormatting sqref="G34">
    <cfRule type="cellIs" dxfId="549" priority="296" operator="equal">
      <formula>0</formula>
    </cfRule>
  </conditionalFormatting>
  <conditionalFormatting sqref="G36">
    <cfRule type="cellIs" dxfId="548" priority="295" operator="equal">
      <formula>0</formula>
    </cfRule>
  </conditionalFormatting>
  <conditionalFormatting sqref="G14:G26">
    <cfRule type="cellIs" dxfId="547" priority="294" operator="equal">
      <formula>0</formula>
    </cfRule>
  </conditionalFormatting>
  <conditionalFormatting sqref="G29">
    <cfRule type="cellIs" dxfId="546" priority="267" operator="equal">
      <formula>0</formula>
    </cfRule>
  </conditionalFormatting>
  <conditionalFormatting sqref="G32">
    <cfRule type="cellIs" dxfId="545" priority="273" operator="equal">
      <formula>0</formula>
    </cfRule>
  </conditionalFormatting>
  <conditionalFormatting sqref="G33">
    <cfRule type="cellIs" dxfId="544" priority="272" operator="equal">
      <formula>0</formula>
    </cfRule>
  </conditionalFormatting>
  <conditionalFormatting sqref="G28">
    <cfRule type="cellIs" dxfId="543" priority="274" operator="equal">
      <formula>0</formula>
    </cfRule>
  </conditionalFormatting>
  <conditionalFormatting sqref="G38">
    <cfRule type="cellIs" dxfId="542" priority="270" operator="equal">
      <formula>0</formula>
    </cfRule>
  </conditionalFormatting>
  <conditionalFormatting sqref="G35">
    <cfRule type="cellIs" dxfId="541" priority="268" operator="equal">
      <formula>0</formula>
    </cfRule>
  </conditionalFormatting>
  <conditionalFormatting sqref="G31">
    <cfRule type="cellIs" dxfId="540" priority="266" operator="equal">
      <formula>0</formula>
    </cfRule>
  </conditionalFormatting>
  <conditionalFormatting sqref="G30">
    <cfRule type="cellIs" dxfId="539" priority="265" operator="equal">
      <formula>0</formula>
    </cfRule>
  </conditionalFormatting>
  <conditionalFormatting sqref="G39">
    <cfRule type="cellIs" dxfId="538" priority="264" operator="equal">
      <formula>0</formula>
    </cfRule>
  </conditionalFormatting>
  <conditionalFormatting sqref="G41">
    <cfRule type="cellIs" dxfId="537" priority="263" operator="equal">
      <formula>0</formula>
    </cfRule>
  </conditionalFormatting>
  <conditionalFormatting sqref="G40">
    <cfRule type="cellIs" dxfId="536" priority="262" operator="equal">
      <formula>0</formula>
    </cfRule>
  </conditionalFormatting>
  <conditionalFormatting sqref="L32">
    <cfRule type="cellIs" dxfId="535" priority="234" operator="equal">
      <formula>0</formula>
    </cfRule>
  </conditionalFormatting>
  <conditionalFormatting sqref="L31">
    <cfRule type="cellIs" dxfId="534" priority="233" operator="equal">
      <formula>0</formula>
    </cfRule>
  </conditionalFormatting>
  <conditionalFormatting sqref="L30">
    <cfRule type="cellIs" dxfId="533" priority="232" operator="equal">
      <formula>0</formula>
    </cfRule>
  </conditionalFormatting>
  <conditionalFormatting sqref="L29">
    <cfRule type="cellIs" dxfId="532" priority="231" operator="equal">
      <formula>0</formula>
    </cfRule>
  </conditionalFormatting>
  <conditionalFormatting sqref="L37">
    <cfRule type="cellIs" dxfId="531" priority="230" operator="equal">
      <formula>0</formula>
    </cfRule>
  </conditionalFormatting>
  <conditionalFormatting sqref="L36">
    <cfRule type="cellIs" dxfId="530" priority="229" operator="equal">
      <formula>0</formula>
    </cfRule>
  </conditionalFormatting>
  <conditionalFormatting sqref="L35">
    <cfRule type="cellIs" dxfId="529" priority="228" operator="equal">
      <formula>0</formula>
    </cfRule>
  </conditionalFormatting>
  <conditionalFormatting sqref="L34">
    <cfRule type="cellIs" dxfId="528" priority="227" operator="equal">
      <formula>0</formula>
    </cfRule>
  </conditionalFormatting>
  <conditionalFormatting sqref="L42">
    <cfRule type="cellIs" dxfId="527" priority="226" operator="equal">
      <formula>0</formula>
    </cfRule>
  </conditionalFormatting>
  <conditionalFormatting sqref="L41">
    <cfRule type="cellIs" dxfId="526" priority="225" operator="equal">
      <formula>0</formula>
    </cfRule>
  </conditionalFormatting>
  <conditionalFormatting sqref="L40">
    <cfRule type="cellIs" dxfId="525" priority="224" operator="equal">
      <formula>0</formula>
    </cfRule>
  </conditionalFormatting>
  <conditionalFormatting sqref="L39">
    <cfRule type="cellIs" dxfId="524" priority="223" operator="equal">
      <formula>0</formula>
    </cfRule>
  </conditionalFormatting>
  <conditionalFormatting sqref="G37">
    <cfRule type="cellIs" dxfId="523" priority="200" operator="equal">
      <formula>0</formula>
    </cfRule>
  </conditionalFormatting>
  <conditionalFormatting sqref="G42">
    <cfRule type="cellIs" dxfId="522" priority="198" operator="equal">
      <formula>0</formula>
    </cfRule>
  </conditionalFormatting>
  <conditionalFormatting sqref="C5">
    <cfRule type="cellIs" dxfId="521" priority="184" operator="equal">
      <formula>0</formula>
    </cfRule>
  </conditionalFormatting>
  <conditionalFormatting sqref="C3">
    <cfRule type="cellIs" dxfId="520" priority="186" operator="equal">
      <formula>0</formula>
    </cfRule>
  </conditionalFormatting>
  <conditionalFormatting sqref="C4">
    <cfRule type="cellIs" dxfId="519" priority="185" operator="equal">
      <formula>0</formula>
    </cfRule>
  </conditionalFormatting>
  <conditionalFormatting sqref="B3 D3">
    <cfRule type="cellIs" dxfId="518" priority="197" operator="equal">
      <formula>0</formula>
    </cfRule>
  </conditionalFormatting>
  <conditionalFormatting sqref="B4 D4">
    <cfRule type="cellIs" dxfId="517" priority="196" operator="equal">
      <formula>0</formula>
    </cfRule>
  </conditionalFormatting>
  <conditionalFormatting sqref="B5 D5">
    <cfRule type="cellIs" dxfId="516" priority="195" operator="equal">
      <formula>0</formula>
    </cfRule>
  </conditionalFormatting>
  <conditionalFormatting sqref="B7">
    <cfRule type="cellIs" dxfId="515" priority="194" operator="equal">
      <formula>0</formula>
    </cfRule>
  </conditionalFormatting>
  <conditionalFormatting sqref="B8 D8">
    <cfRule type="cellIs" priority="193" operator="equal">
      <formula>0</formula>
    </cfRule>
  </conditionalFormatting>
  <conditionalFormatting sqref="B9 D9">
    <cfRule type="cellIs" dxfId="514" priority="192" operator="equal">
      <formula>0</formula>
    </cfRule>
  </conditionalFormatting>
  <conditionalFormatting sqref="B10 D10">
    <cfRule type="cellIs" dxfId="513" priority="190" operator="equal">
      <formula>0</formula>
    </cfRule>
    <cfRule type="cellIs" dxfId="512" priority="191" operator="equal">
      <formula>0</formula>
    </cfRule>
  </conditionalFormatting>
  <conditionalFormatting sqref="B6 D6">
    <cfRule type="cellIs" dxfId="511" priority="188" operator="equal">
      <formula>0</formula>
    </cfRule>
  </conditionalFormatting>
  <conditionalFormatting sqref="D7">
    <cfRule type="cellIs" dxfId="510" priority="187" operator="equal">
      <formula>0</formula>
    </cfRule>
  </conditionalFormatting>
  <conditionalFormatting sqref="C7">
    <cfRule type="cellIs" dxfId="509" priority="183" operator="equal">
      <formula>0</formula>
    </cfRule>
  </conditionalFormatting>
  <conditionalFormatting sqref="C8">
    <cfRule type="cellIs" priority="182" operator="equal">
      <formula>0</formula>
    </cfRule>
  </conditionalFormatting>
  <conditionalFormatting sqref="C9">
    <cfRule type="cellIs" dxfId="508" priority="181" operator="equal">
      <formula>0</formula>
    </cfRule>
  </conditionalFormatting>
  <conditionalFormatting sqref="C10">
    <cfRule type="cellIs" dxfId="507" priority="179" operator="equal">
      <formula>0</formula>
    </cfRule>
    <cfRule type="cellIs" dxfId="506" priority="180" operator="equal">
      <formula>0</formula>
    </cfRule>
  </conditionalFormatting>
  <conditionalFormatting sqref="C6">
    <cfRule type="cellIs" dxfId="505" priority="178" operator="equal">
      <formula>0</formula>
    </cfRule>
  </conditionalFormatting>
  <conditionalFormatting sqref="E10">
    <cfRule type="cellIs" priority="137" operator="equal">
      <formula>0</formula>
    </cfRule>
  </conditionalFormatting>
  <conditionalFormatting sqref="E3">
    <cfRule type="cellIs" dxfId="504" priority="152" operator="equal">
      <formula>0</formula>
    </cfRule>
  </conditionalFormatting>
  <conditionalFormatting sqref="E3">
    <cfRule type="cellIs" priority="151" operator="equal">
      <formula>0</formula>
    </cfRule>
  </conditionalFormatting>
  <conditionalFormatting sqref="E5">
    <cfRule type="cellIs" dxfId="503" priority="148" operator="equal">
      <formula>0</formula>
    </cfRule>
  </conditionalFormatting>
  <conditionalFormatting sqref="E5">
    <cfRule type="cellIs" priority="147" operator="equal">
      <formula>0</formula>
    </cfRule>
  </conditionalFormatting>
  <conditionalFormatting sqref="E7">
    <cfRule type="cellIs" dxfId="502" priority="144" operator="equal">
      <formula>0</formula>
    </cfRule>
  </conditionalFormatting>
  <conditionalFormatting sqref="E7">
    <cfRule type="cellIs" priority="143" operator="equal">
      <formula>0</formula>
    </cfRule>
  </conditionalFormatting>
  <conditionalFormatting sqref="E9">
    <cfRule type="cellIs" dxfId="501" priority="140" operator="equal">
      <formula>0</formula>
    </cfRule>
  </conditionalFormatting>
  <conditionalFormatting sqref="E9">
    <cfRule type="cellIs" priority="139" operator="equal">
      <formula>0</formula>
    </cfRule>
  </conditionalFormatting>
  <conditionalFormatting sqref="E4">
    <cfRule type="cellIs" dxfId="500" priority="150" operator="equal">
      <formula>0</formula>
    </cfRule>
  </conditionalFormatting>
  <conditionalFormatting sqref="E4">
    <cfRule type="cellIs" priority="149" operator="equal">
      <formula>0</formula>
    </cfRule>
  </conditionalFormatting>
  <conditionalFormatting sqref="E6">
    <cfRule type="cellIs" dxfId="499" priority="146" operator="equal">
      <formula>0</formula>
    </cfRule>
  </conditionalFormatting>
  <conditionalFormatting sqref="E6">
    <cfRule type="cellIs" priority="145" operator="equal">
      <formula>0</formula>
    </cfRule>
  </conditionalFormatting>
  <conditionalFormatting sqref="E8">
    <cfRule type="cellIs" dxfId="498" priority="142" operator="equal">
      <formula>0</formula>
    </cfRule>
  </conditionalFormatting>
  <conditionalFormatting sqref="E8">
    <cfRule type="cellIs" priority="141" operator="equal">
      <formula>0</formula>
    </cfRule>
  </conditionalFormatting>
  <conditionalFormatting sqref="E10">
    <cfRule type="cellIs" dxfId="497" priority="138" operator="equal">
      <formula>0</formula>
    </cfRule>
  </conditionalFormatting>
  <conditionalFormatting sqref="G4:G10">
    <cfRule type="cellIs" dxfId="496" priority="128" operator="equal">
      <formula>0</formula>
    </cfRule>
  </conditionalFormatting>
  <conditionalFormatting sqref="F6">
    <cfRule type="cellIs" dxfId="495" priority="119" operator="equal">
      <formula>0</formula>
    </cfRule>
  </conditionalFormatting>
  <conditionalFormatting sqref="F3">
    <cfRule type="cellIs" dxfId="494" priority="127" operator="equal">
      <formula>0</formula>
    </cfRule>
  </conditionalFormatting>
  <conditionalFormatting sqref="F4">
    <cfRule type="cellIs" dxfId="493" priority="126" operator="equal">
      <formula>0</formula>
    </cfRule>
  </conditionalFormatting>
  <conditionalFormatting sqref="F5">
    <cfRule type="cellIs" dxfId="492" priority="125" operator="equal">
      <formula>0</formula>
    </cfRule>
  </conditionalFormatting>
  <conditionalFormatting sqref="F7">
    <cfRule type="cellIs" dxfId="491" priority="124" operator="equal">
      <formula>0</formula>
    </cfRule>
  </conditionalFormatting>
  <conditionalFormatting sqref="F9">
    <cfRule type="cellIs" dxfId="490" priority="122" operator="equal">
      <formula>0</formula>
    </cfRule>
  </conditionalFormatting>
  <conditionalFormatting sqref="G3:I3">
    <cfRule type="cellIs" dxfId="489" priority="118" operator="equal">
      <formula>0</formula>
    </cfRule>
  </conditionalFormatting>
  <conditionalFormatting sqref="F8 H9:H10">
    <cfRule type="cellIs" priority="123" operator="equal">
      <formula>0</formula>
    </cfRule>
  </conditionalFormatting>
  <conditionalFormatting sqref="F10">
    <cfRule type="cellIs" dxfId="488" priority="120" operator="equal">
      <formula>0</formula>
    </cfRule>
    <cfRule type="cellIs" dxfId="487" priority="121" operator="equal">
      <formula>0</formula>
    </cfRule>
  </conditionalFormatting>
  <conditionalFormatting sqref="H7">
    <cfRule type="cellIs" dxfId="486" priority="110" operator="equal">
      <formula>0</formula>
    </cfRule>
  </conditionalFormatting>
  <conditionalFormatting sqref="I6">
    <cfRule type="cellIs" dxfId="485" priority="113" operator="equal">
      <formula>0</formula>
    </cfRule>
  </conditionalFormatting>
  <conditionalFormatting sqref="H5">
    <cfRule type="cellIs" dxfId="484" priority="112" operator="equal">
      <formula>0</formula>
    </cfRule>
  </conditionalFormatting>
  <conditionalFormatting sqref="H4:I4">
    <cfRule type="cellIs" dxfId="483" priority="117" operator="equal">
      <formula>0</formula>
    </cfRule>
  </conditionalFormatting>
  <conditionalFormatting sqref="I5">
    <cfRule type="cellIs" dxfId="482" priority="116" operator="equal">
      <formula>0</formula>
    </cfRule>
  </conditionalFormatting>
  <conditionalFormatting sqref="I7">
    <cfRule type="cellIs" dxfId="481" priority="115" operator="equal">
      <formula>0</formula>
    </cfRule>
  </conditionalFormatting>
  <conditionalFormatting sqref="H8:I8">
    <cfRule type="cellIs" priority="114" operator="equal">
      <formula>0</formula>
    </cfRule>
  </conditionalFormatting>
  <conditionalFormatting sqref="H6">
    <cfRule type="cellIs" dxfId="480" priority="111" operator="equal">
      <formula>0</formula>
    </cfRule>
  </conditionalFormatting>
  <conditionalFormatting sqref="I9:I10">
    <cfRule type="cellIs" priority="107" operator="equal">
      <formula>0</formula>
    </cfRule>
  </conditionalFormatting>
  <conditionalFormatting sqref="E11 G11">
    <cfRule type="cellIs" dxfId="479" priority="94" operator="equal">
      <formula>0</formula>
    </cfRule>
  </conditionalFormatting>
  <conditionalFormatting sqref="I11">
    <cfRule type="cellIs" priority="93" operator="equal">
      <formula>0</formula>
    </cfRule>
  </conditionalFormatting>
  <conditionalFormatting sqref="E13 G13">
    <cfRule type="cellIs" dxfId="47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5" priority="44" operator="equal">
      <formula>0</formula>
    </cfRule>
  </conditionalFormatting>
  <conditionalFormatting sqref="K5">
    <cfRule type="cellIs" dxfId="474" priority="43" operator="equal">
      <formula>0</formula>
    </cfRule>
  </conditionalFormatting>
  <conditionalFormatting sqref="K6">
    <cfRule type="cellIs" dxfId="473" priority="42" operator="equal">
      <formula>0</formula>
    </cfRule>
  </conditionalFormatting>
  <conditionalFormatting sqref="K9">
    <cfRule type="cellIs" dxfId="472" priority="41" operator="equal">
      <formula>0</formula>
    </cfRule>
  </conditionalFormatting>
  <conditionalFormatting sqref="K10">
    <cfRule type="cellIs" dxfId="471" priority="40" operator="equal">
      <formula>0</formula>
    </cfRule>
  </conditionalFormatting>
  <conditionalFormatting sqref="K7">
    <cfRule type="cellIs" dxfId="470" priority="39" operator="equal">
      <formula>0</formula>
    </cfRule>
  </conditionalFormatting>
  <conditionalFormatting sqref="K8">
    <cfRule type="cellIs" dxfId="469" priority="38" operator="equal">
      <formula>0</formula>
    </cfRule>
  </conditionalFormatting>
  <conditionalFormatting sqref="K11">
    <cfRule type="cellIs" dxfId="468" priority="37" operator="equal">
      <formula>0</formula>
    </cfRule>
  </conditionalFormatting>
  <conditionalFormatting sqref="K13">
    <cfRule type="cellIs" dxfId="467" priority="36" operator="equal">
      <formula>0</formula>
    </cfRule>
  </conditionalFormatting>
  <conditionalFormatting sqref="K12">
    <cfRule type="cellIs" dxfId="466" priority="35" operator="equal">
      <formula>0</formula>
    </cfRule>
  </conditionalFormatting>
  <conditionalFormatting sqref="J3:J4">
    <cfRule type="cellIs" dxfId="465" priority="34" operator="equal">
      <formula>0</formula>
    </cfRule>
  </conditionalFormatting>
  <conditionalFormatting sqref="J5">
    <cfRule type="cellIs" dxfId="464" priority="33" operator="equal">
      <formula>0</formula>
    </cfRule>
  </conditionalFormatting>
  <conditionalFormatting sqref="J6">
    <cfRule type="cellIs" dxfId="463" priority="32" operator="equal">
      <formula>0</formula>
    </cfRule>
  </conditionalFormatting>
  <conditionalFormatting sqref="J9">
    <cfRule type="cellIs" dxfId="462" priority="31" operator="equal">
      <formula>0</formula>
    </cfRule>
  </conditionalFormatting>
  <conditionalFormatting sqref="J10">
    <cfRule type="cellIs" dxfId="461" priority="30" operator="equal">
      <formula>0</formula>
    </cfRule>
  </conditionalFormatting>
  <conditionalFormatting sqref="J7">
    <cfRule type="cellIs" dxfId="460" priority="29" operator="equal">
      <formula>0</formula>
    </cfRule>
  </conditionalFormatting>
  <conditionalFormatting sqref="J8">
    <cfRule type="cellIs" dxfId="459" priority="28" operator="equal">
      <formula>0</formula>
    </cfRule>
  </conditionalFormatting>
  <conditionalFormatting sqref="J11">
    <cfRule type="cellIs" dxfId="458" priority="27" operator="equal">
      <formula>0</formula>
    </cfRule>
  </conditionalFormatting>
  <conditionalFormatting sqref="J13">
    <cfRule type="cellIs" dxfId="457" priority="26" operator="equal">
      <formula>0</formula>
    </cfRule>
  </conditionalFormatting>
  <conditionalFormatting sqref="J12">
    <cfRule type="cellIs" dxfId="456" priority="25" operator="equal">
      <formula>0</formula>
    </cfRule>
  </conditionalFormatting>
  <conditionalFormatting sqref="K25">
    <cfRule type="cellIs" dxfId="455" priority="24" operator="equal">
      <formula>0</formula>
    </cfRule>
  </conditionalFormatting>
  <conditionalFormatting sqref="K26">
    <cfRule type="cellIs" dxfId="454" priority="23" operator="equal">
      <formula>0</formula>
    </cfRule>
  </conditionalFormatting>
  <conditionalFormatting sqref="J25">
    <cfRule type="cellIs" dxfId="453" priority="22" operator="equal">
      <formula>0</formula>
    </cfRule>
  </conditionalFormatting>
  <conditionalFormatting sqref="J26">
    <cfRule type="cellIs" dxfId="452" priority="21" operator="equal">
      <formula>0</formula>
    </cfRule>
  </conditionalFormatting>
  <conditionalFormatting sqref="L3:L4">
    <cfRule type="cellIs" dxfId="451" priority="20" operator="equal">
      <formula>0</formula>
    </cfRule>
  </conditionalFormatting>
  <conditionalFormatting sqref="L5">
    <cfRule type="cellIs" dxfId="450" priority="19" operator="equal">
      <formula>0</formula>
    </cfRule>
  </conditionalFormatting>
  <conditionalFormatting sqref="L6">
    <cfRule type="cellIs" dxfId="449" priority="18" operator="equal">
      <formula>0</formula>
    </cfRule>
  </conditionalFormatting>
  <conditionalFormatting sqref="L7">
    <cfRule type="cellIs" dxfId="448" priority="17" operator="equal">
      <formula>0</formula>
    </cfRule>
  </conditionalFormatting>
  <conditionalFormatting sqref="L8:L9">
    <cfRule type="cellIs" dxfId="447" priority="16" operator="equal">
      <formula>0</formula>
    </cfRule>
  </conditionalFormatting>
  <conditionalFormatting sqref="L14">
    <cfRule type="cellIs" dxfId="446" priority="15" operator="equal">
      <formula>0</formula>
    </cfRule>
  </conditionalFormatting>
  <conditionalFormatting sqref="L15">
    <cfRule type="cellIs" dxfId="445" priority="14" operator="equal">
      <formula>0</formula>
    </cfRule>
  </conditionalFormatting>
  <conditionalFormatting sqref="L16">
    <cfRule type="cellIs" dxfId="444" priority="13" operator="equal">
      <formula>0</formula>
    </cfRule>
  </conditionalFormatting>
  <conditionalFormatting sqref="L17">
    <cfRule type="cellIs" dxfId="443" priority="12" operator="equal">
      <formula>0</formula>
    </cfRule>
  </conditionalFormatting>
  <conditionalFormatting sqref="L18">
    <cfRule type="cellIs" dxfId="442" priority="11" operator="equal">
      <formula>0</formula>
    </cfRule>
  </conditionalFormatting>
  <conditionalFormatting sqref="L19">
    <cfRule type="cellIs" dxfId="441" priority="10" operator="equal">
      <formula>0</formula>
    </cfRule>
  </conditionalFormatting>
  <conditionalFormatting sqref="L20">
    <cfRule type="cellIs" dxfId="440" priority="9" operator="equal">
      <formula>0</formula>
    </cfRule>
  </conditionalFormatting>
  <conditionalFormatting sqref="L21">
    <cfRule type="cellIs" dxfId="439" priority="8" operator="equal">
      <formula>0</formula>
    </cfRule>
  </conditionalFormatting>
  <conditionalFormatting sqref="L22">
    <cfRule type="cellIs" dxfId="438" priority="7" operator="equal">
      <formula>0</formula>
    </cfRule>
  </conditionalFormatting>
  <conditionalFormatting sqref="L23">
    <cfRule type="cellIs" dxfId="437" priority="6" operator="equal">
      <formula>0</formula>
    </cfRule>
  </conditionalFormatting>
  <conditionalFormatting sqref="L24">
    <cfRule type="cellIs" dxfId="436" priority="5" operator="equal">
      <formula>0</formula>
    </cfRule>
  </conditionalFormatting>
  <conditionalFormatting sqref="L10">
    <cfRule type="cellIs" dxfId="435" priority="4" operator="equal">
      <formula>0</formula>
    </cfRule>
  </conditionalFormatting>
  <conditionalFormatting sqref="L11">
    <cfRule type="cellIs" dxfId="434" priority="3" operator="equal">
      <formula>0</formula>
    </cfRule>
  </conditionalFormatting>
  <conditionalFormatting sqref="L12">
    <cfRule type="cellIs" dxfId="433" priority="2" operator="equal">
      <formula>0</formula>
    </cfRule>
  </conditionalFormatting>
  <conditionalFormatting sqref="L13">
    <cfRule type="cellIs" dxfId="43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5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3">
      <c r="A4" s="45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3">
      <c r="A5" s="45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3">
      <c r="A6" s="45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5">
      <c r="A7" s="45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5" customHeight="1" x14ac:dyDescent="0.3">
      <c r="A8" s="4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5" customHeight="1" x14ac:dyDescent="0.3">
      <c r="A9" s="4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5" customHeight="1" x14ac:dyDescent="0.3">
      <c r="A10" s="4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5" customHeight="1" x14ac:dyDescent="0.3">
      <c r="A11" s="4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5" customHeight="1" x14ac:dyDescent="0.3">
      <c r="A12" s="4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5" customHeight="1" thickBot="1" x14ac:dyDescent="0.35">
      <c r="A13" s="4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5" customHeight="1" x14ac:dyDescent="0.3">
      <c r="A14" s="457" t="s">
        <v>23</v>
      </c>
      <c r="B14" s="34" t="s">
        <v>24</v>
      </c>
      <c r="C14" s="36" t="s">
        <v>613</v>
      </c>
      <c r="D14" s="42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40" t="s">
        <v>369</v>
      </c>
      <c r="N14" s="431" t="s">
        <v>29</v>
      </c>
      <c r="O14" s="434">
        <f ca="1">(4*32+G18+G19+G20+G21+G22+G23)</f>
        <v>160</v>
      </c>
    </row>
    <row r="15" spans="1:15" x14ac:dyDescent="0.3">
      <c r="A15" s="458"/>
      <c r="B15" s="35" t="s">
        <v>30</v>
      </c>
      <c r="C15" s="37" t="s">
        <v>613</v>
      </c>
      <c r="D15" s="42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37"/>
      <c r="N15" s="432"/>
      <c r="O15" s="435"/>
    </row>
    <row r="16" spans="1:15" x14ac:dyDescent="0.3">
      <c r="A16" s="458"/>
      <c r="B16" s="35" t="s">
        <v>31</v>
      </c>
      <c r="C16" s="37" t="s">
        <v>613</v>
      </c>
      <c r="D16" s="42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37"/>
      <c r="N16" s="432"/>
      <c r="O16" s="435"/>
    </row>
    <row r="17" spans="1:15" x14ac:dyDescent="0.3">
      <c r="A17" s="458"/>
      <c r="B17" s="35" t="s">
        <v>32</v>
      </c>
      <c r="C17" s="37" t="s">
        <v>613</v>
      </c>
      <c r="D17" s="42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37"/>
      <c r="N17" s="432"/>
      <c r="O17" s="435"/>
    </row>
    <row r="18" spans="1:15" x14ac:dyDescent="0.3">
      <c r="A18" s="458"/>
      <c r="B18" s="35" t="s">
        <v>34</v>
      </c>
      <c r="C18" s="35" t="s">
        <v>253</v>
      </c>
      <c r="D18" s="42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3">
      <c r="A19" s="458"/>
      <c r="B19" s="35" t="s">
        <v>36</v>
      </c>
      <c r="C19" s="73" t="s">
        <v>214</v>
      </c>
      <c r="D19" s="42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3">
      <c r="A20" s="458"/>
      <c r="B20" s="73" t="s">
        <v>246</v>
      </c>
      <c r="C20" s="73" t="s">
        <v>205</v>
      </c>
      <c r="D20" s="42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3">
      <c r="A21" s="458"/>
      <c r="B21" s="73" t="s">
        <v>250</v>
      </c>
      <c r="C21" s="73" t="s">
        <v>390</v>
      </c>
      <c r="D21" s="42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3">
      <c r="A22" s="458"/>
      <c r="B22" s="73" t="s">
        <v>251</v>
      </c>
      <c r="C22" s="73" t="s">
        <v>390</v>
      </c>
      <c r="D22" s="42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3">
      <c r="A23" s="458"/>
      <c r="B23" s="73" t="s">
        <v>252</v>
      </c>
      <c r="C23" s="73" t="s">
        <v>390</v>
      </c>
      <c r="D23" s="42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3">
      <c r="A24" s="458"/>
      <c r="B24" s="35" t="s">
        <v>38</v>
      </c>
      <c r="C24" s="37" t="s">
        <v>613</v>
      </c>
      <c r="D24" s="42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37"/>
      <c r="N24" s="432"/>
      <c r="O24" s="435"/>
    </row>
    <row r="25" spans="1:15" x14ac:dyDescent="0.3">
      <c r="A25" s="457"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7" t="s">
        <v>370</v>
      </c>
      <c r="N25" s="432"/>
      <c r="O25" s="435">
        <f ca="1">(G25+G26)</f>
        <v>64</v>
      </c>
    </row>
    <row r="26" spans="1:15" ht="15" thickBot="1" x14ac:dyDescent="0.35">
      <c r="A26" s="459"/>
      <c r="B26" s="74" t="s">
        <v>46</v>
      </c>
      <c r="C26" s="74" t="s">
        <v>615</v>
      </c>
      <c r="D26" s="430"/>
      <c r="E26" s="123"/>
      <c r="F26" s="76" t="s">
        <v>44</v>
      </c>
      <c r="G26" s="75">
        <f ca="1">IF($C26="No Param",32,VLOOKUP($C26,INDIRECT(Config!$B$1),HLOOKUP(D$1,INDIRECT(Config!$E$1),2,FALSE),FALSE)*32)</f>
        <v>32</v>
      </c>
      <c r="H26" s="26" t="str">
        <f ca="1">IF(G26=0,"N/A","0x8004")</f>
        <v>0x8004</v>
      </c>
      <c r="I26" s="26" t="s">
        <v>47</v>
      </c>
      <c r="J26" s="26" t="s">
        <v>48</v>
      </c>
      <c r="K26" s="26" t="s">
        <v>387</v>
      </c>
      <c r="L26" s="234"/>
      <c r="M26" s="433"/>
      <c r="N26" s="433"/>
      <c r="O26" s="436"/>
    </row>
    <row r="27" spans="1:15" ht="15" thickBot="1" x14ac:dyDescent="0.35">
      <c r="A27" s="124"/>
    </row>
    <row r="28" spans="1:15" x14ac:dyDescent="0.3">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3">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3">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3">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3">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3">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3">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3">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3">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3">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3">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3">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3">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3">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 thickBot="1" x14ac:dyDescent="0.35">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1" priority="227" operator="equal">
      <formula>0</formula>
    </cfRule>
  </conditionalFormatting>
  <conditionalFormatting sqref="J28">
    <cfRule type="cellIs" dxfId="430" priority="243" operator="equal">
      <formula>0</formula>
    </cfRule>
  </conditionalFormatting>
  <conditionalFormatting sqref="C3">
    <cfRule type="cellIs" dxfId="429" priority="229" operator="equal">
      <formula>0</formula>
    </cfRule>
  </conditionalFormatting>
  <conditionalFormatting sqref="C4">
    <cfRule type="cellIs" dxfId="428" priority="228" operator="equal">
      <formula>0</formula>
    </cfRule>
  </conditionalFormatting>
  <conditionalFormatting sqref="B3 D3 G14:G26">
    <cfRule type="cellIs" dxfId="427" priority="240" operator="equal">
      <formula>0</formula>
    </cfRule>
  </conditionalFormatting>
  <conditionalFormatting sqref="B4 D4">
    <cfRule type="cellIs" dxfId="426" priority="239" operator="equal">
      <formula>0</formula>
    </cfRule>
  </conditionalFormatting>
  <conditionalFormatting sqref="B5 D5">
    <cfRule type="cellIs" dxfId="425" priority="238" operator="equal">
      <formula>0</formula>
    </cfRule>
  </conditionalFormatting>
  <conditionalFormatting sqref="B7">
    <cfRule type="cellIs" dxfId="424" priority="237" operator="equal">
      <formula>0</formula>
    </cfRule>
  </conditionalFormatting>
  <conditionalFormatting sqref="B8 D8">
    <cfRule type="cellIs" priority="236" operator="equal">
      <formula>0</formula>
    </cfRule>
  </conditionalFormatting>
  <conditionalFormatting sqref="B9 D9">
    <cfRule type="cellIs" dxfId="423" priority="235" operator="equal">
      <formula>0</formula>
    </cfRule>
  </conditionalFormatting>
  <conditionalFormatting sqref="B10 D10">
    <cfRule type="cellIs" dxfId="422" priority="233" operator="equal">
      <formula>0</formula>
    </cfRule>
    <cfRule type="cellIs" dxfId="421" priority="234" operator="equal">
      <formula>0</formula>
    </cfRule>
  </conditionalFormatting>
  <conditionalFormatting sqref="B6 D6">
    <cfRule type="cellIs" dxfId="420" priority="231" operator="equal">
      <formula>0</formula>
    </cfRule>
  </conditionalFormatting>
  <conditionalFormatting sqref="D7">
    <cfRule type="cellIs" dxfId="419" priority="230" operator="equal">
      <formula>0</formula>
    </cfRule>
  </conditionalFormatting>
  <conditionalFormatting sqref="C7">
    <cfRule type="cellIs" dxfId="418" priority="226" operator="equal">
      <formula>0</formula>
    </cfRule>
  </conditionalFormatting>
  <conditionalFormatting sqref="C8">
    <cfRule type="cellIs" priority="225" operator="equal">
      <formula>0</formula>
    </cfRule>
  </conditionalFormatting>
  <conditionalFormatting sqref="C9">
    <cfRule type="cellIs" dxfId="417" priority="224" operator="equal">
      <formula>0</formula>
    </cfRule>
  </conditionalFormatting>
  <conditionalFormatting sqref="C10">
    <cfRule type="cellIs" dxfId="416" priority="222" operator="equal">
      <formula>0</formula>
    </cfRule>
    <cfRule type="cellIs" dxfId="415" priority="223" operator="equal">
      <formula>0</formula>
    </cfRule>
  </conditionalFormatting>
  <conditionalFormatting sqref="C6">
    <cfRule type="cellIs" dxfId="414" priority="221" operator="equal">
      <formula>0</formula>
    </cfRule>
  </conditionalFormatting>
  <conditionalFormatting sqref="G40">
    <cfRule type="cellIs" dxfId="413" priority="141" operator="equal">
      <formula>0</formula>
    </cfRule>
  </conditionalFormatting>
  <conditionalFormatting sqref="G37">
    <cfRule type="cellIs" dxfId="412" priority="140" operator="equal">
      <formula>0</formula>
    </cfRule>
  </conditionalFormatting>
  <conditionalFormatting sqref="G42">
    <cfRule type="cellIs" dxfId="411" priority="139" operator="equal">
      <formula>0</formula>
    </cfRule>
  </conditionalFormatting>
  <conditionalFormatting sqref="L32">
    <cfRule type="cellIs" dxfId="410" priority="182" operator="equal">
      <formula>0</formula>
    </cfRule>
  </conditionalFormatting>
  <conditionalFormatting sqref="L31">
    <cfRule type="cellIs" dxfId="409" priority="181" operator="equal">
      <formula>0</formula>
    </cfRule>
  </conditionalFormatting>
  <conditionalFormatting sqref="L30">
    <cfRule type="cellIs" dxfId="408" priority="180" operator="equal">
      <formula>0</formula>
    </cfRule>
  </conditionalFormatting>
  <conditionalFormatting sqref="L36">
    <cfRule type="cellIs" dxfId="407" priority="177" operator="equal">
      <formula>0</formula>
    </cfRule>
  </conditionalFormatting>
  <conditionalFormatting sqref="L29">
    <cfRule type="cellIs" dxfId="406" priority="179" operator="equal">
      <formula>0</formula>
    </cfRule>
  </conditionalFormatting>
  <conditionalFormatting sqref="L37">
    <cfRule type="cellIs" dxfId="405" priority="178" operator="equal">
      <formula>0</formula>
    </cfRule>
  </conditionalFormatting>
  <conditionalFormatting sqref="L35">
    <cfRule type="cellIs" dxfId="404" priority="176" operator="equal">
      <formula>0</formula>
    </cfRule>
  </conditionalFormatting>
  <conditionalFormatting sqref="L34">
    <cfRule type="cellIs" dxfId="403" priority="175" operator="equal">
      <formula>0</formula>
    </cfRule>
  </conditionalFormatting>
  <conditionalFormatting sqref="L42">
    <cfRule type="cellIs" dxfId="402" priority="174" operator="equal">
      <formula>0</formula>
    </cfRule>
  </conditionalFormatting>
  <conditionalFormatting sqref="L41">
    <cfRule type="cellIs" dxfId="401" priority="173" operator="equal">
      <formula>0</formula>
    </cfRule>
  </conditionalFormatting>
  <conditionalFormatting sqref="L40">
    <cfRule type="cellIs" dxfId="400" priority="172" operator="equal">
      <formula>0</formula>
    </cfRule>
  </conditionalFormatting>
  <conditionalFormatting sqref="L39">
    <cfRule type="cellIs" dxfId="399" priority="171" operator="equal">
      <formula>0</formula>
    </cfRule>
  </conditionalFormatting>
  <conditionalFormatting sqref="K25">
    <cfRule type="cellIs" dxfId="398" priority="158" operator="equal">
      <formula>0</formula>
    </cfRule>
  </conditionalFormatting>
  <conditionalFormatting sqref="K26">
    <cfRule type="cellIs" dxfId="397" priority="156" operator="equal">
      <formula>0</formula>
    </cfRule>
  </conditionalFormatting>
  <conditionalFormatting sqref="G34">
    <cfRule type="cellIs" dxfId="396" priority="153" operator="equal">
      <formula>0</formula>
    </cfRule>
  </conditionalFormatting>
  <conditionalFormatting sqref="G36">
    <cfRule type="cellIs" dxfId="395" priority="152" operator="equal">
      <formula>0</formula>
    </cfRule>
  </conditionalFormatting>
  <conditionalFormatting sqref="G29">
    <cfRule type="cellIs" dxfId="394" priority="146" operator="equal">
      <formula>0</formula>
    </cfRule>
  </conditionalFormatting>
  <conditionalFormatting sqref="G32">
    <cfRule type="cellIs" dxfId="393" priority="150" operator="equal">
      <formula>0</formula>
    </cfRule>
  </conditionalFormatting>
  <conditionalFormatting sqref="G33">
    <cfRule type="cellIs" dxfId="392" priority="149" operator="equal">
      <formula>0</formula>
    </cfRule>
  </conditionalFormatting>
  <conditionalFormatting sqref="G28">
    <cfRule type="cellIs" dxfId="391" priority="151" operator="equal">
      <formula>0</formula>
    </cfRule>
  </conditionalFormatting>
  <conditionalFormatting sqref="G38">
    <cfRule type="cellIs" dxfId="390" priority="148" operator="equal">
      <formula>0</formula>
    </cfRule>
  </conditionalFormatting>
  <conditionalFormatting sqref="G35">
    <cfRule type="cellIs" dxfId="389" priority="147" operator="equal">
      <formula>0</formula>
    </cfRule>
  </conditionalFormatting>
  <conditionalFormatting sqref="G31">
    <cfRule type="cellIs" dxfId="388" priority="145" operator="equal">
      <formula>0</formula>
    </cfRule>
  </conditionalFormatting>
  <conditionalFormatting sqref="G30">
    <cfRule type="cellIs" dxfId="387" priority="144" operator="equal">
      <formula>0</formula>
    </cfRule>
  </conditionalFormatting>
  <conditionalFormatting sqref="G39">
    <cfRule type="cellIs" dxfId="386" priority="143" operator="equal">
      <formula>0</formula>
    </cfRule>
  </conditionalFormatting>
  <conditionalFormatting sqref="G41">
    <cfRule type="cellIs" dxfId="385" priority="142" operator="equal">
      <formula>0</formula>
    </cfRule>
  </conditionalFormatting>
  <conditionalFormatting sqref="G3:I3">
    <cfRule type="cellIs" dxfId="384" priority="70" operator="equal">
      <formula>0</formula>
    </cfRule>
  </conditionalFormatting>
  <conditionalFormatting sqref="H4:I4">
    <cfRule type="cellIs" dxfId="383" priority="69" operator="equal">
      <formula>0</formula>
    </cfRule>
  </conditionalFormatting>
  <conditionalFormatting sqref="I6">
    <cfRule type="cellIs" dxfId="382" priority="65" operator="equal">
      <formula>0</formula>
    </cfRule>
  </conditionalFormatting>
  <conditionalFormatting sqref="H5">
    <cfRule type="cellIs" dxfId="381" priority="64" operator="equal">
      <formula>0</formula>
    </cfRule>
  </conditionalFormatting>
  <conditionalFormatting sqref="H6">
    <cfRule type="cellIs" dxfId="380" priority="63" operator="equal">
      <formula>0</formula>
    </cfRule>
  </conditionalFormatting>
  <conditionalFormatting sqref="K3:K4">
    <cfRule type="cellIs" dxfId="379" priority="121" operator="equal">
      <formula>0</formula>
    </cfRule>
  </conditionalFormatting>
  <conditionalFormatting sqref="K5">
    <cfRule type="cellIs" dxfId="378" priority="119" operator="equal">
      <formula>0</formula>
    </cfRule>
  </conditionalFormatting>
  <conditionalFormatting sqref="K6">
    <cfRule type="cellIs" dxfId="377" priority="117" operator="equal">
      <formula>0</formula>
    </cfRule>
  </conditionalFormatting>
  <conditionalFormatting sqref="K9">
    <cfRule type="cellIs" dxfId="376" priority="115" operator="equal">
      <formula>0</formula>
    </cfRule>
  </conditionalFormatting>
  <conditionalFormatting sqref="K10">
    <cfRule type="cellIs" dxfId="375" priority="113" operator="equal">
      <formula>0</formula>
    </cfRule>
  </conditionalFormatting>
  <conditionalFormatting sqref="K7">
    <cfRule type="cellIs" dxfId="374" priority="109" operator="equal">
      <formula>0</formula>
    </cfRule>
  </conditionalFormatting>
  <conditionalFormatting sqref="K8">
    <cfRule type="cellIs" dxfId="373" priority="107" operator="equal">
      <formula>0</formula>
    </cfRule>
  </conditionalFormatting>
  <conditionalFormatting sqref="E10">
    <cfRule type="cellIs" priority="89" operator="equal">
      <formula>0</formula>
    </cfRule>
  </conditionalFormatting>
  <conditionalFormatting sqref="E3">
    <cfRule type="cellIs" dxfId="372" priority="104" operator="equal">
      <formula>0</formula>
    </cfRule>
  </conditionalFormatting>
  <conditionalFormatting sqref="E3">
    <cfRule type="cellIs" priority="103" operator="equal">
      <formula>0</formula>
    </cfRule>
  </conditionalFormatting>
  <conditionalFormatting sqref="E5">
    <cfRule type="cellIs" dxfId="371" priority="100" operator="equal">
      <formula>0</formula>
    </cfRule>
  </conditionalFormatting>
  <conditionalFormatting sqref="E5">
    <cfRule type="cellIs" priority="99" operator="equal">
      <formula>0</formula>
    </cfRule>
  </conditionalFormatting>
  <conditionalFormatting sqref="E7">
    <cfRule type="cellIs" dxfId="370" priority="96" operator="equal">
      <formula>0</formula>
    </cfRule>
  </conditionalFormatting>
  <conditionalFormatting sqref="E7">
    <cfRule type="cellIs" priority="95" operator="equal">
      <formula>0</formula>
    </cfRule>
  </conditionalFormatting>
  <conditionalFormatting sqref="E9">
    <cfRule type="cellIs" dxfId="369" priority="92" operator="equal">
      <formula>0</formula>
    </cfRule>
  </conditionalFormatting>
  <conditionalFormatting sqref="E9">
    <cfRule type="cellIs" priority="91" operator="equal">
      <formula>0</formula>
    </cfRule>
  </conditionalFormatting>
  <conditionalFormatting sqref="E4">
    <cfRule type="cellIs" dxfId="368" priority="102" operator="equal">
      <formula>0</formula>
    </cfRule>
  </conditionalFormatting>
  <conditionalFormatting sqref="E4">
    <cfRule type="cellIs" priority="101" operator="equal">
      <formula>0</formula>
    </cfRule>
  </conditionalFormatting>
  <conditionalFormatting sqref="E6">
    <cfRule type="cellIs" dxfId="367" priority="98" operator="equal">
      <formula>0</formula>
    </cfRule>
  </conditionalFormatting>
  <conditionalFormatting sqref="E6">
    <cfRule type="cellIs" priority="97" operator="equal">
      <formula>0</formula>
    </cfRule>
  </conditionalFormatting>
  <conditionalFormatting sqref="E8">
    <cfRule type="cellIs" dxfId="366" priority="94" operator="equal">
      <formula>0</formula>
    </cfRule>
  </conditionalFormatting>
  <conditionalFormatting sqref="E8">
    <cfRule type="cellIs" priority="93" operator="equal">
      <formula>0</formula>
    </cfRule>
  </conditionalFormatting>
  <conditionalFormatting sqref="E10">
    <cfRule type="cellIs" dxfId="365" priority="90" operator="equal">
      <formula>0</formula>
    </cfRule>
  </conditionalFormatting>
  <conditionalFormatting sqref="G4:G10">
    <cfRule type="cellIs" dxfId="364" priority="80" operator="equal">
      <formula>0</formula>
    </cfRule>
  </conditionalFormatting>
  <conditionalFormatting sqref="F6">
    <cfRule type="cellIs" dxfId="363" priority="71" operator="equal">
      <formula>0</formula>
    </cfRule>
  </conditionalFormatting>
  <conditionalFormatting sqref="F3">
    <cfRule type="cellIs" dxfId="362" priority="79" operator="equal">
      <formula>0</formula>
    </cfRule>
  </conditionalFormatting>
  <conditionalFormatting sqref="F4">
    <cfRule type="cellIs" dxfId="361" priority="78" operator="equal">
      <formula>0</formula>
    </cfRule>
  </conditionalFormatting>
  <conditionalFormatting sqref="F5">
    <cfRule type="cellIs" dxfId="360" priority="77" operator="equal">
      <formula>0</formula>
    </cfRule>
  </conditionalFormatting>
  <conditionalFormatting sqref="F7">
    <cfRule type="cellIs" dxfId="359" priority="76" operator="equal">
      <formula>0</formula>
    </cfRule>
  </conditionalFormatting>
  <conditionalFormatting sqref="F9">
    <cfRule type="cellIs" dxfId="358" priority="74" operator="equal">
      <formula>0</formula>
    </cfRule>
  </conditionalFormatting>
  <conditionalFormatting sqref="F8 H9:H10">
    <cfRule type="cellIs" priority="75" operator="equal">
      <formula>0</formula>
    </cfRule>
  </conditionalFormatting>
  <conditionalFormatting sqref="F10">
    <cfRule type="cellIs" dxfId="357" priority="72" operator="equal">
      <formula>0</formula>
    </cfRule>
    <cfRule type="cellIs" dxfId="356" priority="73" operator="equal">
      <formula>0</formula>
    </cfRule>
  </conditionalFormatting>
  <conditionalFormatting sqref="H7">
    <cfRule type="cellIs" dxfId="355" priority="62" operator="equal">
      <formula>0</formula>
    </cfRule>
  </conditionalFormatting>
  <conditionalFormatting sqref="I5">
    <cfRule type="cellIs" dxfId="354" priority="68" operator="equal">
      <formula>0</formula>
    </cfRule>
  </conditionalFormatting>
  <conditionalFormatting sqref="I7">
    <cfRule type="cellIs" dxfId="35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2" priority="46" operator="equal">
      <formula>0</formula>
    </cfRule>
  </conditionalFormatting>
  <conditionalFormatting sqref="I11">
    <cfRule type="cellIs" priority="45" operator="equal">
      <formula>0</formula>
    </cfRule>
  </conditionalFormatting>
  <conditionalFormatting sqref="K13 E13 G13">
    <cfRule type="cellIs" dxfId="35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8" priority="32" operator="equal">
      <formula>0</formula>
    </cfRule>
  </conditionalFormatting>
  <conditionalFormatting sqref="J5">
    <cfRule type="cellIs" dxfId="347" priority="31" operator="equal">
      <formula>0</formula>
    </cfRule>
  </conditionalFormatting>
  <conditionalFormatting sqref="J6">
    <cfRule type="cellIs" dxfId="346" priority="30" operator="equal">
      <formula>0</formula>
    </cfRule>
  </conditionalFormatting>
  <conditionalFormatting sqref="J9">
    <cfRule type="cellIs" dxfId="345" priority="29" operator="equal">
      <formula>0</formula>
    </cfRule>
  </conditionalFormatting>
  <conditionalFormatting sqref="J10">
    <cfRule type="cellIs" dxfId="344" priority="28" operator="equal">
      <formula>0</formula>
    </cfRule>
  </conditionalFormatting>
  <conditionalFormatting sqref="J7">
    <cfRule type="cellIs" dxfId="343" priority="27" operator="equal">
      <formula>0</formula>
    </cfRule>
  </conditionalFormatting>
  <conditionalFormatting sqref="J8">
    <cfRule type="cellIs" dxfId="342" priority="26" operator="equal">
      <formula>0</formula>
    </cfRule>
  </conditionalFormatting>
  <conditionalFormatting sqref="J11">
    <cfRule type="cellIs" dxfId="341" priority="25" operator="equal">
      <formula>0</formula>
    </cfRule>
  </conditionalFormatting>
  <conditionalFormatting sqref="J13">
    <cfRule type="cellIs" dxfId="340" priority="24" operator="equal">
      <formula>0</formula>
    </cfRule>
  </conditionalFormatting>
  <conditionalFormatting sqref="J12">
    <cfRule type="cellIs" dxfId="339" priority="23" operator="equal">
      <formula>0</formula>
    </cfRule>
  </conditionalFormatting>
  <conditionalFormatting sqref="J25">
    <cfRule type="cellIs" dxfId="338" priority="22" operator="equal">
      <formula>0</formula>
    </cfRule>
  </conditionalFormatting>
  <conditionalFormatting sqref="J26">
    <cfRule type="cellIs" dxfId="337" priority="21" operator="equal">
      <formula>0</formula>
    </cfRule>
  </conditionalFormatting>
  <conditionalFormatting sqref="L3:L4">
    <cfRule type="cellIs" dxfId="336" priority="20" operator="equal">
      <formula>0</formula>
    </cfRule>
  </conditionalFormatting>
  <conditionalFormatting sqref="L5">
    <cfRule type="cellIs" dxfId="335" priority="19" operator="equal">
      <formula>0</formula>
    </cfRule>
  </conditionalFormatting>
  <conditionalFormatting sqref="L6">
    <cfRule type="cellIs" dxfId="334" priority="18" operator="equal">
      <formula>0</formula>
    </cfRule>
  </conditionalFormatting>
  <conditionalFormatting sqref="L7">
    <cfRule type="cellIs" dxfId="333" priority="17" operator="equal">
      <formula>0</formula>
    </cfRule>
  </conditionalFormatting>
  <conditionalFormatting sqref="L8:L9">
    <cfRule type="cellIs" dxfId="332" priority="16" operator="equal">
      <formula>0</formula>
    </cfRule>
  </conditionalFormatting>
  <conditionalFormatting sqref="L14">
    <cfRule type="cellIs" dxfId="331" priority="15" operator="equal">
      <formula>0</formula>
    </cfRule>
  </conditionalFormatting>
  <conditionalFormatting sqref="L15">
    <cfRule type="cellIs" dxfId="330" priority="14" operator="equal">
      <formula>0</formula>
    </cfRule>
  </conditionalFormatting>
  <conditionalFormatting sqref="L16">
    <cfRule type="cellIs" dxfId="329" priority="13" operator="equal">
      <formula>0</formula>
    </cfRule>
  </conditionalFormatting>
  <conditionalFormatting sqref="L17">
    <cfRule type="cellIs" dxfId="328" priority="12" operator="equal">
      <formula>0</formula>
    </cfRule>
  </conditionalFormatting>
  <conditionalFormatting sqref="L18">
    <cfRule type="cellIs" dxfId="327" priority="11" operator="equal">
      <formula>0</formula>
    </cfRule>
  </conditionalFormatting>
  <conditionalFormatting sqref="L19">
    <cfRule type="cellIs" dxfId="326" priority="10" operator="equal">
      <formula>0</formula>
    </cfRule>
  </conditionalFormatting>
  <conditionalFormatting sqref="L20">
    <cfRule type="cellIs" dxfId="325" priority="9" operator="equal">
      <formula>0</formula>
    </cfRule>
  </conditionalFormatting>
  <conditionalFormatting sqref="L21">
    <cfRule type="cellIs" dxfId="324" priority="8" operator="equal">
      <formula>0</formula>
    </cfRule>
  </conditionalFormatting>
  <conditionalFormatting sqref="L22">
    <cfRule type="cellIs" dxfId="323" priority="7" operator="equal">
      <formula>0</formula>
    </cfRule>
  </conditionalFormatting>
  <conditionalFormatting sqref="L23">
    <cfRule type="cellIs" dxfId="322" priority="6" operator="equal">
      <formula>0</formula>
    </cfRule>
  </conditionalFormatting>
  <conditionalFormatting sqref="L24">
    <cfRule type="cellIs" dxfId="321" priority="5" operator="equal">
      <formula>0</formula>
    </cfRule>
  </conditionalFormatting>
  <conditionalFormatting sqref="L10">
    <cfRule type="cellIs" dxfId="320" priority="4" operator="equal">
      <formula>0</formula>
    </cfRule>
  </conditionalFormatting>
  <conditionalFormatting sqref="L11">
    <cfRule type="cellIs" dxfId="319" priority="3" operator="equal">
      <formula>0</formula>
    </cfRule>
  </conditionalFormatting>
  <conditionalFormatting sqref="L12">
    <cfRule type="cellIs" dxfId="318" priority="2" operator="equal">
      <formula>0</formula>
    </cfRule>
  </conditionalFormatting>
  <conditionalFormatting sqref="L13">
    <cfRule type="cellIs" dxfId="31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3">
      <c r="A4" s="44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3">
      <c r="A5" s="44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3">
      <c r="A6" s="44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5">
      <c r="A7" s="44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4.55" customHeight="1" x14ac:dyDescent="0.3">
      <c r="A8" s="45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4.55" customHeight="1" x14ac:dyDescent="0.3">
      <c r="A9" s="45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4.55" customHeight="1" x14ac:dyDescent="0.3">
      <c r="A10" s="45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4.55" customHeight="1" x14ac:dyDescent="0.3">
      <c r="A11" s="45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4.55" customHeight="1" x14ac:dyDescent="0.3">
      <c r="A12" s="45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4.55" customHeight="1" thickBot="1" x14ac:dyDescent="0.35">
      <c r="A13" s="45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4.55" customHeight="1" x14ac:dyDescent="0.3">
      <c r="A14" s="438" t="s">
        <v>23</v>
      </c>
      <c r="B14" s="34" t="s">
        <v>24</v>
      </c>
      <c r="C14" s="36" t="s">
        <v>613</v>
      </c>
      <c r="D14" s="42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40" t="s">
        <v>369</v>
      </c>
      <c r="N14" s="431" t="s">
        <v>29</v>
      </c>
      <c r="O14" s="434">
        <f ca="1">(4*32+G18+G19+G20+G21+G22+G23)</f>
        <v>160</v>
      </c>
    </row>
    <row r="15" spans="1:15" ht="14.55" customHeight="1" x14ac:dyDescent="0.3">
      <c r="A15" s="439"/>
      <c r="B15" s="35" t="s">
        <v>30</v>
      </c>
      <c r="C15" s="37" t="s">
        <v>613</v>
      </c>
      <c r="D15" s="42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37"/>
      <c r="N15" s="432"/>
      <c r="O15" s="435"/>
    </row>
    <row r="16" spans="1:15" ht="14.55" customHeight="1" x14ac:dyDescent="0.3">
      <c r="A16" s="439"/>
      <c r="B16" s="35" t="s">
        <v>31</v>
      </c>
      <c r="C16" s="37" t="s">
        <v>613</v>
      </c>
      <c r="D16" s="42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37"/>
      <c r="N16" s="432"/>
      <c r="O16" s="435"/>
    </row>
    <row r="17" spans="1:15" x14ac:dyDescent="0.3">
      <c r="A17" s="439"/>
      <c r="B17" s="35" t="s">
        <v>32</v>
      </c>
      <c r="C17" s="37" t="s">
        <v>613</v>
      </c>
      <c r="D17" s="42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37"/>
      <c r="N17" s="432"/>
      <c r="O17" s="435"/>
    </row>
    <row r="18" spans="1:15" x14ac:dyDescent="0.3">
      <c r="A18" s="439"/>
      <c r="B18" s="35" t="s">
        <v>34</v>
      </c>
      <c r="C18" s="35" t="s">
        <v>253</v>
      </c>
      <c r="D18" s="42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3">
      <c r="A19" s="439"/>
      <c r="B19" s="35" t="s">
        <v>36</v>
      </c>
      <c r="C19" s="73" t="s">
        <v>214</v>
      </c>
      <c r="D19" s="42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3">
      <c r="A20" s="439"/>
      <c r="B20" s="73" t="s">
        <v>246</v>
      </c>
      <c r="C20" s="73" t="s">
        <v>205</v>
      </c>
      <c r="D20" s="42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3">
      <c r="A21" s="439"/>
      <c r="B21" s="73" t="s">
        <v>250</v>
      </c>
      <c r="C21" s="73" t="s">
        <v>390</v>
      </c>
      <c r="D21" s="42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3">
      <c r="A22" s="439"/>
      <c r="B22" s="73" t="s">
        <v>251</v>
      </c>
      <c r="C22" s="73" t="s">
        <v>390</v>
      </c>
      <c r="D22" s="42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3">
      <c r="A23" s="439"/>
      <c r="B23" s="73" t="s">
        <v>252</v>
      </c>
      <c r="C23" s="73" t="s">
        <v>390</v>
      </c>
      <c r="D23" s="42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3">
      <c r="A24" s="439"/>
      <c r="B24" s="35" t="s">
        <v>38</v>
      </c>
      <c r="C24" s="37" t="s">
        <v>613</v>
      </c>
      <c r="D24" s="42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37"/>
      <c r="N24" s="432"/>
      <c r="O24" s="435"/>
    </row>
    <row r="25" spans="1:15" x14ac:dyDescent="0.3">
      <c r="A25" s="438"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7" t="s">
        <v>370</v>
      </c>
      <c r="N25" s="432"/>
      <c r="O25" s="435">
        <f ca="1">(G25+G26)</f>
        <v>64</v>
      </c>
    </row>
    <row r="26" spans="1:15" ht="15" thickBot="1" x14ac:dyDescent="0.35">
      <c r="A26" s="441"/>
      <c r="B26" s="74" t="s">
        <v>46</v>
      </c>
      <c r="C26" s="74" t="s">
        <v>615</v>
      </c>
      <c r="D26" s="430"/>
      <c r="E26" s="123"/>
      <c r="F26" s="76" t="s">
        <v>44</v>
      </c>
      <c r="G26" s="75">
        <f ca="1">IF($C26="No Param",32,VLOOKUP($C26,INDIRECT(Config!$B$1),HLOOKUP(D$1,INDIRECT(Config!$E$1),2,FALSE),FALSE)*32)</f>
        <v>32</v>
      </c>
      <c r="H26" s="26" t="str">
        <f ca="1">IF(G26=0,"N/A","0x8004")</f>
        <v>0x8004</v>
      </c>
      <c r="I26" s="26" t="s">
        <v>47</v>
      </c>
      <c r="J26" s="26" t="s">
        <v>48</v>
      </c>
      <c r="K26" s="26" t="s">
        <v>387</v>
      </c>
      <c r="L26" s="234"/>
      <c r="M26" s="433"/>
      <c r="N26" s="433"/>
      <c r="O26" s="436"/>
    </row>
    <row r="27" spans="1:15" ht="15" thickBot="1" x14ac:dyDescent="0.35">
      <c r="A27" s="124"/>
    </row>
    <row r="28" spans="1:15" x14ac:dyDescent="0.3">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3">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3">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3">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3">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3">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3">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3">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3">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3">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3">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3">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3">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3">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 thickBot="1" x14ac:dyDescent="0.35">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6" priority="256" operator="equal">
      <formula>0</formula>
    </cfRule>
  </conditionalFormatting>
  <conditionalFormatting sqref="J28">
    <cfRule type="cellIs" dxfId="315" priority="272" operator="equal">
      <formula>0</formula>
    </cfRule>
  </conditionalFormatting>
  <conditionalFormatting sqref="C3">
    <cfRule type="cellIs" dxfId="314" priority="258" operator="equal">
      <formula>0</formula>
    </cfRule>
  </conditionalFormatting>
  <conditionalFormatting sqref="C4">
    <cfRule type="cellIs" dxfId="313" priority="257" operator="equal">
      <formula>0</formula>
    </cfRule>
  </conditionalFormatting>
  <conditionalFormatting sqref="B3 D3 G14:G26">
    <cfRule type="cellIs" dxfId="312" priority="269" operator="equal">
      <formula>0</formula>
    </cfRule>
  </conditionalFormatting>
  <conditionalFormatting sqref="B4 D4">
    <cfRule type="cellIs" dxfId="311" priority="268" operator="equal">
      <formula>0</formula>
    </cfRule>
  </conditionalFormatting>
  <conditionalFormatting sqref="B5 D5">
    <cfRule type="cellIs" dxfId="310" priority="267" operator="equal">
      <formula>0</formula>
    </cfRule>
  </conditionalFormatting>
  <conditionalFormatting sqref="B7">
    <cfRule type="cellIs" dxfId="309" priority="266" operator="equal">
      <formula>0</formula>
    </cfRule>
  </conditionalFormatting>
  <conditionalFormatting sqref="B8 D8">
    <cfRule type="cellIs" priority="265" operator="equal">
      <formula>0</formula>
    </cfRule>
  </conditionalFormatting>
  <conditionalFormatting sqref="B9 D9">
    <cfRule type="cellIs" dxfId="308" priority="264" operator="equal">
      <formula>0</formula>
    </cfRule>
  </conditionalFormatting>
  <conditionalFormatting sqref="B10 D10">
    <cfRule type="cellIs" dxfId="307" priority="262" operator="equal">
      <formula>0</formula>
    </cfRule>
    <cfRule type="cellIs" dxfId="306" priority="263" operator="equal">
      <formula>0</formula>
    </cfRule>
  </conditionalFormatting>
  <conditionalFormatting sqref="B6 D6">
    <cfRule type="cellIs" dxfId="305" priority="260" operator="equal">
      <formula>0</formula>
    </cfRule>
  </conditionalFormatting>
  <conditionalFormatting sqref="D7">
    <cfRule type="cellIs" dxfId="304" priority="259" operator="equal">
      <formula>0</formula>
    </cfRule>
  </conditionalFormatting>
  <conditionalFormatting sqref="C7">
    <cfRule type="cellIs" dxfId="303" priority="255" operator="equal">
      <formula>0</formula>
    </cfRule>
  </conditionalFormatting>
  <conditionalFormatting sqref="C8">
    <cfRule type="cellIs" priority="254" operator="equal">
      <formula>0</formula>
    </cfRule>
  </conditionalFormatting>
  <conditionalFormatting sqref="C9">
    <cfRule type="cellIs" dxfId="302" priority="253" operator="equal">
      <formula>0</formula>
    </cfRule>
  </conditionalFormatting>
  <conditionalFormatting sqref="C10">
    <cfRule type="cellIs" dxfId="301" priority="251" operator="equal">
      <formula>0</formula>
    </cfRule>
    <cfRule type="cellIs" dxfId="300" priority="252" operator="equal">
      <formula>0</formula>
    </cfRule>
  </conditionalFormatting>
  <conditionalFormatting sqref="C6">
    <cfRule type="cellIs" dxfId="299" priority="250" operator="equal">
      <formula>0</formula>
    </cfRule>
  </conditionalFormatting>
  <conditionalFormatting sqref="G40">
    <cfRule type="cellIs" dxfId="298" priority="170" operator="equal">
      <formula>0</formula>
    </cfRule>
  </conditionalFormatting>
  <conditionalFormatting sqref="G37">
    <cfRule type="cellIs" dxfId="297" priority="169" operator="equal">
      <formula>0</formula>
    </cfRule>
  </conditionalFormatting>
  <conditionalFormatting sqref="G42">
    <cfRule type="cellIs" dxfId="296" priority="168" operator="equal">
      <formula>0</formula>
    </cfRule>
  </conditionalFormatting>
  <conditionalFormatting sqref="L32">
    <cfRule type="cellIs" dxfId="295" priority="211" operator="equal">
      <formula>0</formula>
    </cfRule>
  </conditionalFormatting>
  <conditionalFormatting sqref="L31">
    <cfRule type="cellIs" dxfId="294" priority="210" operator="equal">
      <formula>0</formula>
    </cfRule>
  </conditionalFormatting>
  <conditionalFormatting sqref="L30">
    <cfRule type="cellIs" dxfId="293" priority="209" operator="equal">
      <formula>0</formula>
    </cfRule>
  </conditionalFormatting>
  <conditionalFormatting sqref="L29">
    <cfRule type="cellIs" dxfId="292" priority="208" operator="equal">
      <formula>0</formula>
    </cfRule>
  </conditionalFormatting>
  <conditionalFormatting sqref="L37">
    <cfRule type="cellIs" dxfId="291" priority="207" operator="equal">
      <formula>0</formula>
    </cfRule>
  </conditionalFormatting>
  <conditionalFormatting sqref="L36">
    <cfRule type="cellIs" dxfId="290" priority="206" operator="equal">
      <formula>0</formula>
    </cfRule>
  </conditionalFormatting>
  <conditionalFormatting sqref="L35">
    <cfRule type="cellIs" dxfId="289" priority="205" operator="equal">
      <formula>0</formula>
    </cfRule>
  </conditionalFormatting>
  <conditionalFormatting sqref="L34">
    <cfRule type="cellIs" dxfId="288" priority="204" operator="equal">
      <formula>0</formula>
    </cfRule>
  </conditionalFormatting>
  <conditionalFormatting sqref="L42">
    <cfRule type="cellIs" dxfId="287" priority="203" operator="equal">
      <formula>0</formula>
    </cfRule>
  </conditionalFormatting>
  <conditionalFormatting sqref="L41">
    <cfRule type="cellIs" dxfId="286" priority="202" operator="equal">
      <formula>0</formula>
    </cfRule>
  </conditionalFormatting>
  <conditionalFormatting sqref="L40">
    <cfRule type="cellIs" dxfId="285" priority="201" operator="equal">
      <formula>0</formula>
    </cfRule>
  </conditionalFormatting>
  <conditionalFormatting sqref="L39">
    <cfRule type="cellIs" dxfId="284" priority="200" operator="equal">
      <formula>0</formula>
    </cfRule>
  </conditionalFormatting>
  <conditionalFormatting sqref="G34">
    <cfRule type="cellIs" dxfId="283" priority="182" operator="equal">
      <formula>0</formula>
    </cfRule>
  </conditionalFormatting>
  <conditionalFormatting sqref="G36">
    <cfRule type="cellIs" dxfId="282" priority="181" operator="equal">
      <formula>0</formula>
    </cfRule>
  </conditionalFormatting>
  <conditionalFormatting sqref="G29">
    <cfRule type="cellIs" dxfId="281" priority="175" operator="equal">
      <formula>0</formula>
    </cfRule>
  </conditionalFormatting>
  <conditionalFormatting sqref="G32">
    <cfRule type="cellIs" dxfId="280" priority="179" operator="equal">
      <formula>0</formula>
    </cfRule>
  </conditionalFormatting>
  <conditionalFormatting sqref="G33">
    <cfRule type="cellIs" dxfId="279" priority="178" operator="equal">
      <formula>0</formula>
    </cfRule>
  </conditionalFormatting>
  <conditionalFormatting sqref="G28">
    <cfRule type="cellIs" dxfId="278" priority="180" operator="equal">
      <formula>0</formula>
    </cfRule>
  </conditionalFormatting>
  <conditionalFormatting sqref="G38">
    <cfRule type="cellIs" dxfId="277" priority="177" operator="equal">
      <formula>0</formula>
    </cfRule>
  </conditionalFormatting>
  <conditionalFormatting sqref="G35">
    <cfRule type="cellIs" dxfId="276" priority="176" operator="equal">
      <formula>0</formula>
    </cfRule>
  </conditionalFormatting>
  <conditionalFormatting sqref="G31">
    <cfRule type="cellIs" dxfId="275" priority="174" operator="equal">
      <formula>0</formula>
    </cfRule>
  </conditionalFormatting>
  <conditionalFormatting sqref="G30">
    <cfRule type="cellIs" dxfId="274" priority="173" operator="equal">
      <formula>0</formula>
    </cfRule>
  </conditionalFormatting>
  <conditionalFormatting sqref="G39">
    <cfRule type="cellIs" dxfId="273" priority="172" operator="equal">
      <formula>0</formula>
    </cfRule>
  </conditionalFormatting>
  <conditionalFormatting sqref="G41">
    <cfRule type="cellIs" dxfId="272" priority="171" operator="equal">
      <formula>0</formula>
    </cfRule>
  </conditionalFormatting>
  <conditionalFormatting sqref="E10">
    <cfRule type="cellIs" priority="131" operator="equal">
      <formula>0</formula>
    </cfRule>
  </conditionalFormatting>
  <conditionalFormatting sqref="E3">
    <cfRule type="cellIs" dxfId="271" priority="146" operator="equal">
      <formula>0</formula>
    </cfRule>
  </conditionalFormatting>
  <conditionalFormatting sqref="E3">
    <cfRule type="cellIs" priority="145" operator="equal">
      <formula>0</formula>
    </cfRule>
  </conditionalFormatting>
  <conditionalFormatting sqref="E5">
    <cfRule type="cellIs" dxfId="270" priority="142" operator="equal">
      <formula>0</formula>
    </cfRule>
  </conditionalFormatting>
  <conditionalFormatting sqref="E5">
    <cfRule type="cellIs" priority="141" operator="equal">
      <formula>0</formula>
    </cfRule>
  </conditionalFormatting>
  <conditionalFormatting sqref="E7">
    <cfRule type="cellIs" dxfId="269" priority="138" operator="equal">
      <formula>0</formula>
    </cfRule>
  </conditionalFormatting>
  <conditionalFormatting sqref="E7">
    <cfRule type="cellIs" priority="137" operator="equal">
      <formula>0</formula>
    </cfRule>
  </conditionalFormatting>
  <conditionalFormatting sqref="E9">
    <cfRule type="cellIs" dxfId="268" priority="134" operator="equal">
      <formula>0</formula>
    </cfRule>
  </conditionalFormatting>
  <conditionalFormatting sqref="E9">
    <cfRule type="cellIs" priority="133" operator="equal">
      <formula>0</formula>
    </cfRule>
  </conditionalFormatting>
  <conditionalFormatting sqref="E4">
    <cfRule type="cellIs" dxfId="267" priority="144" operator="equal">
      <formula>0</formula>
    </cfRule>
  </conditionalFormatting>
  <conditionalFormatting sqref="E4">
    <cfRule type="cellIs" priority="143" operator="equal">
      <formula>0</formula>
    </cfRule>
  </conditionalFormatting>
  <conditionalFormatting sqref="E6">
    <cfRule type="cellIs" dxfId="266" priority="140" operator="equal">
      <formula>0</formula>
    </cfRule>
  </conditionalFormatting>
  <conditionalFormatting sqref="E6">
    <cfRule type="cellIs" priority="139" operator="equal">
      <formula>0</formula>
    </cfRule>
  </conditionalFormatting>
  <conditionalFormatting sqref="E8">
    <cfRule type="cellIs" dxfId="265" priority="136" operator="equal">
      <formula>0</formula>
    </cfRule>
  </conditionalFormatting>
  <conditionalFormatting sqref="E8">
    <cfRule type="cellIs" priority="135" operator="equal">
      <formula>0</formula>
    </cfRule>
  </conditionalFormatting>
  <conditionalFormatting sqref="E10">
    <cfRule type="cellIs" dxfId="264" priority="132" operator="equal">
      <formula>0</formula>
    </cfRule>
  </conditionalFormatting>
  <conditionalFormatting sqref="G4:G10">
    <cfRule type="cellIs" dxfId="263" priority="122" operator="equal">
      <formula>0</formula>
    </cfRule>
  </conditionalFormatting>
  <conditionalFormatting sqref="F6">
    <cfRule type="cellIs" dxfId="262" priority="113" operator="equal">
      <formula>0</formula>
    </cfRule>
  </conditionalFormatting>
  <conditionalFormatting sqref="F3">
    <cfRule type="cellIs" dxfId="261" priority="121" operator="equal">
      <formula>0</formula>
    </cfRule>
  </conditionalFormatting>
  <conditionalFormatting sqref="F4">
    <cfRule type="cellIs" dxfId="260" priority="120" operator="equal">
      <formula>0</formula>
    </cfRule>
  </conditionalFormatting>
  <conditionalFormatting sqref="F5">
    <cfRule type="cellIs" dxfId="259" priority="119" operator="equal">
      <formula>0</formula>
    </cfRule>
  </conditionalFormatting>
  <conditionalFormatting sqref="F7">
    <cfRule type="cellIs" dxfId="258" priority="118" operator="equal">
      <formula>0</formula>
    </cfRule>
  </conditionalFormatting>
  <conditionalFormatting sqref="F9">
    <cfRule type="cellIs" dxfId="257" priority="116" operator="equal">
      <formula>0</formula>
    </cfRule>
  </conditionalFormatting>
  <conditionalFormatting sqref="G3:I3">
    <cfRule type="cellIs" dxfId="256" priority="112" operator="equal">
      <formula>0</formula>
    </cfRule>
  </conditionalFormatting>
  <conditionalFormatting sqref="F8 H9:H10">
    <cfRule type="cellIs" priority="117" operator="equal">
      <formula>0</formula>
    </cfRule>
  </conditionalFormatting>
  <conditionalFormatting sqref="F10">
    <cfRule type="cellIs" dxfId="255" priority="114" operator="equal">
      <formula>0</formula>
    </cfRule>
    <cfRule type="cellIs" dxfId="254" priority="115" operator="equal">
      <formula>0</formula>
    </cfRule>
  </conditionalFormatting>
  <conditionalFormatting sqref="H7">
    <cfRule type="cellIs" dxfId="253" priority="104" operator="equal">
      <formula>0</formula>
    </cfRule>
  </conditionalFormatting>
  <conditionalFormatting sqref="I6">
    <cfRule type="cellIs" dxfId="252" priority="107" operator="equal">
      <formula>0</formula>
    </cfRule>
  </conditionalFormatting>
  <conditionalFormatting sqref="H5">
    <cfRule type="cellIs" dxfId="251" priority="106" operator="equal">
      <formula>0</formula>
    </cfRule>
  </conditionalFormatting>
  <conditionalFormatting sqref="H4:I4">
    <cfRule type="cellIs" dxfId="250" priority="111" operator="equal">
      <formula>0</formula>
    </cfRule>
  </conditionalFormatting>
  <conditionalFormatting sqref="I5">
    <cfRule type="cellIs" dxfId="249" priority="110" operator="equal">
      <formula>0</formula>
    </cfRule>
  </conditionalFormatting>
  <conditionalFormatting sqref="I7">
    <cfRule type="cellIs" dxfId="248" priority="109" operator="equal">
      <formula>0</formula>
    </cfRule>
  </conditionalFormatting>
  <conditionalFormatting sqref="H8:I8">
    <cfRule type="cellIs" priority="108" operator="equal">
      <formula>0</formula>
    </cfRule>
  </conditionalFormatting>
  <conditionalFormatting sqref="H6">
    <cfRule type="cellIs" dxfId="247" priority="105" operator="equal">
      <formula>0</formula>
    </cfRule>
  </conditionalFormatting>
  <conditionalFormatting sqref="I9:I10">
    <cfRule type="cellIs" priority="101" operator="equal">
      <formula>0</formula>
    </cfRule>
  </conditionalFormatting>
  <conditionalFormatting sqref="E11 G11">
    <cfRule type="cellIs" dxfId="246" priority="88" operator="equal">
      <formula>0</formula>
    </cfRule>
  </conditionalFormatting>
  <conditionalFormatting sqref="I11">
    <cfRule type="cellIs" priority="87" operator="equal">
      <formula>0</formula>
    </cfRule>
  </conditionalFormatting>
  <conditionalFormatting sqref="E13 G13">
    <cfRule type="cellIs" dxfId="24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2" priority="44" operator="equal">
      <formula>0</formula>
    </cfRule>
  </conditionalFormatting>
  <conditionalFormatting sqref="K26">
    <cfRule type="cellIs" dxfId="241" priority="43" operator="equal">
      <formula>0</formula>
    </cfRule>
  </conditionalFormatting>
  <conditionalFormatting sqref="J25">
    <cfRule type="cellIs" dxfId="240" priority="42" operator="equal">
      <formula>0</formula>
    </cfRule>
  </conditionalFormatting>
  <conditionalFormatting sqref="J26">
    <cfRule type="cellIs" dxfId="239" priority="41" operator="equal">
      <formula>0</formula>
    </cfRule>
  </conditionalFormatting>
  <conditionalFormatting sqref="K3:K4">
    <cfRule type="cellIs" dxfId="238" priority="40" operator="equal">
      <formula>0</formula>
    </cfRule>
  </conditionalFormatting>
  <conditionalFormatting sqref="K5">
    <cfRule type="cellIs" dxfId="237" priority="39" operator="equal">
      <formula>0</formula>
    </cfRule>
  </conditionalFormatting>
  <conditionalFormatting sqref="K6">
    <cfRule type="cellIs" dxfId="236" priority="38" operator="equal">
      <formula>0</formula>
    </cfRule>
  </conditionalFormatting>
  <conditionalFormatting sqref="K9">
    <cfRule type="cellIs" dxfId="235" priority="37" operator="equal">
      <formula>0</formula>
    </cfRule>
  </conditionalFormatting>
  <conditionalFormatting sqref="K10">
    <cfRule type="cellIs" dxfId="234" priority="36" operator="equal">
      <formula>0</formula>
    </cfRule>
  </conditionalFormatting>
  <conditionalFormatting sqref="K7">
    <cfRule type="cellIs" dxfId="233" priority="35" operator="equal">
      <formula>0</formula>
    </cfRule>
  </conditionalFormatting>
  <conditionalFormatting sqref="K8">
    <cfRule type="cellIs" dxfId="232" priority="34" operator="equal">
      <formula>0</formula>
    </cfRule>
  </conditionalFormatting>
  <conditionalFormatting sqref="K11">
    <cfRule type="cellIs" dxfId="231" priority="33" operator="equal">
      <formula>0</formula>
    </cfRule>
  </conditionalFormatting>
  <conditionalFormatting sqref="K13">
    <cfRule type="cellIs" dxfId="230" priority="32" operator="equal">
      <formula>0</formula>
    </cfRule>
  </conditionalFormatting>
  <conditionalFormatting sqref="K12">
    <cfRule type="cellIs" dxfId="229" priority="31" operator="equal">
      <formula>0</formula>
    </cfRule>
  </conditionalFormatting>
  <conditionalFormatting sqref="J3:J4">
    <cfRule type="cellIs" dxfId="228" priority="30" operator="equal">
      <formula>0</formula>
    </cfRule>
  </conditionalFormatting>
  <conditionalFormatting sqref="J5">
    <cfRule type="cellIs" dxfId="227" priority="29" operator="equal">
      <formula>0</formula>
    </cfRule>
  </conditionalFormatting>
  <conditionalFormatting sqref="J6">
    <cfRule type="cellIs" dxfId="226" priority="28" operator="equal">
      <formula>0</formula>
    </cfRule>
  </conditionalFormatting>
  <conditionalFormatting sqref="J9">
    <cfRule type="cellIs" dxfId="225" priority="27" operator="equal">
      <formula>0</formula>
    </cfRule>
  </conditionalFormatting>
  <conditionalFormatting sqref="J10">
    <cfRule type="cellIs" dxfId="224" priority="26" operator="equal">
      <formula>0</formula>
    </cfRule>
  </conditionalFormatting>
  <conditionalFormatting sqref="J7">
    <cfRule type="cellIs" dxfId="223" priority="25" operator="equal">
      <formula>0</formula>
    </cfRule>
  </conditionalFormatting>
  <conditionalFormatting sqref="J8">
    <cfRule type="cellIs" dxfId="222" priority="24" operator="equal">
      <formula>0</formula>
    </cfRule>
  </conditionalFormatting>
  <conditionalFormatting sqref="J11">
    <cfRule type="cellIs" dxfId="221" priority="23" operator="equal">
      <formula>0</formula>
    </cfRule>
  </conditionalFormatting>
  <conditionalFormatting sqref="J13">
    <cfRule type="cellIs" dxfId="220" priority="22" operator="equal">
      <formula>0</formula>
    </cfRule>
  </conditionalFormatting>
  <conditionalFormatting sqref="J12">
    <cfRule type="cellIs" dxfId="219" priority="21" operator="equal">
      <formula>0</formula>
    </cfRule>
  </conditionalFormatting>
  <conditionalFormatting sqref="L3:L4">
    <cfRule type="cellIs" dxfId="218" priority="20" operator="equal">
      <formula>0</formula>
    </cfRule>
  </conditionalFormatting>
  <conditionalFormatting sqref="L5">
    <cfRule type="cellIs" dxfId="217" priority="19" operator="equal">
      <formula>0</formula>
    </cfRule>
  </conditionalFormatting>
  <conditionalFormatting sqref="L6">
    <cfRule type="cellIs" dxfId="216" priority="18" operator="equal">
      <formula>0</formula>
    </cfRule>
  </conditionalFormatting>
  <conditionalFormatting sqref="L7">
    <cfRule type="cellIs" dxfId="215" priority="17" operator="equal">
      <formula>0</formula>
    </cfRule>
  </conditionalFormatting>
  <conditionalFormatting sqref="L8:L9">
    <cfRule type="cellIs" dxfId="214" priority="16" operator="equal">
      <formula>0</formula>
    </cfRule>
  </conditionalFormatting>
  <conditionalFormatting sqref="L14">
    <cfRule type="cellIs" dxfId="213" priority="15" operator="equal">
      <formula>0</formula>
    </cfRule>
  </conditionalFormatting>
  <conditionalFormatting sqref="L15">
    <cfRule type="cellIs" dxfId="212" priority="14" operator="equal">
      <formula>0</formula>
    </cfRule>
  </conditionalFormatting>
  <conditionalFormatting sqref="L16">
    <cfRule type="cellIs" dxfId="211" priority="13" operator="equal">
      <formula>0</formula>
    </cfRule>
  </conditionalFormatting>
  <conditionalFormatting sqref="L17">
    <cfRule type="cellIs" dxfId="210" priority="12" operator="equal">
      <formula>0</formula>
    </cfRule>
  </conditionalFormatting>
  <conditionalFormatting sqref="L18">
    <cfRule type="cellIs" dxfId="209" priority="11" operator="equal">
      <formula>0</formula>
    </cfRule>
  </conditionalFormatting>
  <conditionalFormatting sqref="L19">
    <cfRule type="cellIs" dxfId="208" priority="10" operator="equal">
      <formula>0</formula>
    </cfRule>
  </conditionalFormatting>
  <conditionalFormatting sqref="L20">
    <cfRule type="cellIs" dxfId="207" priority="9" operator="equal">
      <formula>0</formula>
    </cfRule>
  </conditionalFormatting>
  <conditionalFormatting sqref="L21">
    <cfRule type="cellIs" dxfId="206" priority="8" operator="equal">
      <formula>0</formula>
    </cfRule>
  </conditionalFormatting>
  <conditionalFormatting sqref="L22">
    <cfRule type="cellIs" dxfId="205" priority="7" operator="equal">
      <formula>0</formula>
    </cfRule>
  </conditionalFormatting>
  <conditionalFormatting sqref="L23">
    <cfRule type="cellIs" dxfId="204" priority="6" operator="equal">
      <formula>0</formula>
    </cfRule>
  </conditionalFormatting>
  <conditionalFormatting sqref="L24">
    <cfRule type="cellIs" dxfId="203" priority="5" operator="equal">
      <formula>0</formula>
    </cfRule>
  </conditionalFormatting>
  <conditionalFormatting sqref="L10">
    <cfRule type="cellIs" dxfId="202" priority="4" operator="equal">
      <formula>0</formula>
    </cfRule>
  </conditionalFormatting>
  <conditionalFormatting sqref="L11">
    <cfRule type="cellIs" dxfId="201" priority="3" operator="equal">
      <formula>0</formula>
    </cfRule>
  </conditionalFormatting>
  <conditionalFormatting sqref="L12">
    <cfRule type="cellIs" dxfId="200" priority="2" operator="equal">
      <formula>0</formula>
    </cfRule>
  </conditionalFormatting>
  <conditionalFormatting sqref="L13">
    <cfRule type="cellIs" dxfId="19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0" t="s">
        <v>367</v>
      </c>
      <c r="N3" s="431" t="s">
        <v>14</v>
      </c>
      <c r="O3" s="434">
        <f ca="1">($G3+$G4+$G5+$G6+$G7)</f>
        <v>801</v>
      </c>
    </row>
    <row r="4" spans="1:15" ht="15" customHeight="1" x14ac:dyDescent="0.3">
      <c r="A4" s="44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32"/>
      <c r="N4" s="432"/>
      <c r="O4" s="435"/>
    </row>
    <row r="5" spans="1:15" ht="15" customHeight="1" x14ac:dyDescent="0.3">
      <c r="A5" s="44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32"/>
      <c r="N5" s="432"/>
      <c r="O5" s="435"/>
    </row>
    <row r="6" spans="1:15" ht="15" customHeight="1" thickBot="1" x14ac:dyDescent="0.35">
      <c r="A6" s="44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32"/>
      <c r="N6" s="432"/>
      <c r="O6" s="435"/>
    </row>
    <row r="7" spans="1:15" ht="15" customHeight="1" thickBot="1" x14ac:dyDescent="0.35">
      <c r="A7" s="44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47"/>
      <c r="N7" s="447"/>
      <c r="O7" s="449"/>
    </row>
    <row r="8" spans="1:15" ht="14.55" customHeight="1" x14ac:dyDescent="0.3">
      <c r="A8" s="46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60" t="s">
        <v>368</v>
      </c>
      <c r="N8" s="431" t="s">
        <v>20</v>
      </c>
      <c r="O8" s="434">
        <f ca="1">($G8+$G9+$G10+$G13)</f>
        <v>992</v>
      </c>
    </row>
    <row r="9" spans="1:15" s="131" customFormat="1" ht="14.55" customHeight="1" x14ac:dyDescent="0.3">
      <c r="A9" s="46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44"/>
      <c r="N9" s="432"/>
      <c r="O9" s="435"/>
    </row>
    <row r="10" spans="1:15" ht="14.55" customHeight="1" thickBot="1" x14ac:dyDescent="0.35">
      <c r="A10" s="46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44"/>
      <c r="N10" s="432"/>
      <c r="O10" s="435"/>
    </row>
    <row r="11" spans="1:15" ht="15" customHeight="1" x14ac:dyDescent="0.3">
      <c r="A11" s="46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39.6" customHeight="1" x14ac:dyDescent="0.3">
      <c r="A12" s="46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44"/>
      <c r="N12" s="432"/>
      <c r="O12" s="435"/>
    </row>
    <row r="13" spans="1:15" ht="15" customHeight="1" thickBot="1" x14ac:dyDescent="0.35">
      <c r="A13" s="46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61"/>
      <c r="N13" s="433"/>
      <c r="O13" s="436"/>
    </row>
    <row r="14" spans="1:15" ht="15" customHeight="1" thickBot="1" x14ac:dyDescent="0.35">
      <c r="A14" s="438" t="s">
        <v>23</v>
      </c>
      <c r="B14" s="43" t="s">
        <v>24</v>
      </c>
      <c r="C14" s="171" t="s">
        <v>613</v>
      </c>
      <c r="D14" s="46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68" t="s">
        <v>369</v>
      </c>
      <c r="N14" s="446" t="s">
        <v>29</v>
      </c>
      <c r="O14" s="448">
        <f ca="1">(4*32+G18+G19+G20+G21+G22+G23)</f>
        <v>128</v>
      </c>
    </row>
    <row r="15" spans="1:15" x14ac:dyDescent="0.3">
      <c r="A15" s="439"/>
      <c r="B15" s="35" t="s">
        <v>30</v>
      </c>
      <c r="C15" s="37" t="s">
        <v>613</v>
      </c>
      <c r="D15" s="46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37"/>
      <c r="N15" s="432"/>
      <c r="O15" s="435"/>
    </row>
    <row r="16" spans="1:15" x14ac:dyDescent="0.3">
      <c r="A16" s="439"/>
      <c r="B16" s="35" t="s">
        <v>31</v>
      </c>
      <c r="C16" s="37" t="s">
        <v>613</v>
      </c>
      <c r="D16" s="46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37"/>
      <c r="N16" s="432"/>
      <c r="O16" s="435"/>
    </row>
    <row r="17" spans="1:15" x14ac:dyDescent="0.3">
      <c r="A17" s="439"/>
      <c r="B17" s="35" t="s">
        <v>32</v>
      </c>
      <c r="C17" s="37" t="s">
        <v>613</v>
      </c>
      <c r="D17" s="46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37"/>
      <c r="N17" s="432"/>
      <c r="O17" s="435"/>
    </row>
    <row r="18" spans="1:15" ht="15" thickBot="1" x14ac:dyDescent="0.35">
      <c r="A18" s="439"/>
      <c r="B18" s="35" t="s">
        <v>34</v>
      </c>
      <c r="C18" s="35" t="s">
        <v>253</v>
      </c>
      <c r="D18" s="46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37"/>
      <c r="N18" s="432"/>
      <c r="O18" s="435"/>
    </row>
    <row r="19" spans="1:15" x14ac:dyDescent="0.3">
      <c r="A19" s="439"/>
      <c r="B19" s="35" t="s">
        <v>36</v>
      </c>
      <c r="C19" s="73" t="s">
        <v>214</v>
      </c>
      <c r="D19" s="46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37"/>
      <c r="N19" s="432"/>
      <c r="O19" s="435"/>
    </row>
    <row r="20" spans="1:15" x14ac:dyDescent="0.3">
      <c r="A20" s="439"/>
      <c r="B20" s="73" t="s">
        <v>246</v>
      </c>
      <c r="C20" s="73" t="s">
        <v>205</v>
      </c>
      <c r="D20" s="46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37"/>
      <c r="N20" s="432"/>
      <c r="O20" s="435"/>
    </row>
    <row r="21" spans="1:15" x14ac:dyDescent="0.3">
      <c r="A21" s="439"/>
      <c r="B21" s="73" t="s">
        <v>250</v>
      </c>
      <c r="C21" s="73" t="s">
        <v>390</v>
      </c>
      <c r="D21" s="46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37"/>
      <c r="N21" s="432"/>
      <c r="O21" s="435"/>
    </row>
    <row r="22" spans="1:15" ht="15" thickBot="1" x14ac:dyDescent="0.35">
      <c r="A22" s="439"/>
      <c r="B22" s="73" t="s">
        <v>251</v>
      </c>
      <c r="C22" s="73" t="s">
        <v>390</v>
      </c>
      <c r="D22" s="46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37"/>
      <c r="N22" s="432"/>
      <c r="O22" s="435"/>
    </row>
    <row r="23" spans="1:15" x14ac:dyDescent="0.3">
      <c r="A23" s="439"/>
      <c r="B23" s="73" t="s">
        <v>252</v>
      </c>
      <c r="C23" s="73" t="s">
        <v>390</v>
      </c>
      <c r="D23" s="46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37"/>
      <c r="N23" s="432"/>
      <c r="O23" s="435"/>
    </row>
    <row r="24" spans="1:15" x14ac:dyDescent="0.3">
      <c r="A24" s="465"/>
      <c r="B24" s="35" t="s">
        <v>38</v>
      </c>
      <c r="C24" s="37" t="s">
        <v>613</v>
      </c>
      <c r="D24" s="46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37"/>
      <c r="N24" s="432"/>
      <c r="O24" s="435"/>
    </row>
    <row r="25" spans="1:15" x14ac:dyDescent="0.3">
      <c r="A25" s="438" t="s">
        <v>41</v>
      </c>
      <c r="B25" s="35" t="s">
        <v>42</v>
      </c>
      <c r="C25" s="35" t="s">
        <v>614</v>
      </c>
      <c r="D25" s="467" t="s">
        <v>43</v>
      </c>
      <c r="E25" s="122"/>
      <c r="F25" s="25" t="s">
        <v>44</v>
      </c>
      <c r="G25" s="39">
        <f ca="1">IF($C25="No Param",32,VLOOKUP($C25,INDIRECT(Config!$B$1),HLOOKUP(D$1,INDIRECT(Config!$E$1),2,FALSE),FALSE)*32)</f>
        <v>0</v>
      </c>
      <c r="H25" s="16" t="str">
        <f ca="1">IF(G25=0,"N/A","0x8000")</f>
        <v>N/A</v>
      </c>
      <c r="I25" s="16" t="s">
        <v>45</v>
      </c>
      <c r="J25" s="16" t="s">
        <v>48</v>
      </c>
      <c r="K25" s="16" t="s">
        <v>387</v>
      </c>
      <c r="L25" s="16"/>
      <c r="M25" s="437" t="s">
        <v>370</v>
      </c>
      <c r="N25" s="432"/>
      <c r="O25" s="435">
        <f ca="1">(G25+G26)</f>
        <v>0</v>
      </c>
    </row>
    <row r="26" spans="1:15" ht="15" thickBot="1" x14ac:dyDescent="0.35">
      <c r="A26" s="441"/>
      <c r="B26" s="74" t="s">
        <v>46</v>
      </c>
      <c r="C26" s="74" t="s">
        <v>615</v>
      </c>
      <c r="D26" s="469"/>
      <c r="E26" s="123"/>
      <c r="F26" s="177" t="s">
        <v>44</v>
      </c>
      <c r="G26" s="75">
        <f ca="1">IF($C26="No Param",32,VLOOKUP($C26,INDIRECT(Config!$B$1),HLOOKUP(D$1,INDIRECT(Config!$E$1),2,FALSE),FALSE)*32)</f>
        <v>0</v>
      </c>
      <c r="H26" s="26" t="str">
        <f ca="1">IF(G26=0,"N/A","0x8004")</f>
        <v>N/A</v>
      </c>
      <c r="I26" s="26" t="s">
        <v>47</v>
      </c>
      <c r="J26" s="26" t="s">
        <v>48</v>
      </c>
      <c r="K26" s="26" t="s">
        <v>387</v>
      </c>
      <c r="L26" s="26"/>
      <c r="M26" s="433"/>
      <c r="N26" s="433"/>
      <c r="O26" s="436"/>
    </row>
    <row r="27" spans="1:15" ht="15" thickBot="1" x14ac:dyDescent="0.35">
      <c r="A27" s="124"/>
    </row>
    <row r="28" spans="1:15" x14ac:dyDescent="0.3">
      <c r="A28" s="42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31" t="s">
        <v>48</v>
      </c>
      <c r="O28" s="434">
        <f ca="1">SUM(G28:G42)</f>
        <v>0</v>
      </c>
    </row>
    <row r="29" spans="1:15" ht="15" customHeight="1" x14ac:dyDescent="0.3">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3">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3">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3">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3">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3">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3">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3">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3">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3">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3">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3">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3">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 thickBot="1" x14ac:dyDescent="0.35">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8" priority="286" operator="equal">
      <formula>0</formula>
    </cfRule>
  </conditionalFormatting>
  <conditionalFormatting sqref="J28">
    <cfRule type="cellIs" dxfId="197" priority="302" operator="equal">
      <formula>0</formula>
    </cfRule>
  </conditionalFormatting>
  <conditionalFormatting sqref="C3">
    <cfRule type="cellIs" dxfId="196" priority="288" operator="equal">
      <formula>0</formula>
    </cfRule>
  </conditionalFormatting>
  <conditionalFormatting sqref="C4">
    <cfRule type="cellIs" dxfId="195" priority="287" operator="equal">
      <formula>0</formula>
    </cfRule>
  </conditionalFormatting>
  <conditionalFormatting sqref="B3 D3 G14:G26">
    <cfRule type="cellIs" dxfId="194" priority="299" operator="equal">
      <formula>0</formula>
    </cfRule>
  </conditionalFormatting>
  <conditionalFormatting sqref="B4 D4">
    <cfRule type="cellIs" dxfId="193" priority="298" operator="equal">
      <formula>0</formula>
    </cfRule>
  </conditionalFormatting>
  <conditionalFormatting sqref="B5 D5">
    <cfRule type="cellIs" dxfId="192" priority="297" operator="equal">
      <formula>0</formula>
    </cfRule>
  </conditionalFormatting>
  <conditionalFormatting sqref="B7">
    <cfRule type="cellIs" dxfId="191" priority="296" operator="equal">
      <formula>0</formula>
    </cfRule>
  </conditionalFormatting>
  <conditionalFormatting sqref="B8 D8">
    <cfRule type="cellIs" priority="295" operator="equal">
      <formula>0</formula>
    </cfRule>
  </conditionalFormatting>
  <conditionalFormatting sqref="B9 D9">
    <cfRule type="cellIs" dxfId="190" priority="294" operator="equal">
      <formula>0</formula>
    </cfRule>
  </conditionalFormatting>
  <conditionalFormatting sqref="B10 D10">
    <cfRule type="cellIs" dxfId="189" priority="292" operator="equal">
      <formula>0</formula>
    </cfRule>
    <cfRule type="cellIs" dxfId="188" priority="293" operator="equal">
      <formula>0</formula>
    </cfRule>
  </conditionalFormatting>
  <conditionalFormatting sqref="L3:L4">
    <cfRule type="cellIs" dxfId="187" priority="291" operator="equal">
      <formula>0</formula>
    </cfRule>
  </conditionalFormatting>
  <conditionalFormatting sqref="B6 D6">
    <cfRule type="cellIs" dxfId="186" priority="290" operator="equal">
      <formula>0</formula>
    </cfRule>
  </conditionalFormatting>
  <conditionalFormatting sqref="D7">
    <cfRule type="cellIs" dxfId="185" priority="289" operator="equal">
      <formula>0</formula>
    </cfRule>
  </conditionalFormatting>
  <conditionalFormatting sqref="C7">
    <cfRule type="cellIs" dxfId="184" priority="285" operator="equal">
      <formula>0</formula>
    </cfRule>
  </conditionalFormatting>
  <conditionalFormatting sqref="C8">
    <cfRule type="cellIs" priority="284" operator="equal">
      <formula>0</formula>
    </cfRule>
  </conditionalFormatting>
  <conditionalFormatting sqref="C9">
    <cfRule type="cellIs" dxfId="183" priority="283" operator="equal">
      <formula>0</formula>
    </cfRule>
  </conditionalFormatting>
  <conditionalFormatting sqref="C10">
    <cfRule type="cellIs" dxfId="182" priority="281" operator="equal">
      <formula>0</formula>
    </cfRule>
    <cfRule type="cellIs" dxfId="181" priority="282" operator="equal">
      <formula>0</formula>
    </cfRule>
  </conditionalFormatting>
  <conditionalFormatting sqref="C6">
    <cfRule type="cellIs" dxfId="180" priority="280" operator="equal">
      <formula>0</formula>
    </cfRule>
  </conditionalFormatting>
  <conditionalFormatting sqref="G31">
    <cfRule type="cellIs" dxfId="179" priority="204" operator="equal">
      <formula>0</formula>
    </cfRule>
  </conditionalFormatting>
  <conditionalFormatting sqref="G30">
    <cfRule type="cellIs" dxfId="178" priority="203" operator="equal">
      <formula>0</formula>
    </cfRule>
  </conditionalFormatting>
  <conditionalFormatting sqref="G39">
    <cfRule type="cellIs" dxfId="177" priority="202" operator="equal">
      <formula>0</formula>
    </cfRule>
  </conditionalFormatting>
  <conditionalFormatting sqref="G32">
    <cfRule type="cellIs" dxfId="176" priority="209" operator="equal">
      <formula>0</formula>
    </cfRule>
  </conditionalFormatting>
  <conditionalFormatting sqref="G41">
    <cfRule type="cellIs" dxfId="175" priority="201" operator="equal">
      <formula>0</formula>
    </cfRule>
  </conditionalFormatting>
  <conditionalFormatting sqref="G40">
    <cfRule type="cellIs" dxfId="174" priority="200" operator="equal">
      <formula>0</formula>
    </cfRule>
  </conditionalFormatting>
  <conditionalFormatting sqref="L5">
    <cfRule type="cellIs" dxfId="173" priority="248" operator="equal">
      <formula>0</formula>
    </cfRule>
  </conditionalFormatting>
  <conditionalFormatting sqref="L6">
    <cfRule type="cellIs" dxfId="172" priority="247" operator="equal">
      <formula>0</formula>
    </cfRule>
  </conditionalFormatting>
  <conditionalFormatting sqref="L7">
    <cfRule type="cellIs" dxfId="171" priority="246" operator="equal">
      <formula>0</formula>
    </cfRule>
  </conditionalFormatting>
  <conditionalFormatting sqref="L8:L9">
    <cfRule type="cellIs" dxfId="170" priority="245" operator="equal">
      <formula>0</formula>
    </cfRule>
  </conditionalFormatting>
  <conditionalFormatting sqref="L32">
    <cfRule type="cellIs" dxfId="169" priority="241" operator="equal">
      <formula>0</formula>
    </cfRule>
  </conditionalFormatting>
  <conditionalFormatting sqref="L31">
    <cfRule type="cellIs" dxfId="168" priority="240" operator="equal">
      <formula>0</formula>
    </cfRule>
  </conditionalFormatting>
  <conditionalFormatting sqref="L30">
    <cfRule type="cellIs" dxfId="167" priority="239" operator="equal">
      <formula>0</formula>
    </cfRule>
  </conditionalFormatting>
  <conditionalFormatting sqref="L29">
    <cfRule type="cellIs" dxfId="166" priority="238" operator="equal">
      <formula>0</formula>
    </cfRule>
  </conditionalFormatting>
  <conditionalFormatting sqref="L37">
    <cfRule type="cellIs" dxfId="165" priority="237" operator="equal">
      <formula>0</formula>
    </cfRule>
  </conditionalFormatting>
  <conditionalFormatting sqref="L36">
    <cfRule type="cellIs" dxfId="164" priority="236" operator="equal">
      <formula>0</formula>
    </cfRule>
  </conditionalFormatting>
  <conditionalFormatting sqref="L35">
    <cfRule type="cellIs" dxfId="163" priority="235" operator="equal">
      <formula>0</formula>
    </cfRule>
  </conditionalFormatting>
  <conditionalFormatting sqref="L34">
    <cfRule type="cellIs" dxfId="162" priority="234" operator="equal">
      <formula>0</formula>
    </cfRule>
  </conditionalFormatting>
  <conditionalFormatting sqref="L42">
    <cfRule type="cellIs" dxfId="161" priority="233" operator="equal">
      <formula>0</formula>
    </cfRule>
  </conditionalFormatting>
  <conditionalFormatting sqref="L41">
    <cfRule type="cellIs" dxfId="160" priority="232" operator="equal">
      <formula>0</formula>
    </cfRule>
  </conditionalFormatting>
  <conditionalFormatting sqref="L40">
    <cfRule type="cellIs" dxfId="159" priority="231" operator="equal">
      <formula>0</formula>
    </cfRule>
  </conditionalFormatting>
  <conditionalFormatting sqref="L39">
    <cfRule type="cellIs" dxfId="158" priority="230" operator="equal">
      <formula>0</formula>
    </cfRule>
  </conditionalFormatting>
  <conditionalFormatting sqref="L14">
    <cfRule type="cellIs" dxfId="157" priority="229" operator="equal">
      <formula>0</formula>
    </cfRule>
  </conditionalFormatting>
  <conditionalFormatting sqref="L15">
    <cfRule type="cellIs" dxfId="156" priority="228" operator="equal">
      <formula>0</formula>
    </cfRule>
  </conditionalFormatting>
  <conditionalFormatting sqref="L16">
    <cfRule type="cellIs" dxfId="155" priority="227" operator="equal">
      <formula>0</formula>
    </cfRule>
  </conditionalFormatting>
  <conditionalFormatting sqref="L17">
    <cfRule type="cellIs" dxfId="154" priority="226" operator="equal">
      <formula>0</formula>
    </cfRule>
  </conditionalFormatting>
  <conditionalFormatting sqref="L18">
    <cfRule type="cellIs" dxfId="153" priority="225" operator="equal">
      <formula>0</formula>
    </cfRule>
  </conditionalFormatting>
  <conditionalFormatting sqref="L19">
    <cfRule type="cellIs" dxfId="152" priority="224" operator="equal">
      <formula>0</formula>
    </cfRule>
  </conditionalFormatting>
  <conditionalFormatting sqref="L20">
    <cfRule type="cellIs" dxfId="151" priority="223" operator="equal">
      <formula>0</formula>
    </cfRule>
  </conditionalFormatting>
  <conditionalFormatting sqref="L21">
    <cfRule type="cellIs" dxfId="150" priority="222" operator="equal">
      <formula>0</formula>
    </cfRule>
  </conditionalFormatting>
  <conditionalFormatting sqref="L22">
    <cfRule type="cellIs" dxfId="149" priority="221" operator="equal">
      <formula>0</formula>
    </cfRule>
  </conditionalFormatting>
  <conditionalFormatting sqref="L23">
    <cfRule type="cellIs" dxfId="148" priority="220" operator="equal">
      <formula>0</formula>
    </cfRule>
  </conditionalFormatting>
  <conditionalFormatting sqref="L24">
    <cfRule type="cellIs" dxfId="147" priority="219" operator="equal">
      <formula>0</formula>
    </cfRule>
  </conditionalFormatting>
  <conditionalFormatting sqref="G34">
    <cfRule type="cellIs" dxfId="146" priority="212" operator="equal">
      <formula>0</formula>
    </cfRule>
  </conditionalFormatting>
  <conditionalFormatting sqref="G36">
    <cfRule type="cellIs" dxfId="145" priority="211" operator="equal">
      <formula>0</formula>
    </cfRule>
  </conditionalFormatting>
  <conditionalFormatting sqref="G29">
    <cfRule type="cellIs" dxfId="144" priority="205" operator="equal">
      <formula>0</formula>
    </cfRule>
  </conditionalFormatting>
  <conditionalFormatting sqref="G33">
    <cfRule type="cellIs" dxfId="143" priority="208" operator="equal">
      <formula>0</formula>
    </cfRule>
  </conditionalFormatting>
  <conditionalFormatting sqref="G28">
    <cfRule type="cellIs" dxfId="142" priority="210" operator="equal">
      <formula>0</formula>
    </cfRule>
  </conditionalFormatting>
  <conditionalFormatting sqref="G38">
    <cfRule type="cellIs" dxfId="141" priority="207" operator="equal">
      <formula>0</formula>
    </cfRule>
  </conditionalFormatting>
  <conditionalFormatting sqref="G35">
    <cfRule type="cellIs" dxfId="140" priority="206" operator="equal">
      <formula>0</formula>
    </cfRule>
  </conditionalFormatting>
  <conditionalFormatting sqref="G37">
    <cfRule type="cellIs" dxfId="139" priority="199" operator="equal">
      <formula>0</formula>
    </cfRule>
  </conditionalFormatting>
  <conditionalFormatting sqref="G42">
    <cfRule type="cellIs" dxfId="138" priority="198" operator="equal">
      <formula>0</formula>
    </cfRule>
  </conditionalFormatting>
  <conditionalFormatting sqref="E10">
    <cfRule type="cellIs" priority="155" operator="equal">
      <formula>0</formula>
    </cfRule>
  </conditionalFormatting>
  <conditionalFormatting sqref="E4">
    <cfRule type="cellIs" dxfId="137" priority="168" operator="equal">
      <formula>0</formula>
    </cfRule>
  </conditionalFormatting>
  <conditionalFormatting sqref="E3">
    <cfRule type="cellIs" dxfId="136" priority="170" operator="equal">
      <formula>0</formula>
    </cfRule>
  </conditionalFormatting>
  <conditionalFormatting sqref="E3">
    <cfRule type="cellIs" priority="169" operator="equal">
      <formula>0</formula>
    </cfRule>
  </conditionalFormatting>
  <conditionalFormatting sqref="E5">
    <cfRule type="cellIs" dxfId="135" priority="166" operator="equal">
      <formula>0</formula>
    </cfRule>
  </conditionalFormatting>
  <conditionalFormatting sqref="E5">
    <cfRule type="cellIs" priority="165" operator="equal">
      <formula>0</formula>
    </cfRule>
  </conditionalFormatting>
  <conditionalFormatting sqref="E7">
    <cfRule type="cellIs" dxfId="134" priority="162" operator="equal">
      <formula>0</formula>
    </cfRule>
  </conditionalFormatting>
  <conditionalFormatting sqref="E7">
    <cfRule type="cellIs" priority="161" operator="equal">
      <formula>0</formula>
    </cfRule>
  </conditionalFormatting>
  <conditionalFormatting sqref="E9">
    <cfRule type="cellIs" dxfId="13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2" priority="164" operator="equal">
      <formula>0</formula>
    </cfRule>
  </conditionalFormatting>
  <conditionalFormatting sqref="E6">
    <cfRule type="cellIs" priority="163" operator="equal">
      <formula>0</formula>
    </cfRule>
  </conditionalFormatting>
  <conditionalFormatting sqref="E8">
    <cfRule type="cellIs" dxfId="131" priority="160" operator="equal">
      <formula>0</formula>
    </cfRule>
  </conditionalFormatting>
  <conditionalFormatting sqref="E8">
    <cfRule type="cellIs" priority="159" operator="equal">
      <formula>0</formula>
    </cfRule>
  </conditionalFormatting>
  <conditionalFormatting sqref="E10">
    <cfRule type="cellIs" dxfId="130" priority="156" operator="equal">
      <formula>0</formula>
    </cfRule>
  </conditionalFormatting>
  <conditionalFormatting sqref="G4:G10">
    <cfRule type="cellIs" dxfId="129" priority="122" operator="equal">
      <formula>0</formula>
    </cfRule>
  </conditionalFormatting>
  <conditionalFormatting sqref="F3 F7 F11 F15 F19 F23">
    <cfRule type="cellIs" dxfId="128" priority="121" operator="equal">
      <formula>0</formula>
    </cfRule>
  </conditionalFormatting>
  <conditionalFormatting sqref="F4 F8 F12 F16 F20 F24">
    <cfRule type="cellIs" dxfId="127" priority="120" operator="equal">
      <formula>0</formula>
    </cfRule>
  </conditionalFormatting>
  <conditionalFormatting sqref="H5">
    <cfRule type="cellIs" dxfId="126" priority="106" operator="equal">
      <formula>0</formula>
    </cfRule>
  </conditionalFormatting>
  <conditionalFormatting sqref="I7">
    <cfRule type="cellIs" dxfId="125" priority="109" operator="equal">
      <formula>0</formula>
    </cfRule>
  </conditionalFormatting>
  <conditionalFormatting sqref="F6 F10 F14 F18 F22">
    <cfRule type="cellIs" dxfId="124" priority="113" operator="equal">
      <formula>0</formula>
    </cfRule>
  </conditionalFormatting>
  <conditionalFormatting sqref="G3:I3">
    <cfRule type="cellIs" dxfId="123" priority="112" operator="equal">
      <formula>0</formula>
    </cfRule>
  </conditionalFormatting>
  <conditionalFormatting sqref="H4:I4">
    <cfRule type="cellIs" dxfId="122" priority="111" operator="equal">
      <formula>0</formula>
    </cfRule>
  </conditionalFormatting>
  <conditionalFormatting sqref="I6">
    <cfRule type="cellIs" dxfId="121" priority="107" operator="equal">
      <formula>0</formula>
    </cfRule>
  </conditionalFormatting>
  <conditionalFormatting sqref="H6">
    <cfRule type="cellIs" dxfId="120" priority="105" operator="equal">
      <formula>0</formula>
    </cfRule>
  </conditionalFormatting>
  <conditionalFormatting sqref="I9:I10">
    <cfRule type="cellIs" priority="101" operator="equal">
      <formula>0</formula>
    </cfRule>
  </conditionalFormatting>
  <conditionalFormatting sqref="F5 F9 F13 F17 F21">
    <cfRule type="cellIs" dxfId="119" priority="119" operator="equal">
      <formula>0</formula>
    </cfRule>
  </conditionalFormatting>
  <conditionalFormatting sqref="H9:H10">
    <cfRule type="cellIs" priority="117" operator="equal">
      <formula>0</formula>
    </cfRule>
  </conditionalFormatting>
  <conditionalFormatting sqref="H7">
    <cfRule type="cellIs" dxfId="118" priority="104" operator="equal">
      <formula>0</formula>
    </cfRule>
  </conditionalFormatting>
  <conditionalFormatting sqref="I5">
    <cfRule type="cellIs" dxfId="117" priority="110" operator="equal">
      <formula>0</formula>
    </cfRule>
  </conditionalFormatting>
  <conditionalFormatting sqref="H8:I8">
    <cfRule type="cellIs" priority="108" operator="equal">
      <formula>0</formula>
    </cfRule>
  </conditionalFormatting>
  <conditionalFormatting sqref="E11 G11">
    <cfRule type="cellIs" dxfId="116" priority="84" operator="equal">
      <formula>0</formula>
    </cfRule>
  </conditionalFormatting>
  <conditionalFormatting sqref="I11">
    <cfRule type="cellIs" priority="83" operator="equal">
      <formula>0</formula>
    </cfRule>
  </conditionalFormatting>
  <conditionalFormatting sqref="E13 G13">
    <cfRule type="cellIs" dxfId="11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2" priority="28" operator="equal">
      <formula>0</formula>
    </cfRule>
  </conditionalFormatting>
  <conditionalFormatting sqref="K26">
    <cfRule type="cellIs" dxfId="111" priority="27" operator="equal">
      <formula>0</formula>
    </cfRule>
  </conditionalFormatting>
  <conditionalFormatting sqref="J25">
    <cfRule type="cellIs" dxfId="110" priority="26" operator="equal">
      <formula>0</formula>
    </cfRule>
  </conditionalFormatting>
  <conditionalFormatting sqref="J26">
    <cfRule type="cellIs" dxfId="109" priority="25" operator="equal">
      <formula>0</formula>
    </cfRule>
  </conditionalFormatting>
  <conditionalFormatting sqref="K3:K4">
    <cfRule type="cellIs" dxfId="108" priority="24" operator="equal">
      <formula>0</formula>
    </cfRule>
  </conditionalFormatting>
  <conditionalFormatting sqref="K5">
    <cfRule type="cellIs" dxfId="107" priority="23" operator="equal">
      <formula>0</formula>
    </cfRule>
  </conditionalFormatting>
  <conditionalFormatting sqref="K6">
    <cfRule type="cellIs" dxfId="106" priority="22" operator="equal">
      <formula>0</formula>
    </cfRule>
  </conditionalFormatting>
  <conditionalFormatting sqref="K9">
    <cfRule type="cellIs" dxfId="105" priority="21" operator="equal">
      <formula>0</formula>
    </cfRule>
  </conditionalFormatting>
  <conditionalFormatting sqref="K10">
    <cfRule type="cellIs" dxfId="104" priority="20" operator="equal">
      <formula>0</formula>
    </cfRule>
  </conditionalFormatting>
  <conditionalFormatting sqref="K7">
    <cfRule type="cellIs" dxfId="103" priority="19" operator="equal">
      <formula>0</formula>
    </cfRule>
  </conditionalFormatting>
  <conditionalFormatting sqref="K8">
    <cfRule type="cellIs" dxfId="102" priority="18" operator="equal">
      <formula>0</formula>
    </cfRule>
  </conditionalFormatting>
  <conditionalFormatting sqref="K11">
    <cfRule type="cellIs" dxfId="101" priority="17" operator="equal">
      <formula>0</formula>
    </cfRule>
  </conditionalFormatting>
  <conditionalFormatting sqref="K13">
    <cfRule type="cellIs" dxfId="100" priority="16" operator="equal">
      <formula>0</formula>
    </cfRule>
  </conditionalFormatting>
  <conditionalFormatting sqref="K12">
    <cfRule type="cellIs" dxfId="99" priority="15" operator="equal">
      <formula>0</formula>
    </cfRule>
  </conditionalFormatting>
  <conditionalFormatting sqref="J3:J4">
    <cfRule type="cellIs" dxfId="98" priority="14" operator="equal">
      <formula>0</formula>
    </cfRule>
  </conditionalFormatting>
  <conditionalFormatting sqref="J5">
    <cfRule type="cellIs" dxfId="97" priority="13" operator="equal">
      <formula>0</formula>
    </cfRule>
  </conditionalFormatting>
  <conditionalFormatting sqref="J6">
    <cfRule type="cellIs" dxfId="96" priority="12" operator="equal">
      <formula>0</formula>
    </cfRule>
  </conditionalFormatting>
  <conditionalFormatting sqref="J9">
    <cfRule type="cellIs" dxfId="95" priority="11" operator="equal">
      <formula>0</formula>
    </cfRule>
  </conditionalFormatting>
  <conditionalFormatting sqref="J10">
    <cfRule type="cellIs" dxfId="94" priority="10" operator="equal">
      <formula>0</formula>
    </cfRule>
  </conditionalFormatting>
  <conditionalFormatting sqref="J7">
    <cfRule type="cellIs" dxfId="93" priority="9" operator="equal">
      <formula>0</formula>
    </cfRule>
  </conditionalFormatting>
  <conditionalFormatting sqref="J8">
    <cfRule type="cellIs" dxfId="92" priority="8" operator="equal">
      <formula>0</formula>
    </cfRule>
  </conditionalFormatting>
  <conditionalFormatting sqref="J11">
    <cfRule type="cellIs" dxfId="91" priority="7" operator="equal">
      <formula>0</formula>
    </cfRule>
  </conditionalFormatting>
  <conditionalFormatting sqref="J13">
    <cfRule type="cellIs" dxfId="90" priority="6" operator="equal">
      <formula>0</formula>
    </cfRule>
  </conditionalFormatting>
  <conditionalFormatting sqref="J12">
    <cfRule type="cellIs" dxfId="89" priority="5" operator="equal">
      <formula>0</formula>
    </cfRule>
  </conditionalFormatting>
  <conditionalFormatting sqref="L10">
    <cfRule type="cellIs" dxfId="88" priority="4" operator="equal">
      <formula>0</formula>
    </cfRule>
  </conditionalFormatting>
  <conditionalFormatting sqref="L11">
    <cfRule type="cellIs" dxfId="87" priority="3" operator="equal">
      <formula>0</formula>
    </cfRule>
  </conditionalFormatting>
  <conditionalFormatting sqref="L12">
    <cfRule type="cellIs" dxfId="86" priority="2" operator="equal">
      <formula>0</formula>
    </cfRule>
  </conditionalFormatting>
  <conditionalFormatting sqref="L13">
    <cfRule type="cellIs" dxfId="8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2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31" t="s">
        <v>48</v>
      </c>
      <c r="O3" s="434">
        <f ca="1">SUM(F3:F17)</f>
        <v>576</v>
      </c>
    </row>
    <row r="4" spans="1:15" ht="15.45" customHeight="1" x14ac:dyDescent="0.3">
      <c r="A4" s="42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37" t="s">
        <v>369</v>
      </c>
      <c r="N4" s="432"/>
      <c r="O4" s="435"/>
    </row>
    <row r="5" spans="1:15" ht="15.45" customHeight="1" x14ac:dyDescent="0.3">
      <c r="A5" s="42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37"/>
      <c r="N5" s="432"/>
      <c r="O5" s="435"/>
    </row>
    <row r="6" spans="1:15" ht="15.45" customHeight="1" x14ac:dyDescent="0.3">
      <c r="A6" s="42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37"/>
      <c r="N6" s="432"/>
      <c r="O6" s="435"/>
    </row>
    <row r="7" spans="1:15" ht="15.45" customHeight="1" x14ac:dyDescent="0.3">
      <c r="A7" s="42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32"/>
      <c r="O7" s="435"/>
    </row>
    <row r="8" spans="1:15" ht="15.45" customHeight="1" x14ac:dyDescent="0.3">
      <c r="A8" s="42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32"/>
      <c r="O8" s="435"/>
    </row>
    <row r="9" spans="1:15" ht="15.45" customHeight="1" x14ac:dyDescent="0.3">
      <c r="A9" s="42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37" t="s">
        <v>369</v>
      </c>
      <c r="N9" s="432"/>
      <c r="O9" s="435"/>
    </row>
    <row r="10" spans="1:15" ht="15.45" customHeight="1" x14ac:dyDescent="0.3">
      <c r="A10" s="42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37"/>
      <c r="N10" s="432"/>
      <c r="O10" s="435"/>
    </row>
    <row r="11" spans="1:15" ht="15.45" customHeight="1" x14ac:dyDescent="0.3">
      <c r="A11" s="42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37"/>
      <c r="N11" s="432"/>
      <c r="O11" s="435"/>
    </row>
    <row r="12" spans="1:15" ht="15.45" customHeight="1" x14ac:dyDescent="0.3">
      <c r="A12" s="42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32"/>
      <c r="O12" s="435"/>
    </row>
    <row r="13" spans="1:15" ht="15.45" customHeight="1" x14ac:dyDescent="0.3">
      <c r="A13" s="42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32"/>
      <c r="O13" s="435"/>
    </row>
    <row r="14" spans="1:15" ht="15.45" customHeight="1" x14ac:dyDescent="0.3">
      <c r="A14" s="42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37" t="s">
        <v>369</v>
      </c>
      <c r="N14" s="432"/>
      <c r="O14" s="435"/>
    </row>
    <row r="15" spans="1:15" ht="15.45" customHeight="1" x14ac:dyDescent="0.3">
      <c r="A15" s="42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37"/>
      <c r="N15" s="432"/>
      <c r="O15" s="435"/>
    </row>
    <row r="16" spans="1:15" ht="15.45" customHeight="1" x14ac:dyDescent="0.3">
      <c r="A16" s="42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37"/>
      <c r="N16" s="432"/>
      <c r="O16" s="435"/>
    </row>
    <row r="17" spans="1:15" ht="15.45" customHeight="1" thickBot="1" x14ac:dyDescent="0.35">
      <c r="A17" s="43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33"/>
      <c r="O17" s="43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4" priority="138" operator="equal">
      <formula>0</formula>
    </cfRule>
  </conditionalFormatting>
  <conditionalFormatting sqref="K7">
    <cfRule type="cellIs" dxfId="83" priority="75" operator="equal">
      <formula>0</formula>
    </cfRule>
  </conditionalFormatting>
  <conditionalFormatting sqref="K6">
    <cfRule type="cellIs" dxfId="82" priority="74" operator="equal">
      <formula>0</formula>
    </cfRule>
  </conditionalFormatting>
  <conditionalFormatting sqref="K5">
    <cfRule type="cellIs" dxfId="81" priority="73" operator="equal">
      <formula>0</formula>
    </cfRule>
  </conditionalFormatting>
  <conditionalFormatting sqref="K4">
    <cfRule type="cellIs" dxfId="80" priority="72" operator="equal">
      <formula>0</formula>
    </cfRule>
  </conditionalFormatting>
  <conditionalFormatting sqref="K12">
    <cfRule type="cellIs" dxfId="79" priority="71" operator="equal">
      <formula>0</formula>
    </cfRule>
  </conditionalFormatting>
  <conditionalFormatting sqref="K11">
    <cfRule type="cellIs" dxfId="78" priority="70" operator="equal">
      <formula>0</formula>
    </cfRule>
  </conditionalFormatting>
  <conditionalFormatting sqref="K10">
    <cfRule type="cellIs" dxfId="77" priority="69" operator="equal">
      <formula>0</formula>
    </cfRule>
  </conditionalFormatting>
  <conditionalFormatting sqref="K9">
    <cfRule type="cellIs" dxfId="76" priority="68" operator="equal">
      <formula>0</formula>
    </cfRule>
  </conditionalFormatting>
  <conditionalFormatting sqref="K17">
    <cfRule type="cellIs" dxfId="75" priority="67" operator="equal">
      <formula>0</formula>
    </cfRule>
  </conditionalFormatting>
  <conditionalFormatting sqref="K16">
    <cfRule type="cellIs" dxfId="74" priority="66" operator="equal">
      <formula>0</formula>
    </cfRule>
  </conditionalFormatting>
  <conditionalFormatting sqref="K15">
    <cfRule type="cellIs" dxfId="73" priority="65" operator="equal">
      <formula>0</formula>
    </cfRule>
  </conditionalFormatting>
  <conditionalFormatting sqref="K14">
    <cfRule type="cellIs" dxfId="72" priority="64" operator="equal">
      <formula>0</formula>
    </cfRule>
  </conditionalFormatting>
  <conditionalFormatting sqref="L7:L8 L12 L3:L5">
    <cfRule type="cellIs" dxfId="71" priority="42" operator="equal">
      <formula>0</formula>
    </cfRule>
  </conditionalFormatting>
  <conditionalFormatting sqref="L6">
    <cfRule type="cellIs" dxfId="70" priority="41" operator="equal">
      <formula>0</formula>
    </cfRule>
  </conditionalFormatting>
  <conditionalFormatting sqref="L13">
    <cfRule type="cellIs" dxfId="69" priority="34" operator="equal">
      <formula>0</formula>
    </cfRule>
  </conditionalFormatting>
  <conditionalFormatting sqref="L9">
    <cfRule type="cellIs" dxfId="68" priority="39" operator="equal">
      <formula>0</formula>
    </cfRule>
  </conditionalFormatting>
  <conditionalFormatting sqref="L11">
    <cfRule type="cellIs" dxfId="67" priority="38" operator="equal">
      <formula>0</formula>
    </cfRule>
  </conditionalFormatting>
  <conditionalFormatting sqref="L16">
    <cfRule type="cellIs" dxfId="66" priority="36" operator="equal">
      <formula>0</formula>
    </cfRule>
  </conditionalFormatting>
  <conditionalFormatting sqref="F9">
    <cfRule type="cellIs" dxfId="65" priority="18" operator="equal">
      <formula>0</formula>
    </cfRule>
  </conditionalFormatting>
  <conditionalFormatting sqref="F11">
    <cfRule type="cellIs" dxfId="64" priority="17" operator="equal">
      <formula>0</formula>
    </cfRule>
  </conditionalFormatting>
  <conditionalFormatting sqref="F4">
    <cfRule type="cellIs" dxfId="63" priority="11" operator="equal">
      <formula>0</formula>
    </cfRule>
  </conditionalFormatting>
  <conditionalFormatting sqref="F7">
    <cfRule type="cellIs" dxfId="62" priority="15" operator="equal">
      <formula>0</formula>
    </cfRule>
  </conditionalFormatting>
  <conditionalFormatting sqref="F8">
    <cfRule type="cellIs" dxfId="61" priority="14" operator="equal">
      <formula>0</formula>
    </cfRule>
  </conditionalFormatting>
  <conditionalFormatting sqref="F3">
    <cfRule type="cellIs" dxfId="60" priority="16" operator="equal">
      <formula>0</formula>
    </cfRule>
  </conditionalFormatting>
  <conditionalFormatting sqref="F13">
    <cfRule type="cellIs" dxfId="59" priority="13" operator="equal">
      <formula>0</formula>
    </cfRule>
  </conditionalFormatting>
  <conditionalFormatting sqref="F10">
    <cfRule type="cellIs" dxfId="58" priority="12" operator="equal">
      <formula>0</formula>
    </cfRule>
  </conditionalFormatting>
  <conditionalFormatting sqref="F6">
    <cfRule type="cellIs" dxfId="57" priority="10" operator="equal">
      <formula>0</formula>
    </cfRule>
  </conditionalFormatting>
  <conditionalFormatting sqref="F5">
    <cfRule type="cellIs" dxfId="56" priority="9" operator="equal">
      <formula>0</formula>
    </cfRule>
  </conditionalFormatting>
  <conditionalFormatting sqref="F14">
    <cfRule type="cellIs" dxfId="55" priority="8" operator="equal">
      <formula>0</formula>
    </cfRule>
  </conditionalFormatting>
  <conditionalFormatting sqref="F16">
    <cfRule type="cellIs" dxfId="54" priority="7" operator="equal">
      <formula>0</formula>
    </cfRule>
  </conditionalFormatting>
  <conditionalFormatting sqref="F15">
    <cfRule type="cellIs" dxfId="53" priority="6" operator="equal">
      <formula>0</formula>
    </cfRule>
  </conditionalFormatting>
  <conditionalFormatting sqref="F12">
    <cfRule type="cellIs" dxfId="52" priority="5" operator="equal">
      <formula>0</formula>
    </cfRule>
  </conditionalFormatting>
  <conditionalFormatting sqref="F17">
    <cfRule type="cellIs" dxfId="51" priority="4" operator="equal">
      <formula>0</formula>
    </cfRule>
  </conditionalFormatting>
  <conditionalFormatting sqref="L14">
    <cfRule type="cellIs" dxfId="50" priority="3" operator="equal">
      <formula>0</formula>
    </cfRule>
  </conditionalFormatting>
  <conditionalFormatting sqref="L10">
    <cfRule type="cellIs" dxfId="49" priority="2" operator="equal">
      <formula>0</formula>
    </cfRule>
  </conditionalFormatting>
  <conditionalFormatting sqref="L15">
    <cfRule type="cellIs" dxfId="4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77" workbookViewId="0">
      <selection activeCell="G90" sqref="G9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47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47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47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47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47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47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47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47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47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47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47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47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47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47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47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47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47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47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47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47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47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47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47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47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47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47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47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47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47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47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47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47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47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47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3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3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3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3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3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3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3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3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3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3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3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3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3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3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3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3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3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3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3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3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3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3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3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3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3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3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3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3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3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3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3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3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3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3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3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3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3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3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3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3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3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3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3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3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3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3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3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3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3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3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3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3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3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3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4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47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4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4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47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47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4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3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3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47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4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47" t="s">
        <v>38</v>
      </c>
      <c r="B104" s="4" t="s">
        <v>613</v>
      </c>
      <c r="C104" s="203">
        <v>0</v>
      </c>
      <c r="D104" s="203">
        <v>16</v>
      </c>
      <c r="E104" s="242" t="s">
        <v>262</v>
      </c>
      <c r="F104" s="203" t="s">
        <v>262</v>
      </c>
      <c r="G104" s="47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473"/>
      <c r="B105" s="4" t="s">
        <v>613</v>
      </c>
      <c r="C105" s="203">
        <v>16</v>
      </c>
      <c r="D105" s="203">
        <v>8</v>
      </c>
      <c r="E105" s="242" t="s">
        <v>263</v>
      </c>
      <c r="F105" s="203" t="s">
        <v>263</v>
      </c>
      <c r="G105" s="47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473"/>
      <c r="B106" s="4" t="s">
        <v>613</v>
      </c>
      <c r="C106" s="203">
        <v>24</v>
      </c>
      <c r="D106" s="203">
        <v>4</v>
      </c>
      <c r="E106" s="242" t="s">
        <v>264</v>
      </c>
      <c r="F106" s="203" t="s">
        <v>264</v>
      </c>
      <c r="G106" s="47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46"/>
      <c r="B107" s="4" t="s">
        <v>613</v>
      </c>
      <c r="C107" s="203">
        <v>28</v>
      </c>
      <c r="D107" s="203">
        <v>4</v>
      </c>
      <c r="E107" s="242" t="s">
        <v>265</v>
      </c>
      <c r="F107" s="203" t="s">
        <v>265</v>
      </c>
      <c r="G107" s="47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4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47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4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4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4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4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47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4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4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4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4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47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4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4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4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7" priority="6" operator="equal">
      <formula>"N/A"</formula>
    </cfRule>
  </conditionalFormatting>
  <conditionalFormatting sqref="P119:R119">
    <cfRule type="cellIs" dxfId="46" priority="5" operator="equal">
      <formula>"N/A"</formula>
    </cfRule>
  </conditionalFormatting>
  <conditionalFormatting sqref="P121:R121">
    <cfRule type="cellIs" dxfId="45" priority="4" operator="equal">
      <formula>"N/A"</formula>
    </cfRule>
  </conditionalFormatting>
  <conditionalFormatting sqref="P84:R84">
    <cfRule type="cellIs" dxfId="44" priority="3" operator="equal">
      <formula>"N/A"</formula>
    </cfRule>
  </conditionalFormatting>
  <conditionalFormatting sqref="P64:R64">
    <cfRule type="cellIs" dxfId="43" priority="2" operator="equal">
      <formula>"N/A"</formula>
    </cfRule>
  </conditionalFormatting>
  <conditionalFormatting sqref="P65:R65">
    <cfRule type="cellIs" dxfId="42"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58" workbookViewId="0">
      <selection activeCell="E89" sqref="E89"/>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3.4414062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47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47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47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47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47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47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47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47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47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47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47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47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47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47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47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47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47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47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47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47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47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47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47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47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47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47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47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47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47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47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47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47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47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47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3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3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3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3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3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3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3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3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3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3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3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3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3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3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3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3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3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3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3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3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3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3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3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3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3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3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3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3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3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3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3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3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3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3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3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3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3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3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3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3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3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3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3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3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3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3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3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3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3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3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3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3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3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3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4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47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4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4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47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47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4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3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3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47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4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47" t="s">
        <v>38</v>
      </c>
      <c r="B104" s="4" t="s">
        <v>613</v>
      </c>
      <c r="C104" s="203">
        <v>0</v>
      </c>
      <c r="D104" s="203">
        <v>16</v>
      </c>
      <c r="E104" s="203" t="s">
        <v>262</v>
      </c>
      <c r="F104" s="47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473"/>
      <c r="B105" s="4" t="s">
        <v>613</v>
      </c>
      <c r="C105" s="203">
        <v>16</v>
      </c>
      <c r="D105" s="203">
        <v>8</v>
      </c>
      <c r="E105" s="203" t="s">
        <v>263</v>
      </c>
      <c r="F105" s="47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473"/>
      <c r="B106" s="4" t="s">
        <v>613</v>
      </c>
      <c r="C106" s="203">
        <v>24</v>
      </c>
      <c r="D106" s="203">
        <v>4</v>
      </c>
      <c r="E106" s="203" t="s">
        <v>264</v>
      </c>
      <c r="F106" s="47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46"/>
      <c r="B107" s="4" t="s">
        <v>613</v>
      </c>
      <c r="C107" s="203">
        <v>28</v>
      </c>
      <c r="D107" s="203">
        <v>4</v>
      </c>
      <c r="E107" s="203" t="s">
        <v>265</v>
      </c>
      <c r="F107" s="47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4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47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4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4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4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4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47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4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4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4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4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47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4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4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4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1" priority="6" operator="equal">
      <formula>"N/A"</formula>
    </cfRule>
  </conditionalFormatting>
  <conditionalFormatting sqref="O119:Q119">
    <cfRule type="cellIs" dxfId="40" priority="5" operator="equal">
      <formula>"N/A"</formula>
    </cfRule>
  </conditionalFormatting>
  <conditionalFormatting sqref="O121:Q121">
    <cfRule type="cellIs" dxfId="39" priority="4" operator="equal">
      <formula>"N/A"</formula>
    </cfRule>
  </conditionalFormatting>
  <conditionalFormatting sqref="O84:Q84">
    <cfRule type="cellIs" dxfId="38" priority="3" operator="equal">
      <formula>"N/A"</formula>
    </cfRule>
  </conditionalFormatting>
  <conditionalFormatting sqref="O64:Q64">
    <cfRule type="cellIs" dxfId="37" priority="2" operator="equal">
      <formula>"N/A"</formula>
    </cfRule>
  </conditionalFormatting>
  <conditionalFormatting sqref="O65:Q65">
    <cfRule type="cellIs" dxfId="36"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48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75" t="s">
        <v>367</v>
      </c>
      <c r="M3" s="477" t="s">
        <v>14</v>
      </c>
    </row>
    <row r="4" spans="1:13" x14ac:dyDescent="0.3">
      <c r="A4" s="45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53"/>
      <c r="M4" s="478"/>
    </row>
    <row r="5" spans="1:13" x14ac:dyDescent="0.3">
      <c r="A5" s="45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53"/>
      <c r="M5" s="478"/>
    </row>
    <row r="6" spans="1:13" s="15" customFormat="1" x14ac:dyDescent="0.3">
      <c r="A6" s="45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57"/>
      <c r="M6" s="479"/>
    </row>
    <row r="7" spans="1:13" ht="15" thickBot="1" x14ac:dyDescent="0.35">
      <c r="A7" s="47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76"/>
      <c r="M7" s="480"/>
    </row>
    <row r="8" spans="1:13" ht="14.55" customHeight="1" x14ac:dyDescent="0.3">
      <c r="A8" s="45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483" t="s">
        <v>368</v>
      </c>
      <c r="M8" s="486" t="s">
        <v>20</v>
      </c>
    </row>
    <row r="9" spans="1:13" x14ac:dyDescent="0.3">
      <c r="A9" s="45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484"/>
      <c r="M9" s="487"/>
    </row>
    <row r="10" spans="1:13" x14ac:dyDescent="0.3">
      <c r="A10" s="45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484"/>
      <c r="M10" s="487"/>
    </row>
    <row r="11" spans="1:13" s="15" customFormat="1" x14ac:dyDescent="0.3">
      <c r="A11" s="45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484"/>
      <c r="M11" s="487"/>
    </row>
    <row r="12" spans="1:13" ht="15.45" customHeight="1" x14ac:dyDescent="0.3">
      <c r="A12" s="45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484"/>
      <c r="M12" s="487"/>
    </row>
    <row r="13" spans="1:13" s="15" customFormat="1" ht="14.55" customHeight="1" thickBot="1" x14ac:dyDescent="0.35">
      <c r="A13" s="48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485"/>
      <c r="M13" s="488"/>
    </row>
  </sheetData>
  <mergeCells count="6">
    <mergeCell ref="L3:L7"/>
    <mergeCell ref="M3:M7"/>
    <mergeCell ref="A3:A7"/>
    <mergeCell ref="A8:A13"/>
    <mergeCell ref="L8:L13"/>
    <mergeCell ref="M8:M13"/>
  </mergeCells>
  <conditionalFormatting sqref="J3:J5 G4:G7 J7:K7 K3:K6 E3:E7">
    <cfRule type="cellIs" dxfId="35" priority="124" operator="equal">
      <formula>0</formula>
    </cfRule>
  </conditionalFormatting>
  <conditionalFormatting sqref="B6 D6:F6">
    <cfRule type="cellIs" dxfId="34" priority="76" operator="equal">
      <formula>0</formula>
    </cfRule>
  </conditionalFormatting>
  <conditionalFormatting sqref="B3 D3:F3">
    <cfRule type="cellIs" dxfId="33" priority="84" operator="equal">
      <formula>0</formula>
    </cfRule>
  </conditionalFormatting>
  <conditionalFormatting sqref="B4 D4:F4">
    <cfRule type="cellIs" dxfId="32" priority="83" operator="equal">
      <formula>0</formula>
    </cfRule>
  </conditionalFormatting>
  <conditionalFormatting sqref="B5 D5:F5">
    <cfRule type="cellIs" dxfId="31" priority="82" operator="equal">
      <formula>0</formula>
    </cfRule>
  </conditionalFormatting>
  <conditionalFormatting sqref="B7 F7">
    <cfRule type="cellIs" dxfId="30" priority="81" operator="equal">
      <formula>0</formula>
    </cfRule>
  </conditionalFormatting>
  <conditionalFormatting sqref="J6">
    <cfRule type="cellIs" dxfId="29" priority="93" operator="equal">
      <formula>0</formula>
    </cfRule>
  </conditionalFormatting>
  <conditionalFormatting sqref="G3:I3">
    <cfRule type="cellIs" dxfId="28" priority="65" operator="equal">
      <formula>0</formula>
    </cfRule>
  </conditionalFormatting>
  <conditionalFormatting sqref="D7:E7">
    <cfRule type="cellIs" dxfId="27" priority="75" operator="equal">
      <formula>0</formula>
    </cfRule>
  </conditionalFormatting>
  <conditionalFormatting sqref="C3">
    <cfRule type="cellIs" dxfId="26" priority="50" operator="equal">
      <formula>0</formula>
    </cfRule>
  </conditionalFormatting>
  <conditionalFormatting sqref="H7">
    <cfRule type="cellIs" dxfId="25" priority="54" operator="equal">
      <formula>0</formula>
    </cfRule>
  </conditionalFormatting>
  <conditionalFormatting sqref="C4">
    <cfRule type="cellIs" dxfId="24" priority="49" operator="equal">
      <formula>0</formula>
    </cfRule>
  </conditionalFormatting>
  <conditionalFormatting sqref="I6">
    <cfRule type="cellIs" dxfId="23" priority="57" operator="equal">
      <formula>0</formula>
    </cfRule>
  </conditionalFormatting>
  <conditionalFormatting sqref="H5">
    <cfRule type="cellIs" dxfId="22" priority="56" operator="equal">
      <formula>0</formula>
    </cfRule>
  </conditionalFormatting>
  <conditionalFormatting sqref="H4:I4">
    <cfRule type="cellIs" dxfId="21" priority="64" operator="equal">
      <formula>0</formula>
    </cfRule>
  </conditionalFormatting>
  <conditionalFormatting sqref="I5">
    <cfRule type="cellIs" dxfId="20" priority="63" operator="equal">
      <formula>0</formula>
    </cfRule>
  </conditionalFormatting>
  <conditionalFormatting sqref="I7">
    <cfRule type="cellIs" dxfId="19" priority="62" operator="equal">
      <formula>0</formula>
    </cfRule>
  </conditionalFormatting>
  <conditionalFormatting sqref="H6">
    <cfRule type="cellIs" dxfId="18" priority="55" operator="equal">
      <formula>0</formula>
    </cfRule>
  </conditionalFormatting>
  <conditionalFormatting sqref="C5">
    <cfRule type="cellIs" dxfId="17" priority="48" operator="equal">
      <formula>0</formula>
    </cfRule>
  </conditionalFormatting>
  <conditionalFormatting sqref="C7">
    <cfRule type="cellIs" dxfId="16" priority="47" operator="equal">
      <formula>0</formula>
    </cfRule>
  </conditionalFormatting>
  <conditionalFormatting sqref="C6">
    <cfRule type="cellIs" dxfId="15" priority="42" operator="equal">
      <formula>0</formula>
    </cfRule>
  </conditionalFormatting>
  <conditionalFormatting sqref="G8:G10 J8:K10 E8:E10">
    <cfRule type="cellIs" dxfId="14" priority="25" operator="equal">
      <formula>0</formula>
    </cfRule>
  </conditionalFormatting>
  <conditionalFormatting sqref="B9 D9:F9">
    <cfRule type="cellIs" dxfId="13" priority="23" operator="equal">
      <formula>0</formula>
    </cfRule>
  </conditionalFormatting>
  <conditionalFormatting sqref="B8 D8:F8 H9:H10">
    <cfRule type="cellIs" priority="24" operator="equal">
      <formula>0</formula>
    </cfRule>
  </conditionalFormatting>
  <conditionalFormatting sqref="B10 D10:F10">
    <cfRule type="cellIs" dxfId="12" priority="21" operator="equal">
      <formula>0</formula>
    </cfRule>
    <cfRule type="cellIs" dxfId="11" priority="22" operator="equal">
      <formula>0</formula>
    </cfRule>
  </conditionalFormatting>
  <conditionalFormatting sqref="C9">
    <cfRule type="cellIs" dxfId="10" priority="18" operator="equal">
      <formula>0</formula>
    </cfRule>
  </conditionalFormatting>
  <conditionalFormatting sqref="C8">
    <cfRule type="cellIs" priority="19" operator="equal">
      <formula>0</formula>
    </cfRule>
  </conditionalFormatting>
  <conditionalFormatting sqref="C10">
    <cfRule type="cellIs" dxfId="9" priority="16" operator="equal">
      <formula>0</formula>
    </cfRule>
    <cfRule type="cellIs" dxfId="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7" priority="14" operator="equal">
      <formula>0</formula>
    </cfRule>
  </conditionalFormatting>
  <conditionalFormatting sqref="I11">
    <cfRule type="cellIs" priority="13" operator="equal">
      <formula>0</formula>
    </cfRule>
  </conditionalFormatting>
  <conditionalFormatting sqref="K13 E13 G13">
    <cfRule type="cellIs" dxfId="6" priority="12" operator="equal">
      <formula>0</formula>
    </cfRule>
  </conditionalFormatting>
  <conditionalFormatting sqref="J13">
    <cfRule type="cellIs" dxfId="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4" priority="8" operator="equal">
      <formula>0</formula>
    </cfRule>
  </conditionalFormatting>
  <conditionalFormatting sqref="J12">
    <cfRule type="cellIs" dxfId="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4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48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48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48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48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48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48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48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48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48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48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48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48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48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48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48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48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48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48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48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48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48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48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48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48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48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48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48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48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48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48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49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4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47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47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47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47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47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47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47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47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47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47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7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7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7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7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7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7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47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7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7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47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7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7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7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47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7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7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7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7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7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7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4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491">
        <v>0</v>
      </c>
      <c r="B2" s="57" t="s">
        <v>577</v>
      </c>
      <c r="C2" s="16">
        <v>0</v>
      </c>
      <c r="D2" s="16"/>
      <c r="E2" s="58"/>
    </row>
    <row r="3" spans="1:5" x14ac:dyDescent="0.3">
      <c r="A3" s="491"/>
      <c r="B3" s="16" t="s">
        <v>578</v>
      </c>
      <c r="C3" s="16">
        <v>8</v>
      </c>
      <c r="D3" s="16"/>
      <c r="E3" s="58"/>
    </row>
    <row r="4" spans="1:5" x14ac:dyDescent="0.3">
      <c r="A4" s="491"/>
      <c r="B4" s="99" t="s">
        <v>584</v>
      </c>
      <c r="C4" s="99" t="s">
        <v>585</v>
      </c>
      <c r="D4" s="16"/>
      <c r="E4" s="58"/>
    </row>
    <row r="5" spans="1:5" x14ac:dyDescent="0.3">
      <c r="A5" s="491"/>
      <c r="B5" s="16" t="s">
        <v>586</v>
      </c>
      <c r="C5" s="16" t="s">
        <v>587</v>
      </c>
      <c r="D5" s="16"/>
      <c r="E5" s="58"/>
    </row>
    <row r="6" spans="1:5" x14ac:dyDescent="0.3">
      <c r="A6" s="491"/>
      <c r="B6" s="16" t="s">
        <v>588</v>
      </c>
      <c r="C6" s="16" t="s">
        <v>589</v>
      </c>
      <c r="D6" s="16"/>
      <c r="E6" s="58"/>
    </row>
    <row r="7" spans="1:5" x14ac:dyDescent="0.3">
      <c r="A7" s="491"/>
      <c r="B7" s="16" t="s">
        <v>590</v>
      </c>
      <c r="C7" s="16" t="s">
        <v>591</v>
      </c>
      <c r="D7" s="16"/>
      <c r="E7" s="58"/>
    </row>
    <row r="8" spans="1:5" ht="57.6" x14ac:dyDescent="0.3">
      <c r="A8" s="491">
        <v>1</v>
      </c>
      <c r="B8" s="98" t="s">
        <v>420</v>
      </c>
      <c r="C8" s="16">
        <v>11</v>
      </c>
      <c r="D8" s="16"/>
      <c r="E8" s="58" t="s">
        <v>595</v>
      </c>
    </row>
    <row r="9" spans="1:5" x14ac:dyDescent="0.3">
      <c r="A9" s="491"/>
      <c r="B9" s="98" t="s">
        <v>581</v>
      </c>
      <c r="C9" s="16">
        <v>0</v>
      </c>
      <c r="D9" s="16"/>
      <c r="E9" s="58" t="s">
        <v>599</v>
      </c>
    </row>
    <row r="10" spans="1:5" x14ac:dyDescent="0.3">
      <c r="A10" s="491"/>
      <c r="B10" s="98" t="s">
        <v>582</v>
      </c>
      <c r="C10" s="16">
        <v>0</v>
      </c>
      <c r="D10" s="16"/>
      <c r="E10" s="58" t="s">
        <v>386</v>
      </c>
    </row>
    <row r="11" spans="1:5" x14ac:dyDescent="0.3">
      <c r="A11" s="491"/>
      <c r="B11" s="98" t="s">
        <v>592</v>
      </c>
      <c r="C11" s="16">
        <v>7</v>
      </c>
      <c r="D11" s="16"/>
      <c r="E11" s="58"/>
    </row>
    <row r="12" spans="1:5" x14ac:dyDescent="0.3">
      <c r="A12" s="491"/>
      <c r="B12" s="98" t="s">
        <v>593</v>
      </c>
      <c r="C12" s="16" t="s">
        <v>594</v>
      </c>
      <c r="D12" s="16"/>
      <c r="E12" s="58"/>
    </row>
    <row r="13" spans="1:5" x14ac:dyDescent="0.3">
      <c r="A13" s="491"/>
      <c r="B13" s="16" t="s">
        <v>390</v>
      </c>
      <c r="C13" s="16"/>
      <c r="D13" s="16"/>
      <c r="E13" s="58"/>
    </row>
    <row r="14" spans="1:5" x14ac:dyDescent="0.3">
      <c r="A14" s="491"/>
      <c r="B14" s="16" t="s">
        <v>205</v>
      </c>
      <c r="C14" s="16"/>
      <c r="D14" s="16"/>
      <c r="E14" s="58"/>
    </row>
    <row r="15" spans="1:5" x14ac:dyDescent="0.3">
      <c r="A15" s="491"/>
      <c r="B15" s="16" t="s">
        <v>579</v>
      </c>
      <c r="C15" s="16" t="s">
        <v>580</v>
      </c>
      <c r="D15" s="16"/>
      <c r="E15" s="58"/>
    </row>
    <row r="16" spans="1:5" x14ac:dyDescent="0.3">
      <c r="A16" s="491"/>
      <c r="B16" s="16" t="s">
        <v>598</v>
      </c>
      <c r="C16" s="16"/>
      <c r="D16" s="16"/>
      <c r="E16" s="58"/>
    </row>
    <row r="17" spans="1:5" x14ac:dyDescent="0.3">
      <c r="A17" s="491">
        <v>2</v>
      </c>
      <c r="B17" s="99" t="s">
        <v>566</v>
      </c>
      <c r="C17" s="99">
        <v>128</v>
      </c>
      <c r="D17" s="16" t="s">
        <v>597</v>
      </c>
      <c r="E17" s="58"/>
    </row>
    <row r="18" spans="1:5" x14ac:dyDescent="0.3">
      <c r="A18" s="491"/>
      <c r="B18" s="99" t="s">
        <v>560</v>
      </c>
      <c r="C18" s="99" t="s">
        <v>563</v>
      </c>
      <c r="D18" s="16"/>
      <c r="E18" s="58"/>
    </row>
    <row r="19" spans="1:5" x14ac:dyDescent="0.3">
      <c r="A19" s="491"/>
      <c r="B19" s="16" t="s">
        <v>561</v>
      </c>
      <c r="C19" s="16" t="s">
        <v>562</v>
      </c>
      <c r="D19" s="16"/>
      <c r="E19" s="58"/>
    </row>
    <row r="20" spans="1:5" x14ac:dyDescent="0.3">
      <c r="A20" s="491"/>
      <c r="B20" s="16" t="s">
        <v>564</v>
      </c>
      <c r="C20" s="16" t="s">
        <v>565</v>
      </c>
      <c r="D20" s="16"/>
      <c r="E20" s="58"/>
    </row>
    <row r="21" spans="1:5" x14ac:dyDescent="0.3">
      <c r="A21" s="491">
        <v>3</v>
      </c>
      <c r="B21" s="99" t="s">
        <v>567</v>
      </c>
      <c r="C21" s="99" t="s">
        <v>568</v>
      </c>
      <c r="D21" s="16"/>
      <c r="E21" s="58"/>
    </row>
    <row r="22" spans="1:5" x14ac:dyDescent="0.3">
      <c r="A22" s="491"/>
      <c r="B22" s="99" t="s">
        <v>569</v>
      </c>
      <c r="C22" s="99" t="s">
        <v>570</v>
      </c>
      <c r="D22" s="16"/>
      <c r="E22" s="58"/>
    </row>
    <row r="23" spans="1:5" x14ac:dyDescent="0.3">
      <c r="A23" s="491"/>
      <c r="B23" s="16" t="s">
        <v>571</v>
      </c>
      <c r="C23" s="16" t="s">
        <v>572</v>
      </c>
      <c r="D23" s="16"/>
      <c r="E23" s="58"/>
    </row>
    <row r="24" spans="1:5" x14ac:dyDescent="0.3">
      <c r="A24" s="491"/>
      <c r="B24" s="16" t="s">
        <v>573</v>
      </c>
      <c r="C24" s="16" t="s">
        <v>574</v>
      </c>
      <c r="D24" s="16"/>
      <c r="E24" s="58"/>
    </row>
    <row r="25" spans="1:5" x14ac:dyDescent="0.3">
      <c r="A25" s="491">
        <v>4</v>
      </c>
      <c r="B25" s="98" t="s">
        <v>575</v>
      </c>
      <c r="C25" s="98" t="s">
        <v>576</v>
      </c>
      <c r="D25" s="16"/>
      <c r="E25" s="58"/>
    </row>
    <row r="26" spans="1:5" x14ac:dyDescent="0.3">
      <c r="A26" s="491"/>
      <c r="B26" s="98" t="s">
        <v>421</v>
      </c>
      <c r="C26" s="16">
        <v>2</v>
      </c>
      <c r="D26" s="16"/>
      <c r="E26" s="58" t="s">
        <v>596</v>
      </c>
    </row>
    <row r="27" spans="1:5" x14ac:dyDescent="0.3">
      <c r="A27" s="491"/>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ConfigNew</vt:lpstr>
      <vt:lpstr>CSxE_ESE_GSC_FuseCfg_1</vt:lpstr>
      <vt:lpstr>CSxE_ESE_GSC_FuseCfg</vt:lpstr>
      <vt:lpstr>Elasti_CSC_review_new</vt:lpstr>
      <vt:lpstr>Elasti_GSC_review</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2020-11-25T00:46:54Z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