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2970268B-BB33-4BA0-AF46-D6F25368FC04}"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Group1!$A$1:$Q$107</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70" i="7" l="1"/>
  <c r="P70" i="7"/>
  <c r="O70" i="7"/>
  <c r="Q69" i="7"/>
  <c r="P69" i="7"/>
  <c r="O69" i="7"/>
  <c r="Q68" i="7"/>
  <c r="P68" i="7"/>
  <c r="O68" i="7"/>
  <c r="L6" i="28"/>
  <c r="L19" i="27"/>
  <c r="L3" i="28"/>
  <c r="L14" i="24"/>
  <c r="L6" i="24"/>
  <c r="L21" i="24"/>
  <c r="L24" i="24"/>
  <c r="L9" i="28"/>
  <c r="L19" i="28"/>
  <c r="L14" i="28"/>
  <c r="L14" i="27"/>
  <c r="L13" i="24"/>
  <c r="L23" i="24"/>
  <c r="L19" i="24"/>
  <c r="L11" i="24"/>
  <c r="L3" i="24"/>
  <c r="L5" i="24"/>
  <c r="L16" i="24"/>
  <c r="L16" i="28"/>
  <c r="L11" i="28"/>
  <c r="L24" i="27"/>
  <c r="L16" i="27"/>
  <c r="L20" i="27"/>
  <c r="L4" i="24"/>
  <c r="L9" i="24"/>
  <c r="L15" i="24"/>
  <c r="L21" i="27"/>
  <c r="L13" i="27"/>
  <c r="L7" i="24"/>
  <c r="L20" i="24"/>
  <c r="L8" i="24"/>
  <c r="G9" i="29"/>
  <c r="L17" i="24"/>
  <c r="L9" i="27"/>
  <c r="L11" i="27"/>
  <c r="L3" i="27"/>
  <c r="L7" i="27"/>
  <c r="L5" i="27"/>
  <c r="L18" i="24"/>
  <c r="L12" i="24"/>
  <c r="L23" i="28"/>
  <c r="L8" i="27"/>
  <c r="L10" i="24"/>
  <c r="L4" i="27"/>
  <c r="L17" i="27"/>
  <c r="L20" i="28"/>
  <c r="L15" i="28"/>
  <c r="L7" i="28"/>
  <c r="L12" i="28"/>
  <c r="L23" i="27"/>
  <c r="L18" i="27"/>
  <c r="L12" i="27"/>
  <c r="L18" i="28"/>
  <c r="L10" i="28"/>
  <c r="L4" i="28"/>
  <c r="L22" i="27"/>
  <c r="L6" i="27"/>
  <c r="L24" i="28"/>
  <c r="L21" i="28"/>
  <c r="L13" i="28"/>
  <c r="L5" i="28"/>
  <c r="L8" i="28"/>
  <c r="L15" i="27"/>
  <c r="L10" i="27"/>
  <c r="L22" i="24"/>
  <c r="L17" i="28"/>
  <c r="L22" i="28"/>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O4" i="7"/>
  <c r="L9" i="29"/>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8" i="29"/>
  <c r="G9" i="28"/>
  <c r="G7" i="28"/>
  <c r="G12" i="29"/>
  <c r="G12" i="24"/>
  <c r="G12" i="27"/>
  <c r="G5" i="28"/>
  <c r="G12" i="15"/>
  <c r="G13" i="24"/>
  <c r="G3" i="28"/>
  <c r="G8" i="24"/>
  <c r="G3" i="29"/>
  <c r="G10" i="28"/>
  <c r="G4" i="29"/>
  <c r="G13" i="27"/>
  <c r="G13" i="15"/>
  <c r="G7" i="24"/>
  <c r="G9" i="24"/>
  <c r="G5" i="29"/>
  <c r="G5" i="24"/>
  <c r="G13" i="28"/>
  <c r="G6" i="27"/>
  <c r="G10" i="29"/>
  <c r="G8" i="27"/>
  <c r="G4" i="28"/>
  <c r="G6" i="29"/>
  <c r="G10" i="27"/>
  <c r="G10" i="15"/>
  <c r="G7" i="29"/>
  <c r="G11" i="29"/>
  <c r="G11" i="28"/>
  <c r="G8" i="28"/>
  <c r="G3" i="24"/>
  <c r="G11" i="15"/>
  <c r="G3" i="27"/>
  <c r="G13" i="29"/>
  <c r="G8" i="15"/>
  <c r="G9" i="15"/>
  <c r="G5" i="27"/>
  <c r="G4" i="27"/>
  <c r="G4" i="24"/>
  <c r="G7" i="27"/>
  <c r="G6" i="28"/>
  <c r="G10" i="24"/>
  <c r="G11" i="27"/>
  <c r="G9" i="27"/>
  <c r="G6" i="24"/>
  <c r="G11" i="24"/>
  <c r="G12" i="28"/>
  <c r="I11" i="28" l="1"/>
  <c r="H11" i="28"/>
  <c r="H13" i="15"/>
  <c r="I13" i="15"/>
  <c r="H13" i="29"/>
  <c r="I13" i="29"/>
  <c r="I11" i="29"/>
  <c r="H11" i="29"/>
  <c r="H11" i="15"/>
  <c r="I11" i="15"/>
  <c r="H11" i="27"/>
  <c r="I11" i="27"/>
  <c r="H12" i="15"/>
  <c r="I12" i="15"/>
  <c r="I10" i="15"/>
  <c r="H10" i="15"/>
  <c r="I13" i="27"/>
  <c r="H13" i="27"/>
  <c r="I13" i="24"/>
  <c r="H13" i="24"/>
  <c r="I13" i="28"/>
  <c r="H13" i="28"/>
  <c r="H9" i="15"/>
  <c r="I9" i="15"/>
  <c r="H12" i="29"/>
  <c r="I12" i="29"/>
  <c r="I11" i="24"/>
  <c r="H11" i="24"/>
  <c r="H12" i="24"/>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D71" i="12"/>
  <c r="C71" i="12"/>
  <c r="B71"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L5" i="29"/>
  <c r="L11" i="29"/>
  <c r="L6" i="29"/>
  <c r="L4" i="29"/>
  <c r="L3" i="29"/>
  <c r="L10" i="29"/>
  <c r="L7" i="29"/>
  <c r="L8" i="29"/>
  <c r="L13" i="29"/>
  <c r="L12" i="29"/>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7" i="8"/>
  <c r="M57" i="8"/>
  <c r="L57" i="8"/>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0" i="12" l="1"/>
  <c r="B69" i="12"/>
  <c r="F68" i="12"/>
  <c r="E68" i="12"/>
  <c r="B68" i="12"/>
  <c r="E1" i="12"/>
  <c r="B1" i="12"/>
  <c r="L37" i="27"/>
  <c r="G40" i="27"/>
  <c r="G32" i="29"/>
  <c r="F10" i="21"/>
  <c r="G34" i="29"/>
  <c r="G25" i="27"/>
  <c r="G28" i="27"/>
  <c r="G42" i="24"/>
  <c r="G31" i="29"/>
  <c r="G18" i="29"/>
  <c r="G39" i="27"/>
  <c r="G20" i="27"/>
  <c r="L42" i="28"/>
  <c r="F14" i="21"/>
  <c r="G26" i="28"/>
  <c r="G22" i="27"/>
  <c r="G30" i="28"/>
  <c r="L15" i="29"/>
  <c r="G29" i="27"/>
  <c r="L35" i="27"/>
  <c r="G19" i="27"/>
  <c r="L32" i="27"/>
  <c r="G36" i="28"/>
  <c r="G35" i="28"/>
  <c r="G18" i="27"/>
  <c r="G38" i="28"/>
  <c r="G38" i="27"/>
  <c r="G36" i="29"/>
  <c r="G22" i="29"/>
  <c r="G21" i="28"/>
  <c r="L32" i="28"/>
  <c r="G42" i="29"/>
  <c r="G22" i="28"/>
  <c r="G31" i="28"/>
  <c r="L34" i="27"/>
  <c r="L39" i="27"/>
  <c r="Q78" i="7"/>
  <c r="G30" i="27"/>
  <c r="O11" i="7"/>
  <c r="L34" i="28"/>
  <c r="G41" i="27"/>
  <c r="L30" i="28"/>
  <c r="L36" i="27"/>
  <c r="G39" i="28"/>
  <c r="F7" i="21"/>
  <c r="G39" i="29"/>
  <c r="G37" i="24"/>
  <c r="L39" i="28"/>
  <c r="G42" i="27"/>
  <c r="L41" i="27"/>
  <c r="G20" i="28"/>
  <c r="F9" i="21"/>
  <c r="G37" i="28"/>
  <c r="G41" i="29"/>
  <c r="F6" i="21"/>
  <c r="F3" i="21"/>
  <c r="G20" i="29"/>
  <c r="G41" i="28"/>
  <c r="G29" i="29"/>
  <c r="G36" i="27"/>
  <c r="L29" i="27"/>
  <c r="F12" i="21"/>
  <c r="G23" i="28"/>
  <c r="P78" i="7"/>
  <c r="F17" i="21"/>
  <c r="L35" i="28"/>
  <c r="G37" i="29"/>
  <c r="P11" i="7"/>
  <c r="G28" i="28"/>
  <c r="G35" i="29"/>
  <c r="F15" i="21"/>
  <c r="L42" i="27"/>
  <c r="G38" i="29"/>
  <c r="G32" i="28"/>
  <c r="G23" i="27"/>
  <c r="F13" i="21"/>
  <c r="L41" i="28"/>
  <c r="G33" i="27"/>
  <c r="G28" i="29"/>
  <c r="G26" i="29"/>
  <c r="G34" i="28"/>
  <c r="G40" i="28"/>
  <c r="L40" i="27"/>
  <c r="G34" i="27"/>
  <c r="G26" i="27"/>
  <c r="Q4" i="7"/>
  <c r="G23" i="29"/>
  <c r="L14" i="29"/>
  <c r="G30" i="29"/>
  <c r="Q11" i="7"/>
  <c r="G21" i="27"/>
  <c r="F8" i="21"/>
  <c r="G19" i="28"/>
  <c r="O78" i="7"/>
  <c r="G33" i="28"/>
  <c r="L24" i="29"/>
  <c r="L37" i="28"/>
  <c r="G35" i="27"/>
  <c r="G32" i="27"/>
  <c r="G32" i="24"/>
  <c r="G29" i="28"/>
  <c r="L17" i="29"/>
  <c r="G18" i="28"/>
  <c r="L36" i="28"/>
  <c r="P4" i="7"/>
  <c r="L40" i="28"/>
  <c r="L29" i="28"/>
  <c r="G40" i="29"/>
  <c r="F16" i="21"/>
  <c r="L31" i="27"/>
  <c r="F5" i="21"/>
  <c r="L16" i="29"/>
  <c r="L30" i="27"/>
  <c r="G33" i="29"/>
  <c r="L31" i="28"/>
  <c r="G25" i="29"/>
  <c r="G31" i="27"/>
  <c r="O90" i="7"/>
  <c r="G37" i="27"/>
  <c r="G21" i="29"/>
  <c r="G25" i="28"/>
  <c r="F4" i="21"/>
  <c r="F11" i="21"/>
  <c r="G19" i="29"/>
  <c r="G42" i="28"/>
  <c r="K18" i="29" l="1"/>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5" i="7"/>
  <c r="D124" i="7"/>
  <c r="D123" i="7"/>
  <c r="L34" i="29"/>
  <c r="L40" i="29"/>
  <c r="L35" i="29"/>
  <c r="L30" i="29"/>
  <c r="L37" i="29"/>
  <c r="L36" i="29"/>
  <c r="L41" i="29"/>
  <c r="L39" i="29"/>
  <c r="L21" i="29"/>
  <c r="L31" i="29"/>
  <c r="L32" i="29"/>
  <c r="L29" i="29"/>
  <c r="L20" i="29"/>
  <c r="L42" i="29"/>
  <c r="L22" i="29"/>
  <c r="O3" i="21" l="1"/>
  <c r="P108" i="7"/>
  <c r="L9" i="8"/>
  <c r="P96" i="7"/>
  <c r="P95" i="7"/>
  <c r="Q17" i="7"/>
  <c r="O91" i="7"/>
  <c r="O111" i="7"/>
  <c r="M36" i="8"/>
  <c r="P32" i="7"/>
  <c r="G36" i="24"/>
  <c r="O109" i="7"/>
  <c r="P36" i="7"/>
  <c r="Q81" i="7"/>
  <c r="P94" i="7"/>
  <c r="N36" i="8"/>
  <c r="N4" i="8"/>
  <c r="O61" i="7"/>
  <c r="P101" i="7"/>
  <c r="L42" i="8"/>
  <c r="M58" i="8"/>
  <c r="Q23" i="7"/>
  <c r="P77" i="7"/>
  <c r="Q80" i="7"/>
  <c r="N58" i="8"/>
  <c r="G23" i="24"/>
  <c r="O120" i="7"/>
  <c r="P27" i="7"/>
  <c r="O97" i="7"/>
  <c r="L42" i="24"/>
  <c r="Q41" i="7"/>
  <c r="M32" i="8"/>
  <c r="Q22" i="7"/>
  <c r="P40" i="7"/>
  <c r="Q120" i="7"/>
  <c r="L36" i="8"/>
  <c r="N12" i="8"/>
  <c r="P22" i="7"/>
  <c r="O7" i="7"/>
  <c r="Q91" i="7"/>
  <c r="M38" i="8"/>
  <c r="G22" i="24"/>
  <c r="P43" i="7"/>
  <c r="P123" i="7"/>
  <c r="P75" i="7"/>
  <c r="G34" i="24"/>
  <c r="O47" i="7"/>
  <c r="Q56" i="7"/>
  <c r="Q111" i="7"/>
  <c r="O37" i="7"/>
  <c r="O25" i="7"/>
  <c r="Q53" i="7"/>
  <c r="Q28" i="7"/>
  <c r="Q20" i="7"/>
  <c r="L19" i="8"/>
  <c r="P119" i="7"/>
  <c r="O53" i="7"/>
  <c r="N60" i="8"/>
  <c r="Q109" i="7"/>
  <c r="Q36" i="7"/>
  <c r="M7" i="8"/>
  <c r="G4" i="15"/>
  <c r="Q33" i="7"/>
  <c r="P92" i="7"/>
  <c r="N9" i="8"/>
  <c r="L50" i="8"/>
  <c r="Q54" i="7"/>
  <c r="O56" i="7"/>
  <c r="P90" i="7"/>
  <c r="L31" i="8"/>
  <c r="M22" i="8"/>
  <c r="P109" i="7"/>
  <c r="P20" i="7"/>
  <c r="P117" i="7"/>
  <c r="O83" i="7"/>
  <c r="L30" i="24"/>
  <c r="N35" i="8"/>
  <c r="M63" i="8"/>
  <c r="Q52" i="7"/>
  <c r="O114" i="7"/>
  <c r="Q100" i="7"/>
  <c r="O121" i="7"/>
  <c r="Q115" i="7"/>
  <c r="O116" i="7"/>
  <c r="L39" i="8"/>
  <c r="L35" i="24"/>
  <c r="O33" i="7"/>
  <c r="K17" i="21"/>
  <c r="Q90" i="7"/>
  <c r="G29" i="24"/>
  <c r="K11" i="21"/>
  <c r="M37" i="8"/>
  <c r="M40" i="8"/>
  <c r="P34" i="7"/>
  <c r="M31" i="8"/>
  <c r="M59" i="8"/>
  <c r="O92" i="7"/>
  <c r="L34" i="8"/>
  <c r="O24" i="7"/>
  <c r="O102" i="7"/>
  <c r="N41" i="8"/>
  <c r="O60" i="7"/>
  <c r="O30" i="7"/>
  <c r="L3" i="8"/>
  <c r="P60" i="7"/>
  <c r="M65" i="8"/>
  <c r="K9" i="21"/>
  <c r="P58" i="7"/>
  <c r="P38" i="7"/>
  <c r="N23" i="8"/>
  <c r="G26" i="24"/>
  <c r="O123" i="7"/>
  <c r="N59" i="8"/>
  <c r="O12" i="7"/>
  <c r="Q12" i="7"/>
  <c r="G38" i="24"/>
  <c r="P118" i="7"/>
  <c r="Q103" i="7"/>
  <c r="M43" i="8"/>
  <c r="Q49" i="7"/>
  <c r="Q13" i="7"/>
  <c r="N37" i="8"/>
  <c r="Q26" i="7"/>
  <c r="G35" i="24"/>
  <c r="N63" i="8"/>
  <c r="P56" i="7"/>
  <c r="O51" i="7"/>
  <c r="P122" i="7"/>
  <c r="N65" i="8"/>
  <c r="O38" i="7"/>
  <c r="K7" i="21"/>
  <c r="P81" i="7"/>
  <c r="O118" i="7"/>
  <c r="K6" i="21"/>
  <c r="Q74" i="7"/>
  <c r="L12" i="8"/>
  <c r="L65" i="8"/>
  <c r="M9" i="8"/>
  <c r="G21" i="24"/>
  <c r="M23" i="8"/>
  <c r="G18" i="24"/>
  <c r="O40" i="7"/>
  <c r="P83" i="7"/>
  <c r="P112" i="7"/>
  <c r="O22" i="7"/>
  <c r="Q101" i="7"/>
  <c r="Q114" i="7"/>
  <c r="O49" i="7"/>
  <c r="Q116" i="7"/>
  <c r="Q112" i="7"/>
  <c r="Q82" i="7"/>
  <c r="O44" i="7"/>
  <c r="Q121" i="7"/>
  <c r="O55" i="7"/>
  <c r="Q24" i="7"/>
  <c r="O58" i="7"/>
  <c r="P26" i="7"/>
  <c r="P30" i="7"/>
  <c r="O17" i="7"/>
  <c r="N8" i="8"/>
  <c r="M39" i="8"/>
  <c r="P121" i="7"/>
  <c r="O96" i="7"/>
  <c r="O113" i="7"/>
  <c r="P53" i="7"/>
  <c r="M3" i="8"/>
  <c r="N11" i="8"/>
  <c r="N2" i="8"/>
  <c r="M61" i="8"/>
  <c r="O59" i="7"/>
  <c r="N18" i="8"/>
  <c r="P115" i="7"/>
  <c r="O119" i="7"/>
  <c r="P6" i="7"/>
  <c r="N38" i="8"/>
  <c r="G40" i="24"/>
  <c r="Q97" i="7"/>
  <c r="Q51" i="7"/>
  <c r="L60" i="8"/>
  <c r="G5" i="15"/>
  <c r="Q34" i="7"/>
  <c r="M18" i="8"/>
  <c r="K16" i="21"/>
  <c r="P113" i="7"/>
  <c r="L62" i="8"/>
  <c r="O122" i="7"/>
  <c r="P99" i="7"/>
  <c r="L19" i="29"/>
  <c r="K14" i="21"/>
  <c r="O110" i="7"/>
  <c r="P21" i="7"/>
  <c r="L32" i="24"/>
  <c r="Q77" i="7"/>
  <c r="O77" i="7"/>
  <c r="P55" i="7"/>
  <c r="G7" i="15"/>
  <c r="Q92" i="7"/>
  <c r="P125" i="7"/>
  <c r="M13" i="8"/>
  <c r="Q99" i="7"/>
  <c r="P116" i="7"/>
  <c r="Q60" i="7"/>
  <c r="P88" i="7"/>
  <c r="Q6" i="7"/>
  <c r="O29" i="7"/>
  <c r="Q122" i="7"/>
  <c r="Q108" i="7"/>
  <c r="O54" i="7"/>
  <c r="O98" i="7"/>
  <c r="P14" i="7"/>
  <c r="Q83" i="7"/>
  <c r="L34" i="24"/>
  <c r="P15" i="7"/>
  <c r="M64" i="8"/>
  <c r="O93" i="7"/>
  <c r="P82" i="7"/>
  <c r="O117" i="7"/>
  <c r="L6" i="8"/>
  <c r="Q110" i="7"/>
  <c r="L39" i="24"/>
  <c r="L41" i="8"/>
  <c r="L13" i="8"/>
  <c r="P93" i="7"/>
  <c r="O101" i="7"/>
  <c r="Q102" i="7"/>
  <c r="L38" i="8"/>
  <c r="Q48" i="7"/>
  <c r="P120" i="7"/>
  <c r="K4" i="21"/>
  <c r="Q40" i="7"/>
  <c r="O88" i="7"/>
  <c r="Q14" i="7"/>
  <c r="O52" i="7"/>
  <c r="P103" i="7"/>
  <c r="M41" i="8"/>
  <c r="P52" i="7"/>
  <c r="L58" i="8"/>
  <c r="N43" i="8"/>
  <c r="P110" i="7"/>
  <c r="O80" i="7"/>
  <c r="Q61" i="7"/>
  <c r="N33" i="8"/>
  <c r="P102" i="7"/>
  <c r="P47" i="7"/>
  <c r="O94" i="7"/>
  <c r="O75" i="7"/>
  <c r="L7" i="8"/>
  <c r="G3" i="15"/>
  <c r="L43" i="8"/>
  <c r="G6" i="15"/>
  <c r="L31" i="24"/>
  <c r="P23" i="7"/>
  <c r="P7" i="7"/>
  <c r="L22" i="8"/>
  <c r="P46" i="7"/>
  <c r="Q47" i="7"/>
  <c r="P59" i="7"/>
  <c r="L40" i="24"/>
  <c r="O115" i="7"/>
  <c r="P24" i="7"/>
  <c r="Q124" i="7"/>
  <c r="P61" i="7"/>
  <c r="G30" i="24"/>
  <c r="O48" i="7"/>
  <c r="N13" i="8"/>
  <c r="N19" i="8"/>
  <c r="O34" i="7"/>
  <c r="Q95" i="7"/>
  <c r="O41" i="7"/>
  <c r="G25" i="24"/>
  <c r="M62" i="8"/>
  <c r="P97" i="7"/>
  <c r="O26" i="7"/>
  <c r="Q32" i="7"/>
  <c r="P100" i="7"/>
  <c r="O100" i="7"/>
  <c r="M2" i="8"/>
  <c r="L23" i="29"/>
  <c r="L64" i="8"/>
  <c r="P37" i="7"/>
  <c r="L61" i="8"/>
  <c r="K10" i="21"/>
  <c r="L29" i="24"/>
  <c r="Q38" i="7"/>
  <c r="O103" i="7"/>
  <c r="O124" i="7"/>
  <c r="Q96" i="7"/>
  <c r="G41" i="24"/>
  <c r="Q58" i="7"/>
  <c r="Q123" i="7"/>
  <c r="L33" i="8"/>
  <c r="O14" i="7"/>
  <c r="P114" i="7"/>
  <c r="O36" i="7"/>
  <c r="G39" i="24"/>
  <c r="P54" i="7"/>
  <c r="O125" i="7"/>
  <c r="L41" i="24"/>
  <c r="L23" i="8"/>
  <c r="M19" i="8"/>
  <c r="P98" i="7"/>
  <c r="Q88" i="7"/>
  <c r="Q55" i="7"/>
  <c r="L18" i="29"/>
  <c r="P13" i="7"/>
  <c r="P48" i="7"/>
  <c r="P74" i="7"/>
  <c r="P41" i="7"/>
  <c r="G20" i="24"/>
  <c r="P17" i="7"/>
  <c r="M11" i="8"/>
  <c r="N32" i="8"/>
  <c r="O108" i="7"/>
  <c r="N39" i="8"/>
  <c r="Q117" i="7"/>
  <c r="Q59" i="7"/>
  <c r="O50" i="7"/>
  <c r="K5" i="21"/>
  <c r="M35" i="8"/>
  <c r="O95" i="7"/>
  <c r="P91" i="7"/>
  <c r="Q46" i="7"/>
  <c r="N34" i="8"/>
  <c r="Q30" i="7"/>
  <c r="O13" i="7"/>
  <c r="Q113" i="7"/>
  <c r="L2" i="8"/>
  <c r="M53" i="8"/>
  <c r="M42" i="8"/>
  <c r="P29" i="7"/>
  <c r="O32" i="7"/>
  <c r="L36" i="24"/>
  <c r="M60" i="8"/>
  <c r="L59" i="8"/>
  <c r="Q125" i="7"/>
  <c r="Q98" i="7"/>
  <c r="O23" i="7"/>
  <c r="O74" i="7"/>
  <c r="N6" i="8"/>
  <c r="G19" i="24"/>
  <c r="M34" i="8"/>
  <c r="M50" i="8"/>
  <c r="Q118" i="7"/>
  <c r="Q75" i="7"/>
  <c r="N61" i="8"/>
  <c r="Q27" i="7"/>
  <c r="L18" i="8"/>
  <c r="N50" i="8"/>
  <c r="O27" i="7"/>
  <c r="K15" i="21"/>
  <c r="Q44" i="7"/>
  <c r="N31" i="8"/>
  <c r="N22" i="8"/>
  <c r="O112" i="7"/>
  <c r="P33" i="7"/>
  <c r="O43" i="7"/>
  <c r="L37" i="24"/>
  <c r="Q29" i="7"/>
  <c r="O28" i="7"/>
  <c r="O99" i="7"/>
  <c r="M8" i="8"/>
  <c r="L11" i="8"/>
  <c r="N7" i="8"/>
  <c r="O82" i="7"/>
  <c r="P25" i="7"/>
  <c r="Q25" i="7"/>
  <c r="P51" i="7"/>
  <c r="K12" i="21"/>
  <c r="L40" i="8"/>
  <c r="G28" i="24"/>
  <c r="L53" i="8"/>
  <c r="Q15" i="7"/>
  <c r="Q119" i="7"/>
  <c r="N3" i="8"/>
  <c r="L32" i="8"/>
  <c r="O20" i="7"/>
  <c r="N53" i="8"/>
  <c r="L35" i="8"/>
  <c r="M6" i="8"/>
  <c r="P12" i="7"/>
  <c r="P50" i="7"/>
  <c r="P44" i="7"/>
  <c r="P111" i="7"/>
  <c r="L37" i="8"/>
  <c r="Q50" i="7"/>
  <c r="Q94" i="7"/>
  <c r="M33" i="8"/>
  <c r="O21" i="7"/>
  <c r="O15" i="7"/>
  <c r="O81" i="7"/>
  <c r="P49" i="7"/>
  <c r="O46" i="7"/>
  <c r="L8" i="8"/>
  <c r="Q43" i="7"/>
  <c r="M12" i="8"/>
  <c r="O6" i="7"/>
  <c r="Q21" i="7"/>
  <c r="Q7" i="7"/>
  <c r="N64" i="8"/>
  <c r="N42" i="8"/>
  <c r="G31" i="24"/>
  <c r="P80" i="7"/>
  <c r="M4" i="8"/>
  <c r="P124" i="7"/>
  <c r="N62" i="8"/>
  <c r="L63" i="8"/>
  <c r="Q37" i="7"/>
  <c r="Q93" i="7"/>
  <c r="G33" i="24"/>
  <c r="P28" i="7"/>
  <c r="N40" i="8"/>
  <c r="L4" i="8"/>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<sst xmlns="http://schemas.openxmlformats.org/spreadsheetml/2006/main" count="3334" uniqueCount="1151">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</sst>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s>
  <cellStyleXfs count="1">
    <xf numFmtId="0" fontId="0" fillId="0" borderId="0"/>
  </cellStyleXfs>
  <cellXfs count="31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67" xfId="0" applyBorder="1"/>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14" fontId="0" fillId="0" borderId="2" xfId="0" applyNumberFormat="1" applyBorder="1" applyAlignment="1">
      <alignment horizontal="center" vertical="center"/>
    </xf>
  </cellXfs>
  <cellStyles count="1">
    <cellStyle name="Normal" xfId="0" builtinId="0"/>
  </cellStyles>
  <dxfs count="55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A22" sqref="A22"/>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7" t="s">
        <v>552</v>
      </c>
      <c r="B1" s="48" t="s">
        <v>553</v>
      </c>
      <c r="C1" s="49" t="s">
        <v>554</v>
      </c>
      <c r="D1" s="50" t="s">
        <v>424</v>
      </c>
    </row>
    <row r="2" spans="1:4" x14ac:dyDescent="0.35">
      <c r="A2" s="51">
        <v>1</v>
      </c>
      <c r="B2" s="52">
        <v>43878</v>
      </c>
      <c r="C2" s="53" t="s">
        <v>555</v>
      </c>
      <c r="D2" s="54" t="s">
        <v>556</v>
      </c>
    </row>
    <row r="3" spans="1:4" x14ac:dyDescent="0.35">
      <c r="A3" s="51">
        <v>2</v>
      </c>
      <c r="B3" s="52">
        <v>43880</v>
      </c>
      <c r="C3" s="53" t="s">
        <v>555</v>
      </c>
      <c r="D3" s="55" t="s">
        <v>557</v>
      </c>
    </row>
    <row r="4" spans="1:4" x14ac:dyDescent="0.35">
      <c r="A4" s="51">
        <v>3</v>
      </c>
      <c r="B4" s="52">
        <v>43880</v>
      </c>
      <c r="C4" s="53" t="s">
        <v>555</v>
      </c>
      <c r="D4" s="55" t="s">
        <v>558</v>
      </c>
    </row>
    <row r="5" spans="1:4" x14ac:dyDescent="0.35">
      <c r="A5" s="51">
        <v>4</v>
      </c>
      <c r="B5" s="52">
        <v>43883</v>
      </c>
      <c r="C5" s="16" t="s">
        <v>555</v>
      </c>
      <c r="D5" s="16" t="s">
        <v>600</v>
      </c>
    </row>
    <row r="6" spans="1:4" x14ac:dyDescent="0.35">
      <c r="A6" s="51">
        <v>5</v>
      </c>
      <c r="B6" s="52">
        <v>43887</v>
      </c>
      <c r="C6" s="16" t="s">
        <v>606</v>
      </c>
      <c r="D6" s="16" t="s">
        <v>607</v>
      </c>
    </row>
    <row r="7" spans="1:4" x14ac:dyDescent="0.35">
      <c r="A7" s="51">
        <v>6</v>
      </c>
      <c r="B7" s="52">
        <v>43888</v>
      </c>
      <c r="C7" s="16" t="s">
        <v>555</v>
      </c>
      <c r="D7" s="16" t="s">
        <v>608</v>
      </c>
    </row>
    <row r="8" spans="1:4" x14ac:dyDescent="0.35">
      <c r="A8" s="51">
        <v>7</v>
      </c>
      <c r="B8" s="52">
        <v>43889</v>
      </c>
      <c r="C8" s="16" t="s">
        <v>555</v>
      </c>
      <c r="D8" s="16" t="s">
        <v>652</v>
      </c>
    </row>
    <row r="9" spans="1:4" x14ac:dyDescent="0.35">
      <c r="A9" s="51">
        <v>8</v>
      </c>
      <c r="B9" s="52">
        <v>43893</v>
      </c>
      <c r="C9" s="16" t="s">
        <v>555</v>
      </c>
      <c r="D9" s="16" t="s">
        <v>653</v>
      </c>
    </row>
    <row r="10" spans="1:4" s="15" customFormat="1" x14ac:dyDescent="0.35">
      <c r="A10" s="51">
        <v>9</v>
      </c>
      <c r="B10" s="52">
        <v>43899</v>
      </c>
      <c r="C10" s="16" t="s">
        <v>555</v>
      </c>
      <c r="D10" s="16" t="s">
        <v>666</v>
      </c>
    </row>
    <row r="11" spans="1:4" x14ac:dyDescent="0.35">
      <c r="A11" s="51">
        <v>10</v>
      </c>
      <c r="B11" s="52">
        <v>43899</v>
      </c>
      <c r="C11" s="16" t="s">
        <v>555</v>
      </c>
      <c r="D11" s="16" t="s">
        <v>667</v>
      </c>
    </row>
    <row r="12" spans="1:4" x14ac:dyDescent="0.35">
      <c r="A12" s="51">
        <v>11</v>
      </c>
      <c r="B12" s="52">
        <v>43903</v>
      </c>
      <c r="C12" s="16" t="s">
        <v>555</v>
      </c>
      <c r="D12" s="16" t="s">
        <v>671</v>
      </c>
    </row>
    <row r="13" spans="1:4" x14ac:dyDescent="0.35">
      <c r="A13" s="51">
        <v>12</v>
      </c>
      <c r="B13" s="52">
        <v>43904</v>
      </c>
      <c r="C13" s="16" t="s">
        <v>555</v>
      </c>
      <c r="D13" s="16" t="s">
        <v>672</v>
      </c>
    </row>
    <row r="14" spans="1:4" x14ac:dyDescent="0.35">
      <c r="A14" s="51">
        <v>13</v>
      </c>
      <c r="B14" s="52">
        <v>43916</v>
      </c>
      <c r="C14" s="16" t="s">
        <v>555</v>
      </c>
      <c r="D14" s="16" t="s">
        <v>807</v>
      </c>
    </row>
    <row r="15" spans="1:4" ht="29" x14ac:dyDescent="0.35">
      <c r="A15" s="136">
        <v>14</v>
      </c>
      <c r="B15" s="137">
        <v>43920</v>
      </c>
      <c r="C15" s="127" t="s">
        <v>555</v>
      </c>
      <c r="D15" s="138" t="s">
        <v>808</v>
      </c>
    </row>
    <row r="16" spans="1:4" ht="87" x14ac:dyDescent="0.35">
      <c r="A16" s="136">
        <v>15</v>
      </c>
      <c r="B16" s="137">
        <v>43979</v>
      </c>
      <c r="C16" s="131" t="s">
        <v>555</v>
      </c>
      <c r="D16" s="138" t="s">
        <v>882</v>
      </c>
    </row>
    <row r="17" spans="1:4" ht="43.5" x14ac:dyDescent="0.35">
      <c r="A17" s="136">
        <v>16</v>
      </c>
      <c r="B17" s="137">
        <v>43979</v>
      </c>
      <c r="C17" s="140" t="s">
        <v>555</v>
      </c>
      <c r="D17" s="138" t="s">
        <v>886</v>
      </c>
    </row>
    <row r="18" spans="1:4" x14ac:dyDescent="0.35">
      <c r="A18" s="136">
        <v>17</v>
      </c>
      <c r="B18" s="195">
        <v>43999</v>
      </c>
      <c r="C18" s="16" t="s">
        <v>555</v>
      </c>
      <c r="D18" s="16" t="s">
        <v>887</v>
      </c>
    </row>
    <row r="19" spans="1:4" x14ac:dyDescent="0.35">
      <c r="A19" s="136">
        <v>18</v>
      </c>
      <c r="B19" s="195">
        <v>44012</v>
      </c>
      <c r="C19" s="16" t="s">
        <v>555</v>
      </c>
      <c r="D19" s="16" t="s">
        <v>1105</v>
      </c>
    </row>
    <row r="20" spans="1:4" x14ac:dyDescent="0.35">
      <c r="A20" s="136">
        <v>19</v>
      </c>
      <c r="B20" s="195">
        <v>44018</v>
      </c>
      <c r="C20" s="16" t="s">
        <v>555</v>
      </c>
      <c r="D20" s="16" t="s">
        <v>1147</v>
      </c>
    </row>
    <row r="21" spans="1:4" ht="29" x14ac:dyDescent="0.35">
      <c r="A21" s="136">
        <v>20</v>
      </c>
      <c r="B21" s="309">
        <v>44026</v>
      </c>
      <c r="C21" s="239" t="s">
        <v>555</v>
      </c>
      <c r="D21" s="141" t="s">
        <v>1149</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X5" activePane="bottomRight" state="frozen"/>
      <selection pane="topRight" activeCell="H1" sqref="H1"/>
      <selection pane="bottomLeft" activeCell="A5" sqref="A5"/>
      <selection pane="bottomRight" activeCell="B1" sqref="B1"/>
    </sheetView>
  </sheetViews>
  <sheetFormatPr defaultRowHeight="14.5" x14ac:dyDescent="0.35"/>
  <cols>
    <col min="1" max="1" width="32.6328125" bestFit="1" customWidth="1"/>
    <col min="2" max="2" width="7.6328125" style="15" customWidth="1"/>
    <col min="3" max="4" width="6.36328125" style="15" customWidth="1"/>
    <col min="5" max="5" width="6.08984375" customWidth="1"/>
    <col min="6" max="6" width="5.08984375" customWidth="1"/>
    <col min="7" max="7" width="6.08984375" customWidth="1"/>
    <col min="8" max="15" width="7.453125" customWidth="1"/>
    <col min="30" max="30" width="124.81640625" customWidth="1"/>
  </cols>
  <sheetData>
    <row r="1" spans="1:30" s="15" customFormat="1" ht="20.399999999999999" customHeight="1" x14ac:dyDescent="0.35">
      <c r="A1" s="15" t="s">
        <v>612</v>
      </c>
      <c r="B1" s="15" t="str">
        <f>CONCATENATE(A1,"!A2:AA100")</f>
        <v>Config!A2:AA100</v>
      </c>
      <c r="E1" s="15" t="str">
        <f>CONCATENATE(A1,"!B3:AA4")</f>
        <v>Config!B3:AA4</v>
      </c>
    </row>
    <row r="2" spans="1:30" s="15" customFormat="1" x14ac:dyDescent="0.35">
      <c r="A2" s="18"/>
      <c r="B2" s="18" t="s">
        <v>419</v>
      </c>
      <c r="C2" s="243" t="s">
        <v>634</v>
      </c>
      <c r="D2" s="244"/>
      <c r="E2" s="240" t="s">
        <v>392</v>
      </c>
      <c r="F2" s="241"/>
      <c r="G2" s="242"/>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5">
      <c r="A11" s="125" t="s">
        <v>394</v>
      </c>
      <c r="B11" s="16">
        <v>13</v>
      </c>
      <c r="C11" s="16">
        <v>15</v>
      </c>
      <c r="D11" s="16">
        <v>15</v>
      </c>
      <c r="E11" s="16">
        <v>13</v>
      </c>
      <c r="F11" s="16">
        <v>5</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ht="13.5" customHeight="1" x14ac:dyDescent="0.35">
      <c r="A14" s="125" t="s">
        <v>536</v>
      </c>
      <c r="B14" s="16">
        <v>0</v>
      </c>
      <c r="C14" s="16">
        <v>0</v>
      </c>
      <c r="D14" s="16">
        <v>0</v>
      </c>
      <c r="E14" s="16">
        <v>0</v>
      </c>
      <c r="F14" s="16">
        <v>0</v>
      </c>
      <c r="G14" s="16">
        <v>1</v>
      </c>
      <c r="H14" s="16"/>
      <c r="I14" s="16"/>
      <c r="J14" s="16"/>
      <c r="K14" s="16"/>
      <c r="L14" s="16"/>
      <c r="M14" s="16"/>
      <c r="N14" s="16"/>
      <c r="O14" s="16"/>
      <c r="P14" s="16"/>
      <c r="Q14" s="16"/>
      <c r="R14" s="16"/>
      <c r="S14" s="16"/>
      <c r="T14" s="16"/>
      <c r="U14" s="16"/>
      <c r="V14" s="16"/>
      <c r="W14" s="16"/>
      <c r="X14" s="16"/>
      <c r="Y14" s="16"/>
      <c r="Z14" s="16"/>
      <c r="AA14" s="16"/>
      <c r="AB14" s="16"/>
      <c r="AC14" s="16"/>
      <c r="AD14" s="141" t="s">
        <v>820</v>
      </c>
    </row>
    <row r="15" spans="1:30" ht="13.5" customHeight="1" x14ac:dyDescent="0.35">
      <c r="A15" s="40" t="s">
        <v>147</v>
      </c>
      <c r="B15" s="16">
        <v>1</v>
      </c>
      <c r="C15" s="16">
        <v>1</v>
      </c>
      <c r="D15" s="16">
        <v>1</v>
      </c>
      <c r="E15" s="16">
        <v>1</v>
      </c>
      <c r="F15" s="16">
        <v>0</v>
      </c>
      <c r="G15" s="16">
        <v>0</v>
      </c>
      <c r="H15" s="16"/>
      <c r="I15" s="16"/>
      <c r="J15" s="16"/>
      <c r="K15" s="16"/>
      <c r="L15" s="16"/>
      <c r="M15" s="16"/>
      <c r="N15" s="16"/>
      <c r="O15" s="16"/>
      <c r="P15" s="16"/>
      <c r="Q15" s="16"/>
      <c r="R15" s="16"/>
      <c r="S15" s="16"/>
      <c r="T15" s="16"/>
      <c r="U15" s="16"/>
      <c r="V15" s="16"/>
      <c r="W15" s="16"/>
      <c r="X15" s="16"/>
      <c r="Y15" s="16"/>
      <c r="Z15" s="16"/>
      <c r="AA15" s="16"/>
      <c r="AB15" s="16"/>
      <c r="AC15" s="16"/>
      <c r="AD15" s="16" t="s">
        <v>850</v>
      </c>
    </row>
    <row r="16" spans="1:30" ht="13.5" customHeight="1" x14ac:dyDescent="0.35">
      <c r="A16" s="40" t="s">
        <v>377</v>
      </c>
      <c r="B16" s="16">
        <v>0</v>
      </c>
      <c r="C16" s="16">
        <v>0</v>
      </c>
      <c r="D16" s="16">
        <v>0</v>
      </c>
      <c r="E16" s="16">
        <v>0</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851</v>
      </c>
    </row>
    <row r="17" spans="1:30" s="15" customFormat="1" ht="13.5" customHeight="1" x14ac:dyDescent="0.35">
      <c r="A17" s="40" t="s">
        <v>827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41" t="s">
        <v>826</v>
      </c>
    </row>
    <row r="18" spans="1:30" ht="13.5" customHeight="1" x14ac:dyDescent="0.35">
      <c r="A18" s="42" t="s">
        <v>221</v>
      </c>
      <c r="B18" s="16">
        <v>0</v>
      </c>
      <c r="C18" s="16">
        <v>1</v>
      </c>
      <c r="D18" s="16">
        <v>1</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6" t="s">
        <v>852</v>
      </c>
    </row>
    <row r="19" spans="1:30" ht="13.5" customHeight="1" x14ac:dyDescent="0.35">
      <c r="A19" s="42" t="s">
        <v>186</v>
      </c>
      <c r="B19" s="16">
        <v>1</v>
      </c>
      <c r="C19" s="16">
        <v>1</v>
      </c>
      <c r="D19" s="16">
        <v>1</v>
      </c>
      <c r="E19" s="16">
        <v>1</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853</v>
      </c>
    </row>
    <row r="20" spans="1:30" ht="13.5" customHeight="1" x14ac:dyDescent="0.35">
      <c r="A20" s="40" t="s">
        <v>637</v>
      </c>
      <c r="B20" s="16">
        <v>1</v>
      </c>
      <c r="C20" s="16">
        <v>1</v>
      </c>
      <c r="D20" s="16">
        <v>1</v>
      </c>
      <c r="E20" s="16">
        <v>1</v>
      </c>
      <c r="F20" s="16">
        <v>0</v>
      </c>
      <c r="G20" s="16">
        <v>1</v>
      </c>
      <c r="H20" s="16"/>
      <c r="I20" s="16"/>
      <c r="J20" s="16"/>
      <c r="K20" s="16"/>
      <c r="L20" s="16"/>
      <c r="M20" s="16"/>
      <c r="N20" s="16"/>
      <c r="O20" s="16"/>
      <c r="P20" s="16"/>
      <c r="Q20" s="16"/>
      <c r="R20" s="16"/>
      <c r="S20" s="16"/>
      <c r="T20" s="16"/>
      <c r="U20" s="16"/>
      <c r="V20" s="16"/>
      <c r="W20" s="16"/>
      <c r="X20" s="16"/>
      <c r="Y20" s="16"/>
      <c r="Z20" s="16"/>
      <c r="AA20" s="16"/>
      <c r="AB20" s="16"/>
      <c r="AC20" s="16"/>
      <c r="AD20" s="16" t="s">
        <v>854</v>
      </c>
    </row>
    <row r="21" spans="1:30" ht="13.5" customHeight="1" x14ac:dyDescent="0.35">
      <c r="A21" s="40" t="s">
        <v>638</v>
      </c>
      <c r="B21" s="16">
        <v>1</v>
      </c>
      <c r="C21" s="16">
        <v>1</v>
      </c>
      <c r="D21" s="16">
        <v>1</v>
      </c>
      <c r="E21" s="16">
        <v>1</v>
      </c>
      <c r="F21" s="16">
        <v>0</v>
      </c>
      <c r="G21" s="16">
        <v>0</v>
      </c>
      <c r="H21" s="16"/>
      <c r="I21" s="16"/>
      <c r="J21" s="16"/>
      <c r="K21" s="16"/>
      <c r="L21" s="16"/>
      <c r="M21" s="16"/>
      <c r="N21" s="16"/>
      <c r="O21" s="16"/>
      <c r="P21" s="16"/>
      <c r="Q21" s="16"/>
      <c r="R21" s="16"/>
      <c r="S21" s="16"/>
      <c r="T21" s="16"/>
      <c r="U21" s="16"/>
      <c r="V21" s="16"/>
      <c r="W21" s="16"/>
      <c r="X21" s="16"/>
      <c r="Y21" s="16"/>
      <c r="Z21" s="16"/>
      <c r="AA21" s="16"/>
      <c r="AB21" s="16"/>
      <c r="AC21" s="16"/>
      <c r="AD21" s="16" t="s">
        <v>855</v>
      </c>
    </row>
    <row r="22" spans="1:30" ht="13.5" customHeight="1" x14ac:dyDescent="0.35">
      <c r="A22" s="40" t="s">
        <v>388</v>
      </c>
      <c r="B22" s="16">
        <v>0</v>
      </c>
      <c r="C22" s="16">
        <v>0</v>
      </c>
      <c r="D22" s="16">
        <v>0</v>
      </c>
      <c r="E22" s="16">
        <v>0</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856</v>
      </c>
    </row>
    <row r="23" spans="1:30" ht="13.5" customHeight="1" x14ac:dyDescent="0.35">
      <c r="A23" s="125" t="s">
        <v>214</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41" t="s">
        <v>821</v>
      </c>
    </row>
    <row r="24" spans="1:30" s="15" customFormat="1" ht="13.5" customHeight="1" x14ac:dyDescent="0.35">
      <c r="A24" s="40" t="s">
        <v>416</v>
      </c>
      <c r="B24" s="16">
        <v>1</v>
      </c>
      <c r="C24" s="16">
        <v>1</v>
      </c>
      <c r="D24" s="16">
        <v>1</v>
      </c>
      <c r="E24" s="16">
        <v>1</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6" t="s">
        <v>857</v>
      </c>
    </row>
    <row r="25" spans="1:30" ht="13.5" customHeight="1" x14ac:dyDescent="0.35">
      <c r="A25" s="40" t="s">
        <v>640</v>
      </c>
      <c r="B25" s="16">
        <v>0</v>
      </c>
      <c r="C25" s="16">
        <v>1</v>
      </c>
      <c r="D25" s="16">
        <v>1</v>
      </c>
      <c r="E25" s="16">
        <v>0</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858</v>
      </c>
    </row>
    <row r="26" spans="1:30" ht="13.5" customHeight="1" x14ac:dyDescent="0.35">
      <c r="A26" s="40" t="s">
        <v>641</v>
      </c>
      <c r="B26" s="16">
        <v>1</v>
      </c>
      <c r="C26" s="16">
        <v>1</v>
      </c>
      <c r="D26" s="16">
        <v>1</v>
      </c>
      <c r="E26" s="16">
        <v>1</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859</v>
      </c>
    </row>
    <row r="27" spans="1:30" ht="13.5" customHeight="1" x14ac:dyDescent="0.35">
      <c r="A27" s="40" t="s">
        <v>642</v>
      </c>
      <c r="B27" s="16">
        <v>0</v>
      </c>
      <c r="C27" s="16">
        <v>1</v>
      </c>
      <c r="D27" s="16">
        <v>1</v>
      </c>
      <c r="E27" s="16">
        <v>0</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860</v>
      </c>
    </row>
    <row r="28" spans="1:30" ht="13.5" customHeight="1" x14ac:dyDescent="0.35">
      <c r="A28" s="40" t="s">
        <v>643</v>
      </c>
      <c r="B28" s="16">
        <v>1</v>
      </c>
      <c r="C28" s="16">
        <v>1</v>
      </c>
      <c r="D28" s="16">
        <v>1</v>
      </c>
      <c r="E28" s="16">
        <v>1</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861</v>
      </c>
    </row>
    <row r="29" spans="1:30" ht="13.5" customHeight="1" x14ac:dyDescent="0.35">
      <c r="A29" s="40" t="s">
        <v>639</v>
      </c>
      <c r="B29" s="16">
        <v>0</v>
      </c>
      <c r="C29" s="16">
        <v>1</v>
      </c>
      <c r="D29" s="16">
        <v>1</v>
      </c>
      <c r="E29" s="16">
        <v>0</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862</v>
      </c>
    </row>
    <row r="30" spans="1:30" ht="13.5" customHeight="1" x14ac:dyDescent="0.35">
      <c r="A30" s="125" t="s">
        <v>360</v>
      </c>
      <c r="B30" s="16">
        <v>0</v>
      </c>
      <c r="C30" s="16">
        <v>0</v>
      </c>
      <c r="D30" s="16">
        <v>0</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41" t="s">
        <v>822</v>
      </c>
    </row>
    <row r="31" spans="1:30" ht="13.5" customHeight="1" x14ac:dyDescent="0.35">
      <c r="A31" s="63" t="s">
        <v>389</v>
      </c>
      <c r="B31" s="16">
        <v>1</v>
      </c>
      <c r="C31" s="16">
        <v>0</v>
      </c>
      <c r="D31" s="16">
        <v>0</v>
      </c>
      <c r="E31" s="16">
        <v>1</v>
      </c>
      <c r="F31" s="16">
        <v>1</v>
      </c>
      <c r="G31" s="16">
        <v>1</v>
      </c>
      <c r="H31" s="16"/>
      <c r="I31" s="16"/>
      <c r="J31" s="16"/>
      <c r="K31" s="16"/>
      <c r="L31" s="16"/>
      <c r="M31" s="16"/>
      <c r="N31" s="16"/>
      <c r="O31" s="16"/>
      <c r="P31" s="16"/>
      <c r="Q31" s="16"/>
      <c r="R31" s="16"/>
      <c r="S31" s="16"/>
      <c r="T31" s="16"/>
      <c r="U31" s="16"/>
      <c r="V31" s="16"/>
      <c r="W31" s="16"/>
      <c r="X31" s="16"/>
      <c r="Y31" s="16"/>
      <c r="Z31" s="16"/>
      <c r="AA31" s="16"/>
      <c r="AB31" s="16"/>
      <c r="AC31" s="16"/>
      <c r="AD31" s="141" t="s">
        <v>815</v>
      </c>
    </row>
    <row r="32" spans="1:30" s="15" customFormat="1" ht="13.5" customHeight="1" x14ac:dyDescent="0.35">
      <c r="A32" s="63" t="s">
        <v>670</v>
      </c>
      <c r="B32" s="16">
        <v>0</v>
      </c>
      <c r="C32" s="16">
        <v>0</v>
      </c>
      <c r="D32" s="16">
        <v>0</v>
      </c>
      <c r="E32" s="16">
        <v>0</v>
      </c>
      <c r="F32" s="16">
        <v>0</v>
      </c>
      <c r="G32" s="63">
        <v>0</v>
      </c>
      <c r="H32" s="16"/>
      <c r="I32" s="16"/>
      <c r="J32" s="16"/>
      <c r="K32" s="16"/>
      <c r="L32" s="16"/>
      <c r="M32" s="16"/>
      <c r="N32" s="16"/>
      <c r="O32" s="16"/>
      <c r="P32" s="16"/>
      <c r="Q32" s="16"/>
      <c r="R32" s="16"/>
      <c r="S32" s="16"/>
      <c r="T32" s="16"/>
      <c r="U32" s="16"/>
      <c r="V32" s="16"/>
      <c r="W32" s="16"/>
      <c r="X32" s="16"/>
      <c r="Y32" s="16"/>
      <c r="Z32" s="16"/>
      <c r="AA32" s="16"/>
      <c r="AB32" s="16"/>
      <c r="AC32" s="16"/>
      <c r="AD32" s="141" t="s">
        <v>816</v>
      </c>
    </row>
    <row r="33" spans="1:30" ht="13.5" customHeight="1" x14ac:dyDescent="0.35">
      <c r="A33" s="40" t="s">
        <v>75</v>
      </c>
      <c r="B33" s="16">
        <v>1</v>
      </c>
      <c r="C33" s="16">
        <v>1</v>
      </c>
      <c r="D33" s="16">
        <v>1</v>
      </c>
      <c r="E33" s="16">
        <v>1</v>
      </c>
      <c r="F33" s="16">
        <v>0</v>
      </c>
      <c r="G33" s="16">
        <v>0</v>
      </c>
      <c r="H33" s="16"/>
      <c r="I33" s="16"/>
      <c r="J33" s="16"/>
      <c r="K33" s="16"/>
      <c r="L33" s="16"/>
      <c r="M33" s="16"/>
      <c r="N33" s="16"/>
      <c r="O33" s="16"/>
      <c r="P33" s="16"/>
      <c r="Q33" s="16"/>
      <c r="R33" s="16"/>
      <c r="S33" s="16"/>
      <c r="T33" s="16"/>
      <c r="U33" s="16"/>
      <c r="V33" s="16"/>
      <c r="W33" s="16"/>
      <c r="X33" s="16"/>
      <c r="Y33" s="16"/>
      <c r="Z33" s="16"/>
      <c r="AA33" s="16"/>
      <c r="AB33" s="16"/>
      <c r="AC33" s="16"/>
      <c r="AD33" s="16" t="s">
        <v>863</v>
      </c>
    </row>
    <row r="34" spans="1:30" ht="13.5" customHeight="1" x14ac:dyDescent="0.35">
      <c r="A34" s="40" t="s">
        <v>133</v>
      </c>
      <c r="B34" s="16">
        <v>0</v>
      </c>
      <c r="C34" s="16">
        <v>0</v>
      </c>
      <c r="D34" s="16">
        <v>0</v>
      </c>
      <c r="E34" s="16">
        <v>0</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864</v>
      </c>
    </row>
    <row r="35" spans="1:30" ht="13.5" customHeight="1" x14ac:dyDescent="0.35">
      <c r="A35" s="40" t="s">
        <v>644</v>
      </c>
      <c r="B35" s="16">
        <v>1</v>
      </c>
      <c r="C35" s="16">
        <v>1</v>
      </c>
      <c r="D35" s="16">
        <v>1</v>
      </c>
      <c r="E35" s="16">
        <v>1</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865</v>
      </c>
    </row>
    <row r="36" spans="1:30" ht="13.5" customHeight="1" x14ac:dyDescent="0.35">
      <c r="A36" s="40" t="s">
        <v>645</v>
      </c>
      <c r="B36" s="16">
        <v>1</v>
      </c>
      <c r="C36" s="16">
        <v>1</v>
      </c>
      <c r="D36" s="16">
        <v>1</v>
      </c>
      <c r="E36" s="16">
        <v>1</v>
      </c>
      <c r="F36" s="16">
        <v>0</v>
      </c>
      <c r="G36" s="16">
        <v>1</v>
      </c>
      <c r="H36" s="16"/>
      <c r="I36" s="16"/>
      <c r="J36" s="16"/>
      <c r="K36" s="16"/>
      <c r="L36" s="16"/>
      <c r="M36" s="16"/>
      <c r="N36" s="16"/>
      <c r="O36" s="16"/>
      <c r="P36" s="16"/>
      <c r="Q36" s="16"/>
      <c r="R36" s="16"/>
      <c r="S36" s="16"/>
      <c r="T36" s="16"/>
      <c r="U36" s="16"/>
      <c r="V36" s="16"/>
      <c r="W36" s="16"/>
      <c r="X36" s="16"/>
      <c r="Y36" s="16"/>
      <c r="Z36" s="16"/>
      <c r="AA36" s="16"/>
      <c r="AB36" s="16"/>
      <c r="AC36" s="16"/>
      <c r="AD36" s="16" t="s">
        <v>866</v>
      </c>
    </row>
    <row r="37" spans="1:30" ht="13.5" customHeight="1" x14ac:dyDescent="0.35">
      <c r="A37" s="125" t="s">
        <v>390</v>
      </c>
      <c r="B37" s="16">
        <v>0</v>
      </c>
      <c r="C37" s="16">
        <v>0</v>
      </c>
      <c r="D37" s="16">
        <v>0</v>
      </c>
      <c r="E37" s="16">
        <v>0</v>
      </c>
      <c r="F37" s="16">
        <v>0</v>
      </c>
      <c r="G37" s="63">
        <v>0</v>
      </c>
      <c r="H37" s="16"/>
      <c r="I37" s="16"/>
      <c r="J37" s="16"/>
      <c r="K37" s="16"/>
      <c r="L37" s="16"/>
      <c r="M37" s="16"/>
      <c r="N37" s="16"/>
      <c r="O37" s="16"/>
      <c r="P37" s="16"/>
      <c r="Q37" s="16"/>
      <c r="R37" s="16"/>
      <c r="S37" s="16"/>
      <c r="T37" s="16"/>
      <c r="U37" s="16"/>
      <c r="V37" s="16"/>
      <c r="W37" s="16"/>
      <c r="X37" s="16"/>
      <c r="Y37" s="16"/>
      <c r="Z37" s="16"/>
      <c r="AA37" s="16"/>
      <c r="AB37" s="16"/>
      <c r="AC37" s="16"/>
      <c r="AD37" s="141" t="s">
        <v>823</v>
      </c>
    </row>
    <row r="38" spans="1:30" ht="13.5" customHeight="1" x14ac:dyDescent="0.35">
      <c r="A38" s="40" t="s">
        <v>646</v>
      </c>
      <c r="B38" s="16">
        <v>1</v>
      </c>
      <c r="C38" s="16">
        <v>1</v>
      </c>
      <c r="D38" s="16">
        <v>1</v>
      </c>
      <c r="E38" s="16">
        <v>1</v>
      </c>
      <c r="F38" s="16">
        <v>0</v>
      </c>
      <c r="G38" s="16">
        <v>0</v>
      </c>
      <c r="H38" s="16"/>
      <c r="I38" s="16"/>
      <c r="J38" s="16"/>
      <c r="K38" s="16"/>
      <c r="L38" s="16"/>
      <c r="M38" s="16"/>
      <c r="N38" s="16"/>
      <c r="O38" s="16"/>
      <c r="P38" s="16"/>
      <c r="Q38" s="16"/>
      <c r="R38" s="16"/>
      <c r="S38" s="16"/>
      <c r="T38" s="16"/>
      <c r="U38" s="16"/>
      <c r="V38" s="16"/>
      <c r="W38" s="16"/>
      <c r="X38" s="16"/>
      <c r="Y38" s="16"/>
      <c r="Z38" s="16"/>
      <c r="AA38" s="16"/>
      <c r="AB38" s="16"/>
      <c r="AC38" s="16"/>
      <c r="AD38" s="16" t="s">
        <v>867</v>
      </c>
    </row>
    <row r="39" spans="1:30" ht="13.5" customHeight="1" x14ac:dyDescent="0.35">
      <c r="A39" s="40" t="s">
        <v>647</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868</v>
      </c>
    </row>
    <row r="40" spans="1:30" ht="13.5" customHeight="1" x14ac:dyDescent="0.35">
      <c r="A40" s="125" t="s">
        <v>205</v>
      </c>
      <c r="B40" s="16">
        <v>0</v>
      </c>
      <c r="C40" s="16">
        <v>0</v>
      </c>
      <c r="D40" s="16">
        <v>0</v>
      </c>
      <c r="E40" s="16">
        <v>0</v>
      </c>
      <c r="F40" s="16">
        <v>0</v>
      </c>
      <c r="G40" s="63">
        <v>0</v>
      </c>
      <c r="H40" s="16"/>
      <c r="I40" s="16"/>
      <c r="J40" s="16"/>
      <c r="K40" s="16"/>
      <c r="L40" s="16"/>
      <c r="M40" s="16"/>
      <c r="N40" s="16"/>
      <c r="O40" s="16"/>
      <c r="P40" s="16"/>
      <c r="Q40" s="16"/>
      <c r="R40" s="16"/>
      <c r="S40" s="16"/>
      <c r="T40" s="16"/>
      <c r="U40" s="16"/>
      <c r="V40" s="16"/>
      <c r="W40" s="16"/>
      <c r="X40" s="16"/>
      <c r="Y40" s="16"/>
      <c r="Z40" s="16"/>
      <c r="AA40" s="16"/>
      <c r="AB40" s="16"/>
      <c r="AC40" s="16"/>
      <c r="AD40" s="141" t="s">
        <v>824</v>
      </c>
    </row>
    <row r="41" spans="1:30" ht="13.5" customHeight="1" x14ac:dyDescent="0.35">
      <c r="A41" s="40" t="s">
        <v>91</v>
      </c>
      <c r="B41" s="16">
        <v>0</v>
      </c>
      <c r="C41" s="16">
        <v>1</v>
      </c>
      <c r="D41" s="16">
        <v>1</v>
      </c>
      <c r="E41" s="16">
        <v>0</v>
      </c>
      <c r="F41" s="16">
        <v>0</v>
      </c>
      <c r="G41" s="16">
        <v>0</v>
      </c>
      <c r="H41" s="16"/>
      <c r="I41" s="16"/>
      <c r="J41" s="16"/>
      <c r="K41" s="16"/>
      <c r="L41" s="16"/>
      <c r="M41" s="16"/>
      <c r="N41" s="16"/>
      <c r="O41" s="16"/>
      <c r="P41" s="16"/>
      <c r="Q41" s="16"/>
      <c r="R41" s="16"/>
      <c r="S41" s="16"/>
      <c r="T41" s="16"/>
      <c r="U41" s="16"/>
      <c r="V41" s="16"/>
      <c r="W41" s="16"/>
      <c r="X41" s="16"/>
      <c r="Y41" s="16"/>
      <c r="Z41" s="16"/>
      <c r="AA41" s="16"/>
      <c r="AB41" s="16"/>
      <c r="AC41" s="16"/>
      <c r="AD41" s="16" t="s">
        <v>869</v>
      </c>
    </row>
    <row r="42" spans="1:30" s="15" customFormat="1" ht="13.5" customHeight="1" x14ac:dyDescent="0.35">
      <c r="A42" s="63" t="s">
        <v>809</v>
      </c>
      <c r="B42" s="16">
        <v>0</v>
      </c>
      <c r="C42" s="16">
        <v>0</v>
      </c>
      <c r="D42" s="16">
        <v>0</v>
      </c>
      <c r="E42" s="16">
        <v>1</v>
      </c>
      <c r="F42" s="16">
        <v>1</v>
      </c>
      <c r="G42" s="16">
        <v>0</v>
      </c>
      <c r="H42" s="16"/>
      <c r="I42" s="16"/>
      <c r="J42" s="16"/>
      <c r="K42" s="16"/>
      <c r="L42" s="16"/>
      <c r="M42" s="16"/>
      <c r="N42" s="16"/>
      <c r="O42" s="16"/>
      <c r="P42" s="16"/>
      <c r="Q42" s="16"/>
      <c r="R42" s="16"/>
      <c r="S42" s="16"/>
      <c r="T42" s="16"/>
      <c r="U42" s="16"/>
      <c r="V42" s="16"/>
      <c r="W42" s="16"/>
      <c r="X42" s="16"/>
      <c r="Y42" s="16"/>
      <c r="Z42" s="16"/>
      <c r="AA42" s="16"/>
      <c r="AB42" s="16"/>
      <c r="AC42" s="16"/>
      <c r="AD42" s="142" t="s">
        <v>814</v>
      </c>
    </row>
    <row r="43" spans="1:30" ht="13.5" customHeight="1" x14ac:dyDescent="0.35">
      <c r="A43" s="40" t="s">
        <v>649</v>
      </c>
      <c r="B43" s="16">
        <v>1</v>
      </c>
      <c r="C43" s="16">
        <v>1</v>
      </c>
      <c r="D43" s="16">
        <v>1</v>
      </c>
      <c r="E43" s="16">
        <v>1</v>
      </c>
      <c r="F43" s="16">
        <v>0</v>
      </c>
      <c r="G43" s="16">
        <v>0</v>
      </c>
      <c r="H43" s="16"/>
      <c r="I43" s="16"/>
      <c r="J43" s="16"/>
      <c r="K43" s="16"/>
      <c r="L43" s="16"/>
      <c r="M43" s="16"/>
      <c r="N43" s="16"/>
      <c r="O43" s="16"/>
      <c r="P43" s="16"/>
      <c r="Q43" s="16"/>
      <c r="R43" s="16"/>
      <c r="S43" s="16"/>
      <c r="T43" s="16"/>
      <c r="U43" s="16"/>
      <c r="V43" s="16"/>
      <c r="W43" s="16"/>
      <c r="X43" s="16"/>
      <c r="Y43" s="16"/>
      <c r="Z43" s="16"/>
      <c r="AA43" s="16"/>
      <c r="AB43" s="16"/>
      <c r="AC43" s="16"/>
      <c r="AD43" s="16" t="s">
        <v>870</v>
      </c>
    </row>
    <row r="44" spans="1:30" ht="13.5" customHeight="1" x14ac:dyDescent="0.35">
      <c r="A44" s="40" t="s">
        <v>100</v>
      </c>
      <c r="B44" s="16">
        <v>0</v>
      </c>
      <c r="C44" s="16">
        <v>1</v>
      </c>
      <c r="D44" s="16">
        <v>0</v>
      </c>
      <c r="E44" s="16">
        <v>0</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871</v>
      </c>
    </row>
    <row r="45" spans="1:30" ht="13.5" customHeight="1" x14ac:dyDescent="0.35">
      <c r="A45" s="40" t="s">
        <v>119</v>
      </c>
      <c r="B45" s="16">
        <v>1</v>
      </c>
      <c r="C45" s="16">
        <v>0</v>
      </c>
      <c r="D45" s="16">
        <v>0</v>
      </c>
      <c r="E45" s="16">
        <v>1</v>
      </c>
      <c r="F45" s="16">
        <v>1</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872</v>
      </c>
    </row>
    <row r="46" spans="1:30" ht="13.5" customHeight="1" x14ac:dyDescent="0.35">
      <c r="A46" s="40" t="s">
        <v>122</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125" t="s">
        <v>253</v>
      </c>
      <c r="B47" s="16">
        <v>1</v>
      </c>
      <c r="C47" s="16">
        <v>1</v>
      </c>
      <c r="D47" s="16">
        <v>1</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41" t="s">
        <v>825</v>
      </c>
    </row>
    <row r="48" spans="1:30" ht="13.5" customHeight="1" x14ac:dyDescent="0.35">
      <c r="A48" s="40" t="s">
        <v>650</v>
      </c>
      <c r="B48" s="16">
        <v>1</v>
      </c>
      <c r="C48" s="16">
        <v>1</v>
      </c>
      <c r="D48" s="16">
        <v>1</v>
      </c>
      <c r="E48" s="16">
        <v>1</v>
      </c>
      <c r="F48" s="16">
        <v>0</v>
      </c>
      <c r="G48" s="16">
        <v>0</v>
      </c>
      <c r="H48" s="16"/>
      <c r="I48" s="16"/>
      <c r="J48" s="16"/>
      <c r="K48" s="16"/>
      <c r="L48" s="16"/>
      <c r="M48" s="16"/>
      <c r="N48" s="16"/>
      <c r="O48" s="16"/>
      <c r="P48" s="16"/>
      <c r="Q48" s="16"/>
      <c r="R48" s="16"/>
      <c r="S48" s="16"/>
      <c r="T48" s="16"/>
      <c r="U48" s="16"/>
      <c r="V48" s="16"/>
      <c r="W48" s="16"/>
      <c r="X48" s="16"/>
      <c r="Y48" s="16"/>
      <c r="Z48" s="16"/>
      <c r="AA48" s="16"/>
      <c r="AB48" s="16"/>
      <c r="AC48" s="16"/>
      <c r="AD48" s="16" t="s">
        <v>873</v>
      </c>
    </row>
    <row r="49" spans="1:30" ht="13.5" customHeight="1" x14ac:dyDescent="0.35">
      <c r="A49" s="40" t="s">
        <v>651</v>
      </c>
      <c r="B49" s="16">
        <v>1</v>
      </c>
      <c r="C49" s="16">
        <v>1</v>
      </c>
      <c r="D49" s="16">
        <v>1</v>
      </c>
      <c r="E49" s="16">
        <v>1</v>
      </c>
      <c r="F49" s="16">
        <v>0</v>
      </c>
      <c r="G49" s="16">
        <v>1</v>
      </c>
      <c r="H49" s="16"/>
      <c r="I49" s="16"/>
      <c r="J49" s="16"/>
      <c r="K49" s="16"/>
      <c r="L49" s="16"/>
      <c r="M49" s="16"/>
      <c r="N49" s="16"/>
      <c r="O49" s="16"/>
      <c r="P49" s="16"/>
      <c r="Q49" s="16"/>
      <c r="R49" s="16"/>
      <c r="S49" s="16"/>
      <c r="T49" s="16"/>
      <c r="U49" s="16"/>
      <c r="V49" s="16"/>
      <c r="W49" s="16"/>
      <c r="X49" s="16"/>
      <c r="Y49" s="16"/>
      <c r="Z49" s="16"/>
      <c r="AA49" s="16"/>
      <c r="AB49" s="16"/>
      <c r="AC49" s="16"/>
      <c r="AD49" s="16" t="s">
        <v>874</v>
      </c>
    </row>
    <row r="50" spans="1:30" ht="13.5" customHeight="1" x14ac:dyDescent="0.35">
      <c r="A50" s="40" t="s">
        <v>144</v>
      </c>
      <c r="B50" s="16">
        <v>1</v>
      </c>
      <c r="C50" s="16">
        <v>1</v>
      </c>
      <c r="D50" s="16">
        <v>1</v>
      </c>
      <c r="E50" s="16">
        <v>1</v>
      </c>
      <c r="F50" s="16">
        <v>0</v>
      </c>
      <c r="G50" s="16">
        <v>0</v>
      </c>
      <c r="H50" s="16"/>
      <c r="I50" s="16"/>
      <c r="J50" s="16"/>
      <c r="K50" s="16"/>
      <c r="L50" s="16"/>
      <c r="M50" s="16"/>
      <c r="N50" s="16"/>
      <c r="O50" s="16"/>
      <c r="P50" s="16"/>
      <c r="Q50" s="16"/>
      <c r="R50" s="16"/>
      <c r="S50" s="16"/>
      <c r="T50" s="16"/>
      <c r="U50" s="16"/>
      <c r="V50" s="16"/>
      <c r="W50" s="16"/>
      <c r="X50" s="16"/>
      <c r="Y50" s="16"/>
      <c r="Z50" s="16"/>
      <c r="AA50" s="16"/>
      <c r="AB50" s="16"/>
      <c r="AC50" s="16"/>
      <c r="AD50" s="16" t="s">
        <v>875</v>
      </c>
    </row>
    <row r="51" spans="1:30" s="15" customFormat="1" ht="13.5" customHeight="1" x14ac:dyDescent="0.3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s="15" customFormat="1" ht="13.5" customHeight="1" x14ac:dyDescent="0.35">
      <c r="A52" s="16" t="s">
        <v>614</v>
      </c>
      <c r="B52" s="7">
        <v>1</v>
      </c>
      <c r="C52" s="7">
        <v>1</v>
      </c>
      <c r="D52" s="7">
        <v>1</v>
      </c>
      <c r="E52" s="7">
        <v>1</v>
      </c>
      <c r="F52" s="7">
        <v>1</v>
      </c>
      <c r="G52" s="7">
        <v>0</v>
      </c>
      <c r="H52" s="16"/>
      <c r="I52" s="16"/>
      <c r="J52" s="16"/>
      <c r="K52" s="16"/>
      <c r="L52" s="16"/>
      <c r="M52" s="16"/>
      <c r="N52" s="16"/>
      <c r="O52" s="16"/>
      <c r="P52" s="16"/>
      <c r="Q52" s="16"/>
      <c r="R52" s="16"/>
      <c r="S52" s="16"/>
      <c r="T52" s="16"/>
      <c r="U52" s="16"/>
      <c r="V52" s="16"/>
      <c r="W52" s="16"/>
      <c r="X52" s="16"/>
      <c r="Y52" s="16"/>
      <c r="Z52" s="16"/>
      <c r="AA52" s="16"/>
      <c r="AB52" s="16"/>
      <c r="AC52" s="16"/>
      <c r="AD52" s="141" t="s">
        <v>843</v>
      </c>
    </row>
    <row r="53" spans="1:30" s="15" customFormat="1" ht="13.5" customHeight="1" x14ac:dyDescent="0.35">
      <c r="A53" s="16" t="s">
        <v>615</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844</v>
      </c>
    </row>
    <row r="54" spans="1:30" ht="13.5" customHeight="1" x14ac:dyDescent="0.35">
      <c r="A54" s="18" t="s">
        <v>417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ht="13.5" customHeight="1" x14ac:dyDescent="0.35">
      <c r="A55" s="4" t="s">
        <v>395</v>
      </c>
      <c r="B55" s="16">
        <v>512</v>
      </c>
      <c r="C55" s="16">
        <v>512</v>
      </c>
      <c r="D55" s="16">
        <v>512</v>
      </c>
      <c r="E55" s="16">
        <v>512</v>
      </c>
      <c r="F55" s="16">
        <v>512</v>
      </c>
      <c r="G55" s="16">
        <v>512</v>
      </c>
      <c r="H55" s="16"/>
      <c r="I55" s="16"/>
      <c r="J55" s="16"/>
      <c r="K55" s="16"/>
      <c r="L55" s="16"/>
      <c r="M55" s="16"/>
      <c r="N55" s="16"/>
      <c r="O55" s="16"/>
      <c r="P55" s="16"/>
      <c r="Q55" s="16"/>
      <c r="R55" s="16"/>
      <c r="S55" s="16"/>
      <c r="T55" s="16"/>
      <c r="U55" s="16"/>
      <c r="V55" s="16"/>
      <c r="W55" s="16"/>
      <c r="X55" s="16"/>
      <c r="Y55" s="16"/>
      <c r="Z55" s="16"/>
      <c r="AA55" s="16"/>
      <c r="AB55" s="16"/>
      <c r="AC55" s="16"/>
      <c r="AD55" s="141" t="s">
        <v>839</v>
      </c>
    </row>
    <row r="56" spans="1:30" ht="12.5" customHeight="1" x14ac:dyDescent="0.35">
      <c r="A56" s="4" t="s">
        <v>396</v>
      </c>
      <c r="B56" s="16">
        <v>32</v>
      </c>
      <c r="C56" s="16">
        <v>32</v>
      </c>
      <c r="D56" s="16">
        <v>32</v>
      </c>
      <c r="E56" s="16">
        <v>32</v>
      </c>
      <c r="F56" s="16">
        <v>32</v>
      </c>
      <c r="G56" s="16">
        <v>32</v>
      </c>
      <c r="H56" s="16"/>
      <c r="I56" s="16"/>
      <c r="J56" s="16"/>
      <c r="K56" s="16"/>
      <c r="L56" s="16"/>
      <c r="M56" s="16"/>
      <c r="N56" s="16"/>
      <c r="O56" s="16"/>
      <c r="P56" s="16"/>
      <c r="Q56" s="16"/>
      <c r="R56" s="16"/>
      <c r="S56" s="16"/>
      <c r="T56" s="16"/>
      <c r="U56" s="16"/>
      <c r="V56" s="16"/>
      <c r="W56" s="16"/>
      <c r="X56" s="16"/>
      <c r="Y56" s="16"/>
      <c r="Z56" s="16"/>
      <c r="AA56" s="16"/>
      <c r="AB56" s="16"/>
      <c r="AC56" s="16"/>
      <c r="AD56" s="141" t="s">
        <v>840</v>
      </c>
    </row>
    <row r="57" spans="1:30" ht="12.5" customHeight="1" x14ac:dyDescent="0.35">
      <c r="A57" s="4" t="s">
        <v>397</v>
      </c>
      <c r="B57" s="16">
        <v>256</v>
      </c>
      <c r="C57" s="16">
        <v>256</v>
      </c>
      <c r="D57" s="16">
        <v>256</v>
      </c>
      <c r="E57" s="16">
        <v>256</v>
      </c>
      <c r="F57" s="16">
        <v>256</v>
      </c>
      <c r="G57" s="16">
        <v>256</v>
      </c>
      <c r="H57" s="16"/>
      <c r="I57" s="16"/>
      <c r="J57" s="16"/>
      <c r="K57" s="16"/>
      <c r="L57" s="16"/>
      <c r="M57" s="16"/>
      <c r="N57" s="16"/>
      <c r="O57" s="16"/>
      <c r="P57" s="16"/>
      <c r="Q57" s="16"/>
      <c r="R57" s="16"/>
      <c r="S57" s="16"/>
      <c r="T57" s="16"/>
      <c r="U57" s="16"/>
      <c r="V57" s="16"/>
      <c r="W57" s="16"/>
      <c r="X57" s="16"/>
      <c r="Y57" s="16"/>
      <c r="Z57" s="16"/>
      <c r="AA57" s="16"/>
      <c r="AB57" s="16"/>
      <c r="AC57" s="16"/>
      <c r="AD57" s="141" t="s">
        <v>841</v>
      </c>
    </row>
    <row r="58" spans="1:30" s="15" customFormat="1" ht="12.5" customHeight="1" x14ac:dyDescent="0.35">
      <c r="A58" s="4" t="s">
        <v>398</v>
      </c>
      <c r="B58" s="16">
        <v>0</v>
      </c>
      <c r="C58" s="16">
        <v>0</v>
      </c>
      <c r="D58" s="16">
        <v>0</v>
      </c>
      <c r="E58" s="16">
        <v>256</v>
      </c>
      <c r="F58" s="16">
        <v>256</v>
      </c>
      <c r="G58" s="63">
        <v>0</v>
      </c>
      <c r="H58" s="16"/>
      <c r="I58" s="16"/>
      <c r="J58" s="16"/>
      <c r="K58" s="16"/>
      <c r="L58" s="16"/>
      <c r="M58" s="16"/>
      <c r="N58" s="16"/>
      <c r="O58" s="16"/>
      <c r="P58" s="16"/>
      <c r="Q58" s="16"/>
      <c r="R58" s="16"/>
      <c r="S58" s="16"/>
      <c r="T58" s="16"/>
      <c r="U58" s="16"/>
      <c r="V58" s="16"/>
      <c r="W58" s="16"/>
      <c r="X58" s="16"/>
      <c r="Y58" s="16"/>
      <c r="Z58" s="16"/>
      <c r="AA58" s="16"/>
      <c r="AB58" s="16"/>
      <c r="AC58" s="16"/>
      <c r="AD58" s="141" t="s">
        <v>842</v>
      </c>
    </row>
    <row r="59" spans="1:30" ht="12.5" customHeight="1" x14ac:dyDescent="0.35">
      <c r="A59" s="4" t="s">
        <v>422</v>
      </c>
      <c r="B59" s="16">
        <v>0</v>
      </c>
      <c r="C59" s="16">
        <v>0</v>
      </c>
      <c r="D59" s="16">
        <v>0</v>
      </c>
      <c r="E59" s="16">
        <v>0</v>
      </c>
      <c r="F59" s="16">
        <v>0</v>
      </c>
      <c r="G59" s="16">
        <v>1</v>
      </c>
      <c r="H59" s="16"/>
      <c r="I59" s="16"/>
      <c r="J59" s="16"/>
      <c r="K59" s="16"/>
      <c r="L59" s="16"/>
      <c r="M59" s="16"/>
      <c r="N59" s="16"/>
      <c r="O59" s="16"/>
      <c r="P59" s="16"/>
      <c r="Q59" s="16"/>
      <c r="R59" s="16"/>
      <c r="S59" s="16"/>
      <c r="T59" s="16"/>
      <c r="U59" s="16"/>
      <c r="V59" s="16"/>
      <c r="W59" s="16"/>
      <c r="X59" s="16"/>
      <c r="Y59" s="16"/>
      <c r="Z59" s="16"/>
      <c r="AA59" s="16"/>
      <c r="AB59" s="16"/>
      <c r="AC59" s="16"/>
      <c r="AD59" s="141" t="s">
        <v>834</v>
      </c>
    </row>
    <row r="60" spans="1:30" s="15" customFormat="1" ht="12.5" customHeight="1" x14ac:dyDescent="0.35">
      <c r="A60" s="18" t="s">
        <v>418</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row>
    <row r="61" spans="1:30" ht="12.5" customHeight="1" x14ac:dyDescent="0.35">
      <c r="A61" s="41" t="s">
        <v>16</v>
      </c>
      <c r="B61" s="16">
        <v>768</v>
      </c>
      <c r="C61" s="16">
        <v>768</v>
      </c>
      <c r="D61" s="16">
        <v>768</v>
      </c>
      <c r="E61" s="16">
        <v>768</v>
      </c>
      <c r="F61" s="16">
        <v>768</v>
      </c>
      <c r="G61" s="16">
        <v>768</v>
      </c>
      <c r="H61" s="16"/>
      <c r="I61" s="16"/>
      <c r="J61" s="16"/>
      <c r="K61" s="16"/>
      <c r="L61" s="16"/>
      <c r="M61" s="16"/>
      <c r="N61" s="16"/>
      <c r="O61" s="16"/>
      <c r="P61" s="16"/>
      <c r="Q61" s="16"/>
      <c r="R61" s="16"/>
      <c r="S61" s="16"/>
      <c r="T61" s="16"/>
      <c r="U61" s="16"/>
      <c r="V61" s="16"/>
      <c r="W61" s="16"/>
      <c r="X61" s="16"/>
      <c r="Y61" s="16"/>
      <c r="Z61" s="16"/>
      <c r="AA61" s="16"/>
      <c r="AB61" s="16"/>
      <c r="AC61" s="16"/>
      <c r="AD61" s="141" t="s">
        <v>835</v>
      </c>
    </row>
    <row r="62" spans="1:30" ht="12.5" customHeight="1" x14ac:dyDescent="0.35">
      <c r="A62" s="41" t="s">
        <v>399</v>
      </c>
      <c r="B62" s="16">
        <v>32</v>
      </c>
      <c r="C62" s="16">
        <v>32</v>
      </c>
      <c r="D62" s="16">
        <v>32</v>
      </c>
      <c r="E62" s="16">
        <v>160</v>
      </c>
      <c r="F62" s="16">
        <v>160</v>
      </c>
      <c r="G62" s="63">
        <v>192</v>
      </c>
      <c r="H62" s="16"/>
      <c r="I62" s="16"/>
      <c r="J62" s="16"/>
      <c r="K62" s="16"/>
      <c r="L62" s="16"/>
      <c r="M62" s="16"/>
      <c r="N62" s="16"/>
      <c r="O62" s="16"/>
      <c r="P62" s="16"/>
      <c r="Q62" s="16"/>
      <c r="R62" s="16"/>
      <c r="S62" s="16"/>
      <c r="T62" s="16"/>
      <c r="U62" s="16"/>
      <c r="V62" s="16"/>
      <c r="W62" s="16"/>
      <c r="X62" s="16"/>
      <c r="Y62" s="16"/>
      <c r="Z62" s="16"/>
      <c r="AA62" s="16"/>
      <c r="AB62" s="16"/>
      <c r="AC62" s="16"/>
      <c r="AD62" s="16" t="s">
        <v>836</v>
      </c>
    </row>
    <row r="63" spans="1:30" ht="12.5" customHeight="1" x14ac:dyDescent="0.35">
      <c r="A63" s="41" t="s">
        <v>21</v>
      </c>
      <c r="B63" s="16">
        <v>0</v>
      </c>
      <c r="C63" s="16">
        <v>0</v>
      </c>
      <c r="D63" s="16">
        <v>0</v>
      </c>
      <c r="E63" s="16">
        <v>0</v>
      </c>
      <c r="F63" s="63">
        <v>0</v>
      </c>
      <c r="G63" s="16">
        <v>0</v>
      </c>
      <c r="H63" s="16"/>
      <c r="I63" s="16"/>
      <c r="J63" s="16"/>
      <c r="K63" s="16"/>
      <c r="L63" s="16"/>
      <c r="M63" s="16"/>
      <c r="N63" s="16"/>
      <c r="O63" s="16"/>
      <c r="P63" s="16"/>
      <c r="Q63" s="16"/>
      <c r="R63" s="16"/>
      <c r="S63" s="16"/>
      <c r="T63" s="16"/>
      <c r="U63" s="16"/>
      <c r="V63" s="16"/>
      <c r="W63" s="16"/>
      <c r="X63" s="16"/>
      <c r="Y63" s="16"/>
      <c r="Z63" s="16"/>
      <c r="AA63" s="16"/>
      <c r="AB63" s="16"/>
      <c r="AC63" s="16"/>
      <c r="AD63" s="16" t="s">
        <v>837</v>
      </c>
    </row>
    <row r="64" spans="1:30" s="15" customFormat="1" ht="12.5" customHeight="1" x14ac:dyDescent="0.35">
      <c r="A64" s="41" t="s">
        <v>22</v>
      </c>
      <c r="B64" s="16">
        <v>32</v>
      </c>
      <c r="C64" s="16">
        <v>32</v>
      </c>
      <c r="D64" s="16">
        <v>32</v>
      </c>
      <c r="E64" s="16">
        <v>32</v>
      </c>
      <c r="F64" s="16">
        <v>32</v>
      </c>
      <c r="G64" s="16">
        <v>32</v>
      </c>
      <c r="H64" s="16"/>
      <c r="I64" s="16"/>
      <c r="J64" s="16"/>
      <c r="K64" s="16"/>
      <c r="L64" s="16"/>
      <c r="M64" s="16"/>
      <c r="N64" s="16"/>
      <c r="O64" s="16"/>
      <c r="P64" s="16"/>
      <c r="Q64" s="16"/>
      <c r="R64" s="16"/>
      <c r="S64" s="16"/>
      <c r="T64" s="16"/>
      <c r="U64" s="16"/>
      <c r="V64" s="16"/>
      <c r="W64" s="16"/>
      <c r="X64" s="16"/>
      <c r="Y64" s="16"/>
      <c r="Z64" s="16"/>
      <c r="AA64" s="16"/>
      <c r="AB64" s="16"/>
      <c r="AC64" s="16"/>
      <c r="AD64" s="16" t="s">
        <v>838</v>
      </c>
    </row>
    <row r="65" spans="1:30" ht="12.5" customHeight="1" x14ac:dyDescent="0.35">
      <c r="A65" s="41" t="s">
        <v>423</v>
      </c>
      <c r="B65" s="16">
        <v>0</v>
      </c>
      <c r="C65" s="16">
        <v>0</v>
      </c>
      <c r="D65" s="16">
        <v>0</v>
      </c>
      <c r="E65" s="16">
        <v>0</v>
      </c>
      <c r="F65" s="16">
        <v>0</v>
      </c>
      <c r="G65" s="63">
        <v>0</v>
      </c>
      <c r="H65" s="16"/>
      <c r="I65" s="16"/>
      <c r="J65" s="16"/>
      <c r="K65" s="16"/>
      <c r="L65" s="16"/>
      <c r="M65" s="16"/>
      <c r="N65" s="16"/>
      <c r="O65" s="16"/>
      <c r="P65" s="16"/>
      <c r="Q65" s="16"/>
      <c r="R65" s="16"/>
      <c r="S65" s="16"/>
      <c r="T65" s="16"/>
      <c r="U65" s="16"/>
      <c r="V65" s="16"/>
      <c r="W65" s="16"/>
      <c r="X65" s="16"/>
      <c r="Y65" s="16"/>
      <c r="Z65" s="16"/>
      <c r="AA65" s="16"/>
      <c r="AB65" s="16"/>
      <c r="AC65" s="16"/>
      <c r="AD65" s="141" t="s">
        <v>833</v>
      </c>
    </row>
    <row r="66" spans="1:30" s="15" customFormat="1" ht="12.5" customHeight="1" x14ac:dyDescent="0.35">
      <c r="A66" s="185" t="s">
        <v>884</v>
      </c>
      <c r="B66" s="16">
        <v>0</v>
      </c>
      <c r="C66" s="16">
        <v>0</v>
      </c>
      <c r="D66" s="16">
        <v>0</v>
      </c>
      <c r="E66" s="63">
        <v>320</v>
      </c>
      <c r="F66" s="63">
        <v>320</v>
      </c>
      <c r="G66" s="16">
        <v>0</v>
      </c>
      <c r="H66" s="16"/>
      <c r="I66" s="16"/>
      <c r="J66" s="16"/>
      <c r="K66" s="16"/>
      <c r="L66" s="16"/>
      <c r="M66" s="16"/>
      <c r="N66" s="16"/>
      <c r="O66" s="16"/>
      <c r="P66" s="16"/>
      <c r="Q66" s="16"/>
      <c r="R66" s="16"/>
      <c r="S66" s="16"/>
      <c r="T66" s="16"/>
      <c r="U66" s="16"/>
      <c r="V66" s="16"/>
      <c r="W66" s="16"/>
      <c r="X66" s="16"/>
      <c r="Y66" s="16"/>
      <c r="Z66" s="16"/>
      <c r="AA66" s="16"/>
      <c r="AB66" s="16"/>
      <c r="AC66" s="16"/>
      <c r="AD66" s="141" t="s">
        <v>883</v>
      </c>
    </row>
    <row r="67" spans="1:30" ht="12.5" customHeight="1" x14ac:dyDescent="0.35">
      <c r="A67" s="18" t="s">
        <v>623</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ht="12.5" customHeight="1" x14ac:dyDescent="0.35">
      <c r="A68" s="2" t="s">
        <v>618</v>
      </c>
      <c r="B68" s="16">
        <f>HEX2DEC(40)*8</f>
        <v>512</v>
      </c>
      <c r="C68" s="16">
        <v>512</v>
      </c>
      <c r="D68" s="16">
        <v>512</v>
      </c>
      <c r="E68" s="16">
        <f>HEX2DEC(40)*8</f>
        <v>512</v>
      </c>
      <c r="F68" s="16">
        <f>HEX2DEC(40)*8</f>
        <v>512</v>
      </c>
      <c r="G68" s="16">
        <v>0</v>
      </c>
      <c r="H68" s="16"/>
      <c r="I68" s="16"/>
      <c r="J68" s="16"/>
      <c r="K68" s="16"/>
      <c r="L68" s="16"/>
      <c r="M68" s="16"/>
      <c r="N68" s="16"/>
      <c r="O68" s="16"/>
      <c r="P68" s="16"/>
      <c r="Q68" s="16"/>
      <c r="R68" s="16"/>
      <c r="S68" s="16"/>
      <c r="T68" s="16"/>
      <c r="U68" s="16"/>
      <c r="V68" s="16"/>
      <c r="W68" s="16"/>
      <c r="X68" s="16"/>
      <c r="Y68" s="16"/>
      <c r="Z68" s="16"/>
      <c r="AA68" s="16"/>
      <c r="AB68" s="16"/>
      <c r="AC68" s="16"/>
      <c r="AD68" s="141" t="s">
        <v>828</v>
      </c>
    </row>
    <row r="69" spans="1:30" ht="12.5" customHeight="1" x14ac:dyDescent="0.35">
      <c r="A69" s="2" t="s">
        <v>619</v>
      </c>
      <c r="B69" s="16">
        <f>HEX2DEC(40)*8</f>
        <v>512</v>
      </c>
      <c r="C69" s="16">
        <v>512</v>
      </c>
      <c r="D69" s="16">
        <v>512</v>
      </c>
      <c r="E69" s="57">
        <v>0</v>
      </c>
      <c r="F69" s="16">
        <v>0</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829</v>
      </c>
    </row>
    <row r="70" spans="1:30" ht="12.5" customHeight="1" x14ac:dyDescent="0.35">
      <c r="A70" s="2" t="s">
        <v>621</v>
      </c>
      <c r="B70" s="16">
        <f>HEX2DEC(40)*8</f>
        <v>512</v>
      </c>
      <c r="C70" s="16">
        <v>512</v>
      </c>
      <c r="D70" s="16">
        <v>512</v>
      </c>
      <c r="E70" s="16">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830</v>
      </c>
    </row>
    <row r="71" spans="1:30" ht="12.5" customHeight="1" x14ac:dyDescent="0.35">
      <c r="A71" s="2" t="s">
        <v>669</v>
      </c>
      <c r="B71" s="16">
        <f>2048/32</f>
        <v>64</v>
      </c>
      <c r="C71" s="16">
        <f>2048/32</f>
        <v>64</v>
      </c>
      <c r="D71" s="16">
        <f>2048/32</f>
        <v>64</v>
      </c>
      <c r="E71" s="57">
        <v>64</v>
      </c>
      <c r="F71" s="16">
        <f>2048/32</f>
        <v>64</v>
      </c>
      <c r="G71" s="16">
        <f>0/32</f>
        <v>0</v>
      </c>
      <c r="H71" s="16"/>
      <c r="I71" s="16"/>
      <c r="J71" s="16"/>
      <c r="K71" s="16"/>
      <c r="L71" s="16"/>
      <c r="M71" s="16"/>
      <c r="N71" s="16"/>
      <c r="O71" s="16"/>
      <c r="P71" s="16"/>
      <c r="Q71" s="16"/>
      <c r="R71" s="16"/>
      <c r="S71" s="16"/>
      <c r="T71" s="16"/>
      <c r="U71" s="16"/>
      <c r="V71" s="16"/>
      <c r="W71" s="16"/>
      <c r="X71" s="16"/>
      <c r="Y71" s="16"/>
      <c r="Z71" s="16"/>
      <c r="AA71" s="16"/>
      <c r="AB71" s="16"/>
      <c r="AC71" s="16"/>
      <c r="AD71" s="141" t="s">
        <v>831</v>
      </c>
    </row>
    <row r="72" spans="1:30" ht="12.5" customHeight="1" x14ac:dyDescent="0.35">
      <c r="A72" s="2" t="s">
        <v>626</v>
      </c>
      <c r="B72" s="16">
        <v>0</v>
      </c>
      <c r="C72" s="16">
        <v>0</v>
      </c>
      <c r="D72" s="16">
        <v>0</v>
      </c>
      <c r="E72" s="16">
        <v>0</v>
      </c>
      <c r="F72" s="16">
        <v>0</v>
      </c>
      <c r="G72" s="63">
        <v>0</v>
      </c>
      <c r="H72" s="16"/>
      <c r="I72" s="16"/>
      <c r="J72" s="16"/>
      <c r="K72" s="16"/>
      <c r="L72" s="16"/>
      <c r="M72" s="16"/>
      <c r="N72" s="16"/>
      <c r="O72" s="16"/>
      <c r="P72" s="16"/>
      <c r="Q72" s="16"/>
      <c r="R72" s="16"/>
      <c r="S72" s="16"/>
      <c r="T72" s="16"/>
      <c r="U72" s="16"/>
      <c r="V72" s="16"/>
      <c r="W72" s="16"/>
      <c r="X72" s="16"/>
      <c r="Y72" s="16"/>
      <c r="Z72" s="16"/>
      <c r="AA72" s="16"/>
      <c r="AB72" s="16"/>
      <c r="AC72" s="16"/>
      <c r="AD72" s="141" t="s">
        <v>832</v>
      </c>
    </row>
  </sheetData>
  <mergeCells count="2">
    <mergeCell ref="E2:G2"/>
    <mergeCell ref="C2:D2"/>
  </mergeCells>
  <conditionalFormatting sqref="A55">
    <cfRule type="cellIs" dxfId="554" priority="10" operator="equal">
      <formula>0</formula>
    </cfRule>
  </conditionalFormatting>
  <conditionalFormatting sqref="A56">
    <cfRule type="cellIs" dxfId="553" priority="9" operator="equal">
      <formula>0</formula>
    </cfRule>
  </conditionalFormatting>
  <conditionalFormatting sqref="A57">
    <cfRule type="cellIs" dxfId="552" priority="8" operator="equal">
      <formula>0</formula>
    </cfRule>
  </conditionalFormatting>
  <conditionalFormatting sqref="A59">
    <cfRule type="cellIs" dxfId="551" priority="7" operator="equal">
      <formula>0</formula>
    </cfRule>
  </conditionalFormatting>
  <conditionalFormatting sqref="A61 A66">
    <cfRule type="cellIs" priority="6" operator="equal">
      <formula>0</formula>
    </cfRule>
  </conditionalFormatting>
  <conditionalFormatting sqref="A62">
    <cfRule type="cellIs" dxfId="550" priority="5" operator="equal">
      <formula>0</formula>
    </cfRule>
  </conditionalFormatting>
  <conditionalFormatting sqref="A63">
    <cfRule type="cellIs" dxfId="549" priority="3" operator="equal">
      <formula>0</formula>
    </cfRule>
    <cfRule type="cellIs" dxfId="548" priority="4" operator="equal">
      <formula>0</formula>
    </cfRule>
  </conditionalFormatting>
  <conditionalFormatting sqref="A58">
    <cfRule type="cellIs" dxfId="547"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0" width="10.7265625" style="15" bestFit="1" customWidth="1"/>
    <col min="11" max="11" width="11.36328125" style="15"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45"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46" t="s">
        <v>367</v>
      </c>
      <c r="N3" s="249" t="s">
        <v>14</v>
      </c>
      <c r="O3" s="250">
        <f ca="1">($G3+$G4+$G5+$G6+$G7)</f>
        <v>1056</v>
      </c>
    </row>
    <row r="4" spans="1:15" ht="15" customHeight="1" x14ac:dyDescent="0.35">
      <c r="A4" s="245"/>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47"/>
      <c r="N4" s="247"/>
      <c r="O4" s="251"/>
    </row>
    <row r="5" spans="1:15" ht="15" customHeight="1" x14ac:dyDescent="0.35">
      <c r="A5" s="245"/>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47"/>
      <c r="N5" s="247"/>
      <c r="O5" s="251"/>
    </row>
    <row r="6" spans="1:15" ht="15" customHeight="1" x14ac:dyDescent="0.35">
      <c r="A6" s="245"/>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47"/>
      <c r="N6" s="247"/>
      <c r="O6" s="251"/>
    </row>
    <row r="7" spans="1:15" ht="15" customHeight="1" thickBot="1" x14ac:dyDescent="0.4">
      <c r="A7" s="245"/>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48"/>
      <c r="N7" s="248"/>
      <c r="O7" s="252"/>
    </row>
    <row r="8" spans="1:15" ht="14.5" customHeight="1" x14ac:dyDescent="0.35">
      <c r="A8" s="260"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3" t="s">
        <v>368</v>
      </c>
      <c r="N8" s="256" t="s">
        <v>20</v>
      </c>
      <c r="O8" s="258">
        <f ca="1">($G8+$G9+$G10+$G13)</f>
        <v>960</v>
      </c>
    </row>
    <row r="9" spans="1:15" ht="14.5" customHeight="1" x14ac:dyDescent="0.35">
      <c r="A9" s="261"/>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4"/>
      <c r="N9" s="247"/>
      <c r="O9" s="251"/>
    </row>
    <row r="10" spans="1:15" ht="15" customHeight="1" x14ac:dyDescent="0.35">
      <c r="A10" s="261"/>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4"/>
      <c r="N10" s="247"/>
      <c r="O10" s="251"/>
    </row>
    <row r="11" spans="1:15" ht="15" customHeight="1" x14ac:dyDescent="0.35">
      <c r="A11" s="261"/>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4"/>
      <c r="N11" s="247"/>
      <c r="O11" s="251"/>
    </row>
    <row r="12" spans="1:15" ht="15" customHeight="1" x14ac:dyDescent="0.35">
      <c r="A12" s="261"/>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55"/>
      <c r="N12" s="257"/>
      <c r="O12" s="259"/>
    </row>
    <row r="13" spans="1:15" ht="15" customHeight="1" thickBot="1" x14ac:dyDescent="0.4">
      <c r="A13" s="262"/>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55"/>
      <c r="N13" s="257"/>
      <c r="O13" s="259"/>
    </row>
    <row r="14" spans="1:15" ht="15" customHeight="1" x14ac:dyDescent="0.35">
      <c r="A14" s="263" t="s">
        <v>23</v>
      </c>
      <c r="B14" s="34" t="s">
        <v>24</v>
      </c>
      <c r="C14" s="36" t="s">
        <v>613</v>
      </c>
      <c r="D14" s="265" t="s">
        <v>25</v>
      </c>
      <c r="E14" s="102"/>
      <c r="F14" s="111" t="s">
        <v>26</v>
      </c>
      <c r="G14" s="60">
        <f ca="1">IF($C14="No Param",32,VLOOKUP($C14,INDIRECT(Config!$B$1),HLOOKUP(D$1,INDIRECT(Config!$E$1),2,FALSE),FALSE)*32)</f>
        <v>32</v>
      </c>
      <c r="H14" s="24" t="s">
        <v>27</v>
      </c>
      <c r="I14" s="24" t="s">
        <v>28</v>
      </c>
      <c r="J14" s="199" t="s">
        <v>1080</v>
      </c>
      <c r="K14" s="199" t="s">
        <v>1097</v>
      </c>
      <c r="L14" s="237" t="str">
        <f ca="1">IF(VLOOKUP("EXT_FUSE_PULL_SUPP", INDIRECT(Config!$B$1),HLOOKUP(D$1,INDIRECT(Config!$E$1),2,FALSE),FALSE)=1, IF(G14&gt;0,CONCATENATE("CSME_HW_FW_Config_fuses[",G14-1,":0]"), ""), "")</f>
        <v/>
      </c>
      <c r="M14" s="246" t="s">
        <v>369</v>
      </c>
      <c r="N14" s="249" t="s">
        <v>29</v>
      </c>
      <c r="O14" s="250">
        <f ca="1">(4*32+G18+G19+G20+G21+G22+G23)</f>
        <v>160</v>
      </c>
    </row>
    <row r="15" spans="1:15" ht="15" customHeight="1" x14ac:dyDescent="0.35">
      <c r="A15" s="264"/>
      <c r="B15" s="35" t="s">
        <v>30</v>
      </c>
      <c r="C15" s="37" t="s">
        <v>613</v>
      </c>
      <c r="D15" s="26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67"/>
      <c r="N15" s="247"/>
      <c r="O15" s="251"/>
    </row>
    <row r="16" spans="1:15" ht="15" customHeight="1" x14ac:dyDescent="0.35">
      <c r="A16" s="264"/>
      <c r="B16" s="35" t="s">
        <v>31</v>
      </c>
      <c r="C16" s="37" t="s">
        <v>613</v>
      </c>
      <c r="D16" s="26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67"/>
      <c r="N16" s="247"/>
      <c r="O16" s="251"/>
    </row>
    <row r="17" spans="1:15" x14ac:dyDescent="0.35">
      <c r="A17" s="264"/>
      <c r="B17" s="35" t="s">
        <v>32</v>
      </c>
      <c r="C17" s="37" t="s">
        <v>613</v>
      </c>
      <c r="D17" s="266"/>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67"/>
      <c r="N17" s="247"/>
      <c r="O17" s="251"/>
    </row>
    <row r="18" spans="1:15" x14ac:dyDescent="0.35">
      <c r="A18" s="264"/>
      <c r="B18" s="35" t="s">
        <v>34</v>
      </c>
      <c r="C18" s="35" t="s">
        <v>253</v>
      </c>
      <c r="D18" s="266"/>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7"/>
      <c r="N18" s="247"/>
      <c r="O18" s="251"/>
    </row>
    <row r="19" spans="1:15" x14ac:dyDescent="0.35">
      <c r="A19" s="264"/>
      <c r="B19" s="35" t="s">
        <v>36</v>
      </c>
      <c r="C19" s="73" t="s">
        <v>214</v>
      </c>
      <c r="D19" s="266"/>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7"/>
      <c r="N19" s="247"/>
      <c r="O19" s="251"/>
    </row>
    <row r="20" spans="1:15" x14ac:dyDescent="0.35">
      <c r="A20" s="264"/>
      <c r="B20" s="73" t="s">
        <v>246</v>
      </c>
      <c r="C20" s="73" t="s">
        <v>205</v>
      </c>
      <c r="D20" s="266"/>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7"/>
      <c r="N20" s="247"/>
      <c r="O20" s="251"/>
    </row>
    <row r="21" spans="1:15" x14ac:dyDescent="0.35">
      <c r="A21" s="264"/>
      <c r="B21" s="73" t="s">
        <v>250</v>
      </c>
      <c r="C21" s="73" t="s">
        <v>390</v>
      </c>
      <c r="D21" s="266"/>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67"/>
      <c r="N21" s="247"/>
      <c r="O21" s="251"/>
    </row>
    <row r="22" spans="1:15" x14ac:dyDescent="0.35">
      <c r="A22" s="264"/>
      <c r="B22" s="73" t="s">
        <v>251</v>
      </c>
      <c r="C22" s="73" t="s">
        <v>390</v>
      </c>
      <c r="D22" s="266"/>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67"/>
      <c r="N22" s="247"/>
      <c r="O22" s="251"/>
    </row>
    <row r="23" spans="1:15" x14ac:dyDescent="0.35">
      <c r="A23" s="264"/>
      <c r="B23" s="73" t="s">
        <v>252</v>
      </c>
      <c r="C23" s="73" t="s">
        <v>390</v>
      </c>
      <c r="D23" s="266"/>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67"/>
      <c r="N23" s="247"/>
      <c r="O23" s="251"/>
    </row>
    <row r="24" spans="1:15" x14ac:dyDescent="0.35">
      <c r="A24" s="264"/>
      <c r="B24" s="35" t="s">
        <v>38</v>
      </c>
      <c r="C24" s="37" t="s">
        <v>613</v>
      </c>
      <c r="D24" s="266"/>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67"/>
      <c r="N24" s="247"/>
      <c r="O24" s="251"/>
    </row>
    <row r="25" spans="1:15" x14ac:dyDescent="0.35">
      <c r="A25" s="263" t="s">
        <v>41</v>
      </c>
      <c r="B25" s="35" t="s">
        <v>42</v>
      </c>
      <c r="C25" s="35" t="s">
        <v>614</v>
      </c>
      <c r="D25" s="266"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67" t="s">
        <v>370</v>
      </c>
      <c r="N25" s="247"/>
      <c r="O25" s="251">
        <f ca="1">(G25+G26)</f>
        <v>64</v>
      </c>
    </row>
    <row r="26" spans="1:15" ht="15" thickBot="1" x14ac:dyDescent="0.4">
      <c r="A26" s="268"/>
      <c r="B26" s="74" t="s">
        <v>46</v>
      </c>
      <c r="C26" s="74" t="s">
        <v>615</v>
      </c>
      <c r="D26" s="269"/>
      <c r="E26" s="123"/>
      <c r="F26" s="76" t="s">
        <v>44</v>
      </c>
      <c r="G26" s="75">
        <f ca="1">IF($C26="No Param",32,VLOOKUP($C26,INDIRECT(Config!$B$1),HLOOKUP(D$1,INDIRECT(Config!$E$1),2,FALSE),FALSE)*32)</f>
        <v>32</v>
      </c>
      <c r="H26" s="26" t="str">
        <f ca="1">IF(G26=0,"N/A","0x8004")</f>
        <v>0x8004</v>
      </c>
      <c r="I26" s="26" t="s">
        <v>47</v>
      </c>
      <c r="J26" s="203" t="s">
        <v>48</v>
      </c>
      <c r="K26" s="203" t="s">
        <v>387</v>
      </c>
      <c r="L26" s="238"/>
      <c r="M26" s="248"/>
      <c r="N26" s="248"/>
      <c r="O26" s="252"/>
    </row>
    <row r="27" spans="1:15" ht="15" thickBot="1" x14ac:dyDescent="0.4">
      <c r="A27" s="104"/>
    </row>
    <row r="28" spans="1:15" x14ac:dyDescent="0.35">
      <c r="A28" s="2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0">
        <f ca="1">SUM(G28:G42)</f>
        <v>576</v>
      </c>
    </row>
    <row r="29" spans="1:15" ht="15" customHeight="1" x14ac:dyDescent="0.35">
      <c r="A29" s="2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7" t="s">
        <v>369</v>
      </c>
      <c r="N29" s="247"/>
      <c r="O29" s="251"/>
    </row>
    <row r="30" spans="1:15" x14ac:dyDescent="0.35">
      <c r="A30" s="2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7"/>
      <c r="N30" s="247"/>
      <c r="O30" s="251"/>
    </row>
    <row r="31" spans="1:15" x14ac:dyDescent="0.35">
      <c r="A31" s="2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7"/>
      <c r="N31" s="247"/>
      <c r="O31" s="251"/>
    </row>
    <row r="32" spans="1:15" x14ac:dyDescent="0.35">
      <c r="A32" s="2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47"/>
      <c r="O32" s="251"/>
    </row>
    <row r="33" spans="1:15" x14ac:dyDescent="0.35">
      <c r="A33" s="2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47"/>
      <c r="O33" s="251"/>
    </row>
    <row r="34" spans="1:15" ht="15" customHeight="1" x14ac:dyDescent="0.35">
      <c r="A34" s="2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7" t="s">
        <v>369</v>
      </c>
      <c r="N34" s="247"/>
      <c r="O34" s="251"/>
    </row>
    <row r="35" spans="1:15" x14ac:dyDescent="0.35">
      <c r="A35" s="2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7"/>
      <c r="N35" s="247"/>
      <c r="O35" s="251"/>
    </row>
    <row r="36" spans="1:15" x14ac:dyDescent="0.35">
      <c r="A36" s="2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7"/>
      <c r="N36" s="247"/>
      <c r="O36" s="251"/>
    </row>
    <row r="37" spans="1:15" x14ac:dyDescent="0.35">
      <c r="A37" s="2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47"/>
      <c r="O37" s="251"/>
    </row>
    <row r="38" spans="1:15" x14ac:dyDescent="0.35">
      <c r="A38" s="2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47"/>
      <c r="O38" s="251"/>
    </row>
    <row r="39" spans="1:15" ht="15" customHeight="1" x14ac:dyDescent="0.35">
      <c r="A39" s="2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7" t="s">
        <v>369</v>
      </c>
      <c r="N39" s="247"/>
      <c r="O39" s="251"/>
    </row>
    <row r="40" spans="1:15" x14ac:dyDescent="0.35">
      <c r="A40" s="2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7"/>
      <c r="N40" s="247"/>
      <c r="O40" s="251"/>
    </row>
    <row r="41" spans="1:15" x14ac:dyDescent="0.35">
      <c r="A41" s="2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7"/>
      <c r="N41" s="247"/>
      <c r="O41" s="251"/>
    </row>
    <row r="42" spans="1:15" ht="15" thickBot="1" x14ac:dyDescent="0.4">
      <c r="A42" s="2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48"/>
      <c r="O42" s="252"/>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6" priority="297" operator="equal">
      <formula>0</formula>
    </cfRule>
  </conditionalFormatting>
  <conditionalFormatting sqref="G34">
    <cfRule type="cellIs" dxfId="545" priority="296" operator="equal">
      <formula>0</formula>
    </cfRule>
  </conditionalFormatting>
  <conditionalFormatting sqref="G36">
    <cfRule type="cellIs" dxfId="544" priority="295" operator="equal">
      <formula>0</formula>
    </cfRule>
  </conditionalFormatting>
  <conditionalFormatting sqref="G14:G26">
    <cfRule type="cellIs" dxfId="543" priority="294" operator="equal">
      <formula>0</formula>
    </cfRule>
  </conditionalFormatting>
  <conditionalFormatting sqref="G29">
    <cfRule type="cellIs" dxfId="542" priority="267" operator="equal">
      <formula>0</formula>
    </cfRule>
  </conditionalFormatting>
  <conditionalFormatting sqref="G32">
    <cfRule type="cellIs" dxfId="541" priority="273" operator="equal">
      <formula>0</formula>
    </cfRule>
  </conditionalFormatting>
  <conditionalFormatting sqref="G33">
    <cfRule type="cellIs" dxfId="540" priority="272" operator="equal">
      <formula>0</formula>
    </cfRule>
  </conditionalFormatting>
  <conditionalFormatting sqref="G28">
    <cfRule type="cellIs" dxfId="539" priority="274" operator="equal">
      <formula>0</formula>
    </cfRule>
  </conditionalFormatting>
  <conditionalFormatting sqref="G38">
    <cfRule type="cellIs" dxfId="538" priority="270" operator="equal">
      <formula>0</formula>
    </cfRule>
  </conditionalFormatting>
  <conditionalFormatting sqref="G35">
    <cfRule type="cellIs" dxfId="537" priority="268" operator="equal">
      <formula>0</formula>
    </cfRule>
  </conditionalFormatting>
  <conditionalFormatting sqref="G31">
    <cfRule type="cellIs" dxfId="536" priority="266" operator="equal">
      <formula>0</formula>
    </cfRule>
  </conditionalFormatting>
  <conditionalFormatting sqref="G30">
    <cfRule type="cellIs" dxfId="535" priority="265" operator="equal">
      <formula>0</formula>
    </cfRule>
  </conditionalFormatting>
  <conditionalFormatting sqref="G39">
    <cfRule type="cellIs" dxfId="534" priority="264" operator="equal">
      <formula>0</formula>
    </cfRule>
  </conditionalFormatting>
  <conditionalFormatting sqref="G41">
    <cfRule type="cellIs" dxfId="533" priority="263" operator="equal">
      <formula>0</formula>
    </cfRule>
  </conditionalFormatting>
  <conditionalFormatting sqref="G40">
    <cfRule type="cellIs" dxfId="532" priority="262" operator="equal">
      <formula>0</formula>
    </cfRule>
  </conditionalFormatting>
  <conditionalFormatting sqref="L32">
    <cfRule type="cellIs" dxfId="531" priority="234" operator="equal">
      <formula>0</formula>
    </cfRule>
  </conditionalFormatting>
  <conditionalFormatting sqref="L31">
    <cfRule type="cellIs" dxfId="530" priority="233" operator="equal">
      <formula>0</formula>
    </cfRule>
  </conditionalFormatting>
  <conditionalFormatting sqref="L30">
    <cfRule type="cellIs" dxfId="529" priority="232" operator="equal">
      <formula>0</formula>
    </cfRule>
  </conditionalFormatting>
  <conditionalFormatting sqref="L29">
    <cfRule type="cellIs" dxfId="528" priority="231" operator="equal">
      <formula>0</formula>
    </cfRule>
  </conditionalFormatting>
  <conditionalFormatting sqref="L37">
    <cfRule type="cellIs" dxfId="527" priority="230" operator="equal">
      <formula>0</formula>
    </cfRule>
  </conditionalFormatting>
  <conditionalFormatting sqref="L36">
    <cfRule type="cellIs" dxfId="526" priority="229" operator="equal">
      <formula>0</formula>
    </cfRule>
  </conditionalFormatting>
  <conditionalFormatting sqref="L35">
    <cfRule type="cellIs" dxfId="525" priority="228" operator="equal">
      <formula>0</formula>
    </cfRule>
  </conditionalFormatting>
  <conditionalFormatting sqref="L34">
    <cfRule type="cellIs" dxfId="524" priority="227" operator="equal">
      <formula>0</formula>
    </cfRule>
  </conditionalFormatting>
  <conditionalFormatting sqref="L42">
    <cfRule type="cellIs" dxfId="523" priority="226" operator="equal">
      <formula>0</formula>
    </cfRule>
  </conditionalFormatting>
  <conditionalFormatting sqref="L41">
    <cfRule type="cellIs" dxfId="522" priority="225" operator="equal">
      <formula>0</formula>
    </cfRule>
  </conditionalFormatting>
  <conditionalFormatting sqref="L40">
    <cfRule type="cellIs" dxfId="521" priority="224" operator="equal">
      <formula>0</formula>
    </cfRule>
  </conditionalFormatting>
  <conditionalFormatting sqref="L39">
    <cfRule type="cellIs" dxfId="520" priority="223" operator="equal">
      <formula>0</formula>
    </cfRule>
  </conditionalFormatting>
  <conditionalFormatting sqref="G37">
    <cfRule type="cellIs" dxfId="519" priority="200" operator="equal">
      <formula>0</formula>
    </cfRule>
  </conditionalFormatting>
  <conditionalFormatting sqref="G42">
    <cfRule type="cellIs" dxfId="518" priority="198" operator="equal">
      <formula>0</formula>
    </cfRule>
  </conditionalFormatting>
  <conditionalFormatting sqref="C5">
    <cfRule type="cellIs" dxfId="517" priority="184" operator="equal">
      <formula>0</formula>
    </cfRule>
  </conditionalFormatting>
  <conditionalFormatting sqref="C3">
    <cfRule type="cellIs" dxfId="516" priority="186" operator="equal">
      <formula>0</formula>
    </cfRule>
  </conditionalFormatting>
  <conditionalFormatting sqref="C4">
    <cfRule type="cellIs" dxfId="515" priority="185" operator="equal">
      <formula>0</formula>
    </cfRule>
  </conditionalFormatting>
  <conditionalFormatting sqref="B3 D3">
    <cfRule type="cellIs" dxfId="514" priority="197" operator="equal">
      <formula>0</formula>
    </cfRule>
  </conditionalFormatting>
  <conditionalFormatting sqref="B4 D4">
    <cfRule type="cellIs" dxfId="513" priority="196" operator="equal">
      <formula>0</formula>
    </cfRule>
  </conditionalFormatting>
  <conditionalFormatting sqref="B5 D5">
    <cfRule type="cellIs" dxfId="512" priority="195" operator="equal">
      <formula>0</formula>
    </cfRule>
  </conditionalFormatting>
  <conditionalFormatting sqref="B7">
    <cfRule type="cellIs" dxfId="511" priority="194" operator="equal">
      <formula>0</formula>
    </cfRule>
  </conditionalFormatting>
  <conditionalFormatting sqref="B8 D8">
    <cfRule type="cellIs" priority="193" operator="equal">
      <formula>0</formula>
    </cfRule>
  </conditionalFormatting>
  <conditionalFormatting sqref="B9 D9">
    <cfRule type="cellIs" dxfId="510" priority="192" operator="equal">
      <formula>0</formula>
    </cfRule>
  </conditionalFormatting>
  <conditionalFormatting sqref="B10 D10">
    <cfRule type="cellIs" dxfId="509" priority="190" operator="equal">
      <formula>0</formula>
    </cfRule>
    <cfRule type="cellIs" dxfId="508" priority="191" operator="equal">
      <formula>0</formula>
    </cfRule>
  </conditionalFormatting>
  <conditionalFormatting sqref="B6 D6">
    <cfRule type="cellIs" dxfId="507" priority="188" operator="equal">
      <formula>0</formula>
    </cfRule>
  </conditionalFormatting>
  <conditionalFormatting sqref="D7">
    <cfRule type="cellIs" dxfId="506" priority="187" operator="equal">
      <formula>0</formula>
    </cfRule>
  </conditionalFormatting>
  <conditionalFormatting sqref="C7">
    <cfRule type="cellIs" dxfId="505" priority="183" operator="equal">
      <formula>0</formula>
    </cfRule>
  </conditionalFormatting>
  <conditionalFormatting sqref="C8">
    <cfRule type="cellIs" priority="182" operator="equal">
      <formula>0</formula>
    </cfRule>
  </conditionalFormatting>
  <conditionalFormatting sqref="C9">
    <cfRule type="cellIs" dxfId="504" priority="181" operator="equal">
      <formula>0</formula>
    </cfRule>
  </conditionalFormatting>
  <conditionalFormatting sqref="C10">
    <cfRule type="cellIs" dxfId="503" priority="179" operator="equal">
      <formula>0</formula>
    </cfRule>
    <cfRule type="cellIs" dxfId="502" priority="180" operator="equal">
      <formula>0</formula>
    </cfRule>
  </conditionalFormatting>
  <conditionalFormatting sqref="C6">
    <cfRule type="cellIs" dxfId="501" priority="178" operator="equal">
      <formula>0</formula>
    </cfRule>
  </conditionalFormatting>
  <conditionalFormatting sqref="E10">
    <cfRule type="cellIs" priority="137" operator="equal">
      <formula>0</formula>
    </cfRule>
  </conditionalFormatting>
  <conditionalFormatting sqref="E3">
    <cfRule type="cellIs" dxfId="500" priority="152" operator="equal">
      <formula>0</formula>
    </cfRule>
  </conditionalFormatting>
  <conditionalFormatting sqref="E3">
    <cfRule type="cellIs" priority="151" operator="equal">
      <formula>0</formula>
    </cfRule>
  </conditionalFormatting>
  <conditionalFormatting sqref="E5">
    <cfRule type="cellIs" dxfId="499" priority="148" operator="equal">
      <formula>0</formula>
    </cfRule>
  </conditionalFormatting>
  <conditionalFormatting sqref="E5">
    <cfRule type="cellIs" priority="147" operator="equal">
      <formula>0</formula>
    </cfRule>
  </conditionalFormatting>
  <conditionalFormatting sqref="E7">
    <cfRule type="cellIs" dxfId="498" priority="144" operator="equal">
      <formula>0</formula>
    </cfRule>
  </conditionalFormatting>
  <conditionalFormatting sqref="E7">
    <cfRule type="cellIs" priority="143" operator="equal">
      <formula>0</formula>
    </cfRule>
  </conditionalFormatting>
  <conditionalFormatting sqref="E9">
    <cfRule type="cellIs" dxfId="497" priority="140" operator="equal">
      <formula>0</formula>
    </cfRule>
  </conditionalFormatting>
  <conditionalFormatting sqref="E9">
    <cfRule type="cellIs" priority="139" operator="equal">
      <formula>0</formula>
    </cfRule>
  </conditionalFormatting>
  <conditionalFormatting sqref="E4">
    <cfRule type="cellIs" dxfId="496" priority="150" operator="equal">
      <formula>0</formula>
    </cfRule>
  </conditionalFormatting>
  <conditionalFormatting sqref="E4">
    <cfRule type="cellIs" priority="149" operator="equal">
      <formula>0</formula>
    </cfRule>
  </conditionalFormatting>
  <conditionalFormatting sqref="E6">
    <cfRule type="cellIs" dxfId="495" priority="146" operator="equal">
      <formula>0</formula>
    </cfRule>
  </conditionalFormatting>
  <conditionalFormatting sqref="E6">
    <cfRule type="cellIs" priority="145" operator="equal">
      <formula>0</formula>
    </cfRule>
  </conditionalFormatting>
  <conditionalFormatting sqref="E8">
    <cfRule type="cellIs" dxfId="494" priority="142" operator="equal">
      <formula>0</formula>
    </cfRule>
  </conditionalFormatting>
  <conditionalFormatting sqref="E8">
    <cfRule type="cellIs" priority="141" operator="equal">
      <formula>0</formula>
    </cfRule>
  </conditionalFormatting>
  <conditionalFormatting sqref="E10">
    <cfRule type="cellIs" dxfId="493" priority="138" operator="equal">
      <formula>0</formula>
    </cfRule>
  </conditionalFormatting>
  <conditionalFormatting sqref="G4:G10">
    <cfRule type="cellIs" dxfId="492" priority="128" operator="equal">
      <formula>0</formula>
    </cfRule>
  </conditionalFormatting>
  <conditionalFormatting sqref="F6">
    <cfRule type="cellIs" dxfId="491" priority="119" operator="equal">
      <formula>0</formula>
    </cfRule>
  </conditionalFormatting>
  <conditionalFormatting sqref="F3">
    <cfRule type="cellIs" dxfId="490" priority="127" operator="equal">
      <formula>0</formula>
    </cfRule>
  </conditionalFormatting>
  <conditionalFormatting sqref="F4">
    <cfRule type="cellIs" dxfId="489" priority="126" operator="equal">
      <formula>0</formula>
    </cfRule>
  </conditionalFormatting>
  <conditionalFormatting sqref="F5">
    <cfRule type="cellIs" dxfId="488" priority="125" operator="equal">
      <formula>0</formula>
    </cfRule>
  </conditionalFormatting>
  <conditionalFormatting sqref="F7">
    <cfRule type="cellIs" dxfId="487" priority="124" operator="equal">
      <formula>0</formula>
    </cfRule>
  </conditionalFormatting>
  <conditionalFormatting sqref="F9">
    <cfRule type="cellIs" dxfId="486" priority="122" operator="equal">
      <formula>0</formula>
    </cfRule>
  </conditionalFormatting>
  <conditionalFormatting sqref="G3:I3">
    <cfRule type="cellIs" dxfId="485" priority="118" operator="equal">
      <formula>0</formula>
    </cfRule>
  </conditionalFormatting>
  <conditionalFormatting sqref="F8 H9:H10">
    <cfRule type="cellIs" priority="123" operator="equal">
      <formula>0</formula>
    </cfRule>
  </conditionalFormatting>
  <conditionalFormatting sqref="F10">
    <cfRule type="cellIs" dxfId="484" priority="120" operator="equal">
      <formula>0</formula>
    </cfRule>
    <cfRule type="cellIs" dxfId="483" priority="121" operator="equal">
      <formula>0</formula>
    </cfRule>
  </conditionalFormatting>
  <conditionalFormatting sqref="H7">
    <cfRule type="cellIs" dxfId="482" priority="110" operator="equal">
      <formula>0</formula>
    </cfRule>
  </conditionalFormatting>
  <conditionalFormatting sqref="I6">
    <cfRule type="cellIs" dxfId="481" priority="113" operator="equal">
      <formula>0</formula>
    </cfRule>
  </conditionalFormatting>
  <conditionalFormatting sqref="H5">
    <cfRule type="cellIs" dxfId="480" priority="112" operator="equal">
      <formula>0</formula>
    </cfRule>
  </conditionalFormatting>
  <conditionalFormatting sqref="H4:I4">
    <cfRule type="cellIs" dxfId="479" priority="117" operator="equal">
      <formula>0</formula>
    </cfRule>
  </conditionalFormatting>
  <conditionalFormatting sqref="I5">
    <cfRule type="cellIs" dxfId="478" priority="116" operator="equal">
      <formula>0</formula>
    </cfRule>
  </conditionalFormatting>
  <conditionalFormatting sqref="I7">
    <cfRule type="cellIs" dxfId="477" priority="115" operator="equal">
      <formula>0</formula>
    </cfRule>
  </conditionalFormatting>
  <conditionalFormatting sqref="H8:I8">
    <cfRule type="cellIs" priority="114" operator="equal">
      <formula>0</formula>
    </cfRule>
  </conditionalFormatting>
  <conditionalFormatting sqref="H6">
    <cfRule type="cellIs" dxfId="476" priority="111" operator="equal">
      <formula>0</formula>
    </cfRule>
  </conditionalFormatting>
  <conditionalFormatting sqref="I9:I10">
    <cfRule type="cellIs" priority="107" operator="equal">
      <formula>0</formula>
    </cfRule>
  </conditionalFormatting>
  <conditionalFormatting sqref="E11 G11">
    <cfRule type="cellIs" dxfId="475" priority="94" operator="equal">
      <formula>0</formula>
    </cfRule>
  </conditionalFormatting>
  <conditionalFormatting sqref="I11">
    <cfRule type="cellIs" priority="93" operator="equal">
      <formula>0</formula>
    </cfRule>
  </conditionalFormatting>
  <conditionalFormatting sqref="E13 G13">
    <cfRule type="cellIs" dxfId="47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1" priority="44" operator="equal">
      <formula>0</formula>
    </cfRule>
  </conditionalFormatting>
  <conditionalFormatting sqref="K5">
    <cfRule type="cellIs" dxfId="470" priority="43" operator="equal">
      <formula>0</formula>
    </cfRule>
  </conditionalFormatting>
  <conditionalFormatting sqref="K6">
    <cfRule type="cellIs" dxfId="469" priority="42" operator="equal">
      <formula>0</formula>
    </cfRule>
  </conditionalFormatting>
  <conditionalFormatting sqref="K9">
    <cfRule type="cellIs" dxfId="468" priority="41" operator="equal">
      <formula>0</formula>
    </cfRule>
  </conditionalFormatting>
  <conditionalFormatting sqref="K10">
    <cfRule type="cellIs" dxfId="467" priority="40" operator="equal">
      <formula>0</formula>
    </cfRule>
  </conditionalFormatting>
  <conditionalFormatting sqref="K7">
    <cfRule type="cellIs" dxfId="466" priority="39" operator="equal">
      <formula>0</formula>
    </cfRule>
  </conditionalFormatting>
  <conditionalFormatting sqref="K8">
    <cfRule type="cellIs" dxfId="465" priority="38" operator="equal">
      <formula>0</formula>
    </cfRule>
  </conditionalFormatting>
  <conditionalFormatting sqref="K11">
    <cfRule type="cellIs" dxfId="464" priority="37" operator="equal">
      <formula>0</formula>
    </cfRule>
  </conditionalFormatting>
  <conditionalFormatting sqref="K13">
    <cfRule type="cellIs" dxfId="463" priority="36" operator="equal">
      <formula>0</formula>
    </cfRule>
  </conditionalFormatting>
  <conditionalFormatting sqref="K12">
    <cfRule type="cellIs" dxfId="462" priority="35" operator="equal">
      <formula>0</formula>
    </cfRule>
  </conditionalFormatting>
  <conditionalFormatting sqref="J3:J4">
    <cfRule type="cellIs" dxfId="461" priority="34" operator="equal">
      <formula>0</formula>
    </cfRule>
  </conditionalFormatting>
  <conditionalFormatting sqref="J5">
    <cfRule type="cellIs" dxfId="460" priority="33" operator="equal">
      <formula>0</formula>
    </cfRule>
  </conditionalFormatting>
  <conditionalFormatting sqref="J6">
    <cfRule type="cellIs" dxfId="459" priority="32" operator="equal">
      <formula>0</formula>
    </cfRule>
  </conditionalFormatting>
  <conditionalFormatting sqref="J9">
    <cfRule type="cellIs" dxfId="458" priority="31" operator="equal">
      <formula>0</formula>
    </cfRule>
  </conditionalFormatting>
  <conditionalFormatting sqref="J10">
    <cfRule type="cellIs" dxfId="457" priority="30" operator="equal">
      <formula>0</formula>
    </cfRule>
  </conditionalFormatting>
  <conditionalFormatting sqref="J7">
    <cfRule type="cellIs" dxfId="456" priority="29" operator="equal">
      <formula>0</formula>
    </cfRule>
  </conditionalFormatting>
  <conditionalFormatting sqref="J8">
    <cfRule type="cellIs" dxfId="455" priority="28" operator="equal">
      <formula>0</formula>
    </cfRule>
  </conditionalFormatting>
  <conditionalFormatting sqref="J11">
    <cfRule type="cellIs" dxfId="454" priority="27" operator="equal">
      <formula>0</formula>
    </cfRule>
  </conditionalFormatting>
  <conditionalFormatting sqref="J13">
    <cfRule type="cellIs" dxfId="453" priority="26" operator="equal">
      <formula>0</formula>
    </cfRule>
  </conditionalFormatting>
  <conditionalFormatting sqref="J12">
    <cfRule type="cellIs" dxfId="452" priority="25" operator="equal">
      <formula>0</formula>
    </cfRule>
  </conditionalFormatting>
  <conditionalFormatting sqref="K25">
    <cfRule type="cellIs" dxfId="451" priority="24" operator="equal">
      <formula>0</formula>
    </cfRule>
  </conditionalFormatting>
  <conditionalFormatting sqref="K26">
    <cfRule type="cellIs" dxfId="450" priority="23" operator="equal">
      <formula>0</formula>
    </cfRule>
  </conditionalFormatting>
  <conditionalFormatting sqref="J25">
    <cfRule type="cellIs" dxfId="449" priority="22" operator="equal">
      <formula>0</formula>
    </cfRule>
  </conditionalFormatting>
  <conditionalFormatting sqref="J26">
    <cfRule type="cellIs" dxfId="448" priority="21" operator="equal">
      <formula>0</formula>
    </cfRule>
  </conditionalFormatting>
  <conditionalFormatting sqref="L3:L4">
    <cfRule type="cellIs" dxfId="447" priority="20" operator="equal">
      <formula>0</formula>
    </cfRule>
  </conditionalFormatting>
  <conditionalFormatting sqref="L5">
    <cfRule type="cellIs" dxfId="446" priority="19" operator="equal">
      <formula>0</formula>
    </cfRule>
  </conditionalFormatting>
  <conditionalFormatting sqref="L6">
    <cfRule type="cellIs" dxfId="445" priority="18" operator="equal">
      <formula>0</formula>
    </cfRule>
  </conditionalFormatting>
  <conditionalFormatting sqref="L7">
    <cfRule type="cellIs" dxfId="444" priority="17" operator="equal">
      <formula>0</formula>
    </cfRule>
  </conditionalFormatting>
  <conditionalFormatting sqref="L8:L9">
    <cfRule type="cellIs" dxfId="443" priority="16" operator="equal">
      <formula>0</formula>
    </cfRule>
  </conditionalFormatting>
  <conditionalFormatting sqref="L14">
    <cfRule type="cellIs" dxfId="442" priority="15" operator="equal">
      <formula>0</formula>
    </cfRule>
  </conditionalFormatting>
  <conditionalFormatting sqref="L15">
    <cfRule type="cellIs" dxfId="441" priority="14" operator="equal">
      <formula>0</formula>
    </cfRule>
  </conditionalFormatting>
  <conditionalFormatting sqref="L16">
    <cfRule type="cellIs" dxfId="440" priority="13" operator="equal">
      <formula>0</formula>
    </cfRule>
  </conditionalFormatting>
  <conditionalFormatting sqref="L17">
    <cfRule type="cellIs" dxfId="439" priority="12" operator="equal">
      <formula>0</formula>
    </cfRule>
  </conditionalFormatting>
  <conditionalFormatting sqref="L18">
    <cfRule type="cellIs" dxfId="438" priority="11" operator="equal">
      <formula>0</formula>
    </cfRule>
  </conditionalFormatting>
  <conditionalFormatting sqref="L19">
    <cfRule type="cellIs" dxfId="437" priority="10" operator="equal">
      <formula>0</formula>
    </cfRule>
  </conditionalFormatting>
  <conditionalFormatting sqref="L20">
    <cfRule type="cellIs" dxfId="436" priority="9" operator="equal">
      <formula>0</formula>
    </cfRule>
  </conditionalFormatting>
  <conditionalFormatting sqref="L21">
    <cfRule type="cellIs" dxfId="435" priority="8" operator="equal">
      <formula>0</formula>
    </cfRule>
  </conditionalFormatting>
  <conditionalFormatting sqref="L22">
    <cfRule type="cellIs" dxfId="434" priority="7" operator="equal">
      <formula>0</formula>
    </cfRule>
  </conditionalFormatting>
  <conditionalFormatting sqref="L23">
    <cfRule type="cellIs" dxfId="433" priority="6" operator="equal">
      <formula>0</formula>
    </cfRule>
  </conditionalFormatting>
  <conditionalFormatting sqref="L24">
    <cfRule type="cellIs" dxfId="432" priority="5" operator="equal">
      <formula>0</formula>
    </cfRule>
  </conditionalFormatting>
  <conditionalFormatting sqref="L10">
    <cfRule type="cellIs" dxfId="431" priority="4" operator="equal">
      <formula>0</formula>
    </cfRule>
  </conditionalFormatting>
  <conditionalFormatting sqref="L11">
    <cfRule type="cellIs" dxfId="430" priority="3" operator="equal">
      <formula>0</formula>
    </cfRule>
  </conditionalFormatting>
  <conditionalFormatting sqref="L12">
    <cfRule type="cellIs" dxfId="429" priority="2" operator="equal">
      <formula>0</formula>
    </cfRule>
  </conditionalFormatting>
  <conditionalFormatting sqref="L13">
    <cfRule type="cellIs" dxfId="42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41.7265625" customWidth="1"/>
    <col min="6" max="6" width="21.453125" customWidth="1"/>
    <col min="7" max="7" width="56.26953125" style="129" customWidth="1"/>
  </cols>
  <sheetData>
    <row r="1" spans="1:16" x14ac:dyDescent="0.35">
      <c r="A1" s="118" t="s">
        <v>659</v>
      </c>
      <c r="B1" s="118" t="s">
        <v>660</v>
      </c>
      <c r="C1" s="118" t="s">
        <v>661</v>
      </c>
      <c r="D1" s="118" t="s">
        <v>662</v>
      </c>
      <c r="E1" s="118" t="s">
        <v>663</v>
      </c>
      <c r="F1" s="119" t="s">
        <v>611</v>
      </c>
      <c r="G1" s="128"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thickBot="1" x14ac:dyDescent="0.4">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73"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46" t="s">
        <v>367</v>
      </c>
      <c r="N3" s="249" t="s">
        <v>14</v>
      </c>
      <c r="O3" s="250">
        <f ca="1">($G3+$G4+$G5+$G6+$G7)</f>
        <v>1056</v>
      </c>
    </row>
    <row r="4" spans="1:15" ht="15" customHeight="1" x14ac:dyDescent="0.35">
      <c r="A4" s="273"/>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47"/>
      <c r="N4" s="247"/>
      <c r="O4" s="251"/>
    </row>
    <row r="5" spans="1:15" ht="15" customHeight="1" x14ac:dyDescent="0.35">
      <c r="A5" s="273"/>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47"/>
      <c r="N5" s="247"/>
      <c r="O5" s="251"/>
    </row>
    <row r="6" spans="1:15" ht="15" customHeight="1" x14ac:dyDescent="0.35">
      <c r="A6" s="273"/>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47"/>
      <c r="N6" s="247"/>
      <c r="O6" s="251"/>
    </row>
    <row r="7" spans="1:15" ht="15" customHeight="1" thickBot="1" x14ac:dyDescent="0.4">
      <c r="A7" s="273"/>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48"/>
      <c r="N7" s="248"/>
      <c r="O7" s="252"/>
    </row>
    <row r="8" spans="1:15" ht="15" customHeight="1" x14ac:dyDescent="0.35">
      <c r="A8" s="274"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3" t="s">
        <v>368</v>
      </c>
      <c r="N8" s="256" t="s">
        <v>20</v>
      </c>
      <c r="O8" s="258">
        <f ca="1">($G8+$G9+$G10+$G13)</f>
        <v>960</v>
      </c>
    </row>
    <row r="9" spans="1:15" ht="15" customHeight="1" x14ac:dyDescent="0.35">
      <c r="A9" s="275"/>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4"/>
      <c r="N9" s="247"/>
      <c r="O9" s="251"/>
    </row>
    <row r="10" spans="1:15" ht="15" customHeight="1" x14ac:dyDescent="0.35">
      <c r="A10" s="275"/>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4"/>
      <c r="N10" s="247"/>
      <c r="O10" s="251"/>
    </row>
    <row r="11" spans="1:15" ht="15" customHeight="1" x14ac:dyDescent="0.35">
      <c r="A11" s="275"/>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4"/>
      <c r="N11" s="247"/>
      <c r="O11" s="251"/>
    </row>
    <row r="12" spans="1:15" ht="15" customHeight="1" x14ac:dyDescent="0.35">
      <c r="A12" s="275"/>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55"/>
      <c r="N12" s="257"/>
      <c r="O12" s="259"/>
    </row>
    <row r="13" spans="1:15" ht="15" customHeight="1" thickBot="1" x14ac:dyDescent="0.4">
      <c r="A13" s="276"/>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55"/>
      <c r="N13" s="257"/>
      <c r="O13" s="259"/>
    </row>
    <row r="14" spans="1:15" ht="15" customHeight="1" x14ac:dyDescent="0.35">
      <c r="A14" s="270" t="s">
        <v>23</v>
      </c>
      <c r="B14" s="34" t="s">
        <v>24</v>
      </c>
      <c r="C14" s="36" t="s">
        <v>613</v>
      </c>
      <c r="D14" s="265" t="s">
        <v>25</v>
      </c>
      <c r="E14" s="121"/>
      <c r="F14" s="111" t="s">
        <v>26</v>
      </c>
      <c r="G14" s="60">
        <f ca="1">IF($C14="No Param",32,VLOOKUP($C14,INDIRECT(Config!$B$1),HLOOKUP(D$1,INDIRECT(Config!$E$1),2,FALSE),FALSE)*32)</f>
        <v>32</v>
      </c>
      <c r="H14" s="24" t="s">
        <v>27</v>
      </c>
      <c r="I14" s="24" t="s">
        <v>28</v>
      </c>
      <c r="J14" s="24" t="s">
        <v>1080</v>
      </c>
      <c r="K14" s="24" t="s">
        <v>1093</v>
      </c>
      <c r="L14" s="237" t="str">
        <f ca="1">IF(VLOOKUP("EXT_FUSE_PULL_SUPP", INDIRECT(Config!$B$1),HLOOKUP(D$1,INDIRECT(Config!$E$1),2,FALSE),FALSE)=1, IF(G14&gt;0,CONCATENATE("CSME_HW_FW_Config_fuses[",G14-1,":0]"), ""), "")</f>
        <v/>
      </c>
      <c r="M14" s="246" t="s">
        <v>369</v>
      </c>
      <c r="N14" s="249" t="s">
        <v>29</v>
      </c>
      <c r="O14" s="250">
        <f ca="1">(4*32+G18+G19+G20+G21+G22+G23)</f>
        <v>160</v>
      </c>
    </row>
    <row r="15" spans="1:15" x14ac:dyDescent="0.35">
      <c r="A15" s="271"/>
      <c r="B15" s="35" t="s">
        <v>30</v>
      </c>
      <c r="C15" s="37" t="s">
        <v>613</v>
      </c>
      <c r="D15" s="2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67"/>
      <c r="N15" s="247"/>
      <c r="O15" s="251"/>
    </row>
    <row r="16" spans="1:15" x14ac:dyDescent="0.35">
      <c r="A16" s="271"/>
      <c r="B16" s="35" t="s">
        <v>31</v>
      </c>
      <c r="C16" s="37" t="s">
        <v>613</v>
      </c>
      <c r="D16" s="2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67"/>
      <c r="N16" s="247"/>
      <c r="O16" s="251"/>
    </row>
    <row r="17" spans="1:15" x14ac:dyDescent="0.35">
      <c r="A17" s="271"/>
      <c r="B17" s="35" t="s">
        <v>32</v>
      </c>
      <c r="C17" s="37" t="s">
        <v>613</v>
      </c>
      <c r="D17" s="2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67"/>
      <c r="N17" s="247"/>
      <c r="O17" s="251"/>
    </row>
    <row r="18" spans="1:15" x14ac:dyDescent="0.35">
      <c r="A18" s="271"/>
      <c r="B18" s="35" t="s">
        <v>34</v>
      </c>
      <c r="C18" s="35" t="s">
        <v>253</v>
      </c>
      <c r="D18" s="266"/>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7"/>
      <c r="N18" s="247"/>
      <c r="O18" s="251"/>
    </row>
    <row r="19" spans="1:15" x14ac:dyDescent="0.35">
      <c r="A19" s="271"/>
      <c r="B19" s="35" t="s">
        <v>36</v>
      </c>
      <c r="C19" s="73" t="s">
        <v>214</v>
      </c>
      <c r="D19" s="266"/>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7"/>
      <c r="N19" s="247"/>
      <c r="O19" s="251"/>
    </row>
    <row r="20" spans="1:15" x14ac:dyDescent="0.35">
      <c r="A20" s="271"/>
      <c r="B20" s="73" t="s">
        <v>246</v>
      </c>
      <c r="C20" s="73" t="s">
        <v>205</v>
      </c>
      <c r="D20" s="266"/>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7"/>
      <c r="N20" s="247"/>
      <c r="O20" s="251"/>
    </row>
    <row r="21" spans="1:15" x14ac:dyDescent="0.35">
      <c r="A21" s="271"/>
      <c r="B21" s="73" t="s">
        <v>250</v>
      </c>
      <c r="C21" s="73" t="s">
        <v>390</v>
      </c>
      <c r="D21" s="2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7"/>
      <c r="N21" s="247"/>
      <c r="O21" s="251"/>
    </row>
    <row r="22" spans="1:15" x14ac:dyDescent="0.35">
      <c r="A22" s="271"/>
      <c r="B22" s="73" t="s">
        <v>251</v>
      </c>
      <c r="C22" s="73" t="s">
        <v>390</v>
      </c>
      <c r="D22" s="2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7"/>
      <c r="N22" s="247"/>
      <c r="O22" s="251"/>
    </row>
    <row r="23" spans="1:15" x14ac:dyDescent="0.35">
      <c r="A23" s="271"/>
      <c r="B23" s="73" t="s">
        <v>252</v>
      </c>
      <c r="C23" s="73" t="s">
        <v>390</v>
      </c>
      <c r="D23" s="2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7"/>
      <c r="N23" s="247"/>
      <c r="O23" s="251"/>
    </row>
    <row r="24" spans="1:15" x14ac:dyDescent="0.35">
      <c r="A24" s="271"/>
      <c r="B24" s="35" t="s">
        <v>38</v>
      </c>
      <c r="C24" s="37" t="s">
        <v>613</v>
      </c>
      <c r="D24" s="266"/>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67"/>
      <c r="N24" s="247"/>
      <c r="O24" s="251"/>
    </row>
    <row r="25" spans="1:15" x14ac:dyDescent="0.35">
      <c r="A25" s="270" t="s">
        <v>41</v>
      </c>
      <c r="B25" s="35" t="s">
        <v>42</v>
      </c>
      <c r="C25" s="35" t="s">
        <v>614</v>
      </c>
      <c r="D25" s="2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7" t="s">
        <v>370</v>
      </c>
      <c r="N25" s="247"/>
      <c r="O25" s="251">
        <f ca="1">(G25+G26)</f>
        <v>64</v>
      </c>
    </row>
    <row r="26" spans="1:15" ht="15" thickBot="1" x14ac:dyDescent="0.4">
      <c r="A26" s="272"/>
      <c r="B26" s="74" t="s">
        <v>46</v>
      </c>
      <c r="C26" s="74" t="s">
        <v>615</v>
      </c>
      <c r="D26" s="269"/>
      <c r="E26" s="123"/>
      <c r="F26" s="76" t="s">
        <v>44</v>
      </c>
      <c r="G26" s="75">
        <f ca="1">IF($C26="No Param",32,VLOOKUP($C26,INDIRECT(Config!$B$1),HLOOKUP(D$1,INDIRECT(Config!$E$1),2,FALSE),FALSE)*32)</f>
        <v>32</v>
      </c>
      <c r="H26" s="26" t="str">
        <f ca="1">IF(G26=0,"N/A","0x8004")</f>
        <v>0x8004</v>
      </c>
      <c r="I26" s="26" t="s">
        <v>47</v>
      </c>
      <c r="J26" s="26" t="s">
        <v>48</v>
      </c>
      <c r="K26" s="26" t="s">
        <v>387</v>
      </c>
      <c r="L26" s="238"/>
      <c r="M26" s="248"/>
      <c r="N26" s="248"/>
      <c r="O26" s="252"/>
    </row>
    <row r="27" spans="1:15" ht="15" thickBot="1" x14ac:dyDescent="0.4">
      <c r="A27" s="124"/>
    </row>
    <row r="28" spans="1:15" x14ac:dyDescent="0.35">
      <c r="A28" s="2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0">
        <f ca="1">SUM(G28:G42)</f>
        <v>576</v>
      </c>
    </row>
    <row r="29" spans="1:15" ht="15" customHeight="1" x14ac:dyDescent="0.35">
      <c r="A29" s="2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7" t="s">
        <v>369</v>
      </c>
      <c r="N29" s="247"/>
      <c r="O29" s="251"/>
    </row>
    <row r="30" spans="1:15" x14ac:dyDescent="0.35">
      <c r="A30" s="2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7"/>
      <c r="N30" s="247"/>
      <c r="O30" s="251"/>
    </row>
    <row r="31" spans="1:15" x14ac:dyDescent="0.35">
      <c r="A31" s="2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7"/>
      <c r="N31" s="247"/>
      <c r="O31" s="251"/>
    </row>
    <row r="32" spans="1:15" x14ac:dyDescent="0.35">
      <c r="A32" s="2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47"/>
      <c r="O32" s="251"/>
    </row>
    <row r="33" spans="1:15" x14ac:dyDescent="0.35">
      <c r="A33" s="2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47"/>
      <c r="O33" s="251"/>
    </row>
    <row r="34" spans="1:15" ht="15" customHeight="1" x14ac:dyDescent="0.35">
      <c r="A34" s="2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7" t="s">
        <v>369</v>
      </c>
      <c r="N34" s="247"/>
      <c r="O34" s="251"/>
    </row>
    <row r="35" spans="1:15" x14ac:dyDescent="0.35">
      <c r="A35" s="2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7"/>
      <c r="N35" s="247"/>
      <c r="O35" s="251"/>
    </row>
    <row r="36" spans="1:15" x14ac:dyDescent="0.35">
      <c r="A36" s="2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7"/>
      <c r="N36" s="247"/>
      <c r="O36" s="251"/>
    </row>
    <row r="37" spans="1:15" x14ac:dyDescent="0.35">
      <c r="A37" s="2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47"/>
      <c r="O37" s="251"/>
    </row>
    <row r="38" spans="1:15" x14ac:dyDescent="0.35">
      <c r="A38" s="2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47"/>
      <c r="O38" s="251"/>
    </row>
    <row r="39" spans="1:15" ht="15" customHeight="1" x14ac:dyDescent="0.35">
      <c r="A39" s="2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7" t="s">
        <v>369</v>
      </c>
      <c r="N39" s="247"/>
      <c r="O39" s="251"/>
    </row>
    <row r="40" spans="1:15" x14ac:dyDescent="0.35">
      <c r="A40" s="2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7"/>
      <c r="N40" s="247"/>
      <c r="O40" s="251"/>
    </row>
    <row r="41" spans="1:15" x14ac:dyDescent="0.35">
      <c r="A41" s="2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7"/>
      <c r="N41" s="247"/>
      <c r="O41" s="251"/>
    </row>
    <row r="42" spans="1:15" ht="15" thickBot="1" x14ac:dyDescent="0.4">
      <c r="A42" s="2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48"/>
      <c r="O42" s="252"/>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7" priority="227" operator="equal">
      <formula>0</formula>
    </cfRule>
  </conditionalFormatting>
  <conditionalFormatting sqref="J28">
    <cfRule type="cellIs" dxfId="426" priority="243" operator="equal">
      <formula>0</formula>
    </cfRule>
  </conditionalFormatting>
  <conditionalFormatting sqref="C3">
    <cfRule type="cellIs" dxfId="425" priority="229" operator="equal">
      <formula>0</formula>
    </cfRule>
  </conditionalFormatting>
  <conditionalFormatting sqref="C4">
    <cfRule type="cellIs" dxfId="424" priority="228" operator="equal">
      <formula>0</formula>
    </cfRule>
  </conditionalFormatting>
  <conditionalFormatting sqref="B3 D3 G14:G26">
    <cfRule type="cellIs" dxfId="423" priority="240" operator="equal">
      <formula>0</formula>
    </cfRule>
  </conditionalFormatting>
  <conditionalFormatting sqref="B4 D4">
    <cfRule type="cellIs" dxfId="422" priority="239" operator="equal">
      <formula>0</formula>
    </cfRule>
  </conditionalFormatting>
  <conditionalFormatting sqref="B5 D5">
    <cfRule type="cellIs" dxfId="421" priority="238" operator="equal">
      <formula>0</formula>
    </cfRule>
  </conditionalFormatting>
  <conditionalFormatting sqref="B7">
    <cfRule type="cellIs" dxfId="420" priority="237" operator="equal">
      <formula>0</formula>
    </cfRule>
  </conditionalFormatting>
  <conditionalFormatting sqref="B8 D8">
    <cfRule type="cellIs" priority="236" operator="equal">
      <formula>0</formula>
    </cfRule>
  </conditionalFormatting>
  <conditionalFormatting sqref="B9 D9">
    <cfRule type="cellIs" dxfId="419" priority="235" operator="equal">
      <formula>0</formula>
    </cfRule>
  </conditionalFormatting>
  <conditionalFormatting sqref="B10 D10">
    <cfRule type="cellIs" dxfId="418" priority="233" operator="equal">
      <formula>0</formula>
    </cfRule>
    <cfRule type="cellIs" dxfId="417" priority="234" operator="equal">
      <formula>0</formula>
    </cfRule>
  </conditionalFormatting>
  <conditionalFormatting sqref="B6 D6">
    <cfRule type="cellIs" dxfId="416" priority="231" operator="equal">
      <formula>0</formula>
    </cfRule>
  </conditionalFormatting>
  <conditionalFormatting sqref="D7">
    <cfRule type="cellIs" dxfId="415" priority="230" operator="equal">
      <formula>0</formula>
    </cfRule>
  </conditionalFormatting>
  <conditionalFormatting sqref="C7">
    <cfRule type="cellIs" dxfId="414" priority="226" operator="equal">
      <formula>0</formula>
    </cfRule>
  </conditionalFormatting>
  <conditionalFormatting sqref="C8">
    <cfRule type="cellIs" priority="225" operator="equal">
      <formula>0</formula>
    </cfRule>
  </conditionalFormatting>
  <conditionalFormatting sqref="C9">
    <cfRule type="cellIs" dxfId="413" priority="224" operator="equal">
      <formula>0</formula>
    </cfRule>
  </conditionalFormatting>
  <conditionalFormatting sqref="C10">
    <cfRule type="cellIs" dxfId="412" priority="222" operator="equal">
      <formula>0</formula>
    </cfRule>
    <cfRule type="cellIs" dxfId="411" priority="223" operator="equal">
      <formula>0</formula>
    </cfRule>
  </conditionalFormatting>
  <conditionalFormatting sqref="C6">
    <cfRule type="cellIs" dxfId="410" priority="221" operator="equal">
      <formula>0</formula>
    </cfRule>
  </conditionalFormatting>
  <conditionalFormatting sqref="G40">
    <cfRule type="cellIs" dxfId="409" priority="141" operator="equal">
      <formula>0</formula>
    </cfRule>
  </conditionalFormatting>
  <conditionalFormatting sqref="G37">
    <cfRule type="cellIs" dxfId="408" priority="140" operator="equal">
      <formula>0</formula>
    </cfRule>
  </conditionalFormatting>
  <conditionalFormatting sqref="G42">
    <cfRule type="cellIs" dxfId="407" priority="139" operator="equal">
      <formula>0</formula>
    </cfRule>
  </conditionalFormatting>
  <conditionalFormatting sqref="L32">
    <cfRule type="cellIs" dxfId="406" priority="182" operator="equal">
      <formula>0</formula>
    </cfRule>
  </conditionalFormatting>
  <conditionalFormatting sqref="L31">
    <cfRule type="cellIs" dxfId="405" priority="181" operator="equal">
      <formula>0</formula>
    </cfRule>
  </conditionalFormatting>
  <conditionalFormatting sqref="L30">
    <cfRule type="cellIs" dxfId="404" priority="180" operator="equal">
      <formula>0</formula>
    </cfRule>
  </conditionalFormatting>
  <conditionalFormatting sqref="L36">
    <cfRule type="cellIs" dxfId="403" priority="177" operator="equal">
      <formula>0</formula>
    </cfRule>
  </conditionalFormatting>
  <conditionalFormatting sqref="L29">
    <cfRule type="cellIs" dxfId="402" priority="179" operator="equal">
      <formula>0</formula>
    </cfRule>
  </conditionalFormatting>
  <conditionalFormatting sqref="L37">
    <cfRule type="cellIs" dxfId="401" priority="178" operator="equal">
      <formula>0</formula>
    </cfRule>
  </conditionalFormatting>
  <conditionalFormatting sqref="L35">
    <cfRule type="cellIs" dxfId="400" priority="176" operator="equal">
      <formula>0</formula>
    </cfRule>
  </conditionalFormatting>
  <conditionalFormatting sqref="L34">
    <cfRule type="cellIs" dxfId="399" priority="175" operator="equal">
      <formula>0</formula>
    </cfRule>
  </conditionalFormatting>
  <conditionalFormatting sqref="L42">
    <cfRule type="cellIs" dxfId="398" priority="174" operator="equal">
      <formula>0</formula>
    </cfRule>
  </conditionalFormatting>
  <conditionalFormatting sqref="L41">
    <cfRule type="cellIs" dxfId="397" priority="173" operator="equal">
      <formula>0</formula>
    </cfRule>
  </conditionalFormatting>
  <conditionalFormatting sqref="L40">
    <cfRule type="cellIs" dxfId="396" priority="172" operator="equal">
      <formula>0</formula>
    </cfRule>
  </conditionalFormatting>
  <conditionalFormatting sqref="L39">
    <cfRule type="cellIs" dxfId="395" priority="171" operator="equal">
      <formula>0</formula>
    </cfRule>
  </conditionalFormatting>
  <conditionalFormatting sqref="K25">
    <cfRule type="cellIs" dxfId="394" priority="158" operator="equal">
      <formula>0</formula>
    </cfRule>
  </conditionalFormatting>
  <conditionalFormatting sqref="K26">
    <cfRule type="cellIs" dxfId="393" priority="156" operator="equal">
      <formula>0</formula>
    </cfRule>
  </conditionalFormatting>
  <conditionalFormatting sqref="G34">
    <cfRule type="cellIs" dxfId="392" priority="153" operator="equal">
      <formula>0</formula>
    </cfRule>
  </conditionalFormatting>
  <conditionalFormatting sqref="G36">
    <cfRule type="cellIs" dxfId="391" priority="152" operator="equal">
      <formula>0</formula>
    </cfRule>
  </conditionalFormatting>
  <conditionalFormatting sqref="G29">
    <cfRule type="cellIs" dxfId="390" priority="146" operator="equal">
      <formula>0</formula>
    </cfRule>
  </conditionalFormatting>
  <conditionalFormatting sqref="G32">
    <cfRule type="cellIs" dxfId="389" priority="150" operator="equal">
      <formula>0</formula>
    </cfRule>
  </conditionalFormatting>
  <conditionalFormatting sqref="G33">
    <cfRule type="cellIs" dxfId="388" priority="149" operator="equal">
      <formula>0</formula>
    </cfRule>
  </conditionalFormatting>
  <conditionalFormatting sqref="G28">
    <cfRule type="cellIs" dxfId="387" priority="151" operator="equal">
      <formula>0</formula>
    </cfRule>
  </conditionalFormatting>
  <conditionalFormatting sqref="G38">
    <cfRule type="cellIs" dxfId="386" priority="148" operator="equal">
      <formula>0</formula>
    </cfRule>
  </conditionalFormatting>
  <conditionalFormatting sqref="G35">
    <cfRule type="cellIs" dxfId="385" priority="147" operator="equal">
      <formula>0</formula>
    </cfRule>
  </conditionalFormatting>
  <conditionalFormatting sqref="G31">
    <cfRule type="cellIs" dxfId="384" priority="145" operator="equal">
      <formula>0</formula>
    </cfRule>
  </conditionalFormatting>
  <conditionalFormatting sqref="G30">
    <cfRule type="cellIs" dxfId="383" priority="144" operator="equal">
      <formula>0</formula>
    </cfRule>
  </conditionalFormatting>
  <conditionalFormatting sqref="G39">
    <cfRule type="cellIs" dxfId="382" priority="143" operator="equal">
      <formula>0</formula>
    </cfRule>
  </conditionalFormatting>
  <conditionalFormatting sqref="G41">
    <cfRule type="cellIs" dxfId="381" priority="142" operator="equal">
      <formula>0</formula>
    </cfRule>
  </conditionalFormatting>
  <conditionalFormatting sqref="G3:I3">
    <cfRule type="cellIs" dxfId="380" priority="70" operator="equal">
      <formula>0</formula>
    </cfRule>
  </conditionalFormatting>
  <conditionalFormatting sqref="H4:I4">
    <cfRule type="cellIs" dxfId="379" priority="69" operator="equal">
      <formula>0</formula>
    </cfRule>
  </conditionalFormatting>
  <conditionalFormatting sqref="I6">
    <cfRule type="cellIs" dxfId="378" priority="65" operator="equal">
      <formula>0</formula>
    </cfRule>
  </conditionalFormatting>
  <conditionalFormatting sqref="H5">
    <cfRule type="cellIs" dxfId="377" priority="64" operator="equal">
      <formula>0</formula>
    </cfRule>
  </conditionalFormatting>
  <conditionalFormatting sqref="H6">
    <cfRule type="cellIs" dxfId="376" priority="63" operator="equal">
      <formula>0</formula>
    </cfRule>
  </conditionalFormatting>
  <conditionalFormatting sqref="K3:K4">
    <cfRule type="cellIs" dxfId="375" priority="121" operator="equal">
      <formula>0</formula>
    </cfRule>
  </conditionalFormatting>
  <conditionalFormatting sqref="K5">
    <cfRule type="cellIs" dxfId="374" priority="119" operator="equal">
      <formula>0</formula>
    </cfRule>
  </conditionalFormatting>
  <conditionalFormatting sqref="K6">
    <cfRule type="cellIs" dxfId="373" priority="117" operator="equal">
      <formula>0</formula>
    </cfRule>
  </conditionalFormatting>
  <conditionalFormatting sqref="K9">
    <cfRule type="cellIs" dxfId="372" priority="115" operator="equal">
      <formula>0</formula>
    </cfRule>
  </conditionalFormatting>
  <conditionalFormatting sqref="K10">
    <cfRule type="cellIs" dxfId="371" priority="113" operator="equal">
      <formula>0</formula>
    </cfRule>
  </conditionalFormatting>
  <conditionalFormatting sqref="K7">
    <cfRule type="cellIs" dxfId="370" priority="109" operator="equal">
      <formula>0</formula>
    </cfRule>
  </conditionalFormatting>
  <conditionalFormatting sqref="K8">
    <cfRule type="cellIs" dxfId="369" priority="107" operator="equal">
      <formula>0</formula>
    </cfRule>
  </conditionalFormatting>
  <conditionalFormatting sqref="E10">
    <cfRule type="cellIs" priority="89" operator="equal">
      <formula>0</formula>
    </cfRule>
  </conditionalFormatting>
  <conditionalFormatting sqref="E3">
    <cfRule type="cellIs" dxfId="368" priority="104" operator="equal">
      <formula>0</formula>
    </cfRule>
  </conditionalFormatting>
  <conditionalFormatting sqref="E3">
    <cfRule type="cellIs" priority="103" operator="equal">
      <formula>0</formula>
    </cfRule>
  </conditionalFormatting>
  <conditionalFormatting sqref="E5">
    <cfRule type="cellIs" dxfId="367" priority="100" operator="equal">
      <formula>0</formula>
    </cfRule>
  </conditionalFormatting>
  <conditionalFormatting sqref="E5">
    <cfRule type="cellIs" priority="99" operator="equal">
      <formula>0</formula>
    </cfRule>
  </conditionalFormatting>
  <conditionalFormatting sqref="E7">
    <cfRule type="cellIs" dxfId="366" priority="96" operator="equal">
      <formula>0</formula>
    </cfRule>
  </conditionalFormatting>
  <conditionalFormatting sqref="E7">
    <cfRule type="cellIs" priority="95" operator="equal">
      <formula>0</formula>
    </cfRule>
  </conditionalFormatting>
  <conditionalFormatting sqref="E9">
    <cfRule type="cellIs" dxfId="365" priority="92" operator="equal">
      <formula>0</formula>
    </cfRule>
  </conditionalFormatting>
  <conditionalFormatting sqref="E9">
    <cfRule type="cellIs" priority="91" operator="equal">
      <formula>0</formula>
    </cfRule>
  </conditionalFormatting>
  <conditionalFormatting sqref="E4">
    <cfRule type="cellIs" dxfId="364" priority="102" operator="equal">
      <formula>0</formula>
    </cfRule>
  </conditionalFormatting>
  <conditionalFormatting sqref="E4">
    <cfRule type="cellIs" priority="101" operator="equal">
      <formula>0</formula>
    </cfRule>
  </conditionalFormatting>
  <conditionalFormatting sqref="E6">
    <cfRule type="cellIs" dxfId="363" priority="98" operator="equal">
      <formula>0</formula>
    </cfRule>
  </conditionalFormatting>
  <conditionalFormatting sqref="E6">
    <cfRule type="cellIs" priority="97" operator="equal">
      <formula>0</formula>
    </cfRule>
  </conditionalFormatting>
  <conditionalFormatting sqref="E8">
    <cfRule type="cellIs" dxfId="362" priority="94" operator="equal">
      <formula>0</formula>
    </cfRule>
  </conditionalFormatting>
  <conditionalFormatting sqref="E8">
    <cfRule type="cellIs" priority="93" operator="equal">
      <formula>0</formula>
    </cfRule>
  </conditionalFormatting>
  <conditionalFormatting sqref="E10">
    <cfRule type="cellIs" dxfId="361" priority="90" operator="equal">
      <formula>0</formula>
    </cfRule>
  </conditionalFormatting>
  <conditionalFormatting sqref="G4:G10">
    <cfRule type="cellIs" dxfId="360" priority="80" operator="equal">
      <formula>0</formula>
    </cfRule>
  </conditionalFormatting>
  <conditionalFormatting sqref="F6">
    <cfRule type="cellIs" dxfId="359" priority="71" operator="equal">
      <formula>0</formula>
    </cfRule>
  </conditionalFormatting>
  <conditionalFormatting sqref="F3">
    <cfRule type="cellIs" dxfId="358" priority="79" operator="equal">
      <formula>0</formula>
    </cfRule>
  </conditionalFormatting>
  <conditionalFormatting sqref="F4">
    <cfRule type="cellIs" dxfId="357" priority="78" operator="equal">
      <formula>0</formula>
    </cfRule>
  </conditionalFormatting>
  <conditionalFormatting sqref="F5">
    <cfRule type="cellIs" dxfId="356" priority="77" operator="equal">
      <formula>0</formula>
    </cfRule>
  </conditionalFormatting>
  <conditionalFormatting sqref="F7">
    <cfRule type="cellIs" dxfId="355" priority="76" operator="equal">
      <formula>0</formula>
    </cfRule>
  </conditionalFormatting>
  <conditionalFormatting sqref="F9">
    <cfRule type="cellIs" dxfId="354" priority="74" operator="equal">
      <formula>0</formula>
    </cfRule>
  </conditionalFormatting>
  <conditionalFormatting sqref="F8 H9:H10">
    <cfRule type="cellIs" priority="75" operator="equal">
      <formula>0</formula>
    </cfRule>
  </conditionalFormatting>
  <conditionalFormatting sqref="F10">
    <cfRule type="cellIs" dxfId="353" priority="72" operator="equal">
      <formula>0</formula>
    </cfRule>
    <cfRule type="cellIs" dxfId="352" priority="73" operator="equal">
      <formula>0</formula>
    </cfRule>
  </conditionalFormatting>
  <conditionalFormatting sqref="H7">
    <cfRule type="cellIs" dxfId="351" priority="62" operator="equal">
      <formula>0</formula>
    </cfRule>
  </conditionalFormatting>
  <conditionalFormatting sqref="I5">
    <cfRule type="cellIs" dxfId="350" priority="68" operator="equal">
      <formula>0</formula>
    </cfRule>
  </conditionalFormatting>
  <conditionalFormatting sqref="I7">
    <cfRule type="cellIs" dxfId="34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48" priority="46" operator="equal">
      <formula>0</formula>
    </cfRule>
  </conditionalFormatting>
  <conditionalFormatting sqref="I11">
    <cfRule type="cellIs" priority="45" operator="equal">
      <formula>0</formula>
    </cfRule>
  </conditionalFormatting>
  <conditionalFormatting sqref="K13 E13 G13">
    <cfRule type="cellIs" dxfId="34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4" priority="32" operator="equal">
      <formula>0</formula>
    </cfRule>
  </conditionalFormatting>
  <conditionalFormatting sqref="J5">
    <cfRule type="cellIs" dxfId="343" priority="31" operator="equal">
      <formula>0</formula>
    </cfRule>
  </conditionalFormatting>
  <conditionalFormatting sqref="J6">
    <cfRule type="cellIs" dxfId="342" priority="30" operator="equal">
      <formula>0</formula>
    </cfRule>
  </conditionalFormatting>
  <conditionalFormatting sqref="J9">
    <cfRule type="cellIs" dxfId="341" priority="29" operator="equal">
      <formula>0</formula>
    </cfRule>
  </conditionalFormatting>
  <conditionalFormatting sqref="J10">
    <cfRule type="cellIs" dxfId="340" priority="28" operator="equal">
      <formula>0</formula>
    </cfRule>
  </conditionalFormatting>
  <conditionalFormatting sqref="J7">
    <cfRule type="cellIs" dxfId="339" priority="27" operator="equal">
      <formula>0</formula>
    </cfRule>
  </conditionalFormatting>
  <conditionalFormatting sqref="J8">
    <cfRule type="cellIs" dxfId="338" priority="26" operator="equal">
      <formula>0</formula>
    </cfRule>
  </conditionalFormatting>
  <conditionalFormatting sqref="J11">
    <cfRule type="cellIs" dxfId="337" priority="25" operator="equal">
      <formula>0</formula>
    </cfRule>
  </conditionalFormatting>
  <conditionalFormatting sqref="J13">
    <cfRule type="cellIs" dxfId="336" priority="24" operator="equal">
      <formula>0</formula>
    </cfRule>
  </conditionalFormatting>
  <conditionalFormatting sqref="J12">
    <cfRule type="cellIs" dxfId="335" priority="23" operator="equal">
      <formula>0</formula>
    </cfRule>
  </conditionalFormatting>
  <conditionalFormatting sqref="J25">
    <cfRule type="cellIs" dxfId="334" priority="22" operator="equal">
      <formula>0</formula>
    </cfRule>
  </conditionalFormatting>
  <conditionalFormatting sqref="J26">
    <cfRule type="cellIs" dxfId="333" priority="21" operator="equal">
      <formula>0</formula>
    </cfRule>
  </conditionalFormatting>
  <conditionalFormatting sqref="L3:L4">
    <cfRule type="cellIs" dxfId="332" priority="20" operator="equal">
      <formula>0</formula>
    </cfRule>
  </conditionalFormatting>
  <conditionalFormatting sqref="L5">
    <cfRule type="cellIs" dxfId="331" priority="19" operator="equal">
      <formula>0</formula>
    </cfRule>
  </conditionalFormatting>
  <conditionalFormatting sqref="L6">
    <cfRule type="cellIs" dxfId="330" priority="18" operator="equal">
      <formula>0</formula>
    </cfRule>
  </conditionalFormatting>
  <conditionalFormatting sqref="L7">
    <cfRule type="cellIs" dxfId="329" priority="17" operator="equal">
      <formula>0</formula>
    </cfRule>
  </conditionalFormatting>
  <conditionalFormatting sqref="L8:L9">
    <cfRule type="cellIs" dxfId="328" priority="16" operator="equal">
      <formula>0</formula>
    </cfRule>
  </conditionalFormatting>
  <conditionalFormatting sqref="L14">
    <cfRule type="cellIs" dxfId="327" priority="15" operator="equal">
      <formula>0</formula>
    </cfRule>
  </conditionalFormatting>
  <conditionalFormatting sqref="L15">
    <cfRule type="cellIs" dxfId="326" priority="14" operator="equal">
      <formula>0</formula>
    </cfRule>
  </conditionalFormatting>
  <conditionalFormatting sqref="L16">
    <cfRule type="cellIs" dxfId="325" priority="13" operator="equal">
      <formula>0</formula>
    </cfRule>
  </conditionalFormatting>
  <conditionalFormatting sqref="L17">
    <cfRule type="cellIs" dxfId="324" priority="12" operator="equal">
      <formula>0</formula>
    </cfRule>
  </conditionalFormatting>
  <conditionalFormatting sqref="L18">
    <cfRule type="cellIs" dxfId="323" priority="11" operator="equal">
      <formula>0</formula>
    </cfRule>
  </conditionalFormatting>
  <conditionalFormatting sqref="L19">
    <cfRule type="cellIs" dxfId="322" priority="10" operator="equal">
      <formula>0</formula>
    </cfRule>
  </conditionalFormatting>
  <conditionalFormatting sqref="L20">
    <cfRule type="cellIs" dxfId="321" priority="9" operator="equal">
      <formula>0</formula>
    </cfRule>
  </conditionalFormatting>
  <conditionalFormatting sqref="L21">
    <cfRule type="cellIs" dxfId="320" priority="8" operator="equal">
      <formula>0</formula>
    </cfRule>
  </conditionalFormatting>
  <conditionalFormatting sqref="L22">
    <cfRule type="cellIs" dxfId="319" priority="7" operator="equal">
      <formula>0</formula>
    </cfRule>
  </conditionalFormatting>
  <conditionalFormatting sqref="L23">
    <cfRule type="cellIs" dxfId="318" priority="6" operator="equal">
      <formula>0</formula>
    </cfRule>
  </conditionalFormatting>
  <conditionalFormatting sqref="L24">
    <cfRule type="cellIs" dxfId="317" priority="5" operator="equal">
      <formula>0</formula>
    </cfRule>
  </conditionalFormatting>
  <conditionalFormatting sqref="L10">
    <cfRule type="cellIs" dxfId="316" priority="4" operator="equal">
      <formula>0</formula>
    </cfRule>
  </conditionalFormatting>
  <conditionalFormatting sqref="L11">
    <cfRule type="cellIs" dxfId="315" priority="3" operator="equal">
      <formula>0</formula>
    </cfRule>
  </conditionalFormatting>
  <conditionalFormatting sqref="L12">
    <cfRule type="cellIs" dxfId="314" priority="2" operator="equal">
      <formula>0</formula>
    </cfRule>
  </conditionalFormatting>
  <conditionalFormatting sqref="L13">
    <cfRule type="cellIs" dxfId="31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45"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46" t="s">
        <v>367</v>
      </c>
      <c r="N3" s="249" t="s">
        <v>14</v>
      </c>
      <c r="O3" s="250">
        <f ca="1">($G3+$G4+$G5+$G6+$G7)</f>
        <v>1056</v>
      </c>
    </row>
    <row r="4" spans="1:15" ht="15" customHeight="1" x14ac:dyDescent="0.35">
      <c r="A4" s="245"/>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47"/>
      <c r="N4" s="247"/>
      <c r="O4" s="251"/>
    </row>
    <row r="5" spans="1:15" ht="15" customHeight="1" x14ac:dyDescent="0.35">
      <c r="A5" s="245"/>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47"/>
      <c r="N5" s="247"/>
      <c r="O5" s="251"/>
    </row>
    <row r="6" spans="1:15" ht="15" customHeight="1" x14ac:dyDescent="0.35">
      <c r="A6" s="245"/>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47"/>
      <c r="N6" s="247"/>
      <c r="O6" s="251"/>
    </row>
    <row r="7" spans="1:15" ht="15" customHeight="1" thickBot="1" x14ac:dyDescent="0.4">
      <c r="A7" s="245"/>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48"/>
      <c r="N7" s="248"/>
      <c r="O7" s="252"/>
    </row>
    <row r="8" spans="1:15" ht="14.5" customHeight="1" x14ac:dyDescent="0.35">
      <c r="A8" s="260"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53" t="s">
        <v>368</v>
      </c>
      <c r="N8" s="256" t="s">
        <v>20</v>
      </c>
      <c r="O8" s="258">
        <f ca="1">($G8+$G9+$G10+$G13)</f>
        <v>960</v>
      </c>
    </row>
    <row r="9" spans="1:15" ht="14.5" customHeight="1" x14ac:dyDescent="0.35">
      <c r="A9" s="261"/>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54"/>
      <c r="N9" s="247"/>
      <c r="O9" s="251"/>
    </row>
    <row r="10" spans="1:15" ht="14.5" customHeight="1" x14ac:dyDescent="0.35">
      <c r="A10" s="261"/>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54"/>
      <c r="N10" s="247"/>
      <c r="O10" s="251"/>
    </row>
    <row r="11" spans="1:15" ht="14.5" customHeight="1" x14ac:dyDescent="0.35">
      <c r="A11" s="261"/>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4"/>
      <c r="N11" s="247"/>
      <c r="O11" s="251"/>
    </row>
    <row r="12" spans="1:15" ht="14.5" customHeight="1" x14ac:dyDescent="0.35">
      <c r="A12" s="261"/>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55"/>
      <c r="N12" s="257"/>
      <c r="O12" s="259"/>
    </row>
    <row r="13" spans="1:15" ht="14.5" customHeight="1" thickBot="1" x14ac:dyDescent="0.4">
      <c r="A13" s="262"/>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55"/>
      <c r="N13" s="257"/>
      <c r="O13" s="259"/>
    </row>
    <row r="14" spans="1:15" ht="14.5" customHeight="1" x14ac:dyDescent="0.35">
      <c r="A14" s="263" t="s">
        <v>23</v>
      </c>
      <c r="B14" s="34" t="s">
        <v>24</v>
      </c>
      <c r="C14" s="36" t="s">
        <v>613</v>
      </c>
      <c r="D14" s="265" t="s">
        <v>25</v>
      </c>
      <c r="E14" s="121"/>
      <c r="F14" s="111" t="s">
        <v>26</v>
      </c>
      <c r="G14" s="60">
        <f ca="1">IF($C14="No Param",32,VLOOKUP($C14,INDIRECT(Config!$B$1),HLOOKUP(D$1,INDIRECT(Config!$E$1),2,FALSE),FALSE)*32)</f>
        <v>32</v>
      </c>
      <c r="H14" s="24" t="s">
        <v>27</v>
      </c>
      <c r="I14" s="24" t="s">
        <v>28</v>
      </c>
      <c r="J14" s="24" t="s">
        <v>1080</v>
      </c>
      <c r="K14" s="24" t="s">
        <v>1092</v>
      </c>
      <c r="L14" s="237" t="str">
        <f ca="1">IF(VLOOKUP("EXT_FUSE_PULL_SUPP", INDIRECT(Config!$B$1),HLOOKUP(D$1,INDIRECT(Config!$E$1),2,FALSE),FALSE)=1, IF(G14&gt;0,CONCATENATE("CSME_HW_FW_Config_fuses[",G14-1,":0]"), ""), "")</f>
        <v/>
      </c>
      <c r="M14" s="246" t="s">
        <v>369</v>
      </c>
      <c r="N14" s="249" t="s">
        <v>29</v>
      </c>
      <c r="O14" s="250">
        <f ca="1">(4*32+G18+G19+G20+G21+G22+G23)</f>
        <v>160</v>
      </c>
    </row>
    <row r="15" spans="1:15" ht="14.5" customHeight="1" x14ac:dyDescent="0.35">
      <c r="A15" s="264"/>
      <c r="B15" s="35" t="s">
        <v>30</v>
      </c>
      <c r="C15" s="37" t="s">
        <v>613</v>
      </c>
      <c r="D15" s="2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67"/>
      <c r="N15" s="247"/>
      <c r="O15" s="251"/>
    </row>
    <row r="16" spans="1:15" ht="14.5" customHeight="1" x14ac:dyDescent="0.35">
      <c r="A16" s="264"/>
      <c r="B16" s="35" t="s">
        <v>31</v>
      </c>
      <c r="C16" s="37" t="s">
        <v>613</v>
      </c>
      <c r="D16" s="2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1082</v>
      </c>
      <c r="L16" s="3" t="str">
        <f ca="1">IF(VLOOKUP("EXT_FUSE_PULL_SUPP", INDIRECT(Config!$B$1),HLOOKUP(D$1,INDIRECT(Config!$E$1),2,FALSE),FALSE)=1, IF(G16&gt;0,CONCATENATE("CSME_HW_FW_Config_fuses[",G16-1+G15+G14,":",G15+G14,"]"), ""), "")</f>
        <v/>
      </c>
      <c r="M16" s="267"/>
      <c r="N16" s="247"/>
      <c r="O16" s="251"/>
    </row>
    <row r="17" spans="1:15" x14ac:dyDescent="0.35">
      <c r="A17" s="264"/>
      <c r="B17" s="35" t="s">
        <v>32</v>
      </c>
      <c r="C17" s="37" t="s">
        <v>613</v>
      </c>
      <c r="D17" s="2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67"/>
      <c r="N17" s="247"/>
      <c r="O17" s="251"/>
    </row>
    <row r="18" spans="1:15" x14ac:dyDescent="0.35">
      <c r="A18" s="264"/>
      <c r="B18" s="35" t="s">
        <v>34</v>
      </c>
      <c r="C18" s="35" t="s">
        <v>253</v>
      </c>
      <c r="D18" s="266"/>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7"/>
      <c r="N18" s="247"/>
      <c r="O18" s="251"/>
    </row>
    <row r="19" spans="1:15" x14ac:dyDescent="0.35">
      <c r="A19" s="264"/>
      <c r="B19" s="35" t="s">
        <v>36</v>
      </c>
      <c r="C19" s="73" t="s">
        <v>214</v>
      </c>
      <c r="D19" s="266"/>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7"/>
      <c r="N19" s="247"/>
      <c r="O19" s="251"/>
    </row>
    <row r="20" spans="1:15" x14ac:dyDescent="0.35">
      <c r="A20" s="264"/>
      <c r="B20" s="73" t="s">
        <v>246</v>
      </c>
      <c r="C20" s="73" t="s">
        <v>205</v>
      </c>
      <c r="D20" s="266"/>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7"/>
      <c r="N20" s="247"/>
      <c r="O20" s="251"/>
    </row>
    <row r="21" spans="1:15" x14ac:dyDescent="0.35">
      <c r="A21" s="264"/>
      <c r="B21" s="73" t="s">
        <v>250</v>
      </c>
      <c r="C21" s="73" t="s">
        <v>390</v>
      </c>
      <c r="D21" s="2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7"/>
      <c r="N21" s="247"/>
      <c r="O21" s="251"/>
    </row>
    <row r="22" spans="1:15" x14ac:dyDescent="0.35">
      <c r="A22" s="264"/>
      <c r="B22" s="73" t="s">
        <v>251</v>
      </c>
      <c r="C22" s="73" t="s">
        <v>390</v>
      </c>
      <c r="D22" s="2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7"/>
      <c r="N22" s="247"/>
      <c r="O22" s="251"/>
    </row>
    <row r="23" spans="1:15" x14ac:dyDescent="0.35">
      <c r="A23" s="264"/>
      <c r="B23" s="73" t="s">
        <v>252</v>
      </c>
      <c r="C23" s="73" t="s">
        <v>390</v>
      </c>
      <c r="D23" s="2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7"/>
      <c r="N23" s="247"/>
      <c r="O23" s="251"/>
    </row>
    <row r="24" spans="1:15" x14ac:dyDescent="0.35">
      <c r="A24" s="264"/>
      <c r="B24" s="35" t="s">
        <v>38</v>
      </c>
      <c r="C24" s="37" t="s">
        <v>613</v>
      </c>
      <c r="D24" s="266"/>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67"/>
      <c r="N24" s="247"/>
      <c r="O24" s="251"/>
    </row>
    <row r="25" spans="1:15" x14ac:dyDescent="0.35">
      <c r="A25" s="263" t="s">
        <v>41</v>
      </c>
      <c r="B25" s="35" t="s">
        <v>42</v>
      </c>
      <c r="C25" s="35" t="s">
        <v>614</v>
      </c>
      <c r="D25" s="2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7" t="s">
        <v>370</v>
      </c>
      <c r="N25" s="247"/>
      <c r="O25" s="251">
        <f ca="1">(G25+G26)</f>
        <v>64</v>
      </c>
    </row>
    <row r="26" spans="1:15" ht="15" thickBot="1" x14ac:dyDescent="0.4">
      <c r="A26" s="268"/>
      <c r="B26" s="74" t="s">
        <v>46</v>
      </c>
      <c r="C26" s="74" t="s">
        <v>615</v>
      </c>
      <c r="D26" s="269"/>
      <c r="E26" s="123"/>
      <c r="F26" s="76" t="s">
        <v>44</v>
      </c>
      <c r="G26" s="75">
        <f ca="1">IF($C26="No Param",32,VLOOKUP($C26,INDIRECT(Config!$B$1),HLOOKUP(D$1,INDIRECT(Config!$E$1),2,FALSE),FALSE)*32)</f>
        <v>32</v>
      </c>
      <c r="H26" s="26" t="str">
        <f ca="1">IF(G26=0,"N/A","0x8004")</f>
        <v>0x8004</v>
      </c>
      <c r="I26" s="26" t="s">
        <v>47</v>
      </c>
      <c r="J26" s="26" t="s">
        <v>48</v>
      </c>
      <c r="K26" s="26" t="s">
        <v>387</v>
      </c>
      <c r="L26" s="238"/>
      <c r="M26" s="248"/>
      <c r="N26" s="248"/>
      <c r="O26" s="252"/>
    </row>
    <row r="27" spans="1:15" ht="15" thickBot="1" x14ac:dyDescent="0.4">
      <c r="A27" s="124"/>
    </row>
    <row r="28" spans="1:15" x14ac:dyDescent="0.35">
      <c r="A28" s="2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0">
        <f ca="1">SUM(G28:G42)</f>
        <v>576</v>
      </c>
    </row>
    <row r="29" spans="1:15" ht="15" customHeight="1" x14ac:dyDescent="0.35">
      <c r="A29" s="2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7" t="s">
        <v>369</v>
      </c>
      <c r="N29" s="247"/>
      <c r="O29" s="251"/>
    </row>
    <row r="30" spans="1:15" x14ac:dyDescent="0.35">
      <c r="A30" s="2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7"/>
      <c r="N30" s="247"/>
      <c r="O30" s="251"/>
    </row>
    <row r="31" spans="1:15" x14ac:dyDescent="0.35">
      <c r="A31" s="2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7"/>
      <c r="N31" s="247"/>
      <c r="O31" s="251"/>
    </row>
    <row r="32" spans="1:15" x14ac:dyDescent="0.35">
      <c r="A32" s="2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47"/>
      <c r="O32" s="251"/>
    </row>
    <row r="33" spans="1:15" x14ac:dyDescent="0.35">
      <c r="A33" s="2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47"/>
      <c r="O33" s="251"/>
    </row>
    <row r="34" spans="1:15" ht="15" customHeight="1" x14ac:dyDescent="0.35">
      <c r="A34" s="2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7" t="s">
        <v>369</v>
      </c>
      <c r="N34" s="247"/>
      <c r="O34" s="251"/>
    </row>
    <row r="35" spans="1:15" x14ac:dyDescent="0.35">
      <c r="A35" s="2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7"/>
      <c r="N35" s="247"/>
      <c r="O35" s="251"/>
    </row>
    <row r="36" spans="1:15" x14ac:dyDescent="0.35">
      <c r="A36" s="2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7"/>
      <c r="N36" s="247"/>
      <c r="O36" s="251"/>
    </row>
    <row r="37" spans="1:15" x14ac:dyDescent="0.35">
      <c r="A37" s="2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47"/>
      <c r="O37" s="251"/>
    </row>
    <row r="38" spans="1:15" x14ac:dyDescent="0.35">
      <c r="A38" s="2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47"/>
      <c r="O38" s="251"/>
    </row>
    <row r="39" spans="1:15" ht="15" customHeight="1" x14ac:dyDescent="0.35">
      <c r="A39" s="2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7" t="s">
        <v>369</v>
      </c>
      <c r="N39" s="247"/>
      <c r="O39" s="251"/>
    </row>
    <row r="40" spans="1:15" x14ac:dyDescent="0.35">
      <c r="A40" s="2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7"/>
      <c r="N40" s="247"/>
      <c r="O40" s="251"/>
    </row>
    <row r="41" spans="1:15" x14ac:dyDescent="0.35">
      <c r="A41" s="2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7"/>
      <c r="N41" s="247"/>
      <c r="O41" s="251"/>
    </row>
    <row r="42" spans="1:15" ht="15" thickBot="1" x14ac:dyDescent="0.4">
      <c r="A42" s="2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48"/>
      <c r="O42" s="252"/>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2" priority="256" operator="equal">
      <formula>0</formula>
    </cfRule>
  </conditionalFormatting>
  <conditionalFormatting sqref="J28">
    <cfRule type="cellIs" dxfId="311" priority="272" operator="equal">
      <formula>0</formula>
    </cfRule>
  </conditionalFormatting>
  <conditionalFormatting sqref="C3">
    <cfRule type="cellIs" dxfId="310" priority="258" operator="equal">
      <formula>0</formula>
    </cfRule>
  </conditionalFormatting>
  <conditionalFormatting sqref="C4">
    <cfRule type="cellIs" dxfId="309" priority="257" operator="equal">
      <formula>0</formula>
    </cfRule>
  </conditionalFormatting>
  <conditionalFormatting sqref="B3 D3 G14:G26">
    <cfRule type="cellIs" dxfId="308" priority="269" operator="equal">
      <formula>0</formula>
    </cfRule>
  </conditionalFormatting>
  <conditionalFormatting sqref="B4 D4">
    <cfRule type="cellIs" dxfId="307" priority="268" operator="equal">
      <formula>0</formula>
    </cfRule>
  </conditionalFormatting>
  <conditionalFormatting sqref="B5 D5">
    <cfRule type="cellIs" dxfId="306" priority="267" operator="equal">
      <formula>0</formula>
    </cfRule>
  </conditionalFormatting>
  <conditionalFormatting sqref="B7">
    <cfRule type="cellIs" dxfId="305" priority="266" operator="equal">
      <formula>0</formula>
    </cfRule>
  </conditionalFormatting>
  <conditionalFormatting sqref="B8 D8">
    <cfRule type="cellIs" priority="265" operator="equal">
      <formula>0</formula>
    </cfRule>
  </conditionalFormatting>
  <conditionalFormatting sqref="B9 D9">
    <cfRule type="cellIs" dxfId="304" priority="264" operator="equal">
      <formula>0</formula>
    </cfRule>
  </conditionalFormatting>
  <conditionalFormatting sqref="B10 D10">
    <cfRule type="cellIs" dxfId="303" priority="262" operator="equal">
      <formula>0</formula>
    </cfRule>
    <cfRule type="cellIs" dxfId="302" priority="263" operator="equal">
      <formula>0</formula>
    </cfRule>
  </conditionalFormatting>
  <conditionalFormatting sqref="B6 D6">
    <cfRule type="cellIs" dxfId="301" priority="260" operator="equal">
      <formula>0</formula>
    </cfRule>
  </conditionalFormatting>
  <conditionalFormatting sqref="D7">
    <cfRule type="cellIs" dxfId="300" priority="259" operator="equal">
      <formula>0</formula>
    </cfRule>
  </conditionalFormatting>
  <conditionalFormatting sqref="C7">
    <cfRule type="cellIs" dxfId="299" priority="255" operator="equal">
      <formula>0</formula>
    </cfRule>
  </conditionalFormatting>
  <conditionalFormatting sqref="C8">
    <cfRule type="cellIs" priority="254" operator="equal">
      <formula>0</formula>
    </cfRule>
  </conditionalFormatting>
  <conditionalFormatting sqref="C9">
    <cfRule type="cellIs" dxfId="298" priority="253" operator="equal">
      <formula>0</formula>
    </cfRule>
  </conditionalFormatting>
  <conditionalFormatting sqref="C10">
    <cfRule type="cellIs" dxfId="297" priority="251" operator="equal">
      <formula>0</formula>
    </cfRule>
    <cfRule type="cellIs" dxfId="296" priority="252" operator="equal">
      <formula>0</formula>
    </cfRule>
  </conditionalFormatting>
  <conditionalFormatting sqref="C6">
    <cfRule type="cellIs" dxfId="295" priority="250" operator="equal">
      <formula>0</formula>
    </cfRule>
  </conditionalFormatting>
  <conditionalFormatting sqref="G40">
    <cfRule type="cellIs" dxfId="294" priority="170" operator="equal">
      <formula>0</formula>
    </cfRule>
  </conditionalFormatting>
  <conditionalFormatting sqref="G37">
    <cfRule type="cellIs" dxfId="293" priority="169" operator="equal">
      <formula>0</formula>
    </cfRule>
  </conditionalFormatting>
  <conditionalFormatting sqref="G42">
    <cfRule type="cellIs" dxfId="292" priority="168" operator="equal">
      <formula>0</formula>
    </cfRule>
  </conditionalFormatting>
  <conditionalFormatting sqref="L32">
    <cfRule type="cellIs" dxfId="291" priority="211" operator="equal">
      <formula>0</formula>
    </cfRule>
  </conditionalFormatting>
  <conditionalFormatting sqref="L31">
    <cfRule type="cellIs" dxfId="290" priority="210" operator="equal">
      <formula>0</formula>
    </cfRule>
  </conditionalFormatting>
  <conditionalFormatting sqref="L30">
    <cfRule type="cellIs" dxfId="289" priority="209" operator="equal">
      <formula>0</formula>
    </cfRule>
  </conditionalFormatting>
  <conditionalFormatting sqref="L29">
    <cfRule type="cellIs" dxfId="288" priority="208" operator="equal">
      <formula>0</formula>
    </cfRule>
  </conditionalFormatting>
  <conditionalFormatting sqref="L37">
    <cfRule type="cellIs" dxfId="287" priority="207" operator="equal">
      <formula>0</formula>
    </cfRule>
  </conditionalFormatting>
  <conditionalFormatting sqref="L36">
    <cfRule type="cellIs" dxfId="286" priority="206" operator="equal">
      <formula>0</formula>
    </cfRule>
  </conditionalFormatting>
  <conditionalFormatting sqref="L35">
    <cfRule type="cellIs" dxfId="285" priority="205" operator="equal">
      <formula>0</formula>
    </cfRule>
  </conditionalFormatting>
  <conditionalFormatting sqref="L34">
    <cfRule type="cellIs" dxfId="284" priority="204" operator="equal">
      <formula>0</formula>
    </cfRule>
  </conditionalFormatting>
  <conditionalFormatting sqref="L42">
    <cfRule type="cellIs" dxfId="283" priority="203" operator="equal">
      <formula>0</formula>
    </cfRule>
  </conditionalFormatting>
  <conditionalFormatting sqref="L41">
    <cfRule type="cellIs" dxfId="282" priority="202" operator="equal">
      <formula>0</formula>
    </cfRule>
  </conditionalFormatting>
  <conditionalFormatting sqref="L40">
    <cfRule type="cellIs" dxfId="281" priority="201" operator="equal">
      <formula>0</formula>
    </cfRule>
  </conditionalFormatting>
  <conditionalFormatting sqref="L39">
    <cfRule type="cellIs" dxfId="280" priority="200" operator="equal">
      <formula>0</formula>
    </cfRule>
  </conditionalFormatting>
  <conditionalFormatting sqref="G34">
    <cfRule type="cellIs" dxfId="279" priority="182" operator="equal">
      <formula>0</formula>
    </cfRule>
  </conditionalFormatting>
  <conditionalFormatting sqref="G36">
    <cfRule type="cellIs" dxfId="278" priority="181" operator="equal">
      <formula>0</formula>
    </cfRule>
  </conditionalFormatting>
  <conditionalFormatting sqref="G29">
    <cfRule type="cellIs" dxfId="277" priority="175" operator="equal">
      <formula>0</formula>
    </cfRule>
  </conditionalFormatting>
  <conditionalFormatting sqref="G32">
    <cfRule type="cellIs" dxfId="276" priority="179" operator="equal">
      <formula>0</formula>
    </cfRule>
  </conditionalFormatting>
  <conditionalFormatting sqref="G33">
    <cfRule type="cellIs" dxfId="275" priority="178" operator="equal">
      <formula>0</formula>
    </cfRule>
  </conditionalFormatting>
  <conditionalFormatting sqref="G28">
    <cfRule type="cellIs" dxfId="274" priority="180" operator="equal">
      <formula>0</formula>
    </cfRule>
  </conditionalFormatting>
  <conditionalFormatting sqref="G38">
    <cfRule type="cellIs" dxfId="273" priority="177" operator="equal">
      <formula>0</formula>
    </cfRule>
  </conditionalFormatting>
  <conditionalFormatting sqref="G35">
    <cfRule type="cellIs" dxfId="272" priority="176" operator="equal">
      <formula>0</formula>
    </cfRule>
  </conditionalFormatting>
  <conditionalFormatting sqref="G31">
    <cfRule type="cellIs" dxfId="271" priority="174" operator="equal">
      <formula>0</formula>
    </cfRule>
  </conditionalFormatting>
  <conditionalFormatting sqref="G30">
    <cfRule type="cellIs" dxfId="270" priority="173" operator="equal">
      <formula>0</formula>
    </cfRule>
  </conditionalFormatting>
  <conditionalFormatting sqref="G39">
    <cfRule type="cellIs" dxfId="269" priority="172" operator="equal">
      <formula>0</formula>
    </cfRule>
  </conditionalFormatting>
  <conditionalFormatting sqref="G41">
    <cfRule type="cellIs" dxfId="268" priority="171" operator="equal">
      <formula>0</formula>
    </cfRule>
  </conditionalFormatting>
  <conditionalFormatting sqref="E10">
    <cfRule type="cellIs" priority="131" operator="equal">
      <formula>0</formula>
    </cfRule>
  </conditionalFormatting>
  <conditionalFormatting sqref="E3">
    <cfRule type="cellIs" dxfId="267" priority="146" operator="equal">
      <formula>0</formula>
    </cfRule>
  </conditionalFormatting>
  <conditionalFormatting sqref="E3">
    <cfRule type="cellIs" priority="145" operator="equal">
      <formula>0</formula>
    </cfRule>
  </conditionalFormatting>
  <conditionalFormatting sqref="E5">
    <cfRule type="cellIs" dxfId="266" priority="142" operator="equal">
      <formula>0</formula>
    </cfRule>
  </conditionalFormatting>
  <conditionalFormatting sqref="E5">
    <cfRule type="cellIs" priority="141" operator="equal">
      <formula>0</formula>
    </cfRule>
  </conditionalFormatting>
  <conditionalFormatting sqref="E7">
    <cfRule type="cellIs" dxfId="265" priority="138" operator="equal">
      <formula>0</formula>
    </cfRule>
  </conditionalFormatting>
  <conditionalFormatting sqref="E7">
    <cfRule type="cellIs" priority="137" operator="equal">
      <formula>0</formula>
    </cfRule>
  </conditionalFormatting>
  <conditionalFormatting sqref="E9">
    <cfRule type="cellIs" dxfId="264" priority="134" operator="equal">
      <formula>0</formula>
    </cfRule>
  </conditionalFormatting>
  <conditionalFormatting sqref="E9">
    <cfRule type="cellIs" priority="133" operator="equal">
      <formula>0</formula>
    </cfRule>
  </conditionalFormatting>
  <conditionalFormatting sqref="E4">
    <cfRule type="cellIs" dxfId="263" priority="144" operator="equal">
      <formula>0</formula>
    </cfRule>
  </conditionalFormatting>
  <conditionalFormatting sqref="E4">
    <cfRule type="cellIs" priority="143" operator="equal">
      <formula>0</formula>
    </cfRule>
  </conditionalFormatting>
  <conditionalFormatting sqref="E6">
    <cfRule type="cellIs" dxfId="262" priority="140" operator="equal">
      <formula>0</formula>
    </cfRule>
  </conditionalFormatting>
  <conditionalFormatting sqref="E6">
    <cfRule type="cellIs" priority="139" operator="equal">
      <formula>0</formula>
    </cfRule>
  </conditionalFormatting>
  <conditionalFormatting sqref="E8">
    <cfRule type="cellIs" dxfId="261" priority="136" operator="equal">
      <formula>0</formula>
    </cfRule>
  </conditionalFormatting>
  <conditionalFormatting sqref="E8">
    <cfRule type="cellIs" priority="135" operator="equal">
      <formula>0</formula>
    </cfRule>
  </conditionalFormatting>
  <conditionalFormatting sqref="E10">
    <cfRule type="cellIs" dxfId="260" priority="132" operator="equal">
      <formula>0</formula>
    </cfRule>
  </conditionalFormatting>
  <conditionalFormatting sqref="G4:G10">
    <cfRule type="cellIs" dxfId="259" priority="122" operator="equal">
      <formula>0</formula>
    </cfRule>
  </conditionalFormatting>
  <conditionalFormatting sqref="F6">
    <cfRule type="cellIs" dxfId="258" priority="113" operator="equal">
      <formula>0</formula>
    </cfRule>
  </conditionalFormatting>
  <conditionalFormatting sqref="F3">
    <cfRule type="cellIs" dxfId="257" priority="121" operator="equal">
      <formula>0</formula>
    </cfRule>
  </conditionalFormatting>
  <conditionalFormatting sqref="F4">
    <cfRule type="cellIs" dxfId="256" priority="120" operator="equal">
      <formula>0</formula>
    </cfRule>
  </conditionalFormatting>
  <conditionalFormatting sqref="F5">
    <cfRule type="cellIs" dxfId="255" priority="119" operator="equal">
      <formula>0</formula>
    </cfRule>
  </conditionalFormatting>
  <conditionalFormatting sqref="F7">
    <cfRule type="cellIs" dxfId="254" priority="118" operator="equal">
      <formula>0</formula>
    </cfRule>
  </conditionalFormatting>
  <conditionalFormatting sqref="F9">
    <cfRule type="cellIs" dxfId="253" priority="116" operator="equal">
      <formula>0</formula>
    </cfRule>
  </conditionalFormatting>
  <conditionalFormatting sqref="G3:I3">
    <cfRule type="cellIs" dxfId="252" priority="112" operator="equal">
      <formula>0</formula>
    </cfRule>
  </conditionalFormatting>
  <conditionalFormatting sqref="F8 H9:H10">
    <cfRule type="cellIs" priority="117" operator="equal">
      <formula>0</formula>
    </cfRule>
  </conditionalFormatting>
  <conditionalFormatting sqref="F10">
    <cfRule type="cellIs" dxfId="251" priority="114" operator="equal">
      <formula>0</formula>
    </cfRule>
    <cfRule type="cellIs" dxfId="250" priority="115" operator="equal">
      <formula>0</formula>
    </cfRule>
  </conditionalFormatting>
  <conditionalFormatting sqref="H7">
    <cfRule type="cellIs" dxfId="249" priority="104" operator="equal">
      <formula>0</formula>
    </cfRule>
  </conditionalFormatting>
  <conditionalFormatting sqref="I6">
    <cfRule type="cellIs" dxfId="248" priority="107" operator="equal">
      <formula>0</formula>
    </cfRule>
  </conditionalFormatting>
  <conditionalFormatting sqref="H5">
    <cfRule type="cellIs" dxfId="247" priority="106" operator="equal">
      <formula>0</formula>
    </cfRule>
  </conditionalFormatting>
  <conditionalFormatting sqref="H4:I4">
    <cfRule type="cellIs" dxfId="246" priority="111" operator="equal">
      <formula>0</formula>
    </cfRule>
  </conditionalFormatting>
  <conditionalFormatting sqref="I5">
    <cfRule type="cellIs" dxfId="245" priority="110" operator="equal">
      <formula>0</formula>
    </cfRule>
  </conditionalFormatting>
  <conditionalFormatting sqref="I7">
    <cfRule type="cellIs" dxfId="244" priority="109" operator="equal">
      <formula>0</formula>
    </cfRule>
  </conditionalFormatting>
  <conditionalFormatting sqref="H8:I8">
    <cfRule type="cellIs" priority="108" operator="equal">
      <formula>0</formula>
    </cfRule>
  </conditionalFormatting>
  <conditionalFormatting sqref="H6">
    <cfRule type="cellIs" dxfId="243" priority="105" operator="equal">
      <formula>0</formula>
    </cfRule>
  </conditionalFormatting>
  <conditionalFormatting sqref="I9:I10">
    <cfRule type="cellIs" priority="101" operator="equal">
      <formula>0</formula>
    </cfRule>
  </conditionalFormatting>
  <conditionalFormatting sqref="E11 G11">
    <cfRule type="cellIs" dxfId="242" priority="88" operator="equal">
      <formula>0</formula>
    </cfRule>
  </conditionalFormatting>
  <conditionalFormatting sqref="I11">
    <cfRule type="cellIs" priority="87" operator="equal">
      <formula>0</formula>
    </cfRule>
  </conditionalFormatting>
  <conditionalFormatting sqref="E13 G13">
    <cfRule type="cellIs" dxfId="24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3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38" priority="44" operator="equal">
      <formula>0</formula>
    </cfRule>
  </conditionalFormatting>
  <conditionalFormatting sqref="K26">
    <cfRule type="cellIs" dxfId="237" priority="43" operator="equal">
      <formula>0</formula>
    </cfRule>
  </conditionalFormatting>
  <conditionalFormatting sqref="J25">
    <cfRule type="cellIs" dxfId="236" priority="42" operator="equal">
      <formula>0</formula>
    </cfRule>
  </conditionalFormatting>
  <conditionalFormatting sqref="J26">
    <cfRule type="cellIs" dxfId="235" priority="41" operator="equal">
      <formula>0</formula>
    </cfRule>
  </conditionalFormatting>
  <conditionalFormatting sqref="K3:K4">
    <cfRule type="cellIs" dxfId="234" priority="40" operator="equal">
      <formula>0</formula>
    </cfRule>
  </conditionalFormatting>
  <conditionalFormatting sqref="K5">
    <cfRule type="cellIs" dxfId="233" priority="39" operator="equal">
      <formula>0</formula>
    </cfRule>
  </conditionalFormatting>
  <conditionalFormatting sqref="K6">
    <cfRule type="cellIs" dxfId="232" priority="38" operator="equal">
      <formula>0</formula>
    </cfRule>
  </conditionalFormatting>
  <conditionalFormatting sqref="K9">
    <cfRule type="cellIs" dxfId="231" priority="37" operator="equal">
      <formula>0</formula>
    </cfRule>
  </conditionalFormatting>
  <conditionalFormatting sqref="K10">
    <cfRule type="cellIs" dxfId="230" priority="36" operator="equal">
      <formula>0</formula>
    </cfRule>
  </conditionalFormatting>
  <conditionalFormatting sqref="K7">
    <cfRule type="cellIs" dxfId="229" priority="35" operator="equal">
      <formula>0</formula>
    </cfRule>
  </conditionalFormatting>
  <conditionalFormatting sqref="K8">
    <cfRule type="cellIs" dxfId="228" priority="34" operator="equal">
      <formula>0</formula>
    </cfRule>
  </conditionalFormatting>
  <conditionalFormatting sqref="K11">
    <cfRule type="cellIs" dxfId="227" priority="33" operator="equal">
      <formula>0</formula>
    </cfRule>
  </conditionalFormatting>
  <conditionalFormatting sqref="K13">
    <cfRule type="cellIs" dxfId="226" priority="32" operator="equal">
      <formula>0</formula>
    </cfRule>
  </conditionalFormatting>
  <conditionalFormatting sqref="K12">
    <cfRule type="cellIs" dxfId="225" priority="31" operator="equal">
      <formula>0</formula>
    </cfRule>
  </conditionalFormatting>
  <conditionalFormatting sqref="J3:J4">
    <cfRule type="cellIs" dxfId="224" priority="30" operator="equal">
      <formula>0</formula>
    </cfRule>
  </conditionalFormatting>
  <conditionalFormatting sqref="J5">
    <cfRule type="cellIs" dxfId="223" priority="29" operator="equal">
      <formula>0</formula>
    </cfRule>
  </conditionalFormatting>
  <conditionalFormatting sqref="J6">
    <cfRule type="cellIs" dxfId="222" priority="28" operator="equal">
      <formula>0</formula>
    </cfRule>
  </conditionalFormatting>
  <conditionalFormatting sqref="J9">
    <cfRule type="cellIs" dxfId="221" priority="27" operator="equal">
      <formula>0</formula>
    </cfRule>
  </conditionalFormatting>
  <conditionalFormatting sqref="J10">
    <cfRule type="cellIs" dxfId="220" priority="26" operator="equal">
      <formula>0</formula>
    </cfRule>
  </conditionalFormatting>
  <conditionalFormatting sqref="J7">
    <cfRule type="cellIs" dxfId="219" priority="25" operator="equal">
      <formula>0</formula>
    </cfRule>
  </conditionalFormatting>
  <conditionalFormatting sqref="J8">
    <cfRule type="cellIs" dxfId="218" priority="24" operator="equal">
      <formula>0</formula>
    </cfRule>
  </conditionalFormatting>
  <conditionalFormatting sqref="J11">
    <cfRule type="cellIs" dxfId="217" priority="23" operator="equal">
      <formula>0</formula>
    </cfRule>
  </conditionalFormatting>
  <conditionalFormatting sqref="J13">
    <cfRule type="cellIs" dxfId="216" priority="22" operator="equal">
      <formula>0</formula>
    </cfRule>
  </conditionalFormatting>
  <conditionalFormatting sqref="J12">
    <cfRule type="cellIs" dxfId="215" priority="21" operator="equal">
      <formula>0</formula>
    </cfRule>
  </conditionalFormatting>
  <conditionalFormatting sqref="L3:L4">
    <cfRule type="cellIs" dxfId="214" priority="20" operator="equal">
      <formula>0</formula>
    </cfRule>
  </conditionalFormatting>
  <conditionalFormatting sqref="L5">
    <cfRule type="cellIs" dxfId="213" priority="19" operator="equal">
      <formula>0</formula>
    </cfRule>
  </conditionalFormatting>
  <conditionalFormatting sqref="L6">
    <cfRule type="cellIs" dxfId="212" priority="18" operator="equal">
      <formula>0</formula>
    </cfRule>
  </conditionalFormatting>
  <conditionalFormatting sqref="L7">
    <cfRule type="cellIs" dxfId="211" priority="17" operator="equal">
      <formula>0</formula>
    </cfRule>
  </conditionalFormatting>
  <conditionalFormatting sqref="L8:L9">
    <cfRule type="cellIs" dxfId="210" priority="16" operator="equal">
      <formula>0</formula>
    </cfRule>
  </conditionalFormatting>
  <conditionalFormatting sqref="L14">
    <cfRule type="cellIs" dxfId="209" priority="15" operator="equal">
      <formula>0</formula>
    </cfRule>
  </conditionalFormatting>
  <conditionalFormatting sqref="L15">
    <cfRule type="cellIs" dxfId="208" priority="14" operator="equal">
      <formula>0</formula>
    </cfRule>
  </conditionalFormatting>
  <conditionalFormatting sqref="L16">
    <cfRule type="cellIs" dxfId="207" priority="13" operator="equal">
      <formula>0</formula>
    </cfRule>
  </conditionalFormatting>
  <conditionalFormatting sqref="L17">
    <cfRule type="cellIs" dxfId="206" priority="12" operator="equal">
      <formula>0</formula>
    </cfRule>
  </conditionalFormatting>
  <conditionalFormatting sqref="L18">
    <cfRule type="cellIs" dxfId="205" priority="11" operator="equal">
      <formula>0</formula>
    </cfRule>
  </conditionalFormatting>
  <conditionalFormatting sqref="L19">
    <cfRule type="cellIs" dxfId="204" priority="10" operator="equal">
      <formula>0</formula>
    </cfRule>
  </conditionalFormatting>
  <conditionalFormatting sqref="L20">
    <cfRule type="cellIs" dxfId="203" priority="9" operator="equal">
      <formula>0</formula>
    </cfRule>
  </conditionalFormatting>
  <conditionalFormatting sqref="L21">
    <cfRule type="cellIs" dxfId="202" priority="8" operator="equal">
      <formula>0</formula>
    </cfRule>
  </conditionalFormatting>
  <conditionalFormatting sqref="L22">
    <cfRule type="cellIs" dxfId="201" priority="7" operator="equal">
      <formula>0</formula>
    </cfRule>
  </conditionalFormatting>
  <conditionalFormatting sqref="L23">
    <cfRule type="cellIs" dxfId="200" priority="6" operator="equal">
      <formula>0</formula>
    </cfRule>
  </conditionalFormatting>
  <conditionalFormatting sqref="L24">
    <cfRule type="cellIs" dxfId="199" priority="5" operator="equal">
      <formula>0</formula>
    </cfRule>
  </conditionalFormatting>
  <conditionalFormatting sqref="L10">
    <cfRule type="cellIs" dxfId="198" priority="4" operator="equal">
      <formula>0</formula>
    </cfRule>
  </conditionalFormatting>
  <conditionalFormatting sqref="L11">
    <cfRule type="cellIs" dxfId="197" priority="3" operator="equal">
      <formula>0</formula>
    </cfRule>
  </conditionalFormatting>
  <conditionalFormatting sqref="L12">
    <cfRule type="cellIs" dxfId="196" priority="2" operator="equal">
      <formula>0</formula>
    </cfRule>
  </conditionalFormatting>
  <conditionalFormatting sqref="L13">
    <cfRule type="cellIs" dxfId="1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customWidth="1"/>
    <col min="9" max="9" width="11.36328125" style="15" customWidth="1"/>
    <col min="10" max="11" width="10.7265625" style="15" bestFit="1" customWidth="1"/>
    <col min="12" max="12" width="34.1796875" style="15"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45" t="s">
        <v>810</v>
      </c>
      <c r="B3" s="34" t="s">
        <v>395</v>
      </c>
      <c r="C3" s="34" t="s">
        <v>395</v>
      </c>
      <c r="D3" s="152"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46" t="s">
        <v>367</v>
      </c>
      <c r="N3" s="249" t="s">
        <v>14</v>
      </c>
      <c r="O3" s="250">
        <f ca="1">($G3+$G4+$G5+$G6+$G7)</f>
        <v>801</v>
      </c>
    </row>
    <row r="4" spans="1:15" ht="15" customHeight="1" x14ac:dyDescent="0.35">
      <c r="A4" s="245"/>
      <c r="B4" s="35" t="s">
        <v>396</v>
      </c>
      <c r="C4" s="35" t="s">
        <v>396</v>
      </c>
      <c r="D4" s="153"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47"/>
      <c r="N4" s="247"/>
      <c r="O4" s="251"/>
    </row>
    <row r="5" spans="1:15" ht="15" customHeight="1" x14ac:dyDescent="0.35">
      <c r="A5" s="245"/>
      <c r="B5" s="35" t="s">
        <v>397</v>
      </c>
      <c r="C5" s="35" t="s">
        <v>397</v>
      </c>
      <c r="D5" s="153"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47"/>
      <c r="N5" s="247"/>
      <c r="O5" s="251"/>
    </row>
    <row r="6" spans="1:15" ht="15" customHeight="1" x14ac:dyDescent="0.35">
      <c r="A6" s="245"/>
      <c r="B6" s="69" t="s">
        <v>398</v>
      </c>
      <c r="C6" s="69" t="s">
        <v>398</v>
      </c>
      <c r="D6" s="153"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47"/>
      <c r="N6" s="247"/>
      <c r="O6" s="251"/>
    </row>
    <row r="7" spans="1:15" ht="15" customHeight="1" thickBot="1" x14ac:dyDescent="0.4">
      <c r="A7" s="245"/>
      <c r="B7" s="70" t="s">
        <v>422</v>
      </c>
      <c r="C7" s="77" t="s">
        <v>422</v>
      </c>
      <c r="D7" s="155"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35" t="s">
        <v>11</v>
      </c>
      <c r="G7" s="236">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57"/>
      <c r="N7" s="257"/>
      <c r="O7" s="259"/>
    </row>
    <row r="8" spans="1:15" ht="14.5" customHeight="1" x14ac:dyDescent="0.35">
      <c r="A8" s="284" t="s">
        <v>885</v>
      </c>
      <c r="B8" s="71" t="s">
        <v>16</v>
      </c>
      <c r="C8" s="71" t="s">
        <v>16</v>
      </c>
      <c r="D8" s="152" t="s">
        <v>17</v>
      </c>
      <c r="E8" s="231" t="str">
        <f>Config!AD61</f>
        <v xml:space="preserve">This parameter is used to define iKGF signature for On Die CA. This parameter shows bit size of HVM fuse. 
Current signature size is 768 bits. When this parameter is set to ‘0’, this HVM fuse is removed. </v>
      </c>
      <c r="F8" s="184" t="s">
        <v>18</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82" t="s">
        <v>368</v>
      </c>
      <c r="N8" s="249" t="s">
        <v>20</v>
      </c>
      <c r="O8" s="250">
        <f ca="1">($G8+$G9+$G10+$G13)</f>
        <v>992</v>
      </c>
    </row>
    <row r="9" spans="1:15" s="133" customFormat="1" ht="14.5" customHeight="1" x14ac:dyDescent="0.35">
      <c r="A9" s="285"/>
      <c r="B9" s="132" t="s">
        <v>399</v>
      </c>
      <c r="C9" s="132" t="s">
        <v>399</v>
      </c>
      <c r="D9" s="178" t="s">
        <v>17</v>
      </c>
      <c r="E9" s="232"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54"/>
      <c r="N9" s="247"/>
      <c r="O9" s="251"/>
    </row>
    <row r="10" spans="1:15" ht="14.5" customHeight="1" x14ac:dyDescent="0.35">
      <c r="A10" s="285"/>
      <c r="B10" s="135" t="s">
        <v>22</v>
      </c>
      <c r="C10" s="135" t="s">
        <v>22</v>
      </c>
      <c r="D10" s="179" t="s">
        <v>17</v>
      </c>
      <c r="E10" s="232"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54"/>
      <c r="N10" s="247"/>
      <c r="O10" s="251"/>
    </row>
    <row r="11" spans="1:15" ht="15" customHeight="1" x14ac:dyDescent="0.35">
      <c r="A11" s="285"/>
      <c r="B11" s="168" t="s">
        <v>21</v>
      </c>
      <c r="C11" s="167" t="s">
        <v>21</v>
      </c>
      <c r="D11" s="15" t="s">
        <v>17</v>
      </c>
      <c r="E11" s="233" t="s">
        <v>516</v>
      </c>
      <c r="F11" s="25"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54"/>
      <c r="N11" s="247"/>
      <c r="O11" s="251"/>
    </row>
    <row r="12" spans="1:15" ht="15" customHeight="1" x14ac:dyDescent="0.35">
      <c r="A12" s="285"/>
      <c r="B12" s="72" t="s">
        <v>884</v>
      </c>
      <c r="C12" s="72" t="s">
        <v>884</v>
      </c>
      <c r="D12" s="153" t="s">
        <v>17</v>
      </c>
      <c r="E12" s="234" t="s">
        <v>883</v>
      </c>
      <c r="F12" s="25"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54"/>
      <c r="N12" s="247"/>
      <c r="O12" s="251"/>
    </row>
    <row r="13" spans="1:15" ht="15" customHeight="1" thickBot="1" x14ac:dyDescent="0.4">
      <c r="A13" s="286"/>
      <c r="B13" s="169" t="s">
        <v>423</v>
      </c>
      <c r="C13" s="169" t="s">
        <v>423</v>
      </c>
      <c r="D13" s="188" t="s">
        <v>17</v>
      </c>
      <c r="E13" s="190" t="s">
        <v>519</v>
      </c>
      <c r="F13" s="180" t="s">
        <v>18</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83"/>
      <c r="N13" s="248"/>
      <c r="O13" s="252"/>
    </row>
    <row r="14" spans="1:15" ht="15" customHeight="1" x14ac:dyDescent="0.35">
      <c r="A14" s="263" t="s">
        <v>23</v>
      </c>
      <c r="B14" s="43" t="s">
        <v>24</v>
      </c>
      <c r="C14" s="174" t="s">
        <v>613</v>
      </c>
      <c r="D14" s="278" t="s">
        <v>25</v>
      </c>
      <c r="E14" s="175"/>
      <c r="F14" s="181" t="s">
        <v>26</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80" t="s">
        <v>369</v>
      </c>
      <c r="N14" s="256" t="s">
        <v>29</v>
      </c>
      <c r="O14" s="258">
        <f ca="1">(4*32+G18+G19+G20+G21+G22+G23)</f>
        <v>128</v>
      </c>
    </row>
    <row r="15" spans="1:15" x14ac:dyDescent="0.35">
      <c r="A15" s="264"/>
      <c r="B15" s="35" t="s">
        <v>30</v>
      </c>
      <c r="C15" s="37" t="s">
        <v>613</v>
      </c>
      <c r="D15" s="279"/>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67"/>
      <c r="N15" s="247"/>
      <c r="O15" s="251"/>
    </row>
    <row r="16" spans="1:15" x14ac:dyDescent="0.35">
      <c r="A16" s="264"/>
      <c r="B16" s="35" t="s">
        <v>31</v>
      </c>
      <c r="C16" s="37" t="s">
        <v>613</v>
      </c>
      <c r="D16" s="279"/>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67"/>
      <c r="N16" s="247"/>
      <c r="O16" s="251"/>
    </row>
    <row r="17" spans="1:15" x14ac:dyDescent="0.35">
      <c r="A17" s="264"/>
      <c r="B17" s="35" t="s">
        <v>32</v>
      </c>
      <c r="C17" s="37" t="s">
        <v>613</v>
      </c>
      <c r="D17" s="279"/>
      <c r="E17" s="122"/>
      <c r="F17" s="25" t="s">
        <v>26</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67"/>
      <c r="N17" s="247"/>
      <c r="O17" s="251"/>
    </row>
    <row r="18" spans="1:15" x14ac:dyDescent="0.35">
      <c r="A18" s="264"/>
      <c r="B18" s="35" t="s">
        <v>34</v>
      </c>
      <c r="C18" s="35" t="s">
        <v>253</v>
      </c>
      <c r="D18" s="279"/>
      <c r="E18" s="122"/>
      <c r="F18" s="25" t="s">
        <v>26</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67"/>
      <c r="N18" s="247"/>
      <c r="O18" s="251"/>
    </row>
    <row r="19" spans="1:15" x14ac:dyDescent="0.35">
      <c r="A19" s="264"/>
      <c r="B19" s="35" t="s">
        <v>36</v>
      </c>
      <c r="C19" s="73" t="s">
        <v>214</v>
      </c>
      <c r="D19" s="279"/>
      <c r="E19" s="122"/>
      <c r="F19" s="25" t="s">
        <v>26</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67"/>
      <c r="N19" s="247"/>
      <c r="O19" s="251"/>
    </row>
    <row r="20" spans="1:15" x14ac:dyDescent="0.35">
      <c r="A20" s="264"/>
      <c r="B20" s="73" t="s">
        <v>246</v>
      </c>
      <c r="C20" s="73" t="s">
        <v>205</v>
      </c>
      <c r="D20" s="279"/>
      <c r="E20" s="122"/>
      <c r="F20" s="25" t="s">
        <v>26</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67"/>
      <c r="N20" s="247"/>
      <c r="O20" s="251"/>
    </row>
    <row r="21" spans="1:15" x14ac:dyDescent="0.35">
      <c r="A21" s="264"/>
      <c r="B21" s="73" t="s">
        <v>250</v>
      </c>
      <c r="C21" s="73" t="s">
        <v>390</v>
      </c>
      <c r="D21" s="279"/>
      <c r="E21" s="122"/>
      <c r="F21" s="25" t="s">
        <v>26</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67"/>
      <c r="N21" s="247"/>
      <c r="O21" s="251"/>
    </row>
    <row r="22" spans="1:15" x14ac:dyDescent="0.35">
      <c r="A22" s="264"/>
      <c r="B22" s="73" t="s">
        <v>251</v>
      </c>
      <c r="C22" s="73" t="s">
        <v>390</v>
      </c>
      <c r="D22" s="279"/>
      <c r="E22" s="122"/>
      <c r="F22" s="25"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67"/>
      <c r="N22" s="247"/>
      <c r="O22" s="251"/>
    </row>
    <row r="23" spans="1:15" x14ac:dyDescent="0.35">
      <c r="A23" s="264"/>
      <c r="B23" s="73" t="s">
        <v>252</v>
      </c>
      <c r="C23" s="73" t="s">
        <v>390</v>
      </c>
      <c r="D23" s="279"/>
      <c r="E23" s="122"/>
      <c r="F23" s="25"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67"/>
      <c r="N23" s="247"/>
      <c r="O23" s="251"/>
    </row>
    <row r="24" spans="1:15" x14ac:dyDescent="0.35">
      <c r="A24" s="277"/>
      <c r="B24" s="35" t="s">
        <v>38</v>
      </c>
      <c r="C24" s="37" t="s">
        <v>613</v>
      </c>
      <c r="D24" s="279"/>
      <c r="E24" s="122"/>
      <c r="F24" s="25" t="s">
        <v>26</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67"/>
      <c r="N24" s="247"/>
      <c r="O24" s="251"/>
    </row>
    <row r="25" spans="1:15" x14ac:dyDescent="0.35">
      <c r="A25" s="263" t="s">
        <v>41</v>
      </c>
      <c r="B25" s="35" t="s">
        <v>42</v>
      </c>
      <c r="C25" s="35" t="s">
        <v>614</v>
      </c>
      <c r="D25" s="279" t="s">
        <v>43</v>
      </c>
      <c r="E25" s="122"/>
      <c r="F25" s="25" t="s">
        <v>44</v>
      </c>
      <c r="G25" s="39">
        <f ca="1">IF($C25="No Param",32,VLOOKUP($C25,INDIRECT(Config!$B$1),HLOOKUP(D$1,INDIRECT(Config!$E$1),2,FALSE),FALSE)*32)</f>
        <v>0</v>
      </c>
      <c r="H25" s="16" t="str">
        <f ca="1">IF(G25=0,"N/A","0x8000")</f>
        <v>N/A</v>
      </c>
      <c r="I25" s="16" t="s">
        <v>45</v>
      </c>
      <c r="J25" s="16" t="s">
        <v>48</v>
      </c>
      <c r="K25" s="16" t="s">
        <v>387</v>
      </c>
      <c r="L25" s="16"/>
      <c r="M25" s="267" t="s">
        <v>370</v>
      </c>
      <c r="N25" s="247"/>
      <c r="O25" s="251">
        <f ca="1">(G25+G26)</f>
        <v>0</v>
      </c>
    </row>
    <row r="26" spans="1:15" ht="15" thickBot="1" x14ac:dyDescent="0.4">
      <c r="A26" s="268"/>
      <c r="B26" s="74" t="s">
        <v>46</v>
      </c>
      <c r="C26" s="74" t="s">
        <v>615</v>
      </c>
      <c r="D26" s="281"/>
      <c r="E26" s="123"/>
      <c r="F26" s="180" t="s">
        <v>44</v>
      </c>
      <c r="G26" s="75">
        <f ca="1">IF($C26="No Param",32,VLOOKUP($C26,INDIRECT(Config!$B$1),HLOOKUP(D$1,INDIRECT(Config!$E$1),2,FALSE),FALSE)*32)</f>
        <v>0</v>
      </c>
      <c r="H26" s="26" t="str">
        <f ca="1">IF(G26=0,"N/A","0x8004")</f>
        <v>N/A</v>
      </c>
      <c r="I26" s="26" t="s">
        <v>47</v>
      </c>
      <c r="J26" s="26" t="s">
        <v>48</v>
      </c>
      <c r="K26" s="26" t="s">
        <v>387</v>
      </c>
      <c r="L26" s="26"/>
      <c r="M26" s="248"/>
      <c r="N26" s="248"/>
      <c r="O26" s="252"/>
    </row>
    <row r="27" spans="1:15" ht="15" thickBot="1" x14ac:dyDescent="0.4">
      <c r="A27" s="124"/>
    </row>
    <row r="28" spans="1:15" x14ac:dyDescent="0.35">
      <c r="A28" s="26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49" t="s">
        <v>48</v>
      </c>
      <c r="O28" s="250">
        <f ca="1">SUM(G28:G42)</f>
        <v>0</v>
      </c>
    </row>
    <row r="29" spans="1:15" ht="15" customHeight="1" x14ac:dyDescent="0.35">
      <c r="A29" s="2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7" t="s">
        <v>369</v>
      </c>
      <c r="N29" s="247"/>
      <c r="O29" s="251"/>
    </row>
    <row r="30" spans="1:15" x14ac:dyDescent="0.35">
      <c r="A30" s="2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7"/>
      <c r="N30" s="247"/>
      <c r="O30" s="251"/>
    </row>
    <row r="31" spans="1:15" x14ac:dyDescent="0.35">
      <c r="A31" s="2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7"/>
      <c r="N31" s="247"/>
      <c r="O31" s="251"/>
    </row>
    <row r="32" spans="1:15" x14ac:dyDescent="0.35">
      <c r="A32" s="2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47"/>
      <c r="O32" s="251"/>
    </row>
    <row r="33" spans="1:15" x14ac:dyDescent="0.35">
      <c r="A33" s="2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47"/>
      <c r="O33" s="251"/>
    </row>
    <row r="34" spans="1:15" ht="15" customHeight="1" x14ac:dyDescent="0.35">
      <c r="A34" s="2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7" t="s">
        <v>369</v>
      </c>
      <c r="N34" s="247"/>
      <c r="O34" s="251"/>
    </row>
    <row r="35" spans="1:15" x14ac:dyDescent="0.35">
      <c r="A35" s="2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7"/>
      <c r="N35" s="247"/>
      <c r="O35" s="251"/>
    </row>
    <row r="36" spans="1:15" x14ac:dyDescent="0.35">
      <c r="A36" s="2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7"/>
      <c r="N36" s="247"/>
      <c r="O36" s="251"/>
    </row>
    <row r="37" spans="1:15" x14ac:dyDescent="0.35">
      <c r="A37" s="2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47"/>
      <c r="O37" s="251"/>
    </row>
    <row r="38" spans="1:15" x14ac:dyDescent="0.35">
      <c r="A38" s="2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47"/>
      <c r="O38" s="251"/>
    </row>
    <row r="39" spans="1:15" ht="15" customHeight="1" x14ac:dyDescent="0.35">
      <c r="A39" s="2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7" t="s">
        <v>369</v>
      </c>
      <c r="N39" s="247"/>
      <c r="O39" s="251"/>
    </row>
    <row r="40" spans="1:15" x14ac:dyDescent="0.35">
      <c r="A40" s="2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7"/>
      <c r="N40" s="247"/>
      <c r="O40" s="251"/>
    </row>
    <row r="41" spans="1:15" x14ac:dyDescent="0.35">
      <c r="A41" s="2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7"/>
      <c r="N41" s="247"/>
      <c r="O41" s="251"/>
    </row>
    <row r="42" spans="1:15" ht="15" thickBot="1" x14ac:dyDescent="0.4">
      <c r="A42" s="2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48"/>
      <c r="O42" s="252"/>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194" priority="286" operator="equal">
      <formula>0</formula>
    </cfRule>
  </conditionalFormatting>
  <conditionalFormatting sqref="J28">
    <cfRule type="cellIs" dxfId="193" priority="302" operator="equal">
      <formula>0</formula>
    </cfRule>
  </conditionalFormatting>
  <conditionalFormatting sqref="C3">
    <cfRule type="cellIs" dxfId="192" priority="288" operator="equal">
      <formula>0</formula>
    </cfRule>
  </conditionalFormatting>
  <conditionalFormatting sqref="C4">
    <cfRule type="cellIs" dxfId="191" priority="287" operator="equal">
      <formula>0</formula>
    </cfRule>
  </conditionalFormatting>
  <conditionalFormatting sqref="B3 D3 G14:G26">
    <cfRule type="cellIs" dxfId="190" priority="299" operator="equal">
      <formula>0</formula>
    </cfRule>
  </conditionalFormatting>
  <conditionalFormatting sqref="B4 D4">
    <cfRule type="cellIs" dxfId="189" priority="298" operator="equal">
      <formula>0</formula>
    </cfRule>
  </conditionalFormatting>
  <conditionalFormatting sqref="B5 D5">
    <cfRule type="cellIs" dxfId="188" priority="297" operator="equal">
      <formula>0</formula>
    </cfRule>
  </conditionalFormatting>
  <conditionalFormatting sqref="B7">
    <cfRule type="cellIs" dxfId="187" priority="296" operator="equal">
      <formula>0</formula>
    </cfRule>
  </conditionalFormatting>
  <conditionalFormatting sqref="B8 D8">
    <cfRule type="cellIs" priority="295" operator="equal">
      <formula>0</formula>
    </cfRule>
  </conditionalFormatting>
  <conditionalFormatting sqref="B9 D9">
    <cfRule type="cellIs" dxfId="186" priority="294" operator="equal">
      <formula>0</formula>
    </cfRule>
  </conditionalFormatting>
  <conditionalFormatting sqref="B10 D10">
    <cfRule type="cellIs" dxfId="185" priority="292" operator="equal">
      <formula>0</formula>
    </cfRule>
    <cfRule type="cellIs" dxfId="184" priority="293" operator="equal">
      <formula>0</formula>
    </cfRule>
  </conditionalFormatting>
  <conditionalFormatting sqref="L3:L4">
    <cfRule type="cellIs" dxfId="183" priority="291" operator="equal">
      <formula>0</formula>
    </cfRule>
  </conditionalFormatting>
  <conditionalFormatting sqref="B6 D6">
    <cfRule type="cellIs" dxfId="182" priority="290" operator="equal">
      <formula>0</formula>
    </cfRule>
  </conditionalFormatting>
  <conditionalFormatting sqref="D7">
    <cfRule type="cellIs" dxfId="181" priority="289" operator="equal">
      <formula>0</formula>
    </cfRule>
  </conditionalFormatting>
  <conditionalFormatting sqref="C7">
    <cfRule type="cellIs" dxfId="180" priority="285" operator="equal">
      <formula>0</formula>
    </cfRule>
  </conditionalFormatting>
  <conditionalFormatting sqref="C8">
    <cfRule type="cellIs" priority="284" operator="equal">
      <formula>0</formula>
    </cfRule>
  </conditionalFormatting>
  <conditionalFormatting sqref="C9">
    <cfRule type="cellIs" dxfId="179" priority="283" operator="equal">
      <formula>0</formula>
    </cfRule>
  </conditionalFormatting>
  <conditionalFormatting sqref="C10">
    <cfRule type="cellIs" dxfId="178" priority="281" operator="equal">
      <formula>0</formula>
    </cfRule>
    <cfRule type="cellIs" dxfId="177" priority="282" operator="equal">
      <formula>0</formula>
    </cfRule>
  </conditionalFormatting>
  <conditionalFormatting sqref="C6">
    <cfRule type="cellIs" dxfId="176" priority="280" operator="equal">
      <formula>0</formula>
    </cfRule>
  </conditionalFormatting>
  <conditionalFormatting sqref="G31">
    <cfRule type="cellIs" dxfId="175" priority="204" operator="equal">
      <formula>0</formula>
    </cfRule>
  </conditionalFormatting>
  <conditionalFormatting sqref="G30">
    <cfRule type="cellIs" dxfId="174" priority="203" operator="equal">
      <formula>0</formula>
    </cfRule>
  </conditionalFormatting>
  <conditionalFormatting sqref="G39">
    <cfRule type="cellIs" dxfId="173" priority="202" operator="equal">
      <formula>0</formula>
    </cfRule>
  </conditionalFormatting>
  <conditionalFormatting sqref="G32">
    <cfRule type="cellIs" dxfId="172" priority="209" operator="equal">
      <formula>0</formula>
    </cfRule>
  </conditionalFormatting>
  <conditionalFormatting sqref="G41">
    <cfRule type="cellIs" dxfId="171" priority="201" operator="equal">
      <formula>0</formula>
    </cfRule>
  </conditionalFormatting>
  <conditionalFormatting sqref="G40">
    <cfRule type="cellIs" dxfId="170" priority="200" operator="equal">
      <formula>0</formula>
    </cfRule>
  </conditionalFormatting>
  <conditionalFormatting sqref="L5">
    <cfRule type="cellIs" dxfId="169" priority="248" operator="equal">
      <formula>0</formula>
    </cfRule>
  </conditionalFormatting>
  <conditionalFormatting sqref="L6">
    <cfRule type="cellIs" dxfId="168" priority="247" operator="equal">
      <formula>0</formula>
    </cfRule>
  </conditionalFormatting>
  <conditionalFormatting sqref="L7">
    <cfRule type="cellIs" dxfId="167" priority="246" operator="equal">
      <formula>0</formula>
    </cfRule>
  </conditionalFormatting>
  <conditionalFormatting sqref="L8:L9">
    <cfRule type="cellIs" dxfId="166" priority="245" operator="equal">
      <formula>0</formula>
    </cfRule>
  </conditionalFormatting>
  <conditionalFormatting sqref="L32">
    <cfRule type="cellIs" dxfId="165" priority="241" operator="equal">
      <formula>0</formula>
    </cfRule>
  </conditionalFormatting>
  <conditionalFormatting sqref="L31">
    <cfRule type="cellIs" dxfId="164" priority="240" operator="equal">
      <formula>0</formula>
    </cfRule>
  </conditionalFormatting>
  <conditionalFormatting sqref="L30">
    <cfRule type="cellIs" dxfId="163" priority="239" operator="equal">
      <formula>0</formula>
    </cfRule>
  </conditionalFormatting>
  <conditionalFormatting sqref="L29">
    <cfRule type="cellIs" dxfId="162" priority="238" operator="equal">
      <formula>0</formula>
    </cfRule>
  </conditionalFormatting>
  <conditionalFormatting sqref="L37">
    <cfRule type="cellIs" dxfId="161" priority="237" operator="equal">
      <formula>0</formula>
    </cfRule>
  </conditionalFormatting>
  <conditionalFormatting sqref="L36">
    <cfRule type="cellIs" dxfId="160" priority="236" operator="equal">
      <formula>0</formula>
    </cfRule>
  </conditionalFormatting>
  <conditionalFormatting sqref="L35">
    <cfRule type="cellIs" dxfId="159" priority="235" operator="equal">
      <formula>0</formula>
    </cfRule>
  </conditionalFormatting>
  <conditionalFormatting sqref="L34">
    <cfRule type="cellIs" dxfId="158" priority="234" operator="equal">
      <formula>0</formula>
    </cfRule>
  </conditionalFormatting>
  <conditionalFormatting sqref="L42">
    <cfRule type="cellIs" dxfId="157" priority="233" operator="equal">
      <formula>0</formula>
    </cfRule>
  </conditionalFormatting>
  <conditionalFormatting sqref="L41">
    <cfRule type="cellIs" dxfId="156" priority="232" operator="equal">
      <formula>0</formula>
    </cfRule>
  </conditionalFormatting>
  <conditionalFormatting sqref="L40">
    <cfRule type="cellIs" dxfId="155" priority="231" operator="equal">
      <formula>0</formula>
    </cfRule>
  </conditionalFormatting>
  <conditionalFormatting sqref="L39">
    <cfRule type="cellIs" dxfId="154" priority="230" operator="equal">
      <formula>0</formula>
    </cfRule>
  </conditionalFormatting>
  <conditionalFormatting sqref="L14">
    <cfRule type="cellIs" dxfId="153" priority="229" operator="equal">
      <formula>0</formula>
    </cfRule>
  </conditionalFormatting>
  <conditionalFormatting sqref="L15">
    <cfRule type="cellIs" dxfId="152" priority="228" operator="equal">
      <formula>0</formula>
    </cfRule>
  </conditionalFormatting>
  <conditionalFormatting sqref="L16">
    <cfRule type="cellIs" dxfId="151" priority="227" operator="equal">
      <formula>0</formula>
    </cfRule>
  </conditionalFormatting>
  <conditionalFormatting sqref="L17">
    <cfRule type="cellIs" dxfId="150" priority="226" operator="equal">
      <formula>0</formula>
    </cfRule>
  </conditionalFormatting>
  <conditionalFormatting sqref="L18">
    <cfRule type="cellIs" dxfId="149" priority="225" operator="equal">
      <formula>0</formula>
    </cfRule>
  </conditionalFormatting>
  <conditionalFormatting sqref="L19">
    <cfRule type="cellIs" dxfId="148" priority="224" operator="equal">
      <formula>0</formula>
    </cfRule>
  </conditionalFormatting>
  <conditionalFormatting sqref="L20">
    <cfRule type="cellIs" dxfId="147" priority="223" operator="equal">
      <formula>0</formula>
    </cfRule>
  </conditionalFormatting>
  <conditionalFormatting sqref="L21">
    <cfRule type="cellIs" dxfId="146" priority="222" operator="equal">
      <formula>0</formula>
    </cfRule>
  </conditionalFormatting>
  <conditionalFormatting sqref="L22">
    <cfRule type="cellIs" dxfId="145" priority="221" operator="equal">
      <formula>0</formula>
    </cfRule>
  </conditionalFormatting>
  <conditionalFormatting sqref="L23">
    <cfRule type="cellIs" dxfId="144" priority="220" operator="equal">
      <formula>0</formula>
    </cfRule>
  </conditionalFormatting>
  <conditionalFormatting sqref="L24">
    <cfRule type="cellIs" dxfId="143" priority="219" operator="equal">
      <formula>0</formula>
    </cfRule>
  </conditionalFormatting>
  <conditionalFormatting sqref="G34">
    <cfRule type="cellIs" dxfId="142" priority="212" operator="equal">
      <formula>0</formula>
    </cfRule>
  </conditionalFormatting>
  <conditionalFormatting sqref="G36">
    <cfRule type="cellIs" dxfId="141" priority="211" operator="equal">
      <formula>0</formula>
    </cfRule>
  </conditionalFormatting>
  <conditionalFormatting sqref="G29">
    <cfRule type="cellIs" dxfId="140" priority="205" operator="equal">
      <formula>0</formula>
    </cfRule>
  </conditionalFormatting>
  <conditionalFormatting sqref="G33">
    <cfRule type="cellIs" dxfId="139" priority="208" operator="equal">
      <formula>0</formula>
    </cfRule>
  </conditionalFormatting>
  <conditionalFormatting sqref="G28">
    <cfRule type="cellIs" dxfId="138" priority="210" operator="equal">
      <formula>0</formula>
    </cfRule>
  </conditionalFormatting>
  <conditionalFormatting sqref="G38">
    <cfRule type="cellIs" dxfId="137" priority="207" operator="equal">
      <formula>0</formula>
    </cfRule>
  </conditionalFormatting>
  <conditionalFormatting sqref="G35">
    <cfRule type="cellIs" dxfId="136" priority="206" operator="equal">
      <formula>0</formula>
    </cfRule>
  </conditionalFormatting>
  <conditionalFormatting sqref="G37">
    <cfRule type="cellIs" dxfId="135" priority="199" operator="equal">
      <formula>0</formula>
    </cfRule>
  </conditionalFormatting>
  <conditionalFormatting sqref="G42">
    <cfRule type="cellIs" dxfId="134" priority="198" operator="equal">
      <formula>0</formula>
    </cfRule>
  </conditionalFormatting>
  <conditionalFormatting sqref="E10">
    <cfRule type="cellIs" priority="155" operator="equal">
      <formula>0</formula>
    </cfRule>
  </conditionalFormatting>
  <conditionalFormatting sqref="E4">
    <cfRule type="cellIs" dxfId="133" priority="168" operator="equal">
      <formula>0</formula>
    </cfRule>
  </conditionalFormatting>
  <conditionalFormatting sqref="E3">
    <cfRule type="cellIs" dxfId="132" priority="170" operator="equal">
      <formula>0</formula>
    </cfRule>
  </conditionalFormatting>
  <conditionalFormatting sqref="E3">
    <cfRule type="cellIs" priority="169" operator="equal">
      <formula>0</formula>
    </cfRule>
  </conditionalFormatting>
  <conditionalFormatting sqref="E5">
    <cfRule type="cellIs" dxfId="131" priority="166" operator="equal">
      <formula>0</formula>
    </cfRule>
  </conditionalFormatting>
  <conditionalFormatting sqref="E5">
    <cfRule type="cellIs" priority="165" operator="equal">
      <formula>0</formula>
    </cfRule>
  </conditionalFormatting>
  <conditionalFormatting sqref="E7">
    <cfRule type="cellIs" dxfId="130" priority="162" operator="equal">
      <formula>0</formula>
    </cfRule>
  </conditionalFormatting>
  <conditionalFormatting sqref="E7">
    <cfRule type="cellIs" priority="161" operator="equal">
      <formula>0</formula>
    </cfRule>
  </conditionalFormatting>
  <conditionalFormatting sqref="E9">
    <cfRule type="cellIs" dxfId="12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28" priority="164" operator="equal">
      <formula>0</formula>
    </cfRule>
  </conditionalFormatting>
  <conditionalFormatting sqref="E6">
    <cfRule type="cellIs" priority="163" operator="equal">
      <formula>0</formula>
    </cfRule>
  </conditionalFormatting>
  <conditionalFormatting sqref="E8">
    <cfRule type="cellIs" dxfId="127" priority="160" operator="equal">
      <formula>0</formula>
    </cfRule>
  </conditionalFormatting>
  <conditionalFormatting sqref="E8">
    <cfRule type="cellIs" priority="159" operator="equal">
      <formula>0</formula>
    </cfRule>
  </conditionalFormatting>
  <conditionalFormatting sqref="E10">
    <cfRule type="cellIs" dxfId="126" priority="156" operator="equal">
      <formula>0</formula>
    </cfRule>
  </conditionalFormatting>
  <conditionalFormatting sqref="G4:G10">
    <cfRule type="cellIs" dxfId="125" priority="122" operator="equal">
      <formula>0</formula>
    </cfRule>
  </conditionalFormatting>
  <conditionalFormatting sqref="F3">
    <cfRule type="cellIs" dxfId="124" priority="121" operator="equal">
      <formula>0</formula>
    </cfRule>
  </conditionalFormatting>
  <conditionalFormatting sqref="F4">
    <cfRule type="cellIs" dxfId="123" priority="120" operator="equal">
      <formula>0</formula>
    </cfRule>
  </conditionalFormatting>
  <conditionalFormatting sqref="F7">
    <cfRule type="cellIs" dxfId="122" priority="118" operator="equal">
      <formula>0</formula>
    </cfRule>
  </conditionalFormatting>
  <conditionalFormatting sqref="H5">
    <cfRule type="cellIs" dxfId="121" priority="106" operator="equal">
      <formula>0</formula>
    </cfRule>
  </conditionalFormatting>
  <conditionalFormatting sqref="I7">
    <cfRule type="cellIs" dxfId="120" priority="109" operator="equal">
      <formula>0</formula>
    </cfRule>
  </conditionalFormatting>
  <conditionalFormatting sqref="F6">
    <cfRule type="cellIs" dxfId="119" priority="113" operator="equal">
      <formula>0</formula>
    </cfRule>
  </conditionalFormatting>
  <conditionalFormatting sqref="G3:I3">
    <cfRule type="cellIs" dxfId="118" priority="112" operator="equal">
      <formula>0</formula>
    </cfRule>
  </conditionalFormatting>
  <conditionalFormatting sqref="H4:I4">
    <cfRule type="cellIs" dxfId="117" priority="111" operator="equal">
      <formula>0</formula>
    </cfRule>
  </conditionalFormatting>
  <conditionalFormatting sqref="I6">
    <cfRule type="cellIs" dxfId="116" priority="107" operator="equal">
      <formula>0</formula>
    </cfRule>
  </conditionalFormatting>
  <conditionalFormatting sqref="H6">
    <cfRule type="cellIs" dxfId="115" priority="105" operator="equal">
      <formula>0</formula>
    </cfRule>
  </conditionalFormatting>
  <conditionalFormatting sqref="I9:I10">
    <cfRule type="cellIs" priority="101" operator="equal">
      <formula>0</formula>
    </cfRule>
  </conditionalFormatting>
  <conditionalFormatting sqref="F5">
    <cfRule type="cellIs" dxfId="114" priority="119" operator="equal">
      <formula>0</formula>
    </cfRule>
  </conditionalFormatting>
  <conditionalFormatting sqref="F9">
    <cfRule type="cellIs" dxfId="113" priority="116" operator="equal">
      <formula>0</formula>
    </cfRule>
  </conditionalFormatting>
  <conditionalFormatting sqref="F8 H9:H10">
    <cfRule type="cellIs" priority="117" operator="equal">
      <formula>0</formula>
    </cfRule>
  </conditionalFormatting>
  <conditionalFormatting sqref="F10">
    <cfRule type="cellIs" dxfId="112" priority="114" operator="equal">
      <formula>0</formula>
    </cfRule>
    <cfRule type="cellIs" dxfId="111" priority="115" operator="equal">
      <formula>0</formula>
    </cfRule>
  </conditionalFormatting>
  <conditionalFormatting sqref="H7">
    <cfRule type="cellIs" dxfId="110" priority="104" operator="equal">
      <formula>0</formula>
    </cfRule>
  </conditionalFormatting>
  <conditionalFormatting sqref="I5">
    <cfRule type="cellIs" dxfId="109" priority="110" operator="equal">
      <formula>0</formula>
    </cfRule>
  </conditionalFormatting>
  <conditionalFormatting sqref="H8:I8">
    <cfRule type="cellIs" priority="108" operator="equal">
      <formula>0</formula>
    </cfRule>
  </conditionalFormatting>
  <conditionalFormatting sqref="E11 G11">
    <cfRule type="cellIs" dxfId="108" priority="84" operator="equal">
      <formula>0</formula>
    </cfRule>
  </conditionalFormatting>
  <conditionalFormatting sqref="I11">
    <cfRule type="cellIs" priority="83" operator="equal">
      <formula>0</formula>
    </cfRule>
  </conditionalFormatting>
  <conditionalFormatting sqref="E13 G13">
    <cfRule type="cellIs" dxfId="10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06" priority="78" operator="equal">
      <formula>0</formula>
    </cfRule>
  </conditionalFormatting>
  <conditionalFormatting sqref="B12 D12:F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0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04" priority="28" operator="equal">
      <formula>0</formula>
    </cfRule>
  </conditionalFormatting>
  <conditionalFormatting sqref="K26">
    <cfRule type="cellIs" dxfId="103" priority="27" operator="equal">
      <formula>0</formula>
    </cfRule>
  </conditionalFormatting>
  <conditionalFormatting sqref="J25">
    <cfRule type="cellIs" dxfId="102" priority="26" operator="equal">
      <formula>0</formula>
    </cfRule>
  </conditionalFormatting>
  <conditionalFormatting sqref="J26">
    <cfRule type="cellIs" dxfId="101" priority="25" operator="equal">
      <formula>0</formula>
    </cfRule>
  </conditionalFormatting>
  <conditionalFormatting sqref="K3:K4">
    <cfRule type="cellIs" dxfId="100" priority="24" operator="equal">
      <formula>0</formula>
    </cfRule>
  </conditionalFormatting>
  <conditionalFormatting sqref="K5">
    <cfRule type="cellIs" dxfId="99" priority="23" operator="equal">
      <formula>0</formula>
    </cfRule>
  </conditionalFormatting>
  <conditionalFormatting sqref="K6">
    <cfRule type="cellIs" dxfId="98" priority="22" operator="equal">
      <formula>0</formula>
    </cfRule>
  </conditionalFormatting>
  <conditionalFormatting sqref="K9">
    <cfRule type="cellIs" dxfId="97" priority="21" operator="equal">
      <formula>0</formula>
    </cfRule>
  </conditionalFormatting>
  <conditionalFormatting sqref="K10">
    <cfRule type="cellIs" dxfId="96" priority="20" operator="equal">
      <formula>0</formula>
    </cfRule>
  </conditionalFormatting>
  <conditionalFormatting sqref="K7">
    <cfRule type="cellIs" dxfId="95" priority="19" operator="equal">
      <formula>0</formula>
    </cfRule>
  </conditionalFormatting>
  <conditionalFormatting sqref="K8">
    <cfRule type="cellIs" dxfId="94" priority="18" operator="equal">
      <formula>0</formula>
    </cfRule>
  </conditionalFormatting>
  <conditionalFormatting sqref="K11">
    <cfRule type="cellIs" dxfId="93" priority="17" operator="equal">
      <formula>0</formula>
    </cfRule>
  </conditionalFormatting>
  <conditionalFormatting sqref="K13">
    <cfRule type="cellIs" dxfId="92" priority="16" operator="equal">
      <formula>0</formula>
    </cfRule>
  </conditionalFormatting>
  <conditionalFormatting sqref="K12">
    <cfRule type="cellIs" dxfId="91" priority="15" operator="equal">
      <formula>0</formula>
    </cfRule>
  </conditionalFormatting>
  <conditionalFormatting sqref="J3:J4">
    <cfRule type="cellIs" dxfId="90" priority="14" operator="equal">
      <formula>0</formula>
    </cfRule>
  </conditionalFormatting>
  <conditionalFormatting sqref="J5">
    <cfRule type="cellIs" dxfId="89" priority="13" operator="equal">
      <formula>0</formula>
    </cfRule>
  </conditionalFormatting>
  <conditionalFormatting sqref="J6">
    <cfRule type="cellIs" dxfId="88" priority="12" operator="equal">
      <formula>0</formula>
    </cfRule>
  </conditionalFormatting>
  <conditionalFormatting sqref="J9">
    <cfRule type="cellIs" dxfId="87" priority="11" operator="equal">
      <formula>0</formula>
    </cfRule>
  </conditionalFormatting>
  <conditionalFormatting sqref="J10">
    <cfRule type="cellIs" dxfId="86" priority="10" operator="equal">
      <formula>0</formula>
    </cfRule>
  </conditionalFormatting>
  <conditionalFormatting sqref="J7">
    <cfRule type="cellIs" dxfId="85" priority="9" operator="equal">
      <formula>0</formula>
    </cfRule>
  </conditionalFormatting>
  <conditionalFormatting sqref="J8">
    <cfRule type="cellIs" dxfId="84" priority="8" operator="equal">
      <formula>0</formula>
    </cfRule>
  </conditionalFormatting>
  <conditionalFormatting sqref="J11">
    <cfRule type="cellIs" dxfId="83" priority="7" operator="equal">
      <formula>0</formula>
    </cfRule>
  </conditionalFormatting>
  <conditionalFormatting sqref="J13">
    <cfRule type="cellIs" dxfId="82" priority="6" operator="equal">
      <formula>0</formula>
    </cfRule>
  </conditionalFormatting>
  <conditionalFormatting sqref="J12">
    <cfRule type="cellIs" dxfId="81" priority="5" operator="equal">
      <formula>0</formula>
    </cfRule>
  </conditionalFormatting>
  <conditionalFormatting sqref="L10">
    <cfRule type="cellIs" dxfId="80" priority="4" operator="equal">
      <formula>0</formula>
    </cfRule>
  </conditionalFormatting>
  <conditionalFormatting sqref="L11">
    <cfRule type="cellIs" dxfId="79" priority="3" operator="equal">
      <formula>0</formula>
    </cfRule>
  </conditionalFormatting>
  <conditionalFormatting sqref="L12">
    <cfRule type="cellIs" dxfId="78" priority="2" operator="equal">
      <formula>0</formula>
    </cfRule>
  </conditionalFormatting>
  <conditionalFormatting sqref="L13">
    <cfRule type="cellIs" dxfId="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9.54296875" style="15" bestFit="1" customWidth="1"/>
    <col min="6" max="6" width="8.6328125" style="15" bestFit="1" customWidth="1"/>
    <col min="7" max="7" width="13.54296875" style="15" bestFit="1" customWidth="1"/>
    <col min="8" max="8" width="11.36328125" style="15" bestFit="1" customWidth="1"/>
    <col min="9" max="10" width="11.36328125" style="15" customWidth="1"/>
    <col min="11" max="11" width="41.08984375" style="15" bestFit="1" customWidth="1"/>
    <col min="12" max="12" width="40.36328125" style="15" customWidth="1"/>
    <col min="13" max="13" width="31.6328125" style="15" bestFit="1" customWidth="1"/>
    <col min="14" max="14" width="11.36328125" style="15" bestFit="1" customWidth="1"/>
    <col min="15" max="15" width="4.6328125" style="15" bestFit="1" customWidth="1"/>
    <col min="16" max="16384" width="9.089843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5" customHeight="1" x14ac:dyDescent="0.35">
      <c r="A3" s="26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49" t="s">
        <v>48</v>
      </c>
      <c r="O3" s="250">
        <f ca="1">SUM(F3:F17)</f>
        <v>576</v>
      </c>
    </row>
    <row r="4" spans="1:15" ht="15.5" customHeight="1" x14ac:dyDescent="0.35">
      <c r="A4" s="26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67" t="s">
        <v>369</v>
      </c>
      <c r="N4" s="247"/>
      <c r="O4" s="251"/>
    </row>
    <row r="5" spans="1:15" ht="15.5" customHeight="1" x14ac:dyDescent="0.35">
      <c r="A5" s="26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67"/>
      <c r="N5" s="247"/>
      <c r="O5" s="251"/>
    </row>
    <row r="6" spans="1:15" ht="15.5" customHeight="1" x14ac:dyDescent="0.35">
      <c r="A6" s="26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67"/>
      <c r="N6" s="247"/>
      <c r="O6" s="251"/>
    </row>
    <row r="7" spans="1:15" ht="15.5" customHeight="1" x14ac:dyDescent="0.35">
      <c r="A7" s="26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47"/>
      <c r="O7" s="251"/>
    </row>
    <row r="8" spans="1:15" ht="15.5" customHeight="1" x14ac:dyDescent="0.35">
      <c r="A8" s="26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47"/>
      <c r="O8" s="251"/>
    </row>
    <row r="9" spans="1:15" ht="15.5" customHeight="1" x14ac:dyDescent="0.35">
      <c r="A9" s="26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67" t="s">
        <v>369</v>
      </c>
      <c r="N9" s="247"/>
      <c r="O9" s="251"/>
    </row>
    <row r="10" spans="1:15" ht="15.5" customHeight="1" x14ac:dyDescent="0.35">
      <c r="A10" s="26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67"/>
      <c r="N10" s="247"/>
      <c r="O10" s="251"/>
    </row>
    <row r="11" spans="1:15" ht="15.5" customHeight="1" x14ac:dyDescent="0.35">
      <c r="A11" s="26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67"/>
      <c r="N11" s="247"/>
      <c r="O11" s="251"/>
    </row>
    <row r="12" spans="1:15" ht="15.5" customHeight="1" x14ac:dyDescent="0.35">
      <c r="A12" s="26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47"/>
      <c r="O12" s="251"/>
    </row>
    <row r="13" spans="1:15" ht="15.5" customHeight="1" x14ac:dyDescent="0.35">
      <c r="A13" s="26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47"/>
      <c r="O13" s="251"/>
    </row>
    <row r="14" spans="1:15" ht="15.5" customHeight="1" x14ac:dyDescent="0.35">
      <c r="A14" s="26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67" t="s">
        <v>369</v>
      </c>
      <c r="N14" s="247"/>
      <c r="O14" s="251"/>
    </row>
    <row r="15" spans="1:15" ht="15.5" customHeight="1" x14ac:dyDescent="0.35">
      <c r="A15" s="26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67"/>
      <c r="N15" s="247"/>
      <c r="O15" s="251"/>
    </row>
    <row r="16" spans="1:15" ht="15.5" customHeight="1" x14ac:dyDescent="0.35">
      <c r="A16" s="26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67"/>
      <c r="N16" s="247"/>
      <c r="O16" s="251"/>
    </row>
    <row r="17" spans="1:15" ht="15.5" customHeight="1" thickBot="1" x14ac:dyDescent="0.4">
      <c r="A17" s="26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48"/>
      <c r="O17" s="252"/>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6" priority="138" operator="equal">
      <formula>0</formula>
    </cfRule>
  </conditionalFormatting>
  <conditionalFormatting sqref="K7">
    <cfRule type="cellIs" dxfId="75" priority="75" operator="equal">
      <formula>0</formula>
    </cfRule>
  </conditionalFormatting>
  <conditionalFormatting sqref="K6">
    <cfRule type="cellIs" dxfId="74" priority="74" operator="equal">
      <formula>0</formula>
    </cfRule>
  </conditionalFormatting>
  <conditionalFormatting sqref="K5">
    <cfRule type="cellIs" dxfId="73" priority="73" operator="equal">
      <formula>0</formula>
    </cfRule>
  </conditionalFormatting>
  <conditionalFormatting sqref="K4">
    <cfRule type="cellIs" dxfId="72" priority="72" operator="equal">
      <formula>0</formula>
    </cfRule>
  </conditionalFormatting>
  <conditionalFormatting sqref="K12">
    <cfRule type="cellIs" dxfId="71" priority="71" operator="equal">
      <formula>0</formula>
    </cfRule>
  </conditionalFormatting>
  <conditionalFormatting sqref="K11">
    <cfRule type="cellIs" dxfId="70" priority="70" operator="equal">
      <formula>0</formula>
    </cfRule>
  </conditionalFormatting>
  <conditionalFormatting sqref="K10">
    <cfRule type="cellIs" dxfId="69" priority="69" operator="equal">
      <formula>0</formula>
    </cfRule>
  </conditionalFormatting>
  <conditionalFormatting sqref="K9">
    <cfRule type="cellIs" dxfId="68" priority="68" operator="equal">
      <formula>0</formula>
    </cfRule>
  </conditionalFormatting>
  <conditionalFormatting sqref="K17">
    <cfRule type="cellIs" dxfId="67" priority="67" operator="equal">
      <formula>0</formula>
    </cfRule>
  </conditionalFormatting>
  <conditionalFormatting sqref="K16">
    <cfRule type="cellIs" dxfId="66" priority="66" operator="equal">
      <formula>0</formula>
    </cfRule>
  </conditionalFormatting>
  <conditionalFormatting sqref="K15">
    <cfRule type="cellIs" dxfId="65" priority="65" operator="equal">
      <formula>0</formula>
    </cfRule>
  </conditionalFormatting>
  <conditionalFormatting sqref="K14">
    <cfRule type="cellIs" dxfId="64" priority="64" operator="equal">
      <formula>0</formula>
    </cfRule>
  </conditionalFormatting>
  <conditionalFormatting sqref="L7:L8 L12 L3:L5">
    <cfRule type="cellIs" dxfId="63" priority="42" operator="equal">
      <formula>0</formula>
    </cfRule>
  </conditionalFormatting>
  <conditionalFormatting sqref="L6">
    <cfRule type="cellIs" dxfId="62" priority="41" operator="equal">
      <formula>0</formula>
    </cfRule>
  </conditionalFormatting>
  <conditionalFormatting sqref="L13">
    <cfRule type="cellIs" dxfId="61" priority="34" operator="equal">
      <formula>0</formula>
    </cfRule>
  </conditionalFormatting>
  <conditionalFormatting sqref="L9">
    <cfRule type="cellIs" dxfId="60" priority="39" operator="equal">
      <formula>0</formula>
    </cfRule>
  </conditionalFormatting>
  <conditionalFormatting sqref="L11">
    <cfRule type="cellIs" dxfId="59" priority="38" operator="equal">
      <formula>0</formula>
    </cfRule>
  </conditionalFormatting>
  <conditionalFormatting sqref="L16">
    <cfRule type="cellIs" dxfId="58" priority="36" operator="equal">
      <formula>0</formula>
    </cfRule>
  </conditionalFormatting>
  <conditionalFormatting sqref="F9">
    <cfRule type="cellIs" dxfId="57" priority="18" operator="equal">
      <formula>0</formula>
    </cfRule>
  </conditionalFormatting>
  <conditionalFormatting sqref="F11">
    <cfRule type="cellIs" dxfId="56" priority="17" operator="equal">
      <formula>0</formula>
    </cfRule>
  </conditionalFormatting>
  <conditionalFormatting sqref="F4">
    <cfRule type="cellIs" dxfId="55" priority="11" operator="equal">
      <formula>0</formula>
    </cfRule>
  </conditionalFormatting>
  <conditionalFormatting sqref="F7">
    <cfRule type="cellIs" dxfId="54" priority="15" operator="equal">
      <formula>0</formula>
    </cfRule>
  </conditionalFormatting>
  <conditionalFormatting sqref="F8">
    <cfRule type="cellIs" dxfId="53" priority="14" operator="equal">
      <formula>0</formula>
    </cfRule>
  </conditionalFormatting>
  <conditionalFormatting sqref="F3">
    <cfRule type="cellIs" dxfId="52" priority="16" operator="equal">
      <formula>0</formula>
    </cfRule>
  </conditionalFormatting>
  <conditionalFormatting sqref="F13">
    <cfRule type="cellIs" dxfId="51" priority="13" operator="equal">
      <formula>0</formula>
    </cfRule>
  </conditionalFormatting>
  <conditionalFormatting sqref="F10">
    <cfRule type="cellIs" dxfId="50" priority="12" operator="equal">
      <formula>0</formula>
    </cfRule>
  </conditionalFormatting>
  <conditionalFormatting sqref="F6">
    <cfRule type="cellIs" dxfId="49" priority="10" operator="equal">
      <formula>0</formula>
    </cfRule>
  </conditionalFormatting>
  <conditionalFormatting sqref="F5">
    <cfRule type="cellIs" dxfId="48" priority="9" operator="equal">
      <formula>0</formula>
    </cfRule>
  </conditionalFormatting>
  <conditionalFormatting sqref="F14">
    <cfRule type="cellIs" dxfId="47" priority="8" operator="equal">
      <formula>0</formula>
    </cfRule>
  </conditionalFormatting>
  <conditionalFormatting sqref="F16">
    <cfRule type="cellIs" dxfId="46" priority="7" operator="equal">
      <formula>0</formula>
    </cfRule>
  </conditionalFormatting>
  <conditionalFormatting sqref="F15">
    <cfRule type="cellIs" dxfId="45" priority="6" operator="equal">
      <formula>0</formula>
    </cfRule>
  </conditionalFormatting>
  <conditionalFormatting sqref="F12">
    <cfRule type="cellIs" dxfId="44" priority="5" operator="equal">
      <formula>0</formula>
    </cfRule>
  </conditionalFormatting>
  <conditionalFormatting sqref="F17">
    <cfRule type="cellIs" dxfId="43" priority="4" operator="equal">
      <formula>0</formula>
    </cfRule>
  </conditionalFormatting>
  <conditionalFormatting sqref="L14">
    <cfRule type="cellIs" dxfId="42" priority="3" operator="equal">
      <formula>0</formula>
    </cfRule>
  </conditionalFormatting>
  <conditionalFormatting sqref="L10">
    <cfRule type="cellIs" dxfId="41" priority="2" operator="equal">
      <formula>0</formula>
    </cfRule>
  </conditionalFormatting>
  <conditionalFormatting sqref="L15">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heetViews>
  <sheetFormatPr defaultColWidth="9.08984375" defaultRowHeight="14.5" x14ac:dyDescent="0.35"/>
  <cols>
    <col min="1" max="1" width="16.453125" style="6" customWidth="1"/>
    <col min="2" max="2" width="84.6328125" style="6" customWidth="1"/>
    <col min="3" max="3" width="4.6328125" style="15" customWidth="1"/>
    <col min="4" max="4" width="4.36328125" style="15" customWidth="1"/>
    <col min="5" max="5" width="28.08984375" style="6" customWidth="1"/>
    <col min="6" max="6" width="17.54296875" style="6" customWidth="1"/>
    <col min="7" max="7" width="25.453125" style="196" customWidth="1"/>
    <col min="8" max="8" width="3.453125" style="196" customWidth="1"/>
    <col min="9" max="9" width="27.90625" style="197" customWidth="1"/>
    <col min="10" max="10" width="4.453125" style="197" customWidth="1"/>
    <col min="11" max="11" width="18.9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08984375" style="6"/>
  </cols>
  <sheetData>
    <row r="1" spans="1:17" ht="20.25" customHeight="1" x14ac:dyDescent="0.35">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 customHeight="1" x14ac:dyDescent="0.35">
      <c r="A2" s="291"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 customHeight="1" x14ac:dyDescent="0.35">
      <c r="A3" s="291"/>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 customHeight="1" x14ac:dyDescent="0.35">
      <c r="A4" s="291"/>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 customHeight="1" x14ac:dyDescent="0.35">
      <c r="A5" s="291"/>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 customHeight="1" x14ac:dyDescent="0.35">
      <c r="A6" s="291"/>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 customHeight="1" x14ac:dyDescent="0.35">
      <c r="A7" s="291"/>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 customHeight="1" x14ac:dyDescent="0.35">
      <c r="A8" s="291"/>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 customHeight="1" x14ac:dyDescent="0.35">
      <c r="A9" s="291"/>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 customHeight="1" x14ac:dyDescent="0.35">
      <c r="A10" s="291"/>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 customHeight="1" x14ac:dyDescent="0.35">
      <c r="A11" s="291"/>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 customHeight="1" x14ac:dyDescent="0.35">
      <c r="A12" s="291"/>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 customHeight="1" x14ac:dyDescent="0.35">
      <c r="A13" s="291"/>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 customHeight="1" x14ac:dyDescent="0.35">
      <c r="A14" s="291"/>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 customHeight="1" x14ac:dyDescent="0.35">
      <c r="A15" s="291"/>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 customHeight="1" x14ac:dyDescent="0.35">
      <c r="A16" s="291"/>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 customHeight="1" x14ac:dyDescent="0.35">
      <c r="A17" s="291"/>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 customHeight="1" x14ac:dyDescent="0.35">
      <c r="A18" s="291"/>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 customHeight="1" x14ac:dyDescent="0.35">
      <c r="A19" s="291"/>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 customHeight="1" x14ac:dyDescent="0.35">
      <c r="A20" s="291"/>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 customHeight="1" x14ac:dyDescent="0.35">
      <c r="A21" s="291"/>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 customHeight="1" x14ac:dyDescent="0.35">
      <c r="A22" s="291"/>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 customHeight="1" x14ac:dyDescent="0.35">
      <c r="A23" s="291"/>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 customHeight="1" x14ac:dyDescent="0.35">
      <c r="A24" s="291"/>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 customHeight="1" x14ac:dyDescent="0.35">
      <c r="A25" s="291"/>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 customHeight="1" x14ac:dyDescent="0.35">
      <c r="A26" s="291"/>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 customHeight="1" x14ac:dyDescent="0.35">
      <c r="A27" s="291"/>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 customHeight="1" x14ac:dyDescent="0.35">
      <c r="A28" s="291"/>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 customHeight="1" x14ac:dyDescent="0.35">
      <c r="A29" s="291"/>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 customHeight="1" x14ac:dyDescent="0.35">
      <c r="A30" s="291"/>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 customHeight="1" x14ac:dyDescent="0.35">
      <c r="A31" s="291"/>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 customHeight="1" x14ac:dyDescent="0.35">
      <c r="A32" s="291"/>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 customHeight="1" x14ac:dyDescent="0.35">
      <c r="A33" s="291"/>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 customHeight="1" x14ac:dyDescent="0.35">
      <c r="A34" s="291"/>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 customHeight="1" x14ac:dyDescent="0.35">
      <c r="A35" s="291"/>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 customHeight="1" x14ac:dyDescent="0.35">
      <c r="A36" s="247"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 customHeight="1" x14ac:dyDescent="0.35">
      <c r="A37" s="247"/>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 customHeight="1" x14ac:dyDescent="0.35">
      <c r="A38" s="247"/>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 customHeight="1" x14ac:dyDescent="0.35">
      <c r="A39" s="247"/>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 customHeight="1" x14ac:dyDescent="0.35">
      <c r="A40" s="247"/>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 customHeight="1" x14ac:dyDescent="0.35">
      <c r="A41" s="247"/>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 customHeight="1" x14ac:dyDescent="0.35">
      <c r="A42" s="247"/>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 customHeight="1" x14ac:dyDescent="0.35">
      <c r="A43" s="247"/>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 customHeight="1" x14ac:dyDescent="0.35">
      <c r="A44" s="247"/>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 customHeight="1" x14ac:dyDescent="0.35">
      <c r="A45" s="247"/>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 customHeight="1" x14ac:dyDescent="0.35">
      <c r="A46" s="247"/>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 customHeight="1" x14ac:dyDescent="0.35">
      <c r="A47" s="247"/>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 customHeight="1" x14ac:dyDescent="0.35">
      <c r="A48" s="247"/>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 customHeight="1" x14ac:dyDescent="0.35">
      <c r="A49" s="247"/>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 customHeight="1" x14ac:dyDescent="0.35">
      <c r="A50" s="247"/>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 customHeight="1" x14ac:dyDescent="0.35">
      <c r="A51" s="247"/>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 customHeight="1" x14ac:dyDescent="0.35">
      <c r="A52" s="247"/>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 customHeight="1" x14ac:dyDescent="0.35">
      <c r="A53" s="247"/>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 customHeight="1" x14ac:dyDescent="0.35">
      <c r="A54" s="247"/>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 customHeight="1" x14ac:dyDescent="0.35">
      <c r="A55" s="247"/>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 customHeight="1" x14ac:dyDescent="0.35">
      <c r="A56" s="247"/>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 customHeight="1" x14ac:dyDescent="0.35">
      <c r="A57" s="247"/>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 customHeight="1" x14ac:dyDescent="0.35">
      <c r="A58" s="247"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5</v>
      </c>
      <c r="Q58" s="210">
        <f ca="1">IF($B58="N/A", "N/A", VLOOKUP($B58, INDIRECT(Config!$B$1), HLOOKUP(Q$1, INDIRECT(Config!$E$1), 2, FALSE),FALSE))</f>
        <v>5</v>
      </c>
    </row>
    <row r="59" spans="1:17" ht="14.5" customHeight="1" x14ac:dyDescent="0.35">
      <c r="A59" s="247"/>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 customHeight="1" x14ac:dyDescent="0.35">
      <c r="A60" s="247"/>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 customHeight="1" x14ac:dyDescent="0.35">
      <c r="A61" s="247"/>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 customHeight="1" x14ac:dyDescent="0.35">
      <c r="A62" s="247"/>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 customHeight="1" x14ac:dyDescent="0.35">
      <c r="A63" s="247"/>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 customHeight="1" x14ac:dyDescent="0.35">
      <c r="A64" s="247"/>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 customHeight="1" x14ac:dyDescent="0.35">
      <c r="A65" s="247"/>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 customHeight="1" x14ac:dyDescent="0.35">
      <c r="A66" s="247"/>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 customHeight="1" x14ac:dyDescent="0.35">
      <c r="A67" s="247"/>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 customHeight="1" x14ac:dyDescent="0.35">
      <c r="A68" s="247"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 customHeight="1" x14ac:dyDescent="0.35">
      <c r="A69" s="247"/>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 customHeight="1" x14ac:dyDescent="0.35">
      <c r="A70" s="247"/>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 customHeight="1" x14ac:dyDescent="0.35">
      <c r="A71" s="247"/>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 customHeight="1" x14ac:dyDescent="0.35">
      <c r="A72" s="247"/>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 customHeight="1" x14ac:dyDescent="0.35">
      <c r="A73" s="247"/>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 customHeight="1" x14ac:dyDescent="0.35">
      <c r="A74" s="247"/>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 customHeight="1" x14ac:dyDescent="0.35">
      <c r="A75" s="247"/>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 customHeight="1" x14ac:dyDescent="0.35">
      <c r="A76" s="247"/>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 customHeight="1" x14ac:dyDescent="0.35">
      <c r="A77" s="247"/>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 customHeight="1" x14ac:dyDescent="0.35">
      <c r="A78" s="247"/>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 customHeight="1" x14ac:dyDescent="0.35">
      <c r="A79" s="247"/>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 customHeight="1" x14ac:dyDescent="0.35">
      <c r="A80" s="247"/>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 customHeight="1" x14ac:dyDescent="0.35">
      <c r="A81" s="247"/>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 customHeight="1" x14ac:dyDescent="0.35">
      <c r="A82" s="247"/>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 customHeight="1" x14ac:dyDescent="0.35">
      <c r="A83" s="247"/>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 customHeight="1" x14ac:dyDescent="0.35">
      <c r="A84" s="247"/>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 customHeight="1" x14ac:dyDescent="0.35">
      <c r="A85" s="247"/>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 customHeight="1" x14ac:dyDescent="0.35">
      <c r="A86" s="247"/>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 customHeight="1" x14ac:dyDescent="0.35">
      <c r="A87" s="247"/>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 customHeight="1" x14ac:dyDescent="0.35">
      <c r="A88" s="247"/>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 customHeight="1" x14ac:dyDescent="0.35">
      <c r="A89" s="247"/>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 customHeight="1" x14ac:dyDescent="0.35">
      <c r="A90" s="257"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 customHeight="1" x14ac:dyDescent="0.35">
      <c r="A91" s="287"/>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 customHeight="1" x14ac:dyDescent="0.35">
      <c r="A92" s="256"/>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 customHeight="1" x14ac:dyDescent="0.35">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 customHeight="1" x14ac:dyDescent="0.35">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 customHeight="1" x14ac:dyDescent="0.35">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 customHeight="1" x14ac:dyDescent="0.35">
      <c r="A96" s="257"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 customHeight="1" x14ac:dyDescent="0.35">
      <c r="A97" s="287"/>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 customHeight="1" x14ac:dyDescent="0.35">
      <c r="A98" s="287"/>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 customHeight="1" x14ac:dyDescent="0.35">
      <c r="A99" s="256"/>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 customHeight="1" x14ac:dyDescent="0.35">
      <c r="A100" s="247"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 customHeight="1" x14ac:dyDescent="0.35">
      <c r="A101" s="247"/>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 customHeight="1" x14ac:dyDescent="0.35">
      <c r="A102" s="287"/>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 customHeight="1" x14ac:dyDescent="0.35">
      <c r="A103" s="256"/>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 customHeight="1" x14ac:dyDescent="0.35">
      <c r="A104" s="257" t="s">
        <v>38</v>
      </c>
      <c r="B104" s="4" t="s">
        <v>613</v>
      </c>
      <c r="C104" s="206">
        <v>0</v>
      </c>
      <c r="D104" s="206">
        <v>16</v>
      </c>
      <c r="E104" s="206" t="s">
        <v>262</v>
      </c>
      <c r="F104" s="288"/>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 customHeight="1" x14ac:dyDescent="0.35">
      <c r="A105" s="287"/>
      <c r="B105" s="4" t="s">
        <v>613</v>
      </c>
      <c r="C105" s="206">
        <v>16</v>
      </c>
      <c r="D105" s="206">
        <v>8</v>
      </c>
      <c r="E105" s="206" t="s">
        <v>263</v>
      </c>
      <c r="F105" s="289"/>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 customHeight="1" x14ac:dyDescent="0.35">
      <c r="A106" s="287"/>
      <c r="B106" s="4" t="s">
        <v>613</v>
      </c>
      <c r="C106" s="206">
        <v>24</v>
      </c>
      <c r="D106" s="206">
        <v>4</v>
      </c>
      <c r="E106" s="206" t="s">
        <v>264</v>
      </c>
      <c r="F106" s="289"/>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 customHeight="1" x14ac:dyDescent="0.35">
      <c r="A107" s="256"/>
      <c r="B107" s="4" t="s">
        <v>613</v>
      </c>
      <c r="C107" s="206">
        <v>28</v>
      </c>
      <c r="D107" s="206">
        <v>4</v>
      </c>
      <c r="E107" s="206" t="s">
        <v>265</v>
      </c>
      <c r="F107" s="290"/>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 customHeight="1" x14ac:dyDescent="0.35">
      <c r="A108" s="257"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 customHeight="1" x14ac:dyDescent="0.35">
      <c r="A109" s="287"/>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 customHeight="1" x14ac:dyDescent="0.35">
      <c r="A110" s="256"/>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 customHeight="1" x14ac:dyDescent="0.35">
      <c r="A111" s="257"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 customHeight="1" x14ac:dyDescent="0.35">
      <c r="A112" s="256"/>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 customHeight="1" x14ac:dyDescent="0.35">
      <c r="A113" s="257"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 customHeight="1" x14ac:dyDescent="0.35">
      <c r="A114" s="287"/>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 customHeight="1" x14ac:dyDescent="0.35">
      <c r="A115" s="256"/>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 customHeight="1" x14ac:dyDescent="0.35">
      <c r="A116" s="257"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 customHeight="1" x14ac:dyDescent="0.35">
      <c r="A117" s="256"/>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 customHeight="1" x14ac:dyDescent="0.35">
      <c r="A118" s="257"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 customHeight="1" x14ac:dyDescent="0.35">
      <c r="A119" s="287"/>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 customHeight="1" x14ac:dyDescent="0.35">
      <c r="A120" s="256"/>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 customHeight="1" x14ac:dyDescent="0.35">
      <c r="A121" s="257"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 customHeight="1" x14ac:dyDescent="0.35">
      <c r="A122" s="256"/>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 customHeight="1" x14ac:dyDescent="0.35">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 customHeight="1" x14ac:dyDescent="0.35">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 customHeight="1" x14ac:dyDescent="0.35">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5" bestFit="1" customWidth="1"/>
    <col min="2" max="2" width="32.453125" customWidth="1"/>
    <col min="3" max="3" width="31.90625" style="15" customWidth="1"/>
    <col min="4" max="4" width="32.90625" bestFit="1" customWidth="1"/>
    <col min="5" max="5" width="40.36328125" style="15"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5" customFormat="1" ht="24" thickBot="1" x14ac:dyDescent="0.6">
      <c r="B1" s="22" t="s">
        <v>400</v>
      </c>
      <c r="C1" s="22"/>
      <c r="D1" s="23" t="s">
        <v>609</v>
      </c>
    </row>
    <row r="2" spans="1:13" ht="15" thickBot="1" x14ac:dyDescent="0.4">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5">
      <c r="A3" s="298"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292" t="s">
        <v>367</v>
      </c>
      <c r="M3" s="294" t="s">
        <v>14</v>
      </c>
    </row>
    <row r="4" spans="1:13" x14ac:dyDescent="0.35">
      <c r="A4" s="273"/>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73"/>
      <c r="M4" s="295"/>
    </row>
    <row r="5" spans="1:13" x14ac:dyDescent="0.35">
      <c r="A5" s="273"/>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73"/>
      <c r="M5" s="295"/>
    </row>
    <row r="6" spans="1:13" s="15" customFormat="1" x14ac:dyDescent="0.35">
      <c r="A6" s="273"/>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70"/>
      <c r="M6" s="296"/>
    </row>
    <row r="7" spans="1:13" ht="15" thickBot="1" x14ac:dyDescent="0.4">
      <c r="A7" s="293"/>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293"/>
      <c r="M7" s="297"/>
    </row>
    <row r="8" spans="1:13" ht="14.5" customHeight="1" x14ac:dyDescent="0.35">
      <c r="A8" s="275"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00" t="s">
        <v>368</v>
      </c>
      <c r="M8" s="303" t="s">
        <v>20</v>
      </c>
    </row>
    <row r="9" spans="1:13" x14ac:dyDescent="0.35">
      <c r="A9" s="275"/>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01"/>
      <c r="M9" s="304"/>
    </row>
    <row r="10" spans="1:13" x14ac:dyDescent="0.35">
      <c r="A10" s="275"/>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01"/>
      <c r="M10" s="304"/>
    </row>
    <row r="11" spans="1:13" s="15" customFormat="1" x14ac:dyDescent="0.35">
      <c r="A11" s="275"/>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01"/>
      <c r="M11" s="304"/>
    </row>
    <row r="12" spans="1:13" ht="15.5" customHeight="1" x14ac:dyDescent="0.35">
      <c r="A12" s="275"/>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01"/>
      <c r="M12" s="304"/>
    </row>
    <row r="13" spans="1:13" s="15" customFormat="1" ht="14.5" customHeight="1" thickBot="1" x14ac:dyDescent="0.4">
      <c r="A13" s="299"/>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02"/>
      <c r="M13" s="305"/>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5" bestFit="1" customWidth="1"/>
    <col min="4" max="4" width="12.54296875" style="15" bestFit="1" customWidth="1"/>
    <col min="5" max="5" width="53.08984375" style="6" customWidth="1"/>
    <col min="6" max="6" width="24" style="6" bestFit="1" customWidth="1"/>
    <col min="7" max="7" width="7.6328125" style="15" customWidth="1"/>
    <col min="8" max="8" width="7.36328125" style="15" customWidth="1"/>
    <col min="9" max="9" width="13.36328125" style="6" bestFit="1" customWidth="1"/>
    <col min="10" max="10" width="12.54296875" style="6" bestFit="1" customWidth="1"/>
    <col min="11" max="11" width="12.54296875" style="15"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25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30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30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30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30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30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30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30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30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30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30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30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30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30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30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30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30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30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30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30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30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30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30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30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30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30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30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30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30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30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30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30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25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28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28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28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28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28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28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8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28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28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8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8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8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8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8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28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28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28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28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28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28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28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28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x14ac:dyDescent="0.35">
      <c r="A57" s="287"/>
      <c r="B57" s="2" t="s">
        <v>48</v>
      </c>
      <c r="C57" s="2">
        <v>23</v>
      </c>
      <c r="D57" s="2">
        <v>1</v>
      </c>
      <c r="E57" s="13"/>
      <c r="F57" s="16" t="s">
        <v>336</v>
      </c>
      <c r="G57" s="8">
        <v>0</v>
      </c>
      <c r="H57" s="8">
        <v>0</v>
      </c>
      <c r="I57" s="16"/>
      <c r="J57" s="7"/>
      <c r="K57" s="7" t="s">
        <v>460</v>
      </c>
      <c r="L57" s="4" t="str">
        <f ca="1">IF($B57="N/A", "N/A",IF(VLOOKUP("SOFTSTRAP1_EN",INDIRECT(Config!$B$1),HLOOKUP(L$1,INDIRECT(Config!$E$1),2,FALSE),FALSE)=0,0,1))</f>
        <v>N/A</v>
      </c>
      <c r="M57" s="4" t="str">
        <f ca="1">IF($B57="N/A", "N/A",IF(VLOOKUP("SOFTSTRAP1_EN",INDIRECT(Config!$B$1),HLOOKUP(M$1,INDIRECT(Config!$E$1),2,FALSE),FALSE)=0,0,1))</f>
        <v>N/A</v>
      </c>
      <c r="N57" s="4" t="str">
        <f ca="1">IF($B57="N/A", "N/A",IF(VLOOKUP("SOFTSTRAP1_EN",INDIRECT(Config!$B$1),HLOOKUP(N$1,INDIRECT(Config!$E$1),2,FALSE),FALSE)=0,0,1))</f>
        <v>N/A</v>
      </c>
    </row>
    <row r="58" spans="1:14" x14ac:dyDescent="0.35">
      <c r="A58" s="28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28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28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28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28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28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28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25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308">
        <v>0</v>
      </c>
      <c r="B2" s="57" t="s">
        <v>577</v>
      </c>
      <c r="C2" s="16">
        <v>0</v>
      </c>
      <c r="D2" s="16"/>
      <c r="E2" s="58"/>
    </row>
    <row r="3" spans="1:5" x14ac:dyDescent="0.35">
      <c r="A3" s="308"/>
      <c r="B3" s="16" t="s">
        <v>578</v>
      </c>
      <c r="C3" s="16">
        <v>8</v>
      </c>
      <c r="D3" s="16"/>
      <c r="E3" s="58"/>
    </row>
    <row r="4" spans="1:5" x14ac:dyDescent="0.35">
      <c r="A4" s="308"/>
      <c r="B4" s="99" t="s">
        <v>584</v>
      </c>
      <c r="C4" s="99" t="s">
        <v>585</v>
      </c>
      <c r="D4" s="16"/>
      <c r="E4" s="58"/>
    </row>
    <row r="5" spans="1:5" x14ac:dyDescent="0.35">
      <c r="A5" s="308"/>
      <c r="B5" s="16" t="s">
        <v>586</v>
      </c>
      <c r="C5" s="16" t="s">
        <v>587</v>
      </c>
      <c r="D5" s="16"/>
      <c r="E5" s="58"/>
    </row>
    <row r="6" spans="1:5" x14ac:dyDescent="0.35">
      <c r="A6" s="308"/>
      <c r="B6" s="16" t="s">
        <v>588</v>
      </c>
      <c r="C6" s="16" t="s">
        <v>589</v>
      </c>
      <c r="D6" s="16"/>
      <c r="E6" s="58"/>
    </row>
    <row r="7" spans="1:5" x14ac:dyDescent="0.35">
      <c r="A7" s="308"/>
      <c r="B7" s="16" t="s">
        <v>590</v>
      </c>
      <c r="C7" s="16" t="s">
        <v>591</v>
      </c>
      <c r="D7" s="16"/>
      <c r="E7" s="58"/>
    </row>
    <row r="8" spans="1:5" ht="72.5" x14ac:dyDescent="0.35">
      <c r="A8" s="308">
        <v>1</v>
      </c>
      <c r="B8" s="98" t="s">
        <v>420</v>
      </c>
      <c r="C8" s="16">
        <v>11</v>
      </c>
      <c r="D8" s="16"/>
      <c r="E8" s="58" t="s">
        <v>595</v>
      </c>
    </row>
    <row r="9" spans="1:5" x14ac:dyDescent="0.35">
      <c r="A9" s="308"/>
      <c r="B9" s="98" t="s">
        <v>581</v>
      </c>
      <c r="C9" s="16">
        <v>0</v>
      </c>
      <c r="D9" s="16"/>
      <c r="E9" s="58" t="s">
        <v>599</v>
      </c>
    </row>
    <row r="10" spans="1:5" x14ac:dyDescent="0.35">
      <c r="A10" s="308"/>
      <c r="B10" s="98" t="s">
        <v>582</v>
      </c>
      <c r="C10" s="16">
        <v>0</v>
      </c>
      <c r="D10" s="16"/>
      <c r="E10" s="58" t="s">
        <v>386</v>
      </c>
    </row>
    <row r="11" spans="1:5" x14ac:dyDescent="0.35">
      <c r="A11" s="308"/>
      <c r="B11" s="98" t="s">
        <v>592</v>
      </c>
      <c r="C11" s="16">
        <v>7</v>
      </c>
      <c r="D11" s="16"/>
      <c r="E11" s="58"/>
    </row>
    <row r="12" spans="1:5" x14ac:dyDescent="0.35">
      <c r="A12" s="308"/>
      <c r="B12" s="98" t="s">
        <v>593</v>
      </c>
      <c r="C12" s="16" t="s">
        <v>594</v>
      </c>
      <c r="D12" s="16"/>
      <c r="E12" s="58"/>
    </row>
    <row r="13" spans="1:5" x14ac:dyDescent="0.35">
      <c r="A13" s="308"/>
      <c r="B13" s="16" t="s">
        <v>390</v>
      </c>
      <c r="C13" s="16"/>
      <c r="D13" s="16"/>
      <c r="E13" s="58"/>
    </row>
    <row r="14" spans="1:5" x14ac:dyDescent="0.35">
      <c r="A14" s="308"/>
      <c r="B14" s="16" t="s">
        <v>205</v>
      </c>
      <c r="C14" s="16"/>
      <c r="D14" s="16"/>
      <c r="E14" s="58"/>
    </row>
    <row r="15" spans="1:5" x14ac:dyDescent="0.35">
      <c r="A15" s="308"/>
      <c r="B15" s="16" t="s">
        <v>579</v>
      </c>
      <c r="C15" s="16" t="s">
        <v>580</v>
      </c>
      <c r="D15" s="16"/>
      <c r="E15" s="58"/>
    </row>
    <row r="16" spans="1:5" x14ac:dyDescent="0.35">
      <c r="A16" s="308"/>
      <c r="B16" s="16" t="s">
        <v>598</v>
      </c>
      <c r="C16" s="16"/>
      <c r="D16" s="16"/>
      <c r="E16" s="58"/>
    </row>
    <row r="17" spans="1:5" x14ac:dyDescent="0.35">
      <c r="A17" s="308">
        <v>2</v>
      </c>
      <c r="B17" s="99" t="s">
        <v>566</v>
      </c>
      <c r="C17" s="99">
        <v>128</v>
      </c>
      <c r="D17" s="16" t="s">
        <v>597</v>
      </c>
      <c r="E17" s="58"/>
    </row>
    <row r="18" spans="1:5" x14ac:dyDescent="0.35">
      <c r="A18" s="308"/>
      <c r="B18" s="99" t="s">
        <v>560</v>
      </c>
      <c r="C18" s="99" t="s">
        <v>563</v>
      </c>
      <c r="D18" s="16"/>
      <c r="E18" s="58"/>
    </row>
    <row r="19" spans="1:5" x14ac:dyDescent="0.35">
      <c r="A19" s="308"/>
      <c r="B19" s="16" t="s">
        <v>561</v>
      </c>
      <c r="C19" s="16" t="s">
        <v>562</v>
      </c>
      <c r="D19" s="16"/>
      <c r="E19" s="58"/>
    </row>
    <row r="20" spans="1:5" x14ac:dyDescent="0.35">
      <c r="A20" s="308"/>
      <c r="B20" s="16" t="s">
        <v>564</v>
      </c>
      <c r="C20" s="16" t="s">
        <v>565</v>
      </c>
      <c r="D20" s="16"/>
      <c r="E20" s="58"/>
    </row>
    <row r="21" spans="1:5" x14ac:dyDescent="0.35">
      <c r="A21" s="308">
        <v>3</v>
      </c>
      <c r="B21" s="99" t="s">
        <v>567</v>
      </c>
      <c r="C21" s="99" t="s">
        <v>568</v>
      </c>
      <c r="D21" s="16"/>
      <c r="E21" s="58"/>
    </row>
    <row r="22" spans="1:5" x14ac:dyDescent="0.35">
      <c r="A22" s="308"/>
      <c r="B22" s="99" t="s">
        <v>569</v>
      </c>
      <c r="C22" s="99" t="s">
        <v>570</v>
      </c>
      <c r="D22" s="16"/>
      <c r="E22" s="58"/>
    </row>
    <row r="23" spans="1:5" x14ac:dyDescent="0.35">
      <c r="A23" s="308"/>
      <c r="B23" s="16" t="s">
        <v>571</v>
      </c>
      <c r="C23" s="16" t="s">
        <v>572</v>
      </c>
      <c r="D23" s="16"/>
      <c r="E23" s="58"/>
    </row>
    <row r="24" spans="1:5" x14ac:dyDescent="0.35">
      <c r="A24" s="308"/>
      <c r="B24" s="16" t="s">
        <v>573</v>
      </c>
      <c r="C24" s="16" t="s">
        <v>574</v>
      </c>
      <c r="D24" s="16"/>
      <c r="E24" s="58"/>
    </row>
    <row r="25" spans="1:5" x14ac:dyDescent="0.35">
      <c r="A25" s="308">
        <v>4</v>
      </c>
      <c r="B25" s="98" t="s">
        <v>575</v>
      </c>
      <c r="C25" s="98" t="s">
        <v>576</v>
      </c>
      <c r="D25" s="16"/>
      <c r="E25" s="58"/>
    </row>
    <row r="26" spans="1:5" x14ac:dyDescent="0.35">
      <c r="A26" s="308"/>
      <c r="B26" s="98" t="s">
        <v>421</v>
      </c>
      <c r="C26" s="16">
        <v>2</v>
      </c>
      <c r="D26" s="16"/>
      <c r="E26" s="58" t="s">
        <v>596</v>
      </c>
    </row>
    <row r="27" spans="1:5" x14ac:dyDescent="0.35">
      <c r="A27" s="308"/>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2020-07-27T20:31:13Z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