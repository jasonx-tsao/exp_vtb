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defaultThemeVersion="166925"/>
  <mc:AlternateContent xmlns:mc="http://schemas.openxmlformats.org/markup-compatibility/2006">
    <mc:Choice Requires="x15">
      <x15ac:absPath xmlns:x15ac="http://schemas.microsoft.com/office/spreadsheetml/2010/11/ac" url="C:\Users\mkakeda\Perforce\MB_COE\depot\projects\coe\CSME\ArchSpecs\Working\"/>
    </mc:Choice>
  </mc:AlternateContent>
  <xr:revisionPtr revIDLastSave="0" documentId="13_ncr:1_{9282B0B5-2B15-45C3-8277-092D6C2340CC}" xr6:coauthVersionLast="44" xr6:coauthVersionMax="44" xr10:uidLastSave="{00000000-0000-0000-0000-000000000000}"/>
  <bookViews>
    <workbookView xWindow="28680" yWindow="-120" windowWidth="29040" windowHeight="15840" activeTab="1" xr2:uid="{9230698E-BC2D-4B56-9659-6B00A32A5149}"/>
  </bookViews>
  <sheets>
    <sheet name="Revision" sheetId="16" r:id="rId1"/>
    <sheet name="Config" sheetId="12" r:id="rId2"/>
    <sheet name="LookUp" sheetId="24" r:id="rId3"/>
    <sheet name="GetGroup1" sheetId="26" r:id="rId4"/>
    <sheet name="MTL-SOC-M CSME" sheetId="27" r:id="rId5"/>
    <sheet name="MTL-SOC-M ESE" sheetId="28" r:id="rId6"/>
    <sheet name="MTL-SOC-M GSC" sheetId="29" r:id="rId7"/>
    <sheet name="Group0" sheetId="21" r:id="rId8"/>
    <sheet name="Group1" sheetId="7" r:id="rId9"/>
    <sheet name="Group2,3" sheetId="15" r:id="rId10"/>
    <sheet name="Softstrap" sheetId="8" r:id="rId11"/>
    <sheet name="MISC" sheetId="17" r:id="rId12"/>
  </sheets>
  <functionGroups builtInGroupCount="19"/>
  <definedNames>
    <definedName name="_xlnm._FilterDatabase" localSheetId="8" hidden="1">Group1!$A$1:$O$104</definedName>
    <definedName name="_xlnm._FilterDatabase" localSheetId="10" hidden="1">Softstrap!$A$1:$N$1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G70" i="12" l="1"/>
  <c r="F70" i="12"/>
  <c r="E70" i="12"/>
  <c r="D70" i="12"/>
  <c r="C70" i="12"/>
  <c r="B70" i="12"/>
  <c r="M86" i="7"/>
  <c r="I41" i="29"/>
  <c r="I40" i="29"/>
  <c r="I39" i="29"/>
  <c r="I38" i="29"/>
  <c r="I37" i="29"/>
  <c r="I36" i="29"/>
  <c r="E36" i="29"/>
  <c r="I35" i="29"/>
  <c r="I34" i="29"/>
  <c r="I33" i="29"/>
  <c r="I32" i="29"/>
  <c r="I31" i="29"/>
  <c r="E31" i="29"/>
  <c r="I30" i="29"/>
  <c r="I29" i="29"/>
  <c r="I28" i="29"/>
  <c r="G23" i="29"/>
  <c r="G16" i="29"/>
  <c r="G15" i="29"/>
  <c r="G14" i="29"/>
  <c r="G13" i="29"/>
  <c r="I14" i="29" s="1"/>
  <c r="I41" i="28"/>
  <c r="I40" i="28"/>
  <c r="I39" i="28"/>
  <c r="I38" i="28"/>
  <c r="I37" i="28"/>
  <c r="I36" i="28"/>
  <c r="E36" i="28"/>
  <c r="I35" i="28"/>
  <c r="I34" i="28"/>
  <c r="I33" i="28"/>
  <c r="I32" i="28"/>
  <c r="I31" i="28"/>
  <c r="E31" i="28"/>
  <c r="I30" i="28"/>
  <c r="I29" i="28"/>
  <c r="I28" i="28"/>
  <c r="G23" i="28"/>
  <c r="G16" i="28"/>
  <c r="G15" i="28"/>
  <c r="G14" i="28"/>
  <c r="G13" i="28"/>
  <c r="H14" i="28" s="1"/>
  <c r="I41" i="27"/>
  <c r="I40" i="27"/>
  <c r="I39" i="27"/>
  <c r="I38" i="27"/>
  <c r="I37" i="27"/>
  <c r="I36" i="27"/>
  <c r="E36" i="27"/>
  <c r="I35" i="27"/>
  <c r="I34" i="27"/>
  <c r="I33" i="27"/>
  <c r="I32" i="27"/>
  <c r="I31" i="27"/>
  <c r="E31" i="27"/>
  <c r="I30" i="27"/>
  <c r="I29" i="27"/>
  <c r="I28" i="27"/>
  <c r="G23" i="27"/>
  <c r="G16" i="27"/>
  <c r="G15" i="27"/>
  <c r="G14" i="27"/>
  <c r="G13" i="27"/>
  <c r="I14" i="27" s="1"/>
  <c r="E36" i="24"/>
  <c r="E31" i="24"/>
  <c r="I15" i="29" l="1"/>
  <c r="H15" i="28"/>
  <c r="H16" i="28" s="1"/>
  <c r="H14" i="27"/>
  <c r="H15" i="27" s="1"/>
  <c r="H16" i="27" s="1"/>
  <c r="H14" i="29"/>
  <c r="H15" i="29" s="1"/>
  <c r="H16" i="29" s="1"/>
  <c r="I14" i="28"/>
  <c r="I15" i="28" s="1"/>
  <c r="I15" i="27"/>
  <c r="O104" i="7" l="1"/>
  <c r="N104" i="7"/>
  <c r="M104" i="7"/>
  <c r="O103" i="7"/>
  <c r="N103" i="7"/>
  <c r="M103" i="7"/>
  <c r="O102" i="7"/>
  <c r="N102" i="7"/>
  <c r="M102" i="7"/>
  <c r="O101" i="7"/>
  <c r="N101" i="7"/>
  <c r="M101" i="7"/>
  <c r="O86" i="7"/>
  <c r="N86" i="7"/>
  <c r="O84" i="7"/>
  <c r="N84" i="7"/>
  <c r="M84" i="7"/>
  <c r="O83" i="7"/>
  <c r="N83" i="7"/>
  <c r="M83" i="7"/>
  <c r="O77" i="7"/>
  <c r="N77" i="7"/>
  <c r="M77" i="7"/>
  <c r="O74" i="7"/>
  <c r="N74" i="7"/>
  <c r="M74" i="7"/>
  <c r="O70" i="7"/>
  <c r="N70" i="7"/>
  <c r="M70" i="7"/>
  <c r="O69" i="7"/>
  <c r="N69" i="7"/>
  <c r="M69" i="7"/>
  <c r="O65" i="7"/>
  <c r="N65" i="7"/>
  <c r="M65" i="7"/>
  <c r="O64" i="7"/>
  <c r="N64" i="7"/>
  <c r="M64" i="7"/>
  <c r="O62" i="7"/>
  <c r="N62" i="7"/>
  <c r="M62" i="7"/>
  <c r="O57" i="7"/>
  <c r="N57" i="7"/>
  <c r="M57" i="7"/>
  <c r="O45" i="7"/>
  <c r="N45" i="7"/>
  <c r="M45" i="7"/>
  <c r="O42" i="7"/>
  <c r="N42" i="7"/>
  <c r="M42" i="7"/>
  <c r="O39" i="7"/>
  <c r="N39" i="7"/>
  <c r="M39" i="7"/>
  <c r="O35" i="7"/>
  <c r="N35" i="7"/>
  <c r="M35" i="7"/>
  <c r="O19" i="7"/>
  <c r="N19" i="7"/>
  <c r="M19" i="7"/>
  <c r="O18" i="7"/>
  <c r="N18" i="7"/>
  <c r="M18" i="7"/>
  <c r="O16" i="7"/>
  <c r="N16" i="7"/>
  <c r="M16" i="7"/>
  <c r="O10" i="7"/>
  <c r="N10" i="7"/>
  <c r="M10" i="7"/>
  <c r="O9" i="7"/>
  <c r="N9" i="7"/>
  <c r="M9" i="7"/>
  <c r="O8" i="7"/>
  <c r="N8" i="7"/>
  <c r="M8" i="7"/>
  <c r="O5" i="7"/>
  <c r="N5" i="7"/>
  <c r="M5" i="7"/>
  <c r="O3" i="7"/>
  <c r="N3" i="7"/>
  <c r="M3" i="7"/>
  <c r="O2" i="7"/>
  <c r="N2" i="7"/>
  <c r="M2" i="7"/>
  <c r="N47" i="8"/>
  <c r="M47" i="8"/>
  <c r="L47" i="8"/>
  <c r="N46" i="8"/>
  <c r="M46" i="8"/>
  <c r="L46" i="8"/>
  <c r="N45" i="8"/>
  <c r="M45" i="8"/>
  <c r="L45" i="8"/>
  <c r="N44" i="8"/>
  <c r="M44" i="8"/>
  <c r="L44" i="8"/>
  <c r="N42" i="8"/>
  <c r="M42" i="8"/>
  <c r="L42" i="8"/>
  <c r="N41" i="8"/>
  <c r="M41" i="8"/>
  <c r="L41" i="8"/>
  <c r="N39" i="8"/>
  <c r="M39" i="8"/>
  <c r="L39" i="8"/>
  <c r="N38" i="8"/>
  <c r="M38" i="8"/>
  <c r="L38" i="8"/>
  <c r="N37" i="8"/>
  <c r="M37" i="8"/>
  <c r="L37" i="8"/>
  <c r="N36" i="8"/>
  <c r="M36" i="8"/>
  <c r="L36" i="8"/>
  <c r="N35" i="8"/>
  <c r="M35" i="8"/>
  <c r="L35" i="8"/>
  <c r="N34" i="8"/>
  <c r="M34" i="8"/>
  <c r="L34" i="8"/>
  <c r="N5" i="8"/>
  <c r="M5" i="8"/>
  <c r="L5" i="8"/>
  <c r="N20" i="8"/>
  <c r="M20" i="8"/>
  <c r="L20" i="8"/>
  <c r="N17" i="8"/>
  <c r="M17" i="8"/>
  <c r="L17" i="8"/>
  <c r="N14" i="8"/>
  <c r="M14" i="8"/>
  <c r="L14" i="8"/>
  <c r="J23" i="28" l="1"/>
  <c r="J23" i="29"/>
  <c r="J23" i="27"/>
  <c r="I41" i="24"/>
  <c r="I40" i="24"/>
  <c r="I39" i="24"/>
  <c r="I38" i="24"/>
  <c r="I37" i="24"/>
  <c r="I36" i="24"/>
  <c r="I35" i="24"/>
  <c r="I34" i="24"/>
  <c r="I33" i="24"/>
  <c r="I32" i="24"/>
  <c r="I31" i="24"/>
  <c r="I30" i="24"/>
  <c r="I29" i="24"/>
  <c r="I28" i="24"/>
  <c r="G23" i="24"/>
  <c r="G16" i="24"/>
  <c r="G15" i="24"/>
  <c r="G14" i="24"/>
  <c r="G13" i="24"/>
  <c r="I14" i="24" s="1"/>
  <c r="O82" i="7"/>
  <c r="N82" i="7"/>
  <c r="M82" i="7"/>
  <c r="I15" i="24" l="1"/>
  <c r="H14" i="24"/>
  <c r="H15" i="24" s="1"/>
  <c r="H16" i="24" s="1"/>
  <c r="E68" i="12"/>
  <c r="H17" i="21" l="1"/>
  <c r="H16" i="21"/>
  <c r="H15" i="21"/>
  <c r="H14" i="21"/>
  <c r="H13" i="21"/>
  <c r="H12" i="21"/>
  <c r="H11" i="21"/>
  <c r="H10" i="21"/>
  <c r="H9" i="21"/>
  <c r="H8" i="21"/>
  <c r="H7" i="21"/>
  <c r="H6" i="21"/>
  <c r="H5" i="21"/>
  <c r="H4" i="21"/>
  <c r="L10" i="8" l="1"/>
  <c r="M10" i="8"/>
  <c r="N10" i="8"/>
  <c r="O71" i="7"/>
  <c r="N71" i="7"/>
  <c r="M71" i="7"/>
  <c r="O63" i="7"/>
  <c r="N63" i="7"/>
  <c r="M63" i="7"/>
  <c r="O31" i="7"/>
  <c r="N31" i="7"/>
  <c r="M31" i="7"/>
  <c r="B69" i="12" l="1"/>
  <c r="B68" i="12"/>
  <c r="F67" i="12"/>
  <c r="E67" i="12"/>
  <c r="B67" i="12"/>
  <c r="E1" i="12"/>
  <c r="B1" i="12"/>
  <c r="N11" i="7"/>
  <c r="O11" i="7"/>
  <c r="M11" i="7"/>
  <c r="F5" i="21"/>
  <c r="F12" i="21"/>
  <c r="M66" i="7"/>
  <c r="G31" i="29"/>
  <c r="G37" i="28"/>
  <c r="N66" i="7"/>
  <c r="G41" i="28"/>
  <c r="N67" i="7"/>
  <c r="G36" i="29"/>
  <c r="G41" i="29"/>
  <c r="G36" i="28"/>
  <c r="G41" i="24"/>
  <c r="G28" i="29"/>
  <c r="L16" i="29"/>
  <c r="F15" i="21"/>
  <c r="F16" i="21"/>
  <c r="G29" i="27"/>
  <c r="F4" i="21"/>
  <c r="G28" i="28"/>
  <c r="G34" i="27"/>
  <c r="F17" i="21"/>
  <c r="G28" i="27"/>
  <c r="O66" i="7"/>
  <c r="F9" i="21"/>
  <c r="G30" i="28"/>
  <c r="G32" i="29"/>
  <c r="F11" i="21"/>
  <c r="F14" i="21"/>
  <c r="G29" i="28"/>
  <c r="G36" i="27"/>
  <c r="G37" i="29"/>
  <c r="G30" i="29"/>
  <c r="G39" i="28"/>
  <c r="F3" i="21"/>
  <c r="G35" i="27"/>
  <c r="G34" i="28"/>
  <c r="G40" i="27"/>
  <c r="G38" i="28"/>
  <c r="G41" i="27"/>
  <c r="O76" i="7"/>
  <c r="F7" i="21"/>
  <c r="O67" i="7"/>
  <c r="M68" i="7"/>
  <c r="G27" i="28"/>
  <c r="G27" i="29"/>
  <c r="M87" i="7"/>
  <c r="G32" i="28"/>
  <c r="G36" i="24"/>
  <c r="G30" i="27"/>
  <c r="G38" i="27"/>
  <c r="G31" i="28"/>
  <c r="N68" i="7"/>
  <c r="G40" i="29"/>
  <c r="M67" i="7"/>
  <c r="G39" i="29"/>
  <c r="M76" i="7"/>
  <c r="G32" i="27"/>
  <c r="G37" i="27"/>
  <c r="G29" i="29"/>
  <c r="L14" i="29"/>
  <c r="G40" i="28"/>
  <c r="G33" i="29"/>
  <c r="G35" i="28"/>
  <c r="G33" i="28"/>
  <c r="L13" i="29"/>
  <c r="G39" i="27"/>
  <c r="G38" i="29"/>
  <c r="G34" i="29"/>
  <c r="F6" i="21"/>
  <c r="F13" i="21"/>
  <c r="G27" i="27"/>
  <c r="G31" i="24"/>
  <c r="F10" i="21"/>
  <c r="G31" i="27"/>
  <c r="N76" i="7"/>
  <c r="O68" i="7"/>
  <c r="G35" i="29"/>
  <c r="G33" i="27"/>
  <c r="F8" i="21"/>
  <c r="L15" i="29"/>
  <c r="L6" i="28"/>
  <c r="L33" i="28"/>
  <c r="G11" i="28"/>
  <c r="L35" i="27"/>
  <c r="L16" i="27"/>
  <c r="L21" i="28"/>
  <c r="L21" i="27"/>
  <c r="L20" i="27"/>
  <c r="L36" i="27"/>
  <c r="L10" i="28"/>
  <c r="G19" i="28"/>
  <c r="L14" i="28"/>
  <c r="G20" i="29"/>
  <c r="G9" i="29"/>
  <c r="G11" i="29"/>
  <c r="L38" i="27"/>
  <c r="L29" i="28"/>
  <c r="L18" i="28"/>
  <c r="L14" i="27"/>
  <c r="L9" i="27"/>
  <c r="L10" i="27"/>
  <c r="L28" i="29"/>
  <c r="G9" i="28"/>
  <c r="L34" i="27"/>
  <c r="L13" i="28"/>
  <c r="L35" i="29"/>
  <c r="G20" i="28"/>
  <c r="L18" i="27"/>
  <c r="L34" i="29"/>
  <c r="L5" i="28"/>
  <c r="G6" i="28"/>
  <c r="G10" i="28"/>
  <c r="L13" i="27"/>
  <c r="G7" i="28"/>
  <c r="G20" i="27"/>
  <c r="L17" i="27"/>
  <c r="G19" i="29"/>
  <c r="G17" i="29"/>
  <c r="G21" i="28"/>
  <c r="L39" i="27"/>
  <c r="L12" i="28"/>
  <c r="L9" i="28"/>
  <c r="G24" i="28"/>
  <c r="N4" i="7"/>
  <c r="G10" i="29"/>
  <c r="L16" i="28"/>
  <c r="G11" i="27"/>
  <c r="G4" i="27"/>
  <c r="L31" i="29"/>
  <c r="L39" i="29"/>
  <c r="G18" i="28"/>
  <c r="L39" i="28"/>
  <c r="G4" i="28"/>
  <c r="L30" i="28"/>
  <c r="G8" i="29"/>
  <c r="L41" i="28"/>
  <c r="L6" i="27"/>
  <c r="L33" i="27"/>
  <c r="L8" i="27"/>
  <c r="G3" i="27"/>
  <c r="G8" i="27"/>
  <c r="L30" i="27"/>
  <c r="G9" i="27"/>
  <c r="L15" i="27"/>
  <c r="G18" i="27"/>
  <c r="L12" i="27"/>
  <c r="L3" i="28"/>
  <c r="G17" i="28"/>
  <c r="L20" i="28"/>
  <c r="L4" i="28"/>
  <c r="L23" i="27"/>
  <c r="L41" i="29"/>
  <c r="G7" i="27"/>
  <c r="L11" i="28"/>
  <c r="G21" i="29"/>
  <c r="G22" i="29"/>
  <c r="G6" i="29"/>
  <c r="L36" i="29"/>
  <c r="G10" i="27"/>
  <c r="L15" i="28"/>
  <c r="L7" i="28"/>
  <c r="G3" i="29"/>
  <c r="G12" i="27"/>
  <c r="L28" i="27"/>
  <c r="G4" i="29"/>
  <c r="L38" i="28"/>
  <c r="G6" i="27"/>
  <c r="G17" i="27"/>
  <c r="L35" i="28"/>
  <c r="L29" i="29"/>
  <c r="G24" i="29"/>
  <c r="M4" i="7"/>
  <c r="O4" i="7"/>
  <c r="L38" i="29"/>
  <c r="L30" i="29"/>
  <c r="L17" i="28"/>
  <c r="G25" i="29"/>
  <c r="L40" i="29"/>
  <c r="L33" i="29"/>
  <c r="G5" i="27"/>
  <c r="L23" i="28"/>
  <c r="L8" i="28"/>
  <c r="L28" i="28"/>
  <c r="G22" i="27"/>
  <c r="G8" i="28"/>
  <c r="L11" i="27"/>
  <c r="L40" i="28"/>
  <c r="L7" i="27"/>
  <c r="G5" i="28"/>
  <c r="G19" i="27"/>
  <c r="L41" i="27"/>
  <c r="G25" i="28"/>
  <c r="G3" i="28"/>
  <c r="L36" i="28"/>
  <c r="G24" i="27"/>
  <c r="G12" i="29"/>
  <c r="L3" i="27"/>
  <c r="G12" i="28"/>
  <c r="L40" i="27"/>
  <c r="G22" i="28"/>
  <c r="G21" i="27"/>
  <c r="L23" i="29"/>
  <c r="L31" i="28"/>
  <c r="L29" i="27"/>
  <c r="L22" i="28"/>
  <c r="L4" i="27"/>
  <c r="L22" i="27"/>
  <c r="G25" i="27"/>
  <c r="G18" i="29"/>
  <c r="L19" i="28"/>
  <c r="G7" i="29"/>
  <c r="G5" i="29"/>
  <c r="L19" i="27"/>
  <c r="L31" i="27"/>
  <c r="L5" i="27"/>
  <c r="L34" i="28"/>
  <c r="H24" i="29" l="1"/>
  <c r="O24" i="29"/>
  <c r="H19" i="29"/>
  <c r="H11" i="29"/>
  <c r="H9" i="29"/>
  <c r="H22" i="29"/>
  <c r="H5" i="29"/>
  <c r="O13" i="29"/>
  <c r="H17" i="29"/>
  <c r="H21" i="29"/>
  <c r="O3" i="29"/>
  <c r="I4" i="29"/>
  <c r="I5" i="29" s="1"/>
  <c r="I6" i="29" s="1"/>
  <c r="I7" i="29" s="1"/>
  <c r="O27" i="29"/>
  <c r="H20" i="29"/>
  <c r="I9" i="29"/>
  <c r="I10" i="29" s="1"/>
  <c r="I11" i="29" s="1"/>
  <c r="I12" i="29" s="1"/>
  <c r="O8" i="29"/>
  <c r="H6" i="29"/>
  <c r="H4" i="29"/>
  <c r="H18" i="29"/>
  <c r="H7" i="29"/>
  <c r="H12" i="29"/>
  <c r="H10" i="29"/>
  <c r="H25" i="29"/>
  <c r="O24" i="28"/>
  <c r="H24" i="28"/>
  <c r="H19" i="28"/>
  <c r="H11" i="28"/>
  <c r="H9" i="28"/>
  <c r="H22" i="28"/>
  <c r="O13" i="28"/>
  <c r="H17" i="28"/>
  <c r="O3" i="28"/>
  <c r="I4" i="28"/>
  <c r="I5" i="28" s="1"/>
  <c r="I6" i="28" s="1"/>
  <c r="I7" i="28" s="1"/>
  <c r="O27" i="28"/>
  <c r="H20" i="28"/>
  <c r="I9" i="28"/>
  <c r="I10" i="28" s="1"/>
  <c r="I11" i="28" s="1"/>
  <c r="I12" i="28" s="1"/>
  <c r="O8" i="28"/>
  <c r="H6" i="28"/>
  <c r="H4" i="28"/>
  <c r="H25" i="28"/>
  <c r="H12" i="28"/>
  <c r="H10" i="28"/>
  <c r="H18" i="28"/>
  <c r="H21" i="28"/>
  <c r="H7" i="28"/>
  <c r="H5" i="28"/>
  <c r="O27" i="27"/>
  <c r="H20" i="27"/>
  <c r="I9" i="27"/>
  <c r="I10" i="27" s="1"/>
  <c r="I11" i="27" s="1"/>
  <c r="I12" i="27" s="1"/>
  <c r="O8" i="27"/>
  <c r="H6" i="27"/>
  <c r="H4" i="27"/>
  <c r="H12" i="27"/>
  <c r="O13" i="27"/>
  <c r="H17" i="27"/>
  <c r="H10" i="27"/>
  <c r="H25" i="27"/>
  <c r="H18" i="27"/>
  <c r="H21" i="27"/>
  <c r="I4" i="27"/>
  <c r="I5" i="27" s="1"/>
  <c r="I6" i="27" s="1"/>
  <c r="I7" i="27" s="1"/>
  <c r="O3" i="27"/>
  <c r="H7" i="27"/>
  <c r="H5" i="27"/>
  <c r="H24" i="27"/>
  <c r="O24" i="27"/>
  <c r="H19" i="27"/>
  <c r="H11" i="27"/>
  <c r="H9" i="27"/>
  <c r="H22" i="27"/>
  <c r="J23" i="24"/>
  <c r="D122" i="7"/>
  <c r="D121" i="7"/>
  <c r="D120" i="7"/>
  <c r="L10" i="29"/>
  <c r="L9" i="29"/>
  <c r="L21" i="29"/>
  <c r="L20" i="29"/>
  <c r="L19" i="29"/>
  <c r="L6" i="29"/>
  <c r="O3" i="21" l="1"/>
  <c r="H103" i="7"/>
  <c r="O78" i="7"/>
  <c r="N96" i="7"/>
  <c r="N92" i="7"/>
  <c r="N112" i="7"/>
  <c r="O116" i="7"/>
  <c r="L7" i="24"/>
  <c r="M80" i="7"/>
  <c r="M95" i="7"/>
  <c r="N93" i="7"/>
  <c r="G40" i="24"/>
  <c r="M105" i="7"/>
  <c r="F12" i="15"/>
  <c r="O61" i="7"/>
  <c r="N46" i="7"/>
  <c r="N15" i="8"/>
  <c r="N47" i="7"/>
  <c r="O34" i="7"/>
  <c r="L22" i="29"/>
  <c r="L31" i="8"/>
  <c r="M91" i="7"/>
  <c r="N97" i="7"/>
  <c r="L26" i="8"/>
  <c r="N53" i="7"/>
  <c r="N9" i="8"/>
  <c r="O91" i="7"/>
  <c r="M97" i="7"/>
  <c r="L28" i="24"/>
  <c r="N44" i="7"/>
  <c r="N95" i="7"/>
  <c r="L6" i="8"/>
  <c r="G38" i="24"/>
  <c r="G21" i="24"/>
  <c r="F5" i="15"/>
  <c r="L53" i="8"/>
  <c r="M24" i="7"/>
  <c r="O111" i="7"/>
  <c r="N81" i="7"/>
  <c r="O47" i="7"/>
  <c r="O53" i="7"/>
  <c r="M61" i="7"/>
  <c r="M22" i="7"/>
  <c r="O41" i="7"/>
  <c r="M28" i="7"/>
  <c r="M32" i="7"/>
  <c r="N25" i="7"/>
  <c r="N111" i="7"/>
  <c r="O22" i="7"/>
  <c r="O92" i="7"/>
  <c r="K14" i="21"/>
  <c r="G20" i="24"/>
  <c r="O54" i="7"/>
  <c r="O98" i="7"/>
  <c r="G19" i="24"/>
  <c r="G3" i="24"/>
  <c r="N29" i="7"/>
  <c r="L17" i="29"/>
  <c r="O119" i="7"/>
  <c r="L8" i="8"/>
  <c r="N41" i="7"/>
  <c r="K12" i="21"/>
  <c r="O20" i="7"/>
  <c r="O55" i="7"/>
  <c r="O108" i="7"/>
  <c r="O32" i="7"/>
  <c r="L21" i="24"/>
  <c r="N52" i="8"/>
  <c r="L7" i="29"/>
  <c r="N49" i="8"/>
  <c r="O40" i="7"/>
  <c r="L21" i="8"/>
  <c r="M73" i="7"/>
  <c r="M6" i="7"/>
  <c r="N98" i="7"/>
  <c r="L39" i="24"/>
  <c r="M7" i="8"/>
  <c r="O13" i="7"/>
  <c r="O6" i="7"/>
  <c r="N43" i="7"/>
  <c r="M20" i="7"/>
  <c r="O75" i="7"/>
  <c r="N27" i="7"/>
  <c r="M49" i="8"/>
  <c r="M47" i="7"/>
  <c r="O21" i="7"/>
  <c r="O17" i="7"/>
  <c r="N20" i="7"/>
  <c r="M79" i="7"/>
  <c r="L4" i="8"/>
  <c r="G9" i="24"/>
  <c r="O107" i="7"/>
  <c r="M120" i="7"/>
  <c r="M21" i="7"/>
  <c r="L38" i="24"/>
  <c r="G39" i="24"/>
  <c r="M24" i="8"/>
  <c r="L3" i="8"/>
  <c r="L24" i="8"/>
  <c r="L6" i="24"/>
  <c r="L18" i="24"/>
  <c r="M50" i="8"/>
  <c r="L43" i="8"/>
  <c r="L55" i="8"/>
  <c r="N54" i="7"/>
  <c r="M23" i="7"/>
  <c r="N117" i="7"/>
  <c r="N48" i="8"/>
  <c r="N61" i="7"/>
  <c r="M33" i="7"/>
  <c r="L29" i="24"/>
  <c r="M72" i="7"/>
  <c r="M31" i="8"/>
  <c r="K5" i="21"/>
  <c r="N100" i="7"/>
  <c r="L50" i="8"/>
  <c r="N13" i="7"/>
  <c r="F9" i="15"/>
  <c r="M54" i="8"/>
  <c r="M94" i="7"/>
  <c r="O109" i="7"/>
  <c r="N110" i="7"/>
  <c r="N116" i="7"/>
  <c r="F6" i="15"/>
  <c r="O87" i="7"/>
  <c r="L25" i="8"/>
  <c r="F4" i="15"/>
  <c r="L13" i="24"/>
  <c r="M15" i="7"/>
  <c r="N99" i="7"/>
  <c r="M36" i="7"/>
  <c r="N31" i="8"/>
  <c r="G34" i="24"/>
  <c r="N105" i="7"/>
  <c r="M53" i="8"/>
  <c r="M111" i="7"/>
  <c r="L40" i="8"/>
  <c r="L23" i="24"/>
  <c r="M15" i="8"/>
  <c r="M122" i="7"/>
  <c r="M108" i="7"/>
  <c r="N3" i="8"/>
  <c r="N50" i="7"/>
  <c r="M78" i="7"/>
  <c r="M58" i="7"/>
  <c r="L12" i="24"/>
  <c r="N11" i="8"/>
  <c r="M53" i="7"/>
  <c r="L51" i="8"/>
  <c r="M96" i="7"/>
  <c r="O15" i="7"/>
  <c r="N23" i="8"/>
  <c r="O48" i="7"/>
  <c r="M118" i="7"/>
  <c r="M48" i="8"/>
  <c r="O33" i="7"/>
  <c r="M110" i="7"/>
  <c r="N12" i="7"/>
  <c r="O100" i="7"/>
  <c r="L23" i="8"/>
  <c r="G30" i="24"/>
  <c r="M106" i="7"/>
  <c r="L22" i="8"/>
  <c r="M29" i="8"/>
  <c r="N122" i="7"/>
  <c r="L10" i="24"/>
  <c r="O105" i="7"/>
  <c r="N94" i="7"/>
  <c r="M26" i="8"/>
  <c r="L32" i="8"/>
  <c r="N33" i="7"/>
  <c r="M109" i="7"/>
  <c r="L9" i="24"/>
  <c r="M113" i="7"/>
  <c r="M49" i="7"/>
  <c r="M56" i="7"/>
  <c r="N26" i="8"/>
  <c r="M75" i="7"/>
  <c r="M43" i="7"/>
  <c r="L49" i="8"/>
  <c r="O12" i="7"/>
  <c r="O50" i="7"/>
  <c r="N16" i="8"/>
  <c r="N22" i="8"/>
  <c r="L13" i="8"/>
  <c r="O36" i="7"/>
  <c r="G18" i="24"/>
  <c r="O112" i="7"/>
  <c r="L12" i="8"/>
  <c r="N36" i="7"/>
  <c r="K15" i="21"/>
  <c r="L4" i="24"/>
  <c r="K11" i="21"/>
  <c r="M18" i="8"/>
  <c r="N25" i="8"/>
  <c r="G27" i="24"/>
  <c r="N87" i="7"/>
  <c r="N53" i="8"/>
  <c r="N85" i="7"/>
  <c r="L29" i="8"/>
  <c r="L41" i="24"/>
  <c r="O30" i="7"/>
  <c r="O90" i="7"/>
  <c r="M114" i="7"/>
  <c r="N22" i="7"/>
  <c r="O25" i="7"/>
  <c r="N51" i="7"/>
  <c r="L9" i="8"/>
  <c r="L17" i="24"/>
  <c r="M13" i="7"/>
  <c r="O113" i="7"/>
  <c r="G28" i="24"/>
  <c r="M6" i="8"/>
  <c r="O85" i="7"/>
  <c r="M55" i="7"/>
  <c r="N75" i="7"/>
  <c r="N118" i="7"/>
  <c r="M30" i="8"/>
  <c r="L18" i="29"/>
  <c r="L11" i="29"/>
  <c r="G33" i="24"/>
  <c r="N21" i="8"/>
  <c r="O51" i="7"/>
  <c r="N15" i="7"/>
  <c r="M93" i="7"/>
  <c r="K7" i="21"/>
  <c r="N24" i="7"/>
  <c r="L15" i="8"/>
  <c r="N114" i="7"/>
  <c r="M119" i="7"/>
  <c r="L4" i="29"/>
  <c r="M25" i="8"/>
  <c r="N54" i="8"/>
  <c r="M9" i="8"/>
  <c r="M99" i="7"/>
  <c r="M22" i="8"/>
  <c r="L19" i="8"/>
  <c r="M12" i="8"/>
  <c r="N60" i="7"/>
  <c r="N28" i="7"/>
  <c r="N30" i="7"/>
  <c r="L28" i="8"/>
  <c r="M46" i="7"/>
  <c r="O106" i="7"/>
  <c r="N59" i="7"/>
  <c r="M27" i="8"/>
  <c r="M81" i="7"/>
  <c r="K4" i="21"/>
  <c r="O26" i="7"/>
  <c r="M23" i="8"/>
  <c r="N50" i="8"/>
  <c r="L30" i="8"/>
  <c r="M92" i="7"/>
  <c r="O121" i="7"/>
  <c r="M4" i="8"/>
  <c r="N34" i="7"/>
  <c r="N51" i="8"/>
  <c r="M37" i="7"/>
  <c r="N73" i="7"/>
  <c r="M88" i="7"/>
  <c r="G24" i="24"/>
  <c r="G5" i="24"/>
  <c r="M89" i="7"/>
  <c r="O58" i="7"/>
  <c r="G17" i="24"/>
  <c r="M60" i="7"/>
  <c r="N14" i="7"/>
  <c r="G7" i="24"/>
  <c r="L36" i="24"/>
  <c r="N24" i="8"/>
  <c r="N33" i="8"/>
  <c r="N120" i="7"/>
  <c r="N7" i="8"/>
  <c r="K6" i="21"/>
  <c r="O38" i="7"/>
  <c r="N12" i="8"/>
  <c r="M19" i="8"/>
  <c r="N113" i="7"/>
  <c r="O115" i="7"/>
  <c r="G25" i="24"/>
  <c r="N6" i="8"/>
  <c r="L16" i="24"/>
  <c r="M107" i="7"/>
  <c r="O95" i="7"/>
  <c r="O93" i="7"/>
  <c r="O27" i="7"/>
  <c r="K10" i="21"/>
  <c r="N19" i="8"/>
  <c r="M29" i="7"/>
  <c r="M121" i="7"/>
  <c r="L16" i="8"/>
  <c r="M26" i="7"/>
  <c r="N58" i="7"/>
  <c r="M43" i="8"/>
  <c r="N106" i="7"/>
  <c r="L8" i="24"/>
  <c r="L22" i="24"/>
  <c r="O89" i="7"/>
  <c r="M21" i="8"/>
  <c r="O44" i="7"/>
  <c r="N72" i="7"/>
  <c r="G22" i="24"/>
  <c r="M27" i="7"/>
  <c r="N30" i="8"/>
  <c r="N55" i="7"/>
  <c r="O79" i="7"/>
  <c r="O52" i="7"/>
  <c r="O118" i="7"/>
  <c r="M52" i="8"/>
  <c r="N4" i="8"/>
  <c r="L11" i="8"/>
  <c r="M90" i="7"/>
  <c r="G11" i="24"/>
  <c r="L7" i="8"/>
  <c r="N121" i="7"/>
  <c r="M51" i="8"/>
  <c r="L5" i="29"/>
  <c r="M41" i="7"/>
  <c r="O29" i="7"/>
  <c r="F7" i="15"/>
  <c r="N28" i="8"/>
  <c r="O117" i="7"/>
  <c r="O23" i="7"/>
  <c r="M14" i="7"/>
  <c r="N32" i="8"/>
  <c r="O37" i="7"/>
  <c r="O80" i="7"/>
  <c r="O122" i="7"/>
  <c r="F11" i="15"/>
  <c r="O59" i="7"/>
  <c r="M13" i="8"/>
  <c r="M48" i="7"/>
  <c r="N23" i="7"/>
  <c r="N109" i="7"/>
  <c r="L30" i="24"/>
  <c r="M3" i="8"/>
  <c r="O110" i="7"/>
  <c r="N91" i="7"/>
  <c r="L11" i="24"/>
  <c r="N13" i="8"/>
  <c r="L15" i="24"/>
  <c r="M7" i="7"/>
  <c r="M11" i="8"/>
  <c r="O14" i="7"/>
  <c r="F3" i="15"/>
  <c r="K9" i="21"/>
  <c r="N52" i="7"/>
  <c r="N107" i="7"/>
  <c r="N88" i="7"/>
  <c r="O43" i="7"/>
  <c r="N89" i="7"/>
  <c r="M112" i="7"/>
  <c r="O24" i="7"/>
  <c r="M117" i="7"/>
  <c r="N115" i="7"/>
  <c r="L33" i="24"/>
  <c r="L19" i="24"/>
  <c r="L3" i="29"/>
  <c r="M12" i="7"/>
  <c r="G35" i="24"/>
  <c r="M30" i="7"/>
  <c r="F10" i="15"/>
  <c r="G4" i="24"/>
  <c r="O46" i="7"/>
  <c r="M17" i="7"/>
  <c r="N17" i="7"/>
  <c r="L2" i="8"/>
  <c r="O88" i="7"/>
  <c r="M8" i="8"/>
  <c r="M50" i="7"/>
  <c r="G8" i="24"/>
  <c r="L34" i="24"/>
  <c r="M38" i="7"/>
  <c r="N40" i="8"/>
  <c r="M2" i="8"/>
  <c r="N26" i="7"/>
  <c r="N108" i="7"/>
  <c r="M40" i="7"/>
  <c r="N49" i="7"/>
  <c r="M16" i="8"/>
  <c r="L5" i="24"/>
  <c r="M54" i="7"/>
  <c r="N29" i="8"/>
  <c r="O81" i="7"/>
  <c r="N79" i="7"/>
  <c r="N90" i="7"/>
  <c r="O56" i="7"/>
  <c r="K16" i="21"/>
  <c r="L48" i="8"/>
  <c r="M32" i="8"/>
  <c r="M52" i="7"/>
  <c r="O120" i="7"/>
  <c r="M51" i="7"/>
  <c r="F8" i="15"/>
  <c r="N48" i="7"/>
  <c r="L18" i="8"/>
  <c r="L12" i="29"/>
  <c r="G32" i="24"/>
  <c r="N8" i="8"/>
  <c r="L27" i="8"/>
  <c r="O97" i="7"/>
  <c r="N55" i="8"/>
  <c r="N56" i="7"/>
  <c r="L31" i="24"/>
  <c r="M98" i="7"/>
  <c r="M25" i="7"/>
  <c r="G12" i="24"/>
  <c r="N37" i="7"/>
  <c r="N18" i="8"/>
  <c r="N78" i="7"/>
  <c r="L52" i="8"/>
  <c r="O72" i="7"/>
  <c r="M55" i="8"/>
  <c r="G6" i="24"/>
  <c r="M115" i="7"/>
  <c r="N40" i="7"/>
  <c r="M100" i="7"/>
  <c r="O99" i="7"/>
  <c r="N80" i="7"/>
  <c r="L40" i="24"/>
  <c r="O73" i="7"/>
  <c r="L35" i="24"/>
  <c r="N6" i="7"/>
  <c r="M116" i="7"/>
  <c r="N38" i="7"/>
  <c r="M28" i="8"/>
  <c r="L54" i="8"/>
  <c r="M59" i="7"/>
  <c r="M85" i="7"/>
  <c r="N2" i="8"/>
  <c r="O94" i="7"/>
  <c r="O7" i="7"/>
  <c r="L8" i="29"/>
  <c r="O60" i="7"/>
  <c r="L20" i="24"/>
  <c r="O114" i="7"/>
  <c r="N32" i="7"/>
  <c r="M34" i="7"/>
  <c r="N21" i="7"/>
  <c r="L14" i="24"/>
  <c r="M33" i="8"/>
  <c r="N7" i="7"/>
  <c r="N27" i="8"/>
  <c r="L33" i="8"/>
  <c r="O28" i="7"/>
  <c r="L3" i="24"/>
  <c r="O96" i="7"/>
  <c r="O49" i="7"/>
  <c r="G29" i="24"/>
  <c r="N119" i="7"/>
  <c r="M40" i="8"/>
  <c r="K17" i="21"/>
  <c r="G37" i="24"/>
  <c r="M44" i="7"/>
  <c r="N43" i="8"/>
  <c r="G10" i="24"/>
  <c r="J18" i="27" l="1"/>
  <c r="J18" i="29"/>
  <c r="K18" i="27"/>
  <c r="K18" i="28"/>
  <c r="J18" i="28"/>
  <c r="J18" i="24"/>
  <c r="K18" i="24"/>
  <c r="K18" i="29"/>
  <c r="O27" i="24"/>
  <c r="J19" i="29"/>
  <c r="J19" i="27"/>
  <c r="K19" i="29"/>
  <c r="J19" i="28"/>
  <c r="K19" i="24"/>
  <c r="K19" i="28"/>
  <c r="J19" i="24"/>
  <c r="K19" i="27"/>
  <c r="J13" i="28"/>
  <c r="K13" i="29"/>
  <c r="J13" i="29"/>
  <c r="K13" i="28"/>
  <c r="K13" i="27"/>
  <c r="K13" i="24"/>
  <c r="J13" i="27"/>
  <c r="J13" i="24"/>
  <c r="G9" i="15"/>
  <c r="O3" i="24"/>
  <c r="I4" i="24"/>
  <c r="I5" i="24" s="1"/>
  <c r="I6" i="24" s="1"/>
  <c r="I7" i="24" s="1"/>
  <c r="G6" i="15"/>
  <c r="H9" i="15"/>
  <c r="H10" i="15" s="1"/>
  <c r="H11" i="15" s="1"/>
  <c r="H12" i="15" s="1"/>
  <c r="K22" i="28"/>
  <c r="J22" i="28"/>
  <c r="K22" i="24"/>
  <c r="J22" i="29"/>
  <c r="J22" i="24"/>
  <c r="J22" i="27"/>
  <c r="K22" i="29"/>
  <c r="K22" i="27"/>
  <c r="H10" i="24"/>
  <c r="H5" i="24"/>
  <c r="H25" i="24"/>
  <c r="H18" i="24"/>
  <c r="H19" i="24"/>
  <c r="K16" i="24"/>
  <c r="K16" i="27"/>
  <c r="K17" i="27"/>
  <c r="K16" i="29"/>
  <c r="K16" i="28"/>
  <c r="J17" i="29"/>
  <c r="K17" i="29"/>
  <c r="J17" i="24"/>
  <c r="J17" i="28"/>
  <c r="K17" i="28"/>
  <c r="K17" i="24"/>
  <c r="H24" i="24"/>
  <c r="O24" i="24"/>
  <c r="H4" i="24"/>
  <c r="H6" i="24"/>
  <c r="H22" i="24"/>
  <c r="K14" i="24"/>
  <c r="J14" i="27"/>
  <c r="K14" i="27"/>
  <c r="J14" i="29"/>
  <c r="J14" i="28"/>
  <c r="K14" i="28"/>
  <c r="K14" i="29"/>
  <c r="J14" i="24"/>
  <c r="H4" i="15"/>
  <c r="H5" i="15" s="1"/>
  <c r="H6" i="15" s="1"/>
  <c r="H7" i="15" s="1"/>
  <c r="H17" i="24"/>
  <c r="O13" i="24"/>
  <c r="G10" i="15"/>
  <c r="H9" i="24"/>
  <c r="G12" i="15"/>
  <c r="J16" i="24"/>
  <c r="J16" i="27"/>
  <c r="J16" i="28"/>
  <c r="J16" i="29"/>
  <c r="J17" i="27"/>
  <c r="G5" i="15"/>
  <c r="K21" i="28"/>
  <c r="J21" i="28"/>
  <c r="K21" i="24"/>
  <c r="K21" i="27"/>
  <c r="J21" i="24"/>
  <c r="J21" i="27"/>
  <c r="K21" i="29"/>
  <c r="J21" i="29"/>
  <c r="H11" i="24"/>
  <c r="H20" i="24"/>
  <c r="H7" i="24"/>
  <c r="I9" i="24"/>
  <c r="I10" i="24" s="1"/>
  <c r="I11" i="24" s="1"/>
  <c r="I12" i="24" s="1"/>
  <c r="O8" i="24"/>
  <c r="H21" i="24"/>
  <c r="K15" i="28"/>
  <c r="K15" i="27"/>
  <c r="K15" i="29"/>
  <c r="J15" i="24"/>
  <c r="J15" i="28"/>
  <c r="J15" i="29"/>
  <c r="K15" i="24"/>
  <c r="J15" i="27"/>
  <c r="K20" i="27"/>
  <c r="K20" i="24"/>
  <c r="J20" i="27"/>
  <c r="J20" i="24"/>
  <c r="K20" i="29"/>
  <c r="J20" i="29"/>
  <c r="K20" i="28"/>
  <c r="J20" i="28"/>
  <c r="H12" i="24"/>
  <c r="G11" i="15"/>
  <c r="G7" i="15"/>
  <c r="G4" i="15"/>
  <c r="K23" i="29"/>
  <c r="K23" i="27"/>
  <c r="K23" i="28"/>
  <c r="K23"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2" authorId="0" shapeId="0" xr:uid="{B98C3E1C-49B7-4524-BE31-F4123D0B7DE6}">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A37" authorId="0" shapeId="0" xr:uid="{574F4B2A-05A4-436A-B0EE-0991A7629A2F}">
      <text>
        <r>
          <rPr>
            <b/>
            <sz val="9"/>
            <color indexed="81"/>
            <rFont val="Tahoma"/>
            <family val="2"/>
          </rPr>
          <t>Kakeda, Masahide:</t>
        </r>
        <r>
          <rPr>
            <sz val="9"/>
            <color indexed="81"/>
            <rFont val="Tahoma"/>
            <family val="2"/>
          </rPr>
          <t xml:space="preserve">
This parameter can be one only when PARAM_REPAIR_FUSE_SUPPORT_EN is set to 1</t>
        </r>
      </text>
    </comment>
    <comment ref="A40" authorId="0" shapeId="0" xr:uid="{8AC0D48A-97DB-4CF2-8332-535365F43AAA}">
      <text>
        <r>
          <rPr>
            <b/>
            <sz val="9"/>
            <color indexed="81"/>
            <rFont val="Tahoma"/>
            <family val="2"/>
          </rPr>
          <t xml:space="preserve">Kakeda, Masahide:
</t>
        </r>
        <r>
          <rPr>
            <sz val="9"/>
            <color indexed="81"/>
            <rFont val="Tahoma"/>
            <family val="2"/>
          </rPr>
          <t xml:space="preserve">
This parameter can be one only when PARAM_REPAIR_FUSE_SUPPORT_EN is set to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EB2C9978-4CC2-4256-8B98-C6BA8BBFBD09}">
      <text>
        <r>
          <rPr>
            <b/>
            <sz val="9"/>
            <color indexed="81"/>
            <rFont val="Tahoma"/>
            <family val="2"/>
          </rPr>
          <t>Kakeda, Masahide:</t>
        </r>
        <r>
          <rPr>
            <sz val="9"/>
            <color indexed="81"/>
            <rFont val="Tahoma"/>
            <family val="2"/>
          </rPr>
          <t xml:space="preserve">
CSE_HW_FW_CFG_FUSE_DEFAULT</t>
        </r>
      </text>
    </comment>
    <comment ref="H1" authorId="0" shapeId="0" xr:uid="{580EE9CF-677A-49E6-8C05-2300CAB3C6D8}">
      <text>
        <r>
          <rPr>
            <b/>
            <sz val="9"/>
            <color indexed="81"/>
            <rFont val="Tahoma"/>
            <family val="2"/>
          </rPr>
          <t>Kakeda, Masahide:</t>
        </r>
        <r>
          <rPr>
            <sz val="9"/>
            <color indexed="81"/>
            <rFont val="Tahoma"/>
            <family val="2"/>
          </rPr>
          <t xml:space="preserve">
GROUP1_FUSE_DEFAULT_PARAM</t>
        </r>
      </text>
    </comment>
    <comment ref="B21" authorId="0" shapeId="0" xr:uid="{09F1297B-1D6E-47DB-91FA-99E50434FD68}">
      <text>
        <r>
          <rPr>
            <b/>
            <sz val="9"/>
            <color indexed="81"/>
            <rFont val="Tahoma"/>
            <family val="2"/>
          </rPr>
          <t>Kakeda, Masahide:</t>
        </r>
        <r>
          <rPr>
            <sz val="9"/>
            <color indexed="81"/>
            <rFont val="Tahoma"/>
            <family val="2"/>
          </rPr>
          <t xml:space="preserve">
SAMSUNG_PUF_CONFIG_EN and IFWI_LAYOUT_1_5_EN are
mutualy exclusive </t>
        </r>
      </text>
    </comment>
    <comment ref="B22" authorId="0" shapeId="0" xr:uid="{4DE446ED-8EDA-439A-B561-9F40A724718A}">
      <text>
        <r>
          <rPr>
            <b/>
            <sz val="9"/>
            <color indexed="81"/>
            <rFont val="Tahoma"/>
            <family val="2"/>
          </rPr>
          <t>Kakeda, Masahide:</t>
        </r>
        <r>
          <rPr>
            <sz val="9"/>
            <color indexed="81"/>
            <rFont val="Tahoma"/>
            <family val="2"/>
          </rPr>
          <t xml:space="preserve">
SAMSUNG_PUF_CONFIG_EN and IFWI_LAYOUT_1_5_EN are
mutualy exclusive </t>
        </r>
      </text>
    </comment>
    <comment ref="B23" authorId="0" shapeId="0" xr:uid="{4FB18237-10E5-4939-A33D-73FE4F472764}">
      <text>
        <r>
          <rPr>
            <b/>
            <sz val="9"/>
            <color indexed="81"/>
            <rFont val="Tahoma"/>
            <family val="2"/>
          </rPr>
          <t>Kakeda, Masahide:</t>
        </r>
        <r>
          <rPr>
            <sz val="9"/>
            <color indexed="81"/>
            <rFont val="Tahoma"/>
            <family val="2"/>
          </rPr>
          <t xml:space="preserve">
SAMSUNG_PUF_CONFIG_EN and IFWI_LAYOUT_1_5_EN are
mutualy exclusive </t>
        </r>
      </text>
    </comment>
    <comment ref="B24" authorId="0" shapeId="0" xr:uid="{B65B466B-D7B5-4E8A-A989-4D99BF644B9C}">
      <text>
        <r>
          <rPr>
            <b/>
            <sz val="9"/>
            <color indexed="81"/>
            <rFont val="Tahoma"/>
            <family val="2"/>
          </rPr>
          <t>Kakeda, Masahide:</t>
        </r>
        <r>
          <rPr>
            <sz val="9"/>
            <color indexed="81"/>
            <rFont val="Tahoma"/>
            <family val="2"/>
          </rPr>
          <t xml:space="preserve">
SAMSUNG_PUF_CONFIG_EN and IFWI_LAYOUT_1_5_EN are
mutualy exclusive </t>
        </r>
      </text>
    </comment>
    <comment ref="B25" authorId="0" shapeId="0" xr:uid="{492653B8-1ABD-418B-A7DF-3FD45F2BB4CE}">
      <text>
        <r>
          <rPr>
            <b/>
            <sz val="9"/>
            <color indexed="81"/>
            <rFont val="Tahoma"/>
            <family val="2"/>
          </rPr>
          <t>Kakeda, Masahide:</t>
        </r>
        <r>
          <rPr>
            <sz val="9"/>
            <color indexed="81"/>
            <rFont val="Tahoma"/>
            <family val="2"/>
          </rPr>
          <t xml:space="preserve">
SAMSUNG_PUF_CONFIG_EN and IFWI_LAYOUT_1_5_EN are
mutualy exclusive </t>
        </r>
      </text>
    </comment>
    <comment ref="B30" authorId="0" shapeId="0" xr:uid="{8FB738D8-5FB5-4BA9-9F76-B51190CE80AC}">
      <text>
        <r>
          <rPr>
            <b/>
            <sz val="9"/>
            <color indexed="81"/>
            <rFont val="Tahoma"/>
            <family val="2"/>
          </rPr>
          <t>Kakeda, Masahide:</t>
        </r>
        <r>
          <rPr>
            <sz val="9"/>
            <color indexed="81"/>
            <rFont val="Tahoma"/>
            <family val="2"/>
          </rPr>
          <t xml:space="preserve">
SAMSUNG_PUF_CONFIG_EN and IFWI_LAYOUT_1_5_EN are
mutualy exclusive </t>
        </r>
      </text>
    </comment>
    <comment ref="B32" authorId="0" shapeId="0" xr:uid="{CF01A31B-5D5C-4F30-8DAB-56701185D635}">
      <text>
        <r>
          <rPr>
            <b/>
            <sz val="9"/>
            <color indexed="81"/>
            <rFont val="Tahoma"/>
            <family val="2"/>
          </rPr>
          <t>Kakeda, Masahide:</t>
        </r>
        <r>
          <rPr>
            <sz val="9"/>
            <color indexed="81"/>
            <rFont val="Tahoma"/>
            <family val="2"/>
          </rPr>
          <t xml:space="preserve">
used in EBG</t>
        </r>
      </text>
    </comment>
    <comment ref="B58" authorId="0" shapeId="0" xr:uid="{DEDAA4DA-041A-46F5-906F-F5C22201685B}">
      <text>
        <r>
          <rPr>
            <b/>
            <sz val="9"/>
            <color indexed="81"/>
            <rFont val="Tahoma"/>
            <family val="2"/>
          </rPr>
          <t>Kakeda, Masahide:</t>
        </r>
        <r>
          <rPr>
            <sz val="9"/>
            <color indexed="81"/>
            <rFont val="Tahoma"/>
            <family val="2"/>
          </rPr>
          <t xml:space="preserve">
(1 &lt;&lt; x ) - 1
</t>
        </r>
      </text>
    </comment>
    <comment ref="B75" authorId="0" shapeId="0" xr:uid="{5C8F5CC8-D378-4F3B-B107-68E8A49571AE}">
      <text>
        <r>
          <rPr>
            <b/>
            <sz val="9"/>
            <color indexed="81"/>
            <rFont val="Tahoma"/>
            <family val="2"/>
          </rPr>
          <t>Kakeda, Masahide:</t>
        </r>
        <r>
          <rPr>
            <sz val="9"/>
            <color indexed="81"/>
            <rFont val="Tahoma"/>
            <family val="2"/>
          </rPr>
          <t xml:space="preserve">
For SPS FW</t>
        </r>
      </text>
    </comment>
    <comment ref="I125" authorId="0" shapeId="0" xr:uid="{0329E86D-903E-49A6-9377-9056A4C5A9E0}">
      <text>
        <r>
          <rPr>
            <b/>
            <sz val="9"/>
            <color indexed="81"/>
            <rFont val="Tahoma"/>
            <family val="2"/>
          </rPr>
          <t>Kakeda, Masahide:</t>
        </r>
        <r>
          <rPr>
            <sz val="9"/>
            <color indexed="81"/>
            <rFont val="Tahoma"/>
            <family val="2"/>
          </rPr>
          <t xml:space="preserve">
This is common attribute
to any generation.</t>
        </r>
      </text>
    </comment>
    <comment ref="I126" authorId="0" shapeId="0" xr:uid="{6EE1C261-5CBF-44FD-AC97-C12462B5C80E}">
      <text>
        <r>
          <rPr>
            <b/>
            <sz val="9"/>
            <color indexed="81"/>
            <rFont val="Tahoma"/>
            <family val="2"/>
          </rPr>
          <t>Kakeda, Masahide:</t>
        </r>
        <r>
          <rPr>
            <sz val="9"/>
            <color indexed="81"/>
            <rFont val="Tahoma"/>
            <family val="2"/>
          </rPr>
          <t xml:space="preserve">
This color font is applicable only in ESE.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1" authorId="0" shapeId="0" xr:uid="{C142ED9C-A746-43D9-9C5B-9B437E3B04FF}">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 ref="G12" authorId="0" shapeId="0" xr:uid="{1671581C-82BB-4F27-B6D4-B78465B5CE20}">
      <text>
        <r>
          <rPr>
            <b/>
            <sz val="9"/>
            <color indexed="81"/>
            <rFont val="Tahoma"/>
            <family val="2"/>
          </rPr>
          <t>Kakeda, Masahide:</t>
        </r>
        <r>
          <rPr>
            <sz val="9"/>
            <color indexed="81"/>
            <rFont val="Tahoma"/>
            <family val="2"/>
          </rPr>
          <t xml:space="preserve">
This address will be last DWs of total Group2 fuses.
This address will be updated based on the total Group2 fuses byte size.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G1" authorId="0" shapeId="0" xr:uid="{02A9A3B4-6620-4F40-9B67-2101F4E0B453}">
      <text>
        <r>
          <rPr>
            <b/>
            <sz val="9"/>
            <color indexed="81"/>
            <rFont val="Tahoma"/>
            <family val="2"/>
          </rPr>
          <t>Kakeda, Masahide:</t>
        </r>
        <r>
          <rPr>
            <sz val="9"/>
            <color indexed="81"/>
            <rFont val="Tahoma"/>
            <family val="2"/>
          </rPr>
          <t xml:space="preserve">
Same as Default (column)
STRAPS_DEFAULT_PARAM[63:0]</t>
        </r>
      </text>
    </comment>
    <comment ref="H1" authorId="0" shapeId="0" xr:uid="{A7425457-F5D2-44DF-A20F-D82646B2A232}">
      <text>
        <r>
          <rPr>
            <b/>
            <sz val="9"/>
            <color indexed="81"/>
            <rFont val="Tahoma"/>
            <family val="2"/>
          </rPr>
          <t>Kakeda, Masahide:</t>
        </r>
        <r>
          <rPr>
            <sz val="9"/>
            <color indexed="81"/>
            <rFont val="Tahoma"/>
            <family val="2"/>
          </rPr>
          <t xml:space="preserve">
STRAPS_DEFAULT_PARAM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Kakeda, Masahide</author>
  </authors>
  <commentList>
    <comment ref="B36" authorId="0" shapeId="0" xr:uid="{F864AB8C-B999-4666-883B-D24A161E59D5}">
      <text>
        <r>
          <rPr>
            <b/>
            <sz val="9"/>
            <color indexed="81"/>
            <rFont val="Tahoma"/>
            <family val="2"/>
          </rPr>
          <t>Kakeda, Masahide:</t>
        </r>
        <r>
          <rPr>
            <sz val="9"/>
            <color indexed="81"/>
            <rFont val="Tahoma"/>
            <family val="2"/>
          </rPr>
          <t xml:space="preserve">
//               FIFO Data Format:
//               Bits     Field
//               [   30]  No Data Entry
//               [   29]  Error
//               [   28]  Done/End of Message
//               [27:25]  Tag/Request Type
//               [   24]  Byte Enable
//               [23: 8]  Address
//               [ 7: 0]  Data/Error Code</t>
        </r>
      </text>
    </comment>
  </commentList>
</comments>
</file>

<file path=xl/sharedStrings.xml><?xml version="1.0" encoding="utf-8"?>
<sst xmlns="http://schemas.openxmlformats.org/spreadsheetml/2006/main" count="2906" uniqueCount="926">
  <si>
    <t>Fuse Category</t>
  </si>
  <si>
    <t>Fuse name</t>
  </si>
  <si>
    <t>Attributes (BOD=True, others=False)</t>
  </si>
  <si>
    <t>Groups</t>
  </si>
  <si>
    <t>data size</t>
  </si>
  <si>
    <t>Receiver Addr</t>
  </si>
  <si>
    <t>GSK Addr</t>
  </si>
  <si>
    <t>Trigger to pull</t>
  </si>
  <si>
    <t>Address</t>
  </si>
  <si>
    <t>ESE Security Key Fuses</t>
  </si>
  <si>
    <r>
      <rPr>
        <sz val="11"/>
        <color rgb="FFFF0000"/>
        <rFont val="Calibri"/>
        <family val="2"/>
        <scheme val="minor"/>
      </rPr>
      <t>BOD</t>
    </r>
    <r>
      <rPr>
        <sz val="11"/>
        <color theme="1"/>
        <rFont val="Calibri"/>
        <family val="2"/>
        <scheme val="minor"/>
      </rPr>
      <t>, JtagRd, JtagWr, SBRd, SBWr</t>
    </r>
  </si>
  <si>
    <t>Group 3</t>
  </si>
  <si>
    <t>0x6000</t>
  </si>
  <si>
    <t>0xF00B0000</t>
  </si>
  <si>
    <t>0xF00B0100</t>
  </si>
  <si>
    <t>JtagRd, JtagWr, SBRd, SBWr</t>
  </si>
  <si>
    <t>ECC_OnDieCA_Certificate</t>
  </si>
  <si>
    <t>ECC_P384_ONDIE_ROM_CERT</t>
  </si>
  <si>
    <t>JtagWr, SBWr</t>
  </si>
  <si>
    <t>Group 2</t>
  </si>
  <si>
    <t>0xF00B0400</t>
  </si>
  <si>
    <t>0xF00B010C</t>
  </si>
  <si>
    <t>ESE FW MISC</t>
  </si>
  <si>
    <t>HW_OCS_PUF_ECC</t>
  </si>
  <si>
    <t>GENERAL_FW_FUSES_CHECK</t>
  </si>
  <si>
    <t>Configuration Fuses</t>
  </si>
  <si>
    <t>GSK_FUSE_LO</t>
  </si>
  <si>
    <t>See Group1 sheet</t>
  </si>
  <si>
    <t>Group 1</t>
  </si>
  <si>
    <t>0x2000</t>
  </si>
  <si>
    <t>0xF00B0200</t>
  </si>
  <si>
    <t>0xF00B0104</t>
  </si>
  <si>
    <t>GSK_FUSE_MID</t>
  </si>
  <si>
    <t>GSK_FUSE_HI</t>
  </si>
  <si>
    <t>GSK_FUSES_HW_CFG</t>
  </si>
  <si>
    <t>0xF00B0224</t>
  </si>
  <si>
    <t>GSK_FUSES_TRC_CONFIG</t>
  </si>
  <si>
    <t>0xF00B0230</t>
  </si>
  <si>
    <t>GSK_SPARE_FUSES_HW_CFG</t>
  </si>
  <si>
    <t>0xF00B0228</t>
  </si>
  <si>
    <t>GSK_FUSES_INTCHK</t>
  </si>
  <si>
    <t>0x27FC</t>
  </si>
  <si>
    <t>0xF00B02FC</t>
  </si>
  <si>
    <t>Configuiration SoftStrap</t>
  </si>
  <si>
    <t>GSK_STRAPS</t>
  </si>
  <si>
    <t>See Softstrap Sheet</t>
  </si>
  <si>
    <t>Softstrap</t>
  </si>
  <si>
    <t>0xF00B020C</t>
  </si>
  <si>
    <t>GSK_HW_STRAP</t>
  </si>
  <si>
    <t>0xF00B0170</t>
  </si>
  <si>
    <t>N/A</t>
  </si>
  <si>
    <t>IFP Configuration Fuse</t>
  </si>
  <si>
    <t>IFP1</t>
  </si>
  <si>
    <t>0x0000</t>
  </si>
  <si>
    <t>GSK_OEM_IFP_CONFIG</t>
  </si>
  <si>
    <t>0x0040</t>
  </si>
  <si>
    <t>GSK_TRC_DIS</t>
  </si>
  <si>
    <t>0x0044</t>
  </si>
  <si>
    <t>0x0100</t>
  </si>
  <si>
    <t>Registers</t>
  </si>
  <si>
    <t>Parameter Name</t>
  </si>
  <si>
    <t>Enabled (1)</t>
  </si>
  <si>
    <t>Disabled (0)</t>
  </si>
  <si>
    <t>Attributes</t>
  </si>
  <si>
    <t>Usage</t>
  </si>
  <si>
    <t>GSK_FUSES_LO</t>
  </si>
  <si>
    <t>Security_Debug_Disable</t>
  </si>
  <si>
    <t>IP_Cfg_Fuse_0</t>
  </si>
  <si>
    <t>HW</t>
  </si>
  <si>
    <t>ROM_Bypass_Disable</t>
  </si>
  <si>
    <t>IP_Cfg_Fuse_1</t>
  </si>
  <si>
    <t>HW, ROM</t>
  </si>
  <si>
    <t>CONFIG_OCS_DISABLE_GKEY0</t>
  </si>
  <si>
    <t>Testmode_G0_Key_Disable</t>
  </si>
  <si>
    <t>IP_Cfg_Fuse_2</t>
  </si>
  <si>
    <t>Testmode_G1_Key_Disable</t>
  </si>
  <si>
    <t>IP_Cfg_Fuse_3</t>
  </si>
  <si>
    <t>Platform_Halt_En</t>
  </si>
  <si>
    <t>Platform_Halt_Enable</t>
  </si>
  <si>
    <t>IP_Cfg_Fuse_4</t>
  </si>
  <si>
    <t>ROM?</t>
  </si>
  <si>
    <t>Platform_Halt_Policy_In_IFP</t>
  </si>
  <si>
    <t>IP_Cfg_Fuse_5</t>
  </si>
  <si>
    <t>Testmode_G2_Key_Disable</t>
  </si>
  <si>
    <t>IP_Cfg_Fuse_6</t>
  </si>
  <si>
    <t>IP_SRAM_Zeroing_Bypass_Disable</t>
  </si>
  <si>
    <t>IP_Cfg_Fuse_7</t>
  </si>
  <si>
    <t>ROM_Tracing_Hard_Disable</t>
  </si>
  <si>
    <t>IP_Cfg_Fuse_8</t>
  </si>
  <si>
    <t>ROM</t>
  </si>
  <si>
    <t>IP_Cfg_Fuse_9</t>
  </si>
  <si>
    <t>IP_DNX_Disable</t>
  </si>
  <si>
    <t>IP_Cfg_Fuse_10</t>
  </si>
  <si>
    <t>ROMB_OEM_Unlock</t>
  </si>
  <si>
    <t>ROM_Bypass_OEM_Unlock</t>
  </si>
  <si>
    <t>IP_Cfg_Fuse_11</t>
  </si>
  <si>
    <t>SOC_DEV_REUSE_PROHIBITED</t>
  </si>
  <si>
    <t>IP_Cfg_Fuse_12</t>
  </si>
  <si>
    <t>Hard_Strap_Boot_Source_Sel_EN</t>
  </si>
  <si>
    <t>IP_Cfg_Fuse_13</t>
  </si>
  <si>
    <t>PUF_Global_Disable</t>
  </si>
  <si>
    <t>IP_Cfg_Fuse_14</t>
  </si>
  <si>
    <t>SAMSUNG_PUF_CONFIG_EN</t>
  </si>
  <si>
    <t>HW_PUF_CM_EN</t>
  </si>
  <si>
    <t>IP_Cfg_Fuse_15</t>
  </si>
  <si>
    <t>IP_HVM_Mode_Disable</t>
  </si>
  <si>
    <t>IP_Cfg_Fuse_16</t>
  </si>
  <si>
    <t>IP_MIA_HALT_Disable</t>
  </si>
  <si>
    <t>IP_Cfg_Fuse_17</t>
  </si>
  <si>
    <t>HW_PUF_MV_Sel</t>
  </si>
  <si>
    <t>IP_Cfg_Fuse_23_18</t>
  </si>
  <si>
    <t>IFWI_LAYOUT_1_5_EN &amp; !SAMSUNG_PUF_CONFIG_EN</t>
  </si>
  <si>
    <t>SOC_PCH_DSW_SUPPORT</t>
  </si>
  <si>
    <t>IP_Cfg_Fuse_18</t>
  </si>
  <si>
    <t>DS3_CTXT_ACTIVE</t>
  </si>
  <si>
    <t>IP_Cfg_Fuse_19</t>
  </si>
  <si>
    <t>DS4_CTXT_ACTIVE</t>
  </si>
  <si>
    <t>IP_Cfg_Fuse_20</t>
  </si>
  <si>
    <t>DS5_CTXT_ACTIVE</t>
  </si>
  <si>
    <t>IP_Cfg_Fuse_21</t>
  </si>
  <si>
    <t>DS5_UNGRACEFULL_POSSIBLE</t>
  </si>
  <si>
    <t>IP_Cfg_Fuse_22</t>
  </si>
  <si>
    <t>SOC_PM_GRST_CTRL</t>
  </si>
  <si>
    <t>SOC_PCH_CTXT_SURV_TYPE7_GRST</t>
  </si>
  <si>
    <t>IP_Cfg_Fuse_23</t>
  </si>
  <si>
    <t>SOC_PM_M3_EN</t>
  </si>
  <si>
    <t>SOC_PM_M3_SUPPORT</t>
  </si>
  <si>
    <t>IP_Cfg_Fuse_24</t>
  </si>
  <si>
    <t>BADIMAGE_FLOW_EN</t>
  </si>
  <si>
    <t>BOOT_SOURCE_SWITCH_THROUGH_GRST</t>
  </si>
  <si>
    <t>IP_Cfg_Fuse_25</t>
  </si>
  <si>
    <t>FW</t>
  </si>
  <si>
    <t>HW_PUF_BCH_ITR</t>
  </si>
  <si>
    <t>IP_Cfg_Fuse_28_26</t>
  </si>
  <si>
    <t>ENFORCE_ACTIVE_CTXT_IMG_SRC_INFO</t>
  </si>
  <si>
    <t>IP_Cfg_Fuse_26</t>
  </si>
  <si>
    <t>PMC_IPC_BOOT_SRVS_MSG</t>
  </si>
  <si>
    <t>PMC_SUPPORTS_BOOT_SRVS_STSFIIED_MSG</t>
  </si>
  <si>
    <t>IP_Cfg_Fuse_29</t>
  </si>
  <si>
    <t>ENFORCE_CSME_REGION_SIZE_CHECK</t>
  </si>
  <si>
    <t>IP_Cfg_Fuse_30</t>
  </si>
  <si>
    <t>Revenue_Part_Indicator_Disable</t>
  </si>
  <si>
    <t>IP_Cfg_Fuse_31</t>
  </si>
  <si>
    <t>RBE</t>
  </si>
  <si>
    <t>GSK_FUSES_MID</t>
  </si>
  <si>
    <t>ISH_Disable</t>
  </si>
  <si>
    <t>IP_Cfg_Fuse_32</t>
  </si>
  <si>
    <t>XEON_CPU_SKU_CTRL_EN</t>
  </si>
  <si>
    <t>C_SKU</t>
  </si>
  <si>
    <t>IP_Cfg_Fuse_33</t>
  </si>
  <si>
    <t>FUSA_DIAG_FEATURE_EN</t>
  </si>
  <si>
    <t>FUSA_DIAGTEST_FEATURE_EN</t>
  </si>
  <si>
    <t>IP_Cfg_Fuse_34</t>
  </si>
  <si>
    <t>OCS_DRNG_Enable</t>
  </si>
  <si>
    <t>IP_Cfg_Fuse_35</t>
  </si>
  <si>
    <t>ROM,RBE,FW</t>
  </si>
  <si>
    <t>Disable_NM2_0</t>
  </si>
  <si>
    <t>IP_Cfg_Fuse_36</t>
  </si>
  <si>
    <t>DCMI_Disable</t>
  </si>
  <si>
    <t>IP_Cfg_Fuse_37</t>
  </si>
  <si>
    <t>SVR_CHIPSET</t>
  </si>
  <si>
    <t>IP_Cfg_Fuse_38</t>
  </si>
  <si>
    <t>PAVP_2_0_Disable</t>
  </si>
  <si>
    <t>IP_Cfg_Fuse_39</t>
  </si>
  <si>
    <t>MANEAGEABILITY_APP_Disable</t>
  </si>
  <si>
    <t>IP_Cfg_Fuse_40</t>
  </si>
  <si>
    <t>IP_SKU_Fuse_6_NET_INFRA_MODE</t>
  </si>
  <si>
    <t>IP_Cfg_Fuse_43_41</t>
  </si>
  <si>
    <t>NFC_Disable</t>
  </si>
  <si>
    <t>IP_Cfg_Fuse_44</t>
  </si>
  <si>
    <t>WiDi_Disable</t>
  </si>
  <si>
    <t>IP_Cfg_Fuse_45</t>
  </si>
  <si>
    <t>OEM_IFP_Disable</t>
  </si>
  <si>
    <t>IP_Cfg_Fuse_46</t>
  </si>
  <si>
    <t>IP_Cfg_Fuse_47</t>
  </si>
  <si>
    <t>BOOT_DEV_CTRL_EN</t>
  </si>
  <si>
    <t>IP_SPI_Boot_EN</t>
  </si>
  <si>
    <t>IP_Cfg_Fuse_48</t>
  </si>
  <si>
    <t>ROM,RBE</t>
  </si>
  <si>
    <t>IP_eMMC_Boot_EN</t>
  </si>
  <si>
    <t>IP_Cfg_Fuse_49</t>
  </si>
  <si>
    <t>IP_UFS_Boot_EN</t>
  </si>
  <si>
    <t>IP_Cfg_Fuse_50</t>
  </si>
  <si>
    <t>FPF_Disable</t>
  </si>
  <si>
    <t>IP_Cfg_Fuse_51</t>
  </si>
  <si>
    <t>Secure_Boot_AnC_Disable</t>
  </si>
  <si>
    <t>IP_Cfg_Fuse_52</t>
  </si>
  <si>
    <t>fTPM_Disable</t>
  </si>
  <si>
    <t>IP_Cfg_Fuse_53</t>
  </si>
  <si>
    <t>ICC_SKU_EN</t>
  </si>
  <si>
    <t>ICC_SKU</t>
  </si>
  <si>
    <t>IP_Cfg_Fuse_55_54</t>
  </si>
  <si>
    <t>FW_Signing_Key_Disables</t>
  </si>
  <si>
    <t>IP_Cfg_Fuse_63_56</t>
  </si>
  <si>
    <t>GSK_FUSES_HI</t>
  </si>
  <si>
    <t>IP_SRAM_Bank_Enable</t>
  </si>
  <si>
    <t>IP_Cfg_Fuse_78_64</t>
  </si>
  <si>
    <t>IP_Remote_Wake_Disable</t>
  </si>
  <si>
    <t>IP_Cfg_Fuse_79</t>
  </si>
  <si>
    <t>UFS_high_speed_dis</t>
  </si>
  <si>
    <t>IP_Cfg_Fuse_80</t>
  </si>
  <si>
    <t>IP_Cfg_Fuse_81</t>
  </si>
  <si>
    <t>FB_PLATFORM_ID</t>
  </si>
  <si>
    <t>IP_Cfg_Fuse_84_82</t>
  </si>
  <si>
    <t>IP_Cfg_Fuse_87_85</t>
  </si>
  <si>
    <t>FB_STEPPING_ID</t>
  </si>
  <si>
    <t>IP_Cfg_Fuse_91_88</t>
  </si>
  <si>
    <t>FB_MODEL_ID</t>
  </si>
  <si>
    <t>IP_Cfg_Fuse_95_92</t>
  </si>
  <si>
    <t>ROM_INT_FUSE_PULL</t>
  </si>
  <si>
    <t>ROM_IFUSEPRB</t>
  </si>
  <si>
    <t>IP_Cfg_Fuse_96</t>
  </si>
  <si>
    <t>RF_WRITE_ASSIST_ENABLE_XLLP</t>
  </si>
  <si>
    <t>IP_Cfg_Fuse_97</t>
  </si>
  <si>
    <t>RF_WRITE_ASSIST_ENABLE</t>
  </si>
  <si>
    <t>IP_Cfg_Fuse_98</t>
  </si>
  <si>
    <t>Host_PoG_Disable_Fuse</t>
  </si>
  <si>
    <t>IP_Cfg_Fuse_99</t>
  </si>
  <si>
    <t>Fuse_DeviceDis_Support</t>
  </si>
  <si>
    <t>IP_Cfg_Fuse_100</t>
  </si>
  <si>
    <t>IP_Cfg_Fuse_101</t>
  </si>
  <si>
    <t>INCLUDE_MROM</t>
  </si>
  <si>
    <t xml:space="preserve">DISABLE_MROM </t>
  </si>
  <si>
    <t>IP_Cfg_Fuse_102</t>
  </si>
  <si>
    <t>MROM_BAR_DISABLE</t>
  </si>
  <si>
    <t>IP_Cfg_Fuse_103</t>
  </si>
  <si>
    <t>OCS_SELF_TEST_ENABLE_FUSE</t>
  </si>
  <si>
    <t>IP_Cfg_Fuse_104</t>
  </si>
  <si>
    <t>HSIO_SKU_EN</t>
  </si>
  <si>
    <t>IP_HSIO_SKU_Limit</t>
  </si>
  <si>
    <t>IP_Cfg_Fuse_111_105</t>
  </si>
  <si>
    <t>CONFIG_OCS_KEY_LOCKER_ENABLE</t>
  </si>
  <si>
    <t>Testmode_G3_Key_Disable</t>
  </si>
  <si>
    <t>IP_Cfg_Fuse_112</t>
  </si>
  <si>
    <t>IP_Cfg_Fuse_113</t>
  </si>
  <si>
    <t>HW_OCS_PUF_Test_Key_Disable</t>
  </si>
  <si>
    <t>IP_Cfg_Fuse_114</t>
  </si>
  <si>
    <t>HW_PUF_HVM_MODE_Disable</t>
  </si>
  <si>
    <t>IP_Cfg_Fuse_115</t>
  </si>
  <si>
    <t>HW_PUF_Auto_Key_Gen</t>
  </si>
  <si>
    <t>IP_Cfg_Fuse_116</t>
  </si>
  <si>
    <t>CLEAN_DATA_ON_ERROR</t>
  </si>
  <si>
    <t>Rom_clear_data_on_exit_points_en</t>
  </si>
  <si>
    <t>IP_Cfg_Fuse_117</t>
  </si>
  <si>
    <t>CSE_CFG_FUSES_VALID</t>
  </si>
  <si>
    <t>DRNG_ERR_HNDL_BYPASS_DISABLE</t>
  </si>
  <si>
    <t>IP_Cfg_Fuse_120</t>
  </si>
  <si>
    <t>IP_external_ROM_Bypass</t>
  </si>
  <si>
    <t>IP_Cfg_Fuse_121</t>
  </si>
  <si>
    <t>DSWRAM_EN</t>
  </si>
  <si>
    <t>DSWRAM_DSX_CLEAR_SIZE_64B</t>
  </si>
  <si>
    <t>IP_Cfg_Fuse_126_122</t>
  </si>
  <si>
    <t>MEASUREMENT_EXTENSION_SUPP</t>
  </si>
  <si>
    <t>IP_Cfg_Fuse_127</t>
  </si>
  <si>
    <t>GSK_FUSES_ROM_CFG</t>
  </si>
  <si>
    <t>RF_TRIM_FUSES</t>
  </si>
  <si>
    <t>TRIM_FUSE_RSVD</t>
  </si>
  <si>
    <t>ROM_TRIM_FUSES</t>
  </si>
  <si>
    <t>CFMIA_RF_REPAIR_FUSES</t>
  </si>
  <si>
    <t>PG_RF_REPAIR_FUSES</t>
  </si>
  <si>
    <t>AON_RF_REPAIR_FUSES</t>
  </si>
  <si>
    <t>TRC_PRESENT</t>
  </si>
  <si>
    <t>TRC_GLITCH_DETECTION_DELAY</t>
  </si>
  <si>
    <t>TRC_HIP_CONFIG</t>
  </si>
  <si>
    <t>TRC_GLITCH_SPARE_CONFIG</t>
  </si>
  <si>
    <t>TRC_GLITCH_DETECTION_ENABLE</t>
  </si>
  <si>
    <t>FUSE_RECIPE_NUMBER</t>
  </si>
  <si>
    <t>FUSES_4_FW_USAGE</t>
  </si>
  <si>
    <t>FUSES_4_BIOS_CONFIG</t>
  </si>
  <si>
    <t>FUSES_4_DETECTION_ENABLE</t>
  </si>
  <si>
    <t>IP_INTCHK_HW_CFG_CRC_VAL</t>
  </si>
  <si>
    <t>IP_INTCHK_RSVD_23_16</t>
  </si>
  <si>
    <t>IP_INTCHK_FUSECRCCHK</t>
  </si>
  <si>
    <t>IP_INTCHK_RSVD_31_28</t>
  </si>
  <si>
    <t>ESE_ROM_Bypass_Enable_Softstrap</t>
  </si>
  <si>
    <t>Reserved_Sofstrap_0</t>
  </si>
  <si>
    <t>SSS_EMUL_EN</t>
  </si>
  <si>
    <t>Reserved_Sofstrap_1</t>
  </si>
  <si>
    <t>SSS_EMUL_HVM_OVR_SOC_DEV_REUSE_PROHIBITED</t>
  </si>
  <si>
    <t>Reserved_Sofstrap_2</t>
  </si>
  <si>
    <t>Reserved_Sofstrap_3</t>
  </si>
  <si>
    <t>SSS_EMUL_IFP_EMMC_BOOT_SOURCE_DISABLED</t>
  </si>
  <si>
    <t>Reserved_Sofstrap_4</t>
  </si>
  <si>
    <t>SSS_EMUL_IFP_UFS_BOOT_SOURCE_DISABLED</t>
  </si>
  <si>
    <t>Reserved_Sofstrap_5</t>
  </si>
  <si>
    <t>SSS_EMUL_IFP_SPI_BOOT_SOURCE_DISABLED</t>
  </si>
  <si>
    <t>Reserved_Sofstrap_6</t>
  </si>
  <si>
    <t>SSS_EMUL_IFP_DNX_BOOT_SOURCE_DISABLED</t>
  </si>
  <si>
    <t>Reserved_Sofstrap_7</t>
  </si>
  <si>
    <t>Reserved_Sofstrap_8</t>
  </si>
  <si>
    <t>AVOID_HALT_ON_M0U_PG_EXIT</t>
  </si>
  <si>
    <t>Reserved_Sofstrap_9</t>
  </si>
  <si>
    <t>SSS_AVOID_RESETS_ON_BAD_PATHS</t>
  </si>
  <si>
    <t>Reserved_Sofstrap_10</t>
  </si>
  <si>
    <t>AFS_Reclaim_Dis</t>
  </si>
  <si>
    <t>Reserved_Sofstrap_11</t>
  </si>
  <si>
    <t>Reserved_Sofstrap_15_12</t>
  </si>
  <si>
    <t>HAP_Mode</t>
  </si>
  <si>
    <t>Reserved_Sofstrap_16</t>
  </si>
  <si>
    <t>DCI_EN</t>
  </si>
  <si>
    <t>Reserved_Sofstrap_19_18</t>
  </si>
  <si>
    <t>Reserved_Sofstrap_15</t>
  </si>
  <si>
    <t>CSME_Deep_SX_EN</t>
  </si>
  <si>
    <t>Reserved_Sofstrap_20</t>
  </si>
  <si>
    <t>TRACEHUB_EMERGENCY_EN</t>
  </si>
  <si>
    <t>Reserved_Sofstrap_21</t>
  </si>
  <si>
    <t>Reserved_Sofstrap_28_22</t>
  </si>
  <si>
    <t>Disable_Freeze_MIACTCCtr_on_Probemode_Softstrap</t>
  </si>
  <si>
    <t>Reserved_Sofstrap_29</t>
  </si>
  <si>
    <t>TRC_ENABLE_Softstrap</t>
  </si>
  <si>
    <t>Reserved_Sofstrap_30</t>
  </si>
  <si>
    <t>Disable_MROM_Softstrap</t>
  </si>
  <si>
    <t>Reserved_Sofstrap_31</t>
  </si>
  <si>
    <t>Disable_PMT_Softstrap</t>
  </si>
  <si>
    <t>Reserved_Sofstrap_32</t>
  </si>
  <si>
    <t>Disable_CLINK_Softstrap</t>
  </si>
  <si>
    <t>Reserved_Sofstrap_33</t>
  </si>
  <si>
    <t>Disable_USBR_Softstrap</t>
  </si>
  <si>
    <t>Reserved_Sofstrap_34</t>
  </si>
  <si>
    <t>Disable_KVMcc_Softstrap</t>
  </si>
  <si>
    <t>Reserved_Sofstrap_35</t>
  </si>
  <si>
    <t>Disable_Hotham_Softstrap</t>
  </si>
  <si>
    <t>Reserved_Sofstrap_36</t>
  </si>
  <si>
    <t>Disable_PRTC_Softstrap</t>
  </si>
  <si>
    <t>Reserved_Sofstrap_37</t>
  </si>
  <si>
    <t>Disable_FSC_Softstrap</t>
  </si>
  <si>
    <t>Reserved_Sofstrap_38</t>
  </si>
  <si>
    <t>Disable_PECI_Softstrap</t>
  </si>
  <si>
    <t>Reserved_Sofstrap_39</t>
  </si>
  <si>
    <t>Disable_UART_Softstrap</t>
  </si>
  <si>
    <t>Reserved_Sofstrap_40</t>
  </si>
  <si>
    <t>Disable_PTIO_Softstrap</t>
  </si>
  <si>
    <t>Reserved_Sofstrap_41</t>
  </si>
  <si>
    <t>Reserved_Sofstrap_42</t>
  </si>
  <si>
    <t>Reserved_Sofstrap_43</t>
  </si>
  <si>
    <t>Reserved_Sofstrap_44</t>
  </si>
  <si>
    <t>Reserved_Sofstrap_45</t>
  </si>
  <si>
    <t>Reserved_Sofstrap_46</t>
  </si>
  <si>
    <t>Reserved_Sofstrap_47</t>
  </si>
  <si>
    <t>Disable_SMTA_Softstrap</t>
  </si>
  <si>
    <t>Reserved_Sofstrap_48</t>
  </si>
  <si>
    <t>Reserved_Sofstrap_49</t>
  </si>
  <si>
    <t>Reserved_Sofstrap_50</t>
  </si>
  <si>
    <t>Disable_SMTB_Softstrap</t>
  </si>
  <si>
    <t>Reserved_Sofstrap_51</t>
  </si>
  <si>
    <t>Reserved_Sofstrap_52</t>
  </si>
  <si>
    <t>Reserved_Sofstrap_53</t>
  </si>
  <si>
    <t>Reserved_Sofstrap_54</t>
  </si>
  <si>
    <t>Reserved_Sofstrap_55</t>
  </si>
  <si>
    <t>Disable_FTPMDMA_Softstrap</t>
  </si>
  <si>
    <t>Reserved_Sofstrap_56</t>
  </si>
  <si>
    <t>Disable_HECI4DMA_Softstrap</t>
  </si>
  <si>
    <t>Reserved_Sofstrap_57</t>
  </si>
  <si>
    <t>Disable_HECI3DMA_Softstrap</t>
  </si>
  <si>
    <t>Reserved_Sofstrap_58</t>
  </si>
  <si>
    <t>Disable_HECI2DMA_Softstrap</t>
  </si>
  <si>
    <t>Reserved_Sofstrap_59</t>
  </si>
  <si>
    <t>Disable_HECI1DMA_Softstrap</t>
  </si>
  <si>
    <t>Reserved_Sofstrap_60</t>
  </si>
  <si>
    <t>Disable_IMRDMA_Softstrap</t>
  </si>
  <si>
    <t>Reserved_Sofstrap_61</t>
  </si>
  <si>
    <t>Disable_WLANDMA_Softstrap</t>
  </si>
  <si>
    <t>Reserved_Sofstrap_62</t>
  </si>
  <si>
    <t>Disable_IDERDMA_Softstrap</t>
  </si>
  <si>
    <t>Reserved_Sofstrap_63</t>
  </si>
  <si>
    <t>GSC_TRC_DIS</t>
  </si>
  <si>
    <t>GSK_OEM_IFP_CONFIG_COPY1</t>
  </si>
  <si>
    <t>!PARAM_INT_IFP_TRIPLE_RDD_DIS &amp; TRC_PRESENT</t>
  </si>
  <si>
    <t>GSC_TRC_DIS_COPY1</t>
  </si>
  <si>
    <t>GSK_OEM_IFP_CONFIG_COPY2</t>
  </si>
  <si>
    <t>GSC_TRC_DIS_COPY2</t>
  </si>
  <si>
    <t>GSK_OEM_SECRET_KEYS_DWn</t>
  </si>
  <si>
    <t>OEM_SECRET_KEY_FUSES_LIMIT</t>
  </si>
  <si>
    <t>OEM_SECRET_KEY_0</t>
  </si>
  <si>
    <t>GSK_OEM_SECRET_KEYS_DWn_COPY1</t>
  </si>
  <si>
    <t>!PARAM_INT_IFP_TRIPLE_RDD_DIS &amp; OEM_SECRET_KEY_FUSES_LIMIT</t>
  </si>
  <si>
    <t>OEM_SECRET_KEY_1</t>
  </si>
  <si>
    <t>GSK_OEM_SECRET_KEYS_DWn_COPY2</t>
  </si>
  <si>
    <t>OEM_SECRET_KEY_2</t>
  </si>
  <si>
    <t>FW trigger
GSK_FPULL_CONTROL</t>
  </si>
  <si>
    <t>HW trigger:
GSK_GENERAL_FW_FPULL_STATUS</t>
  </si>
  <si>
    <t>HW trigger:
GSK_FPULL_SB_RST_PULL_STATUS</t>
  </si>
  <si>
    <t>HW trigger + FW repull:
GSK_FPULL_SB_RST_PULL_STATUS</t>
  </si>
  <si>
    <t>Parameter</t>
  </si>
  <si>
    <t>Default value</t>
  </si>
  <si>
    <t>A0 value</t>
  </si>
  <si>
    <t>IP_Cfg_Fuse_27</t>
  </si>
  <si>
    <t>IP_Cfg_Fuse_28</t>
  </si>
  <si>
    <t>SKIP_FUSE_BASED_PATCH</t>
  </si>
  <si>
    <t>FUSE_BASED_PATCH_DIS</t>
  </si>
  <si>
    <t>0xF00B022C</t>
  </si>
  <si>
    <t>0xF00B0240</t>
  </si>
  <si>
    <t>0xF00B0244</t>
  </si>
  <si>
    <t>0xF00B0248</t>
  </si>
  <si>
    <t>BIT num</t>
  </si>
  <si>
    <t>BIT width</t>
  </si>
  <si>
    <t>Removed</t>
  </si>
  <si>
    <t>A0 default</t>
  </si>
  <si>
    <t>Default</t>
  </si>
  <si>
    <t>0x00000000</t>
  </si>
  <si>
    <t>IFWI_LAYOUT_1_5_EN</t>
  </si>
  <si>
    <t>PARAM_INT_IFP_TRIPLE_RDD_DIS</t>
  </si>
  <si>
    <t>RF_FUSE_INT_PULL</t>
  </si>
  <si>
    <t>Fuse and Strap Parameters</t>
  </si>
  <si>
    <t>MTL-SOC</t>
  </si>
  <si>
    <t>- look up number</t>
  </si>
  <si>
    <t>cse_sram_num_banks</t>
  </si>
  <si>
    <t>Security_Keys</t>
  </si>
  <si>
    <t>Security_Keys_fuse_Check_Hash</t>
  </si>
  <si>
    <t>Debug_Enabled_Security_Key</t>
  </si>
  <si>
    <t>Debug_Enabled_Encryption_Key</t>
  </si>
  <si>
    <t>FW_CONFIG_FUSES</t>
  </si>
  <si>
    <t>Platform</t>
  </si>
  <si>
    <t>GSK_TRC_DIS_COPY1</t>
  </si>
  <si>
    <t>GSK_TRC_DIS_COPY2</t>
  </si>
  <si>
    <t>IFP2</t>
  </si>
  <si>
    <t>IFP3</t>
  </si>
  <si>
    <t>0x0080</t>
  </si>
  <si>
    <t>0x0280</t>
  </si>
  <si>
    <t>0x0480</t>
  </si>
  <si>
    <t>0x0240</t>
  </si>
  <si>
    <t>0x0444</t>
  </si>
  <si>
    <t>0x0440</t>
  </si>
  <si>
    <t>0x0244</t>
  </si>
  <si>
    <t>0x0300</t>
  </si>
  <si>
    <t>0x0200</t>
  </si>
  <si>
    <t>0x0400</t>
  </si>
  <si>
    <t>0x0500</t>
  </si>
  <si>
    <t>INCLUDE_CM</t>
  </si>
  <si>
    <t>// GROUP 3</t>
  </si>
  <si>
    <t>// GROUP 2</t>
  </si>
  <si>
    <t>Legacy</t>
  </si>
  <si>
    <t>GROUP1_FUSE_NUM_DW</t>
  </si>
  <si>
    <t>STRAPS_NUM_DW</t>
  </si>
  <si>
    <t>Security_Fuses_Valid</t>
  </si>
  <si>
    <t>FW_Fuses_Valid</t>
  </si>
  <si>
    <t>Description</t>
  </si>
  <si>
    <t>CSE Secure Debug Disable fuse.  Enables security sensitive debug capabilities within CSE HW.  
Production parts must disable CSE Secure Debug.  (set this fuse to 1) 
Impacts HW, signal name:  fuse_secure_debug_dis</t>
  </si>
  <si>
    <t>CSE ROM Bypass Disable Fuse  Note, both the fuse and softstrap must be set to enable (disable fuse set to zero) in order for the ROM to be Bypassed.
Production parts must disable ROM bypass.  (set this fuse to 1)
Impacts HW, signal name:  fuse_rom_bypass_dis</t>
  </si>
  <si>
    <t>Testmode Global Key G0 Disable is set on production parts to enable use of the G0 production key.
Impacts HW, signal name:  fuse_g0test_dis</t>
  </si>
  <si>
    <t>Testmode Global Key G1 and PUF Disable is set on production parts to enable use of the G1 nad PUF production key.
Impacts HW, signal name:  fuse_g1test_dis</t>
  </si>
  <si>
    <t>Platform Halt Enable policy fuse.  (aka TDT ROM Hardening)</t>
  </si>
  <si>
    <t>Platform Halt Policy in IFP fuse indicates whether CSME ROM should use the HVM fuse or the IFP fuse for determining the Platform Halt Policy</t>
  </si>
  <si>
    <t>Testmode Global Key G2 Disable is set on production parts to enable use of the G2 production key.
Impacts HW, signal name:  fuse_g2test_dis</t>
  </si>
  <si>
    <t xml:space="preserve">CSE zeroing Bypass Disable Fuse .
Production parts must disable zeroing bypass.  (set this fuse to 1)
Impacts HW, signal name:  fuse_zeroing_bypass_dis
</t>
  </si>
  <si>
    <t>This fuse enables (if ROM_Tracing_Soft_Enable softstrap is also enabled) NorthPeak based tracing in CSME ROM. 0 (default): Tracing is Enabled. 1: Tracing is Disabled</t>
  </si>
  <si>
    <t>DNX Disable
This fuse will cause ROM not to execute DNX flows 
1 - DNX Disabled
0 - DNX Enabled</t>
  </si>
  <si>
    <t xml:space="preserve">CSE OEM Unlock on ROM Bypass
CSE ROM will use this fuse to determine if it must perform OEM Unlock prior to performing ROM Bypass flow.  SoC with ROM Bypass enabled and this fuse set to zero should not be distributed to customers.
1 = ROM will perform OEM Unlock before ROM Bypass
0 = ROM will not perform OEM Unlock before ROM Bypass
</t>
  </si>
  <si>
    <t>SoC Device Reuse Prohibited 
CSE ROM will use this fuse to determine if the SoC may be reused (for example, field programmable fuses won't be blown and CSE will use a RPMB global key).   Parts going to OEM for production systems must set this fuse.  However production fused parts that are shipped to OEM for testing or non-production systems may have this set at either value.  
1 - Prohibit Reuse, use part specific key to provision
0 - Allow Reuse, use fixed global key to provision</t>
  </si>
  <si>
    <t>Hard Strap Boot Source Select Enable
1= CSE ROM looks at HVM fuses, hard straps, and IFP fuses to allow disabling boot sources.
0= CSE ROM only looks at HVM fuses and IFP fuses.
Expect this is set to 1 based on current product defintion</t>
  </si>
  <si>
    <t>Chicken bit for survivability: This fuse is for product survivability and read only by ROM FW. It has no HW implications. This fuse bit will be burned to 1 only if there is the product global decision to not to productize the PUF feature.</t>
  </si>
  <si>
    <t xml:space="preserve">0: Disable countermeasure
1: Enable countermeasure
</t>
  </si>
  <si>
    <t>CSE HVM Mode Disable to indicate that the silicon part is on a tester (HVM Mode Enabled) and should jump to ROM bypass mode address  or not (HVM mode disabled).</t>
  </si>
  <si>
    <t>CSE MIA Halt Disable to indicate that HVM team is requesting CSE ROM to halt MIA (MIA Halt Enabled) or not (MIA Halt Disabled)</t>
  </si>
  <si>
    <t>Majority Voting Bits</t>
  </si>
  <si>
    <t xml:space="preserve">FW usage details
Name- C-class PCH SKU 
User- Kernal
Desc- Identifies Cxxx PCH SKU (C236, C232, etc) versus other PCH SKU (mobile/desktop) to support pairing with Xeon or Xeon vPro branded CPU
1= Cxxx PCH SKU
0= non-Cxxx PCH SKU
</t>
  </si>
  <si>
    <t>To enable FUSA Key ON, Key OFF Diagnostics features in CSME</t>
  </si>
  <si>
    <t>FW usage details
User- ROM
Desc- Enables SPI Flash as a boot source when set</t>
  </si>
  <si>
    <t>FW usage details
User- ROM
Desc- Enables eMMC Flash as a boot source when set</t>
  </si>
  <si>
    <t>FW usage details
User- ROM
Desc- Enables UFS Flash as a boot source when set</t>
  </si>
  <si>
    <t>FW usage details
Name- CSE TPM Disable
User- Kernel
Desc - If set, CSE TPM is disabled
1= CSE TPM Disabled
0= CSE TPM Enabled</t>
  </si>
  <si>
    <t>FW usage details
Name- ICC SKU
User- BUP-ICC
Desc-Integrated Clock Controller SKU (bits1,0)
00 = Extreme
01 = Medium - Reserved (if selected, FW would assume it is Enhanced)
10 = Basic
11 = Enhanced</t>
  </si>
  <si>
    <t>Each bit individually disables FW a signing key located in ROM.  Production parts must disable the debug signing key
Bit 0:  Debug Signing Key Disable, 
Bit 1-7:  Production Signing Key #1-#7 Disable</t>
  </si>
  <si>
    <t xml:space="preserve">CSME SRAM Bank Enable is a vector indicating which SRAM banks may be used by CSME FW, banks with SRAM faults should be disabled.  Bit 0 maps to SRAM Bank 0 and bit N maps to SRAM Bank N.  Up to N=14.  Number of banks implemented is function of project decisions.  Fuses above the number of banks implemented for any given project are reserved.
1 = SRAM Bank Enabled
0 = SRAM Bank Disabled
</t>
  </si>
  <si>
    <t>CSME_Remote_Wake_Disable.
1 = Remote Wake Disabled
0 = Remote Wake Enabled</t>
  </si>
  <si>
    <t>Used by CSE ROM to disable UFS high speed in case it is not working</t>
  </si>
  <si>
    <t>Placeholder for BtG2.0</t>
  </si>
  <si>
    <t>ROM LBL Keeper Stack Enable Bit (active low). Requested from Circuits team for ROM Impacts HW, signal name: fuse_ifusekprb. IE ROM does not use this fuse.
Impacts HW, signal name:  fuse_rfwae_lllp</t>
  </si>
  <si>
    <t>RF Write Assist Enable Bit.  Requested from Circuits team for XLLP register file storage (RF)
Impacts HW, signal name:  fuse_rfwae_ll</t>
  </si>
  <si>
    <t>RF Write Assist Enable Bit.  Requested from Circuits team for LL register file storage (RF)
Impacts HW, signal name:  fuse_rfwae_ll</t>
  </si>
  <si>
    <t>TRC_GLITCH_DETECTION_CONFIG_DELAY values as driven by trc_delay [23:0] input</t>
  </si>
  <si>
    <t xml:space="preserve">These config values indicate which of TRC_Delay bit fileds in the register used by SIP and HIP.
If TRC_CONFIG number shows 5’h0c, it means 12 bits from BIT0 in TRC_DELAY can be used for TRC delay in CSE HW. </t>
  </si>
  <si>
    <t>Reserved</t>
  </si>
  <si>
    <t>TRC Glitch Detection Enable</t>
  </si>
  <si>
    <t>TRC HIP Spare Configuration Bits</t>
  </si>
  <si>
    <t>This field is to be used on a per SKU basis, meaning the values of each SKU could be different. In other words, if two different SKUs have the same FRN, that doesnt mean that there is any direct relationsihp between their fuse recipes.</t>
  </si>
  <si>
    <t>Spare Fuses for FW Usages</t>
  </si>
  <si>
    <t>Spare Fuses for BIOS and FW Usages</t>
  </si>
  <si>
    <t>Spare Fuses for BIOS Usages</t>
  </si>
  <si>
    <t>RF Trim Fuses. These electrical fuses are applicable for DG*/ATS only.</t>
  </si>
  <si>
    <t>ROM Trim Fuses. These electrical fuses are applicable for DG*/ATS only.</t>
  </si>
  <si>
    <t>CFMIA RF Repair Fuses. Applicable for DG*/ATS only.</t>
  </si>
  <si>
    <t>PG RF Repair Fuses. Applicable for DG*/ATS only.</t>
  </si>
  <si>
    <t>AON RF Repair Fuses. Applicable for DG*/ATS only.</t>
  </si>
  <si>
    <t>This is the expected 16b CRC value that associated to HW Configuration, Group1  Fuses. Please check HAS for more details.</t>
  </si>
  <si>
    <t xml:space="preserve">This is the spare fuses for Integrity Protection.  There is no defined usage at this generation.
</t>
  </si>
  <si>
    <t xml:space="preserve">This is the 4b fuse encoding value to determine if the HW shall perform CRC check on the HW configuration fuses.
1010b (default): Disable the fuse CRC check.
0101b: Enable the fuse CRC check. 
Other value: Invalid, and the HW shall handle it as an fuse integrity error condition.
</t>
  </si>
  <si>
    <t>CSE ROM Byapss Enable Softstrap.  Note, both the fuse and softstrap must be set to enable in order for the ROM to be Bypassed.
Impacts HW, signal name:  softstrap_rom_bypass_en</t>
  </si>
  <si>
    <t>FPF emulation soft straps [7:4] enabled (if FPF emulation enabled in general)</t>
  </si>
  <si>
    <t xml:space="preserve">CSE ROM will use this strap to determine if the SoC may be reused with a new NVM (for example, field programmable fuses won't be blown and CSE will use a RPMB global key) if hvm fuse allows. If HVM fuse does not allow this strap is ignored </t>
  </si>
  <si>
    <t>Disable eMMC by FPF emulation or not (might be disabled by other means like hvm fuse)</t>
  </si>
  <si>
    <t>Disable UFS by FPF emulation or not (might be disabled by other means like hvm fuse)</t>
  </si>
  <si>
    <t>Disable SPI boot by FPF emulation or not (might be disabled by other means like hvm fuse)</t>
  </si>
  <si>
    <t>Disable DnX by FPF emulation or not (might be disabled by other means like hvm fuse)</t>
  </si>
  <si>
    <t>Halt on M0Uma-PG exit error or do grst</t>
  </si>
  <si>
    <t>In case of CSE image load error, switch to other image or invoke DnX, even if this involves reset. Or avoid resets and just halt</t>
  </si>
  <si>
    <t>Chicken bit to disable AFS reclaim when CSE is idle</t>
  </si>
  <si>
    <t>Enable HAP mode</t>
  </si>
  <si>
    <t>Enable DCI by CSE FW (set MEEN)</t>
  </si>
  <si>
    <t xml:space="preserve"> 
Enable/disable Deep Sx</t>
  </si>
  <si>
    <t>Enable NPK even if not configured by SW</t>
  </si>
  <si>
    <t>0: MinuteIA will freeze CTC counter on Probe Mode Entry, resulting in the pause of LAPIC Timer, 1: MinuteIA will not freeze CTC counter on Probe Mode entry</t>
  </si>
  <si>
    <t xml:space="preserve">Purpose: If set, the TRC HIP and TRC Countermeasures are enabled.  The reason for this soft-strap is to allow OEMs to enable the TRC for the purposes of testing their systems with the TRC enabled without having to commit an IFP.
This soft-strap is only valid if the TRC_ENABLE_IFP is not locked.  If the TRC_ENABLE_IFP is locked this soft-strap is ignored by the MISA. 
</t>
  </si>
  <si>
    <t xml:space="preserve">Disable MROM Softstrap (Disable_MROM_Softstrap)
0: MROM is enabled. 
1: MROM is disabled. 
If set to 1, MROM will be hidden from the Host OS/BIOS. This bit is reflected in MROM's Host PCI Configuration register MROM_SSPUB.DISMROMSS
Impacts HW, signal name: FP_mrom_dismromss
</t>
  </si>
  <si>
    <t>When set, the PMT HW would be hidden from FW and/or Host SW.
This softstrap is only valid when Fuse_DeviceDis_Support is set.</t>
  </si>
  <si>
    <t>When set, the CLINK HW would be hidden from FW and/or Host SW.
This softstrap is only valid when Fuse_DeviceDis_Support is set.</t>
  </si>
  <si>
    <t xml:space="preserve">When set, the USBr HW would be hidden from FW and/or Host SW.
This softstrap is only valid when Fuse_DeviceDis_Support is set.
</t>
  </si>
  <si>
    <t xml:space="preserve">When set, the KVMcc HW would be hidden from FW and/or Host SW.
This softstrap is only valid when Fuse_DeviceDis_Support is set.
</t>
  </si>
  <si>
    <t xml:space="preserve">When set, the Hotham HW would be hidden from FW and/or Host SW.
This softstrap is only valid when Fuse_DeviceDis_Support is set.
</t>
  </si>
  <si>
    <t>When set, the PRTC HW would be hidden from FW and/or Host SW.
This softstrap is only valid when Fuse_DeviceDis_Support is set.</t>
  </si>
  <si>
    <t>When set, the FSC HW would be hidden from FW and/or Host SW.
This softstrap is only valid when Fuse_DeviceDis_Support is set.</t>
  </si>
  <si>
    <t>When set, the PECI HW would be hidden from FW and/or Host SW.
This softstrap is only valid when Fuse_DeviceDis_Support is set.</t>
  </si>
  <si>
    <t>When set, the UART HW would be hidden from FW and/or Host SW.
This softstrap is only valid when Fuse_DeviceDis_Support is set.</t>
  </si>
  <si>
    <t>When set, the PTIO HW would be hidden from FW and/or Host SW.
This softstrap is only valid when Fuse_DeviceDis_Support is set.</t>
  </si>
  <si>
    <t>When set, the SMT1-3 HW would be hidden from FW and/or Host SW.
This softstrap is only valid when Fuse_DeviceDis_Support is set.</t>
  </si>
  <si>
    <t>When set, the SMT4-6 HW would be hidden from FW and/or Host SW.
This softstrap is only valid when Fuse_DeviceDis_Support is set.</t>
  </si>
  <si>
    <t xml:space="preserve">When set, the FTPMDMA would be disabled.  FW can not trigger any FTPM transaction that targeting Host Memory.
This softstrap is only valid when Fuse_DeviceDis_Support is set.
</t>
  </si>
  <si>
    <t xml:space="preserve">When set, the HECI4DMA would be disabled.  FW can not trigger any HECI4 transaction that targeting Host Memory.
This softstrap is only valid when Fuse_DeviceDis_Support is set.
</t>
  </si>
  <si>
    <t xml:space="preserve">When set, the HECI3DMA would be disabled.  FW can not trigger any HECI3 transaction that targeting Host Memory.
This softstrap is only valid when Fuse_DeviceDis_Support is set.
</t>
  </si>
  <si>
    <t xml:space="preserve">When set, the HECI2DMA would be disabled.  FW can not trigger any HECI2 transaction that targeting Host Memory.
This softstrap is only valid when Fuse_DeviceDis_Support is set.
</t>
  </si>
  <si>
    <t xml:space="preserve">When set, the HECI1DMA would be disabled.  FW can not trigger any HECI1 transaction that targeting Host Memory.
This softstrap is only valid when Fuse_DeviceDis_Support is set.
</t>
  </si>
  <si>
    <t xml:space="preserve">When set, the IMRDMA would be disabled.  FW can not trigger any transaction that targeting IMR.
This softstrap is only valid when Fuse_DeviceDis_Support is set.
</t>
  </si>
  <si>
    <t xml:space="preserve">When set, the WLANDMA would be disabled.  FW can not trigger any WLAN transaction that targeting Host Memory.
This softstrap is only valid when Fuse_DeviceDis_Support is set.
</t>
  </si>
  <si>
    <t xml:space="preserve">When set, the IDERDMA would be disabled.  FW can not trigger any IDER transaction that targeting Host Memory.
This softstrap is only valid when Fuse_DeviceDis_Support is set.
</t>
  </si>
  <si>
    <t>CSME Security Keys.   These security keys (and derived keys) can be used to protect assets which require confentiality in production platforms even when in debug mode.  See CSME FW FAS for details</t>
  </si>
  <si>
    <t>CSME Security Keys Fuse Check Hash:  This is an integrity check of security fuses done by the CSE ROM.  This needs to be the lower 31 bits of the SHA256 of the following security fuses.
* CSME_Security_Keys (256 bits)
* PAVP2_DAA_Private_Key (256 bits)
* PAVP2_DAA_Private_Key_GroupID (32 bits)
* fTPM_EK_Fuses (32 bits)
* CSME_Debug_Enabled_Security_Key (128 bits)
* EPID 2.0 Private Key (256 bits)
* EPID 2.0 Group ID (32 bits)</t>
  </si>
  <si>
    <t>CSME Debug Enabled Security Key.  These security keys (and derived keys) can be used to protect assets which require confentiality in production platforms however are available when platform is unlocked in debug mode.  See CSME FW FAS for details</t>
  </si>
  <si>
    <t>KEY_ROT_HASH_EN</t>
  </si>
  <si>
    <t>CSME General FW Fuse Check Parity. This is a placeholder for integrity protection on General Fuses.</t>
  </si>
  <si>
    <t>PUF ECC fuses.</t>
  </si>
  <si>
    <t>CSME Debug Enabled Security Key wrapped with Gkey2.  These security keys (and derived keys) can be used to protect assets which require confentiality in production platforms however are available when platform is unlocked in debug mode.  See CSME FW FAS for details</t>
  </si>
  <si>
    <t>This is an idication bit for external Fuse Pull, and refered to GSK_FPULL_CONTROL reigster</t>
  </si>
  <si>
    <t>This is an idication bit for external Fuse Pull, and refered to GSK_GENERAL_FW_FPULL_STATUS reigster</t>
  </si>
  <si>
    <t>FW general Group2 fuses pulled by HW for ROM and FW</t>
  </si>
  <si>
    <t>CSME Configuration Fuses managed by FW.  Must be available prior to CSME ROM execution</t>
  </si>
  <si>
    <t>CSME Configuration Fuses managed by FW.  Must be available prior to CSME ROM execution
FW usage details
Name- ISH Disable
User- Kernal
Desc- Set if ISH is disabled
1= ISH Disabled
0= ISH Enabled</t>
  </si>
  <si>
    <t>CSME Configuration Fuses managed by FW.  Must be available prior to CSME ROM execution
FW usage details
Name- IFP Support Disabled
User - Kernel
Desc- If set, IFP support is disabled</t>
  </si>
  <si>
    <t>CSME Configuration Fuses managed by FW.  Must be available prior to CSME ROM execution
FW usage details
Name- Secure Boot Disable (Boot Guard, Anchor Cove)
User- Kernel
Desc- If set, secure boot is disabled
1= Secure Boot Disable (Boot Guard, Anchor Cove)
0= Secure Boot Enabled (Boot Guard, Anchor Cove)</t>
  </si>
  <si>
    <t>FW Patch disable fuse used in Server SKU FW</t>
  </si>
  <si>
    <t>This is to configure the IPC message with PMC for FW/ROM usage</t>
  </si>
  <si>
    <t>When this fuse is set then it disables all SAI checks based on Host_PoG inside CSME</t>
  </si>
  <si>
    <t>When clear, the HW would not disable any of the CSME devices.
When set, the HW would disable the CSME devices based on soft straps.
Retention flops are used so that values are maintained through IP-Accessible PG where no re-pull is done.</t>
  </si>
  <si>
    <t xml:space="preserve">Disable MROM (Disable_MROM)
0: MROM is enabled. 
1: MROM is disabled. 
If set to 1, MROM will be hidden from the Host OS/BIOS
Impacts HW, signal name: FP_mrom_dismromfuse
</t>
  </si>
  <si>
    <t>MROM BAR Disable (MROM_BAR_Disable)
0: MROM EROMBAR range should be enabled. 
1: MROM EROMBAR range should be disabled. 
This fuse bit does not control the logic behavior directly, but directs the behavior of BIOS and FW. 
Impacts HW, signal name: FP_mrom_mrombardisfuse</t>
  </si>
  <si>
    <t xml:space="preserve">0: OCS Self Test is Disabled
1: OCS Self Test is Enabled
</t>
  </si>
  <si>
    <t>HSIO SKU Limit Fuses</t>
  </si>
  <si>
    <t>Testmode Global Key G3 Disable is set on production parts to enable use of the G3 production key.
Impacts HW, signal name:  fuse_g3test_dis</t>
  </si>
  <si>
    <t xml:space="preserve">This is a 3b IFP encoding value to indicate IFP status in Group 1 whether or not the IFPs in group 1 is supposed to be burnt.
This fuse value should be set at End of Manufacturing.
</t>
  </si>
  <si>
    <t xml:space="preserve">This is one of a 3b IFP encoding value to enable MISA to stall the mFSB when a glitch occurs.  </t>
  </si>
  <si>
    <t>EXT_FUSE_PULL_SUPP</t>
  </si>
  <si>
    <t xml:space="preserve">Samsung PUG </t>
  </si>
  <si>
    <t xml:space="preserve">0: PUF test key is enabled. The PUF subsystem is  enabled to generated 0s key for debug purposes. All other 12 PUF OTP fuse bits must also be set to 0. The PUF_TEST_MODE SFR cannot be used to configure PUF during this time.
1: PUF test key generation is disabled. When set to 1, the PUF subsystem is enabled to generate the real PUF key using the normal PUF key generation flow.
</t>
  </si>
  <si>
    <t xml:space="preserve">0: PUF HVM mode is enabled. The fuse default value of 0 should be used for HVM enrollment and encryption. When this fuse is set to 0, the PUF_TEST_MODE register can be used to input functional fuse values into the PUF subsystem for HVM enrollment and encryption. 
1: PUF HVM mode is disabled. When this fuse is set to  1, the enrollment flow is disabled where the use of the PUF_TEST_MODE register for fuse value inputs is also disabled. Setting this fuse bit to 1 will also disable the dedicated AES for the HVM mode key encryption. When set to 1, the inputs to the PUF subsystem will be taken from the PUF functional fuse values. 
</t>
  </si>
  <si>
    <t xml:space="preserve">0: Disable Auto Key Gen
1: Enable Auto Key Gen. When this fuse is set to 1, the shifting of the OTP values to the internal SRAM of the PUF subsystem through the SRAM interface need to be completed before the reset signal is deasserted. This is because the PUF subsystem will automatically perform the key generation as soon as the reset signal is deasserted assuming the content of the SRAM is already filled up with the correct values.
</t>
  </si>
  <si>
    <t>DRNG_ERR_HNDL_BYPASS_DISABLE (todo: add link) 
DRNG_ERR_HNDL_BYPASS_DISABLE = 0:  Error handling in case of faulty DRNG will not be executed (bypass is enabled)
DRNG_ERR_HNDL_BYPASS_DISABLE = 1:  Error handling in case of faulty DRNG will be executed (bypass is disabled)</t>
  </si>
  <si>
    <t>RSA_SKIP_DISABLED
Skipping RSA hash is means of saving on boot time if manifest already authenticated</t>
  </si>
  <si>
    <t>Size, in 64 byte chunks, of portion of DSWRAM which should be cleared on DSx (or deeper) exit.</t>
  </si>
  <si>
    <t>This is to indicate External Fuse Pull Support.</t>
  </si>
  <si>
    <t>0: Measurement Extension Register Not Supported
1: Measurement Extension Register Supported</t>
  </si>
  <si>
    <t xml:space="preserve">This is one of a 3b IFP encoding value to disable MISA to stall the mFSB when a glitch occurs.    </t>
  </si>
  <si>
    <t>OEM_IFP_CONFIG_DONE_0</t>
  </si>
  <si>
    <t>TRC_GLITCH_DETECTION_ENABLE_IFP_0</t>
  </si>
  <si>
    <t>TRC_GLITCH_DETECTION_DISABLE_IFP_0</t>
  </si>
  <si>
    <t xml:space="preserve">OEM Secret Keys    </t>
  </si>
  <si>
    <t>BOD, JtagRd, JtagWr, SBRd, SBWr</t>
  </si>
  <si>
    <t>Revision #</t>
  </si>
  <si>
    <t>Date</t>
  </si>
  <si>
    <t>Author</t>
  </si>
  <si>
    <t>Masahide Kakeda</t>
  </si>
  <si>
    <t>Initial Revision</t>
  </si>
  <si>
    <t>Added GSC Config</t>
  </si>
  <si>
    <t>Added Description for each bit fields.</t>
  </si>
  <si>
    <t>0x6800</t>
  </si>
  <si>
    <t>GEN_FW_FUSE_CHASSIS_ADDR_START</t>
  </si>
  <si>
    <t>GEN_FW_FUSE_CHASSIS_RSVD_START</t>
  </si>
  <si>
    <t>GEN_FW_FUSE_CHASSIS_ADDR_START + (4*GENERAL_FW_FUSES_LIMIT)</t>
  </si>
  <si>
    <t>16'h6800</t>
  </si>
  <si>
    <t>GEN_FW_FUSE_CHASSIS_IMPL_ADDR_LIMIT</t>
  </si>
  <si>
    <t>GEN_FW_FUSE_CHASSIS_RSVD_START - 1</t>
  </si>
  <si>
    <t>GENERAL_FW_FUSES_LIMIT</t>
  </si>
  <si>
    <t>GEN_FW_FUSE_OFST_START</t>
  </si>
  <si>
    <t>12'h400</t>
  </si>
  <si>
    <t>GEN_FW_FUSE_RSVD_START</t>
  </si>
  <si>
    <t>GEN_FW_FUSE_OFST_START + (4 * GENERAL_FW_FUSES_LIMIT)</t>
  </si>
  <si>
    <t>GEN_FW_FUSE_IMPL_ADDR_LIMIT</t>
  </si>
  <si>
    <t>GEN_FW_FUSE_RSVD_START - 1</t>
  </si>
  <si>
    <t>GEN_FW_FUSE_OFST_END</t>
  </si>
  <si>
    <t>12'h7FF</t>
  </si>
  <si>
    <t>PUF_HELPER_DATA_FUSES_START_ADDR</t>
  </si>
  <si>
    <t>16'h6A00</t>
  </si>
  <si>
    <t>FW_IFP_FUSES_LIMIT[6:0]</t>
  </si>
  <si>
    <t>OEM_SECRET_KEYS_FUSES_LIMIT[5:0]</t>
  </si>
  <si>
    <t>NUM_FUSE_XFER[7:0]</t>
  </si>
  <si>
    <t>8'h0A</t>
  </si>
  <si>
    <t>CSE_HW_FW_CFG_FUSE_DEFAULT[GROUP1_FUSE_NUM_DW*32-1: 0]</t>
  </si>
  <si>
    <t>GROUP1_FUSE_DEFAULT_PARAM[GROUP1_FUSE_NUM_DW*32-1:)}</t>
  </si>
  <si>
    <t>STRAPS_DEFAULT_PARAM[STRAPS_NUM_DW*32-1:0]</t>
  </si>
  <si>
    <t>IFP_FUSE_OFST_START[11:0]</t>
  </si>
  <si>
    <t>12'h900</t>
  </si>
  <si>
    <t>IFP_FUSE_RSVD_START[11:0]</t>
  </si>
  <si>
    <t>IFP_FUSE_OFST_START + (4 * FW_IFP_FUSES_LIMIT)</t>
  </si>
  <si>
    <t>IFP_FUSE_IMPL_ADDR_LIMIT</t>
  </si>
  <si>
    <t>IFP_FUSE_RSVD_START - 1</t>
  </si>
  <si>
    <t>IFP_FUSE_OFST_END[11:0]</t>
  </si>
  <si>
    <t>12'h9FC</t>
  </si>
  <si>
    <t>NUM_GSK_HW_CFG_FUSES</t>
  </si>
  <si>
    <t>NUM_BITS_CFG_FUSES</t>
  </si>
  <si>
    <t>(NUM_GSK_HW_CFG_FUSES)*32</t>
  </si>
  <si>
    <t>{gsk_fuses_rf_repair2_pre, gsk_fuses_rf_repair1_pre, gsk_fuses_rf_repair0_pre, gsk_fuses_rom_rf_trim_pre, gsk_spare_fuses_hw_cfg_pre, gsk_fuses_trc_config_pre, gsk_fuses_hw_cfg_pre, hw_cfg_fuses_high_pre, hw_cfg_fuses_mid_pre, hw_cfg_fuses_low_pre}</t>
  </si>
  <si>
    <t>{gsk_hw_dis_straps_s, hw_cfg_straps_s}</t>
  </si>
  <si>
    <t>DWs</t>
  </si>
  <si>
    <t>CSE_SRAM_INT_RDD_FUSE_PULL</t>
  </si>
  <si>
    <t>A0_Strap</t>
  </si>
  <si>
    <t>Removed unnecessary parameters and correct Fuse Receiver Address for Group 2</t>
  </si>
  <si>
    <t>Fuse Puller FIFO Data Format</t>
  </si>
  <si>
    <t>Group</t>
  </si>
  <si>
    <t>Parameters</t>
  </si>
  <si>
    <t>Unit</t>
  </si>
  <si>
    <t>data (e.g.)</t>
  </si>
  <si>
    <t>Shalini Sharma</t>
  </si>
  <si>
    <t>Removed RF and ROM misc and repair fuses. Removed Debug Encryption key fuses
Removed softstraps and Removed IFP fuses</t>
  </si>
  <si>
    <t>Removed unnecessary parameters (Group1/SoftStrap) and added some parameters for GSC/FW IFP</t>
  </si>
  <si>
    <t>MTL-SOC-M CSME</t>
  </si>
  <si>
    <t>MTL-SOC-M ESE</t>
  </si>
  <si>
    <t>MTL-SOC-M GSC</t>
  </si>
  <si>
    <t>Config</t>
  </si>
  <si>
    <t>No Param</t>
  </si>
  <si>
    <t>SOFTSTRAP0_EN</t>
  </si>
  <si>
    <t>SOFTSTRAP1_EN</t>
  </si>
  <si>
    <t>// SW/HW Straps</t>
  </si>
  <si>
    <t>FW_IFP1_GENERAL</t>
  </si>
  <si>
    <t>FW_IFP1_Reserved</t>
  </si>
  <si>
    <t>FW_IFP2_Reserved</t>
  </si>
  <si>
    <t>FW_IFP2_GENERAL</t>
  </si>
  <si>
    <t>FW_IFP3_Reserved</t>
  </si>
  <si>
    <t>FW_IFP3_GENERAL</t>
  </si>
  <si>
    <t>// GROUP 0</t>
  </si>
  <si>
    <t>0xF00B0800</t>
  </si>
  <si>
    <t>Fuse Wires (EXT_FUSE_PULL_SUPP=1)</t>
  </si>
  <si>
    <t>IFP_FW_Fuses_Valid</t>
  </si>
  <si>
    <t>BITS</t>
  </si>
  <si>
    <t>SOFTSTRAP0_EN &amp; TRC_PRESENT</t>
  </si>
  <si>
    <t>SOFTSTRAP0_EN &amp; INCLUDE_MROM</t>
  </si>
  <si>
    <t>SOFTSTRAP0_EN &amp; BOOT_DEV_CTRL_EN</t>
  </si>
  <si>
    <t>SOFTSTRAP1_EN &amp; INCLUDE_CM</t>
  </si>
  <si>
    <t>ADP-S CSME</t>
  </si>
  <si>
    <t>ADP-P CSME</t>
  </si>
  <si>
    <t>PCH</t>
  </si>
  <si>
    <t>BTG_CTRL_EN</t>
  </si>
  <si>
    <t>DCMI_CTRL_EN</t>
  </si>
  <si>
    <t>ICLS_CTRL_EN</t>
  </si>
  <si>
    <t>IFP_DIS_CTRL</t>
  </si>
  <si>
    <t>OEM_IFP_DIS_CTRL</t>
  </si>
  <si>
    <t>ISH_DIS_CTRL</t>
  </si>
  <si>
    <t>MNG_APP_DIS_CTRL</t>
  </si>
  <si>
    <t>NFC_DIS_CTRL</t>
  </si>
  <si>
    <t>NM2_0_DIS_CTRL</t>
  </si>
  <si>
    <t>PTT_DIS_CTRL</t>
  </si>
  <si>
    <t>PAVP_2_0_DIS_CTRL</t>
  </si>
  <si>
    <t>RMT_WAKE_DIS_CTRL</t>
  </si>
  <si>
    <t>ROM_DNX_CAP_DIS_CTRL</t>
  </si>
  <si>
    <t>SOFTSTRAP0_EN &amp; ROM_DNX_CAP_DIS_CTRL</t>
  </si>
  <si>
    <t>RPMB_REUSE_DIS_CTRL</t>
  </si>
  <si>
    <t>UFS_HIGH_SPEED_DIS_CTRL</t>
  </si>
  <si>
    <t>WIDI_DIS_CTRL</t>
  </si>
  <si>
    <t>Added ADP-S/ADP-P configuration to make sure it covers legacy definitions</t>
  </si>
  <si>
    <t>Added Description for IFP fuses.</t>
  </si>
  <si>
    <t>This field is reserved for FW usage</t>
  </si>
  <si>
    <t>This is IFP fuses pulled by HW, and programmed for OEM Secret keys.</t>
  </si>
  <si>
    <t>This is FW IFPs, used by its FW.</t>
  </si>
  <si>
    <r>
      <rPr>
        <b/>
        <sz val="11"/>
        <color theme="1"/>
        <rFont val="Calibri"/>
        <family val="2"/>
        <scheme val="minor"/>
      </rPr>
      <t>Allocated for CSME/ESE on MTL-SOC</t>
    </r>
    <r>
      <rPr>
        <sz val="11"/>
        <color theme="1"/>
        <rFont val="Calibri"/>
        <family val="2"/>
        <scheme val="minor"/>
      </rPr>
      <t>. This is FW IFPs, used by its FW.</t>
    </r>
  </si>
  <si>
    <r>
      <rPr>
        <b/>
        <sz val="11"/>
        <color theme="1"/>
        <rFont val="Calibri"/>
        <family val="2"/>
        <scheme val="minor"/>
      </rPr>
      <t xml:space="preserve">Allocated for </t>
    </r>
    <r>
      <rPr>
        <b/>
        <sz val="11"/>
        <color rgb="FFFF0000"/>
        <rFont val="Calibri"/>
        <family val="2"/>
        <scheme val="minor"/>
      </rPr>
      <t>GSC</t>
    </r>
    <r>
      <rPr>
        <b/>
        <sz val="11"/>
        <color theme="1"/>
        <rFont val="Calibri"/>
        <family val="2"/>
        <scheme val="minor"/>
      </rPr>
      <t xml:space="preserve"> on MTL-SOC-M CSME.</t>
    </r>
    <r>
      <rPr>
        <sz val="11"/>
        <color theme="1"/>
        <rFont val="Calibri"/>
        <family val="2"/>
        <scheme val="minor"/>
      </rPr>
      <t xml:space="preserve"> This is FW IFPs, used by its FW.</t>
    </r>
  </si>
  <si>
    <t>Register Name</t>
  </si>
  <si>
    <t>Bit Num</t>
  </si>
  <si>
    <t>Bit Width</t>
  </si>
  <si>
    <t>Fuse Name</t>
  </si>
  <si>
    <t>Attribute</t>
  </si>
  <si>
    <t>TRC_GLITCH_DETECTION_DISABLE_RSVD_31_2</t>
  </si>
  <si>
    <t>TRC_GLITCH_DETECTION_ENABLE_RSVD_31_2</t>
  </si>
  <si>
    <t>IP_Cfg_Fuse_119_118</t>
  </si>
  <si>
    <t>Included DCN - Support Push model for fuses for integrated GSC [https://hsdes.intel.com/appstore/article/#/14010939545]</t>
  </si>
  <si>
    <t>Removed PUF fuse in ESE</t>
  </si>
  <si>
    <t>SBWr</t>
  </si>
  <si>
    <t>FW_IFP_GENERAL</t>
  </si>
  <si>
    <t>PARAM_REPAIR_FUSE_SUPPORT_EN</t>
  </si>
  <si>
    <t>ROM_INT_FUSE_PULL &amp; PARAM_FUSE_SUPPORT_EN</t>
  </si>
  <si>
    <t>RF_FUSE_INT_PULL &amp; PARAM_FUSE_SUPPORT_EN</t>
  </si>
  <si>
    <t>Remove Hardstrap since it's not fuse/softstrap, added PARAM_REPAIR_FUSE_SUPPORT_EN, FW_IFP_GENERAL</t>
  </si>
  <si>
    <t>invert the logic key locker configuration.</t>
  </si>
  <si>
    <t>iCLS_Disable</t>
  </si>
  <si>
    <t>ONDIE_CA_ENABLED</t>
  </si>
  <si>
    <t>CSME ROM reads it and runs on-die CA flow (if the value is 1) or skips on-die CA flow (if the value is 0).</t>
  </si>
  <si>
    <t>Encoding Values</t>
  </si>
  <si>
    <t>CSE Secure Debug enabled,1'b0; 
CSE Secure Debug disabled,1'b1</t>
  </si>
  <si>
    <t>CSE ROM Bypass enabled,1'b0; 
CSE ROM Bypass disabled,1'b1</t>
  </si>
  <si>
    <t>Testmode G0 key enabled,1'b0;
 Production G0 key enabled,1'b1</t>
  </si>
  <si>
    <t>Testmode G1 and PUF key enabled,1'b0;
 Production G1 and PUF key enabled,1'b1</t>
  </si>
  <si>
    <t>Platform Halt Disable,1'b0; 
Platform Halt Enable,1'b1</t>
  </si>
  <si>
    <t>Use Platform Halt Disable IFP Fuse,1'b1; Use Platform Halt Disable HVM, 1'h0</t>
  </si>
  <si>
    <t>Testmode G2 key enabled,1'b0; 
Production G2 key enabled,1'b1</t>
  </si>
  <si>
    <t>zeroing bypass enabled,1'b0; 
zeroing bypass disabled,1'b1</t>
  </si>
  <si>
    <t>ROM Tracing Hard Enable,1'b0; 
ROM Tracing Hard Disable,1'b1</t>
  </si>
  <si>
    <t>DNX Disabled,1'b1; 
DNX Enabled,1'b0</t>
  </si>
  <si>
    <t>Perform OEM unlock on ROM Bypass,1'b1; 
Do not perform OEM unlock on ROM Bypass,1'b0</t>
  </si>
  <si>
    <t>SoC Device Reuse Prohibited,1'b1; 
SoC Device Reuse Allowed,1'b0</t>
  </si>
  <si>
    <t>Use hard strap in boot sourc select,1'b1; 
Do not use hard strap in boot source select,1'b0</t>
  </si>
  <si>
    <t>PUF Enable, 1'b0;PUF Disable,1'b1</t>
  </si>
  <si>
    <t>Disable countermeasure,1'b0;
 Enable countermeasure,1'b1</t>
  </si>
  <si>
    <t>CSE HVM Mode Enabled,1'b0; 
CSE HVM Mode Disabled,1'b1</t>
  </si>
  <si>
    <t>CSE MIA Halt Enabled,1'b0; 
CSE MIA Halt Disabled,1'b1</t>
  </si>
  <si>
    <t>Default Value,5'b00000;
 MV bits,5'b00101</t>
  </si>
  <si>
    <t>Boot source switch occur via Global Reset,1'b1; 
No boot source switch,1'b0</t>
  </si>
  <si>
    <t>Default Value,3'b000;
 BCH,3'b010</t>
  </si>
  <si>
    <t>Revenue Part,1'b0; 
Non-Revenue Part,1'b1</t>
  </si>
  <si>
    <t xml:space="preserve"> ISH Disabled,1'b1; 
ISH enabled,1'b0</t>
  </si>
  <si>
    <t xml:space="preserve"> Cxxx PCH SKU ,1'b1;
Non-Cxxx PCH SKU,1'b0</t>
  </si>
  <si>
    <t>FUSA DiagTest Enable,1'b1;
FUSA DiagTest Disable,1'b0</t>
  </si>
  <si>
    <t>RNG Disable,1'b1; 
RNG Enable,1'b0</t>
  </si>
  <si>
    <t>Disable NM2.0 Function,1'b1;
Enable NM2.0 Function,1'b0</t>
  </si>
  <si>
    <t>Server Chipset,1'b1; 
Non-server Chipset,1'b0</t>
  </si>
  <si>
    <t>PAVP Disabled,1'b1; 
PAVP Enabled,1'b0</t>
  </si>
  <si>
    <t>CSE Cfg Fuse 40 zero,1'b0</t>
  </si>
  <si>
    <t xml:space="preserve"> SuperSKU, 3'b000;
FULL, 3'b100;
STD, 3'b101;
No_MNG, 3'b111</t>
  </si>
  <si>
    <t>CSE Cfg Fuse 44 zero,1'b0</t>
  </si>
  <si>
    <t>Wireless display is disabled,1'b1;
Wireless display is enabled,1'b0</t>
  </si>
  <si>
    <t>CSE Cfg Fuse 46 zero,1'b0</t>
  </si>
  <si>
    <t>ICLS disabled,1'b1; 
ICLS enabled,1'b0</t>
  </si>
  <si>
    <t>SPI Flash Boot enable,1'b1;
SPI Flash Boot disable,1'b0</t>
  </si>
  <si>
    <t>eMMC Flash Boot enable,1'b1;
eMMC Flash Boot disable,1'b0</t>
  </si>
  <si>
    <t>UFS Flash Boot enable,1'b1;
UFS Flash Boot disable,1'b0</t>
  </si>
  <si>
    <t>IFP Support Disabled,1'b1; 
IFP Support Enabled,1'b0</t>
  </si>
  <si>
    <t>Secure Boot Disable,1'b1; 
Secure Boot Enable,1'b0</t>
  </si>
  <si>
    <t>fTPM Disable,1'b1;
fTPM Enable,1'b0</t>
  </si>
  <si>
    <t>Extreme, 2'b00;
Medium, 2'b01;
Basic, 2'b10;
Enhanced, 2'b11</t>
  </si>
  <si>
    <t>DefaultValue, 8'h0; FW Signing Key Disable,8'hx</t>
  </si>
  <si>
    <t>DefaultValue, 15'h7fff;
CSME SRAM Bank Enable Vector,15'hx</t>
  </si>
  <si>
    <t>CSME_Remote_Wake_Enable,1'b0;
CSME_Remote_Wake_Disable,1'b1</t>
  </si>
  <si>
    <t>high_speed_enabled, 1'b0; high_speed_disabled, 1'b1</t>
  </si>
  <si>
    <t>CSE Cfg Fuse 81 zero,1'b0</t>
  </si>
  <si>
    <t>DefaultValue, 3'h0;FB_PLATFORM_ID,3'hx</t>
  </si>
  <si>
    <t>DRNG_ERR_HNDL_BYPASS_ENABLE,1'b0;DRNG_ERR_HNDL_BYPASS_DISABLE, 1'b1</t>
  </si>
  <si>
    <t>RSA Skip, 1'h0;
RSA Do Not Skip,1'b1</t>
  </si>
  <si>
    <t>DefaultValue, 5'h0;DSWRAM DSX CLEAR SIZE,5'h2</t>
  </si>
  <si>
    <t>DefaultValue, 4'h0;FB STEPPING ID,4'hx</t>
  </si>
  <si>
    <t>DefaultValue, 4'h0;FB MODEL ID,4'hx</t>
  </si>
  <si>
    <t>ROM LBL Keeper Stack Enable,1'b0;
ROM LBL Keeper Stack Disable,1'b1</t>
  </si>
  <si>
    <t>RF XLLP Write Assist Disabled,1'b0; 
RF XLLP Write Assist Enable,1'b1</t>
  </si>
  <si>
    <t>RF LL Write Assist Disabled,1'b0; 
RF LL Write Assist Enable,1'b1</t>
  </si>
  <si>
    <t>Host_PoG_SAI_checks_disable,1'b1;Host_PoG_SAI_checks_enable,1'b0</t>
  </si>
  <si>
    <t>Device Disable Support Enabled,1'b1;Device Disable Support Not enabled, 1'b0;</t>
  </si>
  <si>
    <t>MROM enabled,1'b0; 
MROM disabled,1'b1;Dont Care, 1'hx</t>
  </si>
  <si>
    <t>MROM BAR enabled,1'b0; 
MROM BAR disabled,1'b1;Dont Care, 1'hx</t>
  </si>
  <si>
    <t>OCS SELF TEST Enable,1'b1;
OCS SELF TEST Disable,1'b0</t>
  </si>
  <si>
    <t>Default Value, 7'h0;CSME HSIO SKU Limit,7'hx</t>
  </si>
  <si>
    <t>Testmode G3 key enabled,1'b0; 
Production G3 key enabled,1'b1</t>
  </si>
  <si>
    <t>CSE ONDIE CA Disabled, 1'b1; CSE ONDIE CA Enabled,1'b0</t>
  </si>
  <si>
    <t>PUF Test key enabled,1'b0;
 PUF Test key disabled,1'b1</t>
  </si>
  <si>
    <t>PUF HVM Mode enabled,1'b0;PUF HVM Mode disabled,1'b1</t>
  </si>
  <si>
    <t>PUF Auto key gen enabled,1'b1;
PUF Auto key gen disabled,1'b0</t>
  </si>
  <si>
    <t>Clear of all data region in case of unrecoverable error,1'b1;Do not clear of all data region in case of unrecoverable error,1'b0</t>
  </si>
  <si>
    <t>CSME Configuration Fuses managed by FW.  Must be available prior to CSME ROM execution
FW usage details
Name- BOOT_SOURCE_SWITCH_THROUGH_GRST
User- ROM
Desc- Indicates whether on identification of bad image, should the boot source switch occur via Global Reset.  Note: If AON SRAM is not preserved through GRST, this fuse must be set to zero.</t>
  </si>
  <si>
    <t># of BCH Iterations for error correction</t>
  </si>
  <si>
    <t xml:space="preserve">CSME Configuration Fuses managed by FW.  Must be available prior to CSME ROM execution
FW usage details
Name- Revenue Part Indicator
User- RBE and BUPSKUMGR
Desc- This fuse allows debug functionality on Qual sample Production parts. Should be disabled on Prod parts that are not qual samples. 
0 - Revenue Part
1 - Non Revenue Part
</t>
  </si>
  <si>
    <t>CSME Configuration Fuses managed by FW.  Must be available prior to CSME ROM execution
FW usage details
Name- Disable Node Manager (NM2.0)
User - Kernel
Desc - Server FW reads this fuse for enabling Node Manager functionality. No HW impact.
1 = Disables NM2.0 Function (Node Manager)
0 = Enables NM2.0 Function</t>
  </si>
  <si>
    <t xml:space="preserve">CSME Configuration Fuses managed by FW.  Must be available prior to CSME ROM execution
FW usage details
Name- SVR_CHIPSET (Berg family)
User- Kernel
Desc- If set, indicates this is a server chipset (berg family)
1= Server Chipset
0= non-server chipset
</t>
  </si>
  <si>
    <t>CSME Configuration Fuses managed by FW.  Must be available prior to CSME ROM execution
FW usage details
Name- PAVP 2.0 DISABLE
User- Kernel
Desc- If set then PAVP 2.0 is disabled
1= PAVP Disabled
0= PAVP Enabled</t>
  </si>
  <si>
    <t>CSME Configuration Fuses managed by FW.  Must be available prior to CSME ROM execution
FW usage details
Name- NET_INFRA_MODE
User- Kernel
Desc- The three bit encoded field determines manageability feature set
NET_INFRA_MODE (bit 2,1,0)
000= SuperSKU
100= FULL
101= STD (Standard)
111= No Manageability</t>
  </si>
  <si>
    <t>OEM IFP Config_0 Done,1'b1;OEM IFP Config_0 Not  Done,1'b0;</t>
  </si>
  <si>
    <t>TRC Glitch Dectection Enable IFP_0 set ,1'b1;TRC Glitch Detection Enable IFP_0 NOT set, 1'b0;</t>
  </si>
  <si>
    <t>Reserved,30'h0</t>
  </si>
  <si>
    <t>TRC Glitch Dectection Disable IFP_0 set ,1'b1;TRC Glitch Detection Disable IFP_0 NOT set, 1'b0;</t>
  </si>
  <si>
    <t>Reserved,31'h0</t>
  </si>
  <si>
    <t>OEM IFP Config_1 Done,1'b1;OEM IFP Config_1 Not  Done,1'b0;</t>
  </si>
  <si>
    <t>TRC Glitch Dectection Enable IFP_1 set ,1'b1;TRC Glitch Detection Enable IFP_1 NOT set, 1'b0;</t>
  </si>
  <si>
    <t>TRC Glitch Dectection Disable IFP_1 set ,1'b1;TRC Glitch Detection Disable IFP_1 NOT set, 1'b0;</t>
  </si>
  <si>
    <t>OEM IFP Config_2 Done,1'b1;OEM IFP Config_2 Not  Done,1'b0;</t>
  </si>
  <si>
    <t>TRC Glitch Dectection Enable IFP_2 set ,1'b1;TRC Glitch Detection Enable IFP_2 NOT set, 1'b0;</t>
  </si>
  <si>
    <t>TRC Glitch Dectection Disable IFP_2 set ,1'b1;TRC Glitch Detection Disable IFP_2 NOT set, 1'b0;</t>
  </si>
  <si>
    <t>HW CRC Value,16'h0</t>
  </si>
  <si>
    <t>Reserved,8'h0</t>
  </si>
  <si>
    <t>Enable CRC check,4'h5;Disable CRC check, 4'hA</t>
  </si>
  <si>
    <t>Reserved,4'h0</t>
  </si>
  <si>
    <t>Default Value, 24'b0; TRC Glitch Detection Delay, 24'bx</t>
  </si>
  <si>
    <t>HIP Config for TRC Disable, 5'b0; HIP Config for TRC Enable,5'bx</t>
  </si>
  <si>
    <t>Reserved,2'b00</t>
  </si>
  <si>
    <t>TRC Glitch Detection Enable, 1'b1;TRC Glitch Detection Disable,1'b0</t>
  </si>
  <si>
    <t>Default Value,8'h0</t>
  </si>
  <si>
    <t>RF_trim_fuses,16'h0</t>
  </si>
  <si>
    <t>ROM_trim_fuses,8'h0</t>
  </si>
  <si>
    <t>CFMIA_RF_Repair_fuses,32'h0</t>
  </si>
  <si>
    <t>PG_RF_Repair_fuses,32'h0</t>
  </si>
  <si>
    <t>AON_RF_Repair_fuses,32'h0</t>
  </si>
  <si>
    <t>CSE Cfg Fuse 18 zero,1'b0</t>
  </si>
  <si>
    <t>CSE Cfg Fuse 19 zero,1'b0</t>
  </si>
  <si>
    <t>CSE Cfg Fuse 20 zero,1'b0</t>
  </si>
  <si>
    <t>CSE Cfg Fuse 21 zero,1'b0</t>
  </si>
  <si>
    <t>CSE Cfg Fuse 22 zero,1'b0</t>
  </si>
  <si>
    <t>CSE Cfg Fuse 23 zero,1'b0</t>
  </si>
  <si>
    <t>CSE Cfg Fuse 24 zero,1'b0</t>
  </si>
  <si>
    <t>CSE Cfg Fuse 26 zero,1'b0</t>
  </si>
  <si>
    <t>CSE Cfg Fuse 27 zero,1'b0</t>
  </si>
  <si>
    <t>CSE Cfg Fuse 28 zero,1'b0</t>
  </si>
  <si>
    <t>CSE Cfg Fuse 29 zero,1'b0</t>
  </si>
  <si>
    <t>CSE Cfg Fuse 30 zero,1'b0</t>
  </si>
  <si>
    <t>CSE Cfg Fuse 37 zero,1'b0</t>
  </si>
  <si>
    <t>CSE Cfg Fuse 127 zero,1'b0</t>
  </si>
  <si>
    <t>Default Value, 32'b0;OEM Keys,32'hx;</t>
  </si>
  <si>
    <t>CSE Cfg Fuse 9 zero,1'b0</t>
  </si>
  <si>
    <t>CSE Cfg Fuse 87_85 zero,1'b0</t>
  </si>
  <si>
    <t>CSE Cfg Fuse 101 zero,1'b0</t>
  </si>
  <si>
    <t>CSE Cfg Fuse 119_118 zero,1'b0</t>
  </si>
  <si>
    <t>Value</t>
  </si>
  <si>
    <t>CSE Cfg Fuse 4 zero,1'b0</t>
  </si>
  <si>
    <t>CSE Cfg Fuse 5 zero,1'b0</t>
  </si>
  <si>
    <t>CSE Cfg Fuse 10 zero,1'b0</t>
  </si>
  <si>
    <t>CSE Cfg Fuse 11 zero,1'b0</t>
  </si>
  <si>
    <t>CSE Cfg Fuse 12 zero,1'b0</t>
  </si>
  <si>
    <t>CSE Cfg Fuse 13 zero,1'b0</t>
  </si>
  <si>
    <t>CSE Cfg Fuse 15 zero,1'b0</t>
  </si>
  <si>
    <t>CSE Cfg Fuse 25 zero,1'b0</t>
  </si>
  <si>
    <t>CSE Cfg Fuse 32 zero,1'b0</t>
  </si>
  <si>
    <t>CSE Cfg Fuse 33 zero,1'b0</t>
  </si>
  <si>
    <t>CSE Cfg Fuse 34 zero,1'b0</t>
  </si>
  <si>
    <t>CSE Cfg Fuse 36 zero,1'b0</t>
  </si>
  <si>
    <t>CSE Cfg Fuse 48 zero,1'b0</t>
  </si>
  <si>
    <t>CSE Cfg Fuse 49 zero,1'b0</t>
  </si>
  <si>
    <t>CSE Cfg Fuse 50 zero,1'b0</t>
  </si>
  <si>
    <t>CSE Cfg Fuse 51 zero,1'b0</t>
  </si>
  <si>
    <t>CSE Cfg Fuse 52 zero,1'b0</t>
  </si>
  <si>
    <t>CSE Cfg Fuse 53 zero,1'b0</t>
  </si>
  <si>
    <t>CSE Cfg Fuse 55_54 zero,1'b0</t>
  </si>
  <si>
    <t>CSE Cfg Fuse 79 zero,1'b0</t>
  </si>
  <si>
    <t>CSE Cfg Fuse 80 zero,1'b0</t>
  </si>
  <si>
    <t>CSE Cfg Fuse 96 zero,1'b0</t>
  </si>
  <si>
    <t>CSE Cfg Fuse 97 zero,1'b0</t>
  </si>
  <si>
    <t>CSE Cfg Fuse 98 zero,1'b0</t>
  </si>
  <si>
    <t>CSE Cfg Fuse 102 zero,1'b0</t>
  </si>
  <si>
    <t>CSE Cfg Fuse 103 zero,1'b0</t>
  </si>
  <si>
    <t>CSE Cfg Fuse 111_105 zero,1'b0</t>
  </si>
  <si>
    <t>CSE Cfg Fuse 112 zero,1'b0</t>
  </si>
  <si>
    <t>CSE Cfg Fuse 114 zero,1'b0</t>
  </si>
  <si>
    <t>CSE Cfg Fuse 115 zero,1'b0</t>
  </si>
  <si>
    <t>CSE Cfg Fuse 116 zero,1'b0</t>
  </si>
  <si>
    <t>CSE Cfg Fuse 117 zero,1'b0</t>
  </si>
  <si>
    <t>CSE Cfg Fuse 126_122 zero,1'b0</t>
  </si>
  <si>
    <t>RNG Disable,1'b0; 
RNG Enable,1'b1</t>
  </si>
  <si>
    <t>DefaultValue, 1'b0;MEASUREMENT_EXTENSION_SUPP,1'bx</t>
  </si>
  <si>
    <t>CSE ONDIE CA Disabled, 1'b0; CSE ONDIE CA Enabled,1'b1</t>
  </si>
  <si>
    <t>DefaultValue, 1'b0; CSE_CFG_FUSES_VALID,1'bx</t>
  </si>
  <si>
    <t>Added encoding value for Group1</t>
  </si>
  <si>
    <t>Following the recent DCN update for [DCN] Support Push model for fuses for integrated GSC(DCN) document updates
https://hsdes.intel.com/appstore/article/#/14010939545</t>
  </si>
  <si>
    <t>ROM_BYPASS_AUTHENTICATION_SUPPORT</t>
  </si>
  <si>
    <t>Security Key Fuses</t>
  </si>
  <si>
    <t>FW MISC</t>
  </si>
  <si>
    <t>ROM_Bypass_Auth_Disable</t>
  </si>
  <si>
    <t>Immutable ROM Bypass Authentication Enable Fuse
Note: This bit must be referred with ROM_Bypass_Disable Group1 fuse as well as ROM_Bypass_En Hardstrap.
Any parts customer would use must enable ROM Bypass Authentication flow with ROM_Byass_Disable fuse set to 0.
Business Group (e.g. CCG and IOTG) shall ensure to disable legacy ROM Bypass flow over HVM fuses. Unfused part shall be used Intel internal usage only.</t>
  </si>
  <si>
    <t xml:space="preserve">ROM Bypass Authentication Disable,1'b1; 
ROM Bypass Authentication Enable,1'b0; </t>
  </si>
  <si>
    <t>For ESE ROM to configure the ROM Bypass flow, the ROM_Bypass_Auth_Disable bit filed is added in the GROUP1[9] HVM fuse, this fuse value will be loaded into GSK_FUSES_LO register bit9.
This fuse value in A0 strap is set to 0, and it'll be XORed with the GROUP1[9] when it is pulled correctly.
The default value of the GSK_FUSES_LO[9] is set to '0' for Production silicon.
• When Fuse Parameter (ROM_BYPASS_AUTHENTICATION_SUPPORT) is set to '1', the Group1 HVM Fuse value at Bit9 will be defined as ROM_Bypass_Auth_Disable bit fuses.
• When the parameter is set to '0', the Group1 HVM fuse value at Bit9 will be defined as IP_Cfg_Fuse_9 as reserved bit.
RDL of GSK_FUSES_LO also must be configured with the ROM_BYPASS_AUTHENTICATION_SUPPORT accordingly.</t>
  </si>
  <si>
    <t>This parameter is used to remove Gasket internal triprication logic for IFP fuses
When ‘1’, copies for triprication and voting logic will be removed.
When ‘0’, Gasket pulls 2nd and 3rd coipes of each IFP, and voiting logic will be included to detect the valid value.
This parameter is only for IFP fuse, but there are some dependencies to the following parameters.
TRC_PRESENT, OEM_SECRET_KEY_FUSES_LIMIT, and FW_IFP_FUSES_LIMIT
When the INT_IFP_TRIPLE_RDD_DIS is set to ‘0’, the Fuse RDL will be naturally duplicated to Array2 and 3. OEM_SECRET_KEY_FUSES_LIMIT and FW_IFP_FUSES_LIMIT parameters configure DWs only for Array1. INT_IFP_TRIPLE_RDD_DIS parameter determines if the array2, 3 duplucation is required or not.
When more than 64DWs of the generic FW IFPs are required, INT_IFP_TRIPLE_RDD_DIS parameter must be set to ‘1’ and FW_IFP_FUSE_LIMIT must be set to ‘0’.</t>
  </si>
  <si>
    <t>This parameter is used to remove repair fuse registers in Gasket. 
When set, the repair logic are needed in CSE IP. The repair fuse registers will be allocated, there are the following three parameters associated with this parameter.
RF_FUSE_INT_PULL, ROM_INT_FUSE_PULL, and EXT_FUSE_PULL_SUPP
When cleared, the repair logic are not needed. Exiting RF_FUSE_INT_PULL and ROM_INT_FUSE_PULL parameters will be force cleared, and remove ROM and RF (AON, PG, CFMIA) registers.
RF_FUSE_INT_PULL and ROM_INT_FUSE_PULL are used to configure how the signals in the RTL are driven. When set, the signals are drived from the Gasket internal fuse registers pulled by Gasket Fuse Puller. When cleared, the signals are drived from the wires driven by SOC. Like DG1, there is a use case where these parameters can be cleared even when the internal fuse puller is enabled (EXT_FUSE_PULL_SUPP=1)
EXT_FUSE_PULL_SUPP is used to configure whether the internal fuse puller is enabled or not. This parameter can be configured regardless of RF_FUSE_INT_PULL and ROM_INT_FUSE_PULL.
Therefore this parameter: REPAIR_FUSE_SUPPORT_EN is added on top of existing there parameters.</t>
  </si>
  <si>
    <t>When set to 0 the HW key called GKEY0 is available to be used with AES and SM4 (if present) ciphers, the fuse value to configure the GKEY0 feature is propagated to OCS from Gasket.
When set to 1, the wire to propagate the value in Group1 HVM fuse will be removed.
When the fuse is removed, the bit field of the fuse will be reserved.</t>
  </si>
  <si>
    <t>When set to 0 the HW key called GKEY3 is available to be used with AES and SM4 (if present) ciphers, the fuse value to configure the GKEY3 feature is propagated to OCS from Gasket.
When set to 1, the wire to propagate the value in Group1 HVM fuse will be removed.
When the fuse is removed, the bit field of the fuse will be reserved.</t>
  </si>
  <si>
    <t>Number of SRAM banks in this SIP variation
When this parameter set to non-zero value, the fuse will be allocated. When this parameter set to ‘0’, the fuse will be reserved.
When this is non-zero value, this bit filed always occupies 15 bits. The number of this parameter 
If this parameter is 5, lower 5 bits are programmed to 1, and upper 10 bits are programmed to 0.</t>
  </si>
  <si>
    <t>When set to 1, the internal fuse pull is disabled all the fuses are pulled by external fuse puller. Group 1/2/3 HVM fuses are routed as wires.
This parameter is also used to disable sending an IP_Ready message from the HW after Fuse Pull is done by external fuse puller.</t>
  </si>
  <si>
    <t xml:space="preserve">When set to 1, MROM will be supported in CSE, and the fuses to configure the MROM feature are allocated in the Group1 fuse and softstrap.
When set to 0, the RTL logic for MROM feature is removed and the bit fields for Group1 and Softstrap are reserved. </t>
  </si>
  <si>
    <t>This parameter specifies maximum DW size supported in OEM secret key fuses per copy.
The parameter is in decimal value.
The maximum DW size is 32.
If the value is 0, then OEM secret key IFP FUSES is not supported.
When this parameter set to 0, the IFP allocation in Group 0 will be removed.</t>
  </si>
  <si>
    <t>This is a redundandant parameter that being tracked in the CFMIA.  It should refer to CSE_TOP.RF_INT_FUSE_PULL instead.
This is only value when the EXT_FUSE_PULL_SUPP is set to 0.
When this bit is set to 0, the wires from Gasket to CFMIA will be tied off, and the HVM Group1 fuse as well as registers will be removed from RDL/RTL.
fpctrl_cfmia_rf_repair_fuse
fpctrl_pg_rf_repair_fuse
fpctrl_aon_rf_repair_fuse</t>
  </si>
  <si>
    <t>This is a redundandant parameter that being tracked in the CFMIA.  It should refer to CSE_TOP.ROM_INT_FUSE_PULL instead.
When this bit is set to 0, the wires from Gasket to CFMIA will be tied off, and the HVM Group1 fuse as well as registers will be removed from RDL/RTL.
fpctrl_rom_trim_fuse
fpctrl_rf_trim_fuse</t>
  </si>
  <si>
    <t>TRC HIP Instantiated or not.
When TRC HIP is not present in MISA, the fuse and its register allocation of Group1 and IFP as well as registers in Gasket will be removed from RDL/RTL</t>
  </si>
  <si>
    <t>This parameter specifies the maximum DW size that supported in the FW IFP Fuse Pull Fuse Memory per copy.
The parameter is in decimal value.
When INT_IFP_TRIPLE_RDD_DIS is set to ‘0’, this parameter is specifies the DW size per copy. The maximum value is 64, which indicate 64 DW.  
When INT_IFP_TRIPLE_RDD_DIS is set to ‘1’, this parameter is specifies the DW size of entire generic IFP fuse size without internal copy. The maximum value is 64 x 3, which indicate 192 DW.
If the value is 0, then FW IFP FUSES is not supported.</t>
  </si>
  <si>
    <t>FW_IFP_FUSES_LIMIT</t>
  </si>
  <si>
    <t>As defined in the CSE HAS, there is LLDD Fuse Reserved Range from 0000h to 003Fh in Array 1. This range is for FW IFP fuse. HW will allocate 512bits (0x40 Bytes) for FW usage unless FW team doesn’t have any IFP in the Array1.
Bit size is defined in this parameter.
If the parameter is 0, it means no IFP allocation for this range.  Default is to set FW_IFP1_RESERVED = 512 (Full allocation for FW IFP)</t>
  </si>
  <si>
    <t>As defined in the CSE HAS, there is LLDD Fuse Reserved Range from 0200h to 023Fh in Array 2. This range is for FW IFP fuse. HW will allocate 512bits (0x40 Bytes) for FW usage unless FW team doesn’t have any IFP in the Array2.
Bit size is defined in this parameter.
If the parameter is 0, it means no IFP allocation for this range.  Default is to set FW_IFP2_RESERVED = 512 (Full allocation for FW IFP)</t>
  </si>
  <si>
    <t>As defined in the CSE HAS, there is LLDD Fuse Reserved Range from 0400h to 043Fh in Array 3. This range is for FW IFP fuse. HW will allocate 512bits (0x40 Bytes) for FW usage unless FW team doesn’t have any IFP in the Array3.
Bit size is defined in this parameter.
If the parameter is 0, it means no IFP allocation for this range.  Default is to set FW_IFP3_RESERVED = 512 (Full allocation for FW IFP)</t>
  </si>
  <si>
    <t>This parameter is used to define the Fuse RDL IFP size, and there is no impact to the CSE IP RTL since this parameter is only valid when the FW_IFP_FUSE_LIMIT is set to ‘0’.
As defined in the CSE HAS, there is General FW IFP Fuse Range from 0100h to 01FFh in Array 1, from 0300h to 03FFh in Array 2, and from 0500h to 05FFh in Array 3,  This range is for General FW IFP usage. HW will allocate 2048bits (0x100 Bytes) per array for FW usage.
The miximum size of this parameter depends on the Fuse Controller definition. When FW_IFP_FUSE_LIMIT is not-zero value, this parameter is ignored.
If the parameter is 0, it means no IFP allocation for this range.</t>
  </si>
  <si>
    <t>This parameter is used to indicate the Group0 Fuses are burnt by HVM and pulled by external fuse puller especially when External Fuse Puller is used.
IFP_FW_FUSES_VALID bit will be always set to ‘1’ in production parts so that FW can determine the Group0 fuses are pulled.
However, when the IFP fuses are grouped as Group1 instead of Group0, this valid bit won’t be needed and CSE_CFG_FUSES_VALID in group1 is used instead.</t>
  </si>
  <si>
    <t>This parameter is used to indicate the Group2 Fuses are burnt by HVM and pulled by external fuse puller especially when External Fuse Puller is used.
FW_Fuses_Valid bit will be always set to ‘1’ in production parts so that FW can determine the Group0 fuses are pulled.
However, when the HVM fuses are grouped as Group1 instead of Group2, this valid bit won’t be needed and CSE_CFG_FUSES_VALID in group1 is used instead.</t>
  </si>
  <si>
    <t>This parameter is used to indicate the Group3 Fuses are burnt by HVM and pulled by external fuse puller especially when External Fuse Puller is used.
Security_Fuses_Valid bit will be always set to ‘1’ in production parts so that FW can determine the Group3 fuses are pulled with Security Locked State.
This Fuse is allocated with Block On Debug Attribute enabled.</t>
  </si>
  <si>
    <t xml:space="preserve">This parameter is used to define iKGF signature for On Die CA. This parameter shows bit size of HVM fuse. 
Current signature size is 768 bits. When this parameter is set to ‘0’, this HVM fuse is removed. </t>
  </si>
  <si>
    <t>This parameter is used to define bit size of FW configuration fuses. Each bit allocation will be defined by FW spec. When this parameter is set to ‘0’, this HVM fuse is removed.</t>
  </si>
  <si>
    <t>This parameter is used to define bit size of PUF Helper data. When this parameter is set to ‘0’, this HVM fuse is removed.</t>
  </si>
  <si>
    <t>This parameter is used to define bit size of FW Fuse Check Parity. Each bit allocation will be defined by FW spec. When this parameter is set to ‘0’, this HVM fuse is removed.</t>
  </si>
  <si>
    <t>This parameter is used to define Security Key Fuses for the Identity. This parameter shows bit size of HVM fuse. 
Current Security Key Fuse size is 512 bits. When this parameter is set to ‘0’, this HVM fuse is removed.</t>
  </si>
  <si>
    <t>This parameter is used to define the Hash of the Security Key Fuses wrapped with GKEY1. This parameter shows bit size of HVM fuse. 
Current Security Key Fuse size is 32 bits. When this parameter is set to ‘0’, this HVM fuse is removed.</t>
  </si>
  <si>
    <t>This parameter is used to define Debug Enabled Security Key Fuses. This parameter shows bit size of HVM fuse. 
Current Debug Enabled Security Key Fuse size is 256 bits. When this parameter is set to ‘0’, this HVM fuse is removed.</t>
  </si>
  <si>
    <t>This parameter is used to define HVM Globa Key Fuses. This parameter shows bit size of HVM fuse. 
Current HVM Global Key Fuse size is 256 bits. When this parameter is set to ‘0’, this HVM fuse is removed.</t>
  </si>
  <si>
    <t>This parameter is used to enable first DW of Softstrap. This parameter shows if this softstrap is included or removed in the RTL/RDL. 
When this parameter is set to ‘0’, this softstrap is removed from RDL/RTL</t>
  </si>
  <si>
    <t>This parameter is used to enable ssecond DW of Softstrap. This parameter shows if this softstrap is included or removed in the RTL/RDL. 
When this parameter is set to ‘0’, this softstrap is removed from RDL/RTL</t>
  </si>
  <si>
    <t>This is ROM/FW fuse to configure the error handling flow based on the fuse.</t>
  </si>
  <si>
    <t>This is ROM/FW fuse to configure the boot device control flow based on the fuse.</t>
  </si>
  <si>
    <t>This is ROM/FW fuse to configure the Boot Guard feature based on the fuse.</t>
  </si>
  <si>
    <t>This is ROM/FW fuse to configure the debug flow based on the fuse.</t>
  </si>
  <si>
    <t>This is ROM/FW fuse to configure the DWSRAM control based on the fuse.</t>
  </si>
  <si>
    <t>This is ROM/FW fuse to configure the FUSA DIAG feature based on the fuse.</t>
  </si>
  <si>
    <t>This is ROM/FW fuse to configure Patch flow based on the fuse.</t>
  </si>
  <si>
    <t>This is ROM/FW fuse to configure HSIO SKU Limit based on the fuse.</t>
  </si>
  <si>
    <t>This is ROM/FW fuse to configure ICC SKU based on the fuse.</t>
  </si>
  <si>
    <t>This is ROM/FW fuse to configure ICLS feature based on the fuse.</t>
  </si>
  <si>
    <t>This is ROM/FW fuse to configure FPF feature based on the fuse.</t>
  </si>
  <si>
    <t>This is ROM/FW fuse to configure FW image layout based on the fuse.</t>
  </si>
  <si>
    <t>This is ROM/FW fuse to configure CM device disabling feature based on the fuse.</t>
  </si>
  <si>
    <t>This is ROM/FW fuse to configure ISH feature based on the fuse.</t>
  </si>
  <si>
    <t>This is ROM/FW fuse to configure manageability feature based on the fuse.</t>
  </si>
  <si>
    <t>This is ROM/FW fuse to configure NFC feature based on the fuse.</t>
  </si>
  <si>
    <t>This is ROM/FW fuse to configure Node Manager feature based on the fuse.</t>
  </si>
  <si>
    <t>This is ROM/FW fuse to configure OEM IFP based on the fuse.</t>
  </si>
  <si>
    <t>This is ROM/FW fuse to configure Platform Halt Policy for TDT RO hardening based on the fuse.</t>
  </si>
  <si>
    <t>This is ROM/FW fuse to configure Boot Service flow with PMC based on the fuse.</t>
  </si>
  <si>
    <t>This is ROM/FW fuse to configure PTT feature based on the fuse.</t>
  </si>
  <si>
    <t>This is ROM/FW fuse to configure PAVP feature based on the fuse.</t>
  </si>
  <si>
    <t>This is ROM/FW fuse to configure Remote Wake feature based on the fuse.</t>
  </si>
  <si>
    <t>This is ROM/FW fuse to configure DNX capability based on the fuse.</t>
  </si>
  <si>
    <t>This is ROM/FW fuse to configure ROM OEM unlock based on the fuse.</t>
  </si>
  <si>
    <t>This is ROM/FW fuse to configure RPMB Reuse feature based on the fuse.</t>
  </si>
  <si>
    <t>This is ROM/FW fuse to configure SAMSUNG_PUF capaiblity based on the fuse.</t>
  </si>
  <si>
    <t>This is ROM/FW fuse to configure FW PM flow based on the fuse.</t>
  </si>
  <si>
    <t>This is ROM/FW fuse to configure UFS related feature based on the fuse.</t>
  </si>
  <si>
    <t>This is ROM/FW fuse to configure WIDI feature based on the fuse.</t>
  </si>
  <si>
    <t>This is ROM/FW fuse to identify Xeon branch CPU based on the fuse.</t>
  </si>
  <si>
    <t>This is IFP fuses pulled by HW, and locked by OEM when out of manufacturing
BIT0: OEM_IFP_CONFIG_DONE_1
BIT1: TRC_ENABLE_IFP_1
BIT31-02: CSME_HWIFP_FUSE_31_2</t>
  </si>
  <si>
    <t>This is IFP fuses pulled by HW, and locked by OEM when out of manufacturing
BIT0: OEM_IFP_CONFIG_DONE_0
BIT1: TRC_ENABLE_IFP_0
BIT31-02: CSME_HWIFP_FUSE_31_2</t>
  </si>
  <si>
    <t>This is IFP fuses pulled by HW, and locked by OEM when out of manufacturing
BIT0: OEM_IFP_CONFIG_DONE_2
BIT1: TRC_ENABLE_IFP_2
BIT31-02: CSME_HWIFP_FUSE_31_2</t>
  </si>
  <si>
    <t>This is IFP fuses pulled by HW, and locked by OEM when out of manufacturing
BIT0: TRC_DISABLE_IFP_0
BIT31-01: CSME_HWIFP_FUSE_31_1</t>
  </si>
  <si>
    <t>This is IFP fuses pulled by HW, and locked by OEM when out of manufacturing
BIT0: TRC_DISABLE_IFP_2
BIT31-01: CSME_HWIFP_FUSE_31_1</t>
  </si>
  <si>
    <t>This is IFP fuses pulled by HW, and locked by OEM when out of manufacturing
BIT0: TRC_DISABLE_IFP_1
BIT31-01: CSME_HWIFP_FUSE_31_1</t>
  </si>
  <si>
    <t>Following the recent DCN update for
[ESE][Rombypass via CSME SRAM] ESE to pull ROMB from CSME SRAM
https://hsdes.intel.com/appstore/article/#/1707199209
and
[ESE 1.0] Fuse/Softstrap Update for MTL SOC CSME and ESE
https://hsdes.intel.com/appstore/article/#/14010576857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</si>
</sst>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17" x14ac:knownFonts="1">
    <font>
      <sz val="11"/>
      <color theme="1"/>
      <name val="Calibri"/>
      <family val="2"/>
      <scheme val="minor"/>
    </font>
    <font>
      <sz val="11"/>
      <color rgb="FF000000"/>
      <name val="Calibri"/>
      <family val="2"/>
      <scheme val="minor"/>
    </font>
    <font>
      <sz val="9"/>
      <color indexed="81"/>
      <name val="Tahoma"/>
      <family val="2"/>
    </font>
    <font>
      <b/>
      <sz val="9"/>
      <color indexed="81"/>
      <name val="Tahoma"/>
      <family val="2"/>
    </font>
    <font>
      <b/>
      <sz val="12"/>
      <color theme="0"/>
      <name val="Calibri"/>
      <family val="2"/>
      <scheme val="minor"/>
    </font>
    <font>
      <sz val="11"/>
      <name val="Calibri"/>
      <family val="2"/>
      <scheme val="minor"/>
    </font>
    <font>
      <sz val="11"/>
      <color rgb="FFFF0000"/>
      <name val="Calibri"/>
      <family val="2"/>
      <scheme val="minor"/>
    </font>
    <font>
      <b/>
      <sz val="11"/>
      <color theme="1"/>
      <name val="Calibri"/>
      <family val="2"/>
      <scheme val="minor"/>
    </font>
    <font>
      <b/>
      <sz val="11"/>
      <color theme="0"/>
      <name val="Calibri"/>
      <family val="2"/>
      <scheme val="minor"/>
    </font>
    <font>
      <sz val="18"/>
      <color theme="1"/>
      <name val="Calibri"/>
      <family val="2"/>
      <scheme val="minor"/>
    </font>
    <font>
      <b/>
      <sz val="18"/>
      <color rgb="FFFF0000"/>
      <name val="Calibri"/>
      <family val="2"/>
      <scheme val="minor"/>
    </font>
    <font>
      <strike/>
      <sz val="11"/>
      <color rgb="FFFF0000"/>
      <name val="Calibri"/>
      <family val="2"/>
      <scheme val="minor"/>
    </font>
    <font>
      <b/>
      <sz val="14"/>
      <color theme="0"/>
      <name val="Calibri"/>
      <family val="2"/>
      <scheme val="minor"/>
    </font>
    <font>
      <b/>
      <sz val="11"/>
      <color rgb="FFFF0000"/>
      <name val="Calibri"/>
      <family val="2"/>
      <scheme val="minor"/>
    </font>
    <font>
      <sz val="11"/>
      <color rgb="FF000000"/>
      <name val="Calibri"/>
      <family val="2"/>
    </font>
    <font>
      <sz val="11"/>
      <color theme="3"/>
      <name val="Calibri"/>
      <family val="2"/>
      <scheme val="minor"/>
    </font>
    <font>
      <sz val="11"/>
      <color theme="0"/>
      <name val="Calibri"/>
      <family val="2"/>
      <scheme val="minor"/>
    </font>
  </fonts>
  <fills count="17">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3"/>
        <bgColor indexed="64"/>
      </patternFill>
    </fill>
    <fill>
      <patternFill patternType="solid">
        <fgColor theme="9" tint="0.79998168889431442"/>
        <bgColor indexed="64"/>
      </patternFill>
    </fill>
    <fill>
      <patternFill patternType="solid">
        <fgColor rgb="FFFFFF00"/>
        <bgColor indexed="64"/>
      </patternFill>
    </fill>
    <fill>
      <patternFill patternType="solid">
        <fgColor theme="4" tint="0.39997558519241921"/>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39997558519241921"/>
        <bgColor indexed="64"/>
      </patternFill>
    </fill>
    <fill>
      <patternFill patternType="solid">
        <fgColor indexed="44"/>
        <bgColor indexed="64"/>
      </patternFill>
    </fill>
    <fill>
      <patternFill patternType="solid">
        <fgColor rgb="FF92D050"/>
        <bgColor indexed="64"/>
      </patternFill>
    </fill>
    <fill>
      <patternFill patternType="solid">
        <fgColor rgb="FF7030A0"/>
        <bgColor indexed="64"/>
      </patternFill>
    </fill>
    <fill>
      <patternFill patternType="solid">
        <fgColor theme="9"/>
        <bgColor indexed="64"/>
      </patternFill>
    </fill>
  </fills>
  <borders count="50">
    <border>
      <left/>
      <right/>
      <top/>
      <bottom/>
      <diagonal/>
    </border>
    <border>
      <left style="thin">
        <color indexed="64"/>
      </left>
      <right style="thin">
        <color indexed="64"/>
      </right>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style="thin">
        <color indexed="64"/>
      </top>
      <bottom/>
      <diagonal/>
    </border>
    <border>
      <left style="thin">
        <color indexed="64"/>
      </left>
      <right style="thin">
        <color auto="1"/>
      </right>
      <top/>
      <bottom/>
      <diagonal/>
    </border>
    <border>
      <left style="thin">
        <color auto="1"/>
      </left>
      <right/>
      <top/>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auto="1"/>
      </left>
      <right style="thin">
        <color auto="1"/>
      </right>
      <top style="medium">
        <color indexed="64"/>
      </top>
      <bottom/>
      <diagonal/>
    </border>
    <border>
      <left style="medium">
        <color indexed="64"/>
      </left>
      <right style="thin">
        <color auto="1"/>
      </right>
      <top style="medium">
        <color indexed="64"/>
      </top>
      <bottom/>
      <diagonal/>
    </border>
    <border>
      <left style="medium">
        <color indexed="64"/>
      </left>
      <right/>
      <top style="medium">
        <color indexed="64"/>
      </top>
      <bottom style="medium">
        <color indexed="64"/>
      </bottom>
      <diagonal/>
    </border>
    <border>
      <left style="medium">
        <color indexed="64"/>
      </left>
      <right/>
      <top style="medium">
        <color indexed="64"/>
      </top>
      <bottom style="thin">
        <color auto="1"/>
      </bottom>
      <diagonal/>
    </border>
    <border>
      <left style="medium">
        <color indexed="64"/>
      </left>
      <right/>
      <top style="thin">
        <color auto="1"/>
      </top>
      <bottom style="thin">
        <color auto="1"/>
      </bottom>
      <diagonal/>
    </border>
    <border>
      <left style="medium">
        <color indexed="64"/>
      </left>
      <right/>
      <top style="thin">
        <color auto="1"/>
      </top>
      <bottom style="medium">
        <color indexed="64"/>
      </bottom>
      <diagonal/>
    </border>
    <border>
      <left/>
      <right/>
      <top style="thin">
        <color indexed="64"/>
      </top>
      <bottom style="thin">
        <color auto="1"/>
      </bottom>
      <diagonal/>
    </border>
    <border>
      <left style="medium">
        <color indexed="64"/>
      </left>
      <right style="medium">
        <color indexed="64"/>
      </right>
      <top style="medium">
        <color indexed="64"/>
      </top>
      <bottom style="thin">
        <color auto="1"/>
      </bottom>
      <diagonal/>
    </border>
    <border>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right style="medium">
        <color indexed="64"/>
      </right>
      <top style="thin">
        <color indexed="64"/>
      </top>
      <bottom style="thin">
        <color auto="1"/>
      </bottom>
      <diagonal/>
    </border>
    <border>
      <left style="medium">
        <color indexed="64"/>
      </left>
      <right style="medium">
        <color indexed="64"/>
      </right>
      <top style="thin">
        <color auto="1"/>
      </top>
      <bottom style="medium">
        <color indexed="64"/>
      </bottom>
      <diagonal/>
    </border>
    <border>
      <left/>
      <right style="medium">
        <color indexed="64"/>
      </right>
      <top style="thin">
        <color auto="1"/>
      </top>
      <bottom style="medium">
        <color indexed="64"/>
      </bottom>
      <diagonal/>
    </border>
    <border>
      <left style="thin">
        <color auto="1"/>
      </left>
      <right style="thin">
        <color auto="1"/>
      </right>
      <top/>
      <bottom style="medium">
        <color indexed="64"/>
      </bottom>
      <diagonal/>
    </border>
    <border>
      <left/>
      <right style="medium">
        <color indexed="64"/>
      </right>
      <top style="medium">
        <color indexed="64"/>
      </top>
      <bottom/>
      <diagonal/>
    </border>
    <border>
      <left style="thin">
        <color auto="1"/>
      </left>
      <right style="medium">
        <color indexed="64"/>
      </right>
      <top/>
      <bottom style="thin">
        <color auto="1"/>
      </bottom>
      <diagonal/>
    </border>
    <border>
      <left style="thin">
        <color auto="1"/>
      </left>
      <right style="medium">
        <color indexed="64"/>
      </right>
      <top style="thin">
        <color auto="1"/>
      </top>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auto="1"/>
      </bottom>
      <diagonal/>
    </border>
    <border>
      <left/>
      <right style="medium">
        <color indexed="64"/>
      </right>
      <top/>
      <bottom style="medium">
        <color indexed="64"/>
      </bottom>
      <diagonal/>
    </border>
    <border>
      <left/>
      <right style="medium">
        <color indexed="64"/>
      </right>
      <top style="thin">
        <color auto="1"/>
      </top>
      <bottom/>
      <diagonal/>
    </border>
    <border>
      <left/>
      <right style="thin">
        <color auto="1"/>
      </right>
      <top style="thin">
        <color indexed="64"/>
      </top>
      <bottom style="thin">
        <color auto="1"/>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auto="1"/>
      </right>
      <top style="thin">
        <color indexed="64"/>
      </top>
      <bottom style="medium">
        <color indexed="64"/>
      </bottom>
      <diagonal/>
    </border>
    <border>
      <left style="medium">
        <color indexed="64"/>
      </left>
      <right style="medium">
        <color indexed="64"/>
      </right>
      <top style="thin">
        <color auto="1"/>
      </top>
      <bottom/>
      <diagonal/>
    </border>
    <border>
      <left/>
      <right style="thin">
        <color auto="1"/>
      </right>
      <top style="thin">
        <color indexed="64"/>
      </top>
      <bottom/>
      <diagonal/>
    </border>
    <border>
      <left/>
      <right style="thin">
        <color auto="1"/>
      </right>
      <top style="medium">
        <color indexed="64"/>
      </top>
      <bottom style="thin">
        <color auto="1"/>
      </bottom>
      <diagonal/>
    </border>
    <border>
      <left style="thin">
        <color indexed="64"/>
      </left>
      <right/>
      <top/>
      <bottom style="medium">
        <color indexed="64"/>
      </bottom>
      <diagonal/>
    </border>
  </borders>
  <cellStyleXfs count="1">
    <xf numFmtId="0" fontId="0" fillId="0" borderId="0"/>
  </cellStyleXfs>
  <cellXfs count="230">
    <xf numFmtId="0" fontId="0" fillId="0" borderId="0" xfId="0"/>
    <xf numFmtId="0" fontId="4" fillId="4" borderId="2" xfId="0" applyFont="1" applyFill="1" applyBorder="1"/>
    <xf numFmtId="0" fontId="0" fillId="3" borderId="2" xfId="0" applyFill="1" applyBorder="1"/>
    <xf numFmtId="0" fontId="0" fillId="2" borderId="2" xfId="0" applyFill="1" applyBorder="1"/>
    <xf numFmtId="0" fontId="0" fillId="5" borderId="2" xfId="0" applyFill="1" applyBorder="1"/>
    <xf numFmtId="0" fontId="0" fillId="0" borderId="1" xfId="0" applyFill="1" applyBorder="1"/>
    <xf numFmtId="0" fontId="0" fillId="0" borderId="0" xfId="0"/>
    <xf numFmtId="0" fontId="0" fillId="0" borderId="2" xfId="0" applyFill="1" applyBorder="1"/>
    <xf numFmtId="0" fontId="0" fillId="0" borderId="2" xfId="0" applyFont="1" applyBorder="1" applyAlignment="1">
      <alignment horizontal="left" vertical="center" wrapText="1"/>
    </xf>
    <xf numFmtId="0" fontId="0" fillId="2" borderId="2" xfId="0" applyFill="1" applyBorder="1" applyAlignment="1">
      <alignment horizontal="left" vertical="center" wrapText="1"/>
    </xf>
    <xf numFmtId="0" fontId="0" fillId="2" borderId="2" xfId="0" applyFont="1" applyFill="1" applyBorder="1" applyAlignment="1">
      <alignment horizontal="left" vertical="center" wrapText="1"/>
    </xf>
    <xf numFmtId="0" fontId="1" fillId="2" borderId="2" xfId="0" applyFont="1" applyFill="1" applyBorder="1" applyAlignment="1">
      <alignment vertical="center" wrapText="1"/>
    </xf>
    <xf numFmtId="0" fontId="5" fillId="2" borderId="2" xfId="0" applyFont="1" applyFill="1" applyBorder="1" applyAlignment="1">
      <alignment horizontal="left" vertical="center" wrapText="1"/>
    </xf>
    <xf numFmtId="0" fontId="5" fillId="3" borderId="2" xfId="0" applyFont="1" applyFill="1" applyBorder="1" applyAlignment="1">
      <alignment horizontal="left" vertical="center" wrapText="1"/>
    </xf>
    <xf numFmtId="0" fontId="0" fillId="3" borderId="2" xfId="0" applyFont="1" applyFill="1" applyBorder="1" applyAlignment="1">
      <alignment horizontal="left" vertical="center" wrapText="1"/>
    </xf>
    <xf numFmtId="0" fontId="0" fillId="2" borderId="1" xfId="0" applyFill="1" applyBorder="1"/>
    <xf numFmtId="0" fontId="0" fillId="0" borderId="0" xfId="0"/>
    <xf numFmtId="0" fontId="0" fillId="0" borderId="2" xfId="0" applyBorder="1"/>
    <xf numFmtId="0" fontId="0" fillId="0" borderId="2" xfId="0" applyBorder="1" applyAlignment="1">
      <alignment vertical="center"/>
    </xf>
    <xf numFmtId="0" fontId="0" fillId="3" borderId="2" xfId="0" applyFill="1" applyBorder="1" applyAlignment="1">
      <alignment horizontal="right"/>
    </xf>
    <xf numFmtId="0" fontId="0" fillId="0" borderId="2" xfId="0" applyBorder="1" applyAlignment="1">
      <alignment horizontal="right"/>
    </xf>
    <xf numFmtId="0" fontId="0" fillId="0" borderId="2" xfId="0" applyFill="1" applyBorder="1" applyAlignment="1">
      <alignment horizontal="right"/>
    </xf>
    <xf numFmtId="0" fontId="0" fillId="2" borderId="2" xfId="0" applyFill="1" applyBorder="1" applyAlignment="1">
      <alignment horizontal="right"/>
    </xf>
    <xf numFmtId="0" fontId="0" fillId="0" borderId="1" xfId="0" applyFill="1" applyBorder="1" applyAlignment="1">
      <alignment horizontal="right"/>
    </xf>
    <xf numFmtId="0" fontId="0" fillId="8" borderId="2" xfId="0" applyFill="1" applyBorder="1" applyAlignment="1">
      <alignment horizontal="left" vertical="center"/>
    </xf>
    <xf numFmtId="0" fontId="8" fillId="4" borderId="2" xfId="0" applyFont="1" applyFill="1" applyBorder="1"/>
    <xf numFmtId="0" fontId="8" fillId="4" borderId="2" xfId="0" applyFont="1" applyFill="1" applyBorder="1" applyAlignment="1">
      <alignment vertical="center"/>
    </xf>
    <xf numFmtId="0" fontId="8" fillId="4" borderId="2" xfId="0" applyFont="1" applyFill="1" applyBorder="1" applyAlignment="1">
      <alignment horizontal="center" vertical="center"/>
    </xf>
    <xf numFmtId="0" fontId="8" fillId="4" borderId="2" xfId="0" quotePrefix="1" applyFont="1" applyFill="1" applyBorder="1" applyAlignment="1">
      <alignment vertical="center"/>
    </xf>
    <xf numFmtId="0" fontId="9" fillId="0" borderId="0" xfId="0" applyFont="1"/>
    <xf numFmtId="0" fontId="10" fillId="0" borderId="0" xfId="0" applyFont="1"/>
    <xf numFmtId="0" fontId="0" fillId="0" borderId="9" xfId="0" applyBorder="1"/>
    <xf numFmtId="0" fontId="0" fillId="0" borderId="11" xfId="0" applyBorder="1"/>
    <xf numFmtId="0" fontId="0" fillId="0" borderId="14" xfId="0" applyBorder="1"/>
    <xf numFmtId="0" fontId="0" fillId="0" borderId="7" xfId="0" applyBorder="1" applyAlignment="1">
      <alignment vertical="center"/>
    </xf>
    <xf numFmtId="0" fontId="7" fillId="7" borderId="19" xfId="0" applyFont="1" applyFill="1" applyBorder="1" applyAlignment="1">
      <alignment vertical="center"/>
    </xf>
    <xf numFmtId="0" fontId="7" fillId="7" borderId="18" xfId="0" applyFont="1" applyFill="1" applyBorder="1" applyAlignment="1">
      <alignment vertical="center"/>
    </xf>
    <xf numFmtId="0" fontId="7" fillId="7" borderId="7" xfId="0" applyFont="1" applyFill="1" applyBorder="1" applyAlignment="1">
      <alignment vertical="center"/>
    </xf>
    <xf numFmtId="0" fontId="7" fillId="7" borderId="20" xfId="0" applyFont="1" applyFill="1" applyBorder="1" applyAlignment="1">
      <alignment vertical="center"/>
    </xf>
    <xf numFmtId="0" fontId="0" fillId="0" borderId="21" xfId="0" applyBorder="1"/>
    <xf numFmtId="0" fontId="0" fillId="0" borderId="22" xfId="0" applyBorder="1"/>
    <xf numFmtId="0" fontId="0" fillId="0" borderId="21" xfId="0" applyBorder="1" applyAlignment="1">
      <alignment horizontal="left" vertical="center" wrapText="1"/>
    </xf>
    <xf numFmtId="0" fontId="0" fillId="6" borderId="22" xfId="0" applyFill="1" applyBorder="1" applyAlignment="1">
      <alignment horizontal="left" vertical="center" wrapText="1"/>
    </xf>
    <xf numFmtId="0" fontId="7" fillId="7" borderId="6" xfId="0" applyFont="1" applyFill="1" applyBorder="1" applyAlignment="1">
      <alignment vertical="center"/>
    </xf>
    <xf numFmtId="0" fontId="0" fillId="0" borderId="25" xfId="0" applyBorder="1"/>
    <xf numFmtId="0" fontId="0" fillId="0" borderId="26" xfId="0" applyBorder="1"/>
    <xf numFmtId="0" fontId="0" fillId="0" borderId="27" xfId="0" applyBorder="1"/>
    <xf numFmtId="0" fontId="0" fillId="0" borderId="28" xfId="0" applyBorder="1"/>
    <xf numFmtId="0" fontId="0" fillId="3" borderId="25" xfId="0" applyFill="1" applyBorder="1"/>
    <xf numFmtId="0" fontId="0" fillId="3" borderId="27" xfId="0" applyFill="1" applyBorder="1"/>
    <xf numFmtId="0" fontId="7" fillId="7" borderId="32" xfId="0" applyFont="1" applyFill="1" applyBorder="1" applyAlignment="1">
      <alignment vertical="center"/>
    </xf>
    <xf numFmtId="0" fontId="0" fillId="0" borderId="2" xfId="0" applyBorder="1" applyAlignment="1">
      <alignment horizontal="center" vertical="center" wrapText="1"/>
    </xf>
    <xf numFmtId="0" fontId="0" fillId="8" borderId="2" xfId="0" applyFill="1" applyBorder="1"/>
    <xf numFmtId="0" fontId="0" fillId="5" borderId="2" xfId="0" applyFill="1" applyBorder="1" applyAlignment="1">
      <alignment horizontal="left" vertical="center" wrapText="1"/>
    </xf>
    <xf numFmtId="0" fontId="0" fillId="9" borderId="2" xfId="0" applyFill="1" applyBorder="1"/>
    <xf numFmtId="0" fontId="0" fillId="0" borderId="36" xfId="0" applyBorder="1"/>
    <xf numFmtId="0" fontId="0" fillId="0" borderId="31" xfId="0" applyBorder="1"/>
    <xf numFmtId="0" fontId="0" fillId="6" borderId="22" xfId="0" applyFill="1" applyBorder="1"/>
    <xf numFmtId="0" fontId="0" fillId="0" borderId="37" xfId="0" applyBorder="1"/>
    <xf numFmtId="0" fontId="0" fillId="0" borderId="38" xfId="0" applyBorder="1"/>
    <xf numFmtId="0" fontId="0" fillId="0" borderId="35" xfId="0" applyFill="1" applyBorder="1"/>
    <xf numFmtId="0" fontId="0" fillId="0" borderId="35" xfId="0" applyBorder="1" applyAlignment="1">
      <alignment horizontal="left" vertical="center" wrapText="1"/>
    </xf>
    <xf numFmtId="0" fontId="0" fillId="0" borderId="22" xfId="0" applyBorder="1" applyAlignment="1">
      <alignment horizontal="left" vertical="center" wrapText="1"/>
    </xf>
    <xf numFmtId="0" fontId="0" fillId="0" borderId="27" xfId="0" applyBorder="1" applyAlignment="1">
      <alignment horizontal="left" vertical="center" wrapText="1"/>
    </xf>
    <xf numFmtId="0" fontId="0" fillId="0" borderId="11" xfId="0" applyBorder="1" applyAlignment="1">
      <alignment horizontal="center" vertical="center" wrapText="1"/>
    </xf>
    <xf numFmtId="0" fontId="0" fillId="0" borderId="9" xfId="0" applyFill="1" applyBorder="1"/>
    <xf numFmtId="0" fontId="0" fillId="0" borderId="14" xfId="0" applyFill="1" applyBorder="1"/>
    <xf numFmtId="0" fontId="8" fillId="10" borderId="2" xfId="0" applyFont="1" applyFill="1" applyBorder="1" applyAlignment="1">
      <alignment horizontal="center" vertical="top"/>
    </xf>
    <xf numFmtId="164" fontId="8" fillId="10" borderId="2" xfId="0" applyNumberFormat="1" applyFont="1" applyFill="1" applyBorder="1" applyAlignment="1">
      <alignment horizontal="center" vertical="top"/>
    </xf>
    <xf numFmtId="0" fontId="8" fillId="10" borderId="2" xfId="0" applyFont="1" applyFill="1" applyBorder="1" applyAlignment="1">
      <alignment horizontal="left" vertical="top"/>
    </xf>
    <xf numFmtId="0" fontId="8" fillId="10" borderId="2" xfId="0" applyFont="1" applyFill="1" applyBorder="1" applyAlignment="1">
      <alignment horizontal="left" vertical="top" wrapText="1"/>
    </xf>
    <xf numFmtId="0" fontId="0" fillId="0" borderId="2" xfId="0" applyBorder="1" applyAlignment="1">
      <alignment horizontal="center" vertical="top"/>
    </xf>
    <xf numFmtId="164" fontId="0" fillId="0" borderId="2" xfId="0" applyNumberFormat="1" applyBorder="1" applyAlignment="1">
      <alignment horizontal="center" vertical="top"/>
    </xf>
    <xf numFmtId="0" fontId="0" fillId="0" borderId="2" xfId="0" applyBorder="1" applyAlignment="1">
      <alignment vertical="top"/>
    </xf>
    <xf numFmtId="0" fontId="0" fillId="0" borderId="2" xfId="0" applyBorder="1" applyAlignment="1">
      <alignment vertical="top" wrapText="1"/>
    </xf>
    <xf numFmtId="0" fontId="0" fillId="0" borderId="2" xfId="0" quotePrefix="1" applyBorder="1" applyAlignment="1">
      <alignment vertical="top" wrapText="1"/>
    </xf>
    <xf numFmtId="0" fontId="0" fillId="0" borderId="0" xfId="0" applyFont="1" applyAlignment="1">
      <alignment wrapText="1"/>
    </xf>
    <xf numFmtId="0" fontId="6" fillId="0" borderId="2" xfId="0" applyFont="1" applyBorder="1"/>
    <xf numFmtId="0" fontId="0" fillId="0" borderId="2" xfId="0" applyFont="1" applyBorder="1" applyAlignment="1">
      <alignment wrapText="1"/>
    </xf>
    <xf numFmtId="0" fontId="8" fillId="4" borderId="2" xfId="0" applyFont="1" applyFill="1" applyBorder="1" applyAlignment="1">
      <alignment horizontal="center" vertical="center"/>
    </xf>
    <xf numFmtId="0" fontId="0" fillId="0" borderId="9" xfId="0" applyBorder="1" applyAlignment="1">
      <alignment horizontal="center" vertical="center" wrapText="1"/>
    </xf>
    <xf numFmtId="0" fontId="8" fillId="4" borderId="2" xfId="0" applyFont="1" applyFill="1" applyBorder="1" applyAlignment="1">
      <alignment horizontal="center" vertical="center" wrapText="1"/>
    </xf>
    <xf numFmtId="0" fontId="8" fillId="4" borderId="2" xfId="0" applyFont="1" applyFill="1" applyBorder="1" applyAlignment="1">
      <alignment wrapText="1"/>
    </xf>
    <xf numFmtId="0" fontId="0" fillId="6" borderId="2" xfId="0" applyFill="1" applyBorder="1"/>
    <xf numFmtId="0" fontId="0" fillId="0" borderId="1" xfId="0" applyBorder="1"/>
    <xf numFmtId="0" fontId="0" fillId="0" borderId="1" xfId="0" applyBorder="1" applyAlignment="1">
      <alignment horizontal="center" vertical="center" wrapText="1"/>
    </xf>
    <xf numFmtId="0" fontId="7" fillId="7" borderId="41" xfId="0" applyFont="1" applyFill="1" applyBorder="1" applyAlignment="1">
      <alignment vertical="center"/>
    </xf>
    <xf numFmtId="0" fontId="7" fillId="7" borderId="42" xfId="0" applyFont="1" applyFill="1" applyBorder="1" applyAlignment="1">
      <alignment vertical="center"/>
    </xf>
    <xf numFmtId="0" fontId="0" fillId="0" borderId="44" xfId="0" applyBorder="1"/>
    <xf numFmtId="0" fontId="0" fillId="0" borderId="40" xfId="0" applyBorder="1"/>
    <xf numFmtId="0" fontId="0" fillId="6" borderId="27" xfId="0" applyFill="1" applyBorder="1"/>
    <xf numFmtId="0" fontId="0" fillId="0" borderId="36" xfId="0" applyFill="1" applyBorder="1"/>
    <xf numFmtId="0" fontId="0" fillId="0" borderId="25" xfId="0" applyBorder="1" applyAlignment="1">
      <alignment horizontal="left" vertical="center" wrapText="1"/>
    </xf>
    <xf numFmtId="0" fontId="0" fillId="6" borderId="27" xfId="0" applyFill="1" applyBorder="1" applyAlignment="1">
      <alignment horizontal="left" vertical="center" wrapText="1"/>
    </xf>
    <xf numFmtId="0" fontId="0" fillId="0" borderId="36" xfId="0" applyBorder="1" applyAlignment="1">
      <alignment horizontal="left" vertical="center" wrapText="1"/>
    </xf>
    <xf numFmtId="0" fontId="0" fillId="0" borderId="27" xfId="0" applyFill="1" applyBorder="1"/>
    <xf numFmtId="0" fontId="0" fillId="0" borderId="29" xfId="0" applyBorder="1"/>
    <xf numFmtId="0" fontId="0" fillId="0" borderId="14" xfId="0" applyBorder="1" applyAlignment="1">
      <alignment horizontal="center" vertical="center" wrapText="1"/>
    </xf>
    <xf numFmtId="0" fontId="0" fillId="0" borderId="45" xfId="0" applyBorder="1"/>
    <xf numFmtId="0" fontId="0" fillId="0" borderId="29" xfId="0" applyFill="1" applyBorder="1"/>
    <xf numFmtId="0" fontId="0" fillId="0" borderId="29" xfId="0" applyBorder="1" applyAlignment="1">
      <alignment horizontal="left" vertical="center" wrapText="1"/>
    </xf>
    <xf numFmtId="0" fontId="0" fillId="0" borderId="46" xfId="0" applyBorder="1"/>
    <xf numFmtId="0" fontId="0" fillId="0" borderId="47" xfId="0" applyBorder="1"/>
    <xf numFmtId="0" fontId="0" fillId="0" borderId="3" xfId="0" applyBorder="1" applyAlignment="1">
      <alignment horizontal="center" vertical="center" wrapText="1"/>
    </xf>
    <xf numFmtId="0" fontId="0" fillId="0" borderId="3" xfId="0" applyBorder="1"/>
    <xf numFmtId="0" fontId="0" fillId="11" borderId="25" xfId="0" applyFill="1" applyBorder="1"/>
    <xf numFmtId="0" fontId="0" fillId="11" borderId="1" xfId="0" applyFill="1" applyBorder="1" applyAlignment="1">
      <alignment horizontal="center" vertical="center" wrapText="1"/>
    </xf>
    <xf numFmtId="0" fontId="0" fillId="11" borderId="9" xfId="0" applyFill="1" applyBorder="1"/>
    <xf numFmtId="0" fontId="0" fillId="11" borderId="9" xfId="0" applyFill="1" applyBorder="1" applyAlignment="1"/>
    <xf numFmtId="0" fontId="0" fillId="11" borderId="27" xfId="0" applyFill="1" applyBorder="1"/>
    <xf numFmtId="0" fontId="0" fillId="11" borderId="2" xfId="0" applyFill="1" applyBorder="1"/>
    <xf numFmtId="0" fontId="0" fillId="11" borderId="2" xfId="0" applyFill="1" applyBorder="1" applyAlignment="1"/>
    <xf numFmtId="0" fontId="0" fillId="11" borderId="29" xfId="0" applyFill="1" applyBorder="1"/>
    <xf numFmtId="0" fontId="0" fillId="11" borderId="14" xfId="0" applyFill="1" applyBorder="1"/>
    <xf numFmtId="0" fontId="0" fillId="11" borderId="14" xfId="0" applyFill="1" applyBorder="1" applyAlignment="1"/>
    <xf numFmtId="0" fontId="0" fillId="11" borderId="8" xfId="0" applyFill="1" applyBorder="1"/>
    <xf numFmtId="0" fontId="0" fillId="11" borderId="9" xfId="0" applyFill="1" applyBorder="1" applyAlignment="1">
      <alignment horizontal="center" vertical="center" wrapText="1"/>
    </xf>
    <xf numFmtId="0" fontId="0" fillId="11" borderId="11" xfId="0" applyFill="1" applyBorder="1"/>
    <xf numFmtId="0" fontId="0" fillId="11" borderId="13" xfId="0" applyFill="1" applyBorder="1"/>
    <xf numFmtId="0" fontId="0" fillId="11" borderId="1" xfId="0" applyFill="1" applyBorder="1"/>
    <xf numFmtId="0" fontId="0" fillId="0" borderId="4" xfId="0" applyBorder="1"/>
    <xf numFmtId="0" fontId="7" fillId="7" borderId="43" xfId="0" applyFont="1" applyFill="1" applyBorder="1" applyAlignment="1">
      <alignment horizontal="center" vertical="center"/>
    </xf>
    <xf numFmtId="0" fontId="0" fillId="0" borderId="8" xfId="0" applyBorder="1" applyAlignment="1">
      <alignment horizontal="center" vertical="center" wrapText="1"/>
    </xf>
    <xf numFmtId="0" fontId="0" fillId="0" borderId="13" xfId="0" applyBorder="1" applyAlignment="1">
      <alignment horizontal="center" vertical="center" wrapText="1"/>
    </xf>
    <xf numFmtId="0" fontId="11" fillId="3" borderId="2" xfId="0" applyFont="1" applyFill="1" applyBorder="1"/>
    <xf numFmtId="0" fontId="0" fillId="12" borderId="2" xfId="0" applyFill="1" applyBorder="1"/>
    <xf numFmtId="0" fontId="12" fillId="4" borderId="2" xfId="0" applyFont="1" applyFill="1" applyBorder="1"/>
    <xf numFmtId="0" fontId="12" fillId="4" borderId="2" xfId="0" applyFont="1" applyFill="1" applyBorder="1" applyAlignment="1">
      <alignment wrapText="1"/>
    </xf>
    <xf numFmtId="0" fontId="0" fillId="0" borderId="25" xfId="0" applyBorder="1" applyAlignment="1">
      <alignment horizontal="left" vertical="center"/>
    </xf>
    <xf numFmtId="0" fontId="0" fillId="0" borderId="27" xfId="0" applyBorder="1" applyAlignment="1">
      <alignment horizontal="left" vertical="center"/>
    </xf>
    <xf numFmtId="0" fontId="0" fillId="0" borderId="4" xfId="0" applyBorder="1" applyAlignment="1">
      <alignment horizontal="left" vertical="center"/>
    </xf>
    <xf numFmtId="0" fontId="0" fillId="8" borderId="2" xfId="0" applyFill="1" applyBorder="1" applyAlignment="1">
      <alignment horizontal="left" vertical="center"/>
    </xf>
    <xf numFmtId="0" fontId="8" fillId="4" borderId="2" xfId="0" applyFont="1" applyFill="1" applyBorder="1" applyAlignment="1">
      <alignment vertical="center" wrapText="1"/>
    </xf>
    <xf numFmtId="0" fontId="6" fillId="11" borderId="27" xfId="0" applyFont="1" applyFill="1" applyBorder="1"/>
    <xf numFmtId="0" fontId="0" fillId="11" borderId="21" xfId="0" applyFill="1" applyBorder="1"/>
    <xf numFmtId="0" fontId="6" fillId="11" borderId="22" xfId="0" applyFont="1" applyFill="1" applyBorder="1"/>
    <xf numFmtId="0" fontId="0" fillId="11" borderId="22" xfId="0" applyFill="1" applyBorder="1"/>
    <xf numFmtId="0" fontId="0" fillId="11" borderId="23" xfId="0" applyFill="1" applyBorder="1"/>
    <xf numFmtId="0" fontId="0" fillId="0" borderId="48" xfId="0" applyBorder="1"/>
    <xf numFmtId="0" fontId="0" fillId="3" borderId="9" xfId="0" applyFill="1" applyBorder="1"/>
    <xf numFmtId="0" fontId="0" fillId="3" borderId="9" xfId="0" applyFill="1" applyBorder="1" applyAlignment="1"/>
    <xf numFmtId="0" fontId="0" fillId="3" borderId="2" xfId="0" applyFill="1" applyBorder="1" applyAlignment="1"/>
    <xf numFmtId="0" fontId="0" fillId="3" borderId="1" xfId="0" applyFill="1" applyBorder="1"/>
    <xf numFmtId="0" fontId="0" fillId="3" borderId="14" xfId="0" applyFill="1" applyBorder="1"/>
    <xf numFmtId="0" fontId="0" fillId="3" borderId="14" xfId="0" applyFill="1" applyBorder="1" applyAlignment="1"/>
    <xf numFmtId="0" fontId="0" fillId="13" borderId="0" xfId="0" applyFill="1"/>
    <xf numFmtId="0" fontId="0" fillId="6" borderId="0" xfId="0" applyFill="1"/>
    <xf numFmtId="0" fontId="15" fillId="2" borderId="2" xfId="0" applyFont="1" applyFill="1" applyBorder="1"/>
    <xf numFmtId="0" fontId="0" fillId="0" borderId="25" xfId="0" applyBorder="1" applyAlignment="1">
      <alignment horizontal="left" vertical="center"/>
    </xf>
    <xf numFmtId="0" fontId="0" fillId="0" borderId="27" xfId="0" applyBorder="1" applyAlignment="1">
      <alignment horizontal="left" vertical="center"/>
    </xf>
    <xf numFmtId="0" fontId="0" fillId="0" borderId="29" xfId="0" applyBorder="1" applyAlignment="1">
      <alignment horizontal="left" vertical="center"/>
    </xf>
    <xf numFmtId="0" fontId="0" fillId="0" borderId="4" xfId="0" applyBorder="1" applyAlignment="1">
      <alignment horizontal="left" vertical="center"/>
    </xf>
    <xf numFmtId="0" fontId="0" fillId="14" borderId="2" xfId="0" applyFill="1" applyBorder="1"/>
    <xf numFmtId="0" fontId="0" fillId="11" borderId="14" xfId="0" applyFill="1" applyBorder="1" applyAlignment="1">
      <alignment horizontal="center" vertical="center" wrapText="1"/>
    </xf>
    <xf numFmtId="0" fontId="0" fillId="0" borderId="2" xfId="0" applyBorder="1" applyAlignment="1">
      <alignment vertical="center"/>
    </xf>
    <xf numFmtId="0" fontId="0" fillId="0" borderId="0" xfId="0" applyAlignment="1">
      <alignment wrapText="1"/>
    </xf>
    <xf numFmtId="0" fontId="0" fillId="13" borderId="0" xfId="0" applyFill="1" applyAlignment="1"/>
    <xf numFmtId="0" fontId="0" fillId="0" borderId="0" xfId="0" applyAlignment="1"/>
    <xf numFmtId="0" fontId="0" fillId="0" borderId="2" xfId="0" applyFill="1" applyBorder="1" applyAlignment="1">
      <alignment wrapText="1"/>
    </xf>
    <xf numFmtId="0" fontId="0" fillId="0" borderId="2" xfId="0" applyBorder="1" applyAlignment="1">
      <alignment vertical="center"/>
    </xf>
    <xf numFmtId="0" fontId="0" fillId="6" borderId="9" xfId="0" applyFill="1" applyBorder="1"/>
    <xf numFmtId="0" fontId="16" fillId="15" borderId="27" xfId="0" applyFont="1" applyFill="1" applyBorder="1" applyAlignment="1">
      <alignment horizontal="left" vertical="center" wrapText="1"/>
    </xf>
    <xf numFmtId="0" fontId="16" fillId="15" borderId="27" xfId="0" applyFont="1" applyFill="1" applyBorder="1"/>
    <xf numFmtId="0" fontId="16" fillId="15" borderId="40" xfId="0" applyFont="1" applyFill="1" applyBorder="1"/>
    <xf numFmtId="0" fontId="16" fillId="15" borderId="2" xfId="0" applyFont="1" applyFill="1" applyBorder="1" applyAlignment="1">
      <alignment horizontal="center" vertical="center" wrapText="1"/>
    </xf>
    <xf numFmtId="0" fontId="16" fillId="15" borderId="2" xfId="0" applyFont="1" applyFill="1" applyBorder="1"/>
    <xf numFmtId="0" fontId="16" fillId="15" borderId="1" xfId="0" applyFont="1" applyFill="1" applyBorder="1"/>
    <xf numFmtId="0" fontId="16" fillId="15" borderId="0" xfId="0" applyFont="1" applyFill="1"/>
    <xf numFmtId="0" fontId="5" fillId="2" borderId="2" xfId="0" applyFont="1" applyFill="1" applyBorder="1"/>
    <xf numFmtId="0" fontId="16" fillId="10" borderId="1" xfId="0" applyFont="1" applyFill="1" applyBorder="1"/>
    <xf numFmtId="0" fontId="16" fillId="10" borderId="27" xfId="0" applyFont="1" applyFill="1" applyBorder="1" applyAlignment="1">
      <alignment horizontal="left" vertical="center" wrapText="1"/>
    </xf>
    <xf numFmtId="0" fontId="16" fillId="10" borderId="27" xfId="0" applyFont="1" applyFill="1" applyBorder="1"/>
    <xf numFmtId="0" fontId="16" fillId="10" borderId="40" xfId="0" applyFont="1" applyFill="1" applyBorder="1"/>
    <xf numFmtId="0" fontId="16" fillId="10" borderId="2" xfId="0" applyFont="1" applyFill="1" applyBorder="1" applyAlignment="1">
      <alignment horizontal="center" vertical="center" wrapText="1"/>
    </xf>
    <xf numFmtId="0" fontId="16" fillId="10" borderId="2" xfId="0" applyFont="1" applyFill="1" applyBorder="1"/>
    <xf numFmtId="0" fontId="0" fillId="0" borderId="2" xfId="0" applyBorder="1" applyAlignment="1">
      <alignment horizontal="center" vertical="center"/>
    </xf>
    <xf numFmtId="164" fontId="0" fillId="0" borderId="2" xfId="0" applyNumberFormat="1" applyBorder="1" applyAlignment="1">
      <alignment horizontal="center" vertical="center"/>
    </xf>
    <xf numFmtId="0" fontId="0" fillId="0" borderId="2" xfId="0" applyBorder="1" applyAlignment="1">
      <alignment vertical="center" wrapText="1"/>
    </xf>
    <xf numFmtId="0" fontId="0" fillId="16" borderId="2" xfId="0" applyFill="1" applyBorder="1"/>
    <xf numFmtId="0" fontId="8" fillId="4" borderId="7" xfId="0" applyFont="1" applyFill="1" applyBorder="1" applyAlignment="1">
      <alignment horizontal="center" vertical="center"/>
    </xf>
    <xf numFmtId="0" fontId="8" fillId="4" borderId="24" xfId="0" applyFont="1" applyFill="1" applyBorder="1" applyAlignment="1">
      <alignment horizontal="center" vertical="center"/>
    </xf>
    <xf numFmtId="0" fontId="8" fillId="4" borderId="40" xfId="0" applyFont="1" applyFill="1" applyBorder="1" applyAlignment="1">
      <alignment horizontal="center" vertical="center"/>
    </xf>
    <xf numFmtId="0" fontId="8" fillId="4" borderId="7" xfId="0" applyFont="1" applyFill="1" applyBorder="1" applyAlignment="1">
      <alignment horizontal="center"/>
    </xf>
    <xf numFmtId="0" fontId="8" fillId="4" borderId="40" xfId="0" applyFont="1" applyFill="1" applyBorder="1" applyAlignment="1">
      <alignment horizontal="center"/>
    </xf>
    <xf numFmtId="0" fontId="0" fillId="0" borderId="21" xfId="0" applyBorder="1" applyAlignment="1">
      <alignment horizontal="left" vertical="center"/>
    </xf>
    <xf numFmtId="0" fontId="0" fillId="0" borderId="22" xfId="0" applyBorder="1" applyAlignment="1">
      <alignment horizontal="left" vertical="center"/>
    </xf>
    <xf numFmtId="0" fontId="0" fillId="0" borderId="23" xfId="0" applyBorder="1" applyAlignment="1">
      <alignment horizontal="left" vertical="center"/>
    </xf>
    <xf numFmtId="0" fontId="0" fillId="0" borderId="9" xfId="0" applyBorder="1" applyAlignment="1">
      <alignment horizontal="left" vertical="center"/>
    </xf>
    <xf numFmtId="0" fontId="0" fillId="0" borderId="2" xfId="0" applyBorder="1" applyAlignment="1">
      <alignment horizontal="left" vertical="center"/>
    </xf>
    <xf numFmtId="0" fontId="0" fillId="0" borderId="14" xfId="0" applyBorder="1" applyAlignment="1">
      <alignment horizontal="left"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5" xfId="0" applyBorder="1" applyAlignment="1">
      <alignment horizontal="center" vertical="center"/>
    </xf>
    <xf numFmtId="0" fontId="0" fillId="0" borderId="2" xfId="0" applyBorder="1" applyAlignment="1">
      <alignment horizontal="left" vertical="center" wrapText="1"/>
    </xf>
    <xf numFmtId="0" fontId="0" fillId="0" borderId="16" xfId="0" applyBorder="1" applyAlignment="1">
      <alignment horizontal="left" vertical="center"/>
    </xf>
    <xf numFmtId="0" fontId="0" fillId="0" borderId="5" xfId="0" applyBorder="1" applyAlignment="1">
      <alignment horizontal="left" vertical="center"/>
    </xf>
    <xf numFmtId="0" fontId="0" fillId="0" borderId="9" xfId="0" applyBorder="1" applyAlignment="1">
      <alignment horizontal="left" vertical="center" wrapText="1"/>
    </xf>
    <xf numFmtId="0" fontId="0" fillId="0" borderId="49" xfId="0" applyBorder="1" applyAlignment="1">
      <alignment horizontal="left" vertical="center"/>
    </xf>
    <xf numFmtId="0" fontId="0" fillId="0" borderId="7" xfId="0" applyBorder="1" applyAlignment="1">
      <alignment horizontal="left" vertical="center"/>
    </xf>
    <xf numFmtId="0" fontId="0" fillId="0" borderId="1" xfId="0" applyFill="1" applyBorder="1" applyAlignment="1">
      <alignment horizontal="left" vertical="center" wrapText="1"/>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1" xfId="0" applyBorder="1" applyAlignment="1">
      <alignment horizontal="left" vertical="center"/>
    </xf>
    <xf numFmtId="0" fontId="0" fillId="0" borderId="3" xfId="0" applyBorder="1" applyAlignment="1">
      <alignment horizontal="left" vertical="center"/>
    </xf>
    <xf numFmtId="0" fontId="0" fillId="0" borderId="33" xfId="0" applyBorder="1" applyAlignment="1">
      <alignment horizontal="center" vertical="center"/>
    </xf>
    <xf numFmtId="0" fontId="0" fillId="0" borderId="34" xfId="0" applyBorder="1" applyAlignment="1">
      <alignment horizontal="center" vertical="center"/>
    </xf>
    <xf numFmtId="0" fontId="0" fillId="0" borderId="17" xfId="0" applyBorder="1" applyAlignment="1">
      <alignment horizontal="left" vertical="center"/>
    </xf>
    <xf numFmtId="0" fontId="0" fillId="0" borderId="2" xfId="0" applyBorder="1" applyAlignment="1">
      <alignment vertical="center"/>
    </xf>
    <xf numFmtId="0" fontId="0" fillId="0" borderId="4" xfId="0" applyBorder="1" applyAlignment="1">
      <alignment horizontal="left" vertical="center"/>
    </xf>
    <xf numFmtId="0" fontId="0" fillId="5" borderId="3" xfId="0" applyFill="1" applyBorder="1" applyAlignment="1">
      <alignment horizontal="left" vertical="center"/>
    </xf>
    <xf numFmtId="0" fontId="0" fillId="5" borderId="4" xfId="0" applyFill="1" applyBorder="1" applyAlignment="1">
      <alignment horizontal="left" vertical="center"/>
    </xf>
    <xf numFmtId="0" fontId="0" fillId="5" borderId="1" xfId="0" applyFill="1" applyBorder="1" applyAlignment="1">
      <alignment horizontal="left" vertical="center"/>
    </xf>
    <xf numFmtId="0" fontId="0" fillId="0" borderId="10" xfId="0" applyBorder="1" applyAlignment="1">
      <alignment horizontal="left" vertical="center" wrapText="1"/>
    </xf>
    <xf numFmtId="0" fontId="0" fillId="0" borderId="12" xfId="0" applyBorder="1" applyAlignment="1">
      <alignment horizontal="left" vertical="center"/>
    </xf>
    <xf numFmtId="0" fontId="0" fillId="0" borderId="34" xfId="0" applyBorder="1" applyAlignment="1">
      <alignment horizontal="left" vertical="center"/>
    </xf>
    <xf numFmtId="0" fontId="0" fillId="0" borderId="15" xfId="0" applyBorder="1" applyAlignment="1">
      <alignment horizontal="left" vertical="center"/>
    </xf>
    <xf numFmtId="0" fontId="0" fillId="0" borderId="26" xfId="0" applyBorder="1" applyAlignment="1">
      <alignment horizontal="left" vertical="center"/>
    </xf>
    <xf numFmtId="0" fontId="0" fillId="0" borderId="28" xfId="0" applyBorder="1" applyAlignment="1">
      <alignment horizontal="left" vertical="center"/>
    </xf>
    <xf numFmtId="0" fontId="0" fillId="0" borderId="39" xfId="0" applyBorder="1" applyAlignment="1">
      <alignment horizontal="left" vertical="center"/>
    </xf>
    <xf numFmtId="0" fontId="0" fillId="0" borderId="30" xfId="0" applyBorder="1" applyAlignment="1">
      <alignment horizontal="left" vertical="center"/>
    </xf>
    <xf numFmtId="0" fontId="0" fillId="0" borderId="10" xfId="0" applyFill="1" applyBorder="1" applyAlignment="1">
      <alignment horizontal="left" vertical="center" wrapText="1"/>
    </xf>
    <xf numFmtId="0" fontId="0" fillId="0" borderId="12" xfId="0" applyFill="1" applyBorder="1" applyAlignment="1">
      <alignment horizontal="left" vertical="center"/>
    </xf>
    <xf numFmtId="0" fontId="0" fillId="0" borderId="34" xfId="0" applyFill="1" applyBorder="1" applyAlignment="1">
      <alignment horizontal="left" vertical="center"/>
    </xf>
    <xf numFmtId="0" fontId="0" fillId="0" borderId="15" xfId="0" applyFill="1" applyBorder="1" applyAlignment="1">
      <alignment horizontal="left" vertical="center"/>
    </xf>
    <xf numFmtId="0" fontId="0" fillId="0" borderId="4" xfId="0" applyFill="1" applyBorder="1" applyAlignment="1">
      <alignment horizontal="left" vertical="center"/>
    </xf>
    <xf numFmtId="0" fontId="0" fillId="0" borderId="1" xfId="0" applyFill="1" applyBorder="1" applyAlignment="1">
      <alignment horizontal="left" vertical="center"/>
    </xf>
    <xf numFmtId="0" fontId="0" fillId="0" borderId="2" xfId="0" applyBorder="1" applyAlignment="1">
      <alignment horizontal="center"/>
    </xf>
    <xf numFmtId="0" fontId="0" fillId="2" borderId="2" xfId="0" applyFill="1" applyBorder="1" applyAlignment="1"/>
    <xf numFmtId="0" fontId="0" fillId="0" borderId="2" xfId="0" applyBorder="1" applyAlignment="1">
      <alignment wrapText="1"/>
    </xf>
    <xf numFmtId="0" fontId="0" fillId="0" borderId="2" xfId="0" applyBorder="1" applyAlignment="1"/>
  </cellXfs>
  <cellStyles count="1">
    <cellStyle name="Normal" xfId="0" builtinId="0"/>
  </cellStyles>
  <dxfs count="438">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584200</xdr:colOff>
          <xdr:row>0</xdr:row>
          <xdr:rowOff>0</xdr:rowOff>
        </xdr:from>
        <xdr:to>
          <xdr:col>16</xdr:col>
          <xdr:colOff>603250</xdr:colOff>
          <xdr:row>1</xdr:row>
          <xdr:rowOff>76200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3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Query Group1 Fuse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AADE2D-416A-4B78-842F-14E2FFEB9387}">
  <sheetPr codeName="Sheet1"/>
  <dimension ref="A1:D21"/>
  <sheetViews>
    <sheetView workbookViewId="0"/>
  </sheetViews>
  <sheetFormatPr defaultRowHeight="14.5" x14ac:dyDescent="0.35"/>
  <cols>
    <col min="1" max="1" width="10" bestFit="1" customWidth="1"/>
    <col min="2" max="2" width="9.6328125" bestFit="1" customWidth="1"/>
    <col min="3" max="3" width="20.6328125" customWidth="1"/>
    <col min="4" max="4" width="126.90625" customWidth="1"/>
  </cols>
  <sheetData>
    <row r="1" spans="1:4" x14ac:dyDescent="0.35">
      <c r="A1" s="67" t="s">
        <v>565</v>
      </c>
      <c r="B1" s="68" t="s">
        <v>566</v>
      </c>
      <c r="C1" s="69" t="s">
        <v>567</v>
      </c>
      <c r="D1" s="70" t="s">
        <v>436</v>
      </c>
    </row>
    <row r="2" spans="1:4" x14ac:dyDescent="0.35">
      <c r="A2" s="71">
        <v>1</v>
      </c>
      <c r="B2" s="72">
        <v>43878</v>
      </c>
      <c r="C2" s="73" t="s">
        <v>568</v>
      </c>
      <c r="D2" s="74" t="s">
        <v>569</v>
      </c>
    </row>
    <row r="3" spans="1:4" x14ac:dyDescent="0.35">
      <c r="A3" s="71">
        <v>2</v>
      </c>
      <c r="B3" s="72">
        <v>43880</v>
      </c>
      <c r="C3" s="73" t="s">
        <v>568</v>
      </c>
      <c r="D3" s="75" t="s">
        <v>570</v>
      </c>
    </row>
    <row r="4" spans="1:4" x14ac:dyDescent="0.35">
      <c r="A4" s="71">
        <v>3</v>
      </c>
      <c r="B4" s="72">
        <v>43880</v>
      </c>
      <c r="C4" s="73" t="s">
        <v>568</v>
      </c>
      <c r="D4" s="75" t="s">
        <v>571</v>
      </c>
    </row>
    <row r="5" spans="1:4" x14ac:dyDescent="0.35">
      <c r="A5" s="71">
        <v>4</v>
      </c>
      <c r="B5" s="72">
        <v>43883</v>
      </c>
      <c r="C5" s="17" t="s">
        <v>568</v>
      </c>
      <c r="D5" s="17" t="s">
        <v>613</v>
      </c>
    </row>
    <row r="6" spans="1:4" x14ac:dyDescent="0.35">
      <c r="A6" s="71">
        <v>5</v>
      </c>
      <c r="B6" s="72">
        <v>43887</v>
      </c>
      <c r="C6" s="17" t="s">
        <v>619</v>
      </c>
      <c r="D6" s="17" t="s">
        <v>620</v>
      </c>
    </row>
    <row r="7" spans="1:4" x14ac:dyDescent="0.35">
      <c r="A7" s="71">
        <v>6</v>
      </c>
      <c r="B7" s="72">
        <v>43888</v>
      </c>
      <c r="C7" s="17" t="s">
        <v>568</v>
      </c>
      <c r="D7" s="17" t="s">
        <v>621</v>
      </c>
    </row>
    <row r="8" spans="1:4" x14ac:dyDescent="0.35">
      <c r="A8" s="71">
        <v>7</v>
      </c>
      <c r="B8" s="72">
        <v>43889</v>
      </c>
      <c r="C8" s="17" t="s">
        <v>568</v>
      </c>
      <c r="D8" s="17" t="s">
        <v>665</v>
      </c>
    </row>
    <row r="9" spans="1:4" x14ac:dyDescent="0.35">
      <c r="A9" s="71">
        <v>8</v>
      </c>
      <c r="B9" s="72">
        <v>43893</v>
      </c>
      <c r="C9" s="17" t="s">
        <v>568</v>
      </c>
      <c r="D9" s="17" t="s">
        <v>666</v>
      </c>
    </row>
    <row r="10" spans="1:4" s="16" customFormat="1" x14ac:dyDescent="0.35">
      <c r="A10" s="71">
        <v>9</v>
      </c>
      <c r="B10" s="72">
        <v>43899</v>
      </c>
      <c r="C10" s="17" t="s">
        <v>568</v>
      </c>
      <c r="D10" s="17" t="s">
        <v>680</v>
      </c>
    </row>
    <row r="11" spans="1:4" x14ac:dyDescent="0.35">
      <c r="A11" s="71">
        <v>10</v>
      </c>
      <c r="B11" s="72">
        <v>43899</v>
      </c>
      <c r="C11" s="17" t="s">
        <v>568</v>
      </c>
      <c r="D11" s="17" t="s">
        <v>681</v>
      </c>
    </row>
    <row r="12" spans="1:4" x14ac:dyDescent="0.35">
      <c r="A12" s="71">
        <v>11</v>
      </c>
      <c r="B12" s="72">
        <v>43903</v>
      </c>
      <c r="C12" s="17" t="s">
        <v>568</v>
      </c>
      <c r="D12" s="17" t="s">
        <v>687</v>
      </c>
    </row>
    <row r="13" spans="1:4" x14ac:dyDescent="0.35">
      <c r="A13" s="71">
        <v>12</v>
      </c>
      <c r="B13" s="72">
        <v>43904</v>
      </c>
      <c r="C13" s="17" t="s">
        <v>568</v>
      </c>
      <c r="D13" s="17" t="s">
        <v>688</v>
      </c>
    </row>
    <row r="14" spans="1:4" x14ac:dyDescent="0.35">
      <c r="A14" s="71">
        <v>13</v>
      </c>
      <c r="B14" s="72">
        <v>43916</v>
      </c>
      <c r="C14" s="17" t="s">
        <v>568</v>
      </c>
      <c r="D14" s="17" t="s">
        <v>849</v>
      </c>
    </row>
    <row r="15" spans="1:4" ht="29" x14ac:dyDescent="0.35">
      <c r="A15" s="175">
        <v>14</v>
      </c>
      <c r="B15" s="176">
        <v>43920</v>
      </c>
      <c r="C15" s="154" t="s">
        <v>568</v>
      </c>
      <c r="D15" s="177" t="s">
        <v>850</v>
      </c>
    </row>
    <row r="16" spans="1:4" ht="87" x14ac:dyDescent="0.35">
      <c r="A16" s="175">
        <v>15</v>
      </c>
      <c r="B16" s="176">
        <v>43979</v>
      </c>
      <c r="C16" s="159" t="s">
        <v>568</v>
      </c>
      <c r="D16" s="177" t="s">
        <v>925</v>
      </c>
    </row>
    <row r="17" spans="1:4" x14ac:dyDescent="0.35">
      <c r="A17" s="17"/>
      <c r="B17" s="17"/>
      <c r="C17" s="17"/>
      <c r="D17" s="17"/>
    </row>
    <row r="18" spans="1:4" x14ac:dyDescent="0.35">
      <c r="A18" s="17"/>
      <c r="B18" s="17"/>
      <c r="C18" s="17"/>
      <c r="D18" s="17"/>
    </row>
    <row r="19" spans="1:4" x14ac:dyDescent="0.35">
      <c r="A19" s="17"/>
      <c r="B19" s="17"/>
      <c r="C19" s="17"/>
      <c r="D19" s="17"/>
    </row>
    <row r="20" spans="1:4" x14ac:dyDescent="0.35">
      <c r="A20" s="17"/>
      <c r="B20" s="17"/>
      <c r="C20" s="17"/>
      <c r="D20" s="17"/>
    </row>
    <row r="21" spans="1:4" x14ac:dyDescent="0.35">
      <c r="A21" s="17"/>
      <c r="B21" s="17"/>
      <c r="C21" s="17"/>
      <c r="D21" s="17"/>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4D548A-03C4-4A49-9FBA-5F0BEDAC79C1}">
  <sheetPr codeName="Sheet2"/>
  <dimension ref="A1:AD71"/>
  <sheetViews>
    <sheetView tabSelected="1" workbookViewId="0">
      <pane xSplit="7" ySplit="4" topLeftCell="X5" activePane="bottomRight" state="frozen"/>
      <selection pane="topRight" activeCell="H1" sqref="H1"/>
      <selection pane="bottomLeft" activeCell="A5" sqref="A5"/>
      <selection pane="bottomRight" activeCell="Y20" sqref="Y20"/>
    </sheetView>
  </sheetViews>
  <sheetFormatPr defaultRowHeight="14.5" x14ac:dyDescent="0.35"/>
  <cols>
    <col min="1" max="1" width="32.6328125" bestFit="1" customWidth="1"/>
    <col min="2" max="2" width="7.6328125" style="16" customWidth="1"/>
    <col min="3" max="4" width="6.36328125" style="16" customWidth="1"/>
    <col min="5" max="5" width="6.08984375" customWidth="1"/>
    <col min="6" max="6" width="5.08984375" customWidth="1"/>
    <col min="7" max="7" width="6.08984375" customWidth="1"/>
    <col min="8" max="15" width="7.453125" customWidth="1"/>
    <col min="30" max="30" width="124.81640625" customWidth="1"/>
  </cols>
  <sheetData>
    <row r="1" spans="1:30" s="16" customFormat="1" ht="20.399999999999999" customHeight="1" x14ac:dyDescent="0.35">
      <c r="A1" s="16" t="s">
        <v>625</v>
      </c>
      <c r="B1" s="16" t="str">
        <f>CONCATENATE(A1,"!A2:AA100")</f>
        <v>Config!A2:AA100</v>
      </c>
      <c r="E1" s="16" t="str">
        <f>CONCATENATE(A1,"!B3:AA4")</f>
        <v>Config!B3:AA4</v>
      </c>
    </row>
    <row r="2" spans="1:30" s="16" customFormat="1" x14ac:dyDescent="0.35">
      <c r="A2" s="25"/>
      <c r="B2" s="25" t="s">
        <v>431</v>
      </c>
      <c r="C2" s="182" t="s">
        <v>647</v>
      </c>
      <c r="D2" s="183"/>
      <c r="E2" s="179" t="s">
        <v>404</v>
      </c>
      <c r="F2" s="180"/>
      <c r="G2" s="181"/>
      <c r="H2" s="25"/>
      <c r="I2" s="25"/>
      <c r="J2" s="25"/>
      <c r="K2" s="25"/>
      <c r="L2" s="25"/>
      <c r="M2" s="25"/>
      <c r="N2" s="25"/>
      <c r="O2" s="25"/>
      <c r="P2" s="25"/>
      <c r="Q2" s="25"/>
      <c r="R2" s="25"/>
      <c r="S2" s="25"/>
      <c r="T2" s="25"/>
      <c r="U2" s="25"/>
      <c r="V2" s="25"/>
      <c r="W2" s="25"/>
      <c r="X2" s="25"/>
      <c r="Y2" s="25"/>
      <c r="Z2" s="25"/>
      <c r="AA2" s="25"/>
      <c r="AB2" s="25"/>
      <c r="AC2" s="25"/>
      <c r="AD2" s="25"/>
    </row>
    <row r="3" spans="1:30" s="16" customFormat="1" ht="58" x14ac:dyDescent="0.35">
      <c r="A3" s="26" t="s">
        <v>403</v>
      </c>
      <c r="B3" s="26" t="s">
        <v>398</v>
      </c>
      <c r="C3" s="132" t="s">
        <v>645</v>
      </c>
      <c r="D3" s="132" t="s">
        <v>646</v>
      </c>
      <c r="E3" s="81" t="s">
        <v>622</v>
      </c>
      <c r="F3" s="81" t="s">
        <v>623</v>
      </c>
      <c r="G3" s="81" t="s">
        <v>624</v>
      </c>
      <c r="H3" s="82"/>
      <c r="I3" s="82"/>
      <c r="J3" s="82"/>
      <c r="K3" s="82"/>
      <c r="L3" s="82"/>
      <c r="M3" s="82"/>
      <c r="N3" s="82"/>
      <c r="O3" s="82"/>
      <c r="P3" s="82"/>
      <c r="Q3" s="82"/>
      <c r="R3" s="82"/>
      <c r="S3" s="82"/>
      <c r="T3" s="82"/>
      <c r="U3" s="82"/>
      <c r="V3" s="82"/>
      <c r="W3" s="82"/>
      <c r="X3" s="82"/>
      <c r="Y3" s="82"/>
      <c r="Z3" s="82"/>
      <c r="AA3" s="82"/>
      <c r="AB3" s="82"/>
      <c r="AC3" s="82"/>
      <c r="AD3" s="82"/>
    </row>
    <row r="4" spans="1:30" s="16" customFormat="1" x14ac:dyDescent="0.35">
      <c r="A4" s="28" t="s">
        <v>405</v>
      </c>
      <c r="B4" s="27">
        <v>2</v>
      </c>
      <c r="C4" s="79">
        <v>3</v>
      </c>
      <c r="D4" s="79">
        <v>4</v>
      </c>
      <c r="E4" s="79">
        <v>5</v>
      </c>
      <c r="F4" s="79">
        <v>6</v>
      </c>
      <c r="G4" s="79">
        <v>7</v>
      </c>
      <c r="H4" s="79">
        <v>8</v>
      </c>
      <c r="I4" s="79">
        <v>9</v>
      </c>
      <c r="J4" s="79">
        <v>10</v>
      </c>
      <c r="K4" s="79">
        <v>11</v>
      </c>
      <c r="L4" s="79">
        <v>12</v>
      </c>
      <c r="M4" s="79">
        <v>13</v>
      </c>
      <c r="N4" s="79">
        <v>14</v>
      </c>
      <c r="O4" s="79">
        <v>15</v>
      </c>
      <c r="P4" s="79">
        <v>16</v>
      </c>
      <c r="Q4" s="79">
        <v>17</v>
      </c>
      <c r="R4" s="79">
        <v>18</v>
      </c>
      <c r="S4" s="79">
        <v>19</v>
      </c>
      <c r="T4" s="79">
        <v>20</v>
      </c>
      <c r="U4" s="79">
        <v>21</v>
      </c>
      <c r="V4" s="79">
        <v>22</v>
      </c>
      <c r="W4" s="79">
        <v>23</v>
      </c>
      <c r="X4" s="79">
        <v>24</v>
      </c>
      <c r="Y4" s="79">
        <v>25</v>
      </c>
      <c r="Z4" s="79">
        <v>26</v>
      </c>
      <c r="AA4" s="79">
        <v>27</v>
      </c>
      <c r="AB4" s="79">
        <v>28</v>
      </c>
      <c r="AC4" s="79">
        <v>29</v>
      </c>
      <c r="AD4" s="79" t="s">
        <v>436</v>
      </c>
    </row>
    <row r="5" spans="1:30" ht="13.5" customHeight="1" x14ac:dyDescent="0.35">
      <c r="A5" s="52" t="s">
        <v>128</v>
      </c>
      <c r="B5" s="17">
        <v>1</v>
      </c>
      <c r="C5" s="17">
        <v>1</v>
      </c>
      <c r="D5" s="17">
        <v>1</v>
      </c>
      <c r="E5" s="17">
        <v>1</v>
      </c>
      <c r="F5" s="17">
        <v>0</v>
      </c>
      <c r="G5" s="17">
        <v>0</v>
      </c>
      <c r="H5" s="17"/>
      <c r="I5" s="17"/>
      <c r="J5" s="17"/>
      <c r="K5" s="17"/>
      <c r="L5" s="17"/>
      <c r="M5" s="17"/>
      <c r="N5" s="17"/>
      <c r="O5" s="17"/>
      <c r="P5" s="17"/>
      <c r="Q5" s="17"/>
      <c r="R5" s="17"/>
      <c r="S5" s="17"/>
      <c r="T5" s="17"/>
      <c r="U5" s="17"/>
      <c r="V5" s="17"/>
      <c r="W5" s="17"/>
      <c r="X5" s="17"/>
      <c r="Y5" s="17"/>
      <c r="Z5" s="17"/>
      <c r="AA5" s="17"/>
      <c r="AB5" s="17"/>
      <c r="AC5" s="17"/>
      <c r="AD5" s="17" t="s">
        <v>888</v>
      </c>
    </row>
    <row r="6" spans="1:30" ht="13.5" customHeight="1" x14ac:dyDescent="0.35">
      <c r="A6" s="52" t="s">
        <v>175</v>
      </c>
      <c r="B6" s="17">
        <v>1</v>
      </c>
      <c r="C6" s="17">
        <v>1</v>
      </c>
      <c r="D6" s="17">
        <v>1</v>
      </c>
      <c r="E6" s="17">
        <v>1</v>
      </c>
      <c r="F6" s="17">
        <v>0</v>
      </c>
      <c r="G6" s="17">
        <v>0</v>
      </c>
      <c r="H6" s="17"/>
      <c r="I6" s="17"/>
      <c r="J6" s="17"/>
      <c r="K6" s="17"/>
      <c r="L6" s="17"/>
      <c r="M6" s="17"/>
      <c r="N6" s="17"/>
      <c r="O6" s="17"/>
      <c r="P6" s="17"/>
      <c r="Q6" s="17"/>
      <c r="R6" s="17"/>
      <c r="S6" s="17"/>
      <c r="T6" s="17"/>
      <c r="U6" s="17"/>
      <c r="V6" s="17"/>
      <c r="W6" s="17"/>
      <c r="X6" s="17"/>
      <c r="Y6" s="17"/>
      <c r="Z6" s="17"/>
      <c r="AA6" s="17"/>
      <c r="AB6" s="17"/>
      <c r="AC6" s="17"/>
      <c r="AD6" s="17" t="s">
        <v>889</v>
      </c>
    </row>
    <row r="7" spans="1:30" ht="13.5" customHeight="1" x14ac:dyDescent="0.35">
      <c r="A7" s="52" t="s">
        <v>648</v>
      </c>
      <c r="B7" s="17">
        <v>1</v>
      </c>
      <c r="C7" s="17">
        <v>1</v>
      </c>
      <c r="D7" s="17">
        <v>1</v>
      </c>
      <c r="E7" s="17">
        <v>1</v>
      </c>
      <c r="F7" s="17">
        <v>0</v>
      </c>
      <c r="G7" s="17">
        <v>0</v>
      </c>
      <c r="H7" s="17"/>
      <c r="I7" s="17"/>
      <c r="J7" s="17"/>
      <c r="K7" s="17"/>
      <c r="L7" s="17"/>
      <c r="M7" s="17"/>
      <c r="N7" s="17"/>
      <c r="O7" s="17"/>
      <c r="P7" s="17"/>
      <c r="Q7" s="17"/>
      <c r="R7" s="17"/>
      <c r="S7" s="17"/>
      <c r="T7" s="17"/>
      <c r="U7" s="17"/>
      <c r="V7" s="17"/>
      <c r="W7" s="17"/>
      <c r="X7" s="17"/>
      <c r="Y7" s="17"/>
      <c r="Z7" s="17"/>
      <c r="AA7" s="17"/>
      <c r="AB7" s="17"/>
      <c r="AC7" s="17"/>
      <c r="AD7" s="17" t="s">
        <v>890</v>
      </c>
    </row>
    <row r="8" spans="1:30" ht="13.5" customHeight="1" x14ac:dyDescent="0.35">
      <c r="A8" s="52" t="s">
        <v>241</v>
      </c>
      <c r="B8" s="17">
        <v>1</v>
      </c>
      <c r="C8" s="17">
        <v>1</v>
      </c>
      <c r="D8" s="17">
        <v>1</v>
      </c>
      <c r="E8" s="17">
        <v>1</v>
      </c>
      <c r="F8" s="17">
        <v>1</v>
      </c>
      <c r="G8" s="17">
        <v>0</v>
      </c>
      <c r="H8" s="17"/>
      <c r="I8" s="17"/>
      <c r="J8" s="17"/>
      <c r="K8" s="17"/>
      <c r="L8" s="17"/>
      <c r="M8" s="17"/>
      <c r="N8" s="17"/>
      <c r="O8" s="17"/>
      <c r="P8" s="17"/>
      <c r="Q8" s="17"/>
      <c r="R8" s="17"/>
      <c r="S8" s="17"/>
      <c r="T8" s="17"/>
      <c r="U8" s="17"/>
      <c r="V8" s="17"/>
      <c r="W8" s="17"/>
      <c r="X8" s="17"/>
      <c r="Y8" s="17"/>
      <c r="Z8" s="17"/>
      <c r="AA8" s="17"/>
      <c r="AB8" s="17"/>
      <c r="AC8" s="17"/>
      <c r="AD8" s="17" t="s">
        <v>888</v>
      </c>
    </row>
    <row r="9" spans="1:30" ht="13.5" customHeight="1" x14ac:dyDescent="0.35">
      <c r="A9" s="152" t="s">
        <v>72</v>
      </c>
      <c r="B9" s="17">
        <v>1</v>
      </c>
      <c r="C9" s="17">
        <v>1</v>
      </c>
      <c r="D9" s="17">
        <v>1</v>
      </c>
      <c r="E9" s="17">
        <v>0</v>
      </c>
      <c r="F9" s="17">
        <v>1</v>
      </c>
      <c r="G9" s="17">
        <v>0</v>
      </c>
      <c r="H9" s="17"/>
      <c r="I9" s="17"/>
      <c r="J9" s="17"/>
      <c r="K9" s="17"/>
      <c r="L9" s="17"/>
      <c r="M9" s="17"/>
      <c r="N9" s="17"/>
      <c r="O9" s="17"/>
      <c r="P9" s="17"/>
      <c r="Q9" s="17"/>
      <c r="R9" s="17"/>
      <c r="S9" s="17"/>
      <c r="T9" s="17"/>
      <c r="U9" s="17"/>
      <c r="V9" s="17"/>
      <c r="W9" s="17"/>
      <c r="X9" s="17"/>
      <c r="Y9" s="17"/>
      <c r="Z9" s="17"/>
      <c r="AA9" s="17"/>
      <c r="AB9" s="17"/>
      <c r="AC9" s="17"/>
      <c r="AD9" s="228" t="s">
        <v>860</v>
      </c>
    </row>
    <row r="10" spans="1:30" ht="13.5" customHeight="1" x14ac:dyDescent="0.35">
      <c r="A10" s="152" t="s">
        <v>231</v>
      </c>
      <c r="B10" s="17">
        <v>1</v>
      </c>
      <c r="C10" s="17">
        <v>1</v>
      </c>
      <c r="D10" s="17">
        <v>1</v>
      </c>
      <c r="E10" s="17">
        <v>1</v>
      </c>
      <c r="F10" s="17">
        <v>0</v>
      </c>
      <c r="G10" s="17">
        <v>0</v>
      </c>
      <c r="H10" s="17"/>
      <c r="I10" s="17"/>
      <c r="J10" s="17"/>
      <c r="K10" s="17"/>
      <c r="L10" s="17"/>
      <c r="M10" s="17"/>
      <c r="N10" s="17"/>
      <c r="O10" s="17"/>
      <c r="P10" s="17"/>
      <c r="Q10" s="17"/>
      <c r="R10" s="17"/>
      <c r="S10" s="17"/>
      <c r="T10" s="17"/>
      <c r="U10" s="17"/>
      <c r="V10" s="17"/>
      <c r="W10" s="17"/>
      <c r="X10" s="17"/>
      <c r="Y10" s="17"/>
      <c r="Z10" s="17"/>
      <c r="AA10" s="17"/>
      <c r="AB10" s="17"/>
      <c r="AC10" s="17"/>
      <c r="AD10" s="228" t="s">
        <v>861</v>
      </c>
    </row>
    <row r="11" spans="1:30" ht="13.5" customHeight="1" x14ac:dyDescent="0.35">
      <c r="A11" s="152" t="s">
        <v>406</v>
      </c>
      <c r="B11" s="17">
        <v>13</v>
      </c>
      <c r="C11" s="17">
        <v>15</v>
      </c>
      <c r="D11" s="17">
        <v>15</v>
      </c>
      <c r="E11" s="17">
        <v>13</v>
      </c>
      <c r="F11" s="17">
        <v>5</v>
      </c>
      <c r="G11" s="17">
        <v>5</v>
      </c>
      <c r="H11" s="17"/>
      <c r="I11" s="17"/>
      <c r="J11" s="17"/>
      <c r="K11" s="17"/>
      <c r="L11" s="17"/>
      <c r="M11" s="17"/>
      <c r="N11" s="17"/>
      <c r="O11" s="17"/>
      <c r="P11" s="17"/>
      <c r="Q11" s="17"/>
      <c r="R11" s="17"/>
      <c r="S11" s="17"/>
      <c r="T11" s="17"/>
      <c r="U11" s="17"/>
      <c r="V11" s="17"/>
      <c r="W11" s="17"/>
      <c r="X11" s="17"/>
      <c r="Y11" s="17"/>
      <c r="Z11" s="17"/>
      <c r="AA11" s="17"/>
      <c r="AB11" s="17"/>
      <c r="AC11" s="17"/>
      <c r="AD11" s="228" t="s">
        <v>862</v>
      </c>
    </row>
    <row r="12" spans="1:30" ht="13.5" customHeight="1" x14ac:dyDescent="0.35">
      <c r="A12" s="52" t="s">
        <v>649</v>
      </c>
      <c r="B12" s="17">
        <v>0</v>
      </c>
      <c r="C12" s="17">
        <v>0</v>
      </c>
      <c r="D12" s="17">
        <v>0</v>
      </c>
      <c r="E12" s="17">
        <v>0</v>
      </c>
      <c r="F12" s="17">
        <v>0</v>
      </c>
      <c r="G12" s="17">
        <v>0</v>
      </c>
      <c r="H12" s="17"/>
      <c r="I12" s="17"/>
      <c r="J12" s="17"/>
      <c r="K12" s="17"/>
      <c r="L12" s="17"/>
      <c r="M12" s="17"/>
      <c r="N12" s="17"/>
      <c r="O12" s="17"/>
      <c r="P12" s="17"/>
      <c r="Q12" s="17"/>
      <c r="R12" s="17"/>
      <c r="S12" s="17"/>
      <c r="T12" s="17"/>
      <c r="U12" s="17"/>
      <c r="V12" s="17"/>
      <c r="W12" s="17"/>
      <c r="X12" s="17"/>
      <c r="Y12" s="17"/>
      <c r="Z12" s="17"/>
      <c r="AA12" s="17"/>
      <c r="AB12" s="17"/>
      <c r="AC12" s="17"/>
      <c r="AD12" s="17" t="s">
        <v>891</v>
      </c>
    </row>
    <row r="13" spans="1:30" ht="13.5" customHeight="1" x14ac:dyDescent="0.35">
      <c r="A13" s="54" t="s">
        <v>249</v>
      </c>
      <c r="B13" s="17">
        <v>0</v>
      </c>
      <c r="C13" s="17">
        <v>1</v>
      </c>
      <c r="D13" s="17">
        <v>1</v>
      </c>
      <c r="E13" s="17">
        <v>0</v>
      </c>
      <c r="F13" s="17">
        <v>0</v>
      </c>
      <c r="G13" s="17">
        <v>0</v>
      </c>
      <c r="H13" s="17"/>
      <c r="I13" s="17"/>
      <c r="J13" s="17"/>
      <c r="K13" s="17"/>
      <c r="L13" s="17"/>
      <c r="M13" s="17"/>
      <c r="N13" s="17"/>
      <c r="O13" s="17"/>
      <c r="P13" s="17"/>
      <c r="Q13" s="17"/>
      <c r="R13" s="17"/>
      <c r="S13" s="17"/>
      <c r="T13" s="17"/>
      <c r="U13" s="17"/>
      <c r="V13" s="17"/>
      <c r="W13" s="17"/>
      <c r="X13" s="17"/>
      <c r="Y13" s="17"/>
      <c r="Z13" s="17"/>
      <c r="AA13" s="17"/>
      <c r="AB13" s="17"/>
      <c r="AC13" s="17"/>
      <c r="AD13" s="17" t="s">
        <v>892</v>
      </c>
    </row>
    <row r="14" spans="1:30" ht="13.5" customHeight="1" x14ac:dyDescent="0.35">
      <c r="A14" s="152" t="s">
        <v>549</v>
      </c>
      <c r="B14" s="17">
        <v>0</v>
      </c>
      <c r="C14" s="17">
        <v>0</v>
      </c>
      <c r="D14" s="17">
        <v>0</v>
      </c>
      <c r="E14" s="17">
        <v>0</v>
      </c>
      <c r="F14" s="17">
        <v>0</v>
      </c>
      <c r="G14" s="17">
        <v>1</v>
      </c>
      <c r="H14" s="17"/>
      <c r="I14" s="17"/>
      <c r="J14" s="17"/>
      <c r="K14" s="17"/>
      <c r="L14" s="17"/>
      <c r="M14" s="17"/>
      <c r="N14" s="17"/>
      <c r="O14" s="17"/>
      <c r="P14" s="17"/>
      <c r="Q14" s="17"/>
      <c r="R14" s="17"/>
      <c r="S14" s="17"/>
      <c r="T14" s="17"/>
      <c r="U14" s="17"/>
      <c r="V14" s="17"/>
      <c r="W14" s="17"/>
      <c r="X14" s="17"/>
      <c r="Y14" s="17"/>
      <c r="Z14" s="17"/>
      <c r="AA14" s="17"/>
      <c r="AB14" s="17"/>
      <c r="AC14" s="17"/>
      <c r="AD14" s="228" t="s">
        <v>863</v>
      </c>
    </row>
    <row r="15" spans="1:30" ht="13.5" customHeight="1" x14ac:dyDescent="0.35">
      <c r="A15" s="52" t="s">
        <v>150</v>
      </c>
      <c r="B15" s="17">
        <v>1</v>
      </c>
      <c r="C15" s="17">
        <v>1</v>
      </c>
      <c r="D15" s="17">
        <v>1</v>
      </c>
      <c r="E15" s="17">
        <v>1</v>
      </c>
      <c r="F15" s="17">
        <v>0</v>
      </c>
      <c r="G15" s="17">
        <v>0</v>
      </c>
      <c r="H15" s="17"/>
      <c r="I15" s="17"/>
      <c r="J15" s="17"/>
      <c r="K15" s="17"/>
      <c r="L15" s="17"/>
      <c r="M15" s="17"/>
      <c r="N15" s="17"/>
      <c r="O15" s="17"/>
      <c r="P15" s="17"/>
      <c r="Q15" s="17"/>
      <c r="R15" s="17"/>
      <c r="S15" s="17"/>
      <c r="T15" s="17"/>
      <c r="U15" s="17"/>
      <c r="V15" s="17"/>
      <c r="W15" s="17"/>
      <c r="X15" s="17"/>
      <c r="Y15" s="17"/>
      <c r="Z15" s="17"/>
      <c r="AA15" s="17"/>
      <c r="AB15" s="17"/>
      <c r="AC15" s="17"/>
      <c r="AD15" s="17" t="s">
        <v>893</v>
      </c>
    </row>
    <row r="16" spans="1:30" ht="13.5" customHeight="1" x14ac:dyDescent="0.35">
      <c r="A16" s="52" t="s">
        <v>389</v>
      </c>
      <c r="B16" s="17">
        <v>0</v>
      </c>
      <c r="C16" s="17">
        <v>0</v>
      </c>
      <c r="D16" s="17">
        <v>0</v>
      </c>
      <c r="E16" s="17">
        <v>0</v>
      </c>
      <c r="F16" s="17">
        <v>0</v>
      </c>
      <c r="G16" s="17">
        <v>0</v>
      </c>
      <c r="H16" s="17"/>
      <c r="I16" s="17"/>
      <c r="J16" s="17"/>
      <c r="K16" s="17"/>
      <c r="L16" s="17"/>
      <c r="M16" s="17"/>
      <c r="N16" s="17"/>
      <c r="O16" s="17"/>
      <c r="P16" s="17"/>
      <c r="Q16" s="17"/>
      <c r="R16" s="17"/>
      <c r="S16" s="17"/>
      <c r="T16" s="17"/>
      <c r="U16" s="17"/>
      <c r="V16" s="17"/>
      <c r="W16" s="17"/>
      <c r="X16" s="17"/>
      <c r="Y16" s="17"/>
      <c r="Z16" s="17"/>
      <c r="AA16" s="17"/>
      <c r="AB16" s="17"/>
      <c r="AC16" s="17"/>
      <c r="AD16" s="17" t="s">
        <v>894</v>
      </c>
    </row>
    <row r="17" spans="1:30" s="16" customFormat="1" ht="13.5" customHeight="1" x14ac:dyDescent="0.35">
      <c r="A17" s="52" t="s">
        <v>870</v>
      </c>
      <c r="B17" s="17">
        <v>0</v>
      </c>
      <c r="C17" s="17">
        <v>0</v>
      </c>
      <c r="D17" s="17">
        <v>0</v>
      </c>
      <c r="E17" s="17">
        <v>0</v>
      </c>
      <c r="F17" s="17">
        <v>0</v>
      </c>
      <c r="G17" s="17">
        <v>0</v>
      </c>
      <c r="H17" s="17"/>
      <c r="I17" s="17"/>
      <c r="J17" s="17"/>
      <c r="K17" s="17"/>
      <c r="L17" s="17"/>
      <c r="M17" s="17"/>
      <c r="N17" s="17"/>
      <c r="O17" s="17"/>
      <c r="P17" s="17"/>
      <c r="Q17" s="17"/>
      <c r="R17" s="17"/>
      <c r="S17" s="17"/>
      <c r="T17" s="17"/>
      <c r="U17" s="17"/>
      <c r="V17" s="17"/>
      <c r="W17" s="17"/>
      <c r="X17" s="17"/>
      <c r="Y17" s="17"/>
      <c r="Z17" s="17"/>
      <c r="AA17" s="17"/>
      <c r="AB17" s="17"/>
      <c r="AC17" s="17"/>
      <c r="AD17" s="228" t="s">
        <v>869</v>
      </c>
    </row>
    <row r="18" spans="1:30" ht="13.5" customHeight="1" x14ac:dyDescent="0.35">
      <c r="A18" s="54" t="s">
        <v>228</v>
      </c>
      <c r="B18" s="17">
        <v>0</v>
      </c>
      <c r="C18" s="17">
        <v>1</v>
      </c>
      <c r="D18" s="17">
        <v>1</v>
      </c>
      <c r="E18" s="17">
        <v>0</v>
      </c>
      <c r="F18" s="17">
        <v>0</v>
      </c>
      <c r="G18" s="17">
        <v>0</v>
      </c>
      <c r="H18" s="17"/>
      <c r="I18" s="17"/>
      <c r="J18" s="17"/>
      <c r="K18" s="17"/>
      <c r="L18" s="17"/>
      <c r="M18" s="17"/>
      <c r="N18" s="17"/>
      <c r="O18" s="17"/>
      <c r="P18" s="17"/>
      <c r="Q18" s="17"/>
      <c r="R18" s="17"/>
      <c r="S18" s="17"/>
      <c r="T18" s="17"/>
      <c r="U18" s="17"/>
      <c r="V18" s="17"/>
      <c r="W18" s="17"/>
      <c r="X18" s="17"/>
      <c r="Y18" s="17"/>
      <c r="Z18" s="17"/>
      <c r="AA18" s="17"/>
      <c r="AB18" s="17"/>
      <c r="AC18" s="17"/>
      <c r="AD18" s="17" t="s">
        <v>895</v>
      </c>
    </row>
    <row r="19" spans="1:30" ht="13.5" customHeight="1" x14ac:dyDescent="0.35">
      <c r="A19" s="54" t="s">
        <v>189</v>
      </c>
      <c r="B19" s="17">
        <v>1</v>
      </c>
      <c r="C19" s="17">
        <v>1</v>
      </c>
      <c r="D19" s="17">
        <v>1</v>
      </c>
      <c r="E19" s="17">
        <v>1</v>
      </c>
      <c r="F19" s="17">
        <v>0</v>
      </c>
      <c r="G19" s="17">
        <v>0</v>
      </c>
      <c r="H19" s="17"/>
      <c r="I19" s="17"/>
      <c r="J19" s="17"/>
      <c r="K19" s="17"/>
      <c r="L19" s="17"/>
      <c r="M19" s="17"/>
      <c r="N19" s="17"/>
      <c r="O19" s="17"/>
      <c r="P19" s="17"/>
      <c r="Q19" s="17"/>
      <c r="R19" s="17"/>
      <c r="S19" s="17"/>
      <c r="T19" s="17"/>
      <c r="U19" s="17"/>
      <c r="V19" s="17"/>
      <c r="W19" s="17"/>
      <c r="X19" s="17"/>
      <c r="Y19" s="17"/>
      <c r="Z19" s="17"/>
      <c r="AA19" s="17"/>
      <c r="AB19" s="17"/>
      <c r="AC19" s="17"/>
      <c r="AD19" s="17" t="s">
        <v>896</v>
      </c>
    </row>
    <row r="20" spans="1:30" ht="13.5" customHeight="1" x14ac:dyDescent="0.35">
      <c r="A20" s="52" t="s">
        <v>650</v>
      </c>
      <c r="B20" s="17">
        <v>1</v>
      </c>
      <c r="C20" s="17">
        <v>1</v>
      </c>
      <c r="D20" s="17">
        <v>1</v>
      </c>
      <c r="E20" s="17">
        <v>1</v>
      </c>
      <c r="F20" s="17">
        <v>0</v>
      </c>
      <c r="G20" s="17">
        <v>1</v>
      </c>
      <c r="H20" s="17"/>
      <c r="I20" s="17"/>
      <c r="J20" s="17"/>
      <c r="K20" s="17"/>
      <c r="L20" s="17"/>
      <c r="M20" s="17"/>
      <c r="N20" s="17"/>
      <c r="O20" s="17"/>
      <c r="P20" s="17"/>
      <c r="Q20" s="17"/>
      <c r="R20" s="17"/>
      <c r="S20" s="17"/>
      <c r="T20" s="17"/>
      <c r="U20" s="17"/>
      <c r="V20" s="17"/>
      <c r="W20" s="17"/>
      <c r="X20" s="17"/>
      <c r="Y20" s="17"/>
      <c r="Z20" s="17"/>
      <c r="AA20" s="17"/>
      <c r="AB20" s="17"/>
      <c r="AC20" s="17"/>
      <c r="AD20" s="17" t="s">
        <v>897</v>
      </c>
    </row>
    <row r="21" spans="1:30" ht="13.5" customHeight="1" x14ac:dyDescent="0.35">
      <c r="A21" s="52" t="s">
        <v>651</v>
      </c>
      <c r="B21" s="17">
        <v>1</v>
      </c>
      <c r="C21" s="17">
        <v>1</v>
      </c>
      <c r="D21" s="17">
        <v>1</v>
      </c>
      <c r="E21" s="17">
        <v>1</v>
      </c>
      <c r="F21" s="17">
        <v>0</v>
      </c>
      <c r="G21" s="17">
        <v>0</v>
      </c>
      <c r="H21" s="17"/>
      <c r="I21" s="17"/>
      <c r="J21" s="17"/>
      <c r="K21" s="17"/>
      <c r="L21" s="17"/>
      <c r="M21" s="17"/>
      <c r="N21" s="17"/>
      <c r="O21" s="17"/>
      <c r="P21" s="17"/>
      <c r="Q21" s="17"/>
      <c r="R21" s="17"/>
      <c r="S21" s="17"/>
      <c r="T21" s="17"/>
      <c r="U21" s="17"/>
      <c r="V21" s="17"/>
      <c r="W21" s="17"/>
      <c r="X21" s="17"/>
      <c r="Y21" s="17"/>
      <c r="Z21" s="17"/>
      <c r="AA21" s="17"/>
      <c r="AB21" s="17"/>
      <c r="AC21" s="17"/>
      <c r="AD21" s="17" t="s">
        <v>898</v>
      </c>
    </row>
    <row r="22" spans="1:30" ht="13.5" customHeight="1" x14ac:dyDescent="0.35">
      <c r="A22" s="52" t="s">
        <v>400</v>
      </c>
      <c r="B22" s="17">
        <v>0</v>
      </c>
      <c r="C22" s="17">
        <v>0</v>
      </c>
      <c r="D22" s="17">
        <v>0</v>
      </c>
      <c r="E22" s="17">
        <v>0</v>
      </c>
      <c r="F22" s="17">
        <v>0</v>
      </c>
      <c r="G22" s="17">
        <v>0</v>
      </c>
      <c r="H22" s="17"/>
      <c r="I22" s="17"/>
      <c r="J22" s="17"/>
      <c r="K22" s="17"/>
      <c r="L22" s="17"/>
      <c r="M22" s="17"/>
      <c r="N22" s="17"/>
      <c r="O22" s="17"/>
      <c r="P22" s="17"/>
      <c r="Q22" s="17"/>
      <c r="R22" s="17"/>
      <c r="S22" s="17"/>
      <c r="T22" s="17"/>
      <c r="U22" s="17"/>
      <c r="V22" s="17"/>
      <c r="W22" s="17"/>
      <c r="X22" s="17"/>
      <c r="Y22" s="17"/>
      <c r="Z22" s="17"/>
      <c r="AA22" s="17"/>
      <c r="AB22" s="17"/>
      <c r="AC22" s="17"/>
      <c r="AD22" s="17" t="s">
        <v>899</v>
      </c>
    </row>
    <row r="23" spans="1:30" ht="13.5" customHeight="1" x14ac:dyDescent="0.35">
      <c r="A23" s="152" t="s">
        <v>221</v>
      </c>
      <c r="B23" s="17">
        <v>0</v>
      </c>
      <c r="C23" s="17">
        <v>0</v>
      </c>
      <c r="D23" s="17">
        <v>0</v>
      </c>
      <c r="E23" s="17">
        <v>0</v>
      </c>
      <c r="F23" s="17">
        <v>0</v>
      </c>
      <c r="G23" s="17">
        <v>0</v>
      </c>
      <c r="H23" s="17"/>
      <c r="I23" s="17"/>
      <c r="J23" s="17"/>
      <c r="K23" s="17"/>
      <c r="L23" s="17"/>
      <c r="M23" s="17"/>
      <c r="N23" s="17"/>
      <c r="O23" s="17"/>
      <c r="P23" s="17"/>
      <c r="Q23" s="17"/>
      <c r="R23" s="17"/>
      <c r="S23" s="17"/>
      <c r="T23" s="17"/>
      <c r="U23" s="17"/>
      <c r="V23" s="17"/>
      <c r="W23" s="17"/>
      <c r="X23" s="17"/>
      <c r="Y23" s="17"/>
      <c r="Z23" s="17"/>
      <c r="AA23" s="17"/>
      <c r="AB23" s="17"/>
      <c r="AC23" s="17"/>
      <c r="AD23" s="228" t="s">
        <v>864</v>
      </c>
    </row>
    <row r="24" spans="1:30" s="16" customFormat="1" ht="13.5" customHeight="1" x14ac:dyDescent="0.35">
      <c r="A24" s="52" t="s">
        <v>428</v>
      </c>
      <c r="B24" s="17">
        <v>1</v>
      </c>
      <c r="C24" s="17">
        <v>1</v>
      </c>
      <c r="D24" s="17">
        <v>1</v>
      </c>
      <c r="E24" s="17">
        <v>1</v>
      </c>
      <c r="F24" s="17">
        <v>0</v>
      </c>
      <c r="G24" s="17">
        <v>0</v>
      </c>
      <c r="H24" s="17"/>
      <c r="I24" s="17"/>
      <c r="J24" s="17"/>
      <c r="K24" s="17"/>
      <c r="L24" s="17"/>
      <c r="M24" s="17"/>
      <c r="N24" s="17"/>
      <c r="O24" s="17"/>
      <c r="P24" s="17"/>
      <c r="Q24" s="17"/>
      <c r="R24" s="17"/>
      <c r="S24" s="17"/>
      <c r="T24" s="17"/>
      <c r="U24" s="17"/>
      <c r="V24" s="17"/>
      <c r="W24" s="17"/>
      <c r="X24" s="17"/>
      <c r="Y24" s="17"/>
      <c r="Z24" s="17"/>
      <c r="AA24" s="17"/>
      <c r="AB24" s="17"/>
      <c r="AC24" s="17"/>
      <c r="AD24" s="17" t="s">
        <v>900</v>
      </c>
    </row>
    <row r="25" spans="1:30" ht="13.5" customHeight="1" x14ac:dyDescent="0.35">
      <c r="A25" s="52" t="s">
        <v>653</v>
      </c>
      <c r="B25" s="17">
        <v>0</v>
      </c>
      <c r="C25" s="17">
        <v>1</v>
      </c>
      <c r="D25" s="17">
        <v>1</v>
      </c>
      <c r="E25" s="17">
        <v>0</v>
      </c>
      <c r="F25" s="17">
        <v>0</v>
      </c>
      <c r="G25" s="17">
        <v>0</v>
      </c>
      <c r="H25" s="17"/>
      <c r="I25" s="17"/>
      <c r="J25" s="17"/>
      <c r="K25" s="17"/>
      <c r="L25" s="17"/>
      <c r="M25" s="17"/>
      <c r="N25" s="17"/>
      <c r="O25" s="17"/>
      <c r="P25" s="17"/>
      <c r="Q25" s="17"/>
      <c r="R25" s="17"/>
      <c r="S25" s="17"/>
      <c r="T25" s="17"/>
      <c r="U25" s="17"/>
      <c r="V25" s="17"/>
      <c r="W25" s="17"/>
      <c r="X25" s="17"/>
      <c r="Y25" s="17"/>
      <c r="Z25" s="17"/>
      <c r="AA25" s="17"/>
      <c r="AB25" s="17"/>
      <c r="AC25" s="17"/>
      <c r="AD25" s="17" t="s">
        <v>901</v>
      </c>
    </row>
    <row r="26" spans="1:30" ht="13.5" customHeight="1" x14ac:dyDescent="0.35">
      <c r="A26" s="52" t="s">
        <v>654</v>
      </c>
      <c r="B26" s="17">
        <v>1</v>
      </c>
      <c r="C26" s="17">
        <v>1</v>
      </c>
      <c r="D26" s="17">
        <v>1</v>
      </c>
      <c r="E26" s="17">
        <v>1</v>
      </c>
      <c r="F26" s="17">
        <v>0</v>
      </c>
      <c r="G26" s="17">
        <v>0</v>
      </c>
      <c r="H26" s="17"/>
      <c r="I26" s="17"/>
      <c r="J26" s="17"/>
      <c r="K26" s="17"/>
      <c r="L26" s="17"/>
      <c r="M26" s="17"/>
      <c r="N26" s="17"/>
      <c r="O26" s="17"/>
      <c r="P26" s="17"/>
      <c r="Q26" s="17"/>
      <c r="R26" s="17"/>
      <c r="S26" s="17"/>
      <c r="T26" s="17"/>
      <c r="U26" s="17"/>
      <c r="V26" s="17"/>
      <c r="W26" s="17"/>
      <c r="X26" s="17"/>
      <c r="Y26" s="17"/>
      <c r="Z26" s="17"/>
      <c r="AA26" s="17"/>
      <c r="AB26" s="17"/>
      <c r="AC26" s="17"/>
      <c r="AD26" s="17" t="s">
        <v>902</v>
      </c>
    </row>
    <row r="27" spans="1:30" ht="13.5" customHeight="1" x14ac:dyDescent="0.35">
      <c r="A27" s="52" t="s">
        <v>655</v>
      </c>
      <c r="B27" s="17">
        <v>0</v>
      </c>
      <c r="C27" s="17">
        <v>1</v>
      </c>
      <c r="D27" s="17">
        <v>1</v>
      </c>
      <c r="E27" s="17">
        <v>0</v>
      </c>
      <c r="F27" s="17">
        <v>0</v>
      </c>
      <c r="G27" s="17">
        <v>0</v>
      </c>
      <c r="H27" s="17"/>
      <c r="I27" s="17"/>
      <c r="J27" s="17"/>
      <c r="K27" s="17"/>
      <c r="L27" s="17"/>
      <c r="M27" s="17"/>
      <c r="N27" s="17"/>
      <c r="O27" s="17"/>
      <c r="P27" s="17"/>
      <c r="Q27" s="17"/>
      <c r="R27" s="17"/>
      <c r="S27" s="17"/>
      <c r="T27" s="17"/>
      <c r="U27" s="17"/>
      <c r="V27" s="17"/>
      <c r="W27" s="17"/>
      <c r="X27" s="17"/>
      <c r="Y27" s="17"/>
      <c r="Z27" s="17"/>
      <c r="AA27" s="17"/>
      <c r="AB27" s="17"/>
      <c r="AC27" s="17"/>
      <c r="AD27" s="17" t="s">
        <v>903</v>
      </c>
    </row>
    <row r="28" spans="1:30" ht="13.5" customHeight="1" x14ac:dyDescent="0.35">
      <c r="A28" s="52" t="s">
        <v>656</v>
      </c>
      <c r="B28" s="17">
        <v>1</v>
      </c>
      <c r="C28" s="17">
        <v>1</v>
      </c>
      <c r="D28" s="17">
        <v>1</v>
      </c>
      <c r="E28" s="17">
        <v>1</v>
      </c>
      <c r="F28" s="17">
        <v>0</v>
      </c>
      <c r="G28" s="17">
        <v>0</v>
      </c>
      <c r="H28" s="17"/>
      <c r="I28" s="17"/>
      <c r="J28" s="17"/>
      <c r="K28" s="17"/>
      <c r="L28" s="17"/>
      <c r="M28" s="17"/>
      <c r="N28" s="17"/>
      <c r="O28" s="17"/>
      <c r="P28" s="17"/>
      <c r="Q28" s="17"/>
      <c r="R28" s="17"/>
      <c r="S28" s="17"/>
      <c r="T28" s="17"/>
      <c r="U28" s="17"/>
      <c r="V28" s="17"/>
      <c r="W28" s="17"/>
      <c r="X28" s="17"/>
      <c r="Y28" s="17"/>
      <c r="Z28" s="17"/>
      <c r="AA28" s="17"/>
      <c r="AB28" s="17"/>
      <c r="AC28" s="17"/>
      <c r="AD28" s="17" t="s">
        <v>904</v>
      </c>
    </row>
    <row r="29" spans="1:30" ht="13.5" customHeight="1" x14ac:dyDescent="0.35">
      <c r="A29" s="52" t="s">
        <v>652</v>
      </c>
      <c r="B29" s="17">
        <v>0</v>
      </c>
      <c r="C29" s="17">
        <v>1</v>
      </c>
      <c r="D29" s="17">
        <v>1</v>
      </c>
      <c r="E29" s="17">
        <v>0</v>
      </c>
      <c r="F29" s="17">
        <v>0</v>
      </c>
      <c r="G29" s="17">
        <v>0</v>
      </c>
      <c r="H29" s="17"/>
      <c r="I29" s="17"/>
      <c r="J29" s="17"/>
      <c r="K29" s="17"/>
      <c r="L29" s="17"/>
      <c r="M29" s="17"/>
      <c r="N29" s="17"/>
      <c r="O29" s="17"/>
      <c r="P29" s="17"/>
      <c r="Q29" s="17"/>
      <c r="R29" s="17"/>
      <c r="S29" s="17"/>
      <c r="T29" s="17"/>
      <c r="U29" s="17"/>
      <c r="V29" s="17"/>
      <c r="W29" s="17"/>
      <c r="X29" s="17"/>
      <c r="Y29" s="17"/>
      <c r="Z29" s="17"/>
      <c r="AA29" s="17"/>
      <c r="AB29" s="17"/>
      <c r="AC29" s="17"/>
      <c r="AD29" s="17" t="s">
        <v>905</v>
      </c>
    </row>
    <row r="30" spans="1:30" ht="13.5" customHeight="1" x14ac:dyDescent="0.35">
      <c r="A30" s="152" t="s">
        <v>372</v>
      </c>
      <c r="B30" s="17">
        <v>0</v>
      </c>
      <c r="C30" s="17">
        <v>0</v>
      </c>
      <c r="D30" s="17">
        <v>0</v>
      </c>
      <c r="E30" s="17">
        <v>0</v>
      </c>
      <c r="F30" s="17">
        <v>0</v>
      </c>
      <c r="G30" s="17">
        <v>0</v>
      </c>
      <c r="H30" s="17"/>
      <c r="I30" s="17"/>
      <c r="J30" s="17"/>
      <c r="K30" s="17"/>
      <c r="L30" s="17"/>
      <c r="M30" s="17"/>
      <c r="N30" s="17"/>
      <c r="O30" s="17"/>
      <c r="P30" s="17"/>
      <c r="Q30" s="17"/>
      <c r="R30" s="17"/>
      <c r="S30" s="17"/>
      <c r="T30" s="17"/>
      <c r="U30" s="17"/>
      <c r="V30" s="17"/>
      <c r="W30" s="17"/>
      <c r="X30" s="17"/>
      <c r="Y30" s="17"/>
      <c r="Z30" s="17"/>
      <c r="AA30" s="17"/>
      <c r="AB30" s="17"/>
      <c r="AC30" s="17"/>
      <c r="AD30" s="228" t="s">
        <v>865</v>
      </c>
    </row>
    <row r="31" spans="1:30" ht="13.5" customHeight="1" x14ac:dyDescent="0.35">
      <c r="A31" s="83" t="s">
        <v>401</v>
      </c>
      <c r="B31" s="17">
        <v>1</v>
      </c>
      <c r="C31" s="17">
        <v>0</v>
      </c>
      <c r="D31" s="17">
        <v>0</v>
      </c>
      <c r="E31" s="17">
        <v>1</v>
      </c>
      <c r="F31" s="17">
        <v>1</v>
      </c>
      <c r="G31" s="17">
        <v>1</v>
      </c>
      <c r="H31" s="17"/>
      <c r="I31" s="17"/>
      <c r="J31" s="17"/>
      <c r="K31" s="17"/>
      <c r="L31" s="17"/>
      <c r="M31" s="17"/>
      <c r="N31" s="17"/>
      <c r="O31" s="17"/>
      <c r="P31" s="17"/>
      <c r="Q31" s="17"/>
      <c r="R31" s="17"/>
      <c r="S31" s="17"/>
      <c r="T31" s="17"/>
      <c r="U31" s="17"/>
      <c r="V31" s="17"/>
      <c r="W31" s="17"/>
      <c r="X31" s="17"/>
      <c r="Y31" s="17"/>
      <c r="Z31" s="17"/>
      <c r="AA31" s="17"/>
      <c r="AB31" s="17"/>
      <c r="AC31" s="17"/>
      <c r="AD31" s="228" t="s">
        <v>858</v>
      </c>
    </row>
    <row r="32" spans="1:30" s="16" customFormat="1" ht="13.5" customHeight="1" x14ac:dyDescent="0.35">
      <c r="A32" s="83" t="s">
        <v>684</v>
      </c>
      <c r="B32" s="17">
        <v>0</v>
      </c>
      <c r="C32" s="17">
        <v>0</v>
      </c>
      <c r="D32" s="17">
        <v>0</v>
      </c>
      <c r="E32" s="17">
        <v>0</v>
      </c>
      <c r="F32" s="17">
        <v>0</v>
      </c>
      <c r="G32" s="83">
        <v>0</v>
      </c>
      <c r="H32" s="17"/>
      <c r="I32" s="17"/>
      <c r="J32" s="17"/>
      <c r="K32" s="17"/>
      <c r="L32" s="17"/>
      <c r="M32" s="17"/>
      <c r="N32" s="17"/>
      <c r="O32" s="17"/>
      <c r="P32" s="17"/>
      <c r="Q32" s="17"/>
      <c r="R32" s="17"/>
      <c r="S32" s="17"/>
      <c r="T32" s="17"/>
      <c r="U32" s="17"/>
      <c r="V32" s="17"/>
      <c r="W32" s="17"/>
      <c r="X32" s="17"/>
      <c r="Y32" s="17"/>
      <c r="Z32" s="17"/>
      <c r="AA32" s="17"/>
      <c r="AB32" s="17"/>
      <c r="AC32" s="17"/>
      <c r="AD32" s="228" t="s">
        <v>859</v>
      </c>
    </row>
    <row r="33" spans="1:30" ht="13.5" customHeight="1" x14ac:dyDescent="0.35">
      <c r="A33" s="52" t="s">
        <v>77</v>
      </c>
      <c r="B33" s="17">
        <v>1</v>
      </c>
      <c r="C33" s="17">
        <v>1</v>
      </c>
      <c r="D33" s="17">
        <v>1</v>
      </c>
      <c r="E33" s="17">
        <v>1</v>
      </c>
      <c r="F33" s="17">
        <v>0</v>
      </c>
      <c r="G33" s="17">
        <v>0</v>
      </c>
      <c r="H33" s="17"/>
      <c r="I33" s="17"/>
      <c r="J33" s="17"/>
      <c r="K33" s="17"/>
      <c r="L33" s="17"/>
      <c r="M33" s="17"/>
      <c r="N33" s="17"/>
      <c r="O33" s="17"/>
      <c r="P33" s="17"/>
      <c r="Q33" s="17"/>
      <c r="R33" s="17"/>
      <c r="S33" s="17"/>
      <c r="T33" s="17"/>
      <c r="U33" s="17"/>
      <c r="V33" s="17"/>
      <c r="W33" s="17"/>
      <c r="X33" s="17"/>
      <c r="Y33" s="17"/>
      <c r="Z33" s="17"/>
      <c r="AA33" s="17"/>
      <c r="AB33" s="17"/>
      <c r="AC33" s="17"/>
      <c r="AD33" s="17" t="s">
        <v>906</v>
      </c>
    </row>
    <row r="34" spans="1:30" ht="13.5" customHeight="1" x14ac:dyDescent="0.35">
      <c r="A34" s="52" t="s">
        <v>136</v>
      </c>
      <c r="B34" s="17">
        <v>0</v>
      </c>
      <c r="C34" s="17">
        <v>0</v>
      </c>
      <c r="D34" s="17">
        <v>0</v>
      </c>
      <c r="E34" s="17">
        <v>0</v>
      </c>
      <c r="F34" s="17">
        <v>0</v>
      </c>
      <c r="G34" s="17">
        <v>0</v>
      </c>
      <c r="H34" s="17"/>
      <c r="I34" s="17"/>
      <c r="J34" s="17"/>
      <c r="K34" s="17"/>
      <c r="L34" s="17"/>
      <c r="M34" s="17"/>
      <c r="N34" s="17"/>
      <c r="O34" s="17"/>
      <c r="P34" s="17"/>
      <c r="Q34" s="17"/>
      <c r="R34" s="17"/>
      <c r="S34" s="17"/>
      <c r="T34" s="17"/>
      <c r="U34" s="17"/>
      <c r="V34" s="17"/>
      <c r="W34" s="17"/>
      <c r="X34" s="17"/>
      <c r="Y34" s="17"/>
      <c r="Z34" s="17"/>
      <c r="AA34" s="17"/>
      <c r="AB34" s="17"/>
      <c r="AC34" s="17"/>
      <c r="AD34" s="17" t="s">
        <v>907</v>
      </c>
    </row>
    <row r="35" spans="1:30" ht="13.5" customHeight="1" x14ac:dyDescent="0.35">
      <c r="A35" s="52" t="s">
        <v>657</v>
      </c>
      <c r="B35" s="17">
        <v>1</v>
      </c>
      <c r="C35" s="17">
        <v>1</v>
      </c>
      <c r="D35" s="17">
        <v>1</v>
      </c>
      <c r="E35" s="17">
        <v>1</v>
      </c>
      <c r="F35" s="17">
        <v>0</v>
      </c>
      <c r="G35" s="17">
        <v>0</v>
      </c>
      <c r="H35" s="17"/>
      <c r="I35" s="17"/>
      <c r="J35" s="17"/>
      <c r="K35" s="17"/>
      <c r="L35" s="17"/>
      <c r="M35" s="17"/>
      <c r="N35" s="17"/>
      <c r="O35" s="17"/>
      <c r="P35" s="17"/>
      <c r="Q35" s="17"/>
      <c r="R35" s="17"/>
      <c r="S35" s="17"/>
      <c r="T35" s="17"/>
      <c r="U35" s="17"/>
      <c r="V35" s="17"/>
      <c r="W35" s="17"/>
      <c r="X35" s="17"/>
      <c r="Y35" s="17"/>
      <c r="Z35" s="17"/>
      <c r="AA35" s="17"/>
      <c r="AB35" s="17"/>
      <c r="AC35" s="17"/>
      <c r="AD35" s="17" t="s">
        <v>908</v>
      </c>
    </row>
    <row r="36" spans="1:30" ht="13.5" customHeight="1" x14ac:dyDescent="0.35">
      <c r="A36" s="52" t="s">
        <v>658</v>
      </c>
      <c r="B36" s="17">
        <v>1</v>
      </c>
      <c r="C36" s="17">
        <v>1</v>
      </c>
      <c r="D36" s="17">
        <v>1</v>
      </c>
      <c r="E36" s="17">
        <v>1</v>
      </c>
      <c r="F36" s="17">
        <v>0</v>
      </c>
      <c r="G36" s="17">
        <v>1</v>
      </c>
      <c r="H36" s="17"/>
      <c r="I36" s="17"/>
      <c r="J36" s="17"/>
      <c r="K36" s="17"/>
      <c r="L36" s="17"/>
      <c r="M36" s="17"/>
      <c r="N36" s="17"/>
      <c r="O36" s="17"/>
      <c r="P36" s="17"/>
      <c r="Q36" s="17"/>
      <c r="R36" s="17"/>
      <c r="S36" s="17"/>
      <c r="T36" s="17"/>
      <c r="U36" s="17"/>
      <c r="V36" s="17"/>
      <c r="W36" s="17"/>
      <c r="X36" s="17"/>
      <c r="Y36" s="17"/>
      <c r="Z36" s="17"/>
      <c r="AA36" s="17"/>
      <c r="AB36" s="17"/>
      <c r="AC36" s="17"/>
      <c r="AD36" s="17" t="s">
        <v>909</v>
      </c>
    </row>
    <row r="37" spans="1:30" ht="13.5" customHeight="1" x14ac:dyDescent="0.35">
      <c r="A37" s="152" t="s">
        <v>402</v>
      </c>
      <c r="B37" s="17">
        <v>0</v>
      </c>
      <c r="C37" s="17">
        <v>0</v>
      </c>
      <c r="D37" s="17">
        <v>0</v>
      </c>
      <c r="E37" s="17">
        <v>0</v>
      </c>
      <c r="F37" s="17">
        <v>0</v>
      </c>
      <c r="G37" s="83">
        <v>0</v>
      </c>
      <c r="H37" s="17"/>
      <c r="I37" s="17"/>
      <c r="J37" s="17"/>
      <c r="K37" s="17"/>
      <c r="L37" s="17"/>
      <c r="M37" s="17"/>
      <c r="N37" s="17"/>
      <c r="O37" s="17"/>
      <c r="P37" s="17"/>
      <c r="Q37" s="17"/>
      <c r="R37" s="17"/>
      <c r="S37" s="17"/>
      <c r="T37" s="17"/>
      <c r="U37" s="17"/>
      <c r="V37" s="17"/>
      <c r="W37" s="17"/>
      <c r="X37" s="17"/>
      <c r="Y37" s="17"/>
      <c r="Z37" s="17"/>
      <c r="AA37" s="17"/>
      <c r="AB37" s="17"/>
      <c r="AC37" s="17"/>
      <c r="AD37" s="228" t="s">
        <v>866</v>
      </c>
    </row>
    <row r="38" spans="1:30" ht="13.5" customHeight="1" x14ac:dyDescent="0.35">
      <c r="A38" s="52" t="s">
        <v>659</v>
      </c>
      <c r="B38" s="17">
        <v>1</v>
      </c>
      <c r="C38" s="17">
        <v>1</v>
      </c>
      <c r="D38" s="17">
        <v>1</v>
      </c>
      <c r="E38" s="17">
        <v>1</v>
      </c>
      <c r="F38" s="17">
        <v>0</v>
      </c>
      <c r="G38" s="17">
        <v>0</v>
      </c>
      <c r="H38" s="17"/>
      <c r="I38" s="17"/>
      <c r="J38" s="17"/>
      <c r="K38" s="17"/>
      <c r="L38" s="17"/>
      <c r="M38" s="17"/>
      <c r="N38" s="17"/>
      <c r="O38" s="17"/>
      <c r="P38" s="17"/>
      <c r="Q38" s="17"/>
      <c r="R38" s="17"/>
      <c r="S38" s="17"/>
      <c r="T38" s="17"/>
      <c r="U38" s="17"/>
      <c r="V38" s="17"/>
      <c r="W38" s="17"/>
      <c r="X38" s="17"/>
      <c r="Y38" s="17"/>
      <c r="Z38" s="17"/>
      <c r="AA38" s="17"/>
      <c r="AB38" s="17"/>
      <c r="AC38" s="17"/>
      <c r="AD38" s="17" t="s">
        <v>910</v>
      </c>
    </row>
    <row r="39" spans="1:30" ht="13.5" customHeight="1" x14ac:dyDescent="0.35">
      <c r="A39" s="52" t="s">
        <v>660</v>
      </c>
      <c r="B39" s="17">
        <v>1</v>
      </c>
      <c r="C39" s="17">
        <v>1</v>
      </c>
      <c r="D39" s="17">
        <v>1</v>
      </c>
      <c r="E39" s="17">
        <v>1</v>
      </c>
      <c r="F39" s="17">
        <v>0</v>
      </c>
      <c r="G39" s="17">
        <v>0</v>
      </c>
      <c r="H39" s="17"/>
      <c r="I39" s="17"/>
      <c r="J39" s="17"/>
      <c r="K39" s="17"/>
      <c r="L39" s="17"/>
      <c r="M39" s="17"/>
      <c r="N39" s="17"/>
      <c r="O39" s="17"/>
      <c r="P39" s="17"/>
      <c r="Q39" s="17"/>
      <c r="R39" s="17"/>
      <c r="S39" s="17"/>
      <c r="T39" s="17"/>
      <c r="U39" s="17"/>
      <c r="V39" s="17"/>
      <c r="W39" s="17"/>
      <c r="X39" s="17"/>
      <c r="Y39" s="17"/>
      <c r="Z39" s="17"/>
      <c r="AA39" s="17"/>
      <c r="AB39" s="17"/>
      <c r="AC39" s="17"/>
      <c r="AD39" s="17" t="s">
        <v>911</v>
      </c>
    </row>
    <row r="40" spans="1:30" ht="13.5" customHeight="1" x14ac:dyDescent="0.35">
      <c r="A40" s="152" t="s">
        <v>209</v>
      </c>
      <c r="B40" s="17">
        <v>0</v>
      </c>
      <c r="C40" s="17">
        <v>0</v>
      </c>
      <c r="D40" s="17">
        <v>0</v>
      </c>
      <c r="E40" s="17">
        <v>0</v>
      </c>
      <c r="F40" s="17">
        <v>0</v>
      </c>
      <c r="G40" s="83">
        <v>0</v>
      </c>
      <c r="H40" s="17"/>
      <c r="I40" s="17"/>
      <c r="J40" s="17"/>
      <c r="K40" s="17"/>
      <c r="L40" s="17"/>
      <c r="M40" s="17"/>
      <c r="N40" s="17"/>
      <c r="O40" s="17"/>
      <c r="P40" s="17"/>
      <c r="Q40" s="17"/>
      <c r="R40" s="17"/>
      <c r="S40" s="17"/>
      <c r="T40" s="17"/>
      <c r="U40" s="17"/>
      <c r="V40" s="17"/>
      <c r="W40" s="17"/>
      <c r="X40" s="17"/>
      <c r="Y40" s="17"/>
      <c r="Z40" s="17"/>
      <c r="AA40" s="17"/>
      <c r="AB40" s="17"/>
      <c r="AC40" s="17"/>
      <c r="AD40" s="228" t="s">
        <v>867</v>
      </c>
    </row>
    <row r="41" spans="1:30" ht="13.5" customHeight="1" x14ac:dyDescent="0.35">
      <c r="A41" s="52" t="s">
        <v>93</v>
      </c>
      <c r="B41" s="17">
        <v>0</v>
      </c>
      <c r="C41" s="17">
        <v>1</v>
      </c>
      <c r="D41" s="17">
        <v>1</v>
      </c>
      <c r="E41" s="17">
        <v>0</v>
      </c>
      <c r="F41" s="17">
        <v>0</v>
      </c>
      <c r="G41" s="17">
        <v>0</v>
      </c>
      <c r="H41" s="17"/>
      <c r="I41" s="17"/>
      <c r="J41" s="17"/>
      <c r="K41" s="17"/>
      <c r="L41" s="17"/>
      <c r="M41" s="17"/>
      <c r="N41" s="17"/>
      <c r="O41" s="17"/>
      <c r="P41" s="17"/>
      <c r="Q41" s="17"/>
      <c r="R41" s="17"/>
      <c r="S41" s="17"/>
      <c r="T41" s="17"/>
      <c r="U41" s="17"/>
      <c r="V41" s="17"/>
      <c r="W41" s="17"/>
      <c r="X41" s="17"/>
      <c r="Y41" s="17"/>
      <c r="Z41" s="17"/>
      <c r="AA41" s="17"/>
      <c r="AB41" s="17"/>
      <c r="AC41" s="17"/>
      <c r="AD41" s="17" t="s">
        <v>912</v>
      </c>
    </row>
    <row r="42" spans="1:30" s="16" customFormat="1" ht="13.5" customHeight="1" x14ac:dyDescent="0.35">
      <c r="A42" s="83" t="s">
        <v>851</v>
      </c>
      <c r="B42" s="17">
        <v>0</v>
      </c>
      <c r="C42" s="17">
        <v>0</v>
      </c>
      <c r="D42" s="17">
        <v>0</v>
      </c>
      <c r="E42" s="17">
        <v>1</v>
      </c>
      <c r="F42" s="17">
        <v>1</v>
      </c>
      <c r="G42" s="17">
        <v>0</v>
      </c>
      <c r="H42" s="17"/>
      <c r="I42" s="17"/>
      <c r="J42" s="17"/>
      <c r="K42" s="17"/>
      <c r="L42" s="17"/>
      <c r="M42" s="17"/>
      <c r="N42" s="17"/>
      <c r="O42" s="17"/>
      <c r="P42" s="17"/>
      <c r="Q42" s="17"/>
      <c r="R42" s="17"/>
      <c r="S42" s="17"/>
      <c r="T42" s="17"/>
      <c r="U42" s="17"/>
      <c r="V42" s="17"/>
      <c r="W42" s="17"/>
      <c r="X42" s="17"/>
      <c r="Y42" s="17"/>
      <c r="Z42" s="17"/>
      <c r="AA42" s="17"/>
      <c r="AB42" s="17"/>
      <c r="AC42" s="17"/>
      <c r="AD42" s="229" t="s">
        <v>857</v>
      </c>
    </row>
    <row r="43" spans="1:30" ht="13.5" customHeight="1" x14ac:dyDescent="0.35">
      <c r="A43" s="52" t="s">
        <v>662</v>
      </c>
      <c r="B43" s="17">
        <v>1</v>
      </c>
      <c r="C43" s="17">
        <v>1</v>
      </c>
      <c r="D43" s="17">
        <v>1</v>
      </c>
      <c r="E43" s="17">
        <v>1</v>
      </c>
      <c r="F43" s="17">
        <v>0</v>
      </c>
      <c r="G43" s="17">
        <v>0</v>
      </c>
      <c r="H43" s="17"/>
      <c r="I43" s="17"/>
      <c r="J43" s="17"/>
      <c r="K43" s="17"/>
      <c r="L43" s="17"/>
      <c r="M43" s="17"/>
      <c r="N43" s="17"/>
      <c r="O43" s="17"/>
      <c r="P43" s="17"/>
      <c r="Q43" s="17"/>
      <c r="R43" s="17"/>
      <c r="S43" s="17"/>
      <c r="T43" s="17"/>
      <c r="U43" s="17"/>
      <c r="V43" s="17"/>
      <c r="W43" s="17"/>
      <c r="X43" s="17"/>
      <c r="Y43" s="17"/>
      <c r="Z43" s="17"/>
      <c r="AA43" s="17"/>
      <c r="AB43" s="17"/>
      <c r="AC43" s="17"/>
      <c r="AD43" s="17" t="s">
        <v>913</v>
      </c>
    </row>
    <row r="44" spans="1:30" ht="13.5" customHeight="1" x14ac:dyDescent="0.35">
      <c r="A44" s="52" t="s">
        <v>102</v>
      </c>
      <c r="B44" s="17">
        <v>0</v>
      </c>
      <c r="C44" s="17">
        <v>1</v>
      </c>
      <c r="D44" s="17">
        <v>0</v>
      </c>
      <c r="E44" s="17">
        <v>0</v>
      </c>
      <c r="F44" s="17">
        <v>0</v>
      </c>
      <c r="G44" s="17">
        <v>0</v>
      </c>
      <c r="H44" s="17"/>
      <c r="I44" s="17"/>
      <c r="J44" s="17"/>
      <c r="K44" s="17"/>
      <c r="L44" s="17"/>
      <c r="M44" s="17"/>
      <c r="N44" s="17"/>
      <c r="O44" s="17"/>
      <c r="P44" s="17"/>
      <c r="Q44" s="17"/>
      <c r="R44" s="17"/>
      <c r="S44" s="17"/>
      <c r="T44" s="17"/>
      <c r="U44" s="17"/>
      <c r="V44" s="17"/>
      <c r="W44" s="17"/>
      <c r="X44" s="17"/>
      <c r="Y44" s="17"/>
      <c r="Z44" s="17"/>
      <c r="AA44" s="17"/>
      <c r="AB44" s="17"/>
      <c r="AC44" s="17"/>
      <c r="AD44" s="17" t="s">
        <v>914</v>
      </c>
    </row>
    <row r="45" spans="1:30" ht="13.5" customHeight="1" x14ac:dyDescent="0.35">
      <c r="A45" s="52" t="s">
        <v>122</v>
      </c>
      <c r="B45" s="17">
        <v>1</v>
      </c>
      <c r="C45" s="17">
        <v>0</v>
      </c>
      <c r="D45" s="17">
        <v>0</v>
      </c>
      <c r="E45" s="17">
        <v>1</v>
      </c>
      <c r="F45" s="17">
        <v>1</v>
      </c>
      <c r="G45" s="17">
        <v>0</v>
      </c>
      <c r="H45" s="17"/>
      <c r="I45" s="17"/>
      <c r="J45" s="17"/>
      <c r="K45" s="17"/>
      <c r="L45" s="17"/>
      <c r="M45" s="17"/>
      <c r="N45" s="17"/>
      <c r="O45" s="17"/>
      <c r="P45" s="17"/>
      <c r="Q45" s="17"/>
      <c r="R45" s="17"/>
      <c r="S45" s="17"/>
      <c r="T45" s="17"/>
      <c r="U45" s="17"/>
      <c r="V45" s="17"/>
      <c r="W45" s="17"/>
      <c r="X45" s="17"/>
      <c r="Y45" s="17"/>
      <c r="Z45" s="17"/>
      <c r="AA45" s="17"/>
      <c r="AB45" s="17"/>
      <c r="AC45" s="17"/>
      <c r="AD45" s="17" t="s">
        <v>915</v>
      </c>
    </row>
    <row r="46" spans="1:30" ht="13.5" customHeight="1" x14ac:dyDescent="0.35">
      <c r="A46" s="52" t="s">
        <v>125</v>
      </c>
      <c r="B46" s="17">
        <v>1</v>
      </c>
      <c r="C46" s="17">
        <v>0</v>
      </c>
      <c r="D46" s="17">
        <v>0</v>
      </c>
      <c r="E46" s="17">
        <v>1</v>
      </c>
      <c r="F46" s="17">
        <v>1</v>
      </c>
      <c r="G46" s="17">
        <v>0</v>
      </c>
      <c r="H46" s="17"/>
      <c r="I46" s="17"/>
      <c r="J46" s="17"/>
      <c r="K46" s="17"/>
      <c r="L46" s="17"/>
      <c r="M46" s="17"/>
      <c r="N46" s="17"/>
      <c r="O46" s="17"/>
      <c r="P46" s="17"/>
      <c r="Q46" s="17"/>
      <c r="R46" s="17"/>
      <c r="S46" s="17"/>
      <c r="T46" s="17"/>
      <c r="U46" s="17"/>
      <c r="V46" s="17"/>
      <c r="W46" s="17"/>
      <c r="X46" s="17"/>
      <c r="Y46" s="17"/>
      <c r="Z46" s="17"/>
      <c r="AA46" s="17"/>
      <c r="AB46" s="17"/>
      <c r="AC46" s="17"/>
      <c r="AD46" s="17" t="s">
        <v>915</v>
      </c>
    </row>
    <row r="47" spans="1:30" ht="13.5" customHeight="1" x14ac:dyDescent="0.35">
      <c r="A47" s="152" t="s">
        <v>261</v>
      </c>
      <c r="B47" s="17">
        <v>1</v>
      </c>
      <c r="C47" s="17">
        <v>1</v>
      </c>
      <c r="D47" s="17">
        <v>1</v>
      </c>
      <c r="E47" s="17">
        <v>1</v>
      </c>
      <c r="F47" s="17">
        <v>1</v>
      </c>
      <c r="G47" s="17">
        <v>0</v>
      </c>
      <c r="H47" s="17"/>
      <c r="I47" s="17"/>
      <c r="J47" s="17"/>
      <c r="K47" s="17"/>
      <c r="L47" s="17"/>
      <c r="M47" s="17"/>
      <c r="N47" s="17"/>
      <c r="O47" s="17"/>
      <c r="P47" s="17"/>
      <c r="Q47" s="17"/>
      <c r="R47" s="17"/>
      <c r="S47" s="17"/>
      <c r="T47" s="17"/>
      <c r="U47" s="17"/>
      <c r="V47" s="17"/>
      <c r="W47" s="17"/>
      <c r="X47" s="17"/>
      <c r="Y47" s="17"/>
      <c r="Z47" s="17"/>
      <c r="AA47" s="17"/>
      <c r="AB47" s="17"/>
      <c r="AC47" s="17"/>
      <c r="AD47" s="228" t="s">
        <v>868</v>
      </c>
    </row>
    <row r="48" spans="1:30" ht="13.5" customHeight="1" x14ac:dyDescent="0.35">
      <c r="A48" s="52" t="s">
        <v>663</v>
      </c>
      <c r="B48" s="17">
        <v>1</v>
      </c>
      <c r="C48" s="17">
        <v>1</v>
      </c>
      <c r="D48" s="17">
        <v>1</v>
      </c>
      <c r="E48" s="17">
        <v>1</v>
      </c>
      <c r="F48" s="17">
        <v>0</v>
      </c>
      <c r="G48" s="17">
        <v>0</v>
      </c>
      <c r="H48" s="17"/>
      <c r="I48" s="17"/>
      <c r="J48" s="17"/>
      <c r="K48" s="17"/>
      <c r="L48" s="17"/>
      <c r="M48" s="17"/>
      <c r="N48" s="17"/>
      <c r="O48" s="17"/>
      <c r="P48" s="17"/>
      <c r="Q48" s="17"/>
      <c r="R48" s="17"/>
      <c r="S48" s="17"/>
      <c r="T48" s="17"/>
      <c r="U48" s="17"/>
      <c r="V48" s="17"/>
      <c r="W48" s="17"/>
      <c r="X48" s="17"/>
      <c r="Y48" s="17"/>
      <c r="Z48" s="17"/>
      <c r="AA48" s="17"/>
      <c r="AB48" s="17"/>
      <c r="AC48" s="17"/>
      <c r="AD48" s="17" t="s">
        <v>916</v>
      </c>
    </row>
    <row r="49" spans="1:30" ht="13.5" customHeight="1" x14ac:dyDescent="0.35">
      <c r="A49" s="52" t="s">
        <v>664</v>
      </c>
      <c r="B49" s="17">
        <v>1</v>
      </c>
      <c r="C49" s="17">
        <v>1</v>
      </c>
      <c r="D49" s="17">
        <v>1</v>
      </c>
      <c r="E49" s="17">
        <v>1</v>
      </c>
      <c r="F49" s="17">
        <v>0</v>
      </c>
      <c r="G49" s="17">
        <v>1</v>
      </c>
      <c r="H49" s="17"/>
      <c r="I49" s="17"/>
      <c r="J49" s="17"/>
      <c r="K49" s="17"/>
      <c r="L49" s="17"/>
      <c r="M49" s="17"/>
      <c r="N49" s="17"/>
      <c r="O49" s="17"/>
      <c r="P49" s="17"/>
      <c r="Q49" s="17"/>
      <c r="R49" s="17"/>
      <c r="S49" s="17"/>
      <c r="T49" s="17"/>
      <c r="U49" s="17"/>
      <c r="V49" s="17"/>
      <c r="W49" s="17"/>
      <c r="X49" s="17"/>
      <c r="Y49" s="17"/>
      <c r="Z49" s="17"/>
      <c r="AA49" s="17"/>
      <c r="AB49" s="17"/>
      <c r="AC49" s="17"/>
      <c r="AD49" s="17" t="s">
        <v>917</v>
      </c>
    </row>
    <row r="50" spans="1:30" ht="13.5" customHeight="1" x14ac:dyDescent="0.35">
      <c r="A50" s="52" t="s">
        <v>147</v>
      </c>
      <c r="B50" s="17">
        <v>1</v>
      </c>
      <c r="C50" s="17">
        <v>1</v>
      </c>
      <c r="D50" s="17">
        <v>1</v>
      </c>
      <c r="E50" s="17">
        <v>1</v>
      </c>
      <c r="F50" s="17">
        <v>0</v>
      </c>
      <c r="G50" s="17">
        <v>0</v>
      </c>
      <c r="H50" s="17"/>
      <c r="I50" s="17"/>
      <c r="J50" s="17"/>
      <c r="K50" s="17"/>
      <c r="L50" s="17"/>
      <c r="M50" s="17"/>
      <c r="N50" s="17"/>
      <c r="O50" s="17"/>
      <c r="P50" s="17"/>
      <c r="Q50" s="17"/>
      <c r="R50" s="17"/>
      <c r="S50" s="17"/>
      <c r="T50" s="17"/>
      <c r="U50" s="17"/>
      <c r="V50" s="17"/>
      <c r="W50" s="17"/>
      <c r="X50" s="17"/>
      <c r="Y50" s="17"/>
      <c r="Z50" s="17"/>
      <c r="AA50" s="17"/>
      <c r="AB50" s="17"/>
      <c r="AC50" s="17"/>
      <c r="AD50" s="17" t="s">
        <v>918</v>
      </c>
    </row>
    <row r="51" spans="1:30" s="16" customFormat="1" ht="13.5" customHeight="1" x14ac:dyDescent="0.35">
      <c r="A51" s="25" t="s">
        <v>629</v>
      </c>
      <c r="B51" s="25"/>
      <c r="C51" s="25"/>
      <c r="D51" s="25"/>
      <c r="E51" s="25"/>
      <c r="F51" s="25"/>
      <c r="G51" s="25"/>
      <c r="H51" s="25"/>
      <c r="I51" s="25"/>
      <c r="J51" s="25"/>
      <c r="K51" s="25"/>
      <c r="L51" s="25"/>
      <c r="M51" s="25"/>
      <c r="N51" s="25"/>
      <c r="O51" s="25"/>
      <c r="P51" s="25"/>
      <c r="Q51" s="25"/>
      <c r="R51" s="25"/>
      <c r="S51" s="25"/>
      <c r="T51" s="25"/>
      <c r="U51" s="25"/>
      <c r="V51" s="25"/>
      <c r="W51" s="25"/>
      <c r="X51" s="25"/>
      <c r="Y51" s="25"/>
      <c r="Z51" s="25"/>
      <c r="AA51" s="25"/>
      <c r="AB51" s="25"/>
      <c r="AC51" s="25"/>
      <c r="AD51" s="25"/>
    </row>
    <row r="52" spans="1:30" s="16" customFormat="1" ht="13.5" customHeight="1" x14ac:dyDescent="0.35">
      <c r="A52" s="17" t="s">
        <v>627</v>
      </c>
      <c r="B52" s="7">
        <v>1</v>
      </c>
      <c r="C52" s="7">
        <v>1</v>
      </c>
      <c r="D52" s="7">
        <v>1</v>
      </c>
      <c r="E52" s="7">
        <v>1</v>
      </c>
      <c r="F52" s="7">
        <v>1</v>
      </c>
      <c r="G52" s="7">
        <v>0</v>
      </c>
      <c r="H52" s="17"/>
      <c r="I52" s="17"/>
      <c r="J52" s="17"/>
      <c r="K52" s="17"/>
      <c r="L52" s="17"/>
      <c r="M52" s="17"/>
      <c r="N52" s="17"/>
      <c r="O52" s="17"/>
      <c r="P52" s="17"/>
      <c r="Q52" s="17"/>
      <c r="R52" s="17"/>
      <c r="S52" s="17"/>
      <c r="T52" s="17"/>
      <c r="U52" s="17"/>
      <c r="V52" s="17"/>
      <c r="W52" s="17"/>
      <c r="X52" s="17"/>
      <c r="Y52" s="17"/>
      <c r="Z52" s="17"/>
      <c r="AA52" s="17"/>
      <c r="AB52" s="17"/>
      <c r="AC52" s="17"/>
      <c r="AD52" s="228" t="s">
        <v>886</v>
      </c>
    </row>
    <row r="53" spans="1:30" s="16" customFormat="1" ht="13.5" customHeight="1" x14ac:dyDescent="0.35">
      <c r="A53" s="17" t="s">
        <v>628</v>
      </c>
      <c r="B53" s="7">
        <v>1</v>
      </c>
      <c r="C53" s="7">
        <v>1</v>
      </c>
      <c r="D53" s="7">
        <v>1</v>
      </c>
      <c r="E53" s="7">
        <v>1</v>
      </c>
      <c r="F53" s="7">
        <v>1</v>
      </c>
      <c r="G53" s="7">
        <v>0</v>
      </c>
      <c r="H53" s="17"/>
      <c r="I53" s="17"/>
      <c r="J53" s="17"/>
      <c r="K53" s="17"/>
      <c r="L53" s="17"/>
      <c r="M53" s="17"/>
      <c r="N53" s="17"/>
      <c r="O53" s="17"/>
      <c r="P53" s="17"/>
      <c r="Q53" s="17"/>
      <c r="R53" s="17"/>
      <c r="S53" s="17"/>
      <c r="T53" s="17"/>
      <c r="U53" s="17"/>
      <c r="V53" s="17"/>
      <c r="W53" s="17"/>
      <c r="X53" s="17"/>
      <c r="Y53" s="17"/>
      <c r="Z53" s="17"/>
      <c r="AA53" s="17"/>
      <c r="AB53" s="17"/>
      <c r="AC53" s="17"/>
      <c r="AD53" s="228" t="s">
        <v>887</v>
      </c>
    </row>
    <row r="54" spans="1:30" ht="13.5" customHeight="1" x14ac:dyDescent="0.35">
      <c r="A54" s="25" t="s">
        <v>429</v>
      </c>
      <c r="B54" s="25"/>
      <c r="C54" s="25"/>
      <c r="D54" s="25"/>
      <c r="E54" s="25"/>
      <c r="F54" s="25"/>
      <c r="G54" s="25"/>
      <c r="H54" s="25"/>
      <c r="I54" s="25"/>
      <c r="J54" s="25"/>
      <c r="K54" s="25"/>
      <c r="L54" s="25"/>
      <c r="M54" s="25"/>
      <c r="N54" s="25"/>
      <c r="O54" s="25"/>
      <c r="P54" s="25"/>
      <c r="Q54" s="25"/>
      <c r="R54" s="25"/>
      <c r="S54" s="25"/>
      <c r="T54" s="25"/>
      <c r="U54" s="25"/>
      <c r="V54" s="25"/>
      <c r="W54" s="25"/>
      <c r="X54" s="25"/>
      <c r="Y54" s="25"/>
      <c r="Z54" s="25"/>
      <c r="AA54" s="25"/>
      <c r="AB54" s="25"/>
      <c r="AC54" s="25"/>
      <c r="AD54" s="25"/>
    </row>
    <row r="55" spans="1:30" ht="13.5" customHeight="1" x14ac:dyDescent="0.35">
      <c r="A55" s="4" t="s">
        <v>407</v>
      </c>
      <c r="B55" s="17">
        <v>512</v>
      </c>
      <c r="C55" s="17">
        <v>512</v>
      </c>
      <c r="D55" s="17">
        <v>512</v>
      </c>
      <c r="E55" s="17">
        <v>512</v>
      </c>
      <c r="F55" s="17">
        <v>512</v>
      </c>
      <c r="G55" s="17">
        <v>512</v>
      </c>
      <c r="H55" s="17"/>
      <c r="I55" s="17"/>
      <c r="J55" s="17"/>
      <c r="K55" s="17"/>
      <c r="L55" s="17"/>
      <c r="M55" s="17"/>
      <c r="N55" s="17"/>
      <c r="O55" s="17"/>
      <c r="P55" s="17"/>
      <c r="Q55" s="17"/>
      <c r="R55" s="17"/>
      <c r="S55" s="17"/>
      <c r="T55" s="17"/>
      <c r="U55" s="17"/>
      <c r="V55" s="17"/>
      <c r="W55" s="17"/>
      <c r="X55" s="17"/>
      <c r="Y55" s="17"/>
      <c r="Z55" s="17"/>
      <c r="AA55" s="17"/>
      <c r="AB55" s="17"/>
      <c r="AC55" s="17"/>
      <c r="AD55" s="228" t="s">
        <v>882</v>
      </c>
    </row>
    <row r="56" spans="1:30" ht="12.5" customHeight="1" x14ac:dyDescent="0.35">
      <c r="A56" s="4" t="s">
        <v>408</v>
      </c>
      <c r="B56" s="17">
        <v>32</v>
      </c>
      <c r="C56" s="17">
        <v>32</v>
      </c>
      <c r="D56" s="17">
        <v>32</v>
      </c>
      <c r="E56" s="17">
        <v>32</v>
      </c>
      <c r="F56" s="17">
        <v>32</v>
      </c>
      <c r="G56" s="17">
        <v>32</v>
      </c>
      <c r="H56" s="17"/>
      <c r="I56" s="17"/>
      <c r="J56" s="17"/>
      <c r="K56" s="17"/>
      <c r="L56" s="17"/>
      <c r="M56" s="17"/>
      <c r="N56" s="17"/>
      <c r="O56" s="17"/>
      <c r="P56" s="17"/>
      <c r="Q56" s="17"/>
      <c r="R56" s="17"/>
      <c r="S56" s="17"/>
      <c r="T56" s="17"/>
      <c r="U56" s="17"/>
      <c r="V56" s="17"/>
      <c r="W56" s="17"/>
      <c r="X56" s="17"/>
      <c r="Y56" s="17"/>
      <c r="Z56" s="17"/>
      <c r="AA56" s="17"/>
      <c r="AB56" s="17"/>
      <c r="AC56" s="17"/>
      <c r="AD56" s="228" t="s">
        <v>883</v>
      </c>
    </row>
    <row r="57" spans="1:30" ht="12.5" customHeight="1" x14ac:dyDescent="0.35">
      <c r="A57" s="4" t="s">
        <v>409</v>
      </c>
      <c r="B57" s="17">
        <v>256</v>
      </c>
      <c r="C57" s="17">
        <v>256</v>
      </c>
      <c r="D57" s="17">
        <v>256</v>
      </c>
      <c r="E57" s="17">
        <v>256</v>
      </c>
      <c r="F57" s="17">
        <v>256</v>
      </c>
      <c r="G57" s="17">
        <v>256</v>
      </c>
      <c r="H57" s="17"/>
      <c r="I57" s="17"/>
      <c r="J57" s="17"/>
      <c r="K57" s="17"/>
      <c r="L57" s="17"/>
      <c r="M57" s="17"/>
      <c r="N57" s="17"/>
      <c r="O57" s="17"/>
      <c r="P57" s="17"/>
      <c r="Q57" s="17"/>
      <c r="R57" s="17"/>
      <c r="S57" s="17"/>
      <c r="T57" s="17"/>
      <c r="U57" s="17"/>
      <c r="V57" s="17"/>
      <c r="W57" s="17"/>
      <c r="X57" s="17"/>
      <c r="Y57" s="17"/>
      <c r="Z57" s="17"/>
      <c r="AA57" s="17"/>
      <c r="AB57" s="17"/>
      <c r="AC57" s="17"/>
      <c r="AD57" s="228" t="s">
        <v>884</v>
      </c>
    </row>
    <row r="58" spans="1:30" s="16" customFormat="1" ht="12.5" customHeight="1" x14ac:dyDescent="0.35">
      <c r="A58" s="4" t="s">
        <v>410</v>
      </c>
      <c r="B58" s="17">
        <v>0</v>
      </c>
      <c r="C58" s="17">
        <v>0</v>
      </c>
      <c r="D58" s="17">
        <v>0</v>
      </c>
      <c r="E58" s="17">
        <v>256</v>
      </c>
      <c r="F58" s="17">
        <v>256</v>
      </c>
      <c r="G58" s="83">
        <v>0</v>
      </c>
      <c r="H58" s="17"/>
      <c r="I58" s="17"/>
      <c r="J58" s="17"/>
      <c r="K58" s="17"/>
      <c r="L58" s="17"/>
      <c r="M58" s="17"/>
      <c r="N58" s="17"/>
      <c r="O58" s="17"/>
      <c r="P58" s="17"/>
      <c r="Q58" s="17"/>
      <c r="R58" s="17"/>
      <c r="S58" s="17"/>
      <c r="T58" s="17"/>
      <c r="U58" s="17"/>
      <c r="V58" s="17"/>
      <c r="W58" s="17"/>
      <c r="X58" s="17"/>
      <c r="Y58" s="17"/>
      <c r="Z58" s="17"/>
      <c r="AA58" s="17"/>
      <c r="AB58" s="17"/>
      <c r="AC58" s="17"/>
      <c r="AD58" s="228" t="s">
        <v>885</v>
      </c>
    </row>
    <row r="59" spans="1:30" ht="12.5" customHeight="1" x14ac:dyDescent="0.35">
      <c r="A59" s="4" t="s">
        <v>434</v>
      </c>
      <c r="B59" s="17">
        <v>0</v>
      </c>
      <c r="C59" s="17">
        <v>0</v>
      </c>
      <c r="D59" s="17">
        <v>0</v>
      </c>
      <c r="E59" s="17">
        <v>0</v>
      </c>
      <c r="F59" s="17">
        <v>0</v>
      </c>
      <c r="G59" s="17">
        <v>1</v>
      </c>
      <c r="H59" s="17"/>
      <c r="I59" s="17"/>
      <c r="J59" s="17"/>
      <c r="K59" s="17"/>
      <c r="L59" s="17"/>
      <c r="M59" s="17"/>
      <c r="N59" s="17"/>
      <c r="O59" s="17"/>
      <c r="P59" s="17"/>
      <c r="Q59" s="17"/>
      <c r="R59" s="17"/>
      <c r="S59" s="17"/>
      <c r="T59" s="17"/>
      <c r="U59" s="17"/>
      <c r="V59" s="17"/>
      <c r="W59" s="17"/>
      <c r="X59" s="17"/>
      <c r="Y59" s="17"/>
      <c r="Z59" s="17"/>
      <c r="AA59" s="17"/>
      <c r="AB59" s="17"/>
      <c r="AC59" s="17"/>
      <c r="AD59" s="228" t="s">
        <v>877</v>
      </c>
    </row>
    <row r="60" spans="1:30" s="16" customFormat="1" ht="12.5" customHeight="1" x14ac:dyDescent="0.35">
      <c r="A60" s="25" t="s">
        <v>430</v>
      </c>
      <c r="B60" s="25"/>
      <c r="C60" s="25"/>
      <c r="D60" s="25"/>
      <c r="E60" s="25"/>
      <c r="F60" s="25"/>
      <c r="G60" s="25"/>
      <c r="H60" s="25"/>
      <c r="I60" s="25"/>
      <c r="J60" s="25"/>
      <c r="K60" s="25"/>
      <c r="L60" s="25"/>
      <c r="M60" s="25"/>
      <c r="N60" s="25"/>
      <c r="O60" s="25"/>
      <c r="P60" s="25"/>
      <c r="Q60" s="25"/>
      <c r="R60" s="25"/>
      <c r="S60" s="25"/>
      <c r="T60" s="25"/>
      <c r="U60" s="25"/>
      <c r="V60" s="25"/>
      <c r="W60" s="25"/>
      <c r="X60" s="25"/>
      <c r="Y60" s="25"/>
      <c r="Z60" s="25"/>
      <c r="AA60" s="25"/>
      <c r="AB60" s="25"/>
      <c r="AC60" s="25"/>
      <c r="AD60" s="25"/>
    </row>
    <row r="61" spans="1:30" ht="12.5" customHeight="1" x14ac:dyDescent="0.35">
      <c r="A61" s="53" t="s">
        <v>17</v>
      </c>
      <c r="B61" s="17">
        <v>768</v>
      </c>
      <c r="C61" s="17">
        <v>768</v>
      </c>
      <c r="D61" s="17">
        <v>768</v>
      </c>
      <c r="E61" s="17">
        <v>768</v>
      </c>
      <c r="F61" s="17">
        <v>768</v>
      </c>
      <c r="G61" s="17">
        <v>768</v>
      </c>
      <c r="H61" s="17"/>
      <c r="I61" s="17"/>
      <c r="J61" s="17"/>
      <c r="K61" s="17"/>
      <c r="L61" s="17"/>
      <c r="M61" s="17"/>
      <c r="N61" s="17"/>
      <c r="O61" s="17"/>
      <c r="P61" s="17"/>
      <c r="Q61" s="17"/>
      <c r="R61" s="17"/>
      <c r="S61" s="17"/>
      <c r="T61" s="17"/>
      <c r="U61" s="17"/>
      <c r="V61" s="17"/>
      <c r="W61" s="17"/>
      <c r="X61" s="17"/>
      <c r="Y61" s="17"/>
      <c r="Z61" s="17"/>
      <c r="AA61" s="17"/>
      <c r="AB61" s="17"/>
      <c r="AC61" s="17"/>
      <c r="AD61" s="228" t="s">
        <v>878</v>
      </c>
    </row>
    <row r="62" spans="1:30" ht="12.5" customHeight="1" x14ac:dyDescent="0.35">
      <c r="A62" s="53" t="s">
        <v>411</v>
      </c>
      <c r="B62" s="17">
        <v>32</v>
      </c>
      <c r="C62" s="17">
        <v>32</v>
      </c>
      <c r="D62" s="17">
        <v>32</v>
      </c>
      <c r="E62" s="17">
        <v>160</v>
      </c>
      <c r="F62" s="17">
        <v>160</v>
      </c>
      <c r="G62" s="83">
        <v>192</v>
      </c>
      <c r="H62" s="17"/>
      <c r="I62" s="17"/>
      <c r="J62" s="17"/>
      <c r="K62" s="17"/>
      <c r="L62" s="17"/>
      <c r="M62" s="17"/>
      <c r="N62" s="17"/>
      <c r="O62" s="17"/>
      <c r="P62" s="17"/>
      <c r="Q62" s="17"/>
      <c r="R62" s="17"/>
      <c r="S62" s="17"/>
      <c r="T62" s="17"/>
      <c r="U62" s="17"/>
      <c r="V62" s="17"/>
      <c r="W62" s="17"/>
      <c r="X62" s="17"/>
      <c r="Y62" s="17"/>
      <c r="Z62" s="17"/>
      <c r="AA62" s="17"/>
      <c r="AB62" s="17"/>
      <c r="AC62" s="17"/>
      <c r="AD62" s="17" t="s">
        <v>879</v>
      </c>
    </row>
    <row r="63" spans="1:30" ht="12.5" customHeight="1" x14ac:dyDescent="0.35">
      <c r="A63" s="53" t="s">
        <v>23</v>
      </c>
      <c r="B63" s="17">
        <v>0</v>
      </c>
      <c r="C63" s="17">
        <v>0</v>
      </c>
      <c r="D63" s="17">
        <v>0</v>
      </c>
      <c r="E63" s="17">
        <v>0</v>
      </c>
      <c r="F63" s="83">
        <v>0</v>
      </c>
      <c r="G63" s="17">
        <v>0</v>
      </c>
      <c r="H63" s="17"/>
      <c r="I63" s="17"/>
      <c r="J63" s="17"/>
      <c r="K63" s="17"/>
      <c r="L63" s="17"/>
      <c r="M63" s="17"/>
      <c r="N63" s="17"/>
      <c r="O63" s="17"/>
      <c r="P63" s="17"/>
      <c r="Q63" s="17"/>
      <c r="R63" s="17"/>
      <c r="S63" s="17"/>
      <c r="T63" s="17"/>
      <c r="U63" s="17"/>
      <c r="V63" s="17"/>
      <c r="W63" s="17"/>
      <c r="X63" s="17"/>
      <c r="Y63" s="17"/>
      <c r="Z63" s="17"/>
      <c r="AA63" s="17"/>
      <c r="AB63" s="17"/>
      <c r="AC63" s="17"/>
      <c r="AD63" s="17" t="s">
        <v>880</v>
      </c>
    </row>
    <row r="64" spans="1:30" s="16" customFormat="1" ht="12.5" customHeight="1" x14ac:dyDescent="0.35">
      <c r="A64" s="53" t="s">
        <v>24</v>
      </c>
      <c r="B64" s="17">
        <v>32</v>
      </c>
      <c r="C64" s="17">
        <v>32</v>
      </c>
      <c r="D64" s="17">
        <v>32</v>
      </c>
      <c r="E64" s="17">
        <v>32</v>
      </c>
      <c r="F64" s="17">
        <v>32</v>
      </c>
      <c r="G64" s="17">
        <v>32</v>
      </c>
      <c r="H64" s="17"/>
      <c r="I64" s="17"/>
      <c r="J64" s="17"/>
      <c r="K64" s="17"/>
      <c r="L64" s="17"/>
      <c r="M64" s="17"/>
      <c r="N64" s="17"/>
      <c r="O64" s="17"/>
      <c r="P64" s="17"/>
      <c r="Q64" s="17"/>
      <c r="R64" s="17"/>
      <c r="S64" s="17"/>
      <c r="T64" s="17"/>
      <c r="U64" s="17"/>
      <c r="V64" s="17"/>
      <c r="W64" s="17"/>
      <c r="X64" s="17"/>
      <c r="Y64" s="17"/>
      <c r="Z64" s="17"/>
      <c r="AA64" s="17"/>
      <c r="AB64" s="17"/>
      <c r="AC64" s="17"/>
      <c r="AD64" s="17" t="s">
        <v>881</v>
      </c>
    </row>
    <row r="65" spans="1:30" ht="12.5" customHeight="1" x14ac:dyDescent="0.35">
      <c r="A65" s="53" t="s">
        <v>435</v>
      </c>
      <c r="B65" s="17">
        <v>0</v>
      </c>
      <c r="C65" s="17">
        <v>0</v>
      </c>
      <c r="D65" s="17">
        <v>0</v>
      </c>
      <c r="E65" s="17">
        <v>0</v>
      </c>
      <c r="F65" s="17">
        <v>0</v>
      </c>
      <c r="G65" s="83">
        <v>0</v>
      </c>
      <c r="H65" s="17"/>
      <c r="I65" s="17"/>
      <c r="J65" s="17"/>
      <c r="K65" s="17"/>
      <c r="L65" s="17"/>
      <c r="M65" s="17"/>
      <c r="N65" s="17"/>
      <c r="O65" s="17"/>
      <c r="P65" s="17"/>
      <c r="Q65" s="17"/>
      <c r="R65" s="17"/>
      <c r="S65" s="17"/>
      <c r="T65" s="17"/>
      <c r="U65" s="17"/>
      <c r="V65" s="17"/>
      <c r="W65" s="17"/>
      <c r="X65" s="17"/>
      <c r="Y65" s="17"/>
      <c r="Z65" s="17"/>
      <c r="AA65" s="17"/>
      <c r="AB65" s="17"/>
      <c r="AC65" s="17"/>
      <c r="AD65" s="228" t="s">
        <v>876</v>
      </c>
    </row>
    <row r="66" spans="1:30" ht="12.5" customHeight="1" x14ac:dyDescent="0.35">
      <c r="A66" s="25" t="s">
        <v>636</v>
      </c>
      <c r="B66" s="25"/>
      <c r="C66" s="25"/>
      <c r="D66" s="25"/>
      <c r="E66" s="25"/>
      <c r="F66" s="25"/>
      <c r="G66" s="25"/>
      <c r="H66" s="25"/>
      <c r="I66" s="25"/>
      <c r="J66" s="25"/>
      <c r="K66" s="25"/>
      <c r="L66" s="25"/>
      <c r="M66" s="25"/>
      <c r="N66" s="25"/>
      <c r="O66" s="25"/>
      <c r="P66" s="25"/>
      <c r="Q66" s="25"/>
      <c r="R66" s="25"/>
      <c r="S66" s="25"/>
      <c r="T66" s="25"/>
      <c r="U66" s="25"/>
      <c r="V66" s="25"/>
      <c r="W66" s="25"/>
      <c r="X66" s="25"/>
      <c r="Y66" s="25"/>
      <c r="Z66" s="25"/>
      <c r="AA66" s="25"/>
      <c r="AB66" s="25"/>
      <c r="AC66" s="25"/>
      <c r="AD66" s="25"/>
    </row>
    <row r="67" spans="1:30" ht="12.5" customHeight="1" x14ac:dyDescent="0.35">
      <c r="A67" s="2" t="s">
        <v>631</v>
      </c>
      <c r="B67" s="17">
        <f>HEX2DEC(40)*8</f>
        <v>512</v>
      </c>
      <c r="C67" s="17">
        <v>512</v>
      </c>
      <c r="D67" s="17">
        <v>512</v>
      </c>
      <c r="E67" s="17">
        <f>HEX2DEC(40)*8</f>
        <v>512</v>
      </c>
      <c r="F67" s="17">
        <f>HEX2DEC(40)*8</f>
        <v>512</v>
      </c>
      <c r="G67" s="17">
        <v>0</v>
      </c>
      <c r="H67" s="17"/>
      <c r="I67" s="17"/>
      <c r="J67" s="17"/>
      <c r="K67" s="17"/>
      <c r="L67" s="17"/>
      <c r="M67" s="17"/>
      <c r="N67" s="17"/>
      <c r="O67" s="17"/>
      <c r="P67" s="17"/>
      <c r="Q67" s="17"/>
      <c r="R67" s="17"/>
      <c r="S67" s="17"/>
      <c r="T67" s="17"/>
      <c r="U67" s="17"/>
      <c r="V67" s="17"/>
      <c r="W67" s="17"/>
      <c r="X67" s="17"/>
      <c r="Y67" s="17"/>
      <c r="Z67" s="17"/>
      <c r="AA67" s="17"/>
      <c r="AB67" s="17"/>
      <c r="AC67" s="17"/>
      <c r="AD67" s="228" t="s">
        <v>871</v>
      </c>
    </row>
    <row r="68" spans="1:30" ht="12.5" customHeight="1" x14ac:dyDescent="0.35">
      <c r="A68" s="2" t="s">
        <v>632</v>
      </c>
      <c r="B68" s="17">
        <f>HEX2DEC(40)*8</f>
        <v>512</v>
      </c>
      <c r="C68" s="17">
        <v>512</v>
      </c>
      <c r="D68" s="17">
        <v>512</v>
      </c>
      <c r="E68" s="17">
        <f>HEX2DEC(40)*8</f>
        <v>512</v>
      </c>
      <c r="F68" s="17">
        <v>0</v>
      </c>
      <c r="G68" s="17">
        <v>0</v>
      </c>
      <c r="H68" s="17"/>
      <c r="I68" s="17"/>
      <c r="J68" s="17"/>
      <c r="K68" s="17"/>
      <c r="L68" s="17"/>
      <c r="M68" s="17"/>
      <c r="N68" s="17"/>
      <c r="O68" s="17"/>
      <c r="P68" s="17"/>
      <c r="Q68" s="17"/>
      <c r="R68" s="17"/>
      <c r="S68" s="17"/>
      <c r="T68" s="17"/>
      <c r="U68" s="17"/>
      <c r="V68" s="17"/>
      <c r="W68" s="17"/>
      <c r="X68" s="17"/>
      <c r="Y68" s="17"/>
      <c r="Z68" s="17"/>
      <c r="AA68" s="17"/>
      <c r="AB68" s="17"/>
      <c r="AC68" s="17"/>
      <c r="AD68" s="228" t="s">
        <v>872</v>
      </c>
    </row>
    <row r="69" spans="1:30" ht="12.5" customHeight="1" x14ac:dyDescent="0.35">
      <c r="A69" s="2" t="s">
        <v>634</v>
      </c>
      <c r="B69" s="17">
        <f>HEX2DEC(40)*8</f>
        <v>512</v>
      </c>
      <c r="C69" s="17">
        <v>512</v>
      </c>
      <c r="D69" s="17">
        <v>512</v>
      </c>
      <c r="E69" s="17">
        <v>0</v>
      </c>
      <c r="F69" s="17">
        <v>0</v>
      </c>
      <c r="G69" s="17">
        <v>0</v>
      </c>
      <c r="H69" s="17"/>
      <c r="I69" s="17"/>
      <c r="J69" s="17"/>
      <c r="K69" s="17"/>
      <c r="L69" s="17"/>
      <c r="M69" s="17"/>
      <c r="N69" s="17"/>
      <c r="O69" s="17"/>
      <c r="P69" s="17"/>
      <c r="Q69" s="17"/>
      <c r="R69" s="17"/>
      <c r="S69" s="17"/>
      <c r="T69" s="17"/>
      <c r="U69" s="17"/>
      <c r="V69" s="17"/>
      <c r="W69" s="17"/>
      <c r="X69" s="17"/>
      <c r="Y69" s="17"/>
      <c r="Z69" s="17"/>
      <c r="AA69" s="17"/>
      <c r="AB69" s="17"/>
      <c r="AC69" s="17"/>
      <c r="AD69" s="228" t="s">
        <v>873</v>
      </c>
    </row>
    <row r="70" spans="1:30" ht="12.5" customHeight="1" x14ac:dyDescent="0.35">
      <c r="A70" s="2" t="s">
        <v>683</v>
      </c>
      <c r="B70" s="17">
        <f>2048/32</f>
        <v>64</v>
      </c>
      <c r="C70" s="17">
        <f>2048/32</f>
        <v>64</v>
      </c>
      <c r="D70" s="17">
        <f>2048/32</f>
        <v>64</v>
      </c>
      <c r="E70" s="17">
        <f>4096/32</f>
        <v>128</v>
      </c>
      <c r="F70" s="17">
        <f>2048/32</f>
        <v>64</v>
      </c>
      <c r="G70" s="17">
        <f>0/32</f>
        <v>0</v>
      </c>
      <c r="H70" s="17"/>
      <c r="I70" s="17"/>
      <c r="J70" s="17"/>
      <c r="K70" s="17"/>
      <c r="L70" s="17"/>
      <c r="M70" s="17"/>
      <c r="N70" s="17"/>
      <c r="O70" s="17"/>
      <c r="P70" s="17"/>
      <c r="Q70" s="17"/>
      <c r="R70" s="17"/>
      <c r="S70" s="17"/>
      <c r="T70" s="17"/>
      <c r="U70" s="17"/>
      <c r="V70" s="17"/>
      <c r="W70" s="17"/>
      <c r="X70" s="17"/>
      <c r="Y70" s="17"/>
      <c r="Z70" s="17"/>
      <c r="AA70" s="17"/>
      <c r="AB70" s="17"/>
      <c r="AC70" s="17"/>
      <c r="AD70" s="228" t="s">
        <v>874</v>
      </c>
    </row>
    <row r="71" spans="1:30" ht="12.5" customHeight="1" x14ac:dyDescent="0.35">
      <c r="A71" s="2" t="s">
        <v>639</v>
      </c>
      <c r="B71" s="17">
        <v>0</v>
      </c>
      <c r="C71" s="17">
        <v>0</v>
      </c>
      <c r="D71" s="17">
        <v>0</v>
      </c>
      <c r="E71" s="17">
        <v>0</v>
      </c>
      <c r="F71" s="17">
        <v>0</v>
      </c>
      <c r="G71" s="83">
        <v>0</v>
      </c>
      <c r="H71" s="17"/>
      <c r="I71" s="17"/>
      <c r="J71" s="17"/>
      <c r="K71" s="17"/>
      <c r="L71" s="17"/>
      <c r="M71" s="17"/>
      <c r="N71" s="17"/>
      <c r="O71" s="17"/>
      <c r="P71" s="17"/>
      <c r="Q71" s="17"/>
      <c r="R71" s="17"/>
      <c r="S71" s="17"/>
      <c r="T71" s="17"/>
      <c r="U71" s="17"/>
      <c r="V71" s="17"/>
      <c r="W71" s="17"/>
      <c r="X71" s="17"/>
      <c r="Y71" s="17"/>
      <c r="Z71" s="17"/>
      <c r="AA71" s="17"/>
      <c r="AB71" s="17"/>
      <c r="AC71" s="17"/>
      <c r="AD71" s="228" t="s">
        <v>875</v>
      </c>
    </row>
  </sheetData>
  <mergeCells count="2">
    <mergeCell ref="E2:G2"/>
    <mergeCell ref="C2:D2"/>
  </mergeCells>
  <conditionalFormatting sqref="A55">
    <cfRule type="cellIs" dxfId="437" priority="9" operator="equal">
      <formula>0</formula>
    </cfRule>
  </conditionalFormatting>
  <conditionalFormatting sqref="A56">
    <cfRule type="cellIs" dxfId="436" priority="8" operator="equal">
      <formula>0</formula>
    </cfRule>
  </conditionalFormatting>
  <conditionalFormatting sqref="A57">
    <cfRule type="cellIs" dxfId="435" priority="7" operator="equal">
      <formula>0</formula>
    </cfRule>
  </conditionalFormatting>
  <conditionalFormatting sqref="A59">
    <cfRule type="cellIs" dxfId="434" priority="6" operator="equal">
      <formula>0</formula>
    </cfRule>
  </conditionalFormatting>
  <conditionalFormatting sqref="A61">
    <cfRule type="cellIs" priority="5" operator="equal">
      <formula>0</formula>
    </cfRule>
  </conditionalFormatting>
  <conditionalFormatting sqref="A62">
    <cfRule type="cellIs" dxfId="433" priority="4" operator="equal">
      <formula>0</formula>
    </cfRule>
  </conditionalFormatting>
  <conditionalFormatting sqref="A63">
    <cfRule type="cellIs" dxfId="432" priority="2" operator="equal">
      <formula>0</formula>
    </cfRule>
    <cfRule type="cellIs" dxfId="431" priority="3" operator="equal">
      <formula>0</formula>
    </cfRule>
  </conditionalFormatting>
  <conditionalFormatting sqref="A58">
    <cfRule type="cellIs" dxfId="430" priority="1" operator="equal">
      <formula>0</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A59B71-AD60-4E0E-A191-D7668320A8C2}">
  <sheetPr codeName="Sheet14"/>
  <dimension ref="A1:O45"/>
  <sheetViews>
    <sheetView zoomScaleNormal="100" workbookViewId="0">
      <selection activeCell="B13" sqref="B13"/>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98" t="s">
        <v>852</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96" t="s">
        <v>379</v>
      </c>
      <c r="N3" s="187" t="s">
        <v>14</v>
      </c>
      <c r="O3" s="190">
        <f ca="1">($G3+$G4+$G5+$G6+$G7)</f>
        <v>1056</v>
      </c>
    </row>
    <row r="4" spans="1:15" ht="15" customHeight="1" x14ac:dyDescent="0.35">
      <c r="A4" s="198"/>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88"/>
      <c r="N4" s="188"/>
      <c r="O4" s="191"/>
    </row>
    <row r="5" spans="1:15" ht="15" customHeight="1" x14ac:dyDescent="0.35">
      <c r="A5" s="198"/>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88"/>
      <c r="N5" s="188"/>
      <c r="O5" s="191"/>
    </row>
    <row r="6" spans="1:15" ht="15" customHeight="1" x14ac:dyDescent="0.35">
      <c r="A6" s="198"/>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88"/>
      <c r="N6" s="188"/>
      <c r="O6" s="191"/>
    </row>
    <row r="7" spans="1:15" ht="15" customHeight="1" thickBot="1" x14ac:dyDescent="0.4">
      <c r="A7" s="198"/>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89"/>
      <c r="N7" s="189"/>
      <c r="O7" s="192"/>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99" t="s">
        <v>380</v>
      </c>
      <c r="N8" s="202" t="s">
        <v>21</v>
      </c>
      <c r="O8" s="204">
        <f ca="1">($G8+$G9+$G10+$G12)</f>
        <v>960</v>
      </c>
    </row>
    <row r="9" spans="1:15" x14ac:dyDescent="0.35">
      <c r="A9" s="194" t="s">
        <v>853</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200"/>
      <c r="N9" s="188"/>
      <c r="O9" s="191"/>
    </row>
    <row r="10" spans="1:15" x14ac:dyDescent="0.35">
      <c r="A10" s="19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200"/>
      <c r="N10" s="188"/>
      <c r="O10" s="191"/>
    </row>
    <row r="11" spans="1:15" x14ac:dyDescent="0.35">
      <c r="A11" s="195"/>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200"/>
      <c r="N11" s="188"/>
      <c r="O11" s="191"/>
    </row>
    <row r="12" spans="1:15" ht="15" thickBot="1" x14ac:dyDescent="0.4">
      <c r="A12" s="20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201"/>
      <c r="N12" s="203"/>
      <c r="O12" s="205"/>
    </row>
    <row r="13" spans="1:15" ht="15" customHeight="1" x14ac:dyDescent="0.35">
      <c r="A13" s="194" t="s">
        <v>25</v>
      </c>
      <c r="B13" s="44" t="s">
        <v>26</v>
      </c>
      <c r="C13" s="48" t="s">
        <v>626</v>
      </c>
      <c r="D13" s="184" t="s">
        <v>27</v>
      </c>
      <c r="E13" s="12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96" t="s">
        <v>381</v>
      </c>
      <c r="N13" s="187" t="s">
        <v>31</v>
      </c>
      <c r="O13" s="190">
        <f ca="1">(4*32+G17+G18+G19+G20+G21+G22)</f>
        <v>160</v>
      </c>
    </row>
    <row r="14" spans="1:15" x14ac:dyDescent="0.35">
      <c r="A14" s="195"/>
      <c r="B14" s="46" t="s">
        <v>32</v>
      </c>
      <c r="C14" s="49" t="s">
        <v>626</v>
      </c>
      <c r="D14" s="185"/>
      <c r="E14" s="12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93"/>
      <c r="N14" s="188"/>
      <c r="O14" s="191"/>
    </row>
    <row r="15" spans="1:15" x14ac:dyDescent="0.35">
      <c r="A15" s="195"/>
      <c r="B15" s="46" t="s">
        <v>33</v>
      </c>
      <c r="C15" s="49" t="s">
        <v>626</v>
      </c>
      <c r="D15" s="185"/>
      <c r="E15" s="12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93"/>
      <c r="N15" s="188"/>
      <c r="O15" s="191"/>
    </row>
    <row r="16" spans="1:15" x14ac:dyDescent="0.35">
      <c r="A16" s="195"/>
      <c r="B16" s="46" t="s">
        <v>34</v>
      </c>
      <c r="C16" s="49" t="s">
        <v>626</v>
      </c>
      <c r="D16" s="185"/>
      <c r="E16" s="12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93"/>
      <c r="N16" s="188"/>
      <c r="O16" s="191"/>
    </row>
    <row r="17" spans="1:15" x14ac:dyDescent="0.35">
      <c r="A17" s="195"/>
      <c r="B17" s="46" t="s">
        <v>36</v>
      </c>
      <c r="C17" s="46" t="s">
        <v>261</v>
      </c>
      <c r="D17" s="185"/>
      <c r="E17" s="12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93"/>
      <c r="N17" s="188"/>
      <c r="O17" s="191"/>
    </row>
    <row r="18" spans="1:15" x14ac:dyDescent="0.35">
      <c r="A18" s="195"/>
      <c r="B18" s="46" t="s">
        <v>38</v>
      </c>
      <c r="C18" s="95" t="s">
        <v>221</v>
      </c>
      <c r="D18" s="185"/>
      <c r="E18" s="12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93"/>
      <c r="N18" s="188"/>
      <c r="O18" s="191"/>
    </row>
    <row r="19" spans="1:15" x14ac:dyDescent="0.35">
      <c r="A19" s="195"/>
      <c r="B19" s="95" t="s">
        <v>254</v>
      </c>
      <c r="C19" s="95" t="s">
        <v>209</v>
      </c>
      <c r="D19" s="185"/>
      <c r="E19" s="12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93"/>
      <c r="N19" s="188"/>
      <c r="O19" s="191"/>
    </row>
    <row r="20" spans="1:15" x14ac:dyDescent="0.35">
      <c r="A20" s="195"/>
      <c r="B20" s="95" t="s">
        <v>258</v>
      </c>
      <c r="C20" s="95" t="s">
        <v>402</v>
      </c>
      <c r="D20" s="185"/>
      <c r="E20" s="12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93"/>
      <c r="N20" s="188"/>
      <c r="O20" s="191"/>
    </row>
    <row r="21" spans="1:15" x14ac:dyDescent="0.35">
      <c r="A21" s="195"/>
      <c r="B21" s="95" t="s">
        <v>259</v>
      </c>
      <c r="C21" s="95" t="s">
        <v>402</v>
      </c>
      <c r="D21" s="185"/>
      <c r="E21" s="12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93"/>
      <c r="N21" s="188"/>
      <c r="O21" s="191"/>
    </row>
    <row r="22" spans="1:15" x14ac:dyDescent="0.35">
      <c r="A22" s="195"/>
      <c r="B22" s="95" t="s">
        <v>260</v>
      </c>
      <c r="C22" s="95" t="s">
        <v>402</v>
      </c>
      <c r="D22" s="185"/>
      <c r="E22" s="12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93"/>
      <c r="N22" s="188"/>
      <c r="O22" s="191"/>
    </row>
    <row r="23" spans="1:15" x14ac:dyDescent="0.35">
      <c r="A23" s="195"/>
      <c r="B23" s="46" t="s">
        <v>40</v>
      </c>
      <c r="C23" s="49" t="s">
        <v>626</v>
      </c>
      <c r="D23" s="185"/>
      <c r="E23" s="12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93"/>
      <c r="N23" s="188"/>
      <c r="O23" s="191"/>
    </row>
    <row r="24" spans="1:15" x14ac:dyDescent="0.35">
      <c r="A24" s="194" t="s">
        <v>43</v>
      </c>
      <c r="B24" s="46" t="s">
        <v>44</v>
      </c>
      <c r="C24" s="46" t="s">
        <v>627</v>
      </c>
      <c r="D24" s="185"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93" t="s">
        <v>382</v>
      </c>
      <c r="N24" s="188"/>
      <c r="O24" s="191">
        <f ca="1">(G24+G25)</f>
        <v>64</v>
      </c>
    </row>
    <row r="25" spans="1:15" ht="15" thickBot="1" x14ac:dyDescent="0.4">
      <c r="A25" s="197"/>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89"/>
      <c r="N25" s="189"/>
      <c r="O25" s="192"/>
    </row>
    <row r="26" spans="1:15" ht="15" thickBot="1" x14ac:dyDescent="0.4">
      <c r="A26" s="130"/>
    </row>
    <row r="27" spans="1:15" x14ac:dyDescent="0.35">
      <c r="A27" s="184"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87" t="s">
        <v>50</v>
      </c>
      <c r="O27" s="190">
        <f ca="1">SUM(G27:G41)</f>
        <v>5184</v>
      </c>
    </row>
    <row r="28" spans="1:15" ht="15" customHeight="1" x14ac:dyDescent="0.35">
      <c r="A28" s="185"/>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93" t="s">
        <v>381</v>
      </c>
      <c r="N28" s="188"/>
      <c r="O28" s="191"/>
    </row>
    <row r="29" spans="1:15" x14ac:dyDescent="0.35">
      <c r="A29" s="185"/>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93"/>
      <c r="N29" s="188"/>
      <c r="O29" s="191"/>
    </row>
    <row r="30" spans="1:15" x14ac:dyDescent="0.35">
      <c r="A30" s="185"/>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93"/>
      <c r="N30" s="188"/>
      <c r="O30" s="191"/>
    </row>
    <row r="31" spans="1:15" x14ac:dyDescent="0.35">
      <c r="A31" s="185"/>
      <c r="B31" s="109" t="s">
        <v>630</v>
      </c>
      <c r="C31" s="109" t="s">
        <v>683</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88"/>
      <c r="O31" s="191"/>
    </row>
    <row r="32" spans="1:15" x14ac:dyDescent="0.35">
      <c r="A32" s="185"/>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88"/>
      <c r="O32" s="191"/>
    </row>
    <row r="33" spans="1:15" ht="15" customHeight="1" x14ac:dyDescent="0.35">
      <c r="A33" s="185"/>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93" t="s">
        <v>381</v>
      </c>
      <c r="N33" s="188"/>
      <c r="O33" s="191"/>
    </row>
    <row r="34" spans="1:15" x14ac:dyDescent="0.35">
      <c r="A34" s="185"/>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93"/>
      <c r="N34" s="188"/>
      <c r="O34" s="191"/>
    </row>
    <row r="35" spans="1:15" x14ac:dyDescent="0.35">
      <c r="A35" s="185"/>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93"/>
      <c r="N35" s="188"/>
      <c r="O35" s="191"/>
    </row>
    <row r="36" spans="1:15" x14ac:dyDescent="0.35">
      <c r="A36" s="185"/>
      <c r="B36" s="109" t="s">
        <v>633</v>
      </c>
      <c r="C36" s="109" t="s">
        <v>683</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88"/>
      <c r="O36" s="191"/>
    </row>
    <row r="37" spans="1:15" x14ac:dyDescent="0.35">
      <c r="A37" s="185"/>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88"/>
      <c r="O37" s="191"/>
    </row>
    <row r="38" spans="1:15" ht="15" customHeight="1" x14ac:dyDescent="0.35">
      <c r="A38" s="185"/>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93" t="s">
        <v>381</v>
      </c>
      <c r="N38" s="188"/>
      <c r="O38" s="191"/>
    </row>
    <row r="39" spans="1:15" x14ac:dyDescent="0.35">
      <c r="A39" s="185"/>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93"/>
      <c r="N39" s="188"/>
      <c r="O39" s="191"/>
    </row>
    <row r="40" spans="1:15" x14ac:dyDescent="0.35">
      <c r="A40" s="185"/>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93"/>
      <c r="N40" s="188"/>
      <c r="O40" s="191"/>
    </row>
    <row r="41" spans="1:15" ht="15" thickBot="1" x14ac:dyDescent="0.4">
      <c r="A41" s="186"/>
      <c r="B41" s="112" t="s">
        <v>635</v>
      </c>
      <c r="C41" s="112" t="s">
        <v>683</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89"/>
      <c r="O41" s="192"/>
    </row>
    <row r="42" spans="1:15" ht="15" customHeight="1" x14ac:dyDescent="0.35"/>
    <row r="43" spans="1:15" ht="15" customHeight="1" x14ac:dyDescent="0.35"/>
    <row r="44" spans="1:15" ht="15" customHeight="1" x14ac:dyDescent="0.35"/>
    <row r="45" spans="1:15" ht="15" customHeight="1" x14ac:dyDescent="0.35"/>
  </sheetData>
  <mergeCells count="23">
    <mergeCell ref="A3:A7"/>
    <mergeCell ref="M3:M7"/>
    <mergeCell ref="N3:N7"/>
    <mergeCell ref="O3:O7"/>
    <mergeCell ref="M8:M12"/>
    <mergeCell ref="N8:N12"/>
    <mergeCell ref="O8:O12"/>
    <mergeCell ref="A9:A12"/>
    <mergeCell ref="A13:A23"/>
    <mergeCell ref="D13:D23"/>
    <mergeCell ref="M13:M23"/>
    <mergeCell ref="N13:N25"/>
    <mergeCell ref="O13:O23"/>
    <mergeCell ref="A24:A25"/>
    <mergeCell ref="D24:D25"/>
    <mergeCell ref="M24:M25"/>
    <mergeCell ref="O24:O25"/>
    <mergeCell ref="A27:A41"/>
    <mergeCell ref="N27:N41"/>
    <mergeCell ref="O27:O41"/>
    <mergeCell ref="M28:M30"/>
    <mergeCell ref="M33:M35"/>
    <mergeCell ref="M38:M40"/>
  </mergeCells>
  <conditionalFormatting sqref="C5">
    <cfRule type="cellIs" dxfId="429" priority="84" operator="equal">
      <formula>0</formula>
    </cfRule>
  </conditionalFormatting>
  <conditionalFormatting sqref="J27">
    <cfRule type="cellIs" dxfId="428" priority="100" operator="equal">
      <formula>0</formula>
    </cfRule>
  </conditionalFormatting>
  <conditionalFormatting sqref="G33">
    <cfRule type="cellIs" dxfId="427" priority="99" operator="equal">
      <formula>0</formula>
    </cfRule>
  </conditionalFormatting>
  <conditionalFormatting sqref="C3">
    <cfRule type="cellIs" dxfId="426" priority="86" operator="equal">
      <formula>0</formula>
    </cfRule>
  </conditionalFormatting>
  <conditionalFormatting sqref="C4">
    <cfRule type="cellIs" dxfId="425" priority="85" operator="equal">
      <formula>0</formula>
    </cfRule>
  </conditionalFormatting>
  <conditionalFormatting sqref="G35">
    <cfRule type="cellIs" dxfId="424" priority="98" operator="equal">
      <formula>0</formula>
    </cfRule>
  </conditionalFormatting>
  <conditionalFormatting sqref="B3 J4 J12 D3:J3 G4:G25">
    <cfRule type="cellIs" dxfId="423" priority="97" operator="equal">
      <formula>0</formula>
    </cfRule>
  </conditionalFormatting>
  <conditionalFormatting sqref="B4 H4:I4 D4:F4">
    <cfRule type="cellIs" dxfId="422" priority="96" operator="equal">
      <formula>0</formula>
    </cfRule>
  </conditionalFormatting>
  <conditionalFormatting sqref="B5 I5 D5:F5">
    <cfRule type="cellIs" dxfId="421" priority="95" operator="equal">
      <formula>0</formula>
    </cfRule>
  </conditionalFormatting>
  <conditionalFormatting sqref="B7 I7 F7">
    <cfRule type="cellIs" dxfId="420" priority="94" operator="equal">
      <formula>0</formula>
    </cfRule>
  </conditionalFormatting>
  <conditionalFormatting sqref="B8 H8:I8 D8:F8">
    <cfRule type="cellIs" priority="93" operator="equal">
      <formula>0</formula>
    </cfRule>
  </conditionalFormatting>
  <conditionalFormatting sqref="B9 H9:I9 D9:F9">
    <cfRule type="cellIs" dxfId="419" priority="92" operator="equal">
      <formula>0</formula>
    </cfRule>
  </conditionalFormatting>
  <conditionalFormatting sqref="B10 I10 D10:F10">
    <cfRule type="cellIs" dxfId="418" priority="90" operator="equal">
      <formula>0</formula>
    </cfRule>
    <cfRule type="cellIs" dxfId="417" priority="91" operator="equal">
      <formula>0</formula>
    </cfRule>
  </conditionalFormatting>
  <conditionalFormatting sqref="K12 K3:L4">
    <cfRule type="cellIs" dxfId="416" priority="89" operator="equal">
      <formula>0</formula>
    </cfRule>
  </conditionalFormatting>
  <conditionalFormatting sqref="G28">
    <cfRule type="cellIs" dxfId="415" priority="70" operator="equal">
      <formula>0</formula>
    </cfRule>
  </conditionalFormatting>
  <conditionalFormatting sqref="B6 I6 D6:F6">
    <cfRule type="cellIs" dxfId="414" priority="88" operator="equal">
      <formula>0</formula>
    </cfRule>
  </conditionalFormatting>
  <conditionalFormatting sqref="D7:E7">
    <cfRule type="cellIs" dxfId="413" priority="87" operator="equal">
      <formula>0</formula>
    </cfRule>
  </conditionalFormatting>
  <conditionalFormatting sqref="G31">
    <cfRule type="cellIs" dxfId="412" priority="76" operator="equal">
      <formula>0</formula>
    </cfRule>
  </conditionalFormatting>
  <conditionalFormatting sqref="G32">
    <cfRule type="cellIs" dxfId="411" priority="75" operator="equal">
      <formula>0</formula>
    </cfRule>
  </conditionalFormatting>
  <conditionalFormatting sqref="C7">
    <cfRule type="cellIs" dxfId="410" priority="83" operator="equal">
      <formula>0</formula>
    </cfRule>
  </conditionalFormatting>
  <conditionalFormatting sqref="C8">
    <cfRule type="cellIs" priority="82" operator="equal">
      <formula>0</formula>
    </cfRule>
  </conditionalFormatting>
  <conditionalFormatting sqref="C9">
    <cfRule type="cellIs" dxfId="409" priority="81" operator="equal">
      <formula>0</formula>
    </cfRule>
  </conditionalFormatting>
  <conditionalFormatting sqref="C10">
    <cfRule type="cellIs" dxfId="408" priority="79" operator="equal">
      <formula>0</formula>
    </cfRule>
    <cfRule type="cellIs" dxfId="407" priority="80" operator="equal">
      <formula>0</formula>
    </cfRule>
  </conditionalFormatting>
  <conditionalFormatting sqref="C6">
    <cfRule type="cellIs" dxfId="406" priority="78" operator="equal">
      <formula>0</formula>
    </cfRule>
  </conditionalFormatting>
  <conditionalFormatting sqref="G27">
    <cfRule type="cellIs" dxfId="405" priority="77" operator="equal">
      <formula>0</formula>
    </cfRule>
  </conditionalFormatting>
  <conditionalFormatting sqref="G37">
    <cfRule type="cellIs" dxfId="404" priority="73" operator="equal">
      <formula>0</formula>
    </cfRule>
  </conditionalFormatting>
  <conditionalFormatting sqref="G34">
    <cfRule type="cellIs" dxfId="403" priority="71" operator="equal">
      <formula>0</formula>
    </cfRule>
  </conditionalFormatting>
  <conditionalFormatting sqref="G30">
    <cfRule type="cellIs" dxfId="402" priority="69" operator="equal">
      <formula>0</formula>
    </cfRule>
  </conditionalFormatting>
  <conditionalFormatting sqref="G29">
    <cfRule type="cellIs" dxfId="401" priority="68" operator="equal">
      <formula>0</formula>
    </cfRule>
  </conditionalFormatting>
  <conditionalFormatting sqref="G38">
    <cfRule type="cellIs" dxfId="400" priority="67" operator="equal">
      <formula>0</formula>
    </cfRule>
  </conditionalFormatting>
  <conditionalFormatting sqref="G40">
    <cfRule type="cellIs" dxfId="399" priority="66" operator="equal">
      <formula>0</formula>
    </cfRule>
  </conditionalFormatting>
  <conditionalFormatting sqref="G39">
    <cfRule type="cellIs" dxfId="398" priority="65" operator="equal">
      <formula>0</formula>
    </cfRule>
  </conditionalFormatting>
  <conditionalFormatting sqref="J5">
    <cfRule type="cellIs" dxfId="397" priority="64" operator="equal">
      <formula>0</formula>
    </cfRule>
  </conditionalFormatting>
  <conditionalFormatting sqref="K5">
    <cfRule type="cellIs" dxfId="396" priority="63" operator="equal">
      <formula>0</formula>
    </cfRule>
  </conditionalFormatting>
  <conditionalFormatting sqref="J6">
    <cfRule type="cellIs" dxfId="395" priority="62" operator="equal">
      <formula>0</formula>
    </cfRule>
  </conditionalFormatting>
  <conditionalFormatting sqref="K6">
    <cfRule type="cellIs" dxfId="394" priority="61" operator="equal">
      <formula>0</formula>
    </cfRule>
  </conditionalFormatting>
  <conditionalFormatting sqref="J9">
    <cfRule type="cellIs" dxfId="393" priority="60" operator="equal">
      <formula>0</formula>
    </cfRule>
  </conditionalFormatting>
  <conditionalFormatting sqref="K9">
    <cfRule type="cellIs" dxfId="392" priority="59" operator="equal">
      <formula>0</formula>
    </cfRule>
  </conditionalFormatting>
  <conditionalFormatting sqref="J10">
    <cfRule type="cellIs" dxfId="391" priority="58" operator="equal">
      <formula>0</formula>
    </cfRule>
  </conditionalFormatting>
  <conditionalFormatting sqref="K10">
    <cfRule type="cellIs" dxfId="390" priority="57" operator="equal">
      <formula>0</formula>
    </cfRule>
  </conditionalFormatting>
  <conditionalFormatting sqref="J11">
    <cfRule type="cellIs" dxfId="389" priority="56" operator="equal">
      <formula>0</formula>
    </cfRule>
  </conditionalFormatting>
  <conditionalFormatting sqref="K11">
    <cfRule type="cellIs" dxfId="388" priority="55" operator="equal">
      <formula>0</formula>
    </cfRule>
  </conditionalFormatting>
  <conditionalFormatting sqref="J7">
    <cfRule type="cellIs" dxfId="387" priority="54" operator="equal">
      <formula>0</formula>
    </cfRule>
  </conditionalFormatting>
  <conditionalFormatting sqref="K7">
    <cfRule type="cellIs" dxfId="386" priority="53" operator="equal">
      <formula>0</formula>
    </cfRule>
  </conditionalFormatting>
  <conditionalFormatting sqref="J8">
    <cfRule type="cellIs" dxfId="385" priority="52" operator="equal">
      <formula>0</formula>
    </cfRule>
  </conditionalFormatting>
  <conditionalFormatting sqref="K8">
    <cfRule type="cellIs" dxfId="384" priority="51" operator="equal">
      <formula>0</formula>
    </cfRule>
  </conditionalFormatting>
  <conditionalFormatting sqref="H5">
    <cfRule type="cellIs" dxfId="383" priority="50" operator="equal">
      <formula>0</formula>
    </cfRule>
  </conditionalFormatting>
  <conditionalFormatting sqref="H6">
    <cfRule type="cellIs" dxfId="382" priority="49" operator="equal">
      <formula>0</formula>
    </cfRule>
  </conditionalFormatting>
  <conditionalFormatting sqref="H7">
    <cfRule type="cellIs" dxfId="381" priority="48" operator="equal">
      <formula>0</formula>
    </cfRule>
  </conditionalFormatting>
  <conditionalFormatting sqref="H12">
    <cfRule type="cellIs" dxfId="380" priority="45" operator="equal">
      <formula>0</formula>
    </cfRule>
  </conditionalFormatting>
  <conditionalFormatting sqref="H10">
    <cfRule type="cellIs" dxfId="379" priority="47" operator="equal">
      <formula>0</formula>
    </cfRule>
  </conditionalFormatting>
  <conditionalFormatting sqref="H11">
    <cfRule type="cellIs" dxfId="378" priority="46" operator="equal">
      <formula>0</formula>
    </cfRule>
  </conditionalFormatting>
  <conditionalFormatting sqref="L5">
    <cfRule type="cellIs" dxfId="377" priority="44" operator="equal">
      <formula>0</formula>
    </cfRule>
  </conditionalFormatting>
  <conditionalFormatting sqref="L6">
    <cfRule type="cellIs" dxfId="376" priority="43" operator="equal">
      <formula>0</formula>
    </cfRule>
  </conditionalFormatting>
  <conditionalFormatting sqref="L7">
    <cfRule type="cellIs" dxfId="375" priority="42" operator="equal">
      <formula>0</formula>
    </cfRule>
  </conditionalFormatting>
  <conditionalFormatting sqref="L8:L9">
    <cfRule type="cellIs" dxfId="374" priority="41" operator="equal">
      <formula>0</formula>
    </cfRule>
  </conditionalFormatting>
  <conditionalFormatting sqref="L10">
    <cfRule type="cellIs" dxfId="373" priority="40" operator="equal">
      <formula>0</formula>
    </cfRule>
  </conditionalFormatting>
  <conditionalFormatting sqref="L11">
    <cfRule type="cellIs" dxfId="372" priority="39" operator="equal">
      <formula>0</formula>
    </cfRule>
  </conditionalFormatting>
  <conditionalFormatting sqref="L12">
    <cfRule type="cellIs" dxfId="371" priority="38" operator="equal">
      <formula>0</formula>
    </cfRule>
  </conditionalFormatting>
  <conditionalFormatting sqref="L31">
    <cfRule type="cellIs" dxfId="370" priority="37" operator="equal">
      <formula>0</formula>
    </cfRule>
  </conditionalFormatting>
  <conditionalFormatting sqref="L30">
    <cfRule type="cellIs" dxfId="369" priority="36" operator="equal">
      <formula>0</formula>
    </cfRule>
  </conditionalFormatting>
  <conditionalFormatting sqref="L29">
    <cfRule type="cellIs" dxfId="368" priority="35" operator="equal">
      <formula>0</formula>
    </cfRule>
  </conditionalFormatting>
  <conditionalFormatting sqref="L28">
    <cfRule type="cellIs" dxfId="367" priority="34" operator="equal">
      <formula>0</formula>
    </cfRule>
  </conditionalFormatting>
  <conditionalFormatting sqref="L36">
    <cfRule type="cellIs" dxfId="366" priority="33" operator="equal">
      <formula>0</formula>
    </cfRule>
  </conditionalFormatting>
  <conditionalFormatting sqref="L35">
    <cfRule type="cellIs" dxfId="365" priority="32" operator="equal">
      <formula>0</formula>
    </cfRule>
  </conditionalFormatting>
  <conditionalFormatting sqref="L34">
    <cfRule type="cellIs" dxfId="364" priority="31" operator="equal">
      <formula>0</formula>
    </cfRule>
  </conditionalFormatting>
  <conditionalFormatting sqref="L33">
    <cfRule type="cellIs" dxfId="363" priority="30" operator="equal">
      <formula>0</formula>
    </cfRule>
  </conditionalFormatting>
  <conditionalFormatting sqref="L41">
    <cfRule type="cellIs" dxfId="362" priority="29" operator="equal">
      <formula>0</formula>
    </cfRule>
  </conditionalFormatting>
  <conditionalFormatting sqref="L40">
    <cfRule type="cellIs" dxfId="361" priority="28" operator="equal">
      <formula>0</formula>
    </cfRule>
  </conditionalFormatting>
  <conditionalFormatting sqref="L39">
    <cfRule type="cellIs" dxfId="360" priority="27" operator="equal">
      <formula>0</formula>
    </cfRule>
  </conditionalFormatting>
  <conditionalFormatting sqref="L38">
    <cfRule type="cellIs" dxfId="359" priority="26" operator="equal">
      <formula>0</formula>
    </cfRule>
  </conditionalFormatting>
  <conditionalFormatting sqref="L13">
    <cfRule type="cellIs" dxfId="358" priority="25" operator="equal">
      <formula>0</formula>
    </cfRule>
  </conditionalFormatting>
  <conditionalFormatting sqref="L14">
    <cfRule type="cellIs" dxfId="357" priority="24" operator="equal">
      <formula>0</formula>
    </cfRule>
  </conditionalFormatting>
  <conditionalFormatting sqref="L15">
    <cfRule type="cellIs" dxfId="356" priority="23" operator="equal">
      <formula>0</formula>
    </cfRule>
  </conditionalFormatting>
  <conditionalFormatting sqref="L16">
    <cfRule type="cellIs" dxfId="355" priority="22" operator="equal">
      <formula>0</formula>
    </cfRule>
  </conditionalFormatting>
  <conditionalFormatting sqref="L17">
    <cfRule type="cellIs" dxfId="354" priority="21" operator="equal">
      <formula>0</formula>
    </cfRule>
  </conditionalFormatting>
  <conditionalFormatting sqref="L18">
    <cfRule type="cellIs" dxfId="353" priority="20" operator="equal">
      <formula>0</formula>
    </cfRule>
  </conditionalFormatting>
  <conditionalFormatting sqref="L19">
    <cfRule type="cellIs" dxfId="352" priority="19" operator="equal">
      <formula>0</formula>
    </cfRule>
  </conditionalFormatting>
  <conditionalFormatting sqref="L20">
    <cfRule type="cellIs" dxfId="351" priority="18" operator="equal">
      <formula>0</formula>
    </cfRule>
  </conditionalFormatting>
  <conditionalFormatting sqref="L21">
    <cfRule type="cellIs" dxfId="350" priority="17" operator="equal">
      <formula>0</formula>
    </cfRule>
  </conditionalFormatting>
  <conditionalFormatting sqref="L22">
    <cfRule type="cellIs" dxfId="349" priority="16" operator="equal">
      <formula>0</formula>
    </cfRule>
  </conditionalFormatting>
  <conditionalFormatting sqref="L23">
    <cfRule type="cellIs" dxfId="348" priority="15" operator="equal">
      <formula>0</formula>
    </cfRule>
  </conditionalFormatting>
  <conditionalFormatting sqref="J24">
    <cfRule type="cellIs" dxfId="347" priority="14" operator="equal">
      <formula>0</formula>
    </cfRule>
  </conditionalFormatting>
  <conditionalFormatting sqref="K24">
    <cfRule type="cellIs" dxfId="346" priority="13" operator="equal">
      <formula>0</formula>
    </cfRule>
  </conditionalFormatting>
  <conditionalFormatting sqref="J25">
    <cfRule type="cellIs" dxfId="345" priority="6" operator="equal">
      <formula>0</formula>
    </cfRule>
  </conditionalFormatting>
  <conditionalFormatting sqref="K25">
    <cfRule type="cellIs" dxfId="344" priority="5" operator="equal">
      <formula>0</formula>
    </cfRule>
  </conditionalFormatting>
  <conditionalFormatting sqref="G36">
    <cfRule type="cellIs" dxfId="343" priority="3" operator="equal">
      <formula>0</formula>
    </cfRule>
  </conditionalFormatting>
  <conditionalFormatting sqref="G41">
    <cfRule type="cellIs" dxfId="342"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BF4A62BB-2D24-46CA-9C36-BF30B9A7C5DE}">
          <x14:formula1>
            <xm:f>Config!$B$3:$O$3</xm:f>
          </x14:formula1>
          <xm:sqref>D1:E1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F72E4C-556C-4A55-9909-951BBA6D89C9}">
  <sheetPr codeName="Sheet16"/>
  <dimension ref="A1:P100"/>
  <sheetViews>
    <sheetView workbookViewId="0">
      <selection activeCell="F83" sqref="F83"/>
    </sheetView>
  </sheetViews>
  <sheetFormatPr defaultRowHeight="14.5" x14ac:dyDescent="0.35"/>
  <cols>
    <col min="1" max="1" width="28.453125" bestFit="1" customWidth="1"/>
    <col min="2" max="2" width="8.08984375" bestFit="1" customWidth="1"/>
    <col min="3" max="3" width="9.36328125" bestFit="1" customWidth="1"/>
    <col min="4" max="4" width="32.6328125" bestFit="1" customWidth="1"/>
    <col min="5" max="5" width="12.6328125" bestFit="1" customWidth="1"/>
    <col min="6" max="6" width="21.453125" customWidth="1"/>
    <col min="7" max="7" width="56.26953125" style="157" customWidth="1"/>
  </cols>
  <sheetData>
    <row r="1" spans="1:16" x14ac:dyDescent="0.35">
      <c r="A1" s="145" t="s">
        <v>672</v>
      </c>
      <c r="B1" s="145" t="s">
        <v>673</v>
      </c>
      <c r="C1" s="145" t="s">
        <v>674</v>
      </c>
      <c r="D1" s="145" t="s">
        <v>675</v>
      </c>
      <c r="E1" s="145" t="s">
        <v>676</v>
      </c>
      <c r="F1" s="146" t="s">
        <v>624</v>
      </c>
      <c r="G1" s="156" t="s">
        <v>811</v>
      </c>
      <c r="H1" s="145"/>
      <c r="N1" t="s">
        <v>622</v>
      </c>
      <c r="O1" s="16" t="s">
        <v>623</v>
      </c>
      <c r="P1" s="16" t="s">
        <v>624</v>
      </c>
    </row>
    <row r="2" spans="1:16" ht="29" x14ac:dyDescent="0.35">
      <c r="A2" t="s">
        <v>65</v>
      </c>
      <c r="B2">
        <v>0</v>
      </c>
      <c r="C2">
        <v>1</v>
      </c>
      <c r="D2" t="s">
        <v>66</v>
      </c>
      <c r="E2" t="s">
        <v>18</v>
      </c>
      <c r="F2">
        <v>1</v>
      </c>
      <c r="G2" s="155" t="s">
        <v>693</v>
      </c>
    </row>
    <row r="3" spans="1:16" ht="29" x14ac:dyDescent="0.35">
      <c r="A3" t="s">
        <v>65</v>
      </c>
      <c r="B3">
        <v>1</v>
      </c>
      <c r="C3">
        <v>1</v>
      </c>
      <c r="D3" t="s">
        <v>69</v>
      </c>
      <c r="E3" t="s">
        <v>18</v>
      </c>
      <c r="F3">
        <v>1</v>
      </c>
      <c r="G3" s="155" t="s">
        <v>694</v>
      </c>
    </row>
    <row r="4" spans="1:16" ht="29" x14ac:dyDescent="0.35">
      <c r="A4" t="s">
        <v>65</v>
      </c>
      <c r="B4">
        <v>2</v>
      </c>
      <c r="C4">
        <v>1</v>
      </c>
      <c r="D4" t="s">
        <v>73</v>
      </c>
      <c r="E4" t="s">
        <v>18</v>
      </c>
      <c r="F4">
        <v>1</v>
      </c>
      <c r="G4" s="155" t="s">
        <v>695</v>
      </c>
    </row>
    <row r="5" spans="1:16" ht="29" x14ac:dyDescent="0.35">
      <c r="A5" t="s">
        <v>65</v>
      </c>
      <c r="B5">
        <v>3</v>
      </c>
      <c r="C5">
        <v>1</v>
      </c>
      <c r="D5" t="s">
        <v>75</v>
      </c>
      <c r="E5" t="s">
        <v>18</v>
      </c>
      <c r="F5">
        <v>1</v>
      </c>
      <c r="G5" s="155" t="s">
        <v>696</v>
      </c>
    </row>
    <row r="6" spans="1:16" x14ac:dyDescent="0.35">
      <c r="A6" t="s">
        <v>65</v>
      </c>
      <c r="B6">
        <v>4</v>
      </c>
      <c r="C6">
        <v>1</v>
      </c>
      <c r="D6" t="s">
        <v>79</v>
      </c>
      <c r="E6" t="s">
        <v>18</v>
      </c>
      <c r="F6">
        <v>0</v>
      </c>
      <c r="G6" t="s">
        <v>812</v>
      </c>
    </row>
    <row r="7" spans="1:16" x14ac:dyDescent="0.35">
      <c r="A7" t="s">
        <v>65</v>
      </c>
      <c r="B7">
        <v>5</v>
      </c>
      <c r="C7">
        <v>1</v>
      </c>
      <c r="D7" t="s">
        <v>82</v>
      </c>
      <c r="E7" t="s">
        <v>18</v>
      </c>
      <c r="F7">
        <v>0</v>
      </c>
      <c r="G7" t="s">
        <v>813</v>
      </c>
    </row>
    <row r="8" spans="1:16" ht="29" x14ac:dyDescent="0.35">
      <c r="A8" t="s">
        <v>65</v>
      </c>
      <c r="B8">
        <v>6</v>
      </c>
      <c r="C8">
        <v>1</v>
      </c>
      <c r="D8" t="s">
        <v>83</v>
      </c>
      <c r="E8" t="s">
        <v>18</v>
      </c>
      <c r="F8">
        <v>1</v>
      </c>
      <c r="G8" s="155" t="s">
        <v>699</v>
      </c>
    </row>
    <row r="9" spans="1:16" ht="29" x14ac:dyDescent="0.35">
      <c r="A9" t="s">
        <v>65</v>
      </c>
      <c r="B9">
        <v>7</v>
      </c>
      <c r="C9">
        <v>1</v>
      </c>
      <c r="D9" t="s">
        <v>85</v>
      </c>
      <c r="E9" t="s">
        <v>18</v>
      </c>
      <c r="F9">
        <v>1</v>
      </c>
      <c r="G9" s="155" t="s">
        <v>700</v>
      </c>
    </row>
    <row r="10" spans="1:16" ht="29" x14ac:dyDescent="0.35">
      <c r="A10" t="s">
        <v>65</v>
      </c>
      <c r="B10">
        <v>8</v>
      </c>
      <c r="C10">
        <v>1</v>
      </c>
      <c r="D10" t="s">
        <v>87</v>
      </c>
      <c r="E10" t="s">
        <v>18</v>
      </c>
      <c r="F10">
        <v>1</v>
      </c>
      <c r="G10" s="155" t="s">
        <v>701</v>
      </c>
    </row>
    <row r="11" spans="1:16" x14ac:dyDescent="0.35">
      <c r="A11" t="s">
        <v>65</v>
      </c>
      <c r="B11">
        <v>9</v>
      </c>
      <c r="C11">
        <v>1</v>
      </c>
      <c r="D11" t="s">
        <v>90</v>
      </c>
      <c r="E11" t="s">
        <v>18</v>
      </c>
      <c r="F11" t="s">
        <v>50</v>
      </c>
      <c r="G11" t="s">
        <v>807</v>
      </c>
    </row>
    <row r="12" spans="1:16" x14ac:dyDescent="0.35">
      <c r="A12" t="s">
        <v>65</v>
      </c>
      <c r="B12">
        <v>10</v>
      </c>
      <c r="C12">
        <v>1</v>
      </c>
      <c r="D12" t="s">
        <v>92</v>
      </c>
      <c r="E12" t="s">
        <v>18</v>
      </c>
      <c r="F12">
        <v>0</v>
      </c>
      <c r="G12" t="s">
        <v>814</v>
      </c>
    </row>
    <row r="13" spans="1:16" x14ac:dyDescent="0.35">
      <c r="A13" t="s">
        <v>65</v>
      </c>
      <c r="B13">
        <v>11</v>
      </c>
      <c r="C13">
        <v>1</v>
      </c>
      <c r="D13" t="s">
        <v>95</v>
      </c>
      <c r="E13" t="s">
        <v>18</v>
      </c>
      <c r="F13">
        <v>0</v>
      </c>
      <c r="G13" t="s">
        <v>815</v>
      </c>
    </row>
    <row r="14" spans="1:16" x14ac:dyDescent="0.35">
      <c r="A14" t="s">
        <v>65</v>
      </c>
      <c r="B14">
        <v>12</v>
      </c>
      <c r="C14">
        <v>1</v>
      </c>
      <c r="D14" t="s">
        <v>97</v>
      </c>
      <c r="E14" t="s">
        <v>18</v>
      </c>
      <c r="F14">
        <v>0</v>
      </c>
      <c r="G14" t="s">
        <v>816</v>
      </c>
    </row>
    <row r="15" spans="1:16" x14ac:dyDescent="0.35">
      <c r="A15" t="s">
        <v>65</v>
      </c>
      <c r="B15">
        <v>13</v>
      </c>
      <c r="C15">
        <v>1</v>
      </c>
      <c r="D15" t="s">
        <v>99</v>
      </c>
      <c r="E15" t="s">
        <v>18</v>
      </c>
      <c r="F15">
        <v>0</v>
      </c>
      <c r="G15" t="s">
        <v>817</v>
      </c>
    </row>
    <row r="16" spans="1:16" x14ac:dyDescent="0.35">
      <c r="A16" t="s">
        <v>65</v>
      </c>
      <c r="B16">
        <v>14</v>
      </c>
      <c r="C16">
        <v>1</v>
      </c>
      <c r="D16" t="s">
        <v>100</v>
      </c>
      <c r="E16" t="s">
        <v>18</v>
      </c>
      <c r="F16">
        <v>1</v>
      </c>
      <c r="G16" t="s">
        <v>706</v>
      </c>
    </row>
    <row r="17" spans="1:7" x14ac:dyDescent="0.35">
      <c r="A17" t="s">
        <v>65</v>
      </c>
      <c r="B17">
        <v>15</v>
      </c>
      <c r="C17">
        <v>1</v>
      </c>
      <c r="D17" t="s">
        <v>104</v>
      </c>
      <c r="E17" t="s">
        <v>18</v>
      </c>
      <c r="F17">
        <v>0</v>
      </c>
      <c r="G17" t="s">
        <v>818</v>
      </c>
    </row>
    <row r="18" spans="1:7" ht="29" x14ac:dyDescent="0.35">
      <c r="A18" t="s">
        <v>65</v>
      </c>
      <c r="B18">
        <v>16</v>
      </c>
      <c r="C18">
        <v>1</v>
      </c>
      <c r="D18" t="s">
        <v>105</v>
      </c>
      <c r="E18" t="s">
        <v>682</v>
      </c>
      <c r="F18">
        <v>1</v>
      </c>
      <c r="G18" s="155" t="s">
        <v>708</v>
      </c>
    </row>
    <row r="19" spans="1:7" ht="29" x14ac:dyDescent="0.35">
      <c r="A19" t="s">
        <v>65</v>
      </c>
      <c r="B19">
        <v>17</v>
      </c>
      <c r="C19">
        <v>1</v>
      </c>
      <c r="D19" t="s">
        <v>107</v>
      </c>
      <c r="E19" t="s">
        <v>682</v>
      </c>
      <c r="F19">
        <v>1</v>
      </c>
      <c r="G19" s="155" t="s">
        <v>709</v>
      </c>
    </row>
    <row r="20" spans="1:7" x14ac:dyDescent="0.35">
      <c r="A20" t="s">
        <v>65</v>
      </c>
      <c r="B20">
        <v>18</v>
      </c>
      <c r="C20">
        <v>1</v>
      </c>
      <c r="D20" t="s">
        <v>113</v>
      </c>
      <c r="E20" t="s">
        <v>682</v>
      </c>
      <c r="F20">
        <v>0</v>
      </c>
      <c r="G20" t="s">
        <v>792</v>
      </c>
    </row>
    <row r="21" spans="1:7" x14ac:dyDescent="0.35">
      <c r="A21" t="s">
        <v>65</v>
      </c>
      <c r="B21">
        <v>19</v>
      </c>
      <c r="C21">
        <v>1</v>
      </c>
      <c r="D21" t="s">
        <v>115</v>
      </c>
      <c r="E21" t="s">
        <v>682</v>
      </c>
      <c r="F21">
        <v>0</v>
      </c>
      <c r="G21" t="s">
        <v>793</v>
      </c>
    </row>
    <row r="22" spans="1:7" x14ac:dyDescent="0.35">
      <c r="A22" t="s">
        <v>65</v>
      </c>
      <c r="B22">
        <v>20</v>
      </c>
      <c r="C22">
        <v>1</v>
      </c>
      <c r="D22" t="s">
        <v>117</v>
      </c>
      <c r="E22" t="s">
        <v>682</v>
      </c>
      <c r="F22">
        <v>0</v>
      </c>
      <c r="G22" t="s">
        <v>794</v>
      </c>
    </row>
    <row r="23" spans="1:7" x14ac:dyDescent="0.35">
      <c r="A23" t="s">
        <v>65</v>
      </c>
      <c r="B23">
        <v>21</v>
      </c>
      <c r="C23">
        <v>1</v>
      </c>
      <c r="D23" t="s">
        <v>119</v>
      </c>
      <c r="E23" t="s">
        <v>682</v>
      </c>
      <c r="F23">
        <v>0</v>
      </c>
      <c r="G23" t="s">
        <v>795</v>
      </c>
    </row>
    <row r="24" spans="1:7" x14ac:dyDescent="0.35">
      <c r="A24" t="s">
        <v>65</v>
      </c>
      <c r="B24">
        <v>22</v>
      </c>
      <c r="C24">
        <v>1</v>
      </c>
      <c r="D24" t="s">
        <v>121</v>
      </c>
      <c r="E24" t="s">
        <v>682</v>
      </c>
      <c r="F24">
        <v>0</v>
      </c>
      <c r="G24" t="s">
        <v>796</v>
      </c>
    </row>
    <row r="25" spans="1:7" x14ac:dyDescent="0.35">
      <c r="A25" t="s">
        <v>65</v>
      </c>
      <c r="B25">
        <v>23</v>
      </c>
      <c r="C25">
        <v>1</v>
      </c>
      <c r="D25" t="s">
        <v>124</v>
      </c>
      <c r="E25" t="s">
        <v>682</v>
      </c>
      <c r="F25">
        <v>0</v>
      </c>
      <c r="G25" t="s">
        <v>797</v>
      </c>
    </row>
    <row r="26" spans="1:7" x14ac:dyDescent="0.35">
      <c r="A26" t="s">
        <v>65</v>
      </c>
      <c r="B26">
        <v>24</v>
      </c>
      <c r="C26">
        <v>1</v>
      </c>
      <c r="D26" t="s">
        <v>127</v>
      </c>
      <c r="E26" t="s">
        <v>18</v>
      </c>
      <c r="F26">
        <v>0</v>
      </c>
      <c r="G26" t="s">
        <v>798</v>
      </c>
    </row>
    <row r="27" spans="1:7" x14ac:dyDescent="0.35">
      <c r="A27" t="s">
        <v>65</v>
      </c>
      <c r="B27">
        <v>25</v>
      </c>
      <c r="C27">
        <v>1</v>
      </c>
      <c r="D27" t="s">
        <v>130</v>
      </c>
      <c r="E27" t="s">
        <v>18</v>
      </c>
      <c r="F27">
        <v>0</v>
      </c>
      <c r="G27" t="s">
        <v>819</v>
      </c>
    </row>
    <row r="28" spans="1:7" x14ac:dyDescent="0.35">
      <c r="A28" t="s">
        <v>65</v>
      </c>
      <c r="B28">
        <v>26</v>
      </c>
      <c r="C28">
        <v>1</v>
      </c>
      <c r="D28" t="s">
        <v>135</v>
      </c>
      <c r="E28" t="s">
        <v>18</v>
      </c>
      <c r="F28">
        <v>0</v>
      </c>
      <c r="G28" t="s">
        <v>799</v>
      </c>
    </row>
    <row r="29" spans="1:7" x14ac:dyDescent="0.35">
      <c r="A29" t="s">
        <v>65</v>
      </c>
      <c r="B29">
        <v>27</v>
      </c>
      <c r="C29">
        <v>1</v>
      </c>
      <c r="D29" t="s">
        <v>386</v>
      </c>
      <c r="E29" t="s">
        <v>18</v>
      </c>
      <c r="F29" t="s">
        <v>50</v>
      </c>
      <c r="G29" t="s">
        <v>800</v>
      </c>
    </row>
    <row r="30" spans="1:7" x14ac:dyDescent="0.35">
      <c r="A30" t="s">
        <v>65</v>
      </c>
      <c r="B30">
        <v>28</v>
      </c>
      <c r="C30">
        <v>1</v>
      </c>
      <c r="D30" t="s">
        <v>387</v>
      </c>
      <c r="E30" t="s">
        <v>18</v>
      </c>
      <c r="F30">
        <v>0</v>
      </c>
      <c r="G30" t="s">
        <v>801</v>
      </c>
    </row>
    <row r="31" spans="1:7" x14ac:dyDescent="0.35">
      <c r="A31" t="s">
        <v>65</v>
      </c>
      <c r="B31">
        <v>29</v>
      </c>
      <c r="C31">
        <v>1</v>
      </c>
      <c r="D31" t="s">
        <v>138</v>
      </c>
      <c r="E31" t="s">
        <v>18</v>
      </c>
      <c r="F31">
        <v>0</v>
      </c>
      <c r="G31" t="s">
        <v>802</v>
      </c>
    </row>
    <row r="32" spans="1:7" x14ac:dyDescent="0.35">
      <c r="A32" t="s">
        <v>65</v>
      </c>
      <c r="B32">
        <v>30</v>
      </c>
      <c r="C32">
        <v>1</v>
      </c>
      <c r="D32" t="s">
        <v>140</v>
      </c>
      <c r="E32" t="s">
        <v>18</v>
      </c>
      <c r="F32">
        <v>0</v>
      </c>
      <c r="G32" t="s">
        <v>803</v>
      </c>
    </row>
    <row r="33" spans="1:7" ht="29" x14ac:dyDescent="0.35">
      <c r="A33" t="s">
        <v>65</v>
      </c>
      <c r="B33">
        <v>31</v>
      </c>
      <c r="C33">
        <v>1</v>
      </c>
      <c r="D33" t="s">
        <v>141</v>
      </c>
      <c r="E33" t="s">
        <v>18</v>
      </c>
      <c r="F33">
        <v>1</v>
      </c>
      <c r="G33" s="155" t="s">
        <v>713</v>
      </c>
    </row>
    <row r="34" spans="1:7" x14ac:dyDescent="0.35">
      <c r="A34" t="s">
        <v>144</v>
      </c>
      <c r="B34">
        <v>0</v>
      </c>
      <c r="C34">
        <v>1</v>
      </c>
      <c r="D34" t="s">
        <v>146</v>
      </c>
      <c r="F34">
        <v>0</v>
      </c>
      <c r="G34" t="s">
        <v>820</v>
      </c>
    </row>
    <row r="35" spans="1:7" x14ac:dyDescent="0.35">
      <c r="A35" t="s">
        <v>144</v>
      </c>
      <c r="B35">
        <v>1</v>
      </c>
      <c r="C35">
        <v>1</v>
      </c>
      <c r="D35" t="s">
        <v>149</v>
      </c>
      <c r="F35">
        <v>0</v>
      </c>
      <c r="G35" t="s">
        <v>821</v>
      </c>
    </row>
    <row r="36" spans="1:7" x14ac:dyDescent="0.35">
      <c r="A36" t="s">
        <v>144</v>
      </c>
      <c r="B36">
        <v>2</v>
      </c>
      <c r="C36">
        <v>1</v>
      </c>
      <c r="D36" t="s">
        <v>152</v>
      </c>
      <c r="F36">
        <v>0</v>
      </c>
      <c r="G36" t="s">
        <v>822</v>
      </c>
    </row>
    <row r="37" spans="1:7" ht="29" x14ac:dyDescent="0.35">
      <c r="A37" t="s">
        <v>144</v>
      </c>
      <c r="B37">
        <v>3</v>
      </c>
      <c r="C37">
        <v>1</v>
      </c>
      <c r="D37" t="s">
        <v>153</v>
      </c>
      <c r="F37">
        <v>1</v>
      </c>
      <c r="G37" s="155" t="s">
        <v>717</v>
      </c>
    </row>
    <row r="38" spans="1:7" x14ac:dyDescent="0.35">
      <c r="A38" t="s">
        <v>144</v>
      </c>
      <c r="B38">
        <v>4</v>
      </c>
      <c r="C38">
        <v>1</v>
      </c>
      <c r="D38" t="s">
        <v>157</v>
      </c>
      <c r="F38">
        <v>0</v>
      </c>
      <c r="G38" t="s">
        <v>823</v>
      </c>
    </row>
    <row r="39" spans="1:7" x14ac:dyDescent="0.35">
      <c r="A39" t="s">
        <v>144</v>
      </c>
      <c r="B39">
        <v>5</v>
      </c>
      <c r="C39">
        <v>1</v>
      </c>
      <c r="D39" t="s">
        <v>159</v>
      </c>
      <c r="F39">
        <v>0</v>
      </c>
      <c r="G39" t="s">
        <v>804</v>
      </c>
    </row>
    <row r="40" spans="1:7" ht="29" x14ac:dyDescent="0.35">
      <c r="A40" t="s">
        <v>144</v>
      </c>
      <c r="B40">
        <v>6</v>
      </c>
      <c r="C40">
        <v>1</v>
      </c>
      <c r="D40" t="s">
        <v>160</v>
      </c>
      <c r="F40">
        <v>1</v>
      </c>
      <c r="G40" s="155" t="s">
        <v>719</v>
      </c>
    </row>
    <row r="41" spans="1:7" ht="29" x14ac:dyDescent="0.35">
      <c r="A41" t="s">
        <v>144</v>
      </c>
      <c r="B41">
        <v>7</v>
      </c>
      <c r="C41">
        <v>1</v>
      </c>
      <c r="D41" t="s">
        <v>162</v>
      </c>
      <c r="F41">
        <v>1</v>
      </c>
      <c r="G41" s="155" t="s">
        <v>720</v>
      </c>
    </row>
    <row r="42" spans="1:7" x14ac:dyDescent="0.35">
      <c r="A42" t="s">
        <v>144</v>
      </c>
      <c r="B42">
        <v>8</v>
      </c>
      <c r="C42">
        <v>1</v>
      </c>
      <c r="D42" t="s">
        <v>165</v>
      </c>
      <c r="F42">
        <v>0</v>
      </c>
      <c r="G42" t="s">
        <v>721</v>
      </c>
    </row>
    <row r="43" spans="1:7" ht="58" x14ac:dyDescent="0.35">
      <c r="A43" t="s">
        <v>144</v>
      </c>
      <c r="B43">
        <v>9</v>
      </c>
      <c r="C43">
        <v>3</v>
      </c>
      <c r="D43" t="s">
        <v>166</v>
      </c>
      <c r="F43">
        <v>1</v>
      </c>
      <c r="G43" s="155" t="s">
        <v>722</v>
      </c>
    </row>
    <row r="44" spans="1:7" x14ac:dyDescent="0.35">
      <c r="A44" t="s">
        <v>144</v>
      </c>
      <c r="B44">
        <v>12</v>
      </c>
      <c r="C44">
        <v>1</v>
      </c>
      <c r="D44" t="s">
        <v>169</v>
      </c>
      <c r="F44">
        <v>0</v>
      </c>
      <c r="G44" t="s">
        <v>723</v>
      </c>
    </row>
    <row r="45" spans="1:7" ht="29" x14ac:dyDescent="0.35">
      <c r="A45" t="s">
        <v>144</v>
      </c>
      <c r="B45">
        <v>13</v>
      </c>
      <c r="C45">
        <v>1</v>
      </c>
      <c r="D45" t="s">
        <v>170</v>
      </c>
      <c r="F45">
        <v>1</v>
      </c>
      <c r="G45" s="155" t="s">
        <v>724</v>
      </c>
    </row>
    <row r="46" spans="1:7" x14ac:dyDescent="0.35">
      <c r="A46" t="s">
        <v>144</v>
      </c>
      <c r="B46">
        <v>14</v>
      </c>
      <c r="C46">
        <v>1</v>
      </c>
      <c r="D46" t="s">
        <v>173</v>
      </c>
      <c r="F46">
        <v>0</v>
      </c>
      <c r="G46" t="s">
        <v>725</v>
      </c>
    </row>
    <row r="47" spans="1:7" ht="29" x14ac:dyDescent="0.35">
      <c r="A47" t="s">
        <v>144</v>
      </c>
      <c r="B47">
        <v>15</v>
      </c>
      <c r="C47">
        <v>1</v>
      </c>
      <c r="D47" t="s">
        <v>689</v>
      </c>
      <c r="F47">
        <v>1</v>
      </c>
      <c r="G47" s="155" t="s">
        <v>726</v>
      </c>
    </row>
    <row r="48" spans="1:7" x14ac:dyDescent="0.35">
      <c r="A48" t="s">
        <v>144</v>
      </c>
      <c r="B48">
        <v>16</v>
      </c>
      <c r="C48">
        <v>1</v>
      </c>
      <c r="D48" t="s">
        <v>177</v>
      </c>
      <c r="F48">
        <v>0</v>
      </c>
      <c r="G48" t="s">
        <v>824</v>
      </c>
    </row>
    <row r="49" spans="1:7" x14ac:dyDescent="0.35">
      <c r="A49" t="s">
        <v>144</v>
      </c>
      <c r="B49">
        <v>17</v>
      </c>
      <c r="C49">
        <v>1</v>
      </c>
      <c r="D49" t="s">
        <v>180</v>
      </c>
      <c r="F49">
        <v>0</v>
      </c>
      <c r="G49" t="s">
        <v>825</v>
      </c>
    </row>
    <row r="50" spans="1:7" x14ac:dyDescent="0.35">
      <c r="A50" t="s">
        <v>144</v>
      </c>
      <c r="B50">
        <v>18</v>
      </c>
      <c r="C50">
        <v>1</v>
      </c>
      <c r="D50" t="s">
        <v>182</v>
      </c>
      <c r="F50">
        <v>0</v>
      </c>
      <c r="G50" t="s">
        <v>826</v>
      </c>
    </row>
    <row r="51" spans="1:7" x14ac:dyDescent="0.35">
      <c r="A51" t="s">
        <v>144</v>
      </c>
      <c r="B51">
        <v>19</v>
      </c>
      <c r="C51">
        <v>1</v>
      </c>
      <c r="D51" t="s">
        <v>184</v>
      </c>
      <c r="F51">
        <v>0</v>
      </c>
      <c r="G51" t="s">
        <v>827</v>
      </c>
    </row>
    <row r="52" spans="1:7" x14ac:dyDescent="0.35">
      <c r="A52" t="s">
        <v>144</v>
      </c>
      <c r="B52">
        <v>20</v>
      </c>
      <c r="C52">
        <v>1</v>
      </c>
      <c r="D52" t="s">
        <v>186</v>
      </c>
      <c r="F52">
        <v>0</v>
      </c>
      <c r="G52" t="s">
        <v>828</v>
      </c>
    </row>
    <row r="53" spans="1:7" x14ac:dyDescent="0.35">
      <c r="A53" t="s">
        <v>144</v>
      </c>
      <c r="B53">
        <v>21</v>
      </c>
      <c r="C53">
        <v>1</v>
      </c>
      <c r="D53" t="s">
        <v>188</v>
      </c>
      <c r="F53">
        <v>0</v>
      </c>
      <c r="G53" t="s">
        <v>829</v>
      </c>
    </row>
    <row r="54" spans="1:7" x14ac:dyDescent="0.35">
      <c r="A54" t="s">
        <v>144</v>
      </c>
      <c r="B54">
        <v>22</v>
      </c>
      <c r="C54">
        <v>2</v>
      </c>
      <c r="D54" t="s">
        <v>191</v>
      </c>
      <c r="F54">
        <v>0</v>
      </c>
      <c r="G54" t="s">
        <v>830</v>
      </c>
    </row>
    <row r="55" spans="1:7" x14ac:dyDescent="0.35">
      <c r="A55" t="s">
        <v>144</v>
      </c>
      <c r="B55">
        <v>24</v>
      </c>
      <c r="C55">
        <v>8</v>
      </c>
      <c r="D55" t="s">
        <v>192</v>
      </c>
      <c r="E55" t="s">
        <v>18</v>
      </c>
      <c r="F55">
        <v>1</v>
      </c>
      <c r="G55" t="s">
        <v>734</v>
      </c>
    </row>
    <row r="56" spans="1:7" ht="29" x14ac:dyDescent="0.35">
      <c r="A56" t="s">
        <v>194</v>
      </c>
      <c r="B56">
        <v>0</v>
      </c>
      <c r="C56">
        <v>15</v>
      </c>
      <c r="D56" t="s">
        <v>195</v>
      </c>
      <c r="E56" t="s">
        <v>18</v>
      </c>
      <c r="F56">
        <v>5</v>
      </c>
      <c r="G56" s="155" t="s">
        <v>735</v>
      </c>
    </row>
    <row r="57" spans="1:7" x14ac:dyDescent="0.35">
      <c r="A57" t="s">
        <v>194</v>
      </c>
      <c r="B57">
        <v>15</v>
      </c>
      <c r="C57">
        <v>1</v>
      </c>
      <c r="D57" t="s">
        <v>198</v>
      </c>
      <c r="E57" t="s">
        <v>18</v>
      </c>
      <c r="F57">
        <v>0</v>
      </c>
      <c r="G57" t="s">
        <v>831</v>
      </c>
    </row>
    <row r="58" spans="1:7" x14ac:dyDescent="0.35">
      <c r="A58" t="s">
        <v>194</v>
      </c>
      <c r="B58">
        <v>16</v>
      </c>
      <c r="C58">
        <v>1</v>
      </c>
      <c r="D58" t="s">
        <v>200</v>
      </c>
      <c r="F58">
        <v>0</v>
      </c>
      <c r="G58" t="s">
        <v>832</v>
      </c>
    </row>
    <row r="59" spans="1:7" x14ac:dyDescent="0.35">
      <c r="A59" t="s">
        <v>194</v>
      </c>
      <c r="B59">
        <v>17</v>
      </c>
      <c r="C59">
        <v>1</v>
      </c>
      <c r="D59" t="s">
        <v>244</v>
      </c>
      <c r="F59">
        <v>1</v>
      </c>
      <c r="G59" t="s">
        <v>738</v>
      </c>
    </row>
    <row r="60" spans="1:7" x14ac:dyDescent="0.35">
      <c r="A60" t="s">
        <v>194</v>
      </c>
      <c r="B60">
        <v>18</v>
      </c>
      <c r="C60">
        <v>3</v>
      </c>
      <c r="D60" t="s">
        <v>202</v>
      </c>
      <c r="F60">
        <v>1</v>
      </c>
      <c r="G60" t="s">
        <v>739</v>
      </c>
    </row>
    <row r="61" spans="1:7" x14ac:dyDescent="0.35">
      <c r="A61" t="s">
        <v>194</v>
      </c>
      <c r="B61">
        <v>21</v>
      </c>
      <c r="C61">
        <v>3</v>
      </c>
      <c r="D61" t="s">
        <v>204</v>
      </c>
      <c r="F61" t="s">
        <v>50</v>
      </c>
      <c r="G61" t="s">
        <v>808</v>
      </c>
    </row>
    <row r="62" spans="1:7" x14ac:dyDescent="0.35">
      <c r="A62" t="s">
        <v>194</v>
      </c>
      <c r="B62">
        <v>24</v>
      </c>
      <c r="C62">
        <v>4</v>
      </c>
      <c r="D62" t="s">
        <v>205</v>
      </c>
      <c r="F62">
        <v>1</v>
      </c>
      <c r="G62" t="s">
        <v>743</v>
      </c>
    </row>
    <row r="63" spans="1:7" x14ac:dyDescent="0.35">
      <c r="A63" t="s">
        <v>194</v>
      </c>
      <c r="B63">
        <v>28</v>
      </c>
      <c r="C63">
        <v>4</v>
      </c>
      <c r="D63" t="s">
        <v>207</v>
      </c>
      <c r="F63">
        <v>1</v>
      </c>
      <c r="G63" t="s">
        <v>744</v>
      </c>
    </row>
    <row r="64" spans="1:7" x14ac:dyDescent="0.35">
      <c r="A64" t="s">
        <v>34</v>
      </c>
      <c r="B64">
        <v>0</v>
      </c>
      <c r="C64">
        <v>1</v>
      </c>
      <c r="D64" t="s">
        <v>211</v>
      </c>
      <c r="E64" t="s">
        <v>18</v>
      </c>
      <c r="F64">
        <v>0</v>
      </c>
      <c r="G64" t="s">
        <v>833</v>
      </c>
    </row>
    <row r="65" spans="1:7" x14ac:dyDescent="0.35">
      <c r="A65" t="s">
        <v>34</v>
      </c>
      <c r="B65">
        <v>1</v>
      </c>
      <c r="C65">
        <v>1</v>
      </c>
      <c r="D65" t="s">
        <v>213</v>
      </c>
      <c r="E65" t="s">
        <v>18</v>
      </c>
      <c r="F65">
        <v>0</v>
      </c>
      <c r="G65" t="s">
        <v>834</v>
      </c>
    </row>
    <row r="66" spans="1:7" x14ac:dyDescent="0.35">
      <c r="A66" t="s">
        <v>34</v>
      </c>
      <c r="B66">
        <v>2</v>
      </c>
      <c r="C66">
        <v>1</v>
      </c>
      <c r="D66" t="s">
        <v>215</v>
      </c>
      <c r="E66" t="s">
        <v>18</v>
      </c>
      <c r="F66">
        <v>0</v>
      </c>
      <c r="G66" t="s">
        <v>835</v>
      </c>
    </row>
    <row r="67" spans="1:7" x14ac:dyDescent="0.35">
      <c r="A67" t="s">
        <v>34</v>
      </c>
      <c r="B67">
        <v>3</v>
      </c>
      <c r="C67">
        <v>1</v>
      </c>
      <c r="D67" t="s">
        <v>216</v>
      </c>
      <c r="E67" t="s">
        <v>18</v>
      </c>
      <c r="F67">
        <v>1</v>
      </c>
      <c r="G67" t="s">
        <v>748</v>
      </c>
    </row>
    <row r="68" spans="1:7" x14ac:dyDescent="0.35">
      <c r="A68" t="s">
        <v>34</v>
      </c>
      <c r="B68">
        <v>4</v>
      </c>
      <c r="C68">
        <v>1</v>
      </c>
      <c r="D68" t="s">
        <v>218</v>
      </c>
      <c r="E68" t="s">
        <v>18</v>
      </c>
      <c r="F68">
        <v>1</v>
      </c>
      <c r="G68" t="s">
        <v>749</v>
      </c>
    </row>
    <row r="69" spans="1:7" x14ac:dyDescent="0.35">
      <c r="A69" t="s">
        <v>34</v>
      </c>
      <c r="B69">
        <v>5</v>
      </c>
      <c r="C69">
        <v>1</v>
      </c>
      <c r="D69" t="s">
        <v>220</v>
      </c>
      <c r="E69" t="s">
        <v>18</v>
      </c>
      <c r="F69" t="s">
        <v>50</v>
      </c>
      <c r="G69" t="s">
        <v>809</v>
      </c>
    </row>
    <row r="70" spans="1:7" x14ac:dyDescent="0.35">
      <c r="A70" t="s">
        <v>34</v>
      </c>
      <c r="B70">
        <v>6</v>
      </c>
      <c r="C70">
        <v>1</v>
      </c>
      <c r="D70" t="s">
        <v>223</v>
      </c>
      <c r="E70" t="s">
        <v>18</v>
      </c>
      <c r="F70">
        <v>0</v>
      </c>
      <c r="G70" t="s">
        <v>836</v>
      </c>
    </row>
    <row r="71" spans="1:7" x14ac:dyDescent="0.35">
      <c r="A71" t="s">
        <v>34</v>
      </c>
      <c r="B71">
        <v>7</v>
      </c>
      <c r="C71">
        <v>1</v>
      </c>
      <c r="D71" t="s">
        <v>225</v>
      </c>
      <c r="E71" t="s">
        <v>18</v>
      </c>
      <c r="F71">
        <v>0</v>
      </c>
      <c r="G71" t="s">
        <v>837</v>
      </c>
    </row>
    <row r="72" spans="1:7" ht="29" x14ac:dyDescent="0.35">
      <c r="A72" t="s">
        <v>34</v>
      </c>
      <c r="B72">
        <v>8</v>
      </c>
      <c r="C72">
        <v>1</v>
      </c>
      <c r="D72" t="s">
        <v>226</v>
      </c>
      <c r="F72">
        <v>1</v>
      </c>
      <c r="G72" s="155" t="s">
        <v>752</v>
      </c>
    </row>
    <row r="73" spans="1:7" x14ac:dyDescent="0.35">
      <c r="A73" t="s">
        <v>34</v>
      </c>
      <c r="B73">
        <v>9</v>
      </c>
      <c r="C73">
        <v>7</v>
      </c>
      <c r="D73" t="s">
        <v>230</v>
      </c>
      <c r="F73">
        <v>0</v>
      </c>
      <c r="G73" t="s">
        <v>838</v>
      </c>
    </row>
    <row r="74" spans="1:7" x14ac:dyDescent="0.35">
      <c r="A74" t="s">
        <v>34</v>
      </c>
      <c r="B74">
        <v>16</v>
      </c>
      <c r="C74">
        <v>1</v>
      </c>
      <c r="D74" t="s">
        <v>233</v>
      </c>
      <c r="E74" t="s">
        <v>18</v>
      </c>
      <c r="F74">
        <v>0</v>
      </c>
      <c r="G74" t="s">
        <v>839</v>
      </c>
    </row>
    <row r="75" spans="1:7" x14ac:dyDescent="0.35">
      <c r="A75" t="s">
        <v>34</v>
      </c>
      <c r="B75">
        <v>17</v>
      </c>
      <c r="C75">
        <v>1</v>
      </c>
      <c r="D75" t="s">
        <v>690</v>
      </c>
      <c r="E75" t="s">
        <v>18</v>
      </c>
      <c r="F75">
        <v>1</v>
      </c>
      <c r="G75" t="s">
        <v>755</v>
      </c>
    </row>
    <row r="76" spans="1:7" x14ac:dyDescent="0.35">
      <c r="A76" t="s">
        <v>34</v>
      </c>
      <c r="B76">
        <v>18</v>
      </c>
      <c r="C76">
        <v>1</v>
      </c>
      <c r="D76" t="s">
        <v>236</v>
      </c>
      <c r="E76" t="s">
        <v>18</v>
      </c>
      <c r="F76">
        <v>0</v>
      </c>
      <c r="G76" t="s">
        <v>840</v>
      </c>
    </row>
    <row r="77" spans="1:7" x14ac:dyDescent="0.35">
      <c r="A77" t="s">
        <v>34</v>
      </c>
      <c r="B77">
        <v>19</v>
      </c>
      <c r="C77">
        <v>1</v>
      </c>
      <c r="D77" t="s">
        <v>238</v>
      </c>
      <c r="E77" t="s">
        <v>18</v>
      </c>
      <c r="F77">
        <v>0</v>
      </c>
      <c r="G77" t="s">
        <v>841</v>
      </c>
    </row>
    <row r="78" spans="1:7" x14ac:dyDescent="0.35">
      <c r="A78" t="s">
        <v>34</v>
      </c>
      <c r="B78">
        <v>20</v>
      </c>
      <c r="C78">
        <v>1</v>
      </c>
      <c r="D78" t="s">
        <v>240</v>
      </c>
      <c r="E78" t="s">
        <v>18</v>
      </c>
      <c r="F78">
        <v>0</v>
      </c>
      <c r="G78" t="s">
        <v>842</v>
      </c>
    </row>
    <row r="79" spans="1:7" x14ac:dyDescent="0.35">
      <c r="A79" t="s">
        <v>34</v>
      </c>
      <c r="B79">
        <v>21</v>
      </c>
      <c r="C79">
        <v>1</v>
      </c>
      <c r="D79" t="s">
        <v>243</v>
      </c>
      <c r="E79" t="s">
        <v>18</v>
      </c>
      <c r="F79">
        <v>0</v>
      </c>
      <c r="G79" t="s">
        <v>843</v>
      </c>
    </row>
    <row r="80" spans="1:7" x14ac:dyDescent="0.35">
      <c r="A80" t="s">
        <v>34</v>
      </c>
      <c r="B80">
        <v>22</v>
      </c>
      <c r="C80">
        <v>2</v>
      </c>
      <c r="D80" t="s">
        <v>679</v>
      </c>
      <c r="E80" t="s">
        <v>18</v>
      </c>
      <c r="F80" t="s">
        <v>50</v>
      </c>
      <c r="G80" t="s">
        <v>810</v>
      </c>
    </row>
    <row r="81" spans="1:7" x14ac:dyDescent="0.35">
      <c r="A81" t="s">
        <v>34</v>
      </c>
      <c r="B81">
        <v>24</v>
      </c>
      <c r="C81">
        <v>1</v>
      </c>
      <c r="D81" t="s">
        <v>245</v>
      </c>
      <c r="F81">
        <v>1</v>
      </c>
      <c r="G81" t="s">
        <v>740</v>
      </c>
    </row>
    <row r="82" spans="1:7" ht="29" x14ac:dyDescent="0.35">
      <c r="A82" t="s">
        <v>34</v>
      </c>
      <c r="B82">
        <v>25</v>
      </c>
      <c r="C82">
        <v>1</v>
      </c>
      <c r="D82" t="s">
        <v>247</v>
      </c>
      <c r="F82">
        <v>1</v>
      </c>
      <c r="G82" s="155" t="s">
        <v>741</v>
      </c>
    </row>
    <row r="83" spans="1:7" x14ac:dyDescent="0.35">
      <c r="A83" t="s">
        <v>34</v>
      </c>
      <c r="B83">
        <v>26</v>
      </c>
      <c r="C83">
        <v>5</v>
      </c>
      <c r="D83" t="s">
        <v>251</v>
      </c>
      <c r="F83">
        <v>0</v>
      </c>
      <c r="G83" t="s">
        <v>844</v>
      </c>
    </row>
    <row r="84" spans="1:7" x14ac:dyDescent="0.35">
      <c r="A84" t="s">
        <v>34</v>
      </c>
      <c r="B84">
        <v>31</v>
      </c>
      <c r="C84">
        <v>1</v>
      </c>
      <c r="D84" t="s">
        <v>252</v>
      </c>
      <c r="F84">
        <v>1</v>
      </c>
      <c r="G84" t="s">
        <v>805</v>
      </c>
    </row>
    <row r="85" spans="1:7" x14ac:dyDescent="0.35">
      <c r="A85" t="s">
        <v>40</v>
      </c>
      <c r="B85">
        <v>0</v>
      </c>
      <c r="C85">
        <v>16</v>
      </c>
      <c r="D85" t="s">
        <v>270</v>
      </c>
      <c r="E85" t="s">
        <v>18</v>
      </c>
      <c r="F85">
        <v>1</v>
      </c>
      <c r="G85" t="s">
        <v>778</v>
      </c>
    </row>
    <row r="86" spans="1:7" x14ac:dyDescent="0.35">
      <c r="A86" t="s">
        <v>40</v>
      </c>
      <c r="B86">
        <v>16</v>
      </c>
      <c r="C86">
        <v>8</v>
      </c>
      <c r="D86" t="s">
        <v>271</v>
      </c>
      <c r="E86" t="s">
        <v>18</v>
      </c>
      <c r="F86">
        <v>1</v>
      </c>
      <c r="G86" t="s">
        <v>779</v>
      </c>
    </row>
    <row r="87" spans="1:7" x14ac:dyDescent="0.35">
      <c r="A87" t="s">
        <v>40</v>
      </c>
      <c r="B87">
        <v>24</v>
      </c>
      <c r="C87">
        <v>4</v>
      </c>
      <c r="D87" t="s">
        <v>272</v>
      </c>
      <c r="E87" t="s">
        <v>18</v>
      </c>
      <c r="F87">
        <v>1</v>
      </c>
      <c r="G87" t="s">
        <v>780</v>
      </c>
    </row>
    <row r="88" spans="1:7" x14ac:dyDescent="0.35">
      <c r="A88" t="s">
        <v>40</v>
      </c>
      <c r="B88">
        <v>28</v>
      </c>
      <c r="C88">
        <v>4</v>
      </c>
      <c r="D88" t="s">
        <v>273</v>
      </c>
      <c r="E88" t="s">
        <v>18</v>
      </c>
      <c r="F88">
        <v>1</v>
      </c>
      <c r="G88" t="s">
        <v>781</v>
      </c>
    </row>
    <row r="89" spans="1:7" x14ac:dyDescent="0.35">
      <c r="G89"/>
    </row>
    <row r="90" spans="1:7" x14ac:dyDescent="0.35">
      <c r="G90"/>
    </row>
    <row r="91" spans="1:7" x14ac:dyDescent="0.35">
      <c r="G91"/>
    </row>
    <row r="92" spans="1:7" x14ac:dyDescent="0.35">
      <c r="G92"/>
    </row>
    <row r="93" spans="1:7" x14ac:dyDescent="0.35">
      <c r="G93"/>
    </row>
    <row r="94" spans="1:7" x14ac:dyDescent="0.35">
      <c r="G94"/>
    </row>
    <row r="95" spans="1:7" x14ac:dyDescent="0.35">
      <c r="G95"/>
    </row>
    <row r="96" spans="1:7" x14ac:dyDescent="0.35">
      <c r="G96"/>
    </row>
    <row r="97" spans="7:7" x14ac:dyDescent="0.35">
      <c r="G97"/>
    </row>
    <row r="98" spans="7:7" x14ac:dyDescent="0.35">
      <c r="G98"/>
    </row>
    <row r="99" spans="7:7" x14ac:dyDescent="0.35">
      <c r="G99"/>
    </row>
    <row r="100" spans="7:7" x14ac:dyDescent="0.35">
      <c r="G100"/>
    </row>
  </sheetData>
  <dataValidations count="1">
    <dataValidation type="list" allowBlank="1" showInputMessage="1" showErrorMessage="1" sqref="F1" xr:uid="{634FBEF8-0CEC-4457-B94C-8D0B85271D97}">
      <formula1>$N$1:$P$1</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heet16.CheckGroup1RegRow">
                <anchor moveWithCells="1" sizeWithCells="1">
                  <from>
                    <xdr:col>12</xdr:col>
                    <xdr:colOff>584200</xdr:colOff>
                    <xdr:row>0</xdr:row>
                    <xdr:rowOff>0</xdr:rowOff>
                  </from>
                  <to>
                    <xdr:col>16</xdr:col>
                    <xdr:colOff>603250</xdr:colOff>
                    <xdr:row>1</xdr:row>
                    <xdr:rowOff>76200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C02B34-D197-4179-A589-0B1845663591}">
  <sheetPr codeName="Sheet17"/>
  <dimension ref="A1:O45"/>
  <sheetViews>
    <sheetView zoomScale="85" zoomScaleNormal="85" workbookViewId="0">
      <selection activeCell="A3" sqref="A3:A12"/>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622</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98" t="s">
        <v>852</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96" t="s">
        <v>379</v>
      </c>
      <c r="N3" s="187" t="s">
        <v>14</v>
      </c>
      <c r="O3" s="190">
        <f ca="1">($G3+$G4+$G5+$G6+$G7)</f>
        <v>1056</v>
      </c>
    </row>
    <row r="4" spans="1:15" ht="15" customHeight="1" x14ac:dyDescent="0.35">
      <c r="A4" s="198"/>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88"/>
      <c r="N4" s="188"/>
      <c r="O4" s="191"/>
    </row>
    <row r="5" spans="1:15" ht="15" customHeight="1" x14ac:dyDescent="0.35">
      <c r="A5" s="198"/>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88"/>
      <c r="N5" s="188"/>
      <c r="O5" s="191"/>
    </row>
    <row r="6" spans="1:15" ht="15" customHeight="1" x14ac:dyDescent="0.35">
      <c r="A6" s="198"/>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88"/>
      <c r="N6" s="188"/>
      <c r="O6" s="191"/>
    </row>
    <row r="7" spans="1:15" ht="15" customHeight="1" thickBot="1" x14ac:dyDescent="0.4">
      <c r="A7" s="198"/>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89"/>
      <c r="N7" s="189"/>
      <c r="O7" s="192"/>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99" t="s">
        <v>380</v>
      </c>
      <c r="N8" s="202" t="s">
        <v>21</v>
      </c>
      <c r="O8" s="204">
        <f ca="1">($G8+$G9+$G10+$G12)</f>
        <v>960</v>
      </c>
    </row>
    <row r="9" spans="1:15" x14ac:dyDescent="0.35">
      <c r="A9" s="194" t="s">
        <v>853</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200"/>
      <c r="N9" s="188"/>
      <c r="O9" s="191"/>
    </row>
    <row r="10" spans="1:15" x14ac:dyDescent="0.35">
      <c r="A10" s="19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200"/>
      <c r="N10" s="188"/>
      <c r="O10" s="191"/>
    </row>
    <row r="11" spans="1:15" x14ac:dyDescent="0.35">
      <c r="A11" s="195"/>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200"/>
      <c r="N11" s="188"/>
      <c r="O11" s="191"/>
    </row>
    <row r="12" spans="1:15" ht="15" thickBot="1" x14ac:dyDescent="0.4">
      <c r="A12" s="20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201"/>
      <c r="N12" s="203"/>
      <c r="O12" s="205"/>
    </row>
    <row r="13" spans="1:15" ht="15" customHeight="1" x14ac:dyDescent="0.35">
      <c r="A13" s="194" t="s">
        <v>25</v>
      </c>
      <c r="B13" s="44" t="s">
        <v>26</v>
      </c>
      <c r="C13" s="48" t="s">
        <v>626</v>
      </c>
      <c r="D13" s="184"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96" t="s">
        <v>381</v>
      </c>
      <c r="N13" s="187" t="s">
        <v>31</v>
      </c>
      <c r="O13" s="190">
        <f ca="1">(4*32+G17+G18+G19+G20+G21+G22)</f>
        <v>160</v>
      </c>
    </row>
    <row r="14" spans="1:15" x14ac:dyDescent="0.35">
      <c r="A14" s="195"/>
      <c r="B14" s="46" t="s">
        <v>32</v>
      </c>
      <c r="C14" s="49" t="s">
        <v>626</v>
      </c>
      <c r="D14" s="185"/>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93"/>
      <c r="N14" s="188"/>
      <c r="O14" s="191"/>
    </row>
    <row r="15" spans="1:15" x14ac:dyDescent="0.35">
      <c r="A15" s="195"/>
      <c r="B15" s="46" t="s">
        <v>33</v>
      </c>
      <c r="C15" s="49" t="s">
        <v>626</v>
      </c>
      <c r="D15" s="185"/>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93"/>
      <c r="N15" s="188"/>
      <c r="O15" s="191"/>
    </row>
    <row r="16" spans="1:15" x14ac:dyDescent="0.35">
      <c r="A16" s="195"/>
      <c r="B16" s="46" t="s">
        <v>34</v>
      </c>
      <c r="C16" s="49" t="s">
        <v>626</v>
      </c>
      <c r="D16" s="185"/>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93"/>
      <c r="N16" s="188"/>
      <c r="O16" s="191"/>
    </row>
    <row r="17" spans="1:15" x14ac:dyDescent="0.35">
      <c r="A17" s="195"/>
      <c r="B17" s="46" t="s">
        <v>36</v>
      </c>
      <c r="C17" s="46" t="s">
        <v>261</v>
      </c>
      <c r="D17" s="185"/>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+_xlfn.BITLSHIFT(1, Group1!C87)*Group1!G87*IF(Group1!M87="N/A", 0, Group1!M87), 8))</f>
        <v>0x00000000</v>
      </c>
      <c r="K17" s="17" t="str">
        <f ca="1">CONCATENATE("0x", DEC2HEX(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+_xlfn.BITLSHIFT(1, Group1!D87)*Group1!H87*IF(Group1!N87="N/A", 0, Group1!N87), 8))</f>
        <v>0x00000000</v>
      </c>
      <c r="L17" s="17" t="str">
        <f ca="1">IF(VLOOKUP("EXT_FUSE_PULL_SUPP", INDIRECT(Config!$B$1),HLOOKUP(D$1,INDIRECT(Config!$E$1),2,FALSE),FALSE)=1, IF(G17&gt;0,CONCATENATE("CSME_HW_FW_Config_fusess[",G17-1+G16+G15+G14+G13,":",G16+G15+G14+G13,"]"), ""), "")</f>
        <v/>
      </c>
      <c r="M17" s="193"/>
      <c r="N17" s="188"/>
      <c r="O17" s="191"/>
    </row>
    <row r="18" spans="1:15" x14ac:dyDescent="0.35">
      <c r="A18" s="195"/>
      <c r="B18" s="46" t="s">
        <v>38</v>
      </c>
      <c r="C18" s="95" t="s">
        <v>221</v>
      </c>
      <c r="D18" s="185"/>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93"/>
      <c r="N18" s="188"/>
      <c r="O18" s="191"/>
    </row>
    <row r="19" spans="1:15" x14ac:dyDescent="0.35">
      <c r="A19" s="195"/>
      <c r="B19" s="95" t="s">
        <v>254</v>
      </c>
      <c r="C19" s="95" t="s">
        <v>209</v>
      </c>
      <c r="D19" s="185"/>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93"/>
      <c r="N19" s="188"/>
      <c r="O19" s="191"/>
    </row>
    <row r="20" spans="1:15" x14ac:dyDescent="0.35">
      <c r="A20" s="195"/>
      <c r="B20" s="95" t="s">
        <v>258</v>
      </c>
      <c r="C20" s="95" t="s">
        <v>402</v>
      </c>
      <c r="D20" s="185"/>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93"/>
      <c r="N20" s="188"/>
      <c r="O20" s="191"/>
    </row>
    <row r="21" spans="1:15" x14ac:dyDescent="0.35">
      <c r="A21" s="195"/>
      <c r="B21" s="95" t="s">
        <v>259</v>
      </c>
      <c r="C21" s="95" t="s">
        <v>402</v>
      </c>
      <c r="D21" s="185"/>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93"/>
      <c r="N21" s="188"/>
      <c r="O21" s="191"/>
    </row>
    <row r="22" spans="1:15" x14ac:dyDescent="0.35">
      <c r="A22" s="195"/>
      <c r="B22" s="95" t="s">
        <v>260</v>
      </c>
      <c r="C22" s="95" t="s">
        <v>402</v>
      </c>
      <c r="D22" s="185"/>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93"/>
      <c r="N22" s="188"/>
      <c r="O22" s="191"/>
    </row>
    <row r="23" spans="1:15" x14ac:dyDescent="0.35">
      <c r="A23" s="195"/>
      <c r="B23" s="46" t="s">
        <v>40</v>
      </c>
      <c r="C23" s="49" t="s">
        <v>626</v>
      </c>
      <c r="D23" s="185"/>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93"/>
      <c r="N23" s="188"/>
      <c r="O23" s="191"/>
    </row>
    <row r="24" spans="1:15" x14ac:dyDescent="0.35">
      <c r="A24" s="194" t="s">
        <v>43</v>
      </c>
      <c r="B24" s="46" t="s">
        <v>44</v>
      </c>
      <c r="C24" s="46" t="s">
        <v>627</v>
      </c>
      <c r="D24" s="185"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93" t="s">
        <v>382</v>
      </c>
      <c r="N24" s="188"/>
      <c r="O24" s="191">
        <f ca="1">(G24+G25)</f>
        <v>64</v>
      </c>
    </row>
    <row r="25" spans="1:15" ht="15" thickBot="1" x14ac:dyDescent="0.4">
      <c r="A25" s="197"/>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89"/>
      <c r="N25" s="189"/>
      <c r="O25" s="192"/>
    </row>
    <row r="26" spans="1:15" ht="15" thickBot="1" x14ac:dyDescent="0.4">
      <c r="A26" s="151"/>
    </row>
    <row r="27" spans="1:15" x14ac:dyDescent="0.35">
      <c r="A27" s="184"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87" t="s">
        <v>50</v>
      </c>
      <c r="O27" s="190">
        <f ca="1">SUM(G27:G41)</f>
        <v>5184</v>
      </c>
    </row>
    <row r="28" spans="1:15" ht="15" customHeight="1" x14ac:dyDescent="0.35">
      <c r="A28" s="185"/>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93" t="s">
        <v>381</v>
      </c>
      <c r="N28" s="188"/>
      <c r="O28" s="191"/>
    </row>
    <row r="29" spans="1:15" x14ac:dyDescent="0.35">
      <c r="A29" s="185"/>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93"/>
      <c r="N29" s="188"/>
      <c r="O29" s="191"/>
    </row>
    <row r="30" spans="1:15" x14ac:dyDescent="0.35">
      <c r="A30" s="185"/>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93"/>
      <c r="N30" s="188"/>
      <c r="O30" s="191"/>
    </row>
    <row r="31" spans="1:15" x14ac:dyDescent="0.35">
      <c r="A31" s="185"/>
      <c r="B31" s="109" t="s">
        <v>630</v>
      </c>
      <c r="C31" s="109" t="s">
        <v>683</v>
      </c>
      <c r="D31" s="133"/>
      <c r="E31" s="135" t="str">
        <f>CONCATENATE("This is a region for ",$D$1," FW IFPs")</f>
        <v>This is a region for MTL-SOC-M CSME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2048</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88"/>
      <c r="O31" s="191"/>
    </row>
    <row r="32" spans="1:15" x14ac:dyDescent="0.35">
      <c r="A32" s="185"/>
      <c r="B32" s="109" t="s">
        <v>632</v>
      </c>
      <c r="C32" s="109" t="s">
        <v>632</v>
      </c>
      <c r="D32" s="109"/>
      <c r="E32" s="136"/>
      <c r="F32" s="117" t="s">
        <v>415</v>
      </c>
      <c r="G32" s="106">
        <f ca="1">IF($C32="No Param",32,VLOOKUP($C32,INDIRECT(Config!$B$1),HLOOKUP(D$1,INDIRECT(Config!$E$1),2,FALSE),FALSE))</f>
        <v>512</v>
      </c>
      <c r="H32" s="110" t="s">
        <v>425</v>
      </c>
      <c r="I32" s="2" t="str">
        <f>CONCATENATE("0x",DEC2HEX(HEX2DEC(SUBSTITUTE(I27,"0x",""))+HEX2DEC(SUBSTITUTE(H32,"0x",""))))</f>
        <v>0xF00B0A00</v>
      </c>
      <c r="J32" s="141" t="s">
        <v>399</v>
      </c>
      <c r="K32" s="141" t="s">
        <v>399</v>
      </c>
      <c r="L32" s="141"/>
      <c r="M32" s="141" t="s">
        <v>50</v>
      </c>
      <c r="N32" s="188"/>
      <c r="O32" s="191"/>
    </row>
    <row r="33" spans="1:15" ht="15" customHeight="1" x14ac:dyDescent="0.35">
      <c r="A33" s="185"/>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93" t="s">
        <v>381</v>
      </c>
      <c r="N33" s="188"/>
      <c r="O33" s="191"/>
    </row>
    <row r="34" spans="1:15" x14ac:dyDescent="0.35">
      <c r="A34" s="185"/>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93"/>
      <c r="N34" s="188"/>
      <c r="O34" s="191"/>
    </row>
    <row r="35" spans="1:15" x14ac:dyDescent="0.35">
      <c r="A35" s="185"/>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93"/>
      <c r="N35" s="188"/>
      <c r="O35" s="191"/>
    </row>
    <row r="36" spans="1:15" x14ac:dyDescent="0.35">
      <c r="A36" s="185"/>
      <c r="B36" s="109" t="s">
        <v>633</v>
      </c>
      <c r="C36" s="109" t="s">
        <v>683</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2048</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88"/>
      <c r="O36" s="191"/>
    </row>
    <row r="37" spans="1:15" x14ac:dyDescent="0.35">
      <c r="A37" s="185"/>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88"/>
      <c r="O37" s="191"/>
    </row>
    <row r="38" spans="1:15" ht="15" customHeight="1" x14ac:dyDescent="0.35">
      <c r="A38" s="185"/>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93" t="s">
        <v>381</v>
      </c>
      <c r="N38" s="188"/>
      <c r="O38" s="191"/>
    </row>
    <row r="39" spans="1:15" x14ac:dyDescent="0.35">
      <c r="A39" s="185"/>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93"/>
      <c r="N39" s="188"/>
      <c r="O39" s="191"/>
    </row>
    <row r="40" spans="1:15" x14ac:dyDescent="0.35">
      <c r="A40" s="185"/>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93"/>
      <c r="N40" s="188"/>
      <c r="O40" s="191"/>
    </row>
    <row r="41" spans="1:15" ht="15" thickBot="1" x14ac:dyDescent="0.4">
      <c r="A41" s="186"/>
      <c r="B41" s="112" t="s">
        <v>635</v>
      </c>
      <c r="C41" s="112" t="s">
        <v>683</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89"/>
      <c r="O41" s="192"/>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341" priority="89" operator="equal">
      <formula>0</formula>
    </cfRule>
  </conditionalFormatting>
  <conditionalFormatting sqref="J27">
    <cfRule type="cellIs" dxfId="340" priority="105" operator="equal">
      <formula>0</formula>
    </cfRule>
  </conditionalFormatting>
  <conditionalFormatting sqref="C3">
    <cfRule type="cellIs" dxfId="339" priority="91" operator="equal">
      <formula>0</formula>
    </cfRule>
  </conditionalFormatting>
  <conditionalFormatting sqref="C4">
    <cfRule type="cellIs" dxfId="338" priority="90" operator="equal">
      <formula>0</formula>
    </cfRule>
  </conditionalFormatting>
  <conditionalFormatting sqref="B3 J4 J12 D3:J3 G4:G25">
    <cfRule type="cellIs" dxfId="337" priority="102" operator="equal">
      <formula>0</formula>
    </cfRule>
  </conditionalFormatting>
  <conditionalFormatting sqref="B4 H4:I4 D4:F4">
    <cfRule type="cellIs" dxfId="336" priority="101" operator="equal">
      <formula>0</formula>
    </cfRule>
  </conditionalFormatting>
  <conditionalFormatting sqref="B5 I5 D5:F5">
    <cfRule type="cellIs" dxfId="335" priority="100" operator="equal">
      <formula>0</formula>
    </cfRule>
  </conditionalFormatting>
  <conditionalFormatting sqref="B7 I7 F7">
    <cfRule type="cellIs" dxfId="334" priority="99" operator="equal">
      <formula>0</formula>
    </cfRule>
  </conditionalFormatting>
  <conditionalFormatting sqref="B8 H8:I8 D8:F8">
    <cfRule type="cellIs" priority="98" operator="equal">
      <formula>0</formula>
    </cfRule>
  </conditionalFormatting>
  <conditionalFormatting sqref="B9 H9:I9 D9:F9">
    <cfRule type="cellIs" dxfId="333" priority="97" operator="equal">
      <formula>0</formula>
    </cfRule>
  </conditionalFormatting>
  <conditionalFormatting sqref="B10 I10 D10:F10">
    <cfRule type="cellIs" dxfId="332" priority="95" operator="equal">
      <formula>0</formula>
    </cfRule>
    <cfRule type="cellIs" dxfId="331" priority="96" operator="equal">
      <formula>0</formula>
    </cfRule>
  </conditionalFormatting>
  <conditionalFormatting sqref="K12 K3:L4">
    <cfRule type="cellIs" dxfId="330" priority="94" operator="equal">
      <formula>0</formula>
    </cfRule>
  </conditionalFormatting>
  <conditionalFormatting sqref="B6 I6 D6:F6">
    <cfRule type="cellIs" dxfId="329" priority="93" operator="equal">
      <formula>0</formula>
    </cfRule>
  </conditionalFormatting>
  <conditionalFormatting sqref="D7:E7">
    <cfRule type="cellIs" dxfId="328" priority="92" operator="equal">
      <formula>0</formula>
    </cfRule>
  </conditionalFormatting>
  <conditionalFormatting sqref="C7">
    <cfRule type="cellIs" dxfId="327" priority="88" operator="equal">
      <formula>0</formula>
    </cfRule>
  </conditionalFormatting>
  <conditionalFormatting sqref="C8">
    <cfRule type="cellIs" priority="87" operator="equal">
      <formula>0</formula>
    </cfRule>
  </conditionalFormatting>
  <conditionalFormatting sqref="C9">
    <cfRule type="cellIs" dxfId="326" priority="86" operator="equal">
      <formula>0</formula>
    </cfRule>
  </conditionalFormatting>
  <conditionalFormatting sqref="C10">
    <cfRule type="cellIs" dxfId="325" priority="84" operator="equal">
      <formula>0</formula>
    </cfRule>
    <cfRule type="cellIs" dxfId="324" priority="85" operator="equal">
      <formula>0</formula>
    </cfRule>
  </conditionalFormatting>
  <conditionalFormatting sqref="C6">
    <cfRule type="cellIs" dxfId="323" priority="83" operator="equal">
      <formula>0</formula>
    </cfRule>
  </conditionalFormatting>
  <conditionalFormatting sqref="J5">
    <cfRule type="cellIs" dxfId="322" priority="71" operator="equal">
      <formula>0</formula>
    </cfRule>
  </conditionalFormatting>
  <conditionalFormatting sqref="K5">
    <cfRule type="cellIs" dxfId="321" priority="70" operator="equal">
      <formula>0</formula>
    </cfRule>
  </conditionalFormatting>
  <conditionalFormatting sqref="J6">
    <cfRule type="cellIs" dxfId="320" priority="69" operator="equal">
      <formula>0</formula>
    </cfRule>
  </conditionalFormatting>
  <conditionalFormatting sqref="K6">
    <cfRule type="cellIs" dxfId="319" priority="68" operator="equal">
      <formula>0</formula>
    </cfRule>
  </conditionalFormatting>
  <conditionalFormatting sqref="J9">
    <cfRule type="cellIs" dxfId="318" priority="67" operator="equal">
      <formula>0</formula>
    </cfRule>
  </conditionalFormatting>
  <conditionalFormatting sqref="K9">
    <cfRule type="cellIs" dxfId="317" priority="66" operator="equal">
      <formula>0</formula>
    </cfRule>
  </conditionalFormatting>
  <conditionalFormatting sqref="J10">
    <cfRule type="cellIs" dxfId="316" priority="65" operator="equal">
      <formula>0</formula>
    </cfRule>
  </conditionalFormatting>
  <conditionalFormatting sqref="K10">
    <cfRule type="cellIs" dxfId="315" priority="64" operator="equal">
      <formula>0</formula>
    </cfRule>
  </conditionalFormatting>
  <conditionalFormatting sqref="J11">
    <cfRule type="cellIs" dxfId="314" priority="63" operator="equal">
      <formula>0</formula>
    </cfRule>
  </conditionalFormatting>
  <conditionalFormatting sqref="K11">
    <cfRule type="cellIs" dxfId="313" priority="62" operator="equal">
      <formula>0</formula>
    </cfRule>
  </conditionalFormatting>
  <conditionalFormatting sqref="J7">
    <cfRule type="cellIs" dxfId="312" priority="61" operator="equal">
      <formula>0</formula>
    </cfRule>
  </conditionalFormatting>
  <conditionalFormatting sqref="K7">
    <cfRule type="cellIs" dxfId="311" priority="60" operator="equal">
      <formula>0</formula>
    </cfRule>
  </conditionalFormatting>
  <conditionalFormatting sqref="J8">
    <cfRule type="cellIs" dxfId="310" priority="59" operator="equal">
      <formula>0</formula>
    </cfRule>
  </conditionalFormatting>
  <conditionalFormatting sqref="K8">
    <cfRule type="cellIs" dxfId="309" priority="58" operator="equal">
      <formula>0</formula>
    </cfRule>
  </conditionalFormatting>
  <conditionalFormatting sqref="H5">
    <cfRule type="cellIs" dxfId="308" priority="57" operator="equal">
      <formula>0</formula>
    </cfRule>
  </conditionalFormatting>
  <conditionalFormatting sqref="H6">
    <cfRule type="cellIs" dxfId="307" priority="56" operator="equal">
      <formula>0</formula>
    </cfRule>
  </conditionalFormatting>
  <conditionalFormatting sqref="H7">
    <cfRule type="cellIs" dxfId="306" priority="55" operator="equal">
      <formula>0</formula>
    </cfRule>
  </conditionalFormatting>
  <conditionalFormatting sqref="H12">
    <cfRule type="cellIs" dxfId="305" priority="52" operator="equal">
      <formula>0</formula>
    </cfRule>
  </conditionalFormatting>
  <conditionalFormatting sqref="H10">
    <cfRule type="cellIs" dxfId="304" priority="54" operator="equal">
      <formula>0</formula>
    </cfRule>
  </conditionalFormatting>
  <conditionalFormatting sqref="H11">
    <cfRule type="cellIs" dxfId="303" priority="53" operator="equal">
      <formula>0</formula>
    </cfRule>
  </conditionalFormatting>
  <conditionalFormatting sqref="L5">
    <cfRule type="cellIs" dxfId="302" priority="51" operator="equal">
      <formula>0</formula>
    </cfRule>
  </conditionalFormatting>
  <conditionalFormatting sqref="L6">
    <cfRule type="cellIs" dxfId="301" priority="50" operator="equal">
      <formula>0</formula>
    </cfRule>
  </conditionalFormatting>
  <conditionalFormatting sqref="L7">
    <cfRule type="cellIs" dxfId="300" priority="49" operator="equal">
      <formula>0</formula>
    </cfRule>
  </conditionalFormatting>
  <conditionalFormatting sqref="L8:L9">
    <cfRule type="cellIs" dxfId="299" priority="48" operator="equal">
      <formula>0</formula>
    </cfRule>
  </conditionalFormatting>
  <conditionalFormatting sqref="L10">
    <cfRule type="cellIs" dxfId="298" priority="47" operator="equal">
      <formula>0</formula>
    </cfRule>
  </conditionalFormatting>
  <conditionalFormatting sqref="L11">
    <cfRule type="cellIs" dxfId="297" priority="46" operator="equal">
      <formula>0</formula>
    </cfRule>
  </conditionalFormatting>
  <conditionalFormatting sqref="L12">
    <cfRule type="cellIs" dxfId="296" priority="45" operator="equal">
      <formula>0</formula>
    </cfRule>
  </conditionalFormatting>
  <conditionalFormatting sqref="L31">
    <cfRule type="cellIs" dxfId="295" priority="44" operator="equal">
      <formula>0</formula>
    </cfRule>
  </conditionalFormatting>
  <conditionalFormatting sqref="L30">
    <cfRule type="cellIs" dxfId="294" priority="43" operator="equal">
      <formula>0</formula>
    </cfRule>
  </conditionalFormatting>
  <conditionalFormatting sqref="L29">
    <cfRule type="cellIs" dxfId="293" priority="42" operator="equal">
      <formula>0</formula>
    </cfRule>
  </conditionalFormatting>
  <conditionalFormatting sqref="L28">
    <cfRule type="cellIs" dxfId="292" priority="41" operator="equal">
      <formula>0</formula>
    </cfRule>
  </conditionalFormatting>
  <conditionalFormatting sqref="L36">
    <cfRule type="cellIs" dxfId="291" priority="40" operator="equal">
      <formula>0</formula>
    </cfRule>
  </conditionalFormatting>
  <conditionalFormatting sqref="L35">
    <cfRule type="cellIs" dxfId="290" priority="39" operator="equal">
      <formula>0</formula>
    </cfRule>
  </conditionalFormatting>
  <conditionalFormatting sqref="L34">
    <cfRule type="cellIs" dxfId="289" priority="38" operator="equal">
      <formula>0</formula>
    </cfRule>
  </conditionalFormatting>
  <conditionalFormatting sqref="L33">
    <cfRule type="cellIs" dxfId="288" priority="37" operator="equal">
      <formula>0</formula>
    </cfRule>
  </conditionalFormatting>
  <conditionalFormatting sqref="L41">
    <cfRule type="cellIs" dxfId="287" priority="36" operator="equal">
      <formula>0</formula>
    </cfRule>
  </conditionalFormatting>
  <conditionalFormatting sqref="L40">
    <cfRule type="cellIs" dxfId="286" priority="35" operator="equal">
      <formula>0</formula>
    </cfRule>
  </conditionalFormatting>
  <conditionalFormatting sqref="L39">
    <cfRule type="cellIs" dxfId="285" priority="34" operator="equal">
      <formula>0</formula>
    </cfRule>
  </conditionalFormatting>
  <conditionalFormatting sqref="L38">
    <cfRule type="cellIs" dxfId="284" priority="33" operator="equal">
      <formula>0</formula>
    </cfRule>
  </conditionalFormatting>
  <conditionalFormatting sqref="L13">
    <cfRule type="cellIs" dxfId="283" priority="32" operator="equal">
      <formula>0</formula>
    </cfRule>
  </conditionalFormatting>
  <conditionalFormatting sqref="L14">
    <cfRule type="cellIs" dxfId="282" priority="31" operator="equal">
      <formula>0</formula>
    </cfRule>
  </conditionalFormatting>
  <conditionalFormatting sqref="L15">
    <cfRule type="cellIs" dxfId="281" priority="30" operator="equal">
      <formula>0</formula>
    </cfRule>
  </conditionalFormatting>
  <conditionalFormatting sqref="L16">
    <cfRule type="cellIs" dxfId="280" priority="29" operator="equal">
      <formula>0</formula>
    </cfRule>
  </conditionalFormatting>
  <conditionalFormatting sqref="L17">
    <cfRule type="cellIs" dxfId="279" priority="28" operator="equal">
      <formula>0</formula>
    </cfRule>
  </conditionalFormatting>
  <conditionalFormatting sqref="L18">
    <cfRule type="cellIs" dxfId="278" priority="27" operator="equal">
      <formula>0</formula>
    </cfRule>
  </conditionalFormatting>
  <conditionalFormatting sqref="L19">
    <cfRule type="cellIs" dxfId="277" priority="26" operator="equal">
      <formula>0</formula>
    </cfRule>
  </conditionalFormatting>
  <conditionalFormatting sqref="L20">
    <cfRule type="cellIs" dxfId="276" priority="25" operator="equal">
      <formula>0</formula>
    </cfRule>
  </conditionalFormatting>
  <conditionalFormatting sqref="L21">
    <cfRule type="cellIs" dxfId="275" priority="24" operator="equal">
      <formula>0</formula>
    </cfRule>
  </conditionalFormatting>
  <conditionalFormatting sqref="L22">
    <cfRule type="cellIs" dxfId="274" priority="23" operator="equal">
      <formula>0</formula>
    </cfRule>
  </conditionalFormatting>
  <conditionalFormatting sqref="L23">
    <cfRule type="cellIs" dxfId="273" priority="22" operator="equal">
      <formula>0</formula>
    </cfRule>
  </conditionalFormatting>
  <conditionalFormatting sqref="J24">
    <cfRule type="cellIs" dxfId="272" priority="21" operator="equal">
      <formula>0</formula>
    </cfRule>
  </conditionalFormatting>
  <conditionalFormatting sqref="K24">
    <cfRule type="cellIs" dxfId="271" priority="20" operator="equal">
      <formula>0</formula>
    </cfRule>
  </conditionalFormatting>
  <conditionalFormatting sqref="J25">
    <cfRule type="cellIs" dxfId="270" priority="19" operator="equal">
      <formula>0</formula>
    </cfRule>
  </conditionalFormatting>
  <conditionalFormatting sqref="K25">
    <cfRule type="cellIs" dxfId="269" priority="18" operator="equal">
      <formula>0</formula>
    </cfRule>
  </conditionalFormatting>
  <conditionalFormatting sqref="G33">
    <cfRule type="cellIs" dxfId="268" priority="15" operator="equal">
      <formula>0</formula>
    </cfRule>
  </conditionalFormatting>
  <conditionalFormatting sqref="G35">
    <cfRule type="cellIs" dxfId="267" priority="14" operator="equal">
      <formula>0</formula>
    </cfRule>
  </conditionalFormatting>
  <conditionalFormatting sqref="G28">
    <cfRule type="cellIs" dxfId="266" priority="8" operator="equal">
      <formula>0</formula>
    </cfRule>
  </conditionalFormatting>
  <conditionalFormatting sqref="G31">
    <cfRule type="cellIs" dxfId="265" priority="12" operator="equal">
      <formula>0</formula>
    </cfRule>
  </conditionalFormatting>
  <conditionalFormatting sqref="G32">
    <cfRule type="cellIs" dxfId="264" priority="11" operator="equal">
      <formula>0</formula>
    </cfRule>
  </conditionalFormatting>
  <conditionalFormatting sqref="G27">
    <cfRule type="cellIs" dxfId="263" priority="13" operator="equal">
      <formula>0</formula>
    </cfRule>
  </conditionalFormatting>
  <conditionalFormatting sqref="G37">
    <cfRule type="cellIs" dxfId="262" priority="10" operator="equal">
      <formula>0</formula>
    </cfRule>
  </conditionalFormatting>
  <conditionalFormatting sqref="G34">
    <cfRule type="cellIs" dxfId="261" priority="9" operator="equal">
      <formula>0</formula>
    </cfRule>
  </conditionalFormatting>
  <conditionalFormatting sqref="G30">
    <cfRule type="cellIs" dxfId="260" priority="7" operator="equal">
      <formula>0</formula>
    </cfRule>
  </conditionalFormatting>
  <conditionalFormatting sqref="G29">
    <cfRule type="cellIs" dxfId="259" priority="6" operator="equal">
      <formula>0</formula>
    </cfRule>
  </conditionalFormatting>
  <conditionalFormatting sqref="G38">
    <cfRule type="cellIs" dxfId="258" priority="5" operator="equal">
      <formula>0</formula>
    </cfRule>
  </conditionalFormatting>
  <conditionalFormatting sqref="G40">
    <cfRule type="cellIs" dxfId="257" priority="4" operator="equal">
      <formula>0</formula>
    </cfRule>
  </conditionalFormatting>
  <conditionalFormatting sqref="G39">
    <cfRule type="cellIs" dxfId="256" priority="3" operator="equal">
      <formula>0</formula>
    </cfRule>
  </conditionalFormatting>
  <conditionalFormatting sqref="G36">
    <cfRule type="cellIs" dxfId="255" priority="2" operator="equal">
      <formula>0</formula>
    </cfRule>
  </conditionalFormatting>
  <conditionalFormatting sqref="G41">
    <cfRule type="cellIs" dxfId="254"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E680EA95-6AB2-45F3-8605-4DAAAD39B264}">
          <x14:formula1>
            <xm:f>Config!$B$3:$O$3</xm:f>
          </x14:formula1>
          <xm:sqref>D1:E1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82D8-A283-4E41-B499-A4F8236995E9}">
  <sheetPr codeName="Sheet18"/>
  <dimension ref="A1:O45"/>
  <sheetViews>
    <sheetView zoomScaleNormal="100" workbookViewId="0">
      <selection activeCell="A13" sqref="A13:A23"/>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bestFit="1" customWidth="1"/>
    <col min="9" max="9" width="11.36328125" style="16" bestFit="1" customWidth="1"/>
    <col min="10"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623</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98" t="s">
        <v>852</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
      </c>
      <c r="M3" s="196" t="s">
        <v>379</v>
      </c>
      <c r="N3" s="187" t="s">
        <v>14</v>
      </c>
      <c r="O3" s="190">
        <f ca="1">($G3+$G4+$G5+$G6+$G7)</f>
        <v>1056</v>
      </c>
    </row>
    <row r="4" spans="1:15" ht="15" customHeight="1" x14ac:dyDescent="0.35">
      <c r="A4" s="198"/>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
      </c>
      <c r="M4" s="188"/>
      <c r="N4" s="188"/>
      <c r="O4" s="191"/>
    </row>
    <row r="5" spans="1:15" ht="15" customHeight="1" x14ac:dyDescent="0.35">
      <c r="A5" s="198"/>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
      </c>
      <c r="M5" s="188"/>
      <c r="N5" s="188"/>
      <c r="O5" s="191"/>
    </row>
    <row r="6" spans="1:15" ht="15" customHeight="1" x14ac:dyDescent="0.35">
      <c r="A6" s="198"/>
      <c r="B6" s="90" t="s">
        <v>410</v>
      </c>
      <c r="C6" s="90" t="s">
        <v>410</v>
      </c>
      <c r="D6" s="46" t="s">
        <v>15</v>
      </c>
      <c r="E6" s="46"/>
      <c r="F6" s="89" t="s">
        <v>11</v>
      </c>
      <c r="G6" s="51">
        <f ca="1">IF($C6="No Param",32,VLOOKUP($C6,INDIRECT(Config!$B$1),HLOOKUP(D$1,INDIRECT(Config!$E$1),2,FALSE),FALSE))</f>
        <v>256</v>
      </c>
      <c r="H6" s="17" t="str">
        <f ca="1">IF(G6=0, "N/A", CONCATENATE("0x",DEC2HEX(HEX2DEC(SUBSTITUTE(H3,"0x",""))+(G3+G4+G5)/8)))</f>
        <v>0x6064</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88"/>
      <c r="N6" s="188"/>
      <c r="O6" s="191"/>
    </row>
    <row r="7" spans="1:15" ht="15" customHeight="1" thickBot="1" x14ac:dyDescent="0.4">
      <c r="A7" s="198"/>
      <c r="B7" s="91" t="s">
        <v>434</v>
      </c>
      <c r="C7" s="99" t="s">
        <v>434</v>
      </c>
      <c r="D7" s="96" t="s">
        <v>10</v>
      </c>
      <c r="E7" s="96"/>
      <c r="F7" s="98" t="s">
        <v>11</v>
      </c>
      <c r="G7" s="97">
        <f ca="1">IF($C7="No Param",32,VLOOKUP($C7,INDIRECT(Config!$B$1),HLOOKUP(D$1,INDIRECT(Config!$E$1),2,FALSE),FALSE))</f>
        <v>0</v>
      </c>
      <c r="H7" s="33" t="str">
        <f ca="1">IF(G7=0, "N/A", CONCATENATE("0x",DEC2HEX(HEX2DEC(SUBSTITUTE(H3,"0x",""))+(G3+G4+G5+G6)/8)))</f>
        <v>N/A</v>
      </c>
      <c r="I7" s="33" t="str">
        <f ca="1">CONCATENATE("0x",DEC2HEX(HEX2DEC(SUBSTITUTE(I6,"0x",""))+G6/8))</f>
        <v>0xF00B0084</v>
      </c>
      <c r="J7" s="33" t="s">
        <v>399</v>
      </c>
      <c r="K7" s="33" t="s">
        <v>399</v>
      </c>
      <c r="L7" s="56" t="str">
        <f ca="1">IF(VLOOKUP("EXT_FUSE_PULL_SUPP", INDIRECT(Config!$B$1),HLOOKUP(D$1,INDIRECT(Config!$E$1),2,FALSE),FALSE)=1, IF(G7&gt;0,CONCATENATE("Security_Fuses_Valid[",G7-1,":0]"),""), "")</f>
        <v/>
      </c>
      <c r="M7" s="189"/>
      <c r="N7" s="189"/>
      <c r="O7" s="192"/>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
      </c>
      <c r="M8" s="199" t="s">
        <v>380</v>
      </c>
      <c r="N8" s="202" t="s">
        <v>21</v>
      </c>
      <c r="O8" s="204">
        <f ca="1">($G8+$G9+$G10+$G12)</f>
        <v>960</v>
      </c>
    </row>
    <row r="9" spans="1:15" x14ac:dyDescent="0.35">
      <c r="A9" s="194" t="s">
        <v>853</v>
      </c>
      <c r="B9" s="93" t="s">
        <v>411</v>
      </c>
      <c r="C9" s="93" t="s">
        <v>411</v>
      </c>
      <c r="D9" s="46" t="s">
        <v>18</v>
      </c>
      <c r="E9" s="46"/>
      <c r="F9" s="89" t="s">
        <v>19</v>
      </c>
      <c r="G9" s="51">
        <f ca="1">IF($C9="No Param",32,VLOOKUP($C9,INDIRECT(Config!$B$1),HLOOKUP(D$1,INDIRECT(Config!$E$1),2,FALSE),FALSE))</f>
        <v>160</v>
      </c>
      <c r="H9" s="17" t="str">
        <f ca="1">IF(G9=0, "N/A", CONCATENATE("0x",DEC2HEX(HEX2DEC(SUBSTITUTE(H8,"0x",""))+G8/8)))</f>
        <v>0x6860</v>
      </c>
      <c r="I9" s="17" t="str">
        <f ca="1">CONCATENATE("0x",DEC2HEX(HEX2DEC(SUBSTITUTE(I8,"0x",""))+G8/8))</f>
        <v>0xF00B0460</v>
      </c>
      <c r="J9" s="17" t="s">
        <v>399</v>
      </c>
      <c r="K9" s="17" t="s">
        <v>399</v>
      </c>
      <c r="L9" s="84" t="str">
        <f ca="1">IF(VLOOKUP("EXT_FUSE_PULL_SUPP", INDIRECT(Config!$B$1),HLOOKUP(D$1,INDIRECT(Config!$E$1),2,FALSE),FALSE)=1, IF(G9&gt;0,CONCATENATE("CSME_HW_FW_Config_fuses[",G9-1,":0]"), ""), "")</f>
        <v/>
      </c>
      <c r="M9" s="200"/>
      <c r="N9" s="188"/>
      <c r="O9" s="191"/>
    </row>
    <row r="10" spans="1:15" x14ac:dyDescent="0.35">
      <c r="A10" s="195"/>
      <c r="B10" s="63" t="s">
        <v>24</v>
      </c>
      <c r="C10" s="63" t="s">
        <v>24</v>
      </c>
      <c r="D10" s="46" t="s">
        <v>18</v>
      </c>
      <c r="E10" s="46"/>
      <c r="F10" s="89" t="s">
        <v>19</v>
      </c>
      <c r="G10" s="51">
        <f ca="1">IF($C10="No Param",32,VLOOKUP($C10,INDIRECT(Config!$B$1),HLOOKUP(D$1,INDIRECT(Config!$E$1),2,FALSE),FALSE))</f>
        <v>32</v>
      </c>
      <c r="H10" s="17" t="str">
        <f ca="1">IF(G10=0, "N/A", CONCATENATE("0x",DEC2HEX(HEX2DEC(SUBSTITUTE(H8,"0x",""))+(G8+G9)/8)))</f>
        <v>0x6874</v>
      </c>
      <c r="I10" s="17" t="str">
        <f ca="1">CONCATENATE("0x",DEC2HEX(HEX2DEC(SUBSTITUTE(I9,"0x",""))+G9/8))</f>
        <v>0xF00B0474</v>
      </c>
      <c r="J10" s="17" t="s">
        <v>399</v>
      </c>
      <c r="K10" s="17" t="s">
        <v>399</v>
      </c>
      <c r="L10" s="84" t="str">
        <f ca="1">IF(VLOOKUP("EXT_FUSE_PULL_SUPP", INDIRECT(Config!$B$1),HLOOKUP(D$1,INDIRECT(Config!$E$1),2,FALSE),FALSE)=1, IF(G10&gt;0,CONCATENATE("GENERAL_FW_FUSES_CHECK[",G10-1,":0]"),""), "")</f>
        <v/>
      </c>
      <c r="M10" s="200"/>
      <c r="N10" s="188"/>
      <c r="O10" s="191"/>
    </row>
    <row r="11" spans="1:15" x14ac:dyDescent="0.35">
      <c r="A11" s="195"/>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0xF00B0478</v>
      </c>
      <c r="J11" s="17" t="s">
        <v>399</v>
      </c>
      <c r="K11" s="17" t="s">
        <v>399</v>
      </c>
      <c r="L11" s="84" t="str">
        <f ca="1">IF(VLOOKUP("EXT_FUSE_PULL_SUPP", INDIRECT(Config!$B$1),HLOOKUP(D$1,INDIRECT(Config!$E$1),2,FALSE),FALSE)=1, IF(G11&gt;0,CONCATENATE("FW_Fuses_Valid[",G11-1,":0]"),""), "")</f>
        <v/>
      </c>
      <c r="M11" s="200"/>
      <c r="N11" s="188"/>
      <c r="O11" s="191"/>
    </row>
    <row r="12" spans="1:15" ht="15" thickBot="1" x14ac:dyDescent="0.4">
      <c r="A12" s="20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0xF00B0478</v>
      </c>
      <c r="J12" s="104" t="s">
        <v>399</v>
      </c>
      <c r="K12" s="104" t="s">
        <v>399</v>
      </c>
      <c r="L12" s="120" t="str">
        <f ca="1">IF(VLOOKUP("EXT_FUSE_PULL_SUPP", INDIRECT(Config!$B$1),HLOOKUP(D$1,INDIRECT(Config!$E$1),2,FALSE),FALSE)=1, IF(G12&gt;0,CONCATENATE("HW_OCS_PUF_ECC[",G12-1,":0]"),""), "")</f>
        <v/>
      </c>
      <c r="M12" s="201"/>
      <c r="N12" s="203"/>
      <c r="O12" s="205"/>
    </row>
    <row r="13" spans="1:15" ht="15" customHeight="1" x14ac:dyDescent="0.35">
      <c r="A13" s="194" t="s">
        <v>25</v>
      </c>
      <c r="B13" s="44" t="s">
        <v>26</v>
      </c>
      <c r="C13" s="48" t="s">
        <v>626</v>
      </c>
      <c r="D13" s="184"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31" t="str">
        <f ca="1">IF(VLOOKUP("EXT_FUSE_PULL_SUPP", INDIRECT(Config!$B$1),HLOOKUP(D$1,INDIRECT(Config!$E$1),2,FALSE),FALSE)=1, IF(G13&gt;0,CONCATENATE("CSME_HW_FW_Config_fusess[",G13-1,":0]"), ""), "")</f>
        <v/>
      </c>
      <c r="M13" s="196" t="s">
        <v>381</v>
      </c>
      <c r="N13" s="187" t="s">
        <v>31</v>
      </c>
      <c r="O13" s="190">
        <f ca="1">(4*32+G17+G18+G19+G20+G21+G22)</f>
        <v>160</v>
      </c>
    </row>
    <row r="14" spans="1:15" x14ac:dyDescent="0.35">
      <c r="A14" s="195"/>
      <c r="B14" s="46" t="s">
        <v>32</v>
      </c>
      <c r="C14" s="49" t="s">
        <v>626</v>
      </c>
      <c r="D14" s="185"/>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17" t="str">
        <f ca="1">IF(VLOOKUP("EXT_FUSE_PULL_SUPP", INDIRECT(Config!$B$1),HLOOKUP(D$1,INDIRECT(Config!$E$1),2,FALSE),FALSE)=1, IF(G14&gt;0,CONCATENATE("CSME_HW_FW_Config_fusess[",G14-1+G13,":",G13,"]"), ""), "")</f>
        <v/>
      </c>
      <c r="M14" s="193"/>
      <c r="N14" s="188"/>
      <c r="O14" s="191"/>
    </row>
    <row r="15" spans="1:15" x14ac:dyDescent="0.35">
      <c r="A15" s="195"/>
      <c r="B15" s="46" t="s">
        <v>33</v>
      </c>
      <c r="C15" s="49" t="s">
        <v>626</v>
      </c>
      <c r="D15" s="185"/>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17" t="str">
        <f ca="1">IF(VLOOKUP("EXT_FUSE_PULL_SUPP", INDIRECT(Config!$B$1),HLOOKUP(D$1,INDIRECT(Config!$E$1),2,FALSE),FALSE)=1, IF(G15&gt;0,CONCATENATE("CSME_HW_FW_Config_fusess[",G15-1+G14+G13,":",G14+G13,"]"), ""), "")</f>
        <v/>
      </c>
      <c r="M15" s="193"/>
      <c r="N15" s="188"/>
      <c r="O15" s="191"/>
    </row>
    <row r="16" spans="1:15" x14ac:dyDescent="0.35">
      <c r="A16" s="195"/>
      <c r="B16" s="46" t="s">
        <v>34</v>
      </c>
      <c r="C16" s="49" t="s">
        <v>626</v>
      </c>
      <c r="D16" s="185"/>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17" t="str">
        <f ca="1">IF(VLOOKUP("EXT_FUSE_PULL_SUPP", INDIRECT(Config!$B$1),HLOOKUP(D$1,INDIRECT(Config!$E$1),2,FALSE),FALSE)=1, IF(G16&gt;0,CONCATENATE("CSME_HW_FW_Config_fusess[",G16-1+G15+G14+G13,":",G15+G14+G13,"]"), ""), "")</f>
        <v/>
      </c>
      <c r="M16" s="193"/>
      <c r="N16" s="188"/>
      <c r="O16" s="191"/>
    </row>
    <row r="17" spans="1:15" x14ac:dyDescent="0.35">
      <c r="A17" s="195"/>
      <c r="B17" s="46" t="s">
        <v>36</v>
      </c>
      <c r="C17" s="46" t="s">
        <v>261</v>
      </c>
      <c r="D17" s="185"/>
      <c r="E17" s="149"/>
      <c r="F17" s="89" t="s">
        <v>28</v>
      </c>
      <c r="G17" s="51">
        <f ca="1">IF($C17="No Param",32,VLOOKUP($C17,INDIRECT(Config!$B$1),HLOOKUP(D$1,INDIRECT(Config!$E$1),2,FALSE),FALSE)*32)</f>
        <v>32</v>
      </c>
      <c r="H17" s="17" t="str">
        <f ca="1">IF(G17=0, "N/A", CONCATENATE("0x",DEC2HEX(HEX2DEC(SUBSTITUTE(H16,"0x",""))+G16/8)))</f>
        <v>0x2010</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93"/>
      <c r="N17" s="188"/>
      <c r="O17" s="191"/>
    </row>
    <row r="18" spans="1:15" x14ac:dyDescent="0.35">
      <c r="A18" s="195"/>
      <c r="B18" s="46" t="s">
        <v>38</v>
      </c>
      <c r="C18" s="95" t="s">
        <v>221</v>
      </c>
      <c r="D18" s="185"/>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93"/>
      <c r="N18" s="188"/>
      <c r="O18" s="191"/>
    </row>
    <row r="19" spans="1:15" x14ac:dyDescent="0.35">
      <c r="A19" s="195"/>
      <c r="B19" s="95" t="s">
        <v>254</v>
      </c>
      <c r="C19" s="95" t="s">
        <v>209</v>
      </c>
      <c r="D19" s="185"/>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93"/>
      <c r="N19" s="188"/>
      <c r="O19" s="191"/>
    </row>
    <row r="20" spans="1:15" x14ac:dyDescent="0.35">
      <c r="A20" s="195"/>
      <c r="B20" s="95" t="s">
        <v>258</v>
      </c>
      <c r="C20" s="95" t="s">
        <v>402</v>
      </c>
      <c r="D20" s="185"/>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93"/>
      <c r="N20" s="188"/>
      <c r="O20" s="191"/>
    </row>
    <row r="21" spans="1:15" x14ac:dyDescent="0.35">
      <c r="A21" s="195"/>
      <c r="B21" s="95" t="s">
        <v>259</v>
      </c>
      <c r="C21" s="95" t="s">
        <v>402</v>
      </c>
      <c r="D21" s="185"/>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93"/>
      <c r="N21" s="188"/>
      <c r="O21" s="191"/>
    </row>
    <row r="22" spans="1:15" x14ac:dyDescent="0.35">
      <c r="A22" s="195"/>
      <c r="B22" s="95" t="s">
        <v>260</v>
      </c>
      <c r="C22" s="95" t="s">
        <v>402</v>
      </c>
      <c r="D22" s="185"/>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93"/>
      <c r="N22" s="188"/>
      <c r="O22" s="191"/>
    </row>
    <row r="23" spans="1:15" x14ac:dyDescent="0.35">
      <c r="A23" s="195"/>
      <c r="B23" s="46" t="s">
        <v>40</v>
      </c>
      <c r="C23" s="49" t="s">
        <v>626</v>
      </c>
      <c r="D23" s="185"/>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 t="str">
        <f ca="1">IF(VLOOKUP("EXT_FUSE_PULL_SUPP", INDIRECT(Config!$B$1),HLOOKUP(D$1,INDIRECT(Config!$E$1),2,FALSE),FALSE)=1, IF(G23&gt;0,CONCATENATE("CSME_HW_FW_INT_CHK[",G23-1,":0]"),""), "")</f>
        <v/>
      </c>
      <c r="M23" s="193"/>
      <c r="N23" s="188"/>
      <c r="O23" s="191"/>
    </row>
    <row r="24" spans="1:15" x14ac:dyDescent="0.35">
      <c r="A24" s="194" t="s">
        <v>43</v>
      </c>
      <c r="B24" s="46" t="s">
        <v>44</v>
      </c>
      <c r="C24" s="46" t="s">
        <v>627</v>
      </c>
      <c r="D24" s="185" t="s">
        <v>45</v>
      </c>
      <c r="E24" s="149"/>
      <c r="F24" s="89" t="s">
        <v>46</v>
      </c>
      <c r="G24" s="51">
        <f ca="1">IF($C24="No Param",32,VLOOKUP($C24,INDIRECT(Config!$B$1),HLOOKUP(D$1,INDIRECT(Config!$E$1),2,FALSE),FALSE)*32)</f>
        <v>32</v>
      </c>
      <c r="H24" s="17" t="str">
        <f ca="1">IF(G24=0,"N/A","0x8000")</f>
        <v>0x8000</v>
      </c>
      <c r="I24" s="17" t="s">
        <v>47</v>
      </c>
      <c r="J24" s="17" t="s">
        <v>399</v>
      </c>
      <c r="K24" s="17" t="s">
        <v>399</v>
      </c>
      <c r="L24" s="17"/>
      <c r="M24" s="193" t="s">
        <v>382</v>
      </c>
      <c r="N24" s="188"/>
      <c r="O24" s="191">
        <f ca="1">(G24+G25)</f>
        <v>64</v>
      </c>
    </row>
    <row r="25" spans="1:15" ht="15" thickBot="1" x14ac:dyDescent="0.4">
      <c r="A25" s="197"/>
      <c r="B25" s="96" t="s">
        <v>48</v>
      </c>
      <c r="C25" s="96" t="s">
        <v>628</v>
      </c>
      <c r="D25" s="186"/>
      <c r="E25" s="150"/>
      <c r="F25" s="98" t="s">
        <v>46</v>
      </c>
      <c r="G25" s="97">
        <f ca="1">IF($C25="No Param",32,VLOOKUP($C25,INDIRECT(Config!$B$1),HLOOKUP(D$1,INDIRECT(Config!$E$1),2,FALSE),FALSE)*32)</f>
        <v>32</v>
      </c>
      <c r="H25" s="33" t="str">
        <f ca="1">IF(G25=0,"N/A","0x8004")</f>
        <v>0x8004</v>
      </c>
      <c r="I25" s="33" t="s">
        <v>49</v>
      </c>
      <c r="J25" s="33" t="s">
        <v>399</v>
      </c>
      <c r="K25" s="33" t="s">
        <v>399</v>
      </c>
      <c r="L25" s="33"/>
      <c r="M25" s="189"/>
      <c r="N25" s="189"/>
      <c r="O25" s="192"/>
    </row>
    <row r="26" spans="1:15" ht="15" thickBot="1" x14ac:dyDescent="0.4">
      <c r="A26" s="151"/>
    </row>
    <row r="27" spans="1:15" x14ac:dyDescent="0.35">
      <c r="A27" s="184" t="s">
        <v>51</v>
      </c>
      <c r="B27" s="105" t="s">
        <v>631</v>
      </c>
      <c r="C27" s="105" t="s">
        <v>631</v>
      </c>
      <c r="D27" s="105"/>
      <c r="E27" s="134"/>
      <c r="F27" s="115" t="s">
        <v>52</v>
      </c>
      <c r="G27" s="116">
        <f ca="1">IF($C27="No Param",32,VLOOKUP($C27,INDIRECT(Config!$B$1),HLOOKUP(D$1,INDIRECT(Config!$E$1),2,FALSE),FALSE))</f>
        <v>512</v>
      </c>
      <c r="H27" s="107" t="s">
        <v>53</v>
      </c>
      <c r="I27" s="139" t="s">
        <v>637</v>
      </c>
      <c r="J27" s="139" t="s">
        <v>399</v>
      </c>
      <c r="K27" s="139" t="s">
        <v>399</v>
      </c>
      <c r="L27" s="139"/>
      <c r="M27" s="140" t="s">
        <v>50</v>
      </c>
      <c r="N27" s="187" t="s">
        <v>50</v>
      </c>
      <c r="O27" s="190">
        <f ca="1">SUM(G27:G41)</f>
        <v>576</v>
      </c>
    </row>
    <row r="28" spans="1:15" ht="15" customHeight="1" x14ac:dyDescent="0.35">
      <c r="A28" s="185"/>
      <c r="B28" s="46" t="s">
        <v>54</v>
      </c>
      <c r="C28" s="46" t="s">
        <v>261</v>
      </c>
      <c r="D28" s="46" t="s">
        <v>18</v>
      </c>
      <c r="E28" s="40"/>
      <c r="F28" s="32" t="s">
        <v>52</v>
      </c>
      <c r="G28" s="51">
        <f ca="1">VLOOKUP("TRC_PRESENT", INDIRECT(Config!$B$1), HLOOKUP(D$1, INDIRECT(Config!$E$1), 2, FALSE),FALSE)*32</f>
        <v>32</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93" t="s">
        <v>381</v>
      </c>
      <c r="N28" s="188"/>
      <c r="O28" s="191"/>
    </row>
    <row r="29" spans="1:15" x14ac:dyDescent="0.35">
      <c r="A29" s="185"/>
      <c r="B29" s="46" t="s">
        <v>56</v>
      </c>
      <c r="C29" s="46" t="s">
        <v>261</v>
      </c>
      <c r="D29" s="46" t="s">
        <v>18</v>
      </c>
      <c r="E29" s="40"/>
      <c r="F29" s="32" t="s">
        <v>52</v>
      </c>
      <c r="G29" s="51">
        <f ca="1">VLOOKUP("TRC_PRESENT", INDIRECT(Config!$B$1), HLOOKUP(D$1, INDIRECT(Config!$E$1), 2, FALSE),FALSE)*32</f>
        <v>32</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93"/>
      <c r="N29" s="188"/>
      <c r="O29" s="191"/>
    </row>
    <row r="30" spans="1:15" x14ac:dyDescent="0.35">
      <c r="A30" s="185"/>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93"/>
      <c r="N30" s="188"/>
      <c r="O30" s="191"/>
    </row>
    <row r="31" spans="1:15" x14ac:dyDescent="0.35">
      <c r="A31" s="185"/>
      <c r="B31" s="109" t="s">
        <v>630</v>
      </c>
      <c r="C31" s="109" t="s">
        <v>683</v>
      </c>
      <c r="D31" s="133"/>
      <c r="E31" s="135" t="str">
        <f>CONCATENATE("This is a region for ",$D$1," FW IFPs")</f>
        <v>This is a region for MTL-SOC-M ESE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88"/>
      <c r="O31" s="191"/>
    </row>
    <row r="32" spans="1:15" x14ac:dyDescent="0.35">
      <c r="A32" s="185"/>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88"/>
      <c r="O32" s="191"/>
    </row>
    <row r="33" spans="1:15" ht="15" customHeight="1" x14ac:dyDescent="0.35">
      <c r="A33" s="185"/>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93" t="s">
        <v>381</v>
      </c>
      <c r="N33" s="188"/>
      <c r="O33" s="191"/>
    </row>
    <row r="34" spans="1:15" x14ac:dyDescent="0.35">
      <c r="A34" s="185"/>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93"/>
      <c r="N34" s="188"/>
      <c r="O34" s="191"/>
    </row>
    <row r="35" spans="1:15" x14ac:dyDescent="0.35">
      <c r="A35" s="185"/>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93"/>
      <c r="N35" s="188"/>
      <c r="O35" s="191"/>
    </row>
    <row r="36" spans="1:15" x14ac:dyDescent="0.35">
      <c r="A36" s="185"/>
      <c r="B36" s="109" t="s">
        <v>633</v>
      </c>
      <c r="C36" s="109" t="s">
        <v>683</v>
      </c>
      <c r="D36" s="133"/>
      <c r="E36" s="135" t="str">
        <f>IF($D$1="MTL-SOC-M CSME", "This is a region for MTL-SOC-M GSC FW IFPs", CONCATENATE("This is a region for ",$D$1," FW IFPs"))</f>
        <v>This is a region for MTL-SOC-M ESE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88"/>
      <c r="O36" s="191"/>
    </row>
    <row r="37" spans="1:15" x14ac:dyDescent="0.35">
      <c r="A37" s="185"/>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88"/>
      <c r="O37" s="191"/>
    </row>
    <row r="38" spans="1:15" ht="15" customHeight="1" x14ac:dyDescent="0.35">
      <c r="A38" s="185"/>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93" t="s">
        <v>381</v>
      </c>
      <c r="N38" s="188"/>
      <c r="O38" s="191"/>
    </row>
    <row r="39" spans="1:15" x14ac:dyDescent="0.35">
      <c r="A39" s="185"/>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93"/>
      <c r="N39" s="188"/>
      <c r="O39" s="191"/>
    </row>
    <row r="40" spans="1:15" x14ac:dyDescent="0.35">
      <c r="A40" s="185"/>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93"/>
      <c r="N40" s="188"/>
      <c r="O40" s="191"/>
    </row>
    <row r="41" spans="1:15" ht="15" thickBot="1" x14ac:dyDescent="0.4">
      <c r="A41" s="186"/>
      <c r="B41" s="112" t="s">
        <v>635</v>
      </c>
      <c r="C41" s="112" t="s">
        <v>683</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89"/>
      <c r="O41" s="192"/>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253" priority="89" operator="equal">
      <formula>0</formula>
    </cfRule>
  </conditionalFormatting>
  <conditionalFormatting sqref="J27">
    <cfRule type="cellIs" dxfId="252" priority="105" operator="equal">
      <formula>0</formula>
    </cfRule>
  </conditionalFormatting>
  <conditionalFormatting sqref="C3">
    <cfRule type="cellIs" dxfId="251" priority="91" operator="equal">
      <formula>0</formula>
    </cfRule>
  </conditionalFormatting>
  <conditionalFormatting sqref="C4">
    <cfRule type="cellIs" dxfId="250" priority="90" operator="equal">
      <formula>0</formula>
    </cfRule>
  </conditionalFormatting>
  <conditionalFormatting sqref="B3 J4 J12 D3:J3 G4:G25">
    <cfRule type="cellIs" dxfId="249" priority="102" operator="equal">
      <formula>0</formula>
    </cfRule>
  </conditionalFormatting>
  <conditionalFormatting sqref="B4 H4:I4 D4:F4">
    <cfRule type="cellIs" dxfId="248" priority="101" operator="equal">
      <formula>0</formula>
    </cfRule>
  </conditionalFormatting>
  <conditionalFormatting sqref="B5 I5 D5:F5">
    <cfRule type="cellIs" dxfId="247" priority="100" operator="equal">
      <formula>0</formula>
    </cfRule>
  </conditionalFormatting>
  <conditionalFormatting sqref="B7 I7 F7">
    <cfRule type="cellIs" dxfId="246" priority="99" operator="equal">
      <formula>0</formula>
    </cfRule>
  </conditionalFormatting>
  <conditionalFormatting sqref="B8 H8:I8 D8:F8">
    <cfRule type="cellIs" priority="98" operator="equal">
      <formula>0</formula>
    </cfRule>
  </conditionalFormatting>
  <conditionalFormatting sqref="B9 H9:I9 D9:F9">
    <cfRule type="cellIs" dxfId="245" priority="97" operator="equal">
      <formula>0</formula>
    </cfRule>
  </conditionalFormatting>
  <conditionalFormatting sqref="B10 I10 D10:F10">
    <cfRule type="cellIs" dxfId="244" priority="95" operator="equal">
      <formula>0</formula>
    </cfRule>
    <cfRule type="cellIs" dxfId="243" priority="96" operator="equal">
      <formula>0</formula>
    </cfRule>
  </conditionalFormatting>
  <conditionalFormatting sqref="K12 K3:L4">
    <cfRule type="cellIs" dxfId="242" priority="94" operator="equal">
      <formula>0</formula>
    </cfRule>
  </conditionalFormatting>
  <conditionalFormatting sqref="B6 I6 D6:F6">
    <cfRule type="cellIs" dxfId="241" priority="93" operator="equal">
      <formula>0</formula>
    </cfRule>
  </conditionalFormatting>
  <conditionalFormatting sqref="D7:E7">
    <cfRule type="cellIs" dxfId="240" priority="92" operator="equal">
      <formula>0</formula>
    </cfRule>
  </conditionalFormatting>
  <conditionalFormatting sqref="C7">
    <cfRule type="cellIs" dxfId="239" priority="88" operator="equal">
      <formula>0</formula>
    </cfRule>
  </conditionalFormatting>
  <conditionalFormatting sqref="C8">
    <cfRule type="cellIs" priority="87" operator="equal">
      <formula>0</formula>
    </cfRule>
  </conditionalFormatting>
  <conditionalFormatting sqref="C9">
    <cfRule type="cellIs" dxfId="238" priority="86" operator="equal">
      <formula>0</formula>
    </cfRule>
  </conditionalFormatting>
  <conditionalFormatting sqref="C10">
    <cfRule type="cellIs" dxfId="237" priority="84" operator="equal">
      <formula>0</formula>
    </cfRule>
    <cfRule type="cellIs" dxfId="236" priority="85" operator="equal">
      <formula>0</formula>
    </cfRule>
  </conditionalFormatting>
  <conditionalFormatting sqref="C6">
    <cfRule type="cellIs" dxfId="235" priority="83" operator="equal">
      <formula>0</formula>
    </cfRule>
  </conditionalFormatting>
  <conditionalFormatting sqref="J5">
    <cfRule type="cellIs" dxfId="234" priority="71" operator="equal">
      <formula>0</formula>
    </cfRule>
  </conditionalFormatting>
  <conditionalFormatting sqref="K5">
    <cfRule type="cellIs" dxfId="233" priority="70" operator="equal">
      <formula>0</formula>
    </cfRule>
  </conditionalFormatting>
  <conditionalFormatting sqref="J6">
    <cfRule type="cellIs" dxfId="232" priority="69" operator="equal">
      <formula>0</formula>
    </cfRule>
  </conditionalFormatting>
  <conditionalFormatting sqref="K6">
    <cfRule type="cellIs" dxfId="231" priority="68" operator="equal">
      <formula>0</formula>
    </cfRule>
  </conditionalFormatting>
  <conditionalFormatting sqref="J9">
    <cfRule type="cellIs" dxfId="230" priority="67" operator="equal">
      <formula>0</formula>
    </cfRule>
  </conditionalFormatting>
  <conditionalFormatting sqref="K9">
    <cfRule type="cellIs" dxfId="229" priority="66" operator="equal">
      <formula>0</formula>
    </cfRule>
  </conditionalFormatting>
  <conditionalFormatting sqref="J10">
    <cfRule type="cellIs" dxfId="228" priority="65" operator="equal">
      <formula>0</formula>
    </cfRule>
  </conditionalFormatting>
  <conditionalFormatting sqref="K10">
    <cfRule type="cellIs" dxfId="227" priority="64" operator="equal">
      <formula>0</formula>
    </cfRule>
  </conditionalFormatting>
  <conditionalFormatting sqref="J11">
    <cfRule type="cellIs" dxfId="226" priority="63" operator="equal">
      <formula>0</formula>
    </cfRule>
  </conditionalFormatting>
  <conditionalFormatting sqref="K11">
    <cfRule type="cellIs" dxfId="225" priority="62" operator="equal">
      <formula>0</formula>
    </cfRule>
  </conditionalFormatting>
  <conditionalFormatting sqref="J7">
    <cfRule type="cellIs" dxfId="224" priority="61" operator="equal">
      <formula>0</formula>
    </cfRule>
  </conditionalFormatting>
  <conditionalFormatting sqref="K7">
    <cfRule type="cellIs" dxfId="223" priority="60" operator="equal">
      <formula>0</formula>
    </cfRule>
  </conditionalFormatting>
  <conditionalFormatting sqref="J8">
    <cfRule type="cellIs" dxfId="222" priority="59" operator="equal">
      <formula>0</formula>
    </cfRule>
  </conditionalFormatting>
  <conditionalFormatting sqref="K8">
    <cfRule type="cellIs" dxfId="221" priority="58" operator="equal">
      <formula>0</formula>
    </cfRule>
  </conditionalFormatting>
  <conditionalFormatting sqref="H5">
    <cfRule type="cellIs" dxfId="220" priority="57" operator="equal">
      <formula>0</formula>
    </cfRule>
  </conditionalFormatting>
  <conditionalFormatting sqref="H6">
    <cfRule type="cellIs" dxfId="219" priority="56" operator="equal">
      <formula>0</formula>
    </cfRule>
  </conditionalFormatting>
  <conditionalFormatting sqref="H7">
    <cfRule type="cellIs" dxfId="218" priority="55" operator="equal">
      <formula>0</formula>
    </cfRule>
  </conditionalFormatting>
  <conditionalFormatting sqref="H12">
    <cfRule type="cellIs" dxfId="217" priority="52" operator="equal">
      <formula>0</formula>
    </cfRule>
  </conditionalFormatting>
  <conditionalFormatting sqref="H10">
    <cfRule type="cellIs" dxfId="216" priority="54" operator="equal">
      <formula>0</formula>
    </cfRule>
  </conditionalFormatting>
  <conditionalFormatting sqref="H11">
    <cfRule type="cellIs" dxfId="215" priority="53" operator="equal">
      <formula>0</formula>
    </cfRule>
  </conditionalFormatting>
  <conditionalFormatting sqref="L5">
    <cfRule type="cellIs" dxfId="214" priority="51" operator="equal">
      <formula>0</formula>
    </cfRule>
  </conditionalFormatting>
  <conditionalFormatting sqref="L6">
    <cfRule type="cellIs" dxfId="213" priority="50" operator="equal">
      <formula>0</formula>
    </cfRule>
  </conditionalFormatting>
  <conditionalFormatting sqref="L7">
    <cfRule type="cellIs" dxfId="212" priority="49" operator="equal">
      <formula>0</formula>
    </cfRule>
  </conditionalFormatting>
  <conditionalFormatting sqref="L8:L9">
    <cfRule type="cellIs" dxfId="211" priority="48" operator="equal">
      <formula>0</formula>
    </cfRule>
  </conditionalFormatting>
  <conditionalFormatting sqref="L10">
    <cfRule type="cellIs" dxfId="210" priority="47" operator="equal">
      <formula>0</formula>
    </cfRule>
  </conditionalFormatting>
  <conditionalFormatting sqref="L11">
    <cfRule type="cellIs" dxfId="209" priority="46" operator="equal">
      <formula>0</formula>
    </cfRule>
  </conditionalFormatting>
  <conditionalFormatting sqref="L12">
    <cfRule type="cellIs" dxfId="208" priority="45" operator="equal">
      <formula>0</formula>
    </cfRule>
  </conditionalFormatting>
  <conditionalFormatting sqref="L31">
    <cfRule type="cellIs" dxfId="207" priority="44" operator="equal">
      <formula>0</formula>
    </cfRule>
  </conditionalFormatting>
  <conditionalFormatting sqref="L30">
    <cfRule type="cellIs" dxfId="206" priority="43" operator="equal">
      <formula>0</formula>
    </cfRule>
  </conditionalFormatting>
  <conditionalFormatting sqref="L29">
    <cfRule type="cellIs" dxfId="205" priority="42" operator="equal">
      <formula>0</formula>
    </cfRule>
  </conditionalFormatting>
  <conditionalFormatting sqref="L28">
    <cfRule type="cellIs" dxfId="204" priority="41" operator="equal">
      <formula>0</formula>
    </cfRule>
  </conditionalFormatting>
  <conditionalFormatting sqref="L36">
    <cfRule type="cellIs" dxfId="203" priority="40" operator="equal">
      <formula>0</formula>
    </cfRule>
  </conditionalFormatting>
  <conditionalFormatting sqref="L35">
    <cfRule type="cellIs" dxfId="202" priority="39" operator="equal">
      <formula>0</formula>
    </cfRule>
  </conditionalFormatting>
  <conditionalFormatting sqref="L34">
    <cfRule type="cellIs" dxfId="201" priority="38" operator="equal">
      <formula>0</formula>
    </cfRule>
  </conditionalFormatting>
  <conditionalFormatting sqref="L33">
    <cfRule type="cellIs" dxfId="200" priority="37" operator="equal">
      <formula>0</formula>
    </cfRule>
  </conditionalFormatting>
  <conditionalFormatting sqref="L41">
    <cfRule type="cellIs" dxfId="199" priority="36" operator="equal">
      <formula>0</formula>
    </cfRule>
  </conditionalFormatting>
  <conditionalFormatting sqref="L40">
    <cfRule type="cellIs" dxfId="198" priority="35" operator="equal">
      <formula>0</formula>
    </cfRule>
  </conditionalFormatting>
  <conditionalFormatting sqref="L39">
    <cfRule type="cellIs" dxfId="197" priority="34" operator="equal">
      <formula>0</formula>
    </cfRule>
  </conditionalFormatting>
  <conditionalFormatting sqref="L38">
    <cfRule type="cellIs" dxfId="196" priority="33" operator="equal">
      <formula>0</formula>
    </cfRule>
  </conditionalFormatting>
  <conditionalFormatting sqref="L13">
    <cfRule type="cellIs" dxfId="195" priority="32" operator="equal">
      <formula>0</formula>
    </cfRule>
  </conditionalFormatting>
  <conditionalFormatting sqref="L14">
    <cfRule type="cellIs" dxfId="194" priority="31" operator="equal">
      <formula>0</formula>
    </cfRule>
  </conditionalFormatting>
  <conditionalFormatting sqref="L15">
    <cfRule type="cellIs" dxfId="193" priority="30" operator="equal">
      <formula>0</formula>
    </cfRule>
  </conditionalFormatting>
  <conditionalFormatting sqref="L16">
    <cfRule type="cellIs" dxfId="192" priority="29" operator="equal">
      <formula>0</formula>
    </cfRule>
  </conditionalFormatting>
  <conditionalFormatting sqref="L17">
    <cfRule type="cellIs" dxfId="191" priority="28" operator="equal">
      <formula>0</formula>
    </cfRule>
  </conditionalFormatting>
  <conditionalFormatting sqref="L18">
    <cfRule type="cellIs" dxfId="190" priority="27" operator="equal">
      <formula>0</formula>
    </cfRule>
  </conditionalFormatting>
  <conditionalFormatting sqref="L19">
    <cfRule type="cellIs" dxfId="189" priority="26" operator="equal">
      <formula>0</formula>
    </cfRule>
  </conditionalFormatting>
  <conditionalFormatting sqref="L20">
    <cfRule type="cellIs" dxfId="188" priority="25" operator="equal">
      <formula>0</formula>
    </cfRule>
  </conditionalFormatting>
  <conditionalFormatting sqref="L21">
    <cfRule type="cellIs" dxfId="187" priority="24" operator="equal">
      <formula>0</formula>
    </cfRule>
  </conditionalFormatting>
  <conditionalFormatting sqref="L22">
    <cfRule type="cellIs" dxfId="186" priority="23" operator="equal">
      <formula>0</formula>
    </cfRule>
  </conditionalFormatting>
  <conditionalFormatting sqref="L23">
    <cfRule type="cellIs" dxfId="185" priority="22" operator="equal">
      <formula>0</formula>
    </cfRule>
  </conditionalFormatting>
  <conditionalFormatting sqref="J24">
    <cfRule type="cellIs" dxfId="184" priority="21" operator="equal">
      <formula>0</formula>
    </cfRule>
  </conditionalFormatting>
  <conditionalFormatting sqref="K24">
    <cfRule type="cellIs" dxfId="183" priority="20" operator="equal">
      <formula>0</formula>
    </cfRule>
  </conditionalFormatting>
  <conditionalFormatting sqref="J25">
    <cfRule type="cellIs" dxfId="182" priority="19" operator="equal">
      <formula>0</formula>
    </cfRule>
  </conditionalFormatting>
  <conditionalFormatting sqref="K25">
    <cfRule type="cellIs" dxfId="181" priority="18" operator="equal">
      <formula>0</formula>
    </cfRule>
  </conditionalFormatting>
  <conditionalFormatting sqref="G33">
    <cfRule type="cellIs" dxfId="180" priority="15" operator="equal">
      <formula>0</formula>
    </cfRule>
  </conditionalFormatting>
  <conditionalFormatting sqref="G35">
    <cfRule type="cellIs" dxfId="179" priority="14" operator="equal">
      <formula>0</formula>
    </cfRule>
  </conditionalFormatting>
  <conditionalFormatting sqref="G28">
    <cfRule type="cellIs" dxfId="178" priority="8" operator="equal">
      <formula>0</formula>
    </cfRule>
  </conditionalFormatting>
  <conditionalFormatting sqref="G31">
    <cfRule type="cellIs" dxfId="177" priority="12" operator="equal">
      <formula>0</formula>
    </cfRule>
  </conditionalFormatting>
  <conditionalFormatting sqref="G32">
    <cfRule type="cellIs" dxfId="176" priority="11" operator="equal">
      <formula>0</formula>
    </cfRule>
  </conditionalFormatting>
  <conditionalFormatting sqref="G27">
    <cfRule type="cellIs" dxfId="175" priority="13" operator="equal">
      <formula>0</formula>
    </cfRule>
  </conditionalFormatting>
  <conditionalFormatting sqref="G37">
    <cfRule type="cellIs" dxfId="174" priority="10" operator="equal">
      <formula>0</formula>
    </cfRule>
  </conditionalFormatting>
  <conditionalFormatting sqref="G34">
    <cfRule type="cellIs" dxfId="173" priority="9" operator="equal">
      <formula>0</formula>
    </cfRule>
  </conditionalFormatting>
  <conditionalFormatting sqref="G30">
    <cfRule type="cellIs" dxfId="172" priority="7" operator="equal">
      <formula>0</formula>
    </cfRule>
  </conditionalFormatting>
  <conditionalFormatting sqref="G29">
    <cfRule type="cellIs" dxfId="171" priority="6" operator="equal">
      <formula>0</formula>
    </cfRule>
  </conditionalFormatting>
  <conditionalFormatting sqref="G38">
    <cfRule type="cellIs" dxfId="170" priority="5" operator="equal">
      <formula>0</formula>
    </cfRule>
  </conditionalFormatting>
  <conditionalFormatting sqref="G40">
    <cfRule type="cellIs" dxfId="169" priority="4" operator="equal">
      <formula>0</formula>
    </cfRule>
  </conditionalFormatting>
  <conditionalFormatting sqref="G39">
    <cfRule type="cellIs" dxfId="168" priority="3" operator="equal">
      <formula>0</formula>
    </cfRule>
  </conditionalFormatting>
  <conditionalFormatting sqref="G36">
    <cfRule type="cellIs" dxfId="167" priority="2" operator="equal">
      <formula>0</formula>
    </cfRule>
  </conditionalFormatting>
  <conditionalFormatting sqref="G41">
    <cfRule type="cellIs" dxfId="166"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01002C27-04D3-49C9-A4C5-C43EBB72CA66}">
          <x14:formula1>
            <xm:f>Config!$B$3:$O$3</xm:f>
          </x14:formula1>
          <xm:sqref>D1:E1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BCE2D-9DC3-4D4A-8620-4E142172877F}">
  <sheetPr codeName="Sheet19"/>
  <dimension ref="A1:O45"/>
  <sheetViews>
    <sheetView zoomScaleNormal="100" workbookViewId="0">
      <selection activeCell="A13" sqref="A13:A23"/>
    </sheetView>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19.1796875" style="16" customWidth="1"/>
    <col min="6" max="6" width="9.54296875" style="16" bestFit="1" customWidth="1"/>
    <col min="7" max="7" width="11.54296875" style="16" bestFit="1" customWidth="1"/>
    <col min="8" max="8" width="13.54296875" style="16" customWidth="1"/>
    <col min="9" max="11" width="11.36328125" style="16" customWidth="1"/>
    <col min="12" max="12" width="41.08984375" style="16" bestFit="1" customWidth="1"/>
    <col min="13" max="13" width="31.6328125" style="16" bestFit="1" customWidth="1"/>
    <col min="14" max="14" width="11.36328125" style="16" bestFit="1" customWidth="1"/>
    <col min="15" max="15" width="5.08984375" style="16" bestFit="1" customWidth="1"/>
    <col min="16" max="16384" width="9.08984375" style="16"/>
  </cols>
  <sheetData>
    <row r="1" spans="1:15" ht="24" thickBot="1" x14ac:dyDescent="0.6">
      <c r="B1" s="29" t="s">
        <v>412</v>
      </c>
      <c r="C1" s="29"/>
      <c r="D1" s="30" t="s">
        <v>624</v>
      </c>
      <c r="E1" s="30"/>
    </row>
    <row r="2" spans="1:15" ht="15" customHeight="1" thickBot="1" x14ac:dyDescent="0.4">
      <c r="A2" s="37" t="s">
        <v>0</v>
      </c>
      <c r="B2" s="43" t="s">
        <v>1</v>
      </c>
      <c r="C2" s="43" t="s">
        <v>383</v>
      </c>
      <c r="D2" s="43" t="s">
        <v>2</v>
      </c>
      <c r="E2" s="38" t="s">
        <v>436</v>
      </c>
      <c r="F2" s="86" t="s">
        <v>3</v>
      </c>
      <c r="G2" s="87" t="s">
        <v>4</v>
      </c>
      <c r="H2" s="87" t="s">
        <v>5</v>
      </c>
      <c r="I2" s="87" t="s">
        <v>6</v>
      </c>
      <c r="J2" s="87" t="s">
        <v>397</v>
      </c>
      <c r="K2" s="87" t="s">
        <v>398</v>
      </c>
      <c r="L2" s="87" t="s">
        <v>638</v>
      </c>
      <c r="M2" s="87" t="s">
        <v>7</v>
      </c>
      <c r="N2" s="87" t="s">
        <v>8</v>
      </c>
      <c r="O2" s="121" t="s">
        <v>640</v>
      </c>
    </row>
    <row r="3" spans="1:15" ht="15" customHeight="1" x14ac:dyDescent="0.35">
      <c r="A3" s="198" t="s">
        <v>852</v>
      </c>
      <c r="B3" s="58" t="s">
        <v>407</v>
      </c>
      <c r="C3" s="58" t="s">
        <v>407</v>
      </c>
      <c r="D3" s="58" t="s">
        <v>10</v>
      </c>
      <c r="E3" s="44"/>
      <c r="F3" s="138" t="s">
        <v>11</v>
      </c>
      <c r="G3" s="80">
        <f ca="1">IF($C3="No Param",32,VLOOKUP($C3,INDIRECT(Config!$B$1),HLOOKUP(D$1,INDIRECT(Config!$E$1),2,FALSE),FALSE))</f>
        <v>512</v>
      </c>
      <c r="H3" s="31" t="s">
        <v>12</v>
      </c>
      <c r="I3" s="31" t="s">
        <v>13</v>
      </c>
      <c r="J3" s="31" t="s">
        <v>399</v>
      </c>
      <c r="K3" s="31" t="s">
        <v>399</v>
      </c>
      <c r="L3" s="31" t="str">
        <f ca="1">IF(VLOOKUP("EXT_FUSE_PULL_SUPP", INDIRECT(Config!$B$1),HLOOKUP(D$1,INDIRECT(Config!$E$1),2,FALSE),FALSE)=1, IF(G3&gt;0,CONCATENATE("CSME_Security_keys[",G3-1,":0]"), ""), "")</f>
        <v>CSME_Security_keys[511:0]</v>
      </c>
      <c r="M3" s="196" t="s">
        <v>379</v>
      </c>
      <c r="N3" s="187" t="s">
        <v>14</v>
      </c>
      <c r="O3" s="190">
        <f ca="1">($G3+$G4+$G5+$G6+$G7)</f>
        <v>801</v>
      </c>
    </row>
    <row r="4" spans="1:15" ht="15" customHeight="1" x14ac:dyDescent="0.35">
      <c r="A4" s="198"/>
      <c r="B4" s="46" t="s">
        <v>408</v>
      </c>
      <c r="C4" s="46" t="s">
        <v>408</v>
      </c>
      <c r="D4" s="46" t="s">
        <v>10</v>
      </c>
      <c r="E4" s="46"/>
      <c r="F4" s="89" t="s">
        <v>11</v>
      </c>
      <c r="G4" s="51">
        <f ca="1">IF($C4="No Param",32,VLOOKUP($C4,INDIRECT(Config!$B$1),HLOOKUP(D$1,INDIRECT(Config!$E$1),2,FALSE),FALSE))</f>
        <v>32</v>
      </c>
      <c r="H4" s="17" t="str">
        <f ca="1">IF(G4=0, "N/A", CONCATENATE("0x",DEC2HEX(HEX2DEC(SUBSTITUTE(H3,"0x",""))+G3/8)))</f>
        <v>0x6040</v>
      </c>
      <c r="I4" s="17" t="str">
        <f ca="1">CONCATENATE("0x",DEC2HEX(HEX2DEC(SUBSTITUTE(I3,"0x",""))+G3/8))</f>
        <v>0xF00B0040</v>
      </c>
      <c r="J4" s="17" t="s">
        <v>399</v>
      </c>
      <c r="K4" s="17" t="s">
        <v>399</v>
      </c>
      <c r="L4" s="84" t="str">
        <f ca="1">IF(VLOOKUP("EXT_FUSE_PULL_SUPP", INDIRECT(Config!$B$1),HLOOKUP(D$1,INDIRECT(Config!$E$1),2,FALSE),FALSE)=1, IF(G4&gt;0,CONCATENATE("CSME_Security_Keys_Fuse_Check_Hash[",G4-1,":0]"), ""), "")</f>
        <v>CSME_Security_Keys_Fuse_Check_Hash[31:0]</v>
      </c>
      <c r="M4" s="188"/>
      <c r="N4" s="188"/>
      <c r="O4" s="191"/>
    </row>
    <row r="5" spans="1:15" ht="15" customHeight="1" x14ac:dyDescent="0.35">
      <c r="A5" s="198"/>
      <c r="B5" s="46" t="s">
        <v>409</v>
      </c>
      <c r="C5" s="46" t="s">
        <v>409</v>
      </c>
      <c r="D5" s="46" t="s">
        <v>15</v>
      </c>
      <c r="E5" s="46"/>
      <c r="F5" s="89" t="s">
        <v>11</v>
      </c>
      <c r="G5" s="51">
        <f ca="1">IF($C5="No Param",32,VLOOKUP($C5,INDIRECT(Config!$B$1),HLOOKUP(D$1,INDIRECT(Config!$E$1),2,FALSE),FALSE))</f>
        <v>256</v>
      </c>
      <c r="H5" s="17" t="str">
        <f ca="1">IF(G5=0, "N/A", CONCATENATE("0x",DEC2HEX(HEX2DEC(SUBSTITUTE(H3,"0x",""))+(G3+G4)/8)))</f>
        <v>0x6044</v>
      </c>
      <c r="I5" s="17" t="str">
        <f ca="1">CONCATENATE("0x",DEC2HEX(HEX2DEC(SUBSTITUTE(I4,"0x",""))+G4/8))</f>
        <v>0xF00B0044</v>
      </c>
      <c r="J5" s="17" t="s">
        <v>399</v>
      </c>
      <c r="K5" s="17" t="s">
        <v>399</v>
      </c>
      <c r="L5" s="84" t="str">
        <f ca="1">IF(VLOOKUP("EXT_FUSE_PULL_SUPP", INDIRECT(Config!$B$1),HLOOKUP(D$1,INDIRECT(Config!$E$1),2,FALSE),FALSE)=1, IF(G5&gt;0,CONCATENATE("CSME_Debug_Enabled_Security_Key[",G5-1,":0]"),""), "")</f>
        <v>CSME_Debug_Enabled_Security_Key[255:0]</v>
      </c>
      <c r="M5" s="188"/>
      <c r="N5" s="188"/>
      <c r="O5" s="191"/>
    </row>
    <row r="6" spans="1:15" ht="15" customHeight="1" x14ac:dyDescent="0.35">
      <c r="A6" s="198"/>
      <c r="B6" s="90" t="s">
        <v>410</v>
      </c>
      <c r="C6" s="90" t="s">
        <v>410</v>
      </c>
      <c r="D6" s="46" t="s">
        <v>15</v>
      </c>
      <c r="E6" s="46"/>
      <c r="F6" s="89" t="s">
        <v>11</v>
      </c>
      <c r="G6" s="51">
        <f ca="1">IF($C6="No Param",32,VLOOKUP($C6,INDIRECT(Config!$B$1),HLOOKUP(D$1,INDIRECT(Config!$E$1),2,FALSE),FALSE))</f>
        <v>0</v>
      </c>
      <c r="H6" s="17" t="str">
        <f ca="1">IF(G6=0, "N/A", CONCATENATE("0x",DEC2HEX(HEX2DEC(SUBSTITUTE(H3,"0x",""))+(G3+G4+G5)/8)))</f>
        <v>N/A</v>
      </c>
      <c r="I6" s="17" t="str">
        <f ca="1">CONCATENATE("0x",DEC2HEX(HEX2DEC(SUBSTITUTE(I5,"0x",""))+G5/8))</f>
        <v>0xF00B0064</v>
      </c>
      <c r="J6" s="17" t="s">
        <v>399</v>
      </c>
      <c r="K6" s="17" t="s">
        <v>399</v>
      </c>
      <c r="L6" s="84" t="str">
        <f ca="1">IF(VLOOKUP("EXT_FUSE_PULL_SUPP", INDIRECT(Config!$B$1),HLOOKUP(D$1,INDIRECT(Config!$E$1),2,FALSE),FALSE)=1, IF(G6&gt;0,CONCATENATE("CSME_Debug_Encryption_Security_Key[",G6-1,":0]"),""), "")</f>
        <v/>
      </c>
      <c r="M6" s="188"/>
      <c r="N6" s="188"/>
      <c r="O6" s="191"/>
    </row>
    <row r="7" spans="1:15" ht="15" customHeight="1" thickBot="1" x14ac:dyDescent="0.4">
      <c r="A7" s="198"/>
      <c r="B7" s="91" t="s">
        <v>434</v>
      </c>
      <c r="C7" s="99" t="s">
        <v>434</v>
      </c>
      <c r="D7" s="96" t="s">
        <v>10</v>
      </c>
      <c r="E7" s="96"/>
      <c r="F7" s="98" t="s">
        <v>11</v>
      </c>
      <c r="G7" s="97">
        <f ca="1">IF($C7="No Param",32,VLOOKUP($C7,INDIRECT(Config!$B$1),HLOOKUP(D$1,INDIRECT(Config!$E$1),2,FALSE),FALSE))</f>
        <v>1</v>
      </c>
      <c r="H7" s="33" t="str">
        <f ca="1">IF(G7=0, "N/A", CONCATENATE("0x",DEC2HEX(HEX2DEC(SUBSTITUTE(H3,"0x",""))+(G3+G4+G5+G6)/8)))</f>
        <v>0x6064</v>
      </c>
      <c r="I7" s="33" t="str">
        <f ca="1">CONCATENATE("0x",DEC2HEX(HEX2DEC(SUBSTITUTE(I6,"0x",""))+G6/8))</f>
        <v>0xF00B0064</v>
      </c>
      <c r="J7" s="33" t="s">
        <v>399</v>
      </c>
      <c r="K7" s="33" t="s">
        <v>399</v>
      </c>
      <c r="L7" s="56" t="str">
        <f ca="1">IF(VLOOKUP("EXT_FUSE_PULL_SUPP", INDIRECT(Config!$B$1),HLOOKUP(D$1,INDIRECT(Config!$E$1),2,FALSE),FALSE)=1, IF(G7&gt;0,CONCATENATE("Security_Fuses_Valid[",G7-1,":0]"),""), "")</f>
        <v>Security_Fuses_Valid[0:0]</v>
      </c>
      <c r="M7" s="189"/>
      <c r="N7" s="189"/>
      <c r="O7" s="192"/>
    </row>
    <row r="8" spans="1:15" x14ac:dyDescent="0.35">
      <c r="A8" s="34" t="s">
        <v>16</v>
      </c>
      <c r="B8" s="92" t="s">
        <v>17</v>
      </c>
      <c r="C8" s="92" t="s">
        <v>17</v>
      </c>
      <c r="D8" s="44" t="s">
        <v>18</v>
      </c>
      <c r="E8" s="58"/>
      <c r="F8" s="88" t="s">
        <v>19</v>
      </c>
      <c r="G8" s="85">
        <f ca="1">IF($C8="No Param",32,VLOOKUP($C8,INDIRECT(Config!$B$1),HLOOKUP(D$1,INDIRECT(Config!$E$1),2,FALSE),FALSE))</f>
        <v>768</v>
      </c>
      <c r="H8" s="84" t="s">
        <v>572</v>
      </c>
      <c r="I8" s="84" t="s">
        <v>20</v>
      </c>
      <c r="J8" s="84" t="s">
        <v>399</v>
      </c>
      <c r="K8" s="84" t="s">
        <v>399</v>
      </c>
      <c r="L8" s="84" t="str">
        <f ca="1">IF(VLOOKUP("EXT_FUSE_PULL_SUPP", INDIRECT(Config!$B$1),HLOOKUP(D$1,INDIRECT(Config!$E$1),2,FALSE),FALSE)=1, IF(G8&gt;0,CONCATENATE("CSME_ECC_P384_ONDIE_ROM_CERT[",G8-1,":0]"), ""), "")</f>
        <v>CSME_ECC_P384_ONDIE_ROM_CERT[767:0]</v>
      </c>
      <c r="M8" s="199" t="s">
        <v>380</v>
      </c>
      <c r="N8" s="202" t="s">
        <v>21</v>
      </c>
      <c r="O8" s="204">
        <f ca="1">($G8+$G9+$G10+$G12)</f>
        <v>992</v>
      </c>
    </row>
    <row r="9" spans="1:15" s="167" customFormat="1" x14ac:dyDescent="0.35">
      <c r="A9" s="194" t="s">
        <v>853</v>
      </c>
      <c r="B9" s="161" t="s">
        <v>411</v>
      </c>
      <c r="C9" s="161" t="s">
        <v>411</v>
      </c>
      <c r="D9" s="162" t="s">
        <v>18</v>
      </c>
      <c r="E9" s="162"/>
      <c r="F9" s="163" t="s">
        <v>19</v>
      </c>
      <c r="G9" s="164">
        <f ca="1">IF($C9="No Param",32,VLOOKUP($C9,INDIRECT(Config!$B$1),HLOOKUP(D$1,INDIRECT(Config!$E$1),2,FALSE),FALSE))</f>
        <v>192</v>
      </c>
      <c r="H9" s="165" t="str">
        <f ca="1">IF(G9=0, "N/A", CONCATENATE("0x",DEC2HEX(HEX2DEC(SUBSTITUTE(H8,"0x",""))+G8/8)))</f>
        <v>0x6860</v>
      </c>
      <c r="I9" s="165" t="str">
        <f ca="1">CONCATENATE("0x",DEC2HEX(HEX2DEC(SUBSTITUTE(I8,"0x",""))+G8/8))</f>
        <v>0xF00B0460</v>
      </c>
      <c r="J9" s="165" t="s">
        <v>399</v>
      </c>
      <c r="K9" s="165" t="s">
        <v>399</v>
      </c>
      <c r="L9" s="166" t="str">
        <f ca="1">IF(VLOOKUP("EXT_FUSE_PULL_SUPP", INDIRECT(Config!$B$1),HLOOKUP(D$1,INDIRECT(Config!$E$1),2,FALSE),FALSE)=1, IF(G9&gt;0,CONCATENATE("FW_CFG_FUSES [",G9-1,":0]"), ""), "")</f>
        <v>FW_CFG_FUSES [191:0]</v>
      </c>
      <c r="M9" s="200"/>
      <c r="N9" s="188"/>
      <c r="O9" s="191"/>
    </row>
    <row r="10" spans="1:15" x14ac:dyDescent="0.35">
      <c r="A10" s="195"/>
      <c r="B10" s="170" t="s">
        <v>24</v>
      </c>
      <c r="C10" s="170" t="s">
        <v>24</v>
      </c>
      <c r="D10" s="171" t="s">
        <v>18</v>
      </c>
      <c r="E10" s="171"/>
      <c r="F10" s="172" t="s">
        <v>19</v>
      </c>
      <c r="G10" s="173">
        <f ca="1">IF($C10="No Param",32,VLOOKUP($C10,INDIRECT(Config!$B$1),HLOOKUP(D$1,INDIRECT(Config!$E$1),2,FALSE),FALSE))</f>
        <v>32</v>
      </c>
      <c r="H10" s="174" t="str">
        <f ca="1">IF(G10=0, "N/A", CONCATENATE("0x",DEC2HEX(HEX2DEC(SUBSTITUTE(H8,"0x",""))+(G8+G9)/8)))</f>
        <v>0x6878</v>
      </c>
      <c r="I10" s="174" t="str">
        <f ca="1">CONCATENATE("0x",DEC2HEX(HEX2DEC(SUBSTITUTE(I9,"0x",""))+G9/8))</f>
        <v>0xF00B0478</v>
      </c>
      <c r="J10" s="174" t="s">
        <v>399</v>
      </c>
      <c r="K10" s="174" t="s">
        <v>399</v>
      </c>
      <c r="L10" s="169" t="str">
        <f ca="1">IF(VLOOKUP("EXT_FUSE_PULL_SUPP", INDIRECT(Config!$B$1),HLOOKUP(D$1,INDIRECT(Config!$E$1),2,FALSE),FALSE)=1, IF(G10&gt;0,CONCATENATE("GENERAL_FW_FUSES_CHECK[",G10-1,":0]"),""), "")</f>
        <v>GENERAL_FW_FUSES_CHECK[31:0]</v>
      </c>
      <c r="M10" s="200"/>
      <c r="N10" s="188"/>
      <c r="O10" s="191"/>
    </row>
    <row r="11" spans="1:15" x14ac:dyDescent="0.35">
      <c r="A11" s="195"/>
      <c r="B11" s="63" t="s">
        <v>435</v>
      </c>
      <c r="C11" s="63" t="s">
        <v>435</v>
      </c>
      <c r="D11" s="46" t="s">
        <v>18</v>
      </c>
      <c r="E11" s="46"/>
      <c r="F11" s="89" t="s">
        <v>19</v>
      </c>
      <c r="G11" s="51">
        <f ca="1">IF($C11="No Param",32,VLOOKUP($C11,INDIRECT(Config!$B$1),HLOOKUP(D$1,INDIRECT(Config!$E$1),2,FALSE),FALSE))</f>
        <v>0</v>
      </c>
      <c r="H11" s="17" t="str">
        <f ca="1">IF(G11=0, "N/A", CONCATENATE("0x",DEC2HEX(HEX2DEC(SUBSTITUTE(H8,"0x",""))+(G8+G9+G10)/8)))</f>
        <v>N/A</v>
      </c>
      <c r="I11" s="17" t="str">
        <f ca="1">CONCATENATE("0x",DEC2HEX(HEX2DEC(SUBSTITUTE(I10,"0x",""))+G10/8))</f>
        <v>0xF00B047C</v>
      </c>
      <c r="J11" s="17" t="s">
        <v>399</v>
      </c>
      <c r="K11" s="17" t="s">
        <v>399</v>
      </c>
      <c r="L11" s="84" t="str">
        <f ca="1">IF(VLOOKUP("EXT_FUSE_PULL_SUPP", INDIRECT(Config!$B$1),HLOOKUP(D$1,INDIRECT(Config!$E$1),2,FALSE),FALSE)=1, IF(G11&gt;0,CONCATENATE("FW_Fuses_Valid[",G11-1,":0]"),""), "")</f>
        <v/>
      </c>
      <c r="M11" s="200"/>
      <c r="N11" s="188"/>
      <c r="O11" s="191"/>
    </row>
    <row r="12" spans="1:15" ht="15" thickBot="1" x14ac:dyDescent="0.4">
      <c r="A12" s="206"/>
      <c r="B12" s="94" t="s">
        <v>23</v>
      </c>
      <c r="C12" s="100" t="s">
        <v>23</v>
      </c>
      <c r="D12" s="96" t="s">
        <v>18</v>
      </c>
      <c r="E12" s="101"/>
      <c r="F12" s="102" t="s">
        <v>19</v>
      </c>
      <c r="G12" s="103">
        <f ca="1">IF($C12="No Param",32,VLOOKUP($C12,INDIRECT(Config!$B$1),HLOOKUP(D$1,INDIRECT(Config!$E$1),2,FALSE),FALSE))</f>
        <v>0</v>
      </c>
      <c r="H12" s="104" t="str">
        <f ca="1">IF(G12=0, "N/A", CONCATENATE("0x",DEC2HEX(HEX2DEC(SUBSTITUTE(H8,"0x",""))+(G8+G9+G10+G11)/8)))</f>
        <v>N/A</v>
      </c>
      <c r="I12" s="104" t="str">
        <f ca="1">CONCATENATE("0x",DEC2HEX(HEX2DEC(SUBSTITUTE(I11,"0x",""))+G11/8))</f>
        <v>0xF00B047C</v>
      </c>
      <c r="J12" s="104" t="s">
        <v>399</v>
      </c>
      <c r="K12" s="104" t="s">
        <v>399</v>
      </c>
      <c r="L12" s="120" t="str">
        <f ca="1">IF(VLOOKUP("EXT_FUSE_PULL_SUPP", INDIRECT(Config!$B$1),HLOOKUP(D$1,INDIRECT(Config!$E$1),2,FALSE),FALSE)=1, IF(G12&gt;0,CONCATENATE("HW_OCS_PUF_ECC[",G12-1,":0]"),""), "")</f>
        <v/>
      </c>
      <c r="M12" s="201"/>
      <c r="N12" s="203"/>
      <c r="O12" s="205"/>
    </row>
    <row r="13" spans="1:15" ht="15" customHeight="1" x14ac:dyDescent="0.35">
      <c r="A13" s="194" t="s">
        <v>25</v>
      </c>
      <c r="B13" s="44" t="s">
        <v>26</v>
      </c>
      <c r="C13" s="48" t="s">
        <v>626</v>
      </c>
      <c r="D13" s="184" t="s">
        <v>27</v>
      </c>
      <c r="E13" s="148"/>
      <c r="F13" s="138" t="s">
        <v>28</v>
      </c>
      <c r="G13" s="80">
        <f ca="1">IF($C13="No Param",32,VLOOKUP($C13,INDIRECT(Config!$B$1),HLOOKUP(D$1,INDIRECT(Config!$E$1),2,FALSE),FALSE)*32)</f>
        <v>32</v>
      </c>
      <c r="H13" s="31" t="s">
        <v>29</v>
      </c>
      <c r="I13" s="31" t="s">
        <v>30</v>
      </c>
      <c r="J13" s="31" t="str">
        <f ca="1">CONCATENATE("0x", DEC2HEX(
 _xlfn.BITLSHIFT(1, Group1!C2)*Group1!G2*IF(Group1!M2="N/A", 0, Group1!M2)
+_xlfn.BITLSHIFT(1, Group1!C3)*Group1!G3*IF(Group1!M3="N/A", 0, Group1!M3)
+_xlfn.BITLSHIFT(1, Group1!C4)*Group1!G4*IF(Group1!M4="N/A", 0, Group1!M4)
+_xlfn.BITLSHIFT(1, Group1!C5)*Group1!G5*IF(Group1!M5="N/A", 0, Group1!M5)
+_xlfn.BITLSHIFT(1, Group1!C6)*Group1!G6*IF(Group1!M6="N/A", 0, Group1!M6)
+_xlfn.BITLSHIFT(1, Group1!C7)*Group1!G7*IF(Group1!M7="N/A", 0, Group1!M7)
+_xlfn.BITLSHIFT(1, Group1!C8)*Group1!G8*IF(Group1!M8="N/A", 0, Group1!M8)
+_xlfn.BITLSHIFT(1, Group1!C9)*Group1!G9*IF(Group1!M9="N/A", 0, Group1!M9)
+_xlfn.BITLSHIFT(1, Group1!C10)*Group1!G10*IF(Group1!M10="N/A", 0, Group1!M10)
+_xlfn.BITLSHIFT(1, Group1!C11)*Group1!G11*IF(Group1!M11="N/A", 0, Group1!M11)
+_xlfn.BITLSHIFT(1, Group1!C12)*Group1!G12*IF(Group1!M12="N/A", 0, Group1!M12)
+_xlfn.BITLSHIFT(1, Group1!C13)*Group1!G13*IF(Group1!M13="N/A", 0, Group1!M13)
+_xlfn.BITLSHIFT(1, Group1!C14)*Group1!G14*IF(Group1!M14="N/A", 0, Group1!M14)
+_xlfn.BITLSHIFT(1, Group1!C15)*Group1!G15*IF(Group1!M15="N/A", 0, Group1!M15)
+_xlfn.BITLSHIFT(1, Group1!C16)*Group1!G16*IF(Group1!M16="N/A", 0, Group1!M16)
+_xlfn.BITLSHIFT(1, Group1!C17)*Group1!G17*IF(Group1!M17="N/A", 0, Group1!M17)
+_xlfn.BITLSHIFT(1, Group1!C18)*Group1!G18*IF(Group1!M18="N/A", 0, Group1!M18)
+_xlfn.BITLSHIFT(1, Group1!C19)*Group1!G19*IF(Group1!M19="N/A", 0, Group1!M19)
+_xlfn.BITLSHIFT(1, Group1!C20)*Group1!G20*IF(Group1!M20="N/A", 0, Group1!M20)
+_xlfn.BITLSHIFT(1, Group1!C21)*Group1!G21*IF(Group1!M21="N/A", 0, Group1!M21)
+_xlfn.BITLSHIFT(1, Group1!C22)*Group1!G22*IF(Group1!M22="N/A", 0, Group1!M22)
+_xlfn.BITLSHIFT(1, Group1!C23)*Group1!G23*IF(Group1!M23="N/A", 0, Group1!M23)
+_xlfn.BITLSHIFT(1, Group1!C24)*Group1!G24*IF(Group1!M24="N/A", 0, Group1!M24)
+_xlfn.BITLSHIFT(1, Group1!C25)*Group1!G25*IF(Group1!M25="N/A", 0, Group1!M25)
+_xlfn.BITLSHIFT(1, Group1!C26)*Group1!G26*IF(Group1!M26="N/A", 0, Group1!M26)
+_xlfn.BITLSHIFT(1, Group1!C27)*Group1!G27*IF(Group1!M27="N/A", 0, Group1!M27)
+_xlfn.BITLSHIFT(1, Group1!C28)*Group1!G28*IF(Group1!M28="N/A", 0, Group1!M28)
+_xlfn.BITLSHIFT(1, Group1!C29)*Group1!G29*IF(Group1!M29="N/A", 0, Group1!M29)
+_xlfn.BITLSHIFT(1, Group1!C30)*Group1!G30*IF(Group1!M30="N/A", 0, Group1!M30)
+_xlfn.BITLSHIFT(1, Group1!C31)*Group1!G31*IF(Group1!M31="N/A", 0, Group1!M31)
+_xlfn.BITLSHIFT(1, Group1!C32)*Group1!G32*IF(Group1!M32="N/A", 0, Group1!M32)
+_xlfn.BITLSHIFT(1, Group1!C33)*Group1!G33*IF(Group1!M33="N/A", 0, Group1!M33)
+_xlfn.BITLSHIFT(1, Group1!C34)*Group1!G34*IF(Group1!M34="N/A", 0, Group1!M34)
+_xlfn.BITLSHIFT(1, Group1!C35)*Group1!G35*IF(Group1!M35="N/A", 0, Group1!M35),8))</f>
        <v>0x43035480</v>
      </c>
      <c r="K13" s="31" t="str">
        <f ca="1">CONCATENATE("0x", DEC2HEX(
 _xlfn.BITLSHIFT(1, Group1!C2)*Group1!H2*IF(Group1!M2="N/A", 0, Group1!M2)
+_xlfn.BITLSHIFT(1, Group1!C3)*Group1!H3*IF(Group1!M3="N/A", 0, Group1!M3)
+_xlfn.BITLSHIFT(1, Group1!C4)*Group1!H4*IF(Group1!M4="N/A", 0, Group1!M4)
+_xlfn.BITLSHIFT(1, Group1!C5)*Group1!H5*IF(Group1!M5="N/A", 0, Group1!M5)
+_xlfn.BITLSHIFT(1, Group1!C6)*Group1!H6*IF(Group1!M6="N/A", 0, Group1!M6)
+_xlfn.BITLSHIFT(1, Group1!C7)*Group1!H7*IF(Group1!M7="N/A", 0, Group1!M7)
+_xlfn.BITLSHIFT(1, Group1!C8)*Group1!H8*IF(Group1!M8="N/A", 0, Group1!M8)
+_xlfn.BITLSHIFT(1, Group1!C9)*Group1!H9*IF(Group1!M9="N/A", 0, Group1!M9)
+_xlfn.BITLSHIFT(1, Group1!C10)*Group1!H10*IF(Group1!M10="N/A", 0, Group1!M10)
+_xlfn.BITLSHIFT(1, Group1!C11)*Group1!H11*IF(Group1!M11="N/A", 0, Group1!M11)
+_xlfn.BITLSHIFT(1, Group1!C12)*Group1!H12*IF(Group1!M12="N/A", 0, Group1!M12)
+_xlfn.BITLSHIFT(1, Group1!C13)*Group1!H13*IF(Group1!M13="N/A", 0, Group1!M13)
+_xlfn.BITLSHIFT(1, Group1!C14)*Group1!H14*IF(Group1!M14="N/A", 0, Group1!M14)
+_xlfn.BITLSHIFT(1, Group1!C15)*Group1!H15*IF(Group1!M15="N/A", 0, Group1!M15)
+_xlfn.BITLSHIFT(1, Group1!C16)*Group1!H16*IF(Group1!M16="N/A", 0, Group1!M16)
+_xlfn.BITLSHIFT(1, Group1!C17)*Group1!H17*IF(Group1!M17="N/A", 0, Group1!M17)
+_xlfn.BITLSHIFT(1, Group1!C18)*Group1!H18*IF(Group1!M18="N/A", 0, Group1!M18)
+_xlfn.BITLSHIFT(1, Group1!C19)*Group1!H19*IF(Group1!M19="N/A", 0, Group1!M19)
+_xlfn.BITLSHIFT(1, Group1!C20)*Group1!H20*IF(Group1!M20="N/A", 0, Group1!M20)
+_xlfn.BITLSHIFT(1, Group1!C21)*Group1!H21*IF(Group1!M21="N/A", 0, Group1!M21)
+_xlfn.BITLSHIFT(1, Group1!C22)*Group1!H22*IF(Group1!M22="N/A", 0, Group1!M22)
+_xlfn.BITLSHIFT(1, Group1!C23)*Group1!H23*IF(Group1!M23="N/A", 0, Group1!M23)
+_xlfn.BITLSHIFT(1, Group1!C24)*Group1!H24*IF(Group1!M24="N/A", 0, Group1!M24)
+_xlfn.BITLSHIFT(1, Group1!C25)*Group1!H25*IF(Group1!M25="N/A", 0, Group1!M25)
+_xlfn.BITLSHIFT(1, Group1!C26)*Group1!H26*IF(Group1!M26="N/A", 0, Group1!M26)
+_xlfn.BITLSHIFT(1, Group1!C27)*Group1!H27*IF(Group1!M27="N/A", 0, Group1!M27)
+_xlfn.BITLSHIFT(1, Group1!C28)*Group1!H28*IF(Group1!M28="N/A", 0, Group1!M28)
+_xlfn.BITLSHIFT(1, Group1!C29)*Group1!H29*IF(Group1!M29="N/A", 0, Group1!M29)
+_xlfn.BITLSHIFT(1, Group1!C30)*Group1!H30*IF(Group1!M30="N/A", 0, Group1!M30)
+_xlfn.BITLSHIFT(1, Group1!C31)*Group1!H31*IF(Group1!M31="N/A", 0, Group1!M31)
+_xlfn.BITLSHIFT(1, Group1!C32)*Group1!H32*IF(Group1!M32="N/A", 0, Group1!M32)
+_xlfn.BITLSHIFT(1, Group1!C33)*Group1!H33*IF(Group1!M33="N/A", 0, Group1!M33)
+_xlfn.BITLSHIFT(1, Group1!C34)*Group1!H34*IF(Group1!M34="N/A", 0, Group1!M34)
+_xlfn.BITLSHIFT(1, Group1!C35)*Group1!H35*IF(Group1!M35="N/A", 0, Group1!M35),8))</f>
        <v>0x02033083</v>
      </c>
      <c r="L13" s="160" t="str">
        <f ca="1">IF(VLOOKUP("EXT_FUSE_PULL_SUPP", INDIRECT(Config!$B$1),HLOOKUP(D$1,INDIRECT(Config!$E$1),2,FALSE),FALSE)=1, IF(G13&gt;0,CONCATENATE("CSME_HW_FW_Config_fuses[",G13-1,":0]"), ""), "")</f>
        <v>CSME_HW_FW_Config_fuses[31:0]</v>
      </c>
      <c r="M13" s="196" t="s">
        <v>381</v>
      </c>
      <c r="N13" s="187" t="s">
        <v>31</v>
      </c>
      <c r="O13" s="190">
        <f ca="1">(4*32+G17+G18+G19+G20+G21+G22)</f>
        <v>128</v>
      </c>
    </row>
    <row r="14" spans="1:15" x14ac:dyDescent="0.35">
      <c r="A14" s="195"/>
      <c r="B14" s="46" t="s">
        <v>32</v>
      </c>
      <c r="C14" s="49" t="s">
        <v>626</v>
      </c>
      <c r="D14" s="185"/>
      <c r="E14" s="149"/>
      <c r="F14" s="89" t="s">
        <v>28</v>
      </c>
      <c r="G14" s="51">
        <f ca="1">IF($C14="No Param",32,VLOOKUP($C14,INDIRECT(Config!$B$1),HLOOKUP(D$1,INDIRECT(Config!$E$1),2,FALSE),FALSE)*32)</f>
        <v>32</v>
      </c>
      <c r="H14" s="17" t="str">
        <f ca="1">CONCATENATE("0x",DEC2HEX(HEX2DEC(SUBSTITUTE(H13,"0x",""))+G13/8))</f>
        <v>0x2004</v>
      </c>
      <c r="I14" s="17" t="str">
        <f ca="1">CONCATENATE("0x",DEC2HEX(HEX2DEC(SUBSTITUTE(I13,"0x",""))+G13/8))</f>
        <v>0xF00B0204</v>
      </c>
      <c r="J14" s="17" t="str">
        <f ca="1">CONCATENATE("0x",DEC2HEX(
_xlfn.BITLSHIFT(1,Group1!C36)*Group1!G36*IF(Group1!M36="N/A",0,Group1!M36)
+_xlfn.BITLSHIFT(1,Group1!C37)*Group1!G37*IF(Group1!M37="N/A",0,Group1!M37)
+_xlfn.BITLSHIFT(1,Group1!C38)*Group1!G38*IF(Group1!M38="N/A",0,Group1!M38)
+_xlfn.BITLSHIFT(1,Group1!C39)*Group1!G39*IF(Group1!M39="N/A",0,Group1!M39)
+_xlfn.BITLSHIFT(1,Group1!C40)*Group1!G40*IF(Group1!M40="N/A",0,Group1!M40)
+_xlfn.BITLSHIFT(1,Group1!C41)*Group1!G41*IF(Group1!M41="N/A",0,Group1!M41)
+_xlfn.BITLSHIFT(1,Group1!C42)*Group1!G42*IF(Group1!M42="N/A",0,Group1!M42)
+_xlfn.BITLSHIFT(1,Group1!C43)*Group1!G43*IF(Group1!M43="N/A",0,Group1!M43)
+_xlfn.BITLSHIFT(1,Group1!C44)*Group1!G44*IF(Group1!M44="N/A",0,Group1!M44)
+_xlfn.BITLSHIFT(1,Group1!C45)*Group1!G45*IF(Group1!M45="N/A",0,Group1!M45)
+_xlfn.BITLSHIFT(1,Group1!C46)*Group1!G46*IF(Group1!M46="N/A",0,Group1!M46)
+_xlfn.BITLSHIFT(1,Group1!C47)*Group1!G47*IF(Group1!M47="N/A",0,Group1!M47)
+_xlfn.BITLSHIFT(1,Group1!C48)*Group1!G48*IF(Group1!M48="N/A",0,Group1!M48)
+_xlfn.BITLSHIFT(1,Group1!C49)*Group1!G49*IF(Group1!M49="N/A",0,Group1!M49)
+_xlfn.BITLSHIFT(1,Group1!C50)*Group1!G50*IF(Group1!M50="N/A",0,Group1!M50)
+_xlfn.BITLSHIFT(1,Group1!C51)*Group1!G51*IF(Group1!M51="N/A",0,Group1!M51)
+_xlfn.BITLSHIFT(1,Group1!C52)*Group1!G52*IF(Group1!M52="N/A",0,Group1!M52)
+_xlfn.BITLSHIFT(1,Group1!C53)*Group1!G53*IF(Group1!M53="N/A",0,Group1!M53)
+_xlfn.BITLSHIFT(1,Group1!C54)*Group1!G54*IF(Group1!M54="N/A",0,Group1!M54)
+_xlfn.BITLSHIFT(1,Group1!C55)*Group1!G55*IF(Group1!M55="N/A",0,Group1!M55)
+_xlfn.BITLSHIFT(1,Group1!C56)*Group1!G56*IF(Group1!M56="N/A",0,Group1!M56)
+_xlfn.BITLSHIFT(1,Group1!C57)*Group1!G57*IF(Group1!M57="N/A",0,Group1!M57),8))</f>
        <v>0x00810814</v>
      </c>
      <c r="K14" s="17" t="str">
        <f ca="1">CONCATENATE("0x", DEC2HEX(
 _xlfn.BITLSHIFT(1, Group1!C36)*Group1!H36*Group1!M36
+_xlfn.BITLSHIFT(1, Group1!C37)*Group1!H37*Group1!M37
+_xlfn.BITLSHIFT(1, Group1!C38)*Group1!H38*Group1!M38
+_xlfn.BITLSHIFT(1, Group1!C39)*Group1!H39*Group1!M39
+_xlfn.BITLSHIFT(1, Group1!C40)*Group1!H40*Group1!M40
+_xlfn.BITLSHIFT(1, Group1!C41)*Group1!H41*Group1!M41
+_xlfn.BITLSHIFT(1, Group1!C42)*Group1!H42*Group1!M42
+_xlfn.BITLSHIFT(1, Group1!C43)*Group1!H43*Group1!M43
+_xlfn.BITLSHIFT(1, Group1!C44)*Group1!H44*Group1!M44
+_xlfn.BITLSHIFT(1, Group1!C45)*Group1!H45*Group1!M45
+_xlfn.BITLSHIFT(1, Group1!C46)*Group1!H46*Group1!M46
+_xlfn.BITLSHIFT(1, Group1!C47)*Group1!H47*Group1!M47
+_xlfn.BITLSHIFT(1, Group1!C48)*Group1!H48*Group1!M48
+_xlfn.BITLSHIFT(1, Group1!C49)*Group1!H49*Group1!M49
+_xlfn.BITLSHIFT(1, Group1!C50)*Group1!H50*Group1!M50
+_xlfn.BITLSHIFT(1, Group1!C51)*Group1!H51*Group1!M51
+_xlfn.BITLSHIFT(1, Group1!C52)*Group1!H52*Group1!M52
+_xlfn.BITLSHIFT(1, Group1!C53)*Group1!H53*Group1!M53
+_xlfn.BITLSHIFT(1, Group1!C54)*Group1!H54*Group1!M54
+_xlfn.BITLSHIFT(1, Group1!C55)*Group1!H55*Group1!M55
+_xlfn.BITLSHIFT(1, Group1!C56)*Group1!H56*Group1!M56
+_xlfn.BITLSHIFT(1, Group1!C57)*Group1!H57*Group1!M57,8))</f>
        <v>0x0179A090</v>
      </c>
      <c r="L14" s="83" t="str">
        <f ca="1">IF(VLOOKUP("EXT_FUSE_PULL_SUPP", INDIRECT(Config!$B$1),HLOOKUP(D$1,INDIRECT(Config!$E$1),2,FALSE),FALSE)=1, IF(G14&gt;0,CONCATENATE("CSME_HW_FW_Config_fuses[",G14-1+G13,":",G13,"]"), ""), "")</f>
        <v>CSME_HW_FW_Config_fuses[63:32]</v>
      </c>
      <c r="M14" s="193"/>
      <c r="N14" s="188"/>
      <c r="O14" s="191"/>
    </row>
    <row r="15" spans="1:15" x14ac:dyDescent="0.35">
      <c r="A15" s="195"/>
      <c r="B15" s="46" t="s">
        <v>33</v>
      </c>
      <c r="C15" s="49" t="s">
        <v>626</v>
      </c>
      <c r="D15" s="185"/>
      <c r="E15" s="149"/>
      <c r="F15" s="89" t="s">
        <v>28</v>
      </c>
      <c r="G15" s="51">
        <f ca="1">IF($C15="No Param",32,VLOOKUP($C15,INDIRECT(Config!$B$1),HLOOKUP(D$1,INDIRECT(Config!$E$1),2,FALSE),FALSE)*32)</f>
        <v>32</v>
      </c>
      <c r="H15" s="17" t="str">
        <f ca="1">CONCATENATE("0x",DEC2HEX(HEX2DEC(SUBSTITUTE(H14,"0x",""))+G14/8))</f>
        <v>0x2008</v>
      </c>
      <c r="I15" s="17" t="str">
        <f ca="1">CONCATENATE("0x",DEC2HEX(HEX2DEC(SUBSTITUTE(I14,"0x",""))+G14/8))</f>
        <v>0xF00B0208</v>
      </c>
      <c r="J15" s="17" t="str">
        <f ca="1">CONCATENATE("0x", DEC2HEX(
 _xlfn.BITLSHIFT(1, Group1!C58)*Group1!G58*IF(Group1!M58="N/A", 0, Group1!M58)
+_xlfn.BITLSHIFT(1, Group1!C59)*Group1!G59*IF(Group1!M59="N/A", 0, Group1!M59)
+_xlfn.BITLSHIFT(1, Group1!C60)*Group1!G60*IF(Group1!M60="N/A", 0, Group1!M60)
+_xlfn.BITLSHIFT(1, Group1!C61)*Group1!G61*IF(Group1!M61="N/A", 0, Group1!M61)
+_xlfn.BITLSHIFT(1, Group1!C62)*Group1!G62*IF(Group1!M62="N/A", 0, Group1!M62)
+_xlfn.BITLSHIFT(1, Group1!C63)*Group1!G63*IF(Group1!M63="N/A", 0, Group1!M63)
+_xlfn.BITLSHIFT(1, Group1!C64)*Group1!G64*IF(Group1!M64="N/A", 0, Group1!M64)
+_xlfn.BITLSHIFT(1, Group1!C65)*Group1!G65*IF(Group1!M65="N/A", 0, Group1!M65), 8))</f>
        <v>0x00000000</v>
      </c>
      <c r="K15" s="17" t="str">
        <f ca="1">CONCATENATE("0x", DEC2HEX(
 _xlfn.BITLSHIFT(1, Group1!C58)*Group1!H58*IF(Group1!M58="N/A", 0, Group1!M58)
+_xlfn.BITLSHIFT(1, Group1!C59)*Group1!H59*IF(Group1!M59="N/A", 0, Group1!M59)
+_xlfn.BITLSHIFT(1, Group1!C60)*Group1!H60*IF(Group1!M60="N/A", 0, Group1!M60)
+_xlfn.BITLSHIFT(1, Group1!C61)*Group1!H61*IF(Group1!M61="N/A", 0, Group1!M61)
+_xlfn.BITLSHIFT(1, Group1!C62)*Group1!H62*IF(Group1!M62="N/A", 0, Group1!M62)
+_xlfn.BITLSHIFT(1, Group1!C63)*Group1!H63*IF(Group1!M63="N/A", 0, Group1!M63)
+_xlfn.BITLSHIFT(1, Group1!C64)*Group1!H64*IF(Group1!M64="N/A", 0, Group1!M64)
+_xlfn.BITLSHIFT(1, Group1!C65)*Group1!H65*IF(Group1!M65="N/A", 0, Group1!M65), 8))</f>
        <v>0x00040000</v>
      </c>
      <c r="L15" s="83" t="str">
        <f ca="1">IF(VLOOKUP("EXT_FUSE_PULL_SUPP", INDIRECT(Config!$B$1),HLOOKUP(D$1,INDIRECT(Config!$E$1),2,FALSE),FALSE)=1, IF(G15&gt;0,CONCATENATE("CSME_HW_FW_Config_fuses[",G15-1+G14+G13,":",G14+G13,"]"), ""), "")</f>
        <v>CSME_HW_FW_Config_fuses[95:64]</v>
      </c>
      <c r="M15" s="193"/>
      <c r="N15" s="188"/>
      <c r="O15" s="191"/>
    </row>
    <row r="16" spans="1:15" x14ac:dyDescent="0.35">
      <c r="A16" s="195"/>
      <c r="B16" s="46" t="s">
        <v>34</v>
      </c>
      <c r="C16" s="49" t="s">
        <v>626</v>
      </c>
      <c r="D16" s="185"/>
      <c r="E16" s="149"/>
      <c r="F16" s="89" t="s">
        <v>28</v>
      </c>
      <c r="G16" s="51">
        <f ca="1">IF($C16="No Param",32,VLOOKUP($C16,INDIRECT(Config!$B$1),HLOOKUP(D$1,INDIRECT(Config!$E$1),2,FALSE),FALSE)*32)</f>
        <v>32</v>
      </c>
      <c r="H16" s="17" t="str">
        <f ca="1">CONCATENATE("0x",DEC2HEX(HEX2DEC(SUBSTITUTE(H15,"0x",""))+G15/8))</f>
        <v>0x200C</v>
      </c>
      <c r="I16" s="17" t="s">
        <v>35</v>
      </c>
      <c r="J16" s="17" t="str">
        <f ca="1">CONCATENATE("0x", DEC2HEX(
 _xlfn.BITLSHIFT(1, Group1!C66)*Group1!G66*IF(Group1!M66="N/A", 0, Group1!M66)
+_xlfn.BITLSHIFT(1, Group1!C67)*Group1!G67*IF(Group1!M67="N/A", 0, Group1!M67)
+_xlfn.BITLSHIFT(1, Group1!C68)*Group1!G68*IF(Group1!M68="N/A", 0, Group1!M68)
+_xlfn.BITLSHIFT(1, Group1!C69)*Group1!G69*IF(Group1!M69="N/A", 0, Group1!M69)
+_xlfn.BITLSHIFT(1, Group1!C70)*Group1!G70*IF(Group1!M70="N/A", 0, Group1!M70)
+_xlfn.BITLSHIFT(1, Group1!C71)*Group1!G71*IF(Group1!M71="N/A", 0, Group1!M71)
+_xlfn.BITLSHIFT(1, Group1!C72)*Group1!G72*IF(Group1!M72="N/A", 0, Group1!M72)
+_xlfn.BITLSHIFT(1, Group1!C73)*Group1!G73*IF(Group1!M73="N/A", 0, Group1!M73)
+_xlfn.BITLSHIFT(1, Group1!C74)*Group1!G74*IF(Group1!M74="N/A", 0, Group1!M74)
+_xlfn.BITLSHIFT(1, Group1!C75)*Group1!G75*IF(Group1!M75="N/A", 0, Group1!M75)
+_xlfn.BITLSHIFT(1, Group1!C76)*Group1!G76*IF(Group1!M76="N/A", 0, Group1!M76)
+_xlfn.BITLSHIFT(1, Group1!C77)*Group1!G77*IF(Group1!M77="N/A", 0, Group1!M77)
+_xlfn.BITLSHIFT(1, Group1!C78)*Group1!G78*IF(Group1!M78="N/A", 0, Group1!M78)
+_xlfn.BITLSHIFT(1, Group1!C79)*Group1!G79*IF(Group1!M79="N/A", 0, Group1!M79)
+_xlfn.BITLSHIFT(1, Group1!C80)*Group1!G80*IF(Group1!M80="N/A", 0, Group1!M80)
+_xlfn.BITLSHIFT(1, Group1!C81)*Group1!G81*IF(Group1!M81="N/A", 0, Group1!M81)
+_xlfn.BITLSHIFT(1, Group1!C82)*Group1!G82*IF(Group1!M82="N/A", 0, Group1!M82)
+_xlfn.BITLSHIFT(1, Group1!C83)*Group1!G83*IF(Group1!M83="N/A", 0, Group1!M83)
+_xlfn.BITLSHIFT(1, Group1!C84)*Group1!G84*IF(Group1!M84="N/A", 0, Group1!M84)
+_xlfn.BITLSHIFT(1, Group1!C85)*Group1!G85*IF(Group1!M85="N/A", 0, Group1!M85)
+_xlfn.BITLSHIFT(1, Group1!C86)*Group1!G86*IF(Group1!M86="N/A", 0, Group1!M86), 8))</f>
        <v>0x00000000</v>
      </c>
      <c r="K16" s="17" t="str">
        <f ca="1">CONCATENATE("0x", DEC2HEX(
 _xlfn.BITLSHIFT(1, Group1!D66)*Group1!H66*IF(Group1!N66="N/A", 0, Group1!N66)
+_xlfn.BITLSHIFT(1, Group1!D67)*Group1!H67*IF(Group1!N67="N/A", 0, Group1!N67)
+_xlfn.BITLSHIFT(1, Group1!D68)*Group1!H68*IF(Group1!N68="N/A", 0, Group1!N68)
+_xlfn.BITLSHIFT(1, Group1!D69)*Group1!H69*IF(Group1!N69="N/A", 0, Group1!N69)
+_xlfn.BITLSHIFT(1, Group1!D70)*Group1!H70*IF(Group1!N70="N/A", 0, Group1!N70)
+_xlfn.BITLSHIFT(1, Group1!D71)*Group1!H71*IF(Group1!N71="N/A", 0, Group1!N71)
+_xlfn.BITLSHIFT(1, Group1!D72)*Group1!H72*IF(Group1!N72="N/A", 0, Group1!N72)
+_xlfn.BITLSHIFT(1, Group1!D73)*Group1!H73*IF(Group1!N73="N/A", 0, Group1!N73)
+_xlfn.BITLSHIFT(1, Group1!D74)*Group1!H74*IF(Group1!N74="N/A", 0, Group1!N74)
+_xlfn.BITLSHIFT(1, Group1!D75)*Group1!H75*IF(Group1!N75="N/A", 0, Group1!N75)
+_xlfn.BITLSHIFT(1, Group1!D76)*Group1!H76*IF(Group1!N76="N/A", 0, Group1!N76)
+_xlfn.BITLSHIFT(1, Group1!D77)*Group1!H77*IF(Group1!N77="N/A", 0, Group1!N77)
+_xlfn.BITLSHIFT(1, Group1!D78)*Group1!H78*IF(Group1!N78="N/A", 0, Group1!N78)
+_xlfn.BITLSHIFT(1, Group1!D79)*Group1!H79*IF(Group1!N79="N/A", 0, Group1!N79)
+_xlfn.BITLSHIFT(1, Group1!D80)*Group1!H80*IF(Group1!N80="N/A", 0, Group1!N80)
+_xlfn.BITLSHIFT(1, Group1!D81)*Group1!H81*IF(Group1!N81="N/A", 0, Group1!N81)
+_xlfn.BITLSHIFT(1, Group1!D82)*Group1!H82*IF(Group1!N82="N/A", 0, Group1!N82)
+_xlfn.BITLSHIFT(1, Group1!D83)*Group1!H83*IF(Group1!N83="N/A", 0, Group1!N83)
+_xlfn.BITLSHIFT(1, Group1!D84)*Group1!H84*IF(Group1!N84="N/A", 0, Group1!N84)
+_xlfn.BITLSHIFT(1, Group1!D85)*Group1!H85*IF(Group1!N85="N/A", 0, Group1!N85)
+_xlfn.BITLSHIFT(1, Group1!D86)*Group1!H86*IF(Group1!N86="N/A", 0, Group1!N86), 8))</f>
        <v>0x00000000</v>
      </c>
      <c r="L16" s="83" t="str">
        <f ca="1">IF(VLOOKUP("EXT_FUSE_PULL_SUPP", INDIRECT(Config!$B$1),HLOOKUP(D$1,INDIRECT(Config!$E$1),2,FALSE),FALSE)=1, IF(G16&gt;0,CONCATENATE("CSME_HW_FW_Config_fuses[",G16-1+G15+G14+G13,":",G15+G14+G13,"]"), ""), "")</f>
        <v>CSME_HW_FW_Config_fuses[127:96]</v>
      </c>
      <c r="M16" s="193"/>
      <c r="N16" s="188"/>
      <c r="O16" s="191"/>
    </row>
    <row r="17" spans="1:15" x14ac:dyDescent="0.35">
      <c r="A17" s="195"/>
      <c r="B17" s="46" t="s">
        <v>36</v>
      </c>
      <c r="C17" s="46" t="s">
        <v>261</v>
      </c>
      <c r="D17" s="185"/>
      <c r="E17" s="149"/>
      <c r="F17" s="89" t="s">
        <v>28</v>
      </c>
      <c r="G17" s="51">
        <f ca="1">IF($C17="No Param",32,VLOOKUP($C17,INDIRECT(Config!$B$1),HLOOKUP(D$1,INDIRECT(Config!$E$1),2,FALSE),FALSE)*32)</f>
        <v>0</v>
      </c>
      <c r="H17" s="17" t="str">
        <f ca="1">IF(G17=0, "N/A", CONCATENATE("0x",DEC2HEX(HEX2DEC(SUBSTITUTE(H16,"0x",""))+G16/8)))</f>
        <v>N/A</v>
      </c>
      <c r="I17" s="17" t="s">
        <v>37</v>
      </c>
      <c r="J17" s="17" t="str">
        <f ca="1">CONCATENATE("0x", DEC2HEX(
 _xlfn.BITLSHIFT(1, Group1!C93)*Group1!G93*Group1!M93
+_xlfn.BITLSHIFT(1, Group1!C94)*Group1!G94*Group1!M94
+_xlfn.BITLSHIFT(1, Group1!C95)*Group1!G95*Group1!M95
+_xlfn.BITLSHIFT(1, Group1!C96)*Group1!G96*Group1!M96, 8))</f>
        <v>0x00000000</v>
      </c>
      <c r="K17" s="17" t="str">
        <f ca="1">CONCATENATE("0x", DEC2HEX(
 _xlfn.BITLSHIFT(1, Group1!C93)*Group1!H93*Group1!M93
+_xlfn.BITLSHIFT(1, Group1!C94)*Group1!H94*Group1!M94
+_xlfn.BITLSHIFT(1, Group1!C95)*Group1!H95*Group1!M95
+_xlfn.BITLSHIFT(1, Group1!C96)*Group1!H96*Group1!M96, 8))</f>
        <v>0x00000000</v>
      </c>
      <c r="L17" s="17" t="str">
        <f ca="1">IF(VLOOKUP("EXT_FUSE_PULL_SUPP", INDIRECT(Config!$B$1),HLOOKUP(D$1,INDIRECT(Config!$E$1),2,FALSE),FALSE)=1, IF(G17&gt;0,CONCATENATE("CSME_HW_FW_Config_fusess[",G17-1+G16+G15+G14+G13,":",G16+G15+G14+G13,"]"), ""), "")</f>
        <v/>
      </c>
      <c r="M17" s="193"/>
      <c r="N17" s="188"/>
      <c r="O17" s="191"/>
    </row>
    <row r="18" spans="1:15" x14ac:dyDescent="0.35">
      <c r="A18" s="195"/>
      <c r="B18" s="46" t="s">
        <v>38</v>
      </c>
      <c r="C18" s="95" t="s">
        <v>221</v>
      </c>
      <c r="D18" s="185"/>
      <c r="E18" s="149"/>
      <c r="F18" s="89" t="s">
        <v>28</v>
      </c>
      <c r="G18" s="51">
        <f ca="1">IF($C18="No Param",32,VLOOKUP($C18,INDIRECT(Config!$B$1),HLOOKUP(D$1,INDIRECT(Config!$E$1),2,FALSE),FALSE)*32)</f>
        <v>0</v>
      </c>
      <c r="H18" s="17" t="str">
        <f ca="1">IF(G18=0, "N/A", CONCATENATE("0x",DEC2HEX(HEX2DEC(SUBSTITUTE(H17,"0x",""))+G17/8)))</f>
        <v>N/A</v>
      </c>
      <c r="I18" s="17" t="s">
        <v>39</v>
      </c>
      <c r="J18" s="17" t="str">
        <f ca="1">CONCATENATE("0x", DEC2HEX(
 _xlfn.BITLSHIFT(1, Group1!C97)*Group1!G97*Group1!M97
+_xlfn.BITLSHIFT(1, Group1!C98)*Group1!G98*Group1!M98
+_xlfn.BITLSHIFT(1, Group1!C99)*Group1!G99*Group1!M99
+_xlfn.BITLSHIFT(1, Group1!C100)*Group1!G100*Group1!M100, 8))</f>
        <v>0x00000000</v>
      </c>
      <c r="K18" s="17" t="str">
        <f ca="1">CONCATENATE("0x", DEC2HEX(
 _xlfn.BITLSHIFT(1, Group1!C97)*Group1!H97*Group1!M97
+_xlfn.BITLSHIFT(1, Group1!C98)*Group1!H98*Group1!M98
+_xlfn.BITLSHIFT(1, Group1!C99)*Group1!H99*Group1!M99
+_xlfn.BITLSHIFT(1, Group1!C100)*Group1!H100*Group1!M100, 8))</f>
        <v>0x00000000</v>
      </c>
      <c r="L18" s="17" t="str">
        <f ca="1">IF(VLOOKUP("EXT_FUSE_PULL_SUPP", INDIRECT(Config!$B$1),HLOOKUP(D$1,INDIRECT(Config!$E$1),2,FALSE),FALSE)=1, IF(G18&gt;0,CONCATENATE("CSME_HW_FW_Config_fusess[",G18-1+G17+G16+G15+G14+G13,":",G17+G16+G15+G14+G13,"]"), ""), "")</f>
        <v/>
      </c>
      <c r="M18" s="193"/>
      <c r="N18" s="188"/>
      <c r="O18" s="191"/>
    </row>
    <row r="19" spans="1:15" x14ac:dyDescent="0.35">
      <c r="A19" s="195"/>
      <c r="B19" s="95" t="s">
        <v>254</v>
      </c>
      <c r="C19" s="95" t="s">
        <v>209</v>
      </c>
      <c r="D19" s="185"/>
      <c r="E19" s="149"/>
      <c r="F19" s="89" t="s">
        <v>28</v>
      </c>
      <c r="G19" s="51">
        <f ca="1">IF($C19="No Param",32,VLOOKUP($C19,INDIRECT(Config!$B$1),HLOOKUP(D$1,INDIRECT(Config!$E$1),2,FALSE),FALSE)*32)</f>
        <v>0</v>
      </c>
      <c r="H19" s="17" t="str">
        <f ca="1">IF(G19=0, "N/A", CONCATENATE("0x",DEC2HEX(HEX2DEC(SUBSTITUTE(H17,"0x",""))+(G17+G18)/8)))</f>
        <v>N/A</v>
      </c>
      <c r="I19" s="7" t="s">
        <v>390</v>
      </c>
      <c r="J19" s="7" t="str">
        <f ca="1">CONCATENATE("0x", DEC2HEX(
 _xlfn.BITLSHIFT(1, Group1!C87)*Group1!G87*Group1!M87
+_xlfn.BITLSHIFT(1, Group1!C88)*Group1!G88*Group1!M88
+_xlfn.BITLSHIFT(1, Group1!C89)*Group1!G89*Group1!M89, 8))</f>
        <v>0x00000000</v>
      </c>
      <c r="K19" s="7" t="str">
        <f ca="1">CONCATENATE("0x", DEC2HEX(
 _xlfn.BITLSHIFT(1, Group1!C87)*Group1!H87*Group1!M87
+_xlfn.BITLSHIFT(1, Group1!C88)*Group1!H88*Group1!M88
+_xlfn.BITLSHIFT(1, Group1!C89)*Group1!H89*Group1!M89, 8))</f>
        <v>0x00000000</v>
      </c>
      <c r="L19" s="17" t="str">
        <f ca="1">IF(VLOOKUP("EXT_FUSE_PULL_SUPP", INDIRECT(Config!$B$1),HLOOKUP(D$1,INDIRECT(Config!$E$1),2,FALSE),FALSE)=1, IF(G19&gt;0,CONCATENATE("CSME_HW_FW_Config_fusess[",G19-1+G18+G17+G16+G15+G14+G13,":",G18+G17+G16+G15+G14+G13,"]"), ""), "")</f>
        <v/>
      </c>
      <c r="M19" s="193"/>
      <c r="N19" s="188"/>
      <c r="O19" s="191"/>
    </row>
    <row r="20" spans="1:15" x14ac:dyDescent="0.35">
      <c r="A20" s="195"/>
      <c r="B20" s="95" t="s">
        <v>258</v>
      </c>
      <c r="C20" s="95" t="s">
        <v>402</v>
      </c>
      <c r="D20" s="185"/>
      <c r="E20" s="149"/>
      <c r="F20" s="89" t="s">
        <v>28</v>
      </c>
      <c r="G20" s="51">
        <f ca="1">IF($C20="No Param",32,VLOOKUP($C20,INDIRECT(Config!$B$1),HLOOKUP(D$1,INDIRECT(Config!$E$1),2,FALSE),FALSE)*32)</f>
        <v>0</v>
      </c>
      <c r="H20" s="17" t="str">
        <f ca="1">IF(G20=0, "N/A", CONCATENATE("0x",DEC2HEX(HEX2DEC(SUBSTITUTE(H17,"0x",""))+(G17+G18+G19)/8)))</f>
        <v>N/A</v>
      </c>
      <c r="I20" s="7" t="s">
        <v>391</v>
      </c>
      <c r="J20" s="7" t="str">
        <f ca="1">CONCATENATE("0x", DEC2HEX(
 _xlfn.BITLSHIFT(1, Group1!C90)*Group1!G90*Group1!M90, 8))</f>
        <v>0x00000000</v>
      </c>
      <c r="K20" s="7" t="str">
        <f ca="1">CONCATENATE("0x", DEC2HEX(
 _xlfn.BITLSHIFT(1, Group1!C90)*Group1!H90*Group1!M90, 8))</f>
        <v>0x00000000</v>
      </c>
      <c r="L20" s="17" t="str">
        <f ca="1">IF(VLOOKUP("EXT_FUSE_PULL_SUPP", INDIRECT(Config!$B$1),HLOOKUP(D$1,INDIRECT(Config!$E$1),2,FALSE),FALSE)=1, IF(G20&gt;0,CONCATENATE("CSME_HW_FW_Config_fusess[",G20-1+G19+G18+G17+G16+G15+G14+G13,":",G19+G18+G17+G16+G15+G14+G13,"]"), ""), "")</f>
        <v/>
      </c>
      <c r="M20" s="193"/>
      <c r="N20" s="188"/>
      <c r="O20" s="191"/>
    </row>
    <row r="21" spans="1:15" x14ac:dyDescent="0.35">
      <c r="A21" s="195"/>
      <c r="B21" s="95" t="s">
        <v>259</v>
      </c>
      <c r="C21" s="95" t="s">
        <v>402</v>
      </c>
      <c r="D21" s="185"/>
      <c r="E21" s="149"/>
      <c r="F21" s="89" t="s">
        <v>28</v>
      </c>
      <c r="G21" s="51">
        <f ca="1">IF($C21="No Param",32,VLOOKUP($C21,INDIRECT(Config!$B$1),HLOOKUP(D$1,INDIRECT(Config!$E$1),2,FALSE),FALSE)*32)</f>
        <v>0</v>
      </c>
      <c r="H21" s="17" t="str">
        <f ca="1">IF(G21=0, "N/A", CONCATENATE("0x",DEC2HEX(HEX2DEC(SUBSTITUTE(H17,"0x",""))+(G17+G18+G19+G20)/8)))</f>
        <v>N/A</v>
      </c>
      <c r="I21" s="7" t="s">
        <v>392</v>
      </c>
      <c r="J21" s="7" t="str">
        <f ca="1">CONCATENATE("0x", DEC2HEX(
 _xlfn.BITLSHIFT(1, Group1!C91)*Group1!G91*Group1!M91, 8))</f>
        <v>0x00000000</v>
      </c>
      <c r="K21" s="7" t="str">
        <f ca="1">CONCATENATE("0x", DEC2HEX(
 _xlfn.BITLSHIFT(1, Group1!C91)*Group1!H91*Group1!M91, 8))</f>
        <v>0x00000000</v>
      </c>
      <c r="L21" s="17" t="str">
        <f ca="1">IF(VLOOKUP("EXT_FUSE_PULL_SUPP", INDIRECT(Config!$B$1),HLOOKUP(D$1,INDIRECT(Config!$E$1),2,FALSE),FALSE)=1, IF(G21&gt;0,CONCATENATE("CSME_HW_FW_Config_fusess[",G21-1+G20+G19+G18+G17+G16+G15+G14+G13,":",G20+G19+G18+G17+G16+G15+G14+G13,"]"), ""), "")</f>
        <v/>
      </c>
      <c r="M21" s="193"/>
      <c r="N21" s="188"/>
      <c r="O21" s="191"/>
    </row>
    <row r="22" spans="1:15" x14ac:dyDescent="0.35">
      <c r="A22" s="195"/>
      <c r="B22" s="95" t="s">
        <v>260</v>
      </c>
      <c r="C22" s="95" t="s">
        <v>402</v>
      </c>
      <c r="D22" s="185"/>
      <c r="E22" s="149"/>
      <c r="F22" s="89" t="s">
        <v>28</v>
      </c>
      <c r="G22" s="51">
        <f ca="1">IF($C22="No Param",32,VLOOKUP($C22,INDIRECT(Config!$B$1),HLOOKUP(D$1,INDIRECT(Config!$E$1),2,FALSE),FALSE)*32)</f>
        <v>0</v>
      </c>
      <c r="H22" s="17" t="str">
        <f ca="1">IF(G22=0, "N/A", CONCATENATE("0x",DEC2HEX(HEX2DEC(SUBSTITUTE(H17,"0x",""))+(G17+G18+G19+G20+G21)/8)))</f>
        <v>N/A</v>
      </c>
      <c r="I22" s="7" t="s">
        <v>393</v>
      </c>
      <c r="J22" s="7" t="str">
        <f ca="1">CONCATENATE("0x", DEC2HEX(
 _xlfn.BITLSHIFT(1, Group1!C92)*Group1!G92*Group1!M92, 8))</f>
        <v>0x00000000</v>
      </c>
      <c r="K22" s="7" t="str">
        <f ca="1">CONCATENATE("0x", DEC2HEX(
 _xlfn.BITLSHIFT(1, Group1!C92)*Group1!H92*Group1!M92, 8))</f>
        <v>0x00000000</v>
      </c>
      <c r="L22" s="17" t="str">
        <f ca="1">IF(VLOOKUP("EXT_FUSE_PULL_SUPP", INDIRECT(Config!$B$1),HLOOKUP(D$1,INDIRECT(Config!$E$1),2,FALSE),FALSE)=1, IF(G22&gt;0,CONCATENATE("CSME_HW_FW_Config_fusess[",G22-1+G21+G20+G19+G18+G17+G16+G15+G14+G13,":",G21+G20+G19+G18+G17+G16+G15+G14+G13,"]"), ""), "")</f>
        <v/>
      </c>
      <c r="M22" s="193"/>
      <c r="N22" s="188"/>
      <c r="O22" s="191"/>
    </row>
    <row r="23" spans="1:15" x14ac:dyDescent="0.35">
      <c r="A23" s="195"/>
      <c r="B23" s="46" t="s">
        <v>40</v>
      </c>
      <c r="C23" s="49" t="s">
        <v>626</v>
      </c>
      <c r="D23" s="185"/>
      <c r="E23" s="149"/>
      <c r="F23" s="89" t="s">
        <v>28</v>
      </c>
      <c r="G23" s="51">
        <f ca="1">IF($C23="No Param",32,VLOOKUP($C23,INDIRECT(Config!$B$1),HLOOKUP(D$1,INDIRECT(Config!$E$1),2,FALSE),FALSE)*32)</f>
        <v>32</v>
      </c>
      <c r="H23" s="17" t="s">
        <v>41</v>
      </c>
      <c r="I23" s="17" t="s">
        <v>42</v>
      </c>
      <c r="J23" s="17" t="str">
        <f>CONCATENATE("0x", DEC2HEX(
 _xlfn.BITLSHIFT(1, Group1!C101)*Group1!G101*Group1!M101
+_xlfn.BITLSHIFT(1, Group1!C102)*Group1!G102*Group1!M102
+_xlfn.BITLSHIFT(1, Group1!C103)*Group1!G103*Group1!M103
+_xlfn.BITLSHIFT(1, Group1!C104)*Group1!G104*Group1!M104, 8))</f>
        <v>0x00000000</v>
      </c>
      <c r="K23" s="17" t="str">
        <f>CONCATENATE("0x", DEC2HEX(
 _xlfn.BITLSHIFT(1, Group1!C101)*Group1!H101*Group1!M101
+_xlfn.BITLSHIFT(1, Group1!C102)*Group1!H102*Group1!M102
+_xlfn.BITLSHIFT(1, Group1!C103)*Group1!H103*Group1!M103
+_xlfn.BITLSHIFT(1, Group1!C104)*Group1!H104*Group1!M104, 8))</f>
        <v>0x0A000000</v>
      </c>
      <c r="L23" s="178" t="str">
        <f ca="1">IF(VLOOKUP("EXT_FUSE_PULL_SUPP", INDIRECT(Config!$B$1),HLOOKUP(D$1,INDIRECT(Config!$E$1),2,FALSE),FALSE)=1, IF(G23&gt;0,CONCATENATE("CSME_HW_FW_INT_CHK[",G23-1,":0]"),""), "")</f>
        <v>CSME_HW_FW_INT_CHK[31:0]</v>
      </c>
      <c r="M23" s="193"/>
      <c r="N23" s="188"/>
      <c r="O23" s="191"/>
    </row>
    <row r="24" spans="1:15" x14ac:dyDescent="0.35">
      <c r="A24" s="194" t="s">
        <v>43</v>
      </c>
      <c r="B24" s="46" t="s">
        <v>44</v>
      </c>
      <c r="C24" s="46" t="s">
        <v>627</v>
      </c>
      <c r="D24" s="185" t="s">
        <v>45</v>
      </c>
      <c r="E24" s="149"/>
      <c r="F24" s="89" t="s">
        <v>46</v>
      </c>
      <c r="G24" s="51">
        <f ca="1">IF($C24="No Param",32,VLOOKUP($C24,INDIRECT(Config!$B$1),HLOOKUP(D$1,INDIRECT(Config!$E$1),2,FALSE),FALSE)*32)</f>
        <v>0</v>
      </c>
      <c r="H24" s="17" t="str">
        <f ca="1">IF(G24=0,"N/A","0x8000")</f>
        <v>N/A</v>
      </c>
      <c r="I24" s="17" t="s">
        <v>47</v>
      </c>
      <c r="J24" s="17" t="s">
        <v>399</v>
      </c>
      <c r="K24" s="17" t="s">
        <v>399</v>
      </c>
      <c r="L24" s="17"/>
      <c r="M24" s="193" t="s">
        <v>382</v>
      </c>
      <c r="N24" s="188"/>
      <c r="O24" s="191">
        <f ca="1">(G24+G25)</f>
        <v>0</v>
      </c>
    </row>
    <row r="25" spans="1:15" ht="15" thickBot="1" x14ac:dyDescent="0.4">
      <c r="A25" s="197"/>
      <c r="B25" s="96" t="s">
        <v>48</v>
      </c>
      <c r="C25" s="96" t="s">
        <v>628</v>
      </c>
      <c r="D25" s="186"/>
      <c r="E25" s="150"/>
      <c r="F25" s="98" t="s">
        <v>46</v>
      </c>
      <c r="G25" s="97">
        <f ca="1">IF($C25="No Param",32,VLOOKUP($C25,INDIRECT(Config!$B$1),HLOOKUP(D$1,INDIRECT(Config!$E$1),2,FALSE),FALSE)*32)</f>
        <v>0</v>
      </c>
      <c r="H25" s="33" t="str">
        <f ca="1">IF(G25=0,"N/A","0x8004")</f>
        <v>N/A</v>
      </c>
      <c r="I25" s="33" t="s">
        <v>49</v>
      </c>
      <c r="J25" s="33" t="s">
        <v>399</v>
      </c>
      <c r="K25" s="33" t="s">
        <v>399</v>
      </c>
      <c r="L25" s="33"/>
      <c r="M25" s="189"/>
      <c r="N25" s="189"/>
      <c r="O25" s="192"/>
    </row>
    <row r="26" spans="1:15" ht="15" thickBot="1" x14ac:dyDescent="0.4">
      <c r="A26" s="151"/>
    </row>
    <row r="27" spans="1:15" x14ac:dyDescent="0.35">
      <c r="A27" s="184" t="s">
        <v>51</v>
      </c>
      <c r="B27" s="105" t="s">
        <v>631</v>
      </c>
      <c r="C27" s="105" t="s">
        <v>631</v>
      </c>
      <c r="D27" s="105"/>
      <c r="E27" s="134"/>
      <c r="F27" s="115" t="s">
        <v>52</v>
      </c>
      <c r="G27" s="116">
        <f ca="1">IF($C27="No Param",32,VLOOKUP($C27,INDIRECT(Config!$B$1),HLOOKUP(D$1,INDIRECT(Config!$E$1),2,FALSE),FALSE))</f>
        <v>0</v>
      </c>
      <c r="H27" s="107" t="s">
        <v>53</v>
      </c>
      <c r="I27" s="139" t="s">
        <v>637</v>
      </c>
      <c r="J27" s="139" t="s">
        <v>399</v>
      </c>
      <c r="K27" s="139" t="s">
        <v>399</v>
      </c>
      <c r="L27" s="139"/>
      <c r="M27" s="140" t="s">
        <v>50</v>
      </c>
      <c r="N27" s="187" t="s">
        <v>50</v>
      </c>
      <c r="O27" s="190">
        <f ca="1">SUM(G27:G41)</f>
        <v>0</v>
      </c>
    </row>
    <row r="28" spans="1:15" ht="15" customHeight="1" x14ac:dyDescent="0.35">
      <c r="A28" s="185"/>
      <c r="B28" s="46" t="s">
        <v>54</v>
      </c>
      <c r="C28" s="46" t="s">
        <v>261</v>
      </c>
      <c r="D28" s="46" t="s">
        <v>18</v>
      </c>
      <c r="E28" s="40"/>
      <c r="F28" s="32" t="s">
        <v>52</v>
      </c>
      <c r="G28" s="51">
        <f ca="1">VLOOKUP("TRC_PRESENT", INDIRECT(Config!$B$1), HLOOKUP(D$1, INDIRECT(Config!$E$1), 2, FALSE),FALSE)*32</f>
        <v>0</v>
      </c>
      <c r="H28" s="17" t="s">
        <v>55</v>
      </c>
      <c r="I28" s="17" t="str">
        <f>CONCATENATE("0x",DEC2HEX(HEX2DEC(SUBSTITUTE(I27,"0x",""))+HEX2DEC(SUBSTITUTE(H28,"0x",""))))</f>
        <v>0xF00B0840</v>
      </c>
      <c r="J28" s="17" t="s">
        <v>399</v>
      </c>
      <c r="K28" s="17" t="s">
        <v>399</v>
      </c>
      <c r="L28" s="84" t="str">
        <f ca="1">IF(VLOOKUP("EXT_FUSE_PULL_SUPP", INDIRECT(Config!$B$1),HLOOKUP(D$1,INDIRECT(Config!$E$1),2,FALSE),FALSE)=1, IF(G28&gt;0,CONCATENATE("GSK_OEM_IFP_CONFIG[",G28-1,":0]"),""), "")</f>
        <v/>
      </c>
      <c r="M28" s="193" t="s">
        <v>381</v>
      </c>
      <c r="N28" s="188"/>
      <c r="O28" s="191"/>
    </row>
    <row r="29" spans="1:15" x14ac:dyDescent="0.35">
      <c r="A29" s="185"/>
      <c r="B29" s="46" t="s">
        <v>56</v>
      </c>
      <c r="C29" s="46" t="s">
        <v>261</v>
      </c>
      <c r="D29" s="46" t="s">
        <v>18</v>
      </c>
      <c r="E29" s="40"/>
      <c r="F29" s="32" t="s">
        <v>52</v>
      </c>
      <c r="G29" s="51">
        <f ca="1">VLOOKUP("TRC_PRESENT", INDIRECT(Config!$B$1), HLOOKUP(D$1, INDIRECT(Config!$E$1), 2, FALSE),FALSE)*32</f>
        <v>0</v>
      </c>
      <c r="H29" s="17" t="s">
        <v>57</v>
      </c>
      <c r="I29" s="17" t="str">
        <f>CONCATENATE("0x",DEC2HEX(HEX2DEC(SUBSTITUTE(I27,"0x",""))+HEX2DEC(SUBSTITUTE(H29,"0x",""))))</f>
        <v>0xF00B0844</v>
      </c>
      <c r="J29" s="17" t="s">
        <v>399</v>
      </c>
      <c r="K29" s="17" t="s">
        <v>399</v>
      </c>
      <c r="L29" s="84" t="str">
        <f ca="1">IF(VLOOKUP("EXT_FUSE_PULL_SUPP", INDIRECT(Config!$B$1),HLOOKUP(D$1,INDIRECT(Config!$E$1),2,FALSE),FALSE)=1, IF(G29&gt;0,CONCATENATE("GSK_TRC_DIS[",G29-1,":0]"),""), "")</f>
        <v/>
      </c>
      <c r="M29" s="193"/>
      <c r="N29" s="188"/>
      <c r="O29" s="191"/>
    </row>
    <row r="30" spans="1:15" x14ac:dyDescent="0.35">
      <c r="A30" s="185"/>
      <c r="B30" s="46" t="s">
        <v>371</v>
      </c>
      <c r="C30" s="17" t="s">
        <v>372</v>
      </c>
      <c r="D30" s="46" t="s">
        <v>564</v>
      </c>
      <c r="E30" s="40"/>
      <c r="F30" s="32" t="s">
        <v>52</v>
      </c>
      <c r="G30" s="51">
        <f ca="1">VLOOKUP("OEM_SECRET_KEY_FUSES_LIMIT", INDIRECT(Config!$B$1), HLOOKUP(D$1, INDIRECT(Config!$E$1), 2, FALSE),FALSE)*32</f>
        <v>0</v>
      </c>
      <c r="H30" s="17" t="s">
        <v>417</v>
      </c>
      <c r="I30" s="17" t="str">
        <f>CONCATENATE("0x",DEC2HEX(HEX2DEC(SUBSTITUTE(I27,"0x",""))+HEX2DEC(SUBSTITUTE(H30,"0x",""))))</f>
        <v>0xF00B0880</v>
      </c>
      <c r="J30" s="17" t="s">
        <v>399</v>
      </c>
      <c r="K30" s="17" t="s">
        <v>399</v>
      </c>
      <c r="L30" s="84" t="str">
        <f ca="1">IF(VLOOKUP("EXT_FUSE_PULL_SUPP", INDIRECT(Config!$B$1),HLOOKUP(D$1,INDIRECT(Config!$E$1),2,FALSE),FALSE)=1, IF(G30&gt;0,CONCATENATE("GSK_OEM_SECRET_KEYS_DWn[",G30-1,":0]"),""), "")</f>
        <v/>
      </c>
      <c r="M30" s="193"/>
      <c r="N30" s="188"/>
      <c r="O30" s="191"/>
    </row>
    <row r="31" spans="1:15" x14ac:dyDescent="0.35">
      <c r="A31" s="185"/>
      <c r="B31" s="109" t="s">
        <v>630</v>
      </c>
      <c r="C31" s="109" t="s">
        <v>683</v>
      </c>
      <c r="D31" s="133"/>
      <c r="E31" s="135" t="str">
        <f>CONCATENATE("This is a region for ",$D$1," FW IFPs")</f>
        <v>This is a region for MTL-SOC-M GSC FW IFPs</v>
      </c>
      <c r="F31" s="117" t="s">
        <v>52</v>
      </c>
      <c r="G31" s="106">
        <f ca="1">IF($C31="No Param",32,
IF("FW_IFP_GENERAL"=$C31,
IF(VLOOKUP($C31,INDIRECT(Config!$B$1),HLOOKUP(D$1,INDIRECT(Config!$E$1),2,FALSE),FALSE)*32&gt;2048,2048,
MOD(VLOOKUP($C31,INDIRECT(Config!$B$1),HLOOKUP(D$1,INDIRECT(Config!$E$1),2,FALSE),FALSE)*32,2048)),
VLOOKUP($C31,INDIRECT(Config!$B$1),HLOOKUP(D$1,INDIRECT(Config!$E$1),2,FALSE),FALSE)*32))</f>
        <v>0</v>
      </c>
      <c r="H31" s="110" t="s">
        <v>58</v>
      </c>
      <c r="I31" s="2" t="str">
        <f>CONCATENATE("0x",DEC2HEX(HEX2DEC(SUBSTITUTE(I27,"0x",""))+HEX2DEC(SUBSTITUTE(H31,"0x",""))))</f>
        <v>0xF00B0900</v>
      </c>
      <c r="J31" s="141" t="s">
        <v>399</v>
      </c>
      <c r="K31" s="141" t="s">
        <v>399</v>
      </c>
      <c r="L31" s="142" t="str">
        <f ca="1">IF(VLOOKUP("EXT_FUSE_PULL_SUPP", INDIRECT(Config!$B$1),HLOOKUP(D$1,INDIRECT(Config!$E$1),2,FALSE),FALSE)=1, IF(G31&gt;0,CONCATENATE("CSME_HW_IFP_FUSES[",G31-1,":0]"),""), "")</f>
        <v/>
      </c>
      <c r="M31" s="141" t="s">
        <v>50</v>
      </c>
      <c r="N31" s="188"/>
      <c r="O31" s="191"/>
    </row>
    <row r="32" spans="1:15" x14ac:dyDescent="0.35">
      <c r="A32" s="185"/>
      <c r="B32" s="109" t="s">
        <v>632</v>
      </c>
      <c r="C32" s="109" t="s">
        <v>632</v>
      </c>
      <c r="D32" s="109"/>
      <c r="E32" s="136"/>
      <c r="F32" s="117" t="s">
        <v>415</v>
      </c>
      <c r="G32" s="106">
        <f ca="1">IF($C32="No Param",32,VLOOKUP($C32,INDIRECT(Config!$B$1),HLOOKUP(D$1,INDIRECT(Config!$E$1),2,FALSE),FALSE))</f>
        <v>0</v>
      </c>
      <c r="H32" s="110" t="s">
        <v>425</v>
      </c>
      <c r="I32" s="2" t="str">
        <f>CONCATENATE("0x",DEC2HEX(HEX2DEC(SUBSTITUTE(I27,"0x",""))+HEX2DEC(SUBSTITUTE(H32,"0x",""))))</f>
        <v>0xF00B0A00</v>
      </c>
      <c r="J32" s="141" t="s">
        <v>399</v>
      </c>
      <c r="K32" s="141" t="s">
        <v>399</v>
      </c>
      <c r="L32" s="141"/>
      <c r="M32" s="141" t="s">
        <v>50</v>
      </c>
      <c r="N32" s="188"/>
      <c r="O32" s="191"/>
    </row>
    <row r="33" spans="1:15" ht="15" customHeight="1" x14ac:dyDescent="0.35">
      <c r="A33" s="185"/>
      <c r="B33" s="46" t="s">
        <v>366</v>
      </c>
      <c r="C33" s="17" t="s">
        <v>367</v>
      </c>
      <c r="D33" s="46" t="s">
        <v>18</v>
      </c>
      <c r="E33" s="40"/>
      <c r="F33" s="32" t="s">
        <v>415</v>
      </c>
      <c r="G33" s="51">
        <f ca="1">IF(VLOOKUP("PARAM_INT_IFP_TRIPLE_RDD_DIS", INDIRECT(Config!$B$1), HLOOKUP(D$1, INDIRECT(Config!$E$1), 2, FALSE),FALSE)=0, VLOOKUP("TRC_PRESENT", INDIRECT(Config!$B$1), HLOOKUP(D$1, INDIRECT(Config!$E$1), 2, FALSE),FALSE)*32, 0)</f>
        <v>0</v>
      </c>
      <c r="H33" s="17" t="s">
        <v>420</v>
      </c>
      <c r="I33" s="17" t="str">
        <f>CONCATENATE("0x",DEC2HEX(HEX2DEC(SUBSTITUTE(I27,"0x",""))+HEX2DEC(SUBSTITUTE(H33,"0x",""))))</f>
        <v>0xF00B0A40</v>
      </c>
      <c r="J33" s="17" t="s">
        <v>399</v>
      </c>
      <c r="K33" s="17" t="s">
        <v>399</v>
      </c>
      <c r="L33" s="84" t="str">
        <f ca="1">IF(VLOOKUP("EXT_FUSE_PULL_SUPP", INDIRECT(Config!$B$1),HLOOKUP(D$1,INDIRECT(Config!$E$1),2,FALSE),FALSE)=1, IF(G33&gt;0,CONCATENATE("GSK_OEM_IFP_CONFIG_COPY1[",G33-1,":0]"),""), "")</f>
        <v/>
      </c>
      <c r="M33" s="193" t="s">
        <v>381</v>
      </c>
      <c r="N33" s="188"/>
      <c r="O33" s="191"/>
    </row>
    <row r="34" spans="1:15" x14ac:dyDescent="0.35">
      <c r="A34" s="185"/>
      <c r="B34" s="46" t="s">
        <v>413</v>
      </c>
      <c r="C34" s="17" t="s">
        <v>367</v>
      </c>
      <c r="D34" s="46" t="s">
        <v>18</v>
      </c>
      <c r="E34" s="40"/>
      <c r="F34" s="32" t="s">
        <v>415</v>
      </c>
      <c r="G34" s="51">
        <f ca="1">IF(VLOOKUP("PARAM_INT_IFP_TRIPLE_RDD_DIS", INDIRECT(Config!$B$1), HLOOKUP(D$1, INDIRECT(Config!$E$1), 2, FALSE),FALSE)=0, VLOOKUP("TRC_PRESENT", INDIRECT(Config!$B$1), HLOOKUP(D$1, INDIRECT(Config!$E$1), 2, FALSE),FALSE)*32, 0)</f>
        <v>0</v>
      </c>
      <c r="H34" s="17" t="s">
        <v>423</v>
      </c>
      <c r="I34" s="17" t="str">
        <f>CONCATENATE("0x",DEC2HEX(HEX2DEC(SUBSTITUTE(I27,"0x",""))+HEX2DEC(SUBSTITUTE(H34,"0x",""))))</f>
        <v>0xF00B0A44</v>
      </c>
      <c r="J34" s="17" t="s">
        <v>399</v>
      </c>
      <c r="K34" s="17" t="s">
        <v>399</v>
      </c>
      <c r="L34" s="84" t="str">
        <f ca="1">IF(VLOOKUP("EXT_FUSE_PULL_SUPP", INDIRECT(Config!$B$1),HLOOKUP(D$1,INDIRECT(Config!$E$1),2,FALSE),FALSE)=1, IF(G34&gt;0,CONCATENATE("GSK_TRC_DIS_COPY1[",G34-1,":0]"),""), "")</f>
        <v/>
      </c>
      <c r="M34" s="193"/>
      <c r="N34" s="188"/>
      <c r="O34" s="191"/>
    </row>
    <row r="35" spans="1:15" x14ac:dyDescent="0.35">
      <c r="A35" s="185"/>
      <c r="B35" s="46" t="s">
        <v>374</v>
      </c>
      <c r="C35" s="17" t="s">
        <v>375</v>
      </c>
      <c r="D35" s="46" t="s">
        <v>564</v>
      </c>
      <c r="E35" s="40"/>
      <c r="F35" s="32" t="s">
        <v>415</v>
      </c>
      <c r="G35" s="51">
        <f ca="1">IF(VLOOKUP("PARAM_INT_IFP_TRIPLE_RDD_DIS", INDIRECT(Config!$B$1), HLOOKUP(D$1, INDIRECT(Config!$E$1), 2, FALSE),FALSE)=0, VLOOKUP("OEM_SECRET_KEY_FUSES_LIMIT", INDIRECT(Config!$B$1), HLOOKUP(D$1, INDIRECT(Config!$E$1), 2, FALSE),FALSE)*32, 0)</f>
        <v>0</v>
      </c>
      <c r="H35" s="17" t="s">
        <v>418</v>
      </c>
      <c r="I35" s="17" t="str">
        <f>CONCATENATE("0x",DEC2HEX(HEX2DEC(SUBSTITUTE(I27,"0x",""))+HEX2DEC(SUBSTITUTE(H35,"0x",""))))</f>
        <v>0xF00B0A80</v>
      </c>
      <c r="J35" s="17" t="s">
        <v>399</v>
      </c>
      <c r="K35" s="17" t="s">
        <v>399</v>
      </c>
      <c r="L35" s="84" t="str">
        <f ca="1">IF(VLOOKUP("EXT_FUSE_PULL_SUPP", INDIRECT(Config!$B$1),HLOOKUP(D$1,INDIRECT(Config!$E$1),2,FALSE),FALSE)=1, IF(G35&gt;0,CONCATENATE("GSK_OEM_SECRET_KEYS_DWn_COPY1[",G35-1,":0]"),""), "")</f>
        <v/>
      </c>
      <c r="M35" s="193"/>
      <c r="N35" s="188"/>
      <c r="O35" s="191"/>
    </row>
    <row r="36" spans="1:15" x14ac:dyDescent="0.35">
      <c r="A36" s="185"/>
      <c r="B36" s="109" t="s">
        <v>633</v>
      </c>
      <c r="C36" s="109" t="s">
        <v>683</v>
      </c>
      <c r="D36" s="133"/>
      <c r="E36" s="135" t="str">
        <f>IF($D$1="MTL-SOC-M CSME", "This is a region for MTL-SOC-M GSC FW IFPs", CONCATENATE("This is a region for ",$D$1," FW IFPs"))</f>
        <v>This is a region for MTL-SOC-M GSC FW IFPs</v>
      </c>
      <c r="F36" s="117" t="s">
        <v>415</v>
      </c>
      <c r="G36" s="106">
        <f ca="1">IF($C36="No Param",32,
IF("FW_IFP_GENERAL"=$C36,
IF(VLOOKUP($C36,INDIRECT(Config!$B$1),HLOOKUP(D$1,INDIRECT(Config!$E$1),2,FALSE),FALSE)*32-2048&gt;=2048/32,2048,
IF(VLOOKUP($C36,INDIRECT(Config!$B$1),HLOOKUP(D$1,INDIRECT(Config!$E$1),2,FALSE),FALSE)*32-2048&gt;0,
MOD(VLOOKUP($C36,INDIRECT(Config!$B$1),HLOOKUP(D$1,INDIRECT(Config!$E$1),2,FALSE),FALSE)*32-2048,2048),0)),
VLOOKUP($C36,INDIRECT(Config!$B$1),HLOOKUP(D$1,INDIRECT(Config!$E$1),2,FALSE),FALSE)*32))</f>
        <v>0</v>
      </c>
      <c r="H36" s="110" t="s">
        <v>424</v>
      </c>
      <c r="I36" s="2" t="str">
        <f>CONCATENATE("0x",DEC2HEX(HEX2DEC(SUBSTITUTE(I27,"0x",""))+HEX2DEC(SUBSTITUTE(H36,"0x",""))))</f>
        <v>0xF00B0B00</v>
      </c>
      <c r="J36" s="141" t="s">
        <v>399</v>
      </c>
      <c r="K36" s="141" t="s">
        <v>399</v>
      </c>
      <c r="L36" s="142" t="str">
        <f ca="1">IF(VLOOKUP("EXT_FUSE_PULL_SUPP", INDIRECT(Config!$B$1),HLOOKUP(D$1,INDIRECT(Config!$E$1),2,FALSE),FALSE)=1, IF(G36&gt;0,CONCATENATE("CSME_HW_IFP_FUSES_COPY1[",G36-1,":0]"),""), "")</f>
        <v/>
      </c>
      <c r="M36" s="141" t="s">
        <v>50</v>
      </c>
      <c r="N36" s="188"/>
      <c r="O36" s="191"/>
    </row>
    <row r="37" spans="1:15" x14ac:dyDescent="0.35">
      <c r="A37" s="185"/>
      <c r="B37" s="109" t="s">
        <v>634</v>
      </c>
      <c r="C37" s="109" t="s">
        <v>634</v>
      </c>
      <c r="D37" s="109"/>
      <c r="E37" s="136"/>
      <c r="F37" s="117" t="s">
        <v>416</v>
      </c>
      <c r="G37" s="106">
        <f ca="1">IF($C37="No Param",32,VLOOKUP($C37,INDIRECT(Config!$B$1),HLOOKUP(D$1,INDIRECT(Config!$E$1),2,FALSE),FALSE))</f>
        <v>0</v>
      </c>
      <c r="H37" s="110" t="s">
        <v>426</v>
      </c>
      <c r="I37" s="2" t="str">
        <f>CONCATENATE("0x",DEC2HEX(HEX2DEC(SUBSTITUTE(I27,"0x",""))+HEX2DEC(SUBSTITUTE(H37,"0x",""))))</f>
        <v>0xF00B0C00</v>
      </c>
      <c r="J37" s="141" t="s">
        <v>399</v>
      </c>
      <c r="K37" s="141" t="s">
        <v>399</v>
      </c>
      <c r="L37" s="141"/>
      <c r="M37" s="141" t="s">
        <v>50</v>
      </c>
      <c r="N37" s="188"/>
      <c r="O37" s="191"/>
    </row>
    <row r="38" spans="1:15" ht="15" customHeight="1" x14ac:dyDescent="0.35">
      <c r="A38" s="185"/>
      <c r="B38" s="46" t="s">
        <v>369</v>
      </c>
      <c r="C38" s="17" t="s">
        <v>367</v>
      </c>
      <c r="D38" s="46" t="s">
        <v>18</v>
      </c>
      <c r="E38" s="40"/>
      <c r="F38" s="32" t="s">
        <v>416</v>
      </c>
      <c r="G38" s="51">
        <f ca="1">IF(VLOOKUP("PARAM_INT_IFP_TRIPLE_RDD_DIS", INDIRECT(Config!$B$1), HLOOKUP(D$1, INDIRECT(Config!$E$1), 2, FALSE),FALSE)=0, VLOOKUP("TRC_PRESENT", INDIRECT(Config!$B$1), HLOOKUP(D$1, INDIRECT(Config!$E$1), 2, FALSE),FALSE)*32, 0)</f>
        <v>0</v>
      </c>
      <c r="H38" s="17" t="s">
        <v>422</v>
      </c>
      <c r="I38" s="17" t="str">
        <f>CONCATENATE("0x",DEC2HEX(HEX2DEC(SUBSTITUTE(I27,"0x",""))+HEX2DEC(SUBSTITUTE(H38,"0x",""))))</f>
        <v>0xF00B0C40</v>
      </c>
      <c r="J38" s="17" t="s">
        <v>399</v>
      </c>
      <c r="K38" s="17" t="s">
        <v>399</v>
      </c>
      <c r="L38" s="84" t="str">
        <f ca="1">IF(VLOOKUP("EXT_FUSE_PULL_SUPP", INDIRECT(Config!$B$1),HLOOKUP(D$1,INDIRECT(Config!$E$1),2,FALSE),FALSE)=1, IF(G38&gt;0,CONCATENATE("GSK_OEM_IFP_CONFIG_COPY2[",G38-1,":0]"),""), "")</f>
        <v/>
      </c>
      <c r="M38" s="193" t="s">
        <v>381</v>
      </c>
      <c r="N38" s="188"/>
      <c r="O38" s="191"/>
    </row>
    <row r="39" spans="1:15" x14ac:dyDescent="0.35">
      <c r="A39" s="185"/>
      <c r="B39" s="46" t="s">
        <v>414</v>
      </c>
      <c r="C39" s="17" t="s">
        <v>367</v>
      </c>
      <c r="D39" s="46" t="s">
        <v>18</v>
      </c>
      <c r="E39" s="40"/>
      <c r="F39" s="32" t="s">
        <v>416</v>
      </c>
      <c r="G39" s="51">
        <f ca="1">IF(VLOOKUP("PARAM_INT_IFP_TRIPLE_RDD_DIS", INDIRECT(Config!$B$1), HLOOKUP(D$1, INDIRECT(Config!$E$1), 2, FALSE),FALSE)=0, VLOOKUP("TRC_PRESENT", INDIRECT(Config!$B$1), HLOOKUP(D$1, INDIRECT(Config!$E$1), 2, FALSE),FALSE)*32, 0)</f>
        <v>0</v>
      </c>
      <c r="H39" s="17" t="s">
        <v>421</v>
      </c>
      <c r="I39" s="17" t="str">
        <f>CONCATENATE("0x",DEC2HEX(HEX2DEC(SUBSTITUTE(I27,"0x",""))+HEX2DEC(SUBSTITUTE(H39,"0x",""))))</f>
        <v>0xF00B0C44</v>
      </c>
      <c r="J39" s="17" t="s">
        <v>399</v>
      </c>
      <c r="K39" s="17" t="s">
        <v>399</v>
      </c>
      <c r="L39" s="84" t="str">
        <f ca="1">IF(VLOOKUP("EXT_FUSE_PULL_SUPP", INDIRECT(Config!$B$1),HLOOKUP(D$1,INDIRECT(Config!$E$1),2,FALSE),FALSE)=1, IF(G39&gt;0,CONCATENATE("GSK_TRC_DIS_COPY2[",G39-1,":0]"),""), "")</f>
        <v/>
      </c>
      <c r="M39" s="193"/>
      <c r="N39" s="188"/>
      <c r="O39" s="191"/>
    </row>
    <row r="40" spans="1:15" x14ac:dyDescent="0.35">
      <c r="A40" s="185"/>
      <c r="B40" s="46" t="s">
        <v>377</v>
      </c>
      <c r="C40" s="17" t="s">
        <v>375</v>
      </c>
      <c r="D40" s="46" t="s">
        <v>564</v>
      </c>
      <c r="E40" s="40"/>
      <c r="F40" s="32" t="s">
        <v>416</v>
      </c>
      <c r="G40" s="51">
        <f ca="1">IF(VLOOKUP("PARAM_INT_IFP_TRIPLE_RDD_DIS", INDIRECT(Config!$B$1), HLOOKUP(D$1, INDIRECT(Config!$E$1), 2, FALSE),FALSE)=0, VLOOKUP("OEM_SECRET_KEY_FUSES_LIMIT", INDIRECT(Config!$B$1), HLOOKUP(D$1, INDIRECT(Config!$E$1), 2, FALSE),FALSE)*32, 0)</f>
        <v>0</v>
      </c>
      <c r="H40" s="17" t="s">
        <v>419</v>
      </c>
      <c r="I40" s="17" t="str">
        <f>CONCATENATE("0x",DEC2HEX(HEX2DEC(SUBSTITUTE(I27,"0x",""))+HEX2DEC(SUBSTITUTE(H40,"0x",""))))</f>
        <v>0xF00B0C80</v>
      </c>
      <c r="J40" s="17" t="s">
        <v>399</v>
      </c>
      <c r="K40" s="17" t="s">
        <v>399</v>
      </c>
      <c r="L40" s="84" t="str">
        <f ca="1">IF(VLOOKUP("EXT_FUSE_PULL_SUPP", INDIRECT(Config!$B$1),HLOOKUP(D$1,INDIRECT(Config!$E$1),2,FALSE),FALSE)=1, IF(G40&gt;0,CONCATENATE("GSK_OEM_SECRET_KEYS_DWn_COPY2[",G40-1,":0]"),""), "")</f>
        <v/>
      </c>
      <c r="M40" s="193"/>
      <c r="N40" s="188"/>
      <c r="O40" s="191"/>
    </row>
    <row r="41" spans="1:15" ht="15" thickBot="1" x14ac:dyDescent="0.4">
      <c r="A41" s="186"/>
      <c r="B41" s="112" t="s">
        <v>635</v>
      </c>
      <c r="C41" s="112" t="s">
        <v>683</v>
      </c>
      <c r="D41" s="112"/>
      <c r="E41" s="137"/>
      <c r="F41" s="118" t="s">
        <v>416</v>
      </c>
      <c r="G41" s="153">
        <f ca="1">IF($C41="No Param",32,
IF("FW_IFP_GENERAL"=$C41,
IF(VLOOKUP($C41,INDIRECT(Config!$B$1),HLOOKUP(D$1,INDIRECT(Config!$E$1),2,FALSE),FALSE)*32-2048*2&gt;=2048,2048,
IF(VLOOKUP($C41,INDIRECT(Config!$B$1),HLOOKUP(D$1,INDIRECT(Config!$E$1),2,FALSE),FALSE)*32-2048*2&gt;0,
MOD(VLOOKUP($C41,INDIRECT(Config!$B$1),HLOOKUP(D$1,INDIRECT(Config!$E$1),2,FALSE),FALSE)*32-2048*2,2048),0)),
VLOOKUP($C41,INDIRECT(Config!$B$1),HLOOKUP(D$1,INDIRECT(Config!$E$1),2,FALSE),FALSE)*32))</f>
        <v>0</v>
      </c>
      <c r="H41" s="113" t="s">
        <v>427</v>
      </c>
      <c r="I41" s="143" t="str">
        <f>CONCATENATE("0x",DEC2HEX(HEX2DEC(SUBSTITUTE(I27,"0x",""))+HEX2DEC(SUBSTITUTE(H41,"0x",""))))</f>
        <v>0xF00B0D00</v>
      </c>
      <c r="J41" s="144" t="s">
        <v>399</v>
      </c>
      <c r="K41" s="143" t="s">
        <v>399</v>
      </c>
      <c r="L41" s="143" t="str">
        <f ca="1">IF(VLOOKUP("EXT_FUSE_PULL_SUPP", INDIRECT(Config!$B$1),HLOOKUP(D$1,INDIRECT(Config!$E$1),2,FALSE),FALSE)=1, IF(G41&gt;0,CONCATENATE("CSME_HW_IFP_FUSES_COPY2[",G41-1,":0]"),""), "")</f>
        <v/>
      </c>
      <c r="M41" s="144" t="s">
        <v>50</v>
      </c>
      <c r="N41" s="189"/>
      <c r="O41" s="192"/>
    </row>
    <row r="42" spans="1:15" ht="15" customHeight="1" x14ac:dyDescent="0.35"/>
    <row r="43" spans="1:15" ht="15" customHeight="1" x14ac:dyDescent="0.35"/>
    <row r="44" spans="1:15" ht="15" customHeight="1" x14ac:dyDescent="0.35"/>
    <row r="45" spans="1:15" ht="15" customHeight="1" x14ac:dyDescent="0.35"/>
  </sheetData>
  <mergeCells count="23">
    <mergeCell ref="A27:A41"/>
    <mergeCell ref="N27:N41"/>
    <mergeCell ref="O27:O41"/>
    <mergeCell ref="M28:M30"/>
    <mergeCell ref="M33:M35"/>
    <mergeCell ref="M38:M40"/>
    <mergeCell ref="A13:A23"/>
    <mergeCell ref="D13:D23"/>
    <mergeCell ref="M13:M23"/>
    <mergeCell ref="N13:N25"/>
    <mergeCell ref="O13:O23"/>
    <mergeCell ref="A24:A25"/>
    <mergeCell ref="D24:D25"/>
    <mergeCell ref="M24:M25"/>
    <mergeCell ref="O24:O25"/>
    <mergeCell ref="A3:A7"/>
    <mergeCell ref="M3:M7"/>
    <mergeCell ref="N3:N7"/>
    <mergeCell ref="O3:O7"/>
    <mergeCell ref="M8:M12"/>
    <mergeCell ref="N8:N12"/>
    <mergeCell ref="O8:O12"/>
    <mergeCell ref="A9:A12"/>
  </mergeCells>
  <conditionalFormatting sqref="C5">
    <cfRule type="cellIs" dxfId="165" priority="89" operator="equal">
      <formula>0</formula>
    </cfRule>
  </conditionalFormatting>
  <conditionalFormatting sqref="J27">
    <cfRule type="cellIs" dxfId="164" priority="105" operator="equal">
      <formula>0</formula>
    </cfRule>
  </conditionalFormatting>
  <conditionalFormatting sqref="C3">
    <cfRule type="cellIs" dxfId="163" priority="91" operator="equal">
      <formula>0</formula>
    </cfRule>
  </conditionalFormatting>
  <conditionalFormatting sqref="C4">
    <cfRule type="cellIs" dxfId="162" priority="90" operator="equal">
      <formula>0</formula>
    </cfRule>
  </conditionalFormatting>
  <conditionalFormatting sqref="B3 J4 J12 D3:J3 G4:G25">
    <cfRule type="cellIs" dxfId="161" priority="102" operator="equal">
      <formula>0</formula>
    </cfRule>
  </conditionalFormatting>
  <conditionalFormatting sqref="B4 H4:I4 D4:F4">
    <cfRule type="cellIs" dxfId="160" priority="101" operator="equal">
      <formula>0</formula>
    </cfRule>
  </conditionalFormatting>
  <conditionalFormatting sqref="B5 I5 D5:F5">
    <cfRule type="cellIs" dxfId="159" priority="100" operator="equal">
      <formula>0</formula>
    </cfRule>
  </conditionalFormatting>
  <conditionalFormatting sqref="B7 I7 F7">
    <cfRule type="cellIs" dxfId="158" priority="99" operator="equal">
      <formula>0</formula>
    </cfRule>
  </conditionalFormatting>
  <conditionalFormatting sqref="B8 H8:I8 D8:F8">
    <cfRule type="cellIs" priority="98" operator="equal">
      <formula>0</formula>
    </cfRule>
  </conditionalFormatting>
  <conditionalFormatting sqref="B9 H9:I9 D9:F9">
    <cfRule type="cellIs" dxfId="157" priority="97" operator="equal">
      <formula>0</formula>
    </cfRule>
  </conditionalFormatting>
  <conditionalFormatting sqref="B10 I10 D10:F10">
    <cfRule type="cellIs" dxfId="156" priority="95" operator="equal">
      <formula>0</formula>
    </cfRule>
    <cfRule type="cellIs" dxfId="155" priority="96" operator="equal">
      <formula>0</formula>
    </cfRule>
  </conditionalFormatting>
  <conditionalFormatting sqref="K12 K3:L4">
    <cfRule type="cellIs" dxfId="154" priority="94" operator="equal">
      <formula>0</formula>
    </cfRule>
  </conditionalFormatting>
  <conditionalFormatting sqref="B6 I6 D6:F6">
    <cfRule type="cellIs" dxfId="153" priority="93" operator="equal">
      <formula>0</formula>
    </cfRule>
  </conditionalFormatting>
  <conditionalFormatting sqref="D7:E7">
    <cfRule type="cellIs" dxfId="152" priority="92" operator="equal">
      <formula>0</formula>
    </cfRule>
  </conditionalFormatting>
  <conditionalFormatting sqref="C7">
    <cfRule type="cellIs" dxfId="151" priority="88" operator="equal">
      <formula>0</formula>
    </cfRule>
  </conditionalFormatting>
  <conditionalFormatting sqref="C8">
    <cfRule type="cellIs" priority="87" operator="equal">
      <formula>0</formula>
    </cfRule>
  </conditionalFormatting>
  <conditionalFormatting sqref="C9">
    <cfRule type="cellIs" dxfId="150" priority="86" operator="equal">
      <formula>0</formula>
    </cfRule>
  </conditionalFormatting>
  <conditionalFormatting sqref="C10">
    <cfRule type="cellIs" dxfId="149" priority="84" operator="equal">
      <formula>0</formula>
    </cfRule>
    <cfRule type="cellIs" dxfId="148" priority="85" operator="equal">
      <formula>0</formula>
    </cfRule>
  </conditionalFormatting>
  <conditionalFormatting sqref="C6">
    <cfRule type="cellIs" dxfId="147" priority="83" operator="equal">
      <formula>0</formula>
    </cfRule>
  </conditionalFormatting>
  <conditionalFormatting sqref="J5">
    <cfRule type="cellIs" dxfId="146" priority="71" operator="equal">
      <formula>0</formula>
    </cfRule>
  </conditionalFormatting>
  <conditionalFormatting sqref="K5">
    <cfRule type="cellIs" dxfId="145" priority="70" operator="equal">
      <formula>0</formula>
    </cfRule>
  </conditionalFormatting>
  <conditionalFormatting sqref="J6">
    <cfRule type="cellIs" dxfId="144" priority="69" operator="equal">
      <formula>0</formula>
    </cfRule>
  </conditionalFormatting>
  <conditionalFormatting sqref="K6">
    <cfRule type="cellIs" dxfId="143" priority="68" operator="equal">
      <formula>0</formula>
    </cfRule>
  </conditionalFormatting>
  <conditionalFormatting sqref="J9">
    <cfRule type="cellIs" dxfId="142" priority="67" operator="equal">
      <formula>0</formula>
    </cfRule>
  </conditionalFormatting>
  <conditionalFormatting sqref="K9">
    <cfRule type="cellIs" dxfId="141" priority="66" operator="equal">
      <formula>0</formula>
    </cfRule>
  </conditionalFormatting>
  <conditionalFormatting sqref="J10">
    <cfRule type="cellIs" dxfId="140" priority="65" operator="equal">
      <formula>0</formula>
    </cfRule>
  </conditionalFormatting>
  <conditionalFormatting sqref="K10">
    <cfRule type="cellIs" dxfId="139" priority="64" operator="equal">
      <formula>0</formula>
    </cfRule>
  </conditionalFormatting>
  <conditionalFormatting sqref="J11">
    <cfRule type="cellIs" dxfId="138" priority="63" operator="equal">
      <formula>0</formula>
    </cfRule>
  </conditionalFormatting>
  <conditionalFormatting sqref="K11">
    <cfRule type="cellIs" dxfId="137" priority="62" operator="equal">
      <formula>0</formula>
    </cfRule>
  </conditionalFormatting>
  <conditionalFormatting sqref="J7">
    <cfRule type="cellIs" dxfId="136" priority="61" operator="equal">
      <formula>0</formula>
    </cfRule>
  </conditionalFormatting>
  <conditionalFormatting sqref="K7">
    <cfRule type="cellIs" dxfId="135" priority="60" operator="equal">
      <formula>0</formula>
    </cfRule>
  </conditionalFormatting>
  <conditionalFormatting sqref="J8">
    <cfRule type="cellIs" dxfId="134" priority="59" operator="equal">
      <formula>0</formula>
    </cfRule>
  </conditionalFormatting>
  <conditionalFormatting sqref="K8">
    <cfRule type="cellIs" dxfId="133" priority="58" operator="equal">
      <formula>0</formula>
    </cfRule>
  </conditionalFormatting>
  <conditionalFormatting sqref="H5">
    <cfRule type="cellIs" dxfId="132" priority="57" operator="equal">
      <formula>0</formula>
    </cfRule>
  </conditionalFormatting>
  <conditionalFormatting sqref="H6">
    <cfRule type="cellIs" dxfId="131" priority="56" operator="equal">
      <formula>0</formula>
    </cfRule>
  </conditionalFormatting>
  <conditionalFormatting sqref="H7">
    <cfRule type="cellIs" dxfId="130" priority="55" operator="equal">
      <formula>0</formula>
    </cfRule>
  </conditionalFormatting>
  <conditionalFormatting sqref="H12">
    <cfRule type="cellIs" dxfId="129" priority="52" operator="equal">
      <formula>0</formula>
    </cfRule>
  </conditionalFormatting>
  <conditionalFormatting sqref="H10">
    <cfRule type="cellIs" dxfId="128" priority="54" operator="equal">
      <formula>0</formula>
    </cfRule>
  </conditionalFormatting>
  <conditionalFormatting sqref="H11">
    <cfRule type="cellIs" dxfId="127" priority="53" operator="equal">
      <formula>0</formula>
    </cfRule>
  </conditionalFormatting>
  <conditionalFormatting sqref="L5">
    <cfRule type="cellIs" dxfId="126" priority="51" operator="equal">
      <formula>0</formula>
    </cfRule>
  </conditionalFormatting>
  <conditionalFormatting sqref="L6">
    <cfRule type="cellIs" dxfId="125" priority="50" operator="equal">
      <formula>0</formula>
    </cfRule>
  </conditionalFormatting>
  <conditionalFormatting sqref="L7">
    <cfRule type="cellIs" dxfId="124" priority="49" operator="equal">
      <formula>0</formula>
    </cfRule>
  </conditionalFormatting>
  <conditionalFormatting sqref="L8:L9">
    <cfRule type="cellIs" dxfId="123" priority="48" operator="equal">
      <formula>0</formula>
    </cfRule>
  </conditionalFormatting>
  <conditionalFormatting sqref="L10">
    <cfRule type="cellIs" dxfId="122" priority="47" operator="equal">
      <formula>0</formula>
    </cfRule>
  </conditionalFormatting>
  <conditionalFormatting sqref="L11">
    <cfRule type="cellIs" dxfId="121" priority="46" operator="equal">
      <formula>0</formula>
    </cfRule>
  </conditionalFormatting>
  <conditionalFormatting sqref="L12">
    <cfRule type="cellIs" dxfId="120" priority="45" operator="equal">
      <formula>0</formula>
    </cfRule>
  </conditionalFormatting>
  <conditionalFormatting sqref="L31">
    <cfRule type="cellIs" dxfId="119" priority="44" operator="equal">
      <formula>0</formula>
    </cfRule>
  </conditionalFormatting>
  <conditionalFormatting sqref="L30">
    <cfRule type="cellIs" dxfId="118" priority="43" operator="equal">
      <formula>0</formula>
    </cfRule>
  </conditionalFormatting>
  <conditionalFormatting sqref="L29">
    <cfRule type="cellIs" dxfId="117" priority="42" operator="equal">
      <formula>0</formula>
    </cfRule>
  </conditionalFormatting>
  <conditionalFormatting sqref="L28">
    <cfRule type="cellIs" dxfId="116" priority="41" operator="equal">
      <formula>0</formula>
    </cfRule>
  </conditionalFormatting>
  <conditionalFormatting sqref="L36">
    <cfRule type="cellIs" dxfId="115" priority="40" operator="equal">
      <formula>0</formula>
    </cfRule>
  </conditionalFormatting>
  <conditionalFormatting sqref="L35">
    <cfRule type="cellIs" dxfId="114" priority="39" operator="equal">
      <formula>0</formula>
    </cfRule>
  </conditionalFormatting>
  <conditionalFormatting sqref="L34">
    <cfRule type="cellIs" dxfId="113" priority="38" operator="equal">
      <formula>0</formula>
    </cfRule>
  </conditionalFormatting>
  <conditionalFormatting sqref="L33">
    <cfRule type="cellIs" dxfId="112" priority="37" operator="equal">
      <formula>0</formula>
    </cfRule>
  </conditionalFormatting>
  <conditionalFormatting sqref="L41">
    <cfRule type="cellIs" dxfId="111" priority="36" operator="equal">
      <formula>0</formula>
    </cfRule>
  </conditionalFormatting>
  <conditionalFormatting sqref="L40">
    <cfRule type="cellIs" dxfId="110" priority="35" operator="equal">
      <formula>0</formula>
    </cfRule>
  </conditionalFormatting>
  <conditionalFormatting sqref="L39">
    <cfRule type="cellIs" dxfId="109" priority="34" operator="equal">
      <formula>0</formula>
    </cfRule>
  </conditionalFormatting>
  <conditionalFormatting sqref="L38">
    <cfRule type="cellIs" dxfId="108" priority="33" operator="equal">
      <formula>0</formula>
    </cfRule>
  </conditionalFormatting>
  <conditionalFormatting sqref="L13">
    <cfRule type="cellIs" dxfId="107" priority="32" operator="equal">
      <formula>0</formula>
    </cfRule>
  </conditionalFormatting>
  <conditionalFormatting sqref="L14">
    <cfRule type="cellIs" dxfId="106" priority="31" operator="equal">
      <formula>0</formula>
    </cfRule>
  </conditionalFormatting>
  <conditionalFormatting sqref="L15">
    <cfRule type="cellIs" dxfId="105" priority="30" operator="equal">
      <formula>0</formula>
    </cfRule>
  </conditionalFormatting>
  <conditionalFormatting sqref="L16">
    <cfRule type="cellIs" dxfId="104" priority="29" operator="equal">
      <formula>0</formula>
    </cfRule>
  </conditionalFormatting>
  <conditionalFormatting sqref="L17">
    <cfRule type="cellIs" dxfId="103" priority="28" operator="equal">
      <formula>0</formula>
    </cfRule>
  </conditionalFormatting>
  <conditionalFormatting sqref="L18">
    <cfRule type="cellIs" dxfId="102" priority="27" operator="equal">
      <formula>0</formula>
    </cfRule>
  </conditionalFormatting>
  <conditionalFormatting sqref="L19">
    <cfRule type="cellIs" dxfId="101" priority="26" operator="equal">
      <formula>0</formula>
    </cfRule>
  </conditionalFormatting>
  <conditionalFormatting sqref="L20">
    <cfRule type="cellIs" dxfId="100" priority="25" operator="equal">
      <formula>0</formula>
    </cfRule>
  </conditionalFormatting>
  <conditionalFormatting sqref="L21">
    <cfRule type="cellIs" dxfId="99" priority="24" operator="equal">
      <formula>0</formula>
    </cfRule>
  </conditionalFormatting>
  <conditionalFormatting sqref="L22">
    <cfRule type="cellIs" dxfId="98" priority="23" operator="equal">
      <formula>0</formula>
    </cfRule>
  </conditionalFormatting>
  <conditionalFormatting sqref="L23">
    <cfRule type="cellIs" dxfId="97" priority="22" operator="equal">
      <formula>0</formula>
    </cfRule>
  </conditionalFormatting>
  <conditionalFormatting sqref="J24">
    <cfRule type="cellIs" dxfId="96" priority="21" operator="equal">
      <formula>0</formula>
    </cfRule>
  </conditionalFormatting>
  <conditionalFormatting sqref="K24">
    <cfRule type="cellIs" dxfId="95" priority="20" operator="equal">
      <formula>0</formula>
    </cfRule>
  </conditionalFormatting>
  <conditionalFormatting sqref="J25">
    <cfRule type="cellIs" dxfId="94" priority="19" operator="equal">
      <formula>0</formula>
    </cfRule>
  </conditionalFormatting>
  <conditionalFormatting sqref="K25">
    <cfRule type="cellIs" dxfId="93" priority="18" operator="equal">
      <formula>0</formula>
    </cfRule>
  </conditionalFormatting>
  <conditionalFormatting sqref="G33">
    <cfRule type="cellIs" dxfId="92" priority="15" operator="equal">
      <formula>0</formula>
    </cfRule>
  </conditionalFormatting>
  <conditionalFormatting sqref="G35">
    <cfRule type="cellIs" dxfId="91" priority="14" operator="equal">
      <formula>0</formula>
    </cfRule>
  </conditionalFormatting>
  <conditionalFormatting sqref="G28">
    <cfRule type="cellIs" dxfId="90" priority="8" operator="equal">
      <formula>0</formula>
    </cfRule>
  </conditionalFormatting>
  <conditionalFormatting sqref="G31">
    <cfRule type="cellIs" dxfId="89" priority="12" operator="equal">
      <formula>0</formula>
    </cfRule>
  </conditionalFormatting>
  <conditionalFormatting sqref="G32">
    <cfRule type="cellIs" dxfId="88" priority="11" operator="equal">
      <formula>0</formula>
    </cfRule>
  </conditionalFormatting>
  <conditionalFormatting sqref="G27">
    <cfRule type="cellIs" dxfId="87" priority="13" operator="equal">
      <formula>0</formula>
    </cfRule>
  </conditionalFormatting>
  <conditionalFormatting sqref="G37">
    <cfRule type="cellIs" dxfId="86" priority="10" operator="equal">
      <formula>0</formula>
    </cfRule>
  </conditionalFormatting>
  <conditionalFormatting sqref="G34">
    <cfRule type="cellIs" dxfId="85" priority="9" operator="equal">
      <formula>0</formula>
    </cfRule>
  </conditionalFormatting>
  <conditionalFormatting sqref="G30">
    <cfRule type="cellIs" dxfId="84" priority="7" operator="equal">
      <formula>0</formula>
    </cfRule>
  </conditionalFormatting>
  <conditionalFormatting sqref="G29">
    <cfRule type="cellIs" dxfId="83" priority="6" operator="equal">
      <formula>0</formula>
    </cfRule>
  </conditionalFormatting>
  <conditionalFormatting sqref="G38">
    <cfRule type="cellIs" dxfId="82" priority="5" operator="equal">
      <formula>0</formula>
    </cfRule>
  </conditionalFormatting>
  <conditionalFormatting sqref="G40">
    <cfRule type="cellIs" dxfId="81" priority="4" operator="equal">
      <formula>0</formula>
    </cfRule>
  </conditionalFormatting>
  <conditionalFormatting sqref="G39">
    <cfRule type="cellIs" dxfId="80" priority="3" operator="equal">
      <formula>0</formula>
    </cfRule>
  </conditionalFormatting>
  <conditionalFormatting sqref="G36">
    <cfRule type="cellIs" dxfId="79" priority="2" operator="equal">
      <formula>0</formula>
    </cfRule>
  </conditionalFormatting>
  <conditionalFormatting sqref="G41">
    <cfRule type="cellIs" dxfId="78"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8BEE0FD0-7C35-4FEB-8D59-9136C43A2CEB}">
          <x14:formula1>
            <xm:f>Config!$B$3:$O$3</xm:f>
          </x14:formula1>
          <xm:sqref>D1:E1</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AED8B-90A3-4FAB-A872-377FA3848A73}">
  <sheetPr codeName="Sheet7"/>
  <dimension ref="A1:O21"/>
  <sheetViews>
    <sheetView zoomScale="85" zoomScaleNormal="85" workbookViewId="0"/>
  </sheetViews>
  <sheetFormatPr defaultColWidth="9.08984375" defaultRowHeight="14.5" x14ac:dyDescent="0.35"/>
  <cols>
    <col min="1" max="1" width="24" style="16" bestFit="1" customWidth="1"/>
    <col min="2" max="2" width="33.54296875" style="16" bestFit="1" customWidth="1"/>
    <col min="3" max="3" width="30.08984375" style="16" bestFit="1" customWidth="1"/>
    <col min="4" max="4" width="33.90625" style="16" bestFit="1" customWidth="1"/>
    <col min="5" max="5" width="9.54296875" style="16" bestFit="1" customWidth="1"/>
    <col min="6" max="6" width="8.6328125" style="16" bestFit="1" customWidth="1"/>
    <col min="7" max="7" width="13.54296875" style="16" bestFit="1" customWidth="1"/>
    <col min="8" max="8" width="11.36328125" style="16" bestFit="1" customWidth="1"/>
    <col min="9" max="10" width="11.36328125" style="16" customWidth="1"/>
    <col min="11" max="11" width="41.08984375" style="16" bestFit="1" customWidth="1"/>
    <col min="12" max="12" width="40.36328125" style="16" customWidth="1"/>
    <col min="13" max="13" width="31.6328125" style="16" bestFit="1" customWidth="1"/>
    <col min="14" max="14" width="11.36328125" style="16" bestFit="1" customWidth="1"/>
    <col min="15" max="15" width="4.6328125" style="16" bestFit="1" customWidth="1"/>
    <col min="16" max="16384" width="9.08984375" style="16"/>
  </cols>
  <sheetData>
    <row r="1" spans="1:15" ht="24" thickBot="1" x14ac:dyDescent="0.6">
      <c r="B1" s="29" t="s">
        <v>412</v>
      </c>
      <c r="C1" s="30" t="s">
        <v>622</v>
      </c>
    </row>
    <row r="2" spans="1:15" ht="15" customHeight="1" thickBot="1" x14ac:dyDescent="0.4">
      <c r="A2" s="37" t="s">
        <v>0</v>
      </c>
      <c r="B2" s="43" t="s">
        <v>1</v>
      </c>
      <c r="C2" s="43" t="s">
        <v>383</v>
      </c>
      <c r="D2" s="43" t="s">
        <v>2</v>
      </c>
      <c r="E2" s="86" t="s">
        <v>3</v>
      </c>
      <c r="F2" s="87" t="s">
        <v>4</v>
      </c>
      <c r="G2" s="87" t="s">
        <v>5</v>
      </c>
      <c r="H2" s="87" t="s">
        <v>6</v>
      </c>
      <c r="I2" s="87" t="s">
        <v>397</v>
      </c>
      <c r="J2" s="87" t="s">
        <v>398</v>
      </c>
      <c r="K2" s="87" t="s">
        <v>638</v>
      </c>
      <c r="L2" s="36" t="s">
        <v>436</v>
      </c>
      <c r="M2" s="87" t="s">
        <v>7</v>
      </c>
      <c r="N2" s="87" t="s">
        <v>8</v>
      </c>
      <c r="O2" s="121" t="s">
        <v>640</v>
      </c>
    </row>
    <row r="3" spans="1:15" ht="15.5" customHeight="1" x14ac:dyDescent="0.35">
      <c r="A3" s="184" t="s">
        <v>51</v>
      </c>
      <c r="B3" s="105" t="s">
        <v>631</v>
      </c>
      <c r="C3" s="105" t="s">
        <v>631</v>
      </c>
      <c r="D3" s="105"/>
      <c r="E3" s="115" t="s">
        <v>52</v>
      </c>
      <c r="F3" s="116">
        <f ca="1">IF($C3="No Param",32,VLOOKUP($C3,INDIRECT(Config!$B$1),HLOOKUP(C$1,INDIRECT(Config!$E$1),2,FALSE),FALSE))</f>
        <v>512</v>
      </c>
      <c r="G3" s="107" t="s">
        <v>53</v>
      </c>
      <c r="H3" s="107" t="s">
        <v>637</v>
      </c>
      <c r="I3" s="107" t="s">
        <v>399</v>
      </c>
      <c r="J3" s="107" t="s">
        <v>399</v>
      </c>
      <c r="K3" s="107"/>
      <c r="L3" s="65" t="s">
        <v>667</v>
      </c>
      <c r="M3" s="108" t="s">
        <v>50</v>
      </c>
      <c r="N3" s="187" t="s">
        <v>50</v>
      </c>
      <c r="O3" s="190">
        <f ca="1">SUM(F3:F17)</f>
        <v>5184</v>
      </c>
    </row>
    <row r="4" spans="1:15" ht="15.5" customHeight="1" x14ac:dyDescent="0.35">
      <c r="A4" s="185"/>
      <c r="B4" s="46" t="s">
        <v>54</v>
      </c>
      <c r="C4" s="46" t="s">
        <v>261</v>
      </c>
      <c r="D4" s="46" t="s">
        <v>18</v>
      </c>
      <c r="E4" s="32" t="s">
        <v>52</v>
      </c>
      <c r="F4" s="51">
        <f ca="1">VLOOKUP("TRC_PRESENT", INDIRECT(Config!$B$1), HLOOKUP(C$1, INDIRECT(Config!$E$1), 2, FALSE),FALSE)*32</f>
        <v>32</v>
      </c>
      <c r="G4" s="17" t="s">
        <v>55</v>
      </c>
      <c r="H4" s="17" t="str">
        <f>CONCATENATE("0x",DEC2HEX(HEX2DEC(SUBSTITUTE(H3,"0x",""))+HEX2DEC(SUBSTITUTE(G4,"0x",""))))</f>
        <v>0xF00B0840</v>
      </c>
      <c r="I4" s="17" t="s">
        <v>399</v>
      </c>
      <c r="J4" s="17" t="s">
        <v>399</v>
      </c>
      <c r="K4" s="84" t="str">
        <f ca="1">IF(VLOOKUP("EXT_FUSE_PULL_SUPP", INDIRECT(Config!$B$1),HLOOKUP(C$1,INDIRECT(Config!$E$1),2,FALSE),FALSE)=1, IF(F4&gt;0,CONCATENATE("GSK_OEM_IFP_CONFIG[",F4-1,":0]"),""), "")</f>
        <v/>
      </c>
      <c r="L4" s="158" t="s">
        <v>920</v>
      </c>
      <c r="M4" s="193" t="s">
        <v>381</v>
      </c>
      <c r="N4" s="188"/>
      <c r="O4" s="191"/>
    </row>
    <row r="5" spans="1:15" ht="15.5" customHeight="1" x14ac:dyDescent="0.35">
      <c r="A5" s="185"/>
      <c r="B5" s="46" t="s">
        <v>56</v>
      </c>
      <c r="C5" s="46" t="s">
        <v>261</v>
      </c>
      <c r="D5" s="46" t="s">
        <v>18</v>
      </c>
      <c r="E5" s="32" t="s">
        <v>52</v>
      </c>
      <c r="F5" s="51">
        <f ca="1">VLOOKUP("TRC_PRESENT", INDIRECT(Config!$B$1), HLOOKUP(C$1, INDIRECT(Config!$E$1), 2, FALSE),FALSE)*32</f>
        <v>32</v>
      </c>
      <c r="G5" s="17" t="s">
        <v>57</v>
      </c>
      <c r="H5" s="17" t="str">
        <f>CONCATENATE("0x",DEC2HEX(HEX2DEC(SUBSTITUTE(H3,"0x",""))+HEX2DEC(SUBSTITUTE(G5,"0x",""))))</f>
        <v>0xF00B0844</v>
      </c>
      <c r="I5" s="17" t="s">
        <v>399</v>
      </c>
      <c r="J5" s="17" t="s">
        <v>399</v>
      </c>
      <c r="K5" s="84" t="str">
        <f ca="1">IF(VLOOKUP("EXT_FUSE_PULL_SUPP", INDIRECT(Config!$B$1),HLOOKUP(C$1,INDIRECT(Config!$E$1),2,FALSE),FALSE)=1, IF(F5&gt;0,CONCATENATE("GSK_TRC_DIS[",F5-1,":0]"),""), "")</f>
        <v/>
      </c>
      <c r="L5" s="158" t="s">
        <v>922</v>
      </c>
      <c r="M5" s="193"/>
      <c r="N5" s="188"/>
      <c r="O5" s="191"/>
    </row>
    <row r="6" spans="1:15" ht="15.5" customHeight="1" x14ac:dyDescent="0.35">
      <c r="A6" s="185"/>
      <c r="B6" s="46" t="s">
        <v>371</v>
      </c>
      <c r="C6" s="17" t="s">
        <v>372</v>
      </c>
      <c r="D6" s="46" t="s">
        <v>564</v>
      </c>
      <c r="E6" s="32" t="s">
        <v>52</v>
      </c>
      <c r="F6" s="51">
        <f ca="1">VLOOKUP("OEM_SECRET_KEY_FUSES_LIMIT", INDIRECT(Config!$B$1), HLOOKUP(C$1, INDIRECT(Config!$E$1), 2, FALSE),FALSE)*32</f>
        <v>0</v>
      </c>
      <c r="G6" s="17" t="s">
        <v>417</v>
      </c>
      <c r="H6" s="17" t="str">
        <f>CONCATENATE("0x",DEC2HEX(HEX2DEC(SUBSTITUTE(H3,"0x",""))+HEX2DEC(SUBSTITUTE(G6,"0x",""))))</f>
        <v>0xF00B0880</v>
      </c>
      <c r="I6" s="17" t="s">
        <v>399</v>
      </c>
      <c r="J6" s="17" t="s">
        <v>399</v>
      </c>
      <c r="K6" s="84" t="str">
        <f ca="1">IF(VLOOKUP("EXT_FUSE_PULL_SUPP", INDIRECT(Config!$B$1),HLOOKUP(C$1,INDIRECT(Config!$E$1),2,FALSE),FALSE)=1, IF(F6&gt;0,CONCATENATE("GSK_OEM_SECRET_KEYS_DWn[",F6-1,":0]"),""), "")</f>
        <v/>
      </c>
      <c r="L6" s="3" t="s">
        <v>668</v>
      </c>
      <c r="M6" s="193"/>
      <c r="N6" s="188"/>
      <c r="O6" s="191"/>
    </row>
    <row r="7" spans="1:15" ht="15.5" customHeight="1" x14ac:dyDescent="0.35">
      <c r="A7" s="185"/>
      <c r="B7" s="109" t="s">
        <v>630</v>
      </c>
      <c r="C7" s="109" t="s">
        <v>683</v>
      </c>
      <c r="D7" s="109"/>
      <c r="E7" s="117" t="s">
        <v>52</v>
      </c>
      <c r="F7" s="106">
        <f ca="1">IF($C7="No Param",32,
IF("FW_IFP_GENERAL"=$C7,
IF(VLOOKUP($C7,INDIRECT(Config!$B$1),HLOOKUP(C$1,INDIRECT(Config!$E$1),2,FALSE),FALSE)*32&gt;2048,2048,
MOD(VLOOKUP($C7,INDIRECT(Config!$B$1),HLOOKUP(C$1,INDIRECT(Config!$E$1),2,FALSE),FALSE)*32,2048)),
VLOOKUP($C7,INDIRECT(Config!$B$1),HLOOKUP(C$1,INDIRECT(Config!$E$1),2,FALSE),FALSE)*32))</f>
        <v>2048</v>
      </c>
      <c r="G7" s="110" t="s">
        <v>58</v>
      </c>
      <c r="H7" s="110" t="str">
        <f>CONCATENATE("0x",DEC2HEX(HEX2DEC(SUBSTITUTE(H3,"0x",""))+HEX2DEC(SUBSTITUTE(G7,"0x",""))))</f>
        <v>0xF00B0900</v>
      </c>
      <c r="I7" s="111" t="s">
        <v>399</v>
      </c>
      <c r="J7" s="111" t="s">
        <v>399</v>
      </c>
      <c r="K7" s="119" t="str">
        <f ca="1">IF(VLOOKUP("EXT_FUSE_PULL_SUPP", INDIRECT(Config!$B$1),HLOOKUP(C$1,INDIRECT(Config!$E$1),2,FALSE),FALSE)=1, IF(F7&gt;0,CONCATENATE("CSME_HW_IFP_FUSES[",F7-1,":0]"),""), "")</f>
        <v/>
      </c>
      <c r="L7" s="83" t="s">
        <v>670</v>
      </c>
      <c r="M7" s="111" t="s">
        <v>50</v>
      </c>
      <c r="N7" s="188"/>
      <c r="O7" s="191"/>
    </row>
    <row r="8" spans="1:15" ht="15.5" customHeight="1" x14ac:dyDescent="0.35">
      <c r="A8" s="185"/>
      <c r="B8" s="109" t="s">
        <v>632</v>
      </c>
      <c r="C8" s="109" t="s">
        <v>632</v>
      </c>
      <c r="D8" s="109"/>
      <c r="E8" s="117" t="s">
        <v>415</v>
      </c>
      <c r="F8" s="106">
        <f ca="1">IF($C8="No Param",32,VLOOKUP($C8,INDIRECT(Config!$B$1),HLOOKUP(C$1,INDIRECT(Config!$E$1),2,FALSE),FALSE))</f>
        <v>512</v>
      </c>
      <c r="G8" s="110" t="s">
        <v>425</v>
      </c>
      <c r="H8" s="110" t="str">
        <f>CONCATENATE("0x",DEC2HEX(HEX2DEC(SUBSTITUTE(H3,"0x",""))+HEX2DEC(SUBSTITUTE(G8,"0x",""))))</f>
        <v>0xF00B0A00</v>
      </c>
      <c r="I8" s="111" t="s">
        <v>399</v>
      </c>
      <c r="J8" s="111" t="s">
        <v>399</v>
      </c>
      <c r="K8" s="111"/>
      <c r="L8" s="7" t="s">
        <v>667</v>
      </c>
      <c r="M8" s="111" t="s">
        <v>50</v>
      </c>
      <c r="N8" s="188"/>
      <c r="O8" s="191"/>
    </row>
    <row r="9" spans="1:15" ht="15.5" customHeight="1" x14ac:dyDescent="0.35">
      <c r="A9" s="185"/>
      <c r="B9" s="46" t="s">
        <v>366</v>
      </c>
      <c r="C9" s="17" t="s">
        <v>367</v>
      </c>
      <c r="D9" s="46" t="s">
        <v>18</v>
      </c>
      <c r="E9" s="32" t="s">
        <v>415</v>
      </c>
      <c r="F9" s="51">
        <f ca="1">IF(VLOOKUP("PARAM_INT_IFP_TRIPLE_RDD_DIS", INDIRECT(Config!$B$1), HLOOKUP(C$1, INDIRECT(Config!$E$1), 2, FALSE),FALSE)=0, VLOOKUP("TRC_PRESENT", INDIRECT(Config!$B$1), HLOOKUP(C$1, INDIRECT(Config!$E$1), 2, FALSE),FALSE)*32, 0)</f>
        <v>0</v>
      </c>
      <c r="G9" s="17" t="s">
        <v>420</v>
      </c>
      <c r="H9" s="17" t="str">
        <f>CONCATENATE("0x",DEC2HEX(HEX2DEC(SUBSTITUTE(H3,"0x",""))+HEX2DEC(SUBSTITUTE(G9,"0x",""))))</f>
        <v>0xF00B0A40</v>
      </c>
      <c r="I9" s="17" t="s">
        <v>399</v>
      </c>
      <c r="J9" s="17" t="s">
        <v>399</v>
      </c>
      <c r="K9" s="84" t="str">
        <f ca="1">IF(VLOOKUP("EXT_FUSE_PULL_SUPP", INDIRECT(Config!$B$1),HLOOKUP(C$1,INDIRECT(Config!$E$1),2,FALSE),FALSE)=1, IF(F9&gt;0,CONCATENATE("GSK_OEM_IFP_CONFIG_COPY1[",F9-1,":0]"),""), "")</f>
        <v/>
      </c>
      <c r="L9" s="158" t="s">
        <v>919</v>
      </c>
      <c r="M9" s="193" t="s">
        <v>381</v>
      </c>
      <c r="N9" s="188"/>
      <c r="O9" s="191"/>
    </row>
    <row r="10" spans="1:15" ht="15.5" customHeight="1" x14ac:dyDescent="0.35">
      <c r="A10" s="185"/>
      <c r="B10" s="46" t="s">
        <v>413</v>
      </c>
      <c r="C10" s="17" t="s">
        <v>367</v>
      </c>
      <c r="D10" s="46" t="s">
        <v>18</v>
      </c>
      <c r="E10" s="32" t="s">
        <v>415</v>
      </c>
      <c r="F10" s="51">
        <f ca="1">IF(VLOOKUP("PARAM_INT_IFP_TRIPLE_RDD_DIS", INDIRECT(Config!$B$1), HLOOKUP(C$1, INDIRECT(Config!$E$1), 2, FALSE),FALSE)=0, VLOOKUP("TRC_PRESENT", INDIRECT(Config!$B$1), HLOOKUP(C$1, INDIRECT(Config!$E$1), 2, FALSE),FALSE)*32, 0)</f>
        <v>0</v>
      </c>
      <c r="G10" s="17" t="s">
        <v>423</v>
      </c>
      <c r="H10" s="17" t="str">
        <f>CONCATENATE("0x",DEC2HEX(HEX2DEC(SUBSTITUTE(H3,"0x",""))+HEX2DEC(SUBSTITUTE(G10,"0x",""))))</f>
        <v>0xF00B0A44</v>
      </c>
      <c r="I10" s="17" t="s">
        <v>399</v>
      </c>
      <c r="J10" s="17" t="s">
        <v>399</v>
      </c>
      <c r="K10" s="84" t="str">
        <f ca="1">IF(VLOOKUP("EXT_FUSE_PULL_SUPP", INDIRECT(Config!$B$1),HLOOKUP(C$1,INDIRECT(Config!$E$1),2,FALSE),FALSE)=1, IF(F10&gt;0,CONCATENATE("GSK_TRC_DIS_COPY1[",F10-1,":0]"),""), "")</f>
        <v/>
      </c>
      <c r="L10" s="158" t="s">
        <v>924</v>
      </c>
      <c r="M10" s="193"/>
      <c r="N10" s="188"/>
      <c r="O10" s="191"/>
    </row>
    <row r="11" spans="1:15" ht="15.5" customHeight="1" x14ac:dyDescent="0.35">
      <c r="A11" s="185"/>
      <c r="B11" s="46" t="s">
        <v>374</v>
      </c>
      <c r="C11" s="17" t="s">
        <v>375</v>
      </c>
      <c r="D11" s="46" t="s">
        <v>564</v>
      </c>
      <c r="E11" s="32" t="s">
        <v>415</v>
      </c>
      <c r="F11" s="51">
        <f ca="1">IF(VLOOKUP("PARAM_INT_IFP_TRIPLE_RDD_DIS", INDIRECT(Config!$B$1), HLOOKUP(C$1, INDIRECT(Config!$E$1), 2, FALSE),FALSE)=0, VLOOKUP("OEM_SECRET_KEY_FUSES_LIMIT", INDIRECT(Config!$B$1), HLOOKUP(C$1, INDIRECT(Config!$E$1), 2, FALSE),FALSE)*32, 0)</f>
        <v>0</v>
      </c>
      <c r="G11" s="17" t="s">
        <v>418</v>
      </c>
      <c r="H11" s="17" t="str">
        <f>CONCATENATE("0x",DEC2HEX(HEX2DEC(SUBSTITUTE(H3,"0x",""))+HEX2DEC(SUBSTITUTE(G11,"0x",""))))</f>
        <v>0xF00B0A80</v>
      </c>
      <c r="I11" s="17" t="s">
        <v>399</v>
      </c>
      <c r="J11" s="17" t="s">
        <v>399</v>
      </c>
      <c r="K11" s="84" t="str">
        <f ca="1">IF(VLOOKUP("EXT_FUSE_PULL_SUPP", INDIRECT(Config!$B$1),HLOOKUP(C$1,INDIRECT(Config!$E$1),2,FALSE),FALSE)=1, IF(F11&gt;0,CONCATENATE("GSK_OEM_SECRET_KEYS_DWn_COPY1[",F11-1,":0]"),""), "")</f>
        <v/>
      </c>
      <c r="L11" s="3" t="s">
        <v>668</v>
      </c>
      <c r="M11" s="193"/>
      <c r="N11" s="188"/>
      <c r="O11" s="191"/>
    </row>
    <row r="12" spans="1:15" ht="15.5" customHeight="1" x14ac:dyDescent="0.35">
      <c r="A12" s="185"/>
      <c r="B12" s="109" t="s">
        <v>633</v>
      </c>
      <c r="C12" s="109" t="s">
        <v>683</v>
      </c>
      <c r="D12" s="109"/>
      <c r="E12" s="117" t="s">
        <v>415</v>
      </c>
      <c r="F12" s="106">
        <f ca="1">IF($C12="No Param",32,
IF("FW_IFP_GENERAL"=$C12,
IF(VLOOKUP($C12,INDIRECT(Config!$B$1),HLOOKUP(C$1,INDIRECT(Config!$E$1),2,FALSE),FALSE)*32-2048&gt;=2048/32,2048,
IF(VLOOKUP($C12,INDIRECT(Config!$B$1),HLOOKUP(C$1,INDIRECT(Config!$E$1),2,FALSE),FALSE)*32-2048&gt;0,
MOD(VLOOKUP($C12,INDIRECT(Config!$B$1),HLOOKUP(C$1,INDIRECT(Config!$E$1),2,FALSE),FALSE)*32-2048,2048),0)),
VLOOKUP($C12,INDIRECT(Config!$B$1),HLOOKUP(C$1,INDIRECT(Config!$E$1),2,FALSE),FALSE)*32))</f>
        <v>2048</v>
      </c>
      <c r="G12" s="110" t="s">
        <v>424</v>
      </c>
      <c r="H12" s="110" t="str">
        <f>CONCATENATE("0x",DEC2HEX(HEX2DEC(SUBSTITUTE(H3,"0x",""))+HEX2DEC(SUBSTITUTE(G12,"0x",""))))</f>
        <v>0xF00B0B00</v>
      </c>
      <c r="I12" s="111" t="s">
        <v>399</v>
      </c>
      <c r="J12" s="111" t="s">
        <v>399</v>
      </c>
      <c r="K12" s="119" t="str">
        <f ca="1">IF(VLOOKUP("EXT_FUSE_PULL_SUPP", INDIRECT(Config!$B$1),HLOOKUP(C$1,INDIRECT(Config!$E$1),2,FALSE),FALSE)=1, IF(F12&gt;0,CONCATENATE("CSME_HW_IFP_FUSES_COPY1[",F12-1,":0]"),""), "")</f>
        <v/>
      </c>
      <c r="L12" s="83" t="s">
        <v>671</v>
      </c>
      <c r="M12" s="111" t="s">
        <v>50</v>
      </c>
      <c r="N12" s="188"/>
      <c r="O12" s="191"/>
    </row>
    <row r="13" spans="1:15" ht="15.5" customHeight="1" x14ac:dyDescent="0.35">
      <c r="A13" s="185"/>
      <c r="B13" s="109" t="s">
        <v>634</v>
      </c>
      <c r="C13" s="109" t="s">
        <v>634</v>
      </c>
      <c r="D13" s="109"/>
      <c r="E13" s="117" t="s">
        <v>416</v>
      </c>
      <c r="F13" s="106">
        <f ca="1">IF($C13="No Param",32,VLOOKUP($C13,INDIRECT(Config!$B$1),HLOOKUP(C$1,INDIRECT(Config!$E$1),2,FALSE),FALSE))</f>
        <v>0</v>
      </c>
      <c r="G13" s="110" t="s">
        <v>426</v>
      </c>
      <c r="H13" s="110" t="str">
        <f>CONCATENATE("0x",DEC2HEX(HEX2DEC(SUBSTITUTE(H3,"0x",""))+HEX2DEC(SUBSTITUTE(G13,"0x",""))))</f>
        <v>0xF00B0C00</v>
      </c>
      <c r="I13" s="111" t="s">
        <v>399</v>
      </c>
      <c r="J13" s="111" t="s">
        <v>399</v>
      </c>
      <c r="K13" s="111"/>
      <c r="L13" s="7" t="s">
        <v>667</v>
      </c>
      <c r="M13" s="111" t="s">
        <v>50</v>
      </c>
      <c r="N13" s="188"/>
      <c r="O13" s="191"/>
    </row>
    <row r="14" spans="1:15" ht="15.5" customHeight="1" x14ac:dyDescent="0.35">
      <c r="A14" s="185"/>
      <c r="B14" s="46" t="s">
        <v>369</v>
      </c>
      <c r="C14" s="17" t="s">
        <v>367</v>
      </c>
      <c r="D14" s="46" t="s">
        <v>18</v>
      </c>
      <c r="E14" s="32" t="s">
        <v>416</v>
      </c>
      <c r="F14" s="51">
        <f ca="1">IF(VLOOKUP("PARAM_INT_IFP_TRIPLE_RDD_DIS", INDIRECT(Config!$B$1), HLOOKUP(C$1, INDIRECT(Config!$E$1), 2, FALSE),FALSE)=0, VLOOKUP("TRC_PRESENT", INDIRECT(Config!$B$1), HLOOKUP(C$1, INDIRECT(Config!$E$1), 2, FALSE),FALSE)*32, 0)</f>
        <v>0</v>
      </c>
      <c r="G14" s="17" t="s">
        <v>422</v>
      </c>
      <c r="H14" s="17" t="str">
        <f>CONCATENATE("0x",DEC2HEX(HEX2DEC(SUBSTITUTE(H3,"0x",""))+HEX2DEC(SUBSTITUTE(G14,"0x",""))))</f>
        <v>0xF00B0C40</v>
      </c>
      <c r="I14" s="17" t="s">
        <v>399</v>
      </c>
      <c r="J14" s="17" t="s">
        <v>399</v>
      </c>
      <c r="K14" s="84" t="str">
        <f ca="1">IF(VLOOKUP("EXT_FUSE_PULL_SUPP", INDIRECT(Config!$B$1),HLOOKUP(C$1,INDIRECT(Config!$E$1),2,FALSE),FALSE)=1, IF(F14&gt;0,CONCATENATE("GSK_OEM_IFP_CONFIG_COPY2[",F14-1,":0]"),""), "")</f>
        <v/>
      </c>
      <c r="L14" s="158" t="s">
        <v>921</v>
      </c>
      <c r="M14" s="193" t="s">
        <v>381</v>
      </c>
      <c r="N14" s="188"/>
      <c r="O14" s="191"/>
    </row>
    <row r="15" spans="1:15" ht="15.5" customHeight="1" x14ac:dyDescent="0.35">
      <c r="A15" s="185"/>
      <c r="B15" s="46" t="s">
        <v>414</v>
      </c>
      <c r="C15" s="17" t="s">
        <v>367</v>
      </c>
      <c r="D15" s="46" t="s">
        <v>18</v>
      </c>
      <c r="E15" s="32" t="s">
        <v>416</v>
      </c>
      <c r="F15" s="51">
        <f ca="1">IF(VLOOKUP("PARAM_INT_IFP_TRIPLE_RDD_DIS", INDIRECT(Config!$B$1), HLOOKUP(C$1, INDIRECT(Config!$E$1), 2, FALSE),FALSE)=0, VLOOKUP("TRC_PRESENT", INDIRECT(Config!$B$1), HLOOKUP(C$1, INDIRECT(Config!$E$1), 2, FALSE),FALSE)*32, 0)</f>
        <v>0</v>
      </c>
      <c r="G15" s="17" t="s">
        <v>421</v>
      </c>
      <c r="H15" s="17" t="str">
        <f>CONCATENATE("0x",DEC2HEX(HEX2DEC(SUBSTITUTE(H3,"0x",""))+HEX2DEC(SUBSTITUTE(G15,"0x",""))))</f>
        <v>0xF00B0C44</v>
      </c>
      <c r="I15" s="17" t="s">
        <v>399</v>
      </c>
      <c r="J15" s="17" t="s">
        <v>399</v>
      </c>
      <c r="K15" s="84" t="str">
        <f ca="1">IF(VLOOKUP("EXT_FUSE_PULL_SUPP", INDIRECT(Config!$B$1),HLOOKUP(C$1,INDIRECT(Config!$E$1),2,FALSE),FALSE)=1, IF(F15&gt;0,CONCATENATE("GSK_TRC_DIS_COPY2[",F15-1,":0]"),""), "")</f>
        <v/>
      </c>
      <c r="L15" s="158" t="s">
        <v>923</v>
      </c>
      <c r="M15" s="193"/>
      <c r="N15" s="188"/>
      <c r="O15" s="191"/>
    </row>
    <row r="16" spans="1:15" ht="15.5" customHeight="1" x14ac:dyDescent="0.35">
      <c r="A16" s="185"/>
      <c r="B16" s="46" t="s">
        <v>377</v>
      </c>
      <c r="C16" s="17" t="s">
        <v>375</v>
      </c>
      <c r="D16" s="46" t="s">
        <v>564</v>
      </c>
      <c r="E16" s="32" t="s">
        <v>416</v>
      </c>
      <c r="F16" s="51">
        <f ca="1">IF(VLOOKUP("PARAM_INT_IFP_TRIPLE_RDD_DIS", INDIRECT(Config!$B$1), HLOOKUP(C$1, INDIRECT(Config!$E$1), 2, FALSE),FALSE)=0, VLOOKUP("OEM_SECRET_KEY_FUSES_LIMIT", INDIRECT(Config!$B$1), HLOOKUP(C$1, INDIRECT(Config!$E$1), 2, FALSE),FALSE)*32, 0)</f>
        <v>0</v>
      </c>
      <c r="G16" s="17" t="s">
        <v>419</v>
      </c>
      <c r="H16" s="17" t="str">
        <f>CONCATENATE("0x",DEC2HEX(HEX2DEC(SUBSTITUTE(H3,"0x",""))+HEX2DEC(SUBSTITUTE(G16,"0x",""))))</f>
        <v>0xF00B0C80</v>
      </c>
      <c r="I16" s="17" t="s">
        <v>399</v>
      </c>
      <c r="J16" s="17" t="s">
        <v>399</v>
      </c>
      <c r="K16" s="84" t="str">
        <f ca="1">IF(VLOOKUP("EXT_FUSE_PULL_SUPP", INDIRECT(Config!$B$1),HLOOKUP(C$1,INDIRECT(Config!$E$1),2,FALSE),FALSE)=1, IF(F16&gt;0,CONCATENATE("GSK_OEM_SECRET_KEYS_DWn_COPY2[",F16-1,":0]"),""), "")</f>
        <v/>
      </c>
      <c r="L16" s="3" t="s">
        <v>668</v>
      </c>
      <c r="M16" s="193"/>
      <c r="N16" s="188"/>
      <c r="O16" s="191"/>
    </row>
    <row r="17" spans="1:15" ht="15.5" customHeight="1" thickBot="1" x14ac:dyDescent="0.4">
      <c r="A17" s="186"/>
      <c r="B17" s="112" t="s">
        <v>635</v>
      </c>
      <c r="C17" s="112" t="s">
        <v>683</v>
      </c>
      <c r="D17" s="112"/>
      <c r="E17" s="118" t="s">
        <v>416</v>
      </c>
      <c r="F17" s="153">
        <f ca="1">IF($C17="No Param",32,
IF("FW_IFP_GENERAL"=$C17,
IF(VLOOKUP($C17,INDIRECT(Config!$B$1),HLOOKUP(C$1,INDIRECT(Config!$E$1),2,FALSE),FALSE)*32-2048*2&gt;=2048,2048,
IF(VLOOKUP($C17,INDIRECT(Config!$B$1),HLOOKUP(C$1,INDIRECT(Config!$E$1),2,FALSE),FALSE)*32-2048*2&gt;0,
MOD(VLOOKUP($C17,INDIRECT(Config!$B$1),HLOOKUP(C$1,INDIRECT(Config!$E$1),2,FALSE),FALSE)*32-2048*2,2048),0)),
VLOOKUP($C17,INDIRECT(Config!$B$1),HLOOKUP(C$1,INDIRECT(Config!$E$1),2,FALSE),FALSE)*32))</f>
        <v>0</v>
      </c>
      <c r="G17" s="113" t="s">
        <v>427</v>
      </c>
      <c r="H17" s="113" t="str">
        <f>CONCATENATE("0x",DEC2HEX(HEX2DEC(SUBSTITUTE(H3,"0x",""))+HEX2DEC(SUBSTITUTE(G17,"0x",""))))</f>
        <v>0xF00B0D00</v>
      </c>
      <c r="I17" s="114" t="s">
        <v>399</v>
      </c>
      <c r="J17" s="113" t="s">
        <v>399</v>
      </c>
      <c r="K17" s="113" t="str">
        <f ca="1">IF(VLOOKUP("EXT_FUSE_PULL_SUPP", INDIRECT(Config!$B$1),HLOOKUP(C$1,INDIRECT(Config!$E$1),2,FALSE),FALSE)=1, IF(F17&gt;0,CONCATENATE("CSME_HW_IFP_FUSES_COPY2[",F17-1,":0]"),""), "")</f>
        <v/>
      </c>
      <c r="L17" s="33" t="s">
        <v>669</v>
      </c>
      <c r="M17" s="114" t="s">
        <v>50</v>
      </c>
      <c r="N17" s="189"/>
      <c r="O17" s="192"/>
    </row>
    <row r="18" spans="1:15" ht="15" customHeight="1" x14ac:dyDescent="0.35"/>
    <row r="19" spans="1:15" ht="15" customHeight="1" x14ac:dyDescent="0.35"/>
    <row r="20" spans="1:15" ht="15" customHeight="1" x14ac:dyDescent="0.35"/>
    <row r="21" spans="1:15" ht="15" customHeight="1" x14ac:dyDescent="0.35"/>
  </sheetData>
  <mergeCells count="6">
    <mergeCell ref="M14:M16"/>
    <mergeCell ref="A3:A17"/>
    <mergeCell ref="N3:N17"/>
    <mergeCell ref="O3:O17"/>
    <mergeCell ref="M4:M6"/>
    <mergeCell ref="M9:M11"/>
  </mergeCells>
  <conditionalFormatting sqref="I3">
    <cfRule type="cellIs" dxfId="77" priority="138" operator="equal">
      <formula>0</formula>
    </cfRule>
  </conditionalFormatting>
  <conditionalFormatting sqref="K7">
    <cfRule type="cellIs" dxfId="76" priority="75" operator="equal">
      <formula>0</formula>
    </cfRule>
  </conditionalFormatting>
  <conditionalFormatting sqref="K6">
    <cfRule type="cellIs" dxfId="75" priority="74" operator="equal">
      <formula>0</formula>
    </cfRule>
  </conditionalFormatting>
  <conditionalFormatting sqref="K5">
    <cfRule type="cellIs" dxfId="74" priority="73" operator="equal">
      <formula>0</formula>
    </cfRule>
  </conditionalFormatting>
  <conditionalFormatting sqref="K4">
    <cfRule type="cellIs" dxfId="73" priority="72" operator="equal">
      <formula>0</formula>
    </cfRule>
  </conditionalFormatting>
  <conditionalFormatting sqref="K12">
    <cfRule type="cellIs" dxfId="72" priority="71" operator="equal">
      <formula>0</formula>
    </cfRule>
  </conditionalFormatting>
  <conditionalFormatting sqref="K11">
    <cfRule type="cellIs" dxfId="71" priority="70" operator="equal">
      <formula>0</formula>
    </cfRule>
  </conditionalFormatting>
  <conditionalFormatting sqref="K10">
    <cfRule type="cellIs" dxfId="70" priority="69" operator="equal">
      <formula>0</formula>
    </cfRule>
  </conditionalFormatting>
  <conditionalFormatting sqref="K9">
    <cfRule type="cellIs" dxfId="69" priority="68" operator="equal">
      <formula>0</formula>
    </cfRule>
  </conditionalFormatting>
  <conditionalFormatting sqref="K17">
    <cfRule type="cellIs" dxfId="68" priority="67" operator="equal">
      <formula>0</formula>
    </cfRule>
  </conditionalFormatting>
  <conditionalFormatting sqref="K16">
    <cfRule type="cellIs" dxfId="67" priority="66" operator="equal">
      <formula>0</formula>
    </cfRule>
  </conditionalFormatting>
  <conditionalFormatting sqref="K15">
    <cfRule type="cellIs" dxfId="66" priority="65" operator="equal">
      <formula>0</formula>
    </cfRule>
  </conditionalFormatting>
  <conditionalFormatting sqref="K14">
    <cfRule type="cellIs" dxfId="65" priority="64" operator="equal">
      <formula>0</formula>
    </cfRule>
  </conditionalFormatting>
  <conditionalFormatting sqref="L7:L8 L12 L3:L5">
    <cfRule type="cellIs" dxfId="64" priority="42" operator="equal">
      <formula>0</formula>
    </cfRule>
  </conditionalFormatting>
  <conditionalFormatting sqref="L6">
    <cfRule type="cellIs" dxfId="63" priority="41" operator="equal">
      <formula>0</formula>
    </cfRule>
  </conditionalFormatting>
  <conditionalFormatting sqref="L13">
    <cfRule type="cellIs" dxfId="62" priority="34" operator="equal">
      <formula>0</formula>
    </cfRule>
  </conditionalFormatting>
  <conditionalFormatting sqref="L9">
    <cfRule type="cellIs" dxfId="61" priority="39" operator="equal">
      <formula>0</formula>
    </cfRule>
  </conditionalFormatting>
  <conditionalFormatting sqref="L11">
    <cfRule type="cellIs" dxfId="60" priority="38" operator="equal">
      <formula>0</formula>
    </cfRule>
  </conditionalFormatting>
  <conditionalFormatting sqref="L16">
    <cfRule type="cellIs" dxfId="58" priority="36" operator="equal">
      <formula>0</formula>
    </cfRule>
  </conditionalFormatting>
  <conditionalFormatting sqref="F9">
    <cfRule type="cellIs" dxfId="57" priority="18" operator="equal">
      <formula>0</formula>
    </cfRule>
  </conditionalFormatting>
  <conditionalFormatting sqref="F11">
    <cfRule type="cellIs" dxfId="56" priority="17" operator="equal">
      <formula>0</formula>
    </cfRule>
  </conditionalFormatting>
  <conditionalFormatting sqref="F4">
    <cfRule type="cellIs" dxfId="55" priority="11" operator="equal">
      <formula>0</formula>
    </cfRule>
  </conditionalFormatting>
  <conditionalFormatting sqref="F7">
    <cfRule type="cellIs" dxfId="54" priority="15" operator="equal">
      <formula>0</formula>
    </cfRule>
  </conditionalFormatting>
  <conditionalFormatting sqref="F8">
    <cfRule type="cellIs" dxfId="53" priority="14" operator="equal">
      <formula>0</formula>
    </cfRule>
  </conditionalFormatting>
  <conditionalFormatting sqref="F3">
    <cfRule type="cellIs" dxfId="52" priority="16" operator="equal">
      <formula>0</formula>
    </cfRule>
  </conditionalFormatting>
  <conditionalFormatting sqref="F13">
    <cfRule type="cellIs" dxfId="51" priority="13" operator="equal">
      <formula>0</formula>
    </cfRule>
  </conditionalFormatting>
  <conditionalFormatting sqref="F10">
    <cfRule type="cellIs" dxfId="50" priority="12" operator="equal">
      <formula>0</formula>
    </cfRule>
  </conditionalFormatting>
  <conditionalFormatting sqref="F6">
    <cfRule type="cellIs" dxfId="49" priority="10" operator="equal">
      <formula>0</formula>
    </cfRule>
  </conditionalFormatting>
  <conditionalFormatting sqref="F5">
    <cfRule type="cellIs" dxfId="48" priority="9" operator="equal">
      <formula>0</formula>
    </cfRule>
  </conditionalFormatting>
  <conditionalFormatting sqref="F14">
    <cfRule type="cellIs" dxfId="47" priority="8" operator="equal">
      <formula>0</formula>
    </cfRule>
  </conditionalFormatting>
  <conditionalFormatting sqref="F16">
    <cfRule type="cellIs" dxfId="46" priority="7" operator="equal">
      <formula>0</formula>
    </cfRule>
  </conditionalFormatting>
  <conditionalFormatting sqref="F15">
    <cfRule type="cellIs" dxfId="45" priority="6" operator="equal">
      <formula>0</formula>
    </cfRule>
  </conditionalFormatting>
  <conditionalFormatting sqref="F12">
    <cfRule type="cellIs" dxfId="44" priority="5" operator="equal">
      <formula>0</formula>
    </cfRule>
  </conditionalFormatting>
  <conditionalFormatting sqref="F17">
    <cfRule type="cellIs" dxfId="43" priority="4" operator="equal">
      <formula>0</formula>
    </cfRule>
  </conditionalFormatting>
  <conditionalFormatting sqref="L14">
    <cfRule type="cellIs" dxfId="2" priority="3" operator="equal">
      <formula>0</formula>
    </cfRule>
  </conditionalFormatting>
  <conditionalFormatting sqref="L10">
    <cfRule type="cellIs" dxfId="1" priority="2" operator="equal">
      <formula>0</formula>
    </cfRule>
  </conditionalFormatting>
  <conditionalFormatting sqref="L15">
    <cfRule type="cellIs" dxfId="0" priority="1" operator="equal">
      <formula>0</formula>
    </cfRule>
  </conditionalFormatting>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showInputMessage="1" showErrorMessage="1" xr:uid="{207647D9-49E1-434A-B8E3-C23DF863A8C2}">
          <x14:formula1>
            <xm:f>Config!$B$3:$O$3</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95BF2-A7FC-4CC3-BD79-BCF5E068961A}">
  <sheetPr codeName="Sheet8"/>
  <dimension ref="A1:O126"/>
  <sheetViews>
    <sheetView zoomScale="85" zoomScaleNormal="85" workbookViewId="0">
      <selection activeCell="B27" sqref="B27"/>
    </sheetView>
  </sheetViews>
  <sheetFormatPr defaultColWidth="9.08984375" defaultRowHeight="14.5" x14ac:dyDescent="0.35"/>
  <cols>
    <col min="1" max="1" width="21.6328125" style="6" customWidth="1"/>
    <col min="2" max="2" width="59.36328125" style="6" customWidth="1"/>
    <col min="3" max="3" width="7.54296875" style="16" customWidth="1"/>
    <col min="4" max="4" width="5.6328125" style="16" customWidth="1"/>
    <col min="5" max="5" width="41" style="6" bestFit="1" customWidth="1"/>
    <col min="6" max="6" width="20" style="6" bestFit="1" customWidth="1"/>
    <col min="7" max="7" width="6" style="16" customWidth="1"/>
    <col min="8" max="8" width="5" style="16" customWidth="1"/>
    <col min="9" max="9" width="21.453125" style="6" customWidth="1"/>
    <col min="10" max="10" width="12.54296875" style="6" bestFit="1" customWidth="1"/>
    <col min="11" max="11" width="12.54296875" style="16" customWidth="1"/>
    <col min="12" max="12" width="36.90625" style="16" customWidth="1"/>
    <col min="13" max="15" width="9" style="6" bestFit="1" customWidth="1"/>
    <col min="16" max="16" width="20" style="6" customWidth="1"/>
    <col min="17" max="16384" width="9.08984375" style="6"/>
  </cols>
  <sheetData>
    <row r="1" spans="1:15" ht="20.25" customHeight="1" x14ac:dyDescent="0.35">
      <c r="A1" s="1" t="s">
        <v>59</v>
      </c>
      <c r="B1" s="1" t="s">
        <v>60</v>
      </c>
      <c r="C1" s="1" t="s">
        <v>394</v>
      </c>
      <c r="D1" s="1" t="s">
        <v>395</v>
      </c>
      <c r="E1" s="1" t="s">
        <v>61</v>
      </c>
      <c r="F1" s="1" t="s">
        <v>62</v>
      </c>
      <c r="G1" s="1" t="s">
        <v>385</v>
      </c>
      <c r="H1" s="1" t="s">
        <v>384</v>
      </c>
      <c r="I1" s="1" t="s">
        <v>63</v>
      </c>
      <c r="J1" s="1" t="s">
        <v>64</v>
      </c>
      <c r="K1" s="1" t="s">
        <v>692</v>
      </c>
      <c r="L1" s="1" t="s">
        <v>436</v>
      </c>
      <c r="M1" s="1" t="s">
        <v>622</v>
      </c>
      <c r="N1" s="1" t="s">
        <v>623</v>
      </c>
      <c r="O1" s="1" t="s">
        <v>624</v>
      </c>
    </row>
    <row r="2" spans="1:15" x14ac:dyDescent="0.35">
      <c r="A2" s="207" t="s">
        <v>65</v>
      </c>
      <c r="B2" s="4" t="s">
        <v>626</v>
      </c>
      <c r="C2" s="7">
        <v>0</v>
      </c>
      <c r="D2" s="7">
        <v>1</v>
      </c>
      <c r="E2" s="17" t="s">
        <v>66</v>
      </c>
      <c r="F2" s="2" t="s">
        <v>67</v>
      </c>
      <c r="G2" s="2">
        <v>0</v>
      </c>
      <c r="H2" s="19">
        <v>1</v>
      </c>
      <c r="I2" s="3" t="s">
        <v>18</v>
      </c>
      <c r="J2" s="17" t="s">
        <v>68</v>
      </c>
      <c r="K2" s="17" t="s">
        <v>693</v>
      </c>
      <c r="L2" s="17" t="s">
        <v>437</v>
      </c>
      <c r="M2" s="4">
        <f t="shared" ref="M2:O3" si="0">IF($B2="N/A", "N/A", 1)</f>
        <v>1</v>
      </c>
      <c r="N2" s="4">
        <f t="shared" si="0"/>
        <v>1</v>
      </c>
      <c r="O2" s="4">
        <f t="shared" si="0"/>
        <v>1</v>
      </c>
    </row>
    <row r="3" spans="1:15" x14ac:dyDescent="0.35">
      <c r="A3" s="207"/>
      <c r="B3" s="4" t="s">
        <v>626</v>
      </c>
      <c r="C3" s="7">
        <v>1</v>
      </c>
      <c r="D3" s="7">
        <v>1</v>
      </c>
      <c r="E3" s="17" t="s">
        <v>69</v>
      </c>
      <c r="F3" s="2" t="s">
        <v>70</v>
      </c>
      <c r="G3" s="2">
        <v>0</v>
      </c>
      <c r="H3" s="19">
        <v>1</v>
      </c>
      <c r="I3" s="3" t="s">
        <v>18</v>
      </c>
      <c r="J3" s="17" t="s">
        <v>71</v>
      </c>
      <c r="K3" s="17" t="s">
        <v>694</v>
      </c>
      <c r="L3" s="17" t="s">
        <v>438</v>
      </c>
      <c r="M3" s="4">
        <f t="shared" si="0"/>
        <v>1</v>
      </c>
      <c r="N3" s="4">
        <f t="shared" si="0"/>
        <v>1</v>
      </c>
      <c r="O3" s="4">
        <f t="shared" si="0"/>
        <v>1</v>
      </c>
    </row>
    <row r="4" spans="1:15" x14ac:dyDescent="0.35">
      <c r="A4" s="207"/>
      <c r="B4" s="17" t="s">
        <v>72</v>
      </c>
      <c r="C4" s="7">
        <v>2</v>
      </c>
      <c r="D4" s="7">
        <v>1</v>
      </c>
      <c r="E4" s="17" t="s">
        <v>73</v>
      </c>
      <c r="F4" s="17" t="s">
        <v>74</v>
      </c>
      <c r="G4" s="17">
        <v>0</v>
      </c>
      <c r="H4" s="20">
        <v>0</v>
      </c>
      <c r="I4" s="3" t="s">
        <v>18</v>
      </c>
      <c r="J4" s="17" t="s">
        <v>68</v>
      </c>
      <c r="K4" s="17" t="s">
        <v>695</v>
      </c>
      <c r="L4" s="17" t="s">
        <v>439</v>
      </c>
      <c r="M4" s="3">
        <f ca="1">IF($B4="N/A","N/A",IF(0=VLOOKUP($B4,INDIRECT(Config!$B$1),HLOOKUP(M$1,INDIRECT(Config!$E$1),2,FALSE),FALSE),1,0))</f>
        <v>1</v>
      </c>
      <c r="N4" s="3">
        <f ca="1">IF($B4="N/A","N/A",IF(0=VLOOKUP($B4,INDIRECT(Config!$B$1),HLOOKUP(N$1,INDIRECT(Config!$E$1),2,FALSE),FALSE),1,0))</f>
        <v>0</v>
      </c>
      <c r="O4" s="3">
        <f ca="1">IF($B4="N/A","N/A",IF(0=VLOOKUP($B4,INDIRECT(Config!$B$1),HLOOKUP(O$1,INDIRECT(Config!$E$1),2,FALSE),FALSE),1,0))</f>
        <v>1</v>
      </c>
    </row>
    <row r="5" spans="1:15" x14ac:dyDescent="0.35">
      <c r="A5" s="207"/>
      <c r="B5" s="4" t="s">
        <v>626</v>
      </c>
      <c r="C5" s="7">
        <v>3</v>
      </c>
      <c r="D5" s="7">
        <v>1</v>
      </c>
      <c r="E5" s="17" t="s">
        <v>75</v>
      </c>
      <c r="F5" s="2" t="s">
        <v>76</v>
      </c>
      <c r="G5" s="2">
        <v>0</v>
      </c>
      <c r="H5" s="19">
        <v>0</v>
      </c>
      <c r="I5" s="3" t="s">
        <v>18</v>
      </c>
      <c r="J5" s="17" t="s">
        <v>68</v>
      </c>
      <c r="K5" s="17" t="s">
        <v>696</v>
      </c>
      <c r="L5" s="17" t="s">
        <v>440</v>
      </c>
      <c r="M5" s="4">
        <f>IF($B5="N/A", "N/A", 1)</f>
        <v>1</v>
      </c>
      <c r="N5" s="4">
        <f>IF($B5="N/A", "N/A", 1)</f>
        <v>1</v>
      </c>
      <c r="O5" s="4">
        <f>IF($B5="N/A", "N/A", 1)</f>
        <v>1</v>
      </c>
    </row>
    <row r="6" spans="1:15" x14ac:dyDescent="0.35">
      <c r="A6" s="207"/>
      <c r="B6" s="7" t="s">
        <v>77</v>
      </c>
      <c r="C6" s="7">
        <v>4</v>
      </c>
      <c r="D6" s="7">
        <v>1</v>
      </c>
      <c r="E6" s="7" t="s">
        <v>78</v>
      </c>
      <c r="F6" s="17" t="s">
        <v>79</v>
      </c>
      <c r="G6" s="17">
        <v>0</v>
      </c>
      <c r="H6" s="20">
        <v>0</v>
      </c>
      <c r="I6" s="3" t="s">
        <v>18</v>
      </c>
      <c r="J6" s="17" t="s">
        <v>80</v>
      </c>
      <c r="K6" s="17" t="s">
        <v>697</v>
      </c>
      <c r="L6" s="17" t="s">
        <v>441</v>
      </c>
      <c r="M6" s="3">
        <f ca="1">IF($B6="N/A", "N/A", VLOOKUP($B6, INDIRECT(Config!$B$1), HLOOKUP(M$1, INDIRECT(Config!$E$1), 2, FALSE),FALSE))</f>
        <v>1</v>
      </c>
      <c r="N6" s="3">
        <f ca="1">IF($B6="N/A", "N/A", VLOOKUP($B6, INDIRECT(Config!$B$1), HLOOKUP(N$1, INDIRECT(Config!$E$1), 2, FALSE),FALSE))</f>
        <v>0</v>
      </c>
      <c r="O6" s="3">
        <f ca="1">IF($B6="N/A", "N/A", VLOOKUP($B6, INDIRECT(Config!$B$1), HLOOKUP(O$1, INDIRECT(Config!$E$1), 2, FALSE),FALSE))</f>
        <v>0</v>
      </c>
    </row>
    <row r="7" spans="1:15" x14ac:dyDescent="0.35">
      <c r="A7" s="207"/>
      <c r="B7" s="7" t="s">
        <v>77</v>
      </c>
      <c r="C7" s="7">
        <v>5</v>
      </c>
      <c r="D7" s="7">
        <v>1</v>
      </c>
      <c r="E7" s="7" t="s">
        <v>81</v>
      </c>
      <c r="F7" s="17" t="s">
        <v>82</v>
      </c>
      <c r="G7" s="17">
        <v>0</v>
      </c>
      <c r="H7" s="20">
        <v>0</v>
      </c>
      <c r="I7" s="3" t="s">
        <v>18</v>
      </c>
      <c r="J7" s="17" t="s">
        <v>80</v>
      </c>
      <c r="K7" s="17" t="s">
        <v>698</v>
      </c>
      <c r="L7" s="17" t="s">
        <v>442</v>
      </c>
      <c r="M7" s="3">
        <f ca="1">IF($B7="N/A", "N/A", VLOOKUP($B7, INDIRECT(Config!$B$1), HLOOKUP(M$1, INDIRECT(Config!$E$1), 2, FALSE),FALSE))</f>
        <v>1</v>
      </c>
      <c r="N7" s="3">
        <f ca="1">IF($B7="N/A", "N/A", VLOOKUP($B7, INDIRECT(Config!$B$1), HLOOKUP(N$1, INDIRECT(Config!$E$1), 2, FALSE),FALSE))</f>
        <v>0</v>
      </c>
      <c r="O7" s="3">
        <f ca="1">IF($B7="N/A", "N/A", VLOOKUP($B7, INDIRECT(Config!$B$1), HLOOKUP(O$1, INDIRECT(Config!$E$1), 2, FALSE),FALSE))</f>
        <v>0</v>
      </c>
    </row>
    <row r="8" spans="1:15" x14ac:dyDescent="0.35">
      <c r="A8" s="207"/>
      <c r="B8" s="4" t="s">
        <v>626</v>
      </c>
      <c r="C8" s="7">
        <v>6</v>
      </c>
      <c r="D8" s="7">
        <v>1</v>
      </c>
      <c r="E8" s="17" t="s">
        <v>83</v>
      </c>
      <c r="F8" s="2" t="s">
        <v>84</v>
      </c>
      <c r="G8" s="2">
        <v>0</v>
      </c>
      <c r="H8" s="19">
        <v>0</v>
      </c>
      <c r="I8" s="3" t="s">
        <v>18</v>
      </c>
      <c r="J8" s="17" t="s">
        <v>68</v>
      </c>
      <c r="K8" s="17" t="s">
        <v>699</v>
      </c>
      <c r="L8" s="17" t="s">
        <v>443</v>
      </c>
      <c r="M8" s="4">
        <f t="shared" ref="M8:O10" si="1">IF($B8="N/A", "N/A", 1)</f>
        <v>1</v>
      </c>
      <c r="N8" s="4">
        <f t="shared" si="1"/>
        <v>1</v>
      </c>
      <c r="O8" s="4">
        <f t="shared" si="1"/>
        <v>1</v>
      </c>
    </row>
    <row r="9" spans="1:15" x14ac:dyDescent="0.35">
      <c r="A9" s="207"/>
      <c r="B9" s="4" t="s">
        <v>626</v>
      </c>
      <c r="C9" s="7">
        <v>7</v>
      </c>
      <c r="D9" s="7">
        <v>1</v>
      </c>
      <c r="E9" s="17" t="s">
        <v>85</v>
      </c>
      <c r="F9" s="2" t="s">
        <v>86</v>
      </c>
      <c r="G9" s="2">
        <v>1</v>
      </c>
      <c r="H9" s="19">
        <v>1</v>
      </c>
      <c r="I9" s="3" t="s">
        <v>18</v>
      </c>
      <c r="J9" s="17" t="s">
        <v>68</v>
      </c>
      <c r="K9" s="17" t="s">
        <v>700</v>
      </c>
      <c r="L9" s="17" t="s">
        <v>444</v>
      </c>
      <c r="M9" s="4">
        <f t="shared" si="1"/>
        <v>1</v>
      </c>
      <c r="N9" s="4">
        <f t="shared" si="1"/>
        <v>1</v>
      </c>
      <c r="O9" s="4">
        <f t="shared" si="1"/>
        <v>1</v>
      </c>
    </row>
    <row r="10" spans="1:15" x14ac:dyDescent="0.35">
      <c r="A10" s="207"/>
      <c r="B10" s="4" t="s">
        <v>626</v>
      </c>
      <c r="C10" s="7">
        <v>8</v>
      </c>
      <c r="D10" s="7">
        <v>1</v>
      </c>
      <c r="E10" s="17" t="s">
        <v>87</v>
      </c>
      <c r="F10" s="2" t="s">
        <v>88</v>
      </c>
      <c r="G10" s="2">
        <v>0</v>
      </c>
      <c r="H10" s="19">
        <v>0</v>
      </c>
      <c r="I10" s="3" t="s">
        <v>18</v>
      </c>
      <c r="J10" s="17" t="s">
        <v>89</v>
      </c>
      <c r="K10" s="17" t="s">
        <v>701</v>
      </c>
      <c r="L10" s="17" t="s">
        <v>445</v>
      </c>
      <c r="M10" s="4">
        <f t="shared" si="1"/>
        <v>1</v>
      </c>
      <c r="N10" s="4">
        <f t="shared" si="1"/>
        <v>1</v>
      </c>
      <c r="O10" s="4">
        <f t="shared" si="1"/>
        <v>1</v>
      </c>
    </row>
    <row r="11" spans="1:15" x14ac:dyDescent="0.35">
      <c r="A11" s="207"/>
      <c r="B11" s="3" t="s">
        <v>851</v>
      </c>
      <c r="C11" s="3">
        <v>9</v>
      </c>
      <c r="D11" s="3">
        <v>1</v>
      </c>
      <c r="E11" s="3" t="s">
        <v>854</v>
      </c>
      <c r="F11" s="3" t="s">
        <v>90</v>
      </c>
      <c r="G11" s="3">
        <v>0</v>
      </c>
      <c r="H11" s="22">
        <v>0</v>
      </c>
      <c r="I11" s="147" t="s">
        <v>18</v>
      </c>
      <c r="J11" s="17" t="s">
        <v>89</v>
      </c>
      <c r="K11" s="227" t="s">
        <v>856</v>
      </c>
      <c r="L11" s="227" t="s">
        <v>855</v>
      </c>
      <c r="M11" s="3">
        <f ca="1">IF($B11="N/A", "N/A", VLOOKUP($B11, INDIRECT(Config!$B$1), HLOOKUP(M$1, INDIRECT(Config!$E$1), 2, FALSE),FALSE))</f>
        <v>1</v>
      </c>
      <c r="N11" s="3">
        <f ca="1">IF($B11="N/A", "N/A", VLOOKUP($B11, INDIRECT(Config!$B$1), HLOOKUP(N$1, INDIRECT(Config!$E$1), 2, FALSE),FALSE))</f>
        <v>1</v>
      </c>
      <c r="O11" s="3">
        <f ca="1">IF($B11="N/A", "N/A", VLOOKUP($B11, INDIRECT(Config!$B$1), HLOOKUP(O$1, INDIRECT(Config!$E$1), 2, FALSE),FALSE))</f>
        <v>0</v>
      </c>
    </row>
    <row r="12" spans="1:15" x14ac:dyDescent="0.35">
      <c r="A12" s="207"/>
      <c r="B12" s="17" t="s">
        <v>660</v>
      </c>
      <c r="C12" s="7">
        <v>10</v>
      </c>
      <c r="D12" s="7">
        <v>1</v>
      </c>
      <c r="E12" s="17" t="s">
        <v>91</v>
      </c>
      <c r="F12" s="17" t="s">
        <v>92</v>
      </c>
      <c r="G12" s="17">
        <v>1</v>
      </c>
      <c r="H12" s="20">
        <v>0</v>
      </c>
      <c r="I12" s="147" t="s">
        <v>18</v>
      </c>
      <c r="J12" s="17" t="s">
        <v>89</v>
      </c>
      <c r="K12" s="17" t="s">
        <v>702</v>
      </c>
      <c r="L12" s="17" t="s">
        <v>446</v>
      </c>
      <c r="M12" s="3">
        <f ca="1">IF($B12="N/A", "N/A", VLOOKUP($B12, INDIRECT(Config!$B$1), HLOOKUP(M$1, INDIRECT(Config!$E$1), 2, FALSE),FALSE))</f>
        <v>1</v>
      </c>
      <c r="N12" s="3">
        <f ca="1">IF($B12="N/A", "N/A", VLOOKUP($B12, INDIRECT(Config!$B$1), HLOOKUP(N$1, INDIRECT(Config!$E$1), 2, FALSE),FALSE))</f>
        <v>0</v>
      </c>
      <c r="O12" s="3">
        <f ca="1">IF($B12="N/A", "N/A", VLOOKUP($B12, INDIRECT(Config!$B$1), HLOOKUP(O$1, INDIRECT(Config!$E$1), 2, FALSE),FALSE))</f>
        <v>0</v>
      </c>
    </row>
    <row r="13" spans="1:15" x14ac:dyDescent="0.35">
      <c r="A13" s="207"/>
      <c r="B13" s="17" t="s">
        <v>93</v>
      </c>
      <c r="C13" s="7">
        <v>11</v>
      </c>
      <c r="D13" s="7">
        <v>1</v>
      </c>
      <c r="E13" s="17" t="s">
        <v>94</v>
      </c>
      <c r="F13" s="17" t="s">
        <v>95</v>
      </c>
      <c r="G13" s="17">
        <v>0</v>
      </c>
      <c r="H13" s="20">
        <v>1</v>
      </c>
      <c r="I13" s="147" t="s">
        <v>18</v>
      </c>
      <c r="J13" s="17" t="s">
        <v>89</v>
      </c>
      <c r="K13" s="17" t="s">
        <v>703</v>
      </c>
      <c r="L13" s="17" t="s">
        <v>447</v>
      </c>
      <c r="M13" s="3">
        <f ca="1">IF($B13="N/A", "N/A", VLOOKUP($B13, INDIRECT(Config!$B$1), HLOOKUP(M$1, INDIRECT(Config!$E$1), 2, FALSE),FALSE))</f>
        <v>0</v>
      </c>
      <c r="N13" s="3">
        <f ca="1">IF($B13="N/A", "N/A", VLOOKUP($B13, INDIRECT(Config!$B$1), HLOOKUP(N$1, INDIRECT(Config!$E$1), 2, FALSE),FALSE))</f>
        <v>0</v>
      </c>
      <c r="O13" s="3">
        <f ca="1">IF($B13="N/A", "N/A", VLOOKUP($B13, INDIRECT(Config!$B$1), HLOOKUP(O$1, INDIRECT(Config!$E$1), 2, FALSE),FALSE))</f>
        <v>0</v>
      </c>
    </row>
    <row r="14" spans="1:15" x14ac:dyDescent="0.35">
      <c r="A14" s="207"/>
      <c r="B14" s="17" t="s">
        <v>662</v>
      </c>
      <c r="C14" s="7">
        <v>12</v>
      </c>
      <c r="D14" s="7">
        <v>1</v>
      </c>
      <c r="E14" s="17" t="s">
        <v>96</v>
      </c>
      <c r="F14" s="17" t="s">
        <v>97</v>
      </c>
      <c r="G14" s="17">
        <v>1</v>
      </c>
      <c r="H14" s="20">
        <v>1</v>
      </c>
      <c r="I14" s="147" t="s">
        <v>18</v>
      </c>
      <c r="J14" s="17" t="s">
        <v>89</v>
      </c>
      <c r="K14" s="17" t="s">
        <v>704</v>
      </c>
      <c r="L14" s="17" t="s">
        <v>448</v>
      </c>
      <c r="M14" s="3">
        <f ca="1">IF($B14="N/A", "N/A", VLOOKUP($B14, INDIRECT(Config!$B$1), HLOOKUP(M$1, INDIRECT(Config!$E$1), 2, FALSE),FALSE))</f>
        <v>1</v>
      </c>
      <c r="N14" s="3">
        <f ca="1">IF($B14="N/A", "N/A", VLOOKUP($B14, INDIRECT(Config!$B$1), HLOOKUP(N$1, INDIRECT(Config!$E$1), 2, FALSE),FALSE))</f>
        <v>0</v>
      </c>
      <c r="O14" s="3">
        <f ca="1">IF($B14="N/A", "N/A", VLOOKUP($B14, INDIRECT(Config!$B$1), HLOOKUP(O$1, INDIRECT(Config!$E$1), 2, FALSE),FALSE))</f>
        <v>0</v>
      </c>
    </row>
    <row r="15" spans="1:15" x14ac:dyDescent="0.35">
      <c r="A15" s="207"/>
      <c r="B15" s="17" t="s">
        <v>175</v>
      </c>
      <c r="C15" s="7">
        <v>13</v>
      </c>
      <c r="D15" s="7">
        <v>1</v>
      </c>
      <c r="E15" s="17" t="s">
        <v>98</v>
      </c>
      <c r="F15" s="17" t="s">
        <v>99</v>
      </c>
      <c r="G15" s="17">
        <v>0</v>
      </c>
      <c r="H15" s="20">
        <v>1</v>
      </c>
      <c r="I15" s="147" t="s">
        <v>18</v>
      </c>
      <c r="J15" s="17" t="s">
        <v>89</v>
      </c>
      <c r="K15" s="17" t="s">
        <v>705</v>
      </c>
      <c r="L15" s="17" t="s">
        <v>449</v>
      </c>
      <c r="M15" s="3">
        <f ca="1">IF($B15="N/A", "N/A", VLOOKUP($B15, INDIRECT(Config!$B$1), HLOOKUP(M$1, INDIRECT(Config!$E$1), 2, FALSE),FALSE))</f>
        <v>1</v>
      </c>
      <c r="N15" s="3">
        <f ca="1">IF($B15="N/A", "N/A", VLOOKUP($B15, INDIRECT(Config!$B$1), HLOOKUP(N$1, INDIRECT(Config!$E$1), 2, FALSE),FALSE))</f>
        <v>0</v>
      </c>
      <c r="O15" s="3">
        <f ca="1">IF($B15="N/A", "N/A", VLOOKUP($B15, INDIRECT(Config!$B$1), HLOOKUP(O$1, INDIRECT(Config!$E$1), 2, FALSE),FALSE))</f>
        <v>0</v>
      </c>
    </row>
    <row r="16" spans="1:15" x14ac:dyDescent="0.35">
      <c r="A16" s="207"/>
      <c r="B16" s="4" t="s">
        <v>626</v>
      </c>
      <c r="C16" s="7">
        <v>14</v>
      </c>
      <c r="D16" s="7">
        <v>1</v>
      </c>
      <c r="E16" s="17" t="s">
        <v>100</v>
      </c>
      <c r="F16" s="2" t="s">
        <v>101</v>
      </c>
      <c r="G16" s="2">
        <v>1</v>
      </c>
      <c r="H16" s="19">
        <v>0</v>
      </c>
      <c r="I16" s="147" t="s">
        <v>18</v>
      </c>
      <c r="J16" s="7" t="s">
        <v>71</v>
      </c>
      <c r="K16" s="7" t="s">
        <v>706</v>
      </c>
      <c r="L16" s="7" t="s">
        <v>450</v>
      </c>
      <c r="M16" s="4">
        <f>IF($B16="N/A", "N/A", 1)</f>
        <v>1</v>
      </c>
      <c r="N16" s="4">
        <f>IF($B16="N/A", "N/A", 1)</f>
        <v>1</v>
      </c>
      <c r="O16" s="4">
        <f>IF($B16="N/A", "N/A", 1)</f>
        <v>1</v>
      </c>
    </row>
    <row r="17" spans="1:15" x14ac:dyDescent="0.35">
      <c r="A17" s="207"/>
      <c r="B17" s="2" t="s">
        <v>102</v>
      </c>
      <c r="C17" s="2">
        <v>15</v>
      </c>
      <c r="D17" s="2">
        <v>1</v>
      </c>
      <c r="E17" s="2" t="s">
        <v>103</v>
      </c>
      <c r="F17" s="17" t="s">
        <v>104</v>
      </c>
      <c r="G17" s="17">
        <v>0</v>
      </c>
      <c r="H17" s="20">
        <v>0</v>
      </c>
      <c r="I17" s="147" t="s">
        <v>18</v>
      </c>
      <c r="J17" s="7" t="s">
        <v>68</v>
      </c>
      <c r="K17" s="7" t="s">
        <v>707</v>
      </c>
      <c r="L17" s="7" t="s">
        <v>451</v>
      </c>
      <c r="M17" s="3">
        <f ca="1">IF($B17="N/A", "N/A", VLOOKUP($B17, INDIRECT(Config!$B$1), HLOOKUP(M$1, INDIRECT(Config!$E$1), 2, FALSE),FALSE))</f>
        <v>0</v>
      </c>
      <c r="N17" s="3">
        <f ca="1">IF($B17="N/A", "N/A", VLOOKUP($B17, INDIRECT(Config!$B$1), HLOOKUP(N$1, INDIRECT(Config!$E$1), 2, FALSE),FALSE))</f>
        <v>0</v>
      </c>
      <c r="O17" s="3">
        <f ca="1">IF($B17="N/A", "N/A", VLOOKUP($B17, INDIRECT(Config!$B$1), HLOOKUP(O$1, INDIRECT(Config!$E$1), 2, FALSE),FALSE))</f>
        <v>0</v>
      </c>
    </row>
    <row r="18" spans="1:15" x14ac:dyDescent="0.35">
      <c r="A18" s="207"/>
      <c r="B18" s="4" t="s">
        <v>626</v>
      </c>
      <c r="C18" s="7">
        <v>16</v>
      </c>
      <c r="D18" s="7">
        <v>1</v>
      </c>
      <c r="E18" s="17" t="s">
        <v>105</v>
      </c>
      <c r="F18" s="2" t="s">
        <v>106</v>
      </c>
      <c r="G18" s="2">
        <v>1</v>
      </c>
      <c r="H18" s="19">
        <v>1</v>
      </c>
      <c r="I18" s="147" t="s">
        <v>682</v>
      </c>
      <c r="J18" s="7" t="s">
        <v>89</v>
      </c>
      <c r="K18" s="7" t="s">
        <v>708</v>
      </c>
      <c r="L18" s="7" t="s">
        <v>452</v>
      </c>
      <c r="M18" s="4">
        <f t="shared" ref="M18:O19" si="2">IF($B18="N/A", "N/A", 1)</f>
        <v>1</v>
      </c>
      <c r="N18" s="4">
        <f t="shared" si="2"/>
        <v>1</v>
      </c>
      <c r="O18" s="4">
        <f t="shared" si="2"/>
        <v>1</v>
      </c>
    </row>
    <row r="19" spans="1:15" x14ac:dyDescent="0.35">
      <c r="A19" s="207"/>
      <c r="B19" s="4" t="s">
        <v>626</v>
      </c>
      <c r="C19" s="7">
        <v>17</v>
      </c>
      <c r="D19" s="7">
        <v>1</v>
      </c>
      <c r="E19" s="17" t="s">
        <v>107</v>
      </c>
      <c r="F19" s="2" t="s">
        <v>108</v>
      </c>
      <c r="G19" s="2">
        <v>1</v>
      </c>
      <c r="H19" s="19">
        <v>1</v>
      </c>
      <c r="I19" s="147" t="s">
        <v>682</v>
      </c>
      <c r="J19" s="7" t="s">
        <v>89</v>
      </c>
      <c r="K19" s="7" t="s">
        <v>709</v>
      </c>
      <c r="L19" s="7" t="s">
        <v>453</v>
      </c>
      <c r="M19" s="4">
        <f t="shared" si="2"/>
        <v>1</v>
      </c>
      <c r="N19" s="4">
        <f t="shared" si="2"/>
        <v>1</v>
      </c>
      <c r="O19" s="4">
        <f t="shared" si="2"/>
        <v>1</v>
      </c>
    </row>
    <row r="20" spans="1:15" x14ac:dyDescent="0.35">
      <c r="A20" s="207"/>
      <c r="B20" s="2" t="s">
        <v>102</v>
      </c>
      <c r="C20" s="2">
        <v>18</v>
      </c>
      <c r="D20" s="2">
        <v>5</v>
      </c>
      <c r="E20" s="2" t="s">
        <v>109</v>
      </c>
      <c r="F20" s="17" t="s">
        <v>110</v>
      </c>
      <c r="G20" s="17">
        <v>0</v>
      </c>
      <c r="H20" s="20">
        <v>0</v>
      </c>
      <c r="I20" s="147" t="s">
        <v>682</v>
      </c>
      <c r="J20" s="7" t="s">
        <v>68</v>
      </c>
      <c r="K20" s="7" t="s">
        <v>710</v>
      </c>
      <c r="L20" s="7" t="s">
        <v>454</v>
      </c>
      <c r="M20" s="3">
        <f ca="1">IF($B20="N/A", "N/A", VLOOKUP($B20, INDIRECT(Config!$B$1), HLOOKUP(M$1, INDIRECT(Config!$E$1), 2, FALSE),FALSE))</f>
        <v>0</v>
      </c>
      <c r="N20" s="3">
        <f ca="1">IF($B20="N/A", "N/A", VLOOKUP($B20, INDIRECT(Config!$B$1), HLOOKUP(N$1, INDIRECT(Config!$E$1), 2, FALSE),FALSE))</f>
        <v>0</v>
      </c>
      <c r="O20" s="3">
        <f ca="1">IF($B20="N/A", "N/A", VLOOKUP($B20, INDIRECT(Config!$B$1), HLOOKUP(O$1, INDIRECT(Config!$E$1), 2, FALSE),FALSE))</f>
        <v>0</v>
      </c>
    </row>
    <row r="21" spans="1:15" x14ac:dyDescent="0.35">
      <c r="A21" s="207"/>
      <c r="B21" s="2" t="s">
        <v>111</v>
      </c>
      <c r="C21" s="2">
        <v>18</v>
      </c>
      <c r="D21" s="2">
        <v>1</v>
      </c>
      <c r="E21" s="2" t="s">
        <v>112</v>
      </c>
      <c r="F21" s="17" t="s">
        <v>113</v>
      </c>
      <c r="G21" s="17">
        <v>1</v>
      </c>
      <c r="H21" s="20">
        <v>0</v>
      </c>
      <c r="I21" s="147" t="s">
        <v>682</v>
      </c>
      <c r="J21" s="7" t="s">
        <v>89</v>
      </c>
      <c r="K21" s="7" t="s">
        <v>792</v>
      </c>
      <c r="L21" s="7" t="s">
        <v>534</v>
      </c>
      <c r="M21" s="3">
        <f ca="1">IF(VLOOKUP("SAMSUNG_PUF_CONFIG_EN",  INDIRECT(Config!$B$1), HLOOKUP(M$1, INDIRECT(Config!$E$1), 2, FALSE),FALSE)=0, VLOOKUP("IFWI_LAYOUT_1_5_EN",  INDIRECT(Config!$B$1), HLOOKUP(M$1,  INDIRECT(Config!$E$1), 2, FALSE),FALSE), 0)</f>
        <v>0</v>
      </c>
      <c r="N21" s="3">
        <f ca="1">IF(VLOOKUP("SAMSUNG_PUF_CONFIG_EN",  INDIRECT(Config!$B$1), HLOOKUP(N$1, INDIRECT(Config!$E$1), 2, FALSE),FALSE)=0, VLOOKUP("IFWI_LAYOUT_1_5_EN",  INDIRECT(Config!$B$1), HLOOKUP(N$1,  INDIRECT(Config!$E$1), 2, FALSE),FALSE), 0)</f>
        <v>0</v>
      </c>
      <c r="O21" s="3">
        <f ca="1">IF(VLOOKUP("SAMSUNG_PUF_CONFIG_EN",  INDIRECT(Config!$B$1), HLOOKUP(O$1, INDIRECT(Config!$E$1), 2, FALSE),FALSE)=0, VLOOKUP("IFWI_LAYOUT_1_5_EN",  INDIRECT(Config!$B$1), HLOOKUP(O$1,  INDIRECT(Config!$E$1), 2, FALSE),FALSE), 0)</f>
        <v>0</v>
      </c>
    </row>
    <row r="22" spans="1:15" x14ac:dyDescent="0.35">
      <c r="A22" s="207"/>
      <c r="B22" s="2" t="s">
        <v>111</v>
      </c>
      <c r="C22" s="2">
        <v>19</v>
      </c>
      <c r="D22" s="2">
        <v>1</v>
      </c>
      <c r="E22" s="2" t="s">
        <v>114</v>
      </c>
      <c r="F22" s="17" t="s">
        <v>115</v>
      </c>
      <c r="G22" s="17">
        <v>1</v>
      </c>
      <c r="H22" s="20">
        <v>0</v>
      </c>
      <c r="I22" s="147" t="s">
        <v>682</v>
      </c>
      <c r="J22" s="7" t="s">
        <v>89</v>
      </c>
      <c r="K22" s="7" t="s">
        <v>793</v>
      </c>
      <c r="L22" s="7" t="s">
        <v>534</v>
      </c>
      <c r="M22" s="3">
        <f ca="1">IF(VLOOKUP("SAMSUNG_PUF_CONFIG_EN",  INDIRECT(Config!$B$1), HLOOKUP(M$1, INDIRECT(Config!$E$1), 2, FALSE),FALSE)=0, VLOOKUP("IFWI_LAYOUT_1_5_EN",  INDIRECT(Config!$B$1), HLOOKUP(M$1,  INDIRECT(Config!$E$1), 2, FALSE),FALSE), 0)</f>
        <v>0</v>
      </c>
      <c r="N22" s="3">
        <f ca="1">IF(VLOOKUP("SAMSUNG_PUF_CONFIG_EN",  INDIRECT(Config!$B$1), HLOOKUP(N$1, INDIRECT(Config!$E$1), 2, FALSE),FALSE)=0, VLOOKUP("IFWI_LAYOUT_1_5_EN",  INDIRECT(Config!$B$1), HLOOKUP(N$1,  INDIRECT(Config!$E$1), 2, FALSE),FALSE), 0)</f>
        <v>0</v>
      </c>
      <c r="O22" s="3">
        <f ca="1">IF(VLOOKUP("SAMSUNG_PUF_CONFIG_EN",  INDIRECT(Config!$B$1), HLOOKUP(O$1, INDIRECT(Config!$E$1), 2, FALSE),FALSE)=0, VLOOKUP("IFWI_LAYOUT_1_5_EN",  INDIRECT(Config!$B$1), HLOOKUP(O$1,  INDIRECT(Config!$E$1), 2, FALSE),FALSE), 0)</f>
        <v>0</v>
      </c>
    </row>
    <row r="23" spans="1:15" x14ac:dyDescent="0.35">
      <c r="A23" s="207"/>
      <c r="B23" s="2" t="s">
        <v>111</v>
      </c>
      <c r="C23" s="2">
        <v>20</v>
      </c>
      <c r="D23" s="2">
        <v>1</v>
      </c>
      <c r="E23" s="2" t="s">
        <v>116</v>
      </c>
      <c r="F23" s="17" t="s">
        <v>117</v>
      </c>
      <c r="G23" s="17">
        <v>0</v>
      </c>
      <c r="H23" s="20">
        <v>0</v>
      </c>
      <c r="I23" s="147" t="s">
        <v>682</v>
      </c>
      <c r="J23" s="7" t="s">
        <v>89</v>
      </c>
      <c r="K23" s="7" t="s">
        <v>794</v>
      </c>
      <c r="L23" s="7" t="s">
        <v>534</v>
      </c>
      <c r="M23" s="3">
        <f ca="1">IF(VLOOKUP("SAMSUNG_PUF_CONFIG_EN",  INDIRECT(Config!$B$1), HLOOKUP(M$1, INDIRECT(Config!$E$1), 2, FALSE),FALSE)=0, VLOOKUP("IFWI_LAYOUT_1_5_EN",  INDIRECT(Config!$B$1), HLOOKUP(M$1,  INDIRECT(Config!$E$1), 2, FALSE),FALSE), 0)</f>
        <v>0</v>
      </c>
      <c r="N23" s="3">
        <f ca="1">IF(VLOOKUP("SAMSUNG_PUF_CONFIG_EN",  INDIRECT(Config!$B$1), HLOOKUP(N$1, INDIRECT(Config!$E$1), 2, FALSE),FALSE)=0, VLOOKUP("IFWI_LAYOUT_1_5_EN",  INDIRECT(Config!$B$1), HLOOKUP(N$1,  INDIRECT(Config!$E$1), 2, FALSE),FALSE), 0)</f>
        <v>0</v>
      </c>
      <c r="O23" s="3">
        <f ca="1">IF(VLOOKUP("SAMSUNG_PUF_CONFIG_EN",  INDIRECT(Config!$B$1), HLOOKUP(O$1, INDIRECT(Config!$E$1), 2, FALSE),FALSE)=0, VLOOKUP("IFWI_LAYOUT_1_5_EN",  INDIRECT(Config!$B$1), HLOOKUP(O$1,  INDIRECT(Config!$E$1), 2, FALSE),FALSE), 0)</f>
        <v>0</v>
      </c>
    </row>
    <row r="24" spans="1:15" x14ac:dyDescent="0.35">
      <c r="A24" s="207"/>
      <c r="B24" s="2" t="s">
        <v>111</v>
      </c>
      <c r="C24" s="2">
        <v>21</v>
      </c>
      <c r="D24" s="2">
        <v>1</v>
      </c>
      <c r="E24" s="2" t="s">
        <v>118</v>
      </c>
      <c r="F24" s="17" t="s">
        <v>119</v>
      </c>
      <c r="G24" s="17">
        <v>0</v>
      </c>
      <c r="H24" s="20">
        <v>0</v>
      </c>
      <c r="I24" s="147" t="s">
        <v>682</v>
      </c>
      <c r="J24" s="7" t="s">
        <v>89</v>
      </c>
      <c r="K24" s="7" t="s">
        <v>795</v>
      </c>
      <c r="L24" s="7" t="s">
        <v>534</v>
      </c>
      <c r="M24" s="3">
        <f ca="1">IF(VLOOKUP("SAMSUNG_PUF_CONFIG_EN",  INDIRECT(Config!$B$1), HLOOKUP(M$1, INDIRECT(Config!$E$1), 2, FALSE),FALSE)=0, VLOOKUP("IFWI_LAYOUT_1_5_EN",  INDIRECT(Config!$B$1), HLOOKUP(M$1,  INDIRECT(Config!$E$1), 2, FALSE),FALSE), 0)</f>
        <v>0</v>
      </c>
      <c r="N24" s="3">
        <f ca="1">IF(VLOOKUP("SAMSUNG_PUF_CONFIG_EN",  INDIRECT(Config!$B$1), HLOOKUP(N$1, INDIRECT(Config!$E$1), 2, FALSE),FALSE)=0, VLOOKUP("IFWI_LAYOUT_1_5_EN",  INDIRECT(Config!$B$1), HLOOKUP(N$1,  INDIRECT(Config!$E$1), 2, FALSE),FALSE), 0)</f>
        <v>0</v>
      </c>
      <c r="O24" s="3">
        <f ca="1">IF(VLOOKUP("SAMSUNG_PUF_CONFIG_EN",  INDIRECT(Config!$B$1), HLOOKUP(O$1, INDIRECT(Config!$E$1), 2, FALSE),FALSE)=0, VLOOKUP("IFWI_LAYOUT_1_5_EN",  INDIRECT(Config!$B$1), HLOOKUP(O$1,  INDIRECT(Config!$E$1), 2, FALSE),FALSE), 0)</f>
        <v>0</v>
      </c>
    </row>
    <row r="25" spans="1:15" x14ac:dyDescent="0.35">
      <c r="A25" s="207"/>
      <c r="B25" s="2" t="s">
        <v>111</v>
      </c>
      <c r="C25" s="2">
        <v>22</v>
      </c>
      <c r="D25" s="2">
        <v>1</v>
      </c>
      <c r="E25" s="2" t="s">
        <v>120</v>
      </c>
      <c r="F25" s="17" t="s">
        <v>121</v>
      </c>
      <c r="G25" s="17">
        <v>0</v>
      </c>
      <c r="H25" s="20">
        <v>0</v>
      </c>
      <c r="I25" s="147" t="s">
        <v>682</v>
      </c>
      <c r="J25" s="7" t="s">
        <v>89</v>
      </c>
      <c r="K25" s="7" t="s">
        <v>796</v>
      </c>
      <c r="L25" s="7" t="s">
        <v>534</v>
      </c>
      <c r="M25" s="3">
        <f ca="1">IF(VLOOKUP("SAMSUNG_PUF_CONFIG_EN",  INDIRECT(Config!$B$1), HLOOKUP(M$1, INDIRECT(Config!$E$1), 2, FALSE),FALSE)=0, VLOOKUP("IFWI_LAYOUT_1_5_EN",  INDIRECT(Config!$B$1), HLOOKUP(M$1,  INDIRECT(Config!$E$1), 2, FALSE),FALSE), 0)</f>
        <v>0</v>
      </c>
      <c r="N25" s="3">
        <f ca="1">IF(VLOOKUP("SAMSUNG_PUF_CONFIG_EN",  INDIRECT(Config!$B$1), HLOOKUP(N$1, INDIRECT(Config!$E$1), 2, FALSE),FALSE)=0, VLOOKUP("IFWI_LAYOUT_1_5_EN",  INDIRECT(Config!$B$1), HLOOKUP(N$1,  INDIRECT(Config!$E$1), 2, FALSE),FALSE), 0)</f>
        <v>0</v>
      </c>
      <c r="O25" s="3">
        <f ca="1">IF(VLOOKUP("SAMSUNG_PUF_CONFIG_EN",  INDIRECT(Config!$B$1), HLOOKUP(O$1, INDIRECT(Config!$E$1), 2, FALSE),FALSE)=0, VLOOKUP("IFWI_LAYOUT_1_5_EN",  INDIRECT(Config!$B$1), HLOOKUP(O$1,  INDIRECT(Config!$E$1), 2, FALSE),FALSE), 0)</f>
        <v>0</v>
      </c>
    </row>
    <row r="26" spans="1:15" x14ac:dyDescent="0.35">
      <c r="A26" s="207"/>
      <c r="B26" s="7" t="s">
        <v>122</v>
      </c>
      <c r="C26" s="7">
        <v>23</v>
      </c>
      <c r="D26" s="7">
        <v>1</v>
      </c>
      <c r="E26" s="7" t="s">
        <v>123</v>
      </c>
      <c r="F26" s="17" t="s">
        <v>124</v>
      </c>
      <c r="G26" s="17">
        <v>0</v>
      </c>
      <c r="H26" s="20">
        <v>0</v>
      </c>
      <c r="I26" s="147" t="s">
        <v>682</v>
      </c>
      <c r="J26" s="7" t="s">
        <v>89</v>
      </c>
      <c r="K26" s="7" t="s">
        <v>797</v>
      </c>
      <c r="L26" s="7" t="s">
        <v>534</v>
      </c>
      <c r="M26" s="3">
        <f ca="1">IF($B26="N/A", "N/A", VLOOKUP($B26, INDIRECT(Config!$B$1), HLOOKUP(M$1, INDIRECT(Config!$E$1), 2, FALSE),FALSE))</f>
        <v>1</v>
      </c>
      <c r="N26" s="3">
        <f ca="1">IF($B26="N/A", "N/A", VLOOKUP($B26, INDIRECT(Config!$B$1), HLOOKUP(N$1, INDIRECT(Config!$E$1), 2, FALSE),FALSE))</f>
        <v>1</v>
      </c>
      <c r="O26" s="3">
        <f ca="1">IF($B26="N/A", "N/A", VLOOKUP($B26, INDIRECT(Config!$B$1), HLOOKUP(O$1, INDIRECT(Config!$E$1), 2, FALSE),FALSE))</f>
        <v>0</v>
      </c>
    </row>
    <row r="27" spans="1:15" x14ac:dyDescent="0.35">
      <c r="A27" s="207"/>
      <c r="B27" s="7" t="s">
        <v>125</v>
      </c>
      <c r="C27" s="7">
        <v>24</v>
      </c>
      <c r="D27" s="7">
        <v>1</v>
      </c>
      <c r="E27" s="7" t="s">
        <v>126</v>
      </c>
      <c r="F27" s="17" t="s">
        <v>127</v>
      </c>
      <c r="G27" s="17">
        <v>1</v>
      </c>
      <c r="H27" s="20">
        <v>0</v>
      </c>
      <c r="I27" s="147" t="s">
        <v>18</v>
      </c>
      <c r="J27" s="7" t="s">
        <v>89</v>
      </c>
      <c r="K27" s="7" t="s">
        <v>798</v>
      </c>
      <c r="L27" s="7" t="s">
        <v>534</v>
      </c>
      <c r="M27" s="3">
        <f ca="1">IF($B27="N/A", "N/A", VLOOKUP($B27, INDIRECT(Config!$B$1), HLOOKUP(M$1, INDIRECT(Config!$E$1), 2, FALSE),FALSE))</f>
        <v>1</v>
      </c>
      <c r="N27" s="3">
        <f ca="1">IF($B27="N/A", "N/A", VLOOKUP($B27, INDIRECT(Config!$B$1), HLOOKUP(N$1, INDIRECT(Config!$E$1), 2, FALSE),FALSE))</f>
        <v>1</v>
      </c>
      <c r="O27" s="3">
        <f ca="1">IF($B27="N/A", "N/A", VLOOKUP($B27, INDIRECT(Config!$B$1), HLOOKUP(O$1, INDIRECT(Config!$E$1), 2, FALSE),FALSE))</f>
        <v>0</v>
      </c>
    </row>
    <row r="28" spans="1:15" x14ac:dyDescent="0.35">
      <c r="A28" s="207"/>
      <c r="B28" s="17" t="s">
        <v>128</v>
      </c>
      <c r="C28" s="7">
        <v>25</v>
      </c>
      <c r="D28" s="7">
        <v>1</v>
      </c>
      <c r="E28" s="17" t="s">
        <v>129</v>
      </c>
      <c r="F28" s="17" t="s">
        <v>130</v>
      </c>
      <c r="G28" s="17">
        <v>1</v>
      </c>
      <c r="H28" s="20">
        <v>1</v>
      </c>
      <c r="I28" s="147" t="s">
        <v>18</v>
      </c>
      <c r="J28" s="7" t="s">
        <v>131</v>
      </c>
      <c r="K28" s="7" t="s">
        <v>711</v>
      </c>
      <c r="L28" s="7" t="s">
        <v>760</v>
      </c>
      <c r="M28" s="3">
        <f ca="1">IF($B28="N/A", "N/A", VLOOKUP($B28, INDIRECT(Config!$B$1), HLOOKUP(M$1, INDIRECT(Config!$E$1), 2, FALSE),FALSE))</f>
        <v>1</v>
      </c>
      <c r="N28" s="3">
        <f ca="1">IF($B28="N/A", "N/A", VLOOKUP($B28, INDIRECT(Config!$B$1), HLOOKUP(N$1, INDIRECT(Config!$E$1), 2, FALSE),FALSE))</f>
        <v>0</v>
      </c>
      <c r="O28" s="3">
        <f ca="1">IF($B28="N/A", "N/A", VLOOKUP($B28, INDIRECT(Config!$B$1), HLOOKUP(O$1, INDIRECT(Config!$E$1), 2, FALSE),FALSE))</f>
        <v>0</v>
      </c>
    </row>
    <row r="29" spans="1:15" x14ac:dyDescent="0.35">
      <c r="A29" s="207"/>
      <c r="B29" s="2" t="s">
        <v>102</v>
      </c>
      <c r="C29" s="2">
        <v>26</v>
      </c>
      <c r="D29" s="2">
        <v>3</v>
      </c>
      <c r="E29" s="2" t="s">
        <v>132</v>
      </c>
      <c r="F29" s="17" t="s">
        <v>133</v>
      </c>
      <c r="G29" s="17">
        <v>0</v>
      </c>
      <c r="H29" s="20">
        <v>0</v>
      </c>
      <c r="I29" s="147" t="s">
        <v>18</v>
      </c>
      <c r="J29" s="7" t="s">
        <v>68</v>
      </c>
      <c r="K29" s="7" t="s">
        <v>712</v>
      </c>
      <c r="L29" s="7" t="s">
        <v>761</v>
      </c>
      <c r="M29" s="3">
        <f ca="1">IF($B29="N/A", "N/A", VLOOKUP($B29, INDIRECT(Config!$B$1), HLOOKUP(M$1, INDIRECT(Config!$E$1), 2, FALSE),FALSE))</f>
        <v>0</v>
      </c>
      <c r="N29" s="3">
        <f ca="1">IF($B29="N/A", "N/A", VLOOKUP($B29, INDIRECT(Config!$B$1), HLOOKUP(N$1, INDIRECT(Config!$E$1), 2, FALSE),FALSE))</f>
        <v>0</v>
      </c>
      <c r="O29" s="3">
        <f ca="1">IF($B29="N/A", "N/A", VLOOKUP($B29, INDIRECT(Config!$B$1), HLOOKUP(O$1, INDIRECT(Config!$E$1), 2, FALSE),FALSE))</f>
        <v>0</v>
      </c>
    </row>
    <row r="30" spans="1:15" x14ac:dyDescent="0.35">
      <c r="A30" s="207"/>
      <c r="B30" s="2" t="s">
        <v>111</v>
      </c>
      <c r="C30" s="2">
        <v>26</v>
      </c>
      <c r="D30" s="2">
        <v>1</v>
      </c>
      <c r="E30" s="2" t="s">
        <v>134</v>
      </c>
      <c r="F30" s="17" t="s">
        <v>135</v>
      </c>
      <c r="G30" s="17">
        <v>0</v>
      </c>
      <c r="H30" s="20">
        <v>0</v>
      </c>
      <c r="I30" s="147" t="s">
        <v>18</v>
      </c>
      <c r="J30" s="7" t="s">
        <v>131</v>
      </c>
      <c r="K30" s="7" t="s">
        <v>799</v>
      </c>
      <c r="L30" s="7" t="s">
        <v>535</v>
      </c>
      <c r="M30" s="7">
        <f ca="1">IF(VLOOKUP("SAMSUNG_PUF_CONFIG_EN",  INDIRECT(Config!$B$1), HLOOKUP(M$1, INDIRECT(Config!$E$1), 2, FALSE),FALSE)=0, VLOOKUP("IFWI_LAYOUT_1_5_EN",  INDIRECT(Config!$B$1), HLOOKUP(M$1,  INDIRECT(Config!$E$1), 2, FALSE),FALSE), 0)</f>
        <v>0</v>
      </c>
      <c r="N30" s="7">
        <f ca="1">IF(VLOOKUP("SAMSUNG_PUF_CONFIG_EN",  INDIRECT(Config!$B$1), HLOOKUP(N$1, INDIRECT(Config!$E$1), 2, FALSE),FALSE)=0, VLOOKUP("IFWI_LAYOUT_1_5_EN",  INDIRECT(Config!$B$1), HLOOKUP(N$1,  INDIRECT(Config!$E$1), 2, FALSE),FALSE), 0)</f>
        <v>0</v>
      </c>
      <c r="O30" s="7">
        <f ca="1">IF(VLOOKUP("SAMSUNG_PUF_CONFIG_EN",  INDIRECT(Config!$B$1), HLOOKUP(O$1, INDIRECT(Config!$E$1), 2, FALSE),FALSE)=0, VLOOKUP("IFWI_LAYOUT_1_5_EN",  INDIRECT(Config!$B$1), HLOOKUP(O$1,  INDIRECT(Config!$E$1), 2, FALSE),FALSE), 0)</f>
        <v>0</v>
      </c>
    </row>
    <row r="31" spans="1:15" s="16" customFormat="1" x14ac:dyDescent="0.35">
      <c r="A31" s="207"/>
      <c r="B31" s="2" t="s">
        <v>50</v>
      </c>
      <c r="C31" s="2">
        <v>27</v>
      </c>
      <c r="D31" s="2">
        <v>1</v>
      </c>
      <c r="E31" s="2"/>
      <c r="F31" s="7" t="s">
        <v>386</v>
      </c>
      <c r="G31" s="7">
        <v>0</v>
      </c>
      <c r="H31" s="21">
        <v>0</v>
      </c>
      <c r="I31" s="147" t="s">
        <v>18</v>
      </c>
      <c r="J31" s="7"/>
      <c r="K31" s="7" t="s">
        <v>800</v>
      </c>
      <c r="L31" s="7" t="s">
        <v>472</v>
      </c>
      <c r="M31" s="4" t="str">
        <f ca="1">IF($B31="N/A", "N/A", VLOOKUP($B31, INDIRECT(Config!$B$1), HLOOKUP(M$1, INDIRECT(Config!$E$1), 2, FALSE),FALSE))</f>
        <v>N/A</v>
      </c>
      <c r="N31" s="4" t="str">
        <f ca="1">IF($B31="N/A", "N/A", VLOOKUP($B31, INDIRECT(Config!$B$1), HLOOKUP(N$1, INDIRECT(Config!$E$1), 2, FALSE),FALSE))</f>
        <v>N/A</v>
      </c>
      <c r="O31" s="4" t="str">
        <f ca="1">IF($B31="N/A", "N/A", VLOOKUP($B31, INDIRECT(Config!$B$1), HLOOKUP(O$1, INDIRECT(Config!$E$1), 2, FALSE),FALSE))</f>
        <v>N/A</v>
      </c>
    </row>
    <row r="32" spans="1:15" x14ac:dyDescent="0.35">
      <c r="A32" s="207"/>
      <c r="B32" s="2" t="s">
        <v>389</v>
      </c>
      <c r="C32" s="2">
        <v>28</v>
      </c>
      <c r="D32" s="2">
        <v>1</v>
      </c>
      <c r="E32" s="2" t="s">
        <v>388</v>
      </c>
      <c r="F32" s="7" t="s">
        <v>387</v>
      </c>
      <c r="G32" s="7">
        <v>0</v>
      </c>
      <c r="H32" s="21">
        <v>0</v>
      </c>
      <c r="I32" s="147" t="s">
        <v>18</v>
      </c>
      <c r="J32" s="7" t="s">
        <v>131</v>
      </c>
      <c r="K32" s="7" t="s">
        <v>801</v>
      </c>
      <c r="L32" s="7" t="s">
        <v>538</v>
      </c>
      <c r="M32" s="3">
        <f ca="1">IF($B32="N/A", "N/A", VLOOKUP($B32, INDIRECT(Config!$B$1), HLOOKUP(M$1, INDIRECT(Config!$E$1), 2, FALSE),FALSE))</f>
        <v>0</v>
      </c>
      <c r="N32" s="3">
        <f ca="1">IF($B32="N/A", "N/A", VLOOKUP($B32, INDIRECT(Config!$B$1), HLOOKUP(N$1, INDIRECT(Config!$E$1), 2, FALSE),FALSE))</f>
        <v>0</v>
      </c>
      <c r="O32" s="3">
        <f ca="1">IF($B32="N/A", "N/A", VLOOKUP($B32, INDIRECT(Config!$B$1), HLOOKUP(O$1, INDIRECT(Config!$E$1), 2, FALSE),FALSE))</f>
        <v>0</v>
      </c>
    </row>
    <row r="33" spans="1:15" x14ac:dyDescent="0.35">
      <c r="A33" s="207"/>
      <c r="B33" s="3" t="s">
        <v>136</v>
      </c>
      <c r="C33" s="7">
        <v>29</v>
      </c>
      <c r="D33" s="7">
        <v>1</v>
      </c>
      <c r="E33" s="3" t="s">
        <v>137</v>
      </c>
      <c r="F33" s="17" t="s">
        <v>138</v>
      </c>
      <c r="G33" s="17">
        <v>1</v>
      </c>
      <c r="H33" s="20">
        <v>0</v>
      </c>
      <c r="I33" s="147" t="s">
        <v>18</v>
      </c>
      <c r="J33" s="7" t="s">
        <v>89</v>
      </c>
      <c r="K33" s="7" t="s">
        <v>802</v>
      </c>
      <c r="L33" s="7" t="s">
        <v>539</v>
      </c>
      <c r="M33" s="3">
        <f ca="1">IF($B33="N/A", "N/A", VLOOKUP($B33, INDIRECT(Config!$B$1), HLOOKUP(M$1, INDIRECT(Config!$E$1), 2, FALSE),FALSE))</f>
        <v>0</v>
      </c>
      <c r="N33" s="3">
        <f ca="1">IF($B33="N/A", "N/A", VLOOKUP($B33, INDIRECT(Config!$B$1), HLOOKUP(N$1, INDIRECT(Config!$E$1), 2, FALSE),FALSE))</f>
        <v>0</v>
      </c>
      <c r="O33" s="3">
        <f ca="1">IF($B33="N/A", "N/A", VLOOKUP($B33, INDIRECT(Config!$B$1), HLOOKUP(O$1, INDIRECT(Config!$E$1), 2, FALSE),FALSE))</f>
        <v>0</v>
      </c>
    </row>
    <row r="34" spans="1:15" x14ac:dyDescent="0.35">
      <c r="A34" s="207"/>
      <c r="B34" s="17" t="s">
        <v>128</v>
      </c>
      <c r="C34" s="7">
        <v>30</v>
      </c>
      <c r="D34" s="7">
        <v>1</v>
      </c>
      <c r="E34" s="7" t="s">
        <v>139</v>
      </c>
      <c r="F34" s="17" t="s">
        <v>140</v>
      </c>
      <c r="G34" s="17">
        <v>1</v>
      </c>
      <c r="H34" s="20">
        <v>0</v>
      </c>
      <c r="I34" s="147" t="s">
        <v>18</v>
      </c>
      <c r="J34" s="7" t="s">
        <v>131</v>
      </c>
      <c r="K34" s="7" t="s">
        <v>803</v>
      </c>
      <c r="L34" s="7" t="s">
        <v>535</v>
      </c>
      <c r="M34" s="3">
        <f ca="1">IF($B34="N/A", "N/A", VLOOKUP($B34, INDIRECT(Config!$B$1), HLOOKUP(M$1, INDIRECT(Config!$E$1), 2, FALSE),FALSE))</f>
        <v>1</v>
      </c>
      <c r="N34" s="3">
        <f ca="1">IF($B34="N/A", "N/A", VLOOKUP($B34, INDIRECT(Config!$B$1), HLOOKUP(N$1, INDIRECT(Config!$E$1), 2, FALSE),FALSE))</f>
        <v>0</v>
      </c>
      <c r="O34" s="3">
        <f ca="1">IF($B34="N/A", "N/A", VLOOKUP($B34, INDIRECT(Config!$B$1), HLOOKUP(O$1, INDIRECT(Config!$E$1), 2, FALSE),FALSE))</f>
        <v>0</v>
      </c>
    </row>
    <row r="35" spans="1:15" x14ac:dyDescent="0.35">
      <c r="A35" s="207"/>
      <c r="B35" s="4" t="s">
        <v>626</v>
      </c>
      <c r="C35" s="7">
        <v>31</v>
      </c>
      <c r="D35" s="7">
        <v>1</v>
      </c>
      <c r="E35" s="17" t="s">
        <v>141</v>
      </c>
      <c r="F35" s="2" t="s">
        <v>142</v>
      </c>
      <c r="G35" s="2">
        <v>0</v>
      </c>
      <c r="H35" s="19">
        <v>0</v>
      </c>
      <c r="I35" s="147" t="s">
        <v>18</v>
      </c>
      <c r="J35" s="7" t="s">
        <v>143</v>
      </c>
      <c r="K35" s="7" t="s">
        <v>713</v>
      </c>
      <c r="L35" s="7" t="s">
        <v>762</v>
      </c>
      <c r="M35" s="4">
        <f>IF($B35="N/A", "N/A", 1)</f>
        <v>1</v>
      </c>
      <c r="N35" s="4">
        <f>IF($B35="N/A", "N/A", 1)</f>
        <v>1</v>
      </c>
      <c r="O35" s="4">
        <f>IF($B35="N/A", "N/A", 1)</f>
        <v>1</v>
      </c>
    </row>
    <row r="36" spans="1:15" x14ac:dyDescent="0.35">
      <c r="A36" s="188" t="s">
        <v>144</v>
      </c>
      <c r="B36" s="17" t="s">
        <v>653</v>
      </c>
      <c r="C36" s="7">
        <v>0</v>
      </c>
      <c r="D36" s="7">
        <v>1</v>
      </c>
      <c r="E36" s="17" t="s">
        <v>145</v>
      </c>
      <c r="F36" s="17" t="s">
        <v>146</v>
      </c>
      <c r="G36" s="17">
        <v>0</v>
      </c>
      <c r="H36" s="20">
        <v>1</v>
      </c>
      <c r="I36" s="3"/>
      <c r="J36" s="7" t="s">
        <v>89</v>
      </c>
      <c r="K36" s="7" t="s">
        <v>714</v>
      </c>
      <c r="L36" s="7" t="s">
        <v>535</v>
      </c>
      <c r="M36" s="3">
        <f ca="1">IF($B36="N/A", "N/A", VLOOKUP($B36, INDIRECT(Config!$B$1), HLOOKUP(M$1, INDIRECT(Config!$E$1), 2, FALSE),FALSE))</f>
        <v>0</v>
      </c>
      <c r="N36" s="3">
        <f ca="1">IF($B36="N/A", "N/A", VLOOKUP($B36, INDIRECT(Config!$B$1), HLOOKUP(N$1, INDIRECT(Config!$E$1), 2, FALSE),FALSE))</f>
        <v>0</v>
      </c>
      <c r="O36" s="3">
        <f ca="1">IF($B36="N/A", "N/A", VLOOKUP($B36, INDIRECT(Config!$B$1), HLOOKUP(O$1, INDIRECT(Config!$E$1), 2, FALSE),FALSE))</f>
        <v>0</v>
      </c>
    </row>
    <row r="37" spans="1:15" x14ac:dyDescent="0.35">
      <c r="A37" s="188"/>
      <c r="B37" s="17" t="s">
        <v>147</v>
      </c>
      <c r="C37" s="7">
        <v>1</v>
      </c>
      <c r="D37" s="7">
        <v>1</v>
      </c>
      <c r="E37" s="17" t="s">
        <v>148</v>
      </c>
      <c r="F37" s="17" t="s">
        <v>149</v>
      </c>
      <c r="G37" s="17">
        <v>0</v>
      </c>
      <c r="H37" s="20">
        <v>0</v>
      </c>
      <c r="I37" s="3"/>
      <c r="J37" s="7" t="s">
        <v>89</v>
      </c>
      <c r="K37" s="7" t="s">
        <v>715</v>
      </c>
      <c r="L37" s="7" t="s">
        <v>455</v>
      </c>
      <c r="M37" s="3">
        <f ca="1">IF($B37="N/A", "N/A", VLOOKUP($B37, INDIRECT(Config!$B$1), HLOOKUP(M$1, INDIRECT(Config!$E$1), 2, FALSE),FALSE))</f>
        <v>1</v>
      </c>
      <c r="N37" s="3">
        <f ca="1">IF($B37="N/A", "N/A", VLOOKUP($B37, INDIRECT(Config!$B$1), HLOOKUP(N$1, INDIRECT(Config!$E$1), 2, FALSE),FALSE))</f>
        <v>0</v>
      </c>
      <c r="O37" s="3">
        <f ca="1">IF($B37="N/A", "N/A", VLOOKUP($B37, INDIRECT(Config!$B$1), HLOOKUP(O$1, INDIRECT(Config!$E$1), 2, FALSE),FALSE))</f>
        <v>0</v>
      </c>
    </row>
    <row r="38" spans="1:15" x14ac:dyDescent="0.35">
      <c r="A38" s="188"/>
      <c r="B38" s="17" t="s">
        <v>150</v>
      </c>
      <c r="C38" s="7">
        <v>2</v>
      </c>
      <c r="D38" s="7">
        <v>1</v>
      </c>
      <c r="E38" s="17" t="s">
        <v>151</v>
      </c>
      <c r="F38" s="17" t="s">
        <v>152</v>
      </c>
      <c r="G38" s="17">
        <v>1</v>
      </c>
      <c r="H38" s="20">
        <v>0</v>
      </c>
      <c r="I38" s="3"/>
      <c r="J38" s="7" t="s">
        <v>89</v>
      </c>
      <c r="K38" s="7" t="s">
        <v>716</v>
      </c>
      <c r="L38" s="7" t="s">
        <v>456</v>
      </c>
      <c r="M38" s="3">
        <f ca="1">IF($B38="N/A", "N/A", VLOOKUP($B38, INDIRECT(Config!$B$1), HLOOKUP(M$1, INDIRECT(Config!$E$1), 2, FALSE),FALSE))</f>
        <v>1</v>
      </c>
      <c r="N38" s="3">
        <f ca="1">IF($B38="N/A", "N/A", VLOOKUP($B38, INDIRECT(Config!$B$1), HLOOKUP(N$1, INDIRECT(Config!$E$1), 2, FALSE),FALSE))</f>
        <v>0</v>
      </c>
      <c r="O38" s="3">
        <f ca="1">IF($B38="N/A", "N/A", VLOOKUP($B38, INDIRECT(Config!$B$1), HLOOKUP(O$1, INDIRECT(Config!$E$1), 2, FALSE),FALSE))</f>
        <v>0</v>
      </c>
    </row>
    <row r="39" spans="1:15" ht="14.5" customHeight="1" x14ac:dyDescent="0.35">
      <c r="A39" s="188"/>
      <c r="B39" s="4" t="s">
        <v>626</v>
      </c>
      <c r="C39" s="7">
        <v>3</v>
      </c>
      <c r="D39" s="7">
        <v>1</v>
      </c>
      <c r="E39" s="17" t="s">
        <v>153</v>
      </c>
      <c r="F39" s="2" t="s">
        <v>154</v>
      </c>
      <c r="G39" s="2">
        <v>0</v>
      </c>
      <c r="H39" s="19">
        <v>0</v>
      </c>
      <c r="I39" s="3"/>
      <c r="J39" s="7" t="s">
        <v>155</v>
      </c>
      <c r="K39" s="158" t="s">
        <v>845</v>
      </c>
      <c r="L39" s="7" t="s">
        <v>534</v>
      </c>
      <c r="M39" s="4">
        <f>IF($B39="N/A", "N/A", 1)</f>
        <v>1</v>
      </c>
      <c r="N39" s="4">
        <f>IF($B39="N/A", "N/A", 1)</f>
        <v>1</v>
      </c>
      <c r="O39" s="4">
        <f>IF($B39="N/A", "N/A", 1)</f>
        <v>1</v>
      </c>
    </row>
    <row r="40" spans="1:15" x14ac:dyDescent="0.35">
      <c r="A40" s="188"/>
      <c r="B40" s="17" t="s">
        <v>656</v>
      </c>
      <c r="C40" s="7">
        <v>4</v>
      </c>
      <c r="D40" s="7">
        <v>1</v>
      </c>
      <c r="E40" s="17" t="s">
        <v>156</v>
      </c>
      <c r="F40" s="17" t="s">
        <v>157</v>
      </c>
      <c r="G40" s="17">
        <v>1</v>
      </c>
      <c r="H40" s="20">
        <v>1</v>
      </c>
      <c r="I40" s="3"/>
      <c r="J40" s="7" t="s">
        <v>89</v>
      </c>
      <c r="K40" s="7" t="s">
        <v>718</v>
      </c>
      <c r="L40" s="7" t="s">
        <v>763</v>
      </c>
      <c r="M40" s="3">
        <f ca="1">IF($B40="N/A", "N/A", VLOOKUP($B40, INDIRECT(Config!$B$1), HLOOKUP(M$1, INDIRECT(Config!$E$1), 2, FALSE),FALSE))</f>
        <v>1</v>
      </c>
      <c r="N40" s="3">
        <f ca="1">IF($B40="N/A", "N/A", VLOOKUP($B40, INDIRECT(Config!$B$1), HLOOKUP(N$1, INDIRECT(Config!$E$1), 2, FALSE),FALSE))</f>
        <v>0</v>
      </c>
      <c r="O40" s="3">
        <f ca="1">IF($B40="N/A", "N/A", VLOOKUP($B40, INDIRECT(Config!$B$1), HLOOKUP(O$1, INDIRECT(Config!$E$1), 2, FALSE),FALSE))</f>
        <v>0</v>
      </c>
    </row>
    <row r="41" spans="1:15" x14ac:dyDescent="0.35">
      <c r="A41" s="188"/>
      <c r="B41" s="2" t="s">
        <v>649</v>
      </c>
      <c r="C41" s="2">
        <v>5</v>
      </c>
      <c r="D41" s="2">
        <v>1</v>
      </c>
      <c r="E41" s="2" t="s">
        <v>158</v>
      </c>
      <c r="F41" s="17" t="s">
        <v>159</v>
      </c>
      <c r="G41" s="17">
        <v>1</v>
      </c>
      <c r="H41" s="20">
        <v>0</v>
      </c>
      <c r="I41" s="3"/>
      <c r="J41" s="7" t="s">
        <v>89</v>
      </c>
      <c r="K41" s="7" t="s">
        <v>804</v>
      </c>
      <c r="L41" s="7" t="s">
        <v>534</v>
      </c>
      <c r="M41" s="3">
        <f ca="1">IF($B41="N/A", "N/A", VLOOKUP($B41, INDIRECT(Config!$B$1), HLOOKUP(M$1, INDIRECT(Config!$E$1), 2, FALSE),FALSE))</f>
        <v>0</v>
      </c>
      <c r="N41" s="3">
        <f ca="1">IF($B41="N/A", "N/A", VLOOKUP($B41, INDIRECT(Config!$B$1), HLOOKUP(N$1, INDIRECT(Config!$E$1), 2, FALSE),FALSE))</f>
        <v>0</v>
      </c>
      <c r="O41" s="3">
        <f ca="1">IF($B41="N/A", "N/A", VLOOKUP($B41, INDIRECT(Config!$B$1), HLOOKUP(O$1, INDIRECT(Config!$E$1), 2, FALSE),FALSE))</f>
        <v>0</v>
      </c>
    </row>
    <row r="42" spans="1:15" x14ac:dyDescent="0.35">
      <c r="A42" s="188"/>
      <c r="B42" s="4" t="s">
        <v>626</v>
      </c>
      <c r="C42" s="7">
        <v>6</v>
      </c>
      <c r="D42" s="7">
        <v>1</v>
      </c>
      <c r="E42" s="17" t="s">
        <v>160</v>
      </c>
      <c r="F42" s="2" t="s">
        <v>161</v>
      </c>
      <c r="G42" s="2">
        <v>0</v>
      </c>
      <c r="H42" s="19">
        <v>0</v>
      </c>
      <c r="I42" s="3"/>
      <c r="J42" s="7" t="s">
        <v>89</v>
      </c>
      <c r="K42" s="7" t="s">
        <v>719</v>
      </c>
      <c r="L42" s="7" t="s">
        <v>764</v>
      </c>
      <c r="M42" s="4">
        <f>IF($B42="N/A", "N/A", 1)</f>
        <v>1</v>
      </c>
      <c r="N42" s="4">
        <f>IF($B42="N/A", "N/A", 1)</f>
        <v>1</v>
      </c>
      <c r="O42" s="4">
        <f>IF($B42="N/A", "N/A", 1)</f>
        <v>1</v>
      </c>
    </row>
    <row r="43" spans="1:15" x14ac:dyDescent="0.35">
      <c r="A43" s="188"/>
      <c r="B43" s="17" t="s">
        <v>658</v>
      </c>
      <c r="C43" s="7">
        <v>7</v>
      </c>
      <c r="D43" s="7">
        <v>1</v>
      </c>
      <c r="E43" s="17" t="s">
        <v>162</v>
      </c>
      <c r="F43" s="17" t="s">
        <v>163</v>
      </c>
      <c r="G43" s="17">
        <v>0</v>
      </c>
      <c r="H43" s="20">
        <v>1</v>
      </c>
      <c r="I43" s="3"/>
      <c r="J43" s="7" t="s">
        <v>89</v>
      </c>
      <c r="K43" s="7" t="s">
        <v>720</v>
      </c>
      <c r="L43" s="7" t="s">
        <v>765</v>
      </c>
      <c r="M43" s="3">
        <f ca="1">IF($B43="N/A", "N/A", VLOOKUP($B43, INDIRECT(Config!$B$1), HLOOKUP(M$1, INDIRECT(Config!$E$1), 2, FALSE),FALSE))</f>
        <v>1</v>
      </c>
      <c r="N43" s="3">
        <f ca="1">IF($B43="N/A", "N/A", VLOOKUP($B43, INDIRECT(Config!$B$1), HLOOKUP(N$1, INDIRECT(Config!$E$1), 2, FALSE),FALSE))</f>
        <v>0</v>
      </c>
      <c r="O43" s="3">
        <f ca="1">IF($B43="N/A", "N/A", VLOOKUP($B43, INDIRECT(Config!$B$1), HLOOKUP(O$1, INDIRECT(Config!$E$1), 2, FALSE),FALSE))</f>
        <v>1</v>
      </c>
    </row>
    <row r="44" spans="1:15" x14ac:dyDescent="0.35">
      <c r="A44" s="188"/>
      <c r="B44" s="2" t="s">
        <v>654</v>
      </c>
      <c r="C44" s="2">
        <v>8</v>
      </c>
      <c r="D44" s="2">
        <v>1</v>
      </c>
      <c r="E44" s="2" t="s">
        <v>164</v>
      </c>
      <c r="F44" s="17" t="s">
        <v>165</v>
      </c>
      <c r="G44" s="17">
        <v>0</v>
      </c>
      <c r="H44" s="20">
        <v>0</v>
      </c>
      <c r="I44" s="3"/>
      <c r="J44" s="7" t="s">
        <v>89</v>
      </c>
      <c r="K44" s="7" t="s">
        <v>721</v>
      </c>
      <c r="L44" s="7" t="s">
        <v>534</v>
      </c>
      <c r="M44" s="3">
        <f ca="1">IF($B44="N/A", "N/A", VLOOKUP($B44, INDIRECT(Config!$B$1), HLOOKUP(M$1, INDIRECT(Config!$E$1), 2, FALSE),FALSE))</f>
        <v>1</v>
      </c>
      <c r="N44" s="3">
        <f ca="1">IF($B44="N/A", "N/A", VLOOKUP($B44, INDIRECT(Config!$B$1), HLOOKUP(N$1, INDIRECT(Config!$E$1), 2, FALSE),FALSE))</f>
        <v>0</v>
      </c>
      <c r="O44" s="3">
        <f ca="1">IF($B44="N/A", "N/A", VLOOKUP($B44, INDIRECT(Config!$B$1), HLOOKUP(O$1, INDIRECT(Config!$E$1), 2, FALSE),FALSE))</f>
        <v>0</v>
      </c>
    </row>
    <row r="45" spans="1:15" x14ac:dyDescent="0.35">
      <c r="A45" s="188"/>
      <c r="B45" s="4" t="s">
        <v>626</v>
      </c>
      <c r="C45" s="7">
        <v>9</v>
      </c>
      <c r="D45" s="7">
        <v>3</v>
      </c>
      <c r="E45" s="17" t="s">
        <v>166</v>
      </c>
      <c r="F45" s="2" t="s">
        <v>167</v>
      </c>
      <c r="G45" s="2">
        <v>4</v>
      </c>
      <c r="H45" s="19">
        <v>0</v>
      </c>
      <c r="I45" s="3"/>
      <c r="J45" s="7" t="s">
        <v>131</v>
      </c>
      <c r="K45" s="7" t="s">
        <v>722</v>
      </c>
      <c r="L45" s="7" t="s">
        <v>766</v>
      </c>
      <c r="M45" s="4">
        <f>IF($B45="N/A", "N/A", 1)</f>
        <v>1</v>
      </c>
      <c r="N45" s="4">
        <f>IF($B45="N/A", "N/A", 1)</f>
        <v>1</v>
      </c>
      <c r="O45" s="4">
        <f>IF($B45="N/A", "N/A", 1)</f>
        <v>1</v>
      </c>
    </row>
    <row r="46" spans="1:15" x14ac:dyDescent="0.35">
      <c r="A46" s="188"/>
      <c r="B46" s="2" t="s">
        <v>655</v>
      </c>
      <c r="C46" s="2">
        <v>12</v>
      </c>
      <c r="D46" s="2">
        <v>1</v>
      </c>
      <c r="E46" s="2" t="s">
        <v>168</v>
      </c>
      <c r="F46" s="17" t="s">
        <v>169</v>
      </c>
      <c r="G46" s="17">
        <v>0</v>
      </c>
      <c r="H46" s="20">
        <v>0</v>
      </c>
      <c r="I46" s="3"/>
      <c r="J46" s="7" t="s">
        <v>89</v>
      </c>
      <c r="K46" s="7" t="s">
        <v>723</v>
      </c>
      <c r="L46" s="7" t="s">
        <v>535</v>
      </c>
      <c r="M46" s="3">
        <f ca="1">IF($B46="N/A", "N/A", VLOOKUP($B46, INDIRECT(Config!$B$1), HLOOKUP(M$1, INDIRECT(Config!$E$1), 2, FALSE),FALSE))</f>
        <v>0</v>
      </c>
      <c r="N46" s="3">
        <f ca="1">IF($B46="N/A", "N/A", VLOOKUP($B46, INDIRECT(Config!$B$1), HLOOKUP(N$1, INDIRECT(Config!$E$1), 2, FALSE),FALSE))</f>
        <v>0</v>
      </c>
      <c r="O46" s="3">
        <f ca="1">IF($B46="N/A", "N/A", VLOOKUP($B46, INDIRECT(Config!$B$1), HLOOKUP(O$1, INDIRECT(Config!$E$1), 2, FALSE),FALSE))</f>
        <v>0</v>
      </c>
    </row>
    <row r="47" spans="1:15" x14ac:dyDescent="0.35">
      <c r="A47" s="188"/>
      <c r="B47" s="17" t="s">
        <v>664</v>
      </c>
      <c r="C47" s="7">
        <v>13</v>
      </c>
      <c r="D47" s="7">
        <v>1</v>
      </c>
      <c r="E47" s="17" t="s">
        <v>170</v>
      </c>
      <c r="F47" s="17" t="s">
        <v>171</v>
      </c>
      <c r="G47" s="17">
        <v>0</v>
      </c>
      <c r="H47" s="20">
        <v>1</v>
      </c>
      <c r="I47" s="3"/>
      <c r="J47" s="7" t="s">
        <v>131</v>
      </c>
      <c r="K47" s="7" t="s">
        <v>724</v>
      </c>
      <c r="L47" s="7" t="s">
        <v>535</v>
      </c>
      <c r="M47" s="3">
        <f ca="1">IF($B47="N/A", "N/A", VLOOKUP($B47, INDIRECT(Config!$B$1), HLOOKUP(M$1, INDIRECT(Config!$E$1), 2, FALSE),FALSE))</f>
        <v>1</v>
      </c>
      <c r="N47" s="3">
        <f ca="1">IF($B47="N/A", "N/A", VLOOKUP($B47, INDIRECT(Config!$B$1), HLOOKUP(N$1, INDIRECT(Config!$E$1), 2, FALSE),FALSE))</f>
        <v>0</v>
      </c>
      <c r="O47" s="3">
        <f ca="1">IF($B47="N/A", "N/A", VLOOKUP($B47, INDIRECT(Config!$B$1), HLOOKUP(O$1, INDIRECT(Config!$E$1), 2, FALSE),FALSE))</f>
        <v>1</v>
      </c>
    </row>
    <row r="48" spans="1:15" x14ac:dyDescent="0.35">
      <c r="A48" s="188"/>
      <c r="B48" s="2" t="s">
        <v>652</v>
      </c>
      <c r="C48" s="2">
        <v>14</v>
      </c>
      <c r="D48" s="2">
        <v>1</v>
      </c>
      <c r="E48" s="2" t="s">
        <v>172</v>
      </c>
      <c r="F48" s="17" t="s">
        <v>173</v>
      </c>
      <c r="G48" s="17">
        <v>1</v>
      </c>
      <c r="H48" s="20">
        <v>0</v>
      </c>
      <c r="I48" s="3"/>
      <c r="J48" s="7" t="s">
        <v>89</v>
      </c>
      <c r="K48" s="7" t="s">
        <v>725</v>
      </c>
      <c r="L48" s="7" t="s">
        <v>535</v>
      </c>
      <c r="M48" s="3">
        <f ca="1">IF($B48="N/A", "N/A", VLOOKUP($B48, INDIRECT(Config!$B$1), HLOOKUP(M$1, INDIRECT(Config!$E$1), 2, FALSE),FALSE))</f>
        <v>0</v>
      </c>
      <c r="N48" s="3">
        <f ca="1">IF($B48="N/A", "N/A", VLOOKUP($B48, INDIRECT(Config!$B$1), HLOOKUP(N$1, INDIRECT(Config!$E$1), 2, FALSE),FALSE))</f>
        <v>0</v>
      </c>
      <c r="O48" s="3">
        <f ca="1">IF($B48="N/A", "N/A", VLOOKUP($B48, INDIRECT(Config!$B$1), HLOOKUP(O$1, INDIRECT(Config!$E$1), 2, FALSE),FALSE))</f>
        <v>0</v>
      </c>
    </row>
    <row r="49" spans="1:15" x14ac:dyDescent="0.35">
      <c r="A49" s="188"/>
      <c r="B49" s="17" t="s">
        <v>650</v>
      </c>
      <c r="C49" s="7">
        <v>15</v>
      </c>
      <c r="D49" s="7">
        <v>1</v>
      </c>
      <c r="E49" s="17" t="s">
        <v>689</v>
      </c>
      <c r="F49" s="17" t="s">
        <v>174</v>
      </c>
      <c r="G49" s="17">
        <v>0</v>
      </c>
      <c r="H49" s="20">
        <v>1</v>
      </c>
      <c r="I49" s="3"/>
      <c r="J49" s="7" t="s">
        <v>131</v>
      </c>
      <c r="K49" s="7" t="s">
        <v>726</v>
      </c>
      <c r="L49" s="7" t="s">
        <v>535</v>
      </c>
      <c r="M49" s="3">
        <f ca="1">IF($B49="N/A", "N/A", VLOOKUP($B49, INDIRECT(Config!$B$1), HLOOKUP(M$1, INDIRECT(Config!$E$1), 2, FALSE),FALSE))</f>
        <v>1</v>
      </c>
      <c r="N49" s="3">
        <f ca="1">IF($B49="N/A", "N/A", VLOOKUP($B49, INDIRECT(Config!$B$1), HLOOKUP(N$1, INDIRECT(Config!$E$1), 2, FALSE),FALSE))</f>
        <v>0</v>
      </c>
      <c r="O49" s="3">
        <f ca="1">IF($B49="N/A", "N/A", VLOOKUP($B49, INDIRECT(Config!$B$1), HLOOKUP(O$1, INDIRECT(Config!$E$1), 2, FALSE),FALSE))</f>
        <v>1</v>
      </c>
    </row>
    <row r="50" spans="1:15" x14ac:dyDescent="0.35">
      <c r="A50" s="188"/>
      <c r="B50" s="17" t="s">
        <v>175</v>
      </c>
      <c r="C50" s="7">
        <v>16</v>
      </c>
      <c r="D50" s="7">
        <v>1</v>
      </c>
      <c r="E50" s="17" t="s">
        <v>176</v>
      </c>
      <c r="F50" s="17" t="s">
        <v>177</v>
      </c>
      <c r="G50" s="17">
        <v>1</v>
      </c>
      <c r="H50" s="20">
        <v>1</v>
      </c>
      <c r="I50" s="3"/>
      <c r="J50" s="7" t="s">
        <v>178</v>
      </c>
      <c r="K50" s="7" t="s">
        <v>727</v>
      </c>
      <c r="L50" s="7" t="s">
        <v>457</v>
      </c>
      <c r="M50" s="3">
        <f ca="1">IF($B50="N/A", "N/A", VLOOKUP($B50, INDIRECT(Config!$B$1), HLOOKUP(M$1, INDIRECT(Config!$E$1), 2, FALSE),FALSE))</f>
        <v>1</v>
      </c>
      <c r="N50" s="3">
        <f ca="1">IF($B50="N/A", "N/A", VLOOKUP($B50, INDIRECT(Config!$B$1), HLOOKUP(N$1, INDIRECT(Config!$E$1), 2, FALSE),FALSE))</f>
        <v>0</v>
      </c>
      <c r="O50" s="3">
        <f ca="1">IF($B50="N/A", "N/A", VLOOKUP($B50, INDIRECT(Config!$B$1), HLOOKUP(O$1, INDIRECT(Config!$E$1), 2, FALSE),FALSE))</f>
        <v>0</v>
      </c>
    </row>
    <row r="51" spans="1:15" x14ac:dyDescent="0.35">
      <c r="A51" s="188"/>
      <c r="B51" s="17" t="s">
        <v>175</v>
      </c>
      <c r="C51" s="7">
        <v>17</v>
      </c>
      <c r="D51" s="7">
        <v>1</v>
      </c>
      <c r="E51" s="17" t="s">
        <v>179</v>
      </c>
      <c r="F51" s="17" t="s">
        <v>180</v>
      </c>
      <c r="G51" s="17">
        <v>0</v>
      </c>
      <c r="H51" s="20">
        <v>0</v>
      </c>
      <c r="I51" s="3"/>
      <c r="J51" s="7" t="s">
        <v>178</v>
      </c>
      <c r="K51" s="7" t="s">
        <v>728</v>
      </c>
      <c r="L51" s="7" t="s">
        <v>458</v>
      </c>
      <c r="M51" s="3">
        <f ca="1">IF($B51="N/A", "N/A", VLOOKUP($B51, INDIRECT(Config!$B$1), HLOOKUP(M$1, INDIRECT(Config!$E$1), 2, FALSE),FALSE))</f>
        <v>1</v>
      </c>
      <c r="N51" s="3">
        <f ca="1">IF($B51="N/A", "N/A", VLOOKUP($B51, INDIRECT(Config!$B$1), HLOOKUP(N$1, INDIRECT(Config!$E$1), 2, FALSE),FALSE))</f>
        <v>0</v>
      </c>
      <c r="O51" s="3">
        <f ca="1">IF($B51="N/A", "N/A", VLOOKUP($B51, INDIRECT(Config!$B$1), HLOOKUP(O$1, INDIRECT(Config!$E$1), 2, FALSE),FALSE))</f>
        <v>0</v>
      </c>
    </row>
    <row r="52" spans="1:15" x14ac:dyDescent="0.35">
      <c r="A52" s="188"/>
      <c r="B52" s="17" t="s">
        <v>175</v>
      </c>
      <c r="C52" s="7">
        <v>18</v>
      </c>
      <c r="D52" s="7">
        <v>1</v>
      </c>
      <c r="E52" s="17" t="s">
        <v>181</v>
      </c>
      <c r="F52" s="17" t="s">
        <v>182</v>
      </c>
      <c r="G52" s="17">
        <v>0</v>
      </c>
      <c r="H52" s="20">
        <v>0</v>
      </c>
      <c r="I52" s="3"/>
      <c r="J52" s="7" t="s">
        <v>178</v>
      </c>
      <c r="K52" s="7" t="s">
        <v>729</v>
      </c>
      <c r="L52" s="7" t="s">
        <v>459</v>
      </c>
      <c r="M52" s="3">
        <f ca="1">IF($B52="N/A", "N/A", VLOOKUP($B52, INDIRECT(Config!$B$1), HLOOKUP(M$1, INDIRECT(Config!$E$1), 2, FALSE),FALSE))</f>
        <v>1</v>
      </c>
      <c r="N52" s="3">
        <f ca="1">IF($B52="N/A", "N/A", VLOOKUP($B52, INDIRECT(Config!$B$1), HLOOKUP(N$1, INDIRECT(Config!$E$1), 2, FALSE),FALSE))</f>
        <v>0</v>
      </c>
      <c r="O52" s="3">
        <f ca="1">IF($B52="N/A", "N/A", VLOOKUP($B52, INDIRECT(Config!$B$1), HLOOKUP(O$1, INDIRECT(Config!$E$1), 2, FALSE),FALSE))</f>
        <v>0</v>
      </c>
    </row>
    <row r="53" spans="1:15" x14ac:dyDescent="0.35">
      <c r="A53" s="188"/>
      <c r="B53" s="17" t="s">
        <v>651</v>
      </c>
      <c r="C53" s="7">
        <v>19</v>
      </c>
      <c r="D53" s="7">
        <v>1</v>
      </c>
      <c r="E53" s="17" t="s">
        <v>183</v>
      </c>
      <c r="F53" s="17" t="s">
        <v>184</v>
      </c>
      <c r="G53" s="17">
        <v>0</v>
      </c>
      <c r="H53" s="20">
        <v>1</v>
      </c>
      <c r="I53" s="3"/>
      <c r="J53" s="7" t="s">
        <v>89</v>
      </c>
      <c r="K53" s="7" t="s">
        <v>730</v>
      </c>
      <c r="L53" s="7" t="s">
        <v>536</v>
      </c>
      <c r="M53" s="3">
        <f ca="1">IF($B53="N/A", "N/A", VLOOKUP($B53, INDIRECT(Config!$B$1), HLOOKUP(M$1, INDIRECT(Config!$E$1), 2, FALSE),FALSE))</f>
        <v>1</v>
      </c>
      <c r="N53" s="3">
        <f ca="1">IF($B53="N/A", "N/A", VLOOKUP($B53, INDIRECT(Config!$B$1), HLOOKUP(N$1, INDIRECT(Config!$E$1), 2, FALSE),FALSE))</f>
        <v>0</v>
      </c>
      <c r="O53" s="3">
        <f ca="1">IF($B53="N/A", "N/A", VLOOKUP($B53, INDIRECT(Config!$B$1), HLOOKUP(O$1, INDIRECT(Config!$E$1), 2, FALSE),FALSE))</f>
        <v>0</v>
      </c>
    </row>
    <row r="54" spans="1:15" x14ac:dyDescent="0.35">
      <c r="A54" s="188"/>
      <c r="B54" s="17" t="s">
        <v>648</v>
      </c>
      <c r="C54" s="7">
        <v>20</v>
      </c>
      <c r="D54" s="7">
        <v>1</v>
      </c>
      <c r="E54" s="17" t="s">
        <v>185</v>
      </c>
      <c r="F54" s="17" t="s">
        <v>186</v>
      </c>
      <c r="G54" s="17">
        <v>0</v>
      </c>
      <c r="H54" s="20">
        <v>1</v>
      </c>
      <c r="I54" s="3"/>
      <c r="J54" s="7" t="s">
        <v>89</v>
      </c>
      <c r="K54" s="7" t="s">
        <v>731</v>
      </c>
      <c r="L54" s="7" t="s">
        <v>537</v>
      </c>
      <c r="M54" s="3">
        <f ca="1">IF($B54="N/A", "N/A", VLOOKUP($B54, INDIRECT(Config!$B$1), HLOOKUP(M$1, INDIRECT(Config!$E$1), 2, FALSE),FALSE))</f>
        <v>1</v>
      </c>
      <c r="N54" s="3">
        <f ca="1">IF($B54="N/A", "N/A", VLOOKUP($B54, INDIRECT(Config!$B$1), HLOOKUP(N$1, INDIRECT(Config!$E$1), 2, FALSE),FALSE))</f>
        <v>0</v>
      </c>
      <c r="O54" s="3">
        <f ca="1">IF($B54="N/A", "N/A", VLOOKUP($B54, INDIRECT(Config!$B$1), HLOOKUP(O$1, INDIRECT(Config!$E$1), 2, FALSE),FALSE))</f>
        <v>0</v>
      </c>
    </row>
    <row r="55" spans="1:15" x14ac:dyDescent="0.35">
      <c r="A55" s="188"/>
      <c r="B55" s="17" t="s">
        <v>657</v>
      </c>
      <c r="C55" s="7">
        <v>21</v>
      </c>
      <c r="D55" s="7">
        <v>1</v>
      </c>
      <c r="E55" s="17" t="s">
        <v>187</v>
      </c>
      <c r="F55" s="17" t="s">
        <v>188</v>
      </c>
      <c r="G55" s="17">
        <v>0</v>
      </c>
      <c r="H55" s="20">
        <v>1</v>
      </c>
      <c r="I55" s="3"/>
      <c r="J55" s="7" t="s">
        <v>89</v>
      </c>
      <c r="K55" s="7" t="s">
        <v>732</v>
      </c>
      <c r="L55" s="7" t="s">
        <v>460</v>
      </c>
      <c r="M55" s="3">
        <f ca="1">IF($B55="N/A", "N/A", VLOOKUP($B55, INDIRECT(Config!$B$1), HLOOKUP(M$1, INDIRECT(Config!$E$1), 2, FALSE),FALSE))</f>
        <v>1</v>
      </c>
      <c r="N55" s="3">
        <f ca="1">IF($B55="N/A", "N/A", VLOOKUP($B55, INDIRECT(Config!$B$1), HLOOKUP(N$1, INDIRECT(Config!$E$1), 2, FALSE),FALSE))</f>
        <v>0</v>
      </c>
      <c r="O55" s="3">
        <f ca="1">IF($B55="N/A", "N/A", VLOOKUP($B55, INDIRECT(Config!$B$1), HLOOKUP(O$1, INDIRECT(Config!$E$1), 2, FALSE),FALSE))</f>
        <v>0</v>
      </c>
    </row>
    <row r="56" spans="1:15" x14ac:dyDescent="0.35">
      <c r="A56" s="188"/>
      <c r="B56" s="17" t="s">
        <v>189</v>
      </c>
      <c r="C56" s="7">
        <v>22</v>
      </c>
      <c r="D56" s="7">
        <v>2</v>
      </c>
      <c r="E56" s="17" t="s">
        <v>190</v>
      </c>
      <c r="F56" s="17" t="s">
        <v>191</v>
      </c>
      <c r="G56" s="17">
        <v>2</v>
      </c>
      <c r="H56" s="20">
        <v>1</v>
      </c>
      <c r="I56" s="3"/>
      <c r="J56" s="7" t="s">
        <v>89</v>
      </c>
      <c r="K56" s="7" t="s">
        <v>733</v>
      </c>
      <c r="L56" s="7" t="s">
        <v>461</v>
      </c>
      <c r="M56" s="3">
        <f ca="1">IF($B56="N/A", "N/A", VLOOKUP($B56, INDIRECT(Config!$B$1), HLOOKUP(M$1, INDIRECT(Config!$E$1), 2, FALSE),FALSE))</f>
        <v>1</v>
      </c>
      <c r="N56" s="3">
        <f ca="1">IF($B56="N/A", "N/A", VLOOKUP($B56, INDIRECT(Config!$B$1), HLOOKUP(N$1, INDIRECT(Config!$E$1), 2, FALSE),FALSE))</f>
        <v>0</v>
      </c>
      <c r="O56" s="3">
        <f ca="1">IF($B56="N/A", "N/A", VLOOKUP($B56, INDIRECT(Config!$B$1), HLOOKUP(O$1, INDIRECT(Config!$E$1), 2, FALSE),FALSE))</f>
        <v>0</v>
      </c>
    </row>
    <row r="57" spans="1:15" x14ac:dyDescent="0.35">
      <c r="A57" s="188"/>
      <c r="B57" s="4" t="s">
        <v>626</v>
      </c>
      <c r="C57" s="7">
        <v>24</v>
      </c>
      <c r="D57" s="7">
        <v>8</v>
      </c>
      <c r="E57" s="17" t="s">
        <v>192</v>
      </c>
      <c r="F57" s="2" t="s">
        <v>193</v>
      </c>
      <c r="G57" s="2">
        <v>0</v>
      </c>
      <c r="H57" s="19">
        <v>1</v>
      </c>
      <c r="I57" s="3" t="s">
        <v>18</v>
      </c>
      <c r="J57" s="7" t="s">
        <v>89</v>
      </c>
      <c r="K57" s="7" t="s">
        <v>734</v>
      </c>
      <c r="L57" s="7" t="s">
        <v>462</v>
      </c>
      <c r="M57" s="4">
        <f>IF($B57="N/A", "N/A", 1)</f>
        <v>1</v>
      </c>
      <c r="N57" s="4">
        <f>IF($B57="N/A", "N/A", 1)</f>
        <v>1</v>
      </c>
      <c r="O57" s="4">
        <f>IF($B57="N/A", "N/A", 1)</f>
        <v>1</v>
      </c>
    </row>
    <row r="58" spans="1:15" x14ac:dyDescent="0.35">
      <c r="A58" s="188" t="s">
        <v>194</v>
      </c>
      <c r="B58" s="17" t="s">
        <v>406</v>
      </c>
      <c r="C58" s="7">
        <v>0</v>
      </c>
      <c r="D58" s="7">
        <v>15</v>
      </c>
      <c r="E58" s="17" t="s">
        <v>195</v>
      </c>
      <c r="F58" s="2" t="s">
        <v>196</v>
      </c>
      <c r="G58" s="2">
        <v>0</v>
      </c>
      <c r="H58" s="19">
        <v>0</v>
      </c>
      <c r="I58" s="147" t="s">
        <v>18</v>
      </c>
      <c r="J58" s="7" t="s">
        <v>89</v>
      </c>
      <c r="K58" s="7" t="s">
        <v>735</v>
      </c>
      <c r="L58" s="7" t="s">
        <v>463</v>
      </c>
      <c r="M58" s="3">
        <f ca="1">IF($B58="N/A", "N/A", VLOOKUP($B58, INDIRECT(Config!$B$1), HLOOKUP(M$1, INDIRECT(Config!$E$1), 2, FALSE),FALSE))</f>
        <v>13</v>
      </c>
      <c r="N58" s="3">
        <f ca="1">IF($B58="N/A", "N/A", VLOOKUP($B58, INDIRECT(Config!$B$1), HLOOKUP(N$1, INDIRECT(Config!$E$1), 2, FALSE),FALSE))</f>
        <v>5</v>
      </c>
      <c r="O58" s="3">
        <f ca="1">IF($B58="N/A", "N/A", VLOOKUP($B58, INDIRECT(Config!$B$1), HLOOKUP(O$1, INDIRECT(Config!$E$1), 2, FALSE),FALSE))</f>
        <v>5</v>
      </c>
    </row>
    <row r="59" spans="1:15" x14ac:dyDescent="0.35">
      <c r="A59" s="188"/>
      <c r="B59" s="17" t="s">
        <v>659</v>
      </c>
      <c r="C59" s="7">
        <v>15</v>
      </c>
      <c r="D59" s="7">
        <v>1</v>
      </c>
      <c r="E59" s="17" t="s">
        <v>197</v>
      </c>
      <c r="F59" s="17" t="s">
        <v>198</v>
      </c>
      <c r="G59" s="17">
        <v>0</v>
      </c>
      <c r="H59" s="20">
        <v>0</v>
      </c>
      <c r="I59" s="147" t="s">
        <v>18</v>
      </c>
      <c r="J59" s="7" t="s">
        <v>89</v>
      </c>
      <c r="K59" s="7" t="s">
        <v>736</v>
      </c>
      <c r="L59" s="7" t="s">
        <v>464</v>
      </c>
      <c r="M59" s="3">
        <f ca="1">IF($B59="N/A", "N/A", VLOOKUP($B59, INDIRECT(Config!$B$1), HLOOKUP(M$1, INDIRECT(Config!$E$1), 2, FALSE),FALSE))</f>
        <v>1</v>
      </c>
      <c r="N59" s="3">
        <f ca="1">IF($B59="N/A", "N/A", VLOOKUP($B59, INDIRECT(Config!$B$1), HLOOKUP(N$1, INDIRECT(Config!$E$1), 2, FALSE),FALSE))</f>
        <v>0</v>
      </c>
      <c r="O59" s="3">
        <f ca="1">IF($B59="N/A", "N/A", VLOOKUP($B59, INDIRECT(Config!$B$1), HLOOKUP(O$1, INDIRECT(Config!$E$1), 2, FALSE),FALSE))</f>
        <v>0</v>
      </c>
    </row>
    <row r="60" spans="1:15" x14ac:dyDescent="0.35">
      <c r="A60" s="188"/>
      <c r="B60" s="17" t="s">
        <v>663</v>
      </c>
      <c r="C60" s="7">
        <v>16</v>
      </c>
      <c r="D60" s="7">
        <v>1</v>
      </c>
      <c r="E60" s="17" t="s">
        <v>199</v>
      </c>
      <c r="F60" s="17" t="s">
        <v>200</v>
      </c>
      <c r="G60" s="17">
        <v>0</v>
      </c>
      <c r="H60" s="20">
        <v>0</v>
      </c>
      <c r="I60" s="3"/>
      <c r="J60" s="7" t="s">
        <v>89</v>
      </c>
      <c r="K60" s="7" t="s">
        <v>737</v>
      </c>
      <c r="L60" s="7" t="s">
        <v>465</v>
      </c>
      <c r="M60" s="3">
        <f ca="1">IF($B60="N/A", "N/A", VLOOKUP($B60, INDIRECT(Config!$B$1), HLOOKUP(M$1, INDIRECT(Config!$E$1), 2, FALSE),FALSE))</f>
        <v>1</v>
      </c>
      <c r="N60" s="3">
        <f ca="1">IF($B60="N/A", "N/A", VLOOKUP($B60, INDIRECT(Config!$B$1), HLOOKUP(N$1, INDIRECT(Config!$E$1), 2, FALSE),FALSE))</f>
        <v>0</v>
      </c>
      <c r="O60" s="3">
        <f ca="1">IF($B60="N/A", "N/A", VLOOKUP($B60, INDIRECT(Config!$B$1), HLOOKUP(O$1, INDIRECT(Config!$E$1), 2, FALSE),FALSE))</f>
        <v>0</v>
      </c>
    </row>
    <row r="61" spans="1:15" x14ac:dyDescent="0.35">
      <c r="A61" s="188"/>
      <c r="B61" s="7" t="s">
        <v>549</v>
      </c>
      <c r="C61" s="7">
        <v>17</v>
      </c>
      <c r="D61" s="7">
        <v>1</v>
      </c>
      <c r="E61" s="168" t="s">
        <v>244</v>
      </c>
      <c r="F61" s="7" t="s">
        <v>201</v>
      </c>
      <c r="G61" s="7">
        <v>0</v>
      </c>
      <c r="H61" s="21">
        <v>0</v>
      </c>
      <c r="I61" s="7"/>
      <c r="J61" s="7" t="s">
        <v>89</v>
      </c>
      <c r="K61" s="7" t="s">
        <v>848</v>
      </c>
      <c r="L61" s="7" t="s">
        <v>557</v>
      </c>
      <c r="M61" s="3">
        <f ca="1">IF($B61="N/A", "N/A", VLOOKUP($B61, INDIRECT(Config!$B$1), HLOOKUP(M$1, INDIRECT(Config!$E$1), 2, FALSE),FALSE))</f>
        <v>0</v>
      </c>
      <c r="N61" s="3">
        <f ca="1">IF($B61="N/A", "N/A", VLOOKUP($B61, INDIRECT(Config!$B$1), HLOOKUP(N$1, INDIRECT(Config!$E$1), 2, FALSE),FALSE))</f>
        <v>0</v>
      </c>
      <c r="O61" s="3">
        <f ca="1">IF($B61="N/A", "N/A", VLOOKUP($B61, INDIRECT(Config!$B$1), HLOOKUP(O$1, INDIRECT(Config!$E$1), 2, FALSE),FALSE))</f>
        <v>1</v>
      </c>
    </row>
    <row r="62" spans="1:15" x14ac:dyDescent="0.35">
      <c r="A62" s="188"/>
      <c r="B62" s="4" t="s">
        <v>626</v>
      </c>
      <c r="C62" s="7">
        <v>18</v>
      </c>
      <c r="D62" s="7">
        <v>3</v>
      </c>
      <c r="E62" s="17" t="s">
        <v>202</v>
      </c>
      <c r="F62" s="2" t="s">
        <v>203</v>
      </c>
      <c r="G62" s="2">
        <v>0</v>
      </c>
      <c r="H62" s="19">
        <v>1</v>
      </c>
      <c r="I62" s="3"/>
      <c r="J62" s="7" t="s">
        <v>89</v>
      </c>
      <c r="K62" s="7" t="s">
        <v>739</v>
      </c>
      <c r="L62" s="7" t="s">
        <v>466</v>
      </c>
      <c r="M62" s="4">
        <f>IF($B62="N/A", "N/A", 1)</f>
        <v>1</v>
      </c>
      <c r="N62" s="4">
        <f>IF($B62="N/A", "N/A", 1)</f>
        <v>1</v>
      </c>
      <c r="O62" s="4">
        <f>IF($B62="N/A", "N/A", 1)</f>
        <v>1</v>
      </c>
    </row>
    <row r="63" spans="1:15" x14ac:dyDescent="0.35">
      <c r="A63" s="188"/>
      <c r="B63" s="2" t="s">
        <v>50</v>
      </c>
      <c r="C63" s="2">
        <v>21</v>
      </c>
      <c r="D63" s="2">
        <v>3</v>
      </c>
      <c r="E63" s="2"/>
      <c r="F63" s="7" t="s">
        <v>204</v>
      </c>
      <c r="G63" s="7">
        <v>0</v>
      </c>
      <c r="H63" s="21">
        <v>0</v>
      </c>
      <c r="I63" s="3"/>
      <c r="J63" s="7"/>
      <c r="K63" s="7" t="s">
        <v>808</v>
      </c>
      <c r="L63" s="7" t="s">
        <v>472</v>
      </c>
      <c r="M63" s="4" t="str">
        <f ca="1">IF($B63="N/A", "N/A", VLOOKUP($B63, INDIRECT(Config!$B$1), HLOOKUP(M$1, INDIRECT(Config!$E$1), 2, FALSE),FALSE))</f>
        <v>N/A</v>
      </c>
      <c r="N63" s="4" t="str">
        <f ca="1">IF($B63="N/A", "N/A", VLOOKUP($B63, INDIRECT(Config!$B$1), HLOOKUP(N$1, INDIRECT(Config!$E$1), 2, FALSE),FALSE))</f>
        <v>N/A</v>
      </c>
      <c r="O63" s="4" t="str">
        <f ca="1">IF($B63="N/A", "N/A", VLOOKUP($B63, INDIRECT(Config!$B$1), HLOOKUP(O$1, INDIRECT(Config!$E$1), 2, FALSE),FALSE))</f>
        <v>N/A</v>
      </c>
    </row>
    <row r="64" spans="1:15" x14ac:dyDescent="0.35">
      <c r="A64" s="188"/>
      <c r="B64" s="4" t="s">
        <v>626</v>
      </c>
      <c r="C64" s="7">
        <v>24</v>
      </c>
      <c r="D64" s="7">
        <v>4</v>
      </c>
      <c r="E64" s="17" t="s">
        <v>205</v>
      </c>
      <c r="F64" s="2" t="s">
        <v>206</v>
      </c>
      <c r="G64" s="2">
        <v>0</v>
      </c>
      <c r="H64" s="19">
        <v>0</v>
      </c>
      <c r="I64" s="3"/>
      <c r="J64" s="7" t="s">
        <v>89</v>
      </c>
      <c r="K64" s="7" t="s">
        <v>743</v>
      </c>
      <c r="L64" s="7" t="s">
        <v>466</v>
      </c>
      <c r="M64" s="4">
        <f t="shared" ref="M64:O65" si="3">IF($B64="N/A", "N/A", 1)</f>
        <v>1</v>
      </c>
      <c r="N64" s="4">
        <f t="shared" si="3"/>
        <v>1</v>
      </c>
      <c r="O64" s="4">
        <f t="shared" si="3"/>
        <v>1</v>
      </c>
    </row>
    <row r="65" spans="1:15" x14ac:dyDescent="0.35">
      <c r="A65" s="188"/>
      <c r="B65" s="4" t="s">
        <v>626</v>
      </c>
      <c r="C65" s="7">
        <v>28</v>
      </c>
      <c r="D65" s="7">
        <v>4</v>
      </c>
      <c r="E65" s="17" t="s">
        <v>207</v>
      </c>
      <c r="F65" s="2" t="s">
        <v>208</v>
      </c>
      <c r="G65" s="2">
        <v>0</v>
      </c>
      <c r="H65" s="19">
        <v>0</v>
      </c>
      <c r="I65" s="3"/>
      <c r="J65" s="7" t="s">
        <v>89</v>
      </c>
      <c r="K65" s="7" t="s">
        <v>744</v>
      </c>
      <c r="L65" s="7" t="s">
        <v>466</v>
      </c>
      <c r="M65" s="4">
        <f t="shared" si="3"/>
        <v>1</v>
      </c>
      <c r="N65" s="4">
        <f t="shared" si="3"/>
        <v>1</v>
      </c>
      <c r="O65" s="4">
        <f t="shared" si="3"/>
        <v>1</v>
      </c>
    </row>
    <row r="66" spans="1:15" x14ac:dyDescent="0.35">
      <c r="A66" s="188" t="s">
        <v>34</v>
      </c>
      <c r="B66" s="17" t="s">
        <v>685</v>
      </c>
      <c r="C66" s="7">
        <v>0</v>
      </c>
      <c r="D66" s="7">
        <v>1</v>
      </c>
      <c r="E66" s="17" t="s">
        <v>210</v>
      </c>
      <c r="F66" s="17" t="s">
        <v>211</v>
      </c>
      <c r="G66" s="17">
        <v>0</v>
      </c>
      <c r="H66" s="20">
        <v>1</v>
      </c>
      <c r="I66" s="147" t="s">
        <v>18</v>
      </c>
      <c r="J66" s="7" t="s">
        <v>68</v>
      </c>
      <c r="K66" s="7" t="s">
        <v>745</v>
      </c>
      <c r="L66" s="7" t="s">
        <v>467</v>
      </c>
      <c r="M66" s="3">
        <f ca="1">IF($B66="N/A","N/A",IF(VLOOKUP("PARAM_REPAIR_FUSE_SUPPORT_EN",INDIRECT(Config!$B$1),HLOOKUP(M$1,INDIRECT(Config!$E$1),2,FALSE),FALSE)=1,VLOOKUP("ROM_INT_FUSE_PULL",INDIRECT(Config!$B$1),HLOOKUP(M$1,INDIRECT(Config!$E$1),2,FALSE),FALSE),0))</f>
        <v>0</v>
      </c>
      <c r="N66" s="3">
        <f ca="1">IF($B66="N/A","N/A",IF(VLOOKUP("PARAM_REPAIR_FUSE_SUPPORT_EN",INDIRECT(Config!$B$1),HLOOKUP(N$1,INDIRECT(Config!$E$1),2,FALSE),FALSE)=1,VLOOKUP("ROM_INT_FUSE_PULL",INDIRECT(Config!$B$1),HLOOKUP(N$1,INDIRECT(Config!$E$1),2,FALSE),FALSE),0))</f>
        <v>0</v>
      </c>
      <c r="O66" s="3">
        <f ca="1">IF($B66="N/A","N/A",IF(VLOOKUP("PARAM_REPAIR_FUSE_SUPPORT_EN",INDIRECT(Config!$B$1),HLOOKUP(O$1,INDIRECT(Config!$E$1),2,FALSE),FALSE)=1,VLOOKUP("ROM_INT_FUSE_PULL",INDIRECT(Config!$B$1),HLOOKUP(O$1,INDIRECT(Config!$E$1),2,FALSE),FALSE),0))</f>
        <v>0</v>
      </c>
    </row>
    <row r="67" spans="1:15" x14ac:dyDescent="0.35">
      <c r="A67" s="188"/>
      <c r="B67" s="17" t="s">
        <v>686</v>
      </c>
      <c r="C67" s="7">
        <v>1</v>
      </c>
      <c r="D67" s="7">
        <v>1</v>
      </c>
      <c r="E67" s="17" t="s">
        <v>212</v>
      </c>
      <c r="F67" s="17" t="s">
        <v>213</v>
      </c>
      <c r="G67" s="17">
        <v>0</v>
      </c>
      <c r="H67" s="20">
        <v>1</v>
      </c>
      <c r="I67" s="147" t="s">
        <v>18</v>
      </c>
      <c r="J67" s="7" t="s">
        <v>68</v>
      </c>
      <c r="K67" s="7" t="s">
        <v>746</v>
      </c>
      <c r="L67" s="7" t="s">
        <v>468</v>
      </c>
      <c r="M67" s="3">
        <f ca="1">IF($B67="N/A","N/A",IF(VLOOKUP("PARAM_REPAIR_FUSE_SUPPORT_EN",INDIRECT(Config!$B$1),HLOOKUP(M$1,INDIRECT(Config!$E$1),2,FALSE),FALSE)=1,VLOOKUP("RF_FUSE_INT_PULL",INDIRECT(Config!$B$1),HLOOKUP(M$1,INDIRECT(Config!$E$1),2,FALSE),FALSE),0))</f>
        <v>0</v>
      </c>
      <c r="N67" s="3">
        <f ca="1">IF($B67="N/A","N/A",IF(VLOOKUP("PARAM_REPAIR_FUSE_SUPPORT_EN",INDIRECT(Config!$B$1),HLOOKUP(N$1,INDIRECT(Config!$E$1),2,FALSE),FALSE)=1,VLOOKUP("RF_FUSE_INT_PULL",INDIRECT(Config!$B$1),HLOOKUP(N$1,INDIRECT(Config!$E$1),2,FALSE),FALSE),0))</f>
        <v>0</v>
      </c>
      <c r="O67" s="3">
        <f ca="1">IF($B67="N/A","N/A",IF(VLOOKUP("PARAM_REPAIR_FUSE_SUPPORT_EN",INDIRECT(Config!$B$1),HLOOKUP(O$1,INDIRECT(Config!$E$1),2,FALSE),FALSE)=1,VLOOKUP("RF_FUSE_INT_PULL",INDIRECT(Config!$B$1),HLOOKUP(O$1,INDIRECT(Config!$E$1),2,FALSE),FALSE),0))</f>
        <v>0</v>
      </c>
    </row>
    <row r="68" spans="1:15" x14ac:dyDescent="0.35">
      <c r="A68" s="188"/>
      <c r="B68" s="17" t="s">
        <v>686</v>
      </c>
      <c r="C68" s="7">
        <v>2</v>
      </c>
      <c r="D68" s="7">
        <v>1</v>
      </c>
      <c r="E68" s="17" t="s">
        <v>214</v>
      </c>
      <c r="F68" s="17" t="s">
        <v>215</v>
      </c>
      <c r="G68" s="17">
        <v>0</v>
      </c>
      <c r="H68" s="20">
        <v>0</v>
      </c>
      <c r="I68" s="147" t="s">
        <v>18</v>
      </c>
      <c r="J68" s="7" t="s">
        <v>68</v>
      </c>
      <c r="K68" s="7" t="s">
        <v>747</v>
      </c>
      <c r="L68" s="7" t="s">
        <v>469</v>
      </c>
      <c r="M68" s="3">
        <f ca="1">IF($B68="N/A","N/A",IF(VLOOKUP("PARAM_REPAIR_FUSE_SUPPORT_EN",INDIRECT(Config!$B$1),HLOOKUP(M$1,INDIRECT(Config!$E$1),2,FALSE),FALSE)=1,VLOOKUP("RF_FUSE_INT_PULL",INDIRECT(Config!$B$1),HLOOKUP(M$1,INDIRECT(Config!$E$1),2,FALSE),FALSE),0))</f>
        <v>0</v>
      </c>
      <c r="N68" s="3">
        <f ca="1">IF($B68="N/A","N/A",IF(VLOOKUP("PARAM_REPAIR_FUSE_SUPPORT_EN",INDIRECT(Config!$B$1),HLOOKUP(N$1,INDIRECT(Config!$E$1),2,FALSE),FALSE)=1,VLOOKUP("RF_FUSE_INT_PULL",INDIRECT(Config!$B$1),HLOOKUP(N$1,INDIRECT(Config!$E$1),2,FALSE),FALSE),0))</f>
        <v>0</v>
      </c>
      <c r="O68" s="3">
        <f ca="1">IF($B68="N/A","N/A",IF(VLOOKUP("PARAM_REPAIR_FUSE_SUPPORT_EN",INDIRECT(Config!$B$1),HLOOKUP(O$1,INDIRECT(Config!$E$1),2,FALSE),FALSE)=1,VLOOKUP("RF_FUSE_INT_PULL",INDIRECT(Config!$B$1),HLOOKUP(O$1,INDIRECT(Config!$E$1),2,FALSE),FALSE),0))</f>
        <v>0</v>
      </c>
    </row>
    <row r="69" spans="1:15" x14ac:dyDescent="0.35">
      <c r="A69" s="188"/>
      <c r="B69" s="4" t="s">
        <v>626</v>
      </c>
      <c r="C69" s="7">
        <v>3</v>
      </c>
      <c r="D69" s="7">
        <v>1</v>
      </c>
      <c r="E69" s="17" t="s">
        <v>216</v>
      </c>
      <c r="F69" s="2" t="s">
        <v>217</v>
      </c>
      <c r="G69" s="2">
        <v>0</v>
      </c>
      <c r="H69" s="19">
        <v>0</v>
      </c>
      <c r="I69" s="147" t="s">
        <v>18</v>
      </c>
      <c r="J69" s="7" t="s">
        <v>71</v>
      </c>
      <c r="K69" s="7" t="s">
        <v>748</v>
      </c>
      <c r="L69" s="7" t="s">
        <v>540</v>
      </c>
      <c r="M69" s="4">
        <f t="shared" ref="M69:O70" si="4">IF($B69="N/A", "N/A", 1)</f>
        <v>1</v>
      </c>
      <c r="N69" s="4">
        <f t="shared" si="4"/>
        <v>1</v>
      </c>
      <c r="O69" s="4">
        <f t="shared" si="4"/>
        <v>1</v>
      </c>
    </row>
    <row r="70" spans="1:15" x14ac:dyDescent="0.35">
      <c r="A70" s="188"/>
      <c r="B70" s="4" t="s">
        <v>626</v>
      </c>
      <c r="C70" s="7">
        <v>4</v>
      </c>
      <c r="D70" s="7">
        <v>1</v>
      </c>
      <c r="E70" s="17" t="s">
        <v>218</v>
      </c>
      <c r="F70" s="2" t="s">
        <v>219</v>
      </c>
      <c r="G70" s="2">
        <v>0</v>
      </c>
      <c r="H70" s="19">
        <v>0</v>
      </c>
      <c r="I70" s="147" t="s">
        <v>18</v>
      </c>
      <c r="J70" s="7" t="s">
        <v>71</v>
      </c>
      <c r="K70" s="7" t="s">
        <v>749</v>
      </c>
      <c r="L70" s="7" t="s">
        <v>541</v>
      </c>
      <c r="M70" s="4">
        <f t="shared" si="4"/>
        <v>1</v>
      </c>
      <c r="N70" s="4">
        <f t="shared" si="4"/>
        <v>1</v>
      </c>
      <c r="O70" s="4">
        <f t="shared" si="4"/>
        <v>1</v>
      </c>
    </row>
    <row r="71" spans="1:15" x14ac:dyDescent="0.35">
      <c r="A71" s="188"/>
      <c r="B71" s="2" t="s">
        <v>50</v>
      </c>
      <c r="C71" s="2">
        <v>5</v>
      </c>
      <c r="D71" s="2">
        <v>1</v>
      </c>
      <c r="E71" s="2"/>
      <c r="F71" s="7" t="s">
        <v>220</v>
      </c>
      <c r="G71" s="7">
        <v>0</v>
      </c>
      <c r="H71" s="21">
        <v>0</v>
      </c>
      <c r="I71" s="147" t="s">
        <v>18</v>
      </c>
      <c r="J71" s="7"/>
      <c r="K71" s="7" t="s">
        <v>809</v>
      </c>
      <c r="L71" s="7" t="s">
        <v>472</v>
      </c>
      <c r="M71" s="4" t="str">
        <f ca="1">IF($B71="N/A", "N/A", VLOOKUP($B71, INDIRECT(Config!$B$1), HLOOKUP(M$1, INDIRECT(Config!$E$1), 2, FALSE),FALSE))</f>
        <v>N/A</v>
      </c>
      <c r="N71" s="4" t="str">
        <f ca="1">IF($B71="N/A", "N/A", VLOOKUP($B71, INDIRECT(Config!$B$1), HLOOKUP(N$1, INDIRECT(Config!$E$1), 2, FALSE),FALSE))</f>
        <v>N/A</v>
      </c>
      <c r="O71" s="4" t="str">
        <f ca="1">IF($B71="N/A", "N/A", VLOOKUP($B71, INDIRECT(Config!$B$1), HLOOKUP(O$1, INDIRECT(Config!$E$1), 2, FALSE),FALSE))</f>
        <v>N/A</v>
      </c>
    </row>
    <row r="72" spans="1:15" x14ac:dyDescent="0.35">
      <c r="A72" s="188"/>
      <c r="B72" s="2" t="s">
        <v>221</v>
      </c>
      <c r="C72" s="2">
        <v>6</v>
      </c>
      <c r="D72" s="2">
        <v>1</v>
      </c>
      <c r="E72" s="2" t="s">
        <v>222</v>
      </c>
      <c r="F72" s="17" t="s">
        <v>223</v>
      </c>
      <c r="G72" s="17">
        <v>1</v>
      </c>
      <c r="H72" s="20">
        <v>0</v>
      </c>
      <c r="I72" s="147" t="s">
        <v>18</v>
      </c>
      <c r="J72" s="7" t="s">
        <v>68</v>
      </c>
      <c r="K72" s="7" t="s">
        <v>750</v>
      </c>
      <c r="L72" s="7" t="s">
        <v>542</v>
      </c>
      <c r="M72" s="3">
        <f ca="1">IF($B72="N/A", "N/A", VLOOKUP($B72, INDIRECT(Config!$B$1), HLOOKUP(M$1, INDIRECT(Config!$E$1), 2, FALSE),FALSE))</f>
        <v>0</v>
      </c>
      <c r="N72" s="3">
        <f ca="1">IF($B72="N/A", "N/A", VLOOKUP($B72, INDIRECT(Config!$B$1), HLOOKUP(N$1, INDIRECT(Config!$E$1), 2, FALSE),FALSE))</f>
        <v>0</v>
      </c>
      <c r="O72" s="3">
        <f ca="1">IF($B72="N/A", "N/A", VLOOKUP($B72, INDIRECT(Config!$B$1), HLOOKUP(O$1, INDIRECT(Config!$E$1), 2, FALSE),FALSE))</f>
        <v>0</v>
      </c>
    </row>
    <row r="73" spans="1:15" x14ac:dyDescent="0.35">
      <c r="A73" s="188"/>
      <c r="B73" s="2" t="s">
        <v>221</v>
      </c>
      <c r="C73" s="2">
        <v>7</v>
      </c>
      <c r="D73" s="2">
        <v>1</v>
      </c>
      <c r="E73" s="2" t="s">
        <v>224</v>
      </c>
      <c r="F73" s="7" t="s">
        <v>225</v>
      </c>
      <c r="G73" s="7">
        <v>1</v>
      </c>
      <c r="H73" s="21">
        <v>0</v>
      </c>
      <c r="I73" s="147" t="s">
        <v>18</v>
      </c>
      <c r="J73" s="7" t="s">
        <v>68</v>
      </c>
      <c r="K73" s="7" t="s">
        <v>751</v>
      </c>
      <c r="L73" s="7" t="s">
        <v>543</v>
      </c>
      <c r="M73" s="3">
        <f ca="1">IF($B73="N/A", "N/A", VLOOKUP($B73, INDIRECT(Config!$B$1), HLOOKUP(M$1, INDIRECT(Config!$E$1), 2, FALSE),FALSE))</f>
        <v>0</v>
      </c>
      <c r="N73" s="3">
        <f ca="1">IF($B73="N/A", "N/A", VLOOKUP($B73, INDIRECT(Config!$B$1), HLOOKUP(N$1, INDIRECT(Config!$E$1), 2, FALSE),FALSE))</f>
        <v>0</v>
      </c>
      <c r="O73" s="3">
        <f ca="1">IF($B73="N/A", "N/A", VLOOKUP($B73, INDIRECT(Config!$B$1), HLOOKUP(O$1, INDIRECT(Config!$E$1), 2, FALSE),FALSE))</f>
        <v>0</v>
      </c>
    </row>
    <row r="74" spans="1:15" x14ac:dyDescent="0.35">
      <c r="A74" s="188"/>
      <c r="B74" s="4" t="s">
        <v>626</v>
      </c>
      <c r="C74" s="7">
        <v>8</v>
      </c>
      <c r="D74" s="7">
        <v>1</v>
      </c>
      <c r="E74" s="17" t="s">
        <v>226</v>
      </c>
      <c r="F74" s="2" t="s">
        <v>227</v>
      </c>
      <c r="G74" s="2">
        <v>0</v>
      </c>
      <c r="H74" s="19">
        <v>0</v>
      </c>
      <c r="I74" s="3"/>
      <c r="J74" s="7" t="s">
        <v>71</v>
      </c>
      <c r="K74" s="7" t="s">
        <v>752</v>
      </c>
      <c r="L74" s="7" t="s">
        <v>544</v>
      </c>
      <c r="M74" s="4">
        <f>IF($B74="N/A", "N/A", 1)</f>
        <v>1</v>
      </c>
      <c r="N74" s="4">
        <f>IF($B74="N/A", "N/A", 1)</f>
        <v>1</v>
      </c>
      <c r="O74" s="4">
        <f>IF($B74="N/A", "N/A", 1)</f>
        <v>1</v>
      </c>
    </row>
    <row r="75" spans="1:15" x14ac:dyDescent="0.35">
      <c r="A75" s="188"/>
      <c r="B75" s="17" t="s">
        <v>228</v>
      </c>
      <c r="C75" s="7">
        <v>9</v>
      </c>
      <c r="D75" s="7">
        <v>7</v>
      </c>
      <c r="E75" s="17" t="s">
        <v>229</v>
      </c>
      <c r="F75" s="17" t="s">
        <v>230</v>
      </c>
      <c r="G75" s="17">
        <v>0</v>
      </c>
      <c r="H75" s="20">
        <v>0</v>
      </c>
      <c r="I75" s="3"/>
      <c r="J75" s="7" t="s">
        <v>89</v>
      </c>
      <c r="K75" s="7" t="s">
        <v>753</v>
      </c>
      <c r="L75" s="7" t="s">
        <v>545</v>
      </c>
      <c r="M75" s="3">
        <f ca="1">IF($B75="N/A", "N/A", VLOOKUP($B75, INDIRECT(Config!$B$1), HLOOKUP(M$1, INDIRECT(Config!$E$1), 2, FALSE),FALSE))</f>
        <v>0</v>
      </c>
      <c r="N75" s="3">
        <f ca="1">IF($B75="N/A", "N/A", VLOOKUP($B75, INDIRECT(Config!$B$1), HLOOKUP(N$1, INDIRECT(Config!$E$1), 2, FALSE),FALSE))</f>
        <v>0</v>
      </c>
      <c r="O75" s="3">
        <f ca="1">IF($B75="N/A", "N/A", VLOOKUP($B75, INDIRECT(Config!$B$1), HLOOKUP(O$1, INDIRECT(Config!$E$1), 2, FALSE),FALSE))</f>
        <v>0</v>
      </c>
    </row>
    <row r="76" spans="1:15" x14ac:dyDescent="0.35">
      <c r="A76" s="188"/>
      <c r="B76" s="17" t="s">
        <v>231</v>
      </c>
      <c r="C76" s="7">
        <v>16</v>
      </c>
      <c r="D76" s="7">
        <v>1</v>
      </c>
      <c r="E76" s="17" t="s">
        <v>232</v>
      </c>
      <c r="F76" s="17" t="s">
        <v>233</v>
      </c>
      <c r="G76" s="17">
        <v>0</v>
      </c>
      <c r="H76" s="20">
        <v>0</v>
      </c>
      <c r="I76" s="3" t="s">
        <v>18</v>
      </c>
      <c r="J76" s="7" t="s">
        <v>89</v>
      </c>
      <c r="K76" s="7" t="s">
        <v>754</v>
      </c>
      <c r="L76" s="7" t="s">
        <v>546</v>
      </c>
      <c r="M76" s="3">
        <f ca="1">IF($B76="N/A","N/A",IF(0=VLOOKUP($B76,INDIRECT(Config!$B$1),HLOOKUP(M$1,INDIRECT(Config!$E$1),2,FALSE),FALSE),0,1))</f>
        <v>1</v>
      </c>
      <c r="N76" s="3">
        <f ca="1">IF($B76="N/A","N/A",IF(0=VLOOKUP($B76,INDIRECT(Config!$B$1),HLOOKUP(N$1,INDIRECT(Config!$E$1),2,FALSE),FALSE),0,1))</f>
        <v>0</v>
      </c>
      <c r="O76" s="3">
        <f ca="1">IF($B76="N/A","N/A",IF(0=VLOOKUP($B76,INDIRECT(Config!$B$1),HLOOKUP(O$1,INDIRECT(Config!$E$1),2,FALSE),FALSE),0,1))</f>
        <v>0</v>
      </c>
    </row>
    <row r="77" spans="1:15" x14ac:dyDescent="0.35">
      <c r="A77" s="188"/>
      <c r="B77" s="4" t="s">
        <v>626</v>
      </c>
      <c r="C77" s="7">
        <v>17</v>
      </c>
      <c r="D77" s="7">
        <v>1</v>
      </c>
      <c r="E77" s="17" t="s">
        <v>690</v>
      </c>
      <c r="F77" s="2" t="s">
        <v>234</v>
      </c>
      <c r="G77" s="2">
        <v>0</v>
      </c>
      <c r="H77" s="19">
        <v>0</v>
      </c>
      <c r="I77" s="3" t="s">
        <v>18</v>
      </c>
      <c r="J77" s="7" t="s">
        <v>89</v>
      </c>
      <c r="K77" s="7" t="s">
        <v>847</v>
      </c>
      <c r="L77" s="7" t="s">
        <v>691</v>
      </c>
      <c r="M77" s="4">
        <f>IF($B77="N/A", "N/A", 1)</f>
        <v>1</v>
      </c>
      <c r="N77" s="4">
        <f>IF($B77="N/A", "N/A", 1)</f>
        <v>1</v>
      </c>
      <c r="O77" s="4">
        <f>IF($B77="N/A", "N/A", 1)</f>
        <v>1</v>
      </c>
    </row>
    <row r="78" spans="1:15" x14ac:dyDescent="0.35">
      <c r="A78" s="188"/>
      <c r="B78" s="2" t="s">
        <v>102</v>
      </c>
      <c r="C78" s="2">
        <v>18</v>
      </c>
      <c r="D78" s="2">
        <v>1</v>
      </c>
      <c r="E78" s="2" t="s">
        <v>235</v>
      </c>
      <c r="F78" s="17" t="s">
        <v>236</v>
      </c>
      <c r="G78" s="17">
        <v>0</v>
      </c>
      <c r="H78" s="20">
        <v>0</v>
      </c>
      <c r="I78" s="3" t="s">
        <v>18</v>
      </c>
      <c r="J78" s="7" t="s">
        <v>68</v>
      </c>
      <c r="K78" s="7" t="s">
        <v>756</v>
      </c>
      <c r="L78" s="7" t="s">
        <v>550</v>
      </c>
      <c r="M78" s="3">
        <f ca="1">IF($B78="N/A", "N/A", VLOOKUP($B78, INDIRECT(Config!$B$1), HLOOKUP(M$1, INDIRECT(Config!$E$1), 2, FALSE),FALSE))</f>
        <v>0</v>
      </c>
      <c r="N78" s="3">
        <f ca="1">IF($B78="N/A", "N/A", VLOOKUP($B78, INDIRECT(Config!$B$1), HLOOKUP(N$1, INDIRECT(Config!$E$1), 2, FALSE),FALSE))</f>
        <v>0</v>
      </c>
      <c r="O78" s="3">
        <f ca="1">IF($B78="N/A", "N/A", VLOOKUP($B78, INDIRECT(Config!$B$1), HLOOKUP(O$1, INDIRECT(Config!$E$1), 2, FALSE),FALSE))</f>
        <v>0</v>
      </c>
    </row>
    <row r="79" spans="1:15" x14ac:dyDescent="0.35">
      <c r="A79" s="188"/>
      <c r="B79" s="2" t="s">
        <v>102</v>
      </c>
      <c r="C79" s="2">
        <v>19</v>
      </c>
      <c r="D79" s="2">
        <v>1</v>
      </c>
      <c r="E79" s="2" t="s">
        <v>237</v>
      </c>
      <c r="F79" s="17" t="s">
        <v>238</v>
      </c>
      <c r="G79" s="17">
        <v>0</v>
      </c>
      <c r="H79" s="20">
        <v>0</v>
      </c>
      <c r="I79" s="3" t="s">
        <v>18</v>
      </c>
      <c r="J79" s="7" t="s">
        <v>68</v>
      </c>
      <c r="K79" s="7" t="s">
        <v>757</v>
      </c>
      <c r="L79" s="7" t="s">
        <v>551</v>
      </c>
      <c r="M79" s="3">
        <f ca="1">IF($B79="N/A", "N/A", VLOOKUP($B79, INDIRECT(Config!$B$1), HLOOKUP(M$1, INDIRECT(Config!$E$1), 2, FALSE),FALSE))</f>
        <v>0</v>
      </c>
      <c r="N79" s="3">
        <f ca="1">IF($B79="N/A", "N/A", VLOOKUP($B79, INDIRECT(Config!$B$1), HLOOKUP(N$1, INDIRECT(Config!$E$1), 2, FALSE),FALSE))</f>
        <v>0</v>
      </c>
      <c r="O79" s="3">
        <f ca="1">IF($B79="N/A", "N/A", VLOOKUP($B79, INDIRECT(Config!$B$1), HLOOKUP(O$1, INDIRECT(Config!$E$1), 2, FALSE),FALSE))</f>
        <v>0</v>
      </c>
    </row>
    <row r="80" spans="1:15" x14ac:dyDescent="0.35">
      <c r="A80" s="188"/>
      <c r="B80" s="2" t="s">
        <v>102</v>
      </c>
      <c r="C80" s="2">
        <v>20</v>
      </c>
      <c r="D80" s="2">
        <v>1</v>
      </c>
      <c r="E80" s="2" t="s">
        <v>239</v>
      </c>
      <c r="F80" s="17" t="s">
        <v>240</v>
      </c>
      <c r="G80" s="17">
        <v>0</v>
      </c>
      <c r="H80" s="20">
        <v>0</v>
      </c>
      <c r="I80" s="3" t="s">
        <v>18</v>
      </c>
      <c r="J80" s="7" t="s">
        <v>68</v>
      </c>
      <c r="K80" s="7" t="s">
        <v>758</v>
      </c>
      <c r="L80" s="7" t="s">
        <v>552</v>
      </c>
      <c r="M80" s="3">
        <f ca="1">IF($B80="N/A", "N/A", VLOOKUP($B80, INDIRECT(Config!$B$1), HLOOKUP(M$1, INDIRECT(Config!$E$1), 2, FALSE),FALSE))</f>
        <v>0</v>
      </c>
      <c r="N80" s="3">
        <f ca="1">IF($B80="N/A", "N/A", VLOOKUP($B80, INDIRECT(Config!$B$1), HLOOKUP(N$1, INDIRECT(Config!$E$1), 2, FALSE),FALSE))</f>
        <v>0</v>
      </c>
      <c r="O80" s="3">
        <f ca="1">IF($B80="N/A", "N/A", VLOOKUP($B80, INDIRECT(Config!$B$1), HLOOKUP(O$1, INDIRECT(Config!$E$1), 2, FALSE),FALSE))</f>
        <v>0</v>
      </c>
    </row>
    <row r="81" spans="1:15" x14ac:dyDescent="0.35">
      <c r="A81" s="188"/>
      <c r="B81" s="3" t="s">
        <v>241</v>
      </c>
      <c r="C81" s="7">
        <v>21</v>
      </c>
      <c r="D81" s="7">
        <v>1</v>
      </c>
      <c r="E81" s="3" t="s">
        <v>242</v>
      </c>
      <c r="F81" s="3" t="s">
        <v>243</v>
      </c>
      <c r="G81" s="3">
        <v>0</v>
      </c>
      <c r="H81" s="22">
        <v>0</v>
      </c>
      <c r="I81" s="3" t="s">
        <v>18</v>
      </c>
      <c r="J81" s="7" t="s">
        <v>89</v>
      </c>
      <c r="K81" s="7" t="s">
        <v>759</v>
      </c>
      <c r="L81" s="7" t="s">
        <v>553</v>
      </c>
      <c r="M81" s="3">
        <f ca="1">IF($B81="N/A", "N/A", VLOOKUP($B81, INDIRECT(Config!$B$1), HLOOKUP(M$1, INDIRECT(Config!$E$1), 2, FALSE),FALSE))</f>
        <v>1</v>
      </c>
      <c r="N81" s="3">
        <f ca="1">IF($B81="N/A", "N/A", VLOOKUP($B81, INDIRECT(Config!$B$1), HLOOKUP(N$1, INDIRECT(Config!$E$1), 2, FALSE),FALSE))</f>
        <v>1</v>
      </c>
      <c r="O81" s="3">
        <f ca="1">IF($B81="N/A", "N/A", VLOOKUP($B81, INDIRECT(Config!$B$1), HLOOKUP(O$1, INDIRECT(Config!$E$1), 2, FALSE),FALSE))</f>
        <v>0</v>
      </c>
    </row>
    <row r="82" spans="1:15" x14ac:dyDescent="0.35">
      <c r="A82" s="188"/>
      <c r="B82" s="2" t="s">
        <v>50</v>
      </c>
      <c r="C82" s="7">
        <v>22</v>
      </c>
      <c r="D82" s="7">
        <v>2</v>
      </c>
      <c r="E82" s="2"/>
      <c r="F82" s="3" t="s">
        <v>679</v>
      </c>
      <c r="G82" s="3">
        <v>0</v>
      </c>
      <c r="H82" s="22">
        <v>0</v>
      </c>
      <c r="I82" s="3" t="s">
        <v>18</v>
      </c>
      <c r="J82" s="7"/>
      <c r="K82" s="7" t="s">
        <v>810</v>
      </c>
      <c r="L82" s="7" t="s">
        <v>472</v>
      </c>
      <c r="M82" s="4" t="str">
        <f ca="1">IF($B82="N/A", "N/A", VLOOKUP($B82, INDIRECT(Config!$B$1), HLOOKUP(M$1, INDIRECT(Config!$E$1), 2, FALSE),FALSE))</f>
        <v>N/A</v>
      </c>
      <c r="N82" s="4" t="str">
        <f ca="1">IF($B82="N/A", "N/A", VLOOKUP($B82, INDIRECT(Config!$B$1), HLOOKUP(N$1, INDIRECT(Config!$E$1), 2, FALSE),FALSE))</f>
        <v>N/A</v>
      </c>
      <c r="O82" s="4" t="str">
        <f ca="1">IF($B82="N/A", "N/A", VLOOKUP($B82, INDIRECT(Config!$B$1), HLOOKUP(O$1, INDIRECT(Config!$E$1), 2, FALSE),FALSE))</f>
        <v>N/A</v>
      </c>
    </row>
    <row r="83" spans="1:15" x14ac:dyDescent="0.35">
      <c r="A83" s="188"/>
      <c r="B83" s="4" t="s">
        <v>626</v>
      </c>
      <c r="C83" s="7">
        <v>24</v>
      </c>
      <c r="D83" s="7">
        <v>1</v>
      </c>
      <c r="E83" s="17" t="s">
        <v>245</v>
      </c>
      <c r="F83" s="2" t="s">
        <v>246</v>
      </c>
      <c r="G83" s="2">
        <v>0</v>
      </c>
      <c r="H83" s="19">
        <v>0</v>
      </c>
      <c r="I83" s="3"/>
      <c r="J83" s="17" t="s">
        <v>89</v>
      </c>
      <c r="K83" s="17" t="s">
        <v>740</v>
      </c>
      <c r="L83" s="17" t="s">
        <v>554</v>
      </c>
      <c r="M83" s="4">
        <f t="shared" ref="M83:O84" si="5">IF($B83="N/A", "N/A", 1)</f>
        <v>1</v>
      </c>
      <c r="N83" s="4">
        <f t="shared" si="5"/>
        <v>1</v>
      </c>
      <c r="O83" s="4">
        <f t="shared" si="5"/>
        <v>1</v>
      </c>
    </row>
    <row r="84" spans="1:15" x14ac:dyDescent="0.35">
      <c r="A84" s="188"/>
      <c r="B84" s="4" t="s">
        <v>626</v>
      </c>
      <c r="C84" s="7">
        <v>25</v>
      </c>
      <c r="D84" s="7">
        <v>1</v>
      </c>
      <c r="E84" s="17" t="s">
        <v>247</v>
      </c>
      <c r="F84" s="2" t="s">
        <v>248</v>
      </c>
      <c r="G84" s="2">
        <v>0</v>
      </c>
      <c r="H84" s="19">
        <v>0</v>
      </c>
      <c r="I84" s="3"/>
      <c r="J84" s="17" t="s">
        <v>89</v>
      </c>
      <c r="K84" s="17" t="s">
        <v>741</v>
      </c>
      <c r="L84" s="17" t="s">
        <v>555</v>
      </c>
      <c r="M84" s="4">
        <f t="shared" si="5"/>
        <v>1</v>
      </c>
      <c r="N84" s="4">
        <f t="shared" si="5"/>
        <v>1</v>
      </c>
      <c r="O84" s="4">
        <f t="shared" si="5"/>
        <v>1</v>
      </c>
    </row>
    <row r="85" spans="1:15" x14ac:dyDescent="0.35">
      <c r="A85" s="188"/>
      <c r="B85" s="17" t="s">
        <v>249</v>
      </c>
      <c r="C85" s="7">
        <v>26</v>
      </c>
      <c r="D85" s="7">
        <v>5</v>
      </c>
      <c r="E85" s="17" t="s">
        <v>250</v>
      </c>
      <c r="F85" s="17" t="s">
        <v>251</v>
      </c>
      <c r="G85" s="17">
        <v>0</v>
      </c>
      <c r="H85" s="20">
        <v>0</v>
      </c>
      <c r="I85" s="3"/>
      <c r="J85" s="17" t="s">
        <v>89</v>
      </c>
      <c r="K85" s="17" t="s">
        <v>742</v>
      </c>
      <c r="L85" s="17" t="s">
        <v>556</v>
      </c>
      <c r="M85" s="3">
        <f ca="1">IF($B85="N/A", "N/A", VLOOKUP($B85, INDIRECT(Config!$B$1), HLOOKUP(M$1, INDIRECT(Config!$E$1), 2, FALSE),FALSE))</f>
        <v>0</v>
      </c>
      <c r="N85" s="3">
        <f ca="1">IF($B85="N/A", "N/A", VLOOKUP($B85, INDIRECT(Config!$B$1), HLOOKUP(N$1, INDIRECT(Config!$E$1), 2, FALSE),FALSE))</f>
        <v>0</v>
      </c>
      <c r="O85" s="3">
        <f ca="1">IF($B85="N/A", "N/A", VLOOKUP($B85, INDIRECT(Config!$B$1), HLOOKUP(O$1, INDIRECT(Config!$E$1), 2, FALSE),FALSE))</f>
        <v>0</v>
      </c>
    </row>
    <row r="86" spans="1:15" x14ac:dyDescent="0.35">
      <c r="A86" s="188"/>
      <c r="B86" s="4" t="s">
        <v>626</v>
      </c>
      <c r="C86" s="7">
        <v>31</v>
      </c>
      <c r="D86" s="7">
        <v>1</v>
      </c>
      <c r="E86" s="17" t="s">
        <v>252</v>
      </c>
      <c r="F86" s="2" t="s">
        <v>253</v>
      </c>
      <c r="G86" s="2">
        <v>0</v>
      </c>
      <c r="H86" s="19">
        <v>0</v>
      </c>
      <c r="I86" s="3"/>
      <c r="J86" s="17" t="s">
        <v>89</v>
      </c>
      <c r="K86" s="17" t="s">
        <v>846</v>
      </c>
      <c r="L86" s="17" t="s">
        <v>558</v>
      </c>
      <c r="M86" s="4">
        <f>IF($B86="N/A", "N/A", 1)</f>
        <v>1</v>
      </c>
      <c r="N86" s="4">
        <f>IF($B86="N/A", "N/A", 1)</f>
        <v>1</v>
      </c>
      <c r="O86" s="4">
        <f>IF($B86="N/A", "N/A", 1)</f>
        <v>1</v>
      </c>
    </row>
    <row r="87" spans="1:15" x14ac:dyDescent="0.35">
      <c r="A87" s="203" t="s">
        <v>254</v>
      </c>
      <c r="B87" s="7" t="s">
        <v>402</v>
      </c>
      <c r="C87" s="7">
        <v>0</v>
      </c>
      <c r="D87" s="7">
        <v>16</v>
      </c>
      <c r="E87" s="7" t="s">
        <v>255</v>
      </c>
      <c r="F87" s="131" t="s">
        <v>396</v>
      </c>
      <c r="G87" s="7">
        <v>0</v>
      </c>
      <c r="H87" s="21">
        <v>0</v>
      </c>
      <c r="I87" s="3"/>
      <c r="J87" s="7" t="s">
        <v>68</v>
      </c>
      <c r="K87" s="7" t="s">
        <v>787</v>
      </c>
      <c r="L87" s="7" t="s">
        <v>479</v>
      </c>
      <c r="M87" s="3">
        <f ca="1">IF($B87="N/A", "N/A", VLOOKUP($B87, INDIRECT(Config!$B$1), HLOOKUP(M$1, INDIRECT(Config!$E$1), 2, FALSE),FALSE))</f>
        <v>0</v>
      </c>
      <c r="N87" s="3">
        <f ca="1">IF($B87="N/A", "N/A", VLOOKUP($B87, INDIRECT(Config!$B$1), HLOOKUP(N$1, INDIRECT(Config!$E$1), 2, FALSE),FALSE))</f>
        <v>0</v>
      </c>
      <c r="O87" s="3">
        <f ca="1">IF($B87="N/A", "N/A", VLOOKUP($B87, INDIRECT(Config!$B$1), HLOOKUP(O$1, INDIRECT(Config!$E$1), 2, FALSE),FALSE))</f>
        <v>0</v>
      </c>
    </row>
    <row r="88" spans="1:15" x14ac:dyDescent="0.35">
      <c r="A88" s="208"/>
      <c r="B88" s="7" t="s">
        <v>402</v>
      </c>
      <c r="C88" s="7">
        <v>16</v>
      </c>
      <c r="D88" s="7">
        <v>8</v>
      </c>
      <c r="E88" s="7" t="s">
        <v>256</v>
      </c>
      <c r="F88" s="131" t="s">
        <v>396</v>
      </c>
      <c r="G88" s="7">
        <v>0</v>
      </c>
      <c r="H88" s="21">
        <v>0</v>
      </c>
      <c r="I88" s="3"/>
      <c r="J88" s="7" t="s">
        <v>68</v>
      </c>
      <c r="K88" s="7" t="s">
        <v>779</v>
      </c>
      <c r="L88" s="7" t="s">
        <v>479</v>
      </c>
      <c r="M88" s="3">
        <f ca="1">IF($B88="N/A", "N/A", VLOOKUP($B88, INDIRECT(Config!$B$1), HLOOKUP(M$1, INDIRECT(Config!$E$1), 2, FALSE),FALSE))</f>
        <v>0</v>
      </c>
      <c r="N88" s="3">
        <f ca="1">IF($B88="N/A", "N/A", VLOOKUP($B88, INDIRECT(Config!$B$1), HLOOKUP(N$1, INDIRECT(Config!$E$1), 2, FALSE),FALSE))</f>
        <v>0</v>
      </c>
      <c r="O88" s="3">
        <f ca="1">IF($B88="N/A", "N/A", VLOOKUP($B88, INDIRECT(Config!$B$1), HLOOKUP(O$1, INDIRECT(Config!$E$1), 2, FALSE),FALSE))</f>
        <v>0</v>
      </c>
    </row>
    <row r="89" spans="1:15" x14ac:dyDescent="0.35">
      <c r="A89" s="202"/>
      <c r="B89" s="16" t="s">
        <v>209</v>
      </c>
      <c r="C89" s="7">
        <v>24</v>
      </c>
      <c r="D89" s="7">
        <v>8</v>
      </c>
      <c r="E89" s="7" t="s">
        <v>257</v>
      </c>
      <c r="F89" s="131" t="s">
        <v>396</v>
      </c>
      <c r="G89" s="7">
        <v>0</v>
      </c>
      <c r="H89" s="21">
        <v>0</v>
      </c>
      <c r="I89" s="3"/>
      <c r="J89" s="7" t="s">
        <v>68</v>
      </c>
      <c r="K89" s="7" t="s">
        <v>788</v>
      </c>
      <c r="L89" s="7" t="s">
        <v>480</v>
      </c>
      <c r="M89" s="3">
        <f ca="1">IF($B89="N/A", "N/A", VLOOKUP($B89, INDIRECT(Config!$B$1), HLOOKUP(M$1, INDIRECT(Config!$E$1), 2, FALSE),FALSE))</f>
        <v>0</v>
      </c>
      <c r="N89" s="3">
        <f ca="1">IF($B89="N/A", "N/A", VLOOKUP($B89, INDIRECT(Config!$B$1), HLOOKUP(N$1, INDIRECT(Config!$E$1), 2, FALSE),FALSE))</f>
        <v>0</v>
      </c>
      <c r="O89" s="3">
        <f ca="1">IF($B89="N/A", "N/A", VLOOKUP($B89, INDIRECT(Config!$B$1), HLOOKUP(O$1, INDIRECT(Config!$E$1), 2, FALSE),FALSE))</f>
        <v>0</v>
      </c>
    </row>
    <row r="90" spans="1:15" x14ac:dyDescent="0.35">
      <c r="A90" s="18" t="s">
        <v>258</v>
      </c>
      <c r="B90" s="7" t="s">
        <v>402</v>
      </c>
      <c r="C90" s="7">
        <v>0</v>
      </c>
      <c r="D90" s="7">
        <v>32</v>
      </c>
      <c r="E90" s="7" t="s">
        <v>258</v>
      </c>
      <c r="F90" s="24" t="s">
        <v>396</v>
      </c>
      <c r="G90" s="7">
        <v>0</v>
      </c>
      <c r="H90" s="21">
        <v>0</v>
      </c>
      <c r="I90" s="3"/>
      <c r="J90" s="7" t="s">
        <v>68</v>
      </c>
      <c r="K90" s="7" t="s">
        <v>789</v>
      </c>
      <c r="L90" s="7" t="s">
        <v>481</v>
      </c>
      <c r="M90" s="3">
        <f ca="1">IF($B90="N/A", "N/A", VLOOKUP($B90, INDIRECT(Config!$B$1), HLOOKUP(M$1, INDIRECT(Config!$E$1), 2, FALSE),FALSE))</f>
        <v>0</v>
      </c>
      <c r="N90" s="3">
        <f ca="1">IF($B90="N/A", "N/A", VLOOKUP($B90, INDIRECT(Config!$B$1), HLOOKUP(N$1, INDIRECT(Config!$E$1), 2, FALSE),FALSE))</f>
        <v>0</v>
      </c>
      <c r="O90" s="3">
        <f ca="1">IF($B90="N/A", "N/A", VLOOKUP($B90, INDIRECT(Config!$B$1), HLOOKUP(O$1, INDIRECT(Config!$E$1), 2, FALSE),FALSE))</f>
        <v>0</v>
      </c>
    </row>
    <row r="91" spans="1:15" x14ac:dyDescent="0.35">
      <c r="A91" s="18" t="s">
        <v>259</v>
      </c>
      <c r="B91" s="7" t="s">
        <v>402</v>
      </c>
      <c r="C91" s="7">
        <v>0</v>
      </c>
      <c r="D91" s="7">
        <v>32</v>
      </c>
      <c r="E91" s="7" t="s">
        <v>259</v>
      </c>
      <c r="F91" s="24" t="s">
        <v>396</v>
      </c>
      <c r="G91" s="7">
        <v>0</v>
      </c>
      <c r="H91" s="21">
        <v>0</v>
      </c>
      <c r="I91" s="3"/>
      <c r="J91" s="7" t="s">
        <v>68</v>
      </c>
      <c r="K91" s="7" t="s">
        <v>790</v>
      </c>
      <c r="L91" s="7" t="s">
        <v>482</v>
      </c>
      <c r="M91" s="3">
        <f ca="1">IF($B91="N/A", "N/A", VLOOKUP($B91, INDIRECT(Config!$B$1), HLOOKUP(M$1, INDIRECT(Config!$E$1), 2, FALSE),FALSE))</f>
        <v>0</v>
      </c>
      <c r="N91" s="3">
        <f ca="1">IF($B91="N/A", "N/A", VLOOKUP($B91, INDIRECT(Config!$B$1), HLOOKUP(N$1, INDIRECT(Config!$E$1), 2, FALSE),FALSE))</f>
        <v>0</v>
      </c>
      <c r="O91" s="3">
        <f ca="1">IF($B91="N/A", "N/A", VLOOKUP($B91, INDIRECT(Config!$B$1), HLOOKUP(O$1, INDIRECT(Config!$E$1), 2, FALSE),FALSE))</f>
        <v>0</v>
      </c>
    </row>
    <row r="92" spans="1:15" x14ac:dyDescent="0.35">
      <c r="A92" s="18" t="s">
        <v>260</v>
      </c>
      <c r="B92" s="7" t="s">
        <v>402</v>
      </c>
      <c r="C92" s="7">
        <v>0</v>
      </c>
      <c r="D92" s="7">
        <v>32</v>
      </c>
      <c r="E92" s="7" t="s">
        <v>260</v>
      </c>
      <c r="F92" s="24" t="s">
        <v>396</v>
      </c>
      <c r="G92" s="7">
        <v>0</v>
      </c>
      <c r="H92" s="21">
        <v>0</v>
      </c>
      <c r="I92" s="3"/>
      <c r="J92" s="7" t="s">
        <v>68</v>
      </c>
      <c r="K92" s="7" t="s">
        <v>791</v>
      </c>
      <c r="L92" s="7" t="s">
        <v>483</v>
      </c>
      <c r="M92" s="3">
        <f ca="1">IF($B92="N/A", "N/A", VLOOKUP($B92, INDIRECT(Config!$B$1), HLOOKUP(M$1, INDIRECT(Config!$E$1), 2, FALSE),FALSE))</f>
        <v>0</v>
      </c>
      <c r="N92" s="3">
        <f ca="1">IF($B92="N/A", "N/A", VLOOKUP($B92, INDIRECT(Config!$B$1), HLOOKUP(N$1, INDIRECT(Config!$E$1), 2, FALSE),FALSE))</f>
        <v>0</v>
      </c>
      <c r="O92" s="3">
        <f ca="1">IF($B92="N/A", "N/A", VLOOKUP($B92, INDIRECT(Config!$B$1), HLOOKUP(O$1, INDIRECT(Config!$E$1), 2, FALSE),FALSE))</f>
        <v>0</v>
      </c>
    </row>
    <row r="93" spans="1:15" x14ac:dyDescent="0.35">
      <c r="A93" s="203" t="s">
        <v>36</v>
      </c>
      <c r="B93" s="7" t="s">
        <v>261</v>
      </c>
      <c r="C93" s="7">
        <v>0</v>
      </c>
      <c r="D93" s="7">
        <v>24</v>
      </c>
      <c r="E93" s="7" t="s">
        <v>262</v>
      </c>
      <c r="F93" s="131" t="s">
        <v>396</v>
      </c>
      <c r="G93" s="7">
        <v>0</v>
      </c>
      <c r="H93" s="21">
        <v>0</v>
      </c>
      <c r="I93" s="3" t="s">
        <v>18</v>
      </c>
      <c r="J93" s="7" t="s">
        <v>68</v>
      </c>
      <c r="K93" s="7" t="s">
        <v>782</v>
      </c>
      <c r="L93" s="7" t="s">
        <v>470</v>
      </c>
      <c r="M93" s="3">
        <f ca="1">IF($B93="N/A", "N/A", VLOOKUP($B93, INDIRECT(Config!$B$1), HLOOKUP(M$1, INDIRECT(Config!$E$1), 2, FALSE),FALSE))</f>
        <v>1</v>
      </c>
      <c r="N93" s="3">
        <f ca="1">IF($B93="N/A", "N/A", VLOOKUP($B93, INDIRECT(Config!$B$1), HLOOKUP(N$1, INDIRECT(Config!$E$1), 2, FALSE),FALSE))</f>
        <v>1</v>
      </c>
      <c r="O93" s="3">
        <f ca="1">IF($B93="N/A", "N/A", VLOOKUP($B93, INDIRECT(Config!$B$1), HLOOKUP(O$1, INDIRECT(Config!$E$1), 2, FALSE),FALSE))</f>
        <v>0</v>
      </c>
    </row>
    <row r="94" spans="1:15" x14ac:dyDescent="0.35">
      <c r="A94" s="208"/>
      <c r="B94" s="7" t="s">
        <v>261</v>
      </c>
      <c r="C94" s="7">
        <v>24</v>
      </c>
      <c r="D94" s="7">
        <v>5</v>
      </c>
      <c r="E94" s="7" t="s">
        <v>263</v>
      </c>
      <c r="F94" s="131" t="s">
        <v>396</v>
      </c>
      <c r="G94" s="7">
        <v>0</v>
      </c>
      <c r="H94" s="21">
        <v>0</v>
      </c>
      <c r="I94" s="3" t="s">
        <v>18</v>
      </c>
      <c r="J94" s="7" t="s">
        <v>68</v>
      </c>
      <c r="K94" s="7" t="s">
        <v>783</v>
      </c>
      <c r="L94" s="7" t="s">
        <v>471</v>
      </c>
      <c r="M94" s="3">
        <f ca="1">IF($B94="N/A", "N/A", VLOOKUP($B94, INDIRECT(Config!$B$1), HLOOKUP(M$1, INDIRECT(Config!$E$1), 2, FALSE),FALSE))</f>
        <v>1</v>
      </c>
      <c r="N94" s="3">
        <f ca="1">IF($B94="N/A", "N/A", VLOOKUP($B94, INDIRECT(Config!$B$1), HLOOKUP(N$1, INDIRECT(Config!$E$1), 2, FALSE),FALSE))</f>
        <v>1</v>
      </c>
      <c r="O94" s="3">
        <f ca="1">IF($B94="N/A", "N/A", VLOOKUP($B94, INDIRECT(Config!$B$1), HLOOKUP(O$1, INDIRECT(Config!$E$1), 2, FALSE),FALSE))</f>
        <v>0</v>
      </c>
    </row>
    <row r="95" spans="1:15" x14ac:dyDescent="0.35">
      <c r="A95" s="208"/>
      <c r="B95" s="7" t="s">
        <v>261</v>
      </c>
      <c r="C95" s="7">
        <v>29</v>
      </c>
      <c r="D95" s="7">
        <v>2</v>
      </c>
      <c r="E95" s="7" t="s">
        <v>264</v>
      </c>
      <c r="F95" s="131" t="s">
        <v>396</v>
      </c>
      <c r="G95" s="7">
        <v>0</v>
      </c>
      <c r="H95" s="21">
        <v>0</v>
      </c>
      <c r="I95" s="3" t="s">
        <v>18</v>
      </c>
      <c r="J95" s="7" t="s">
        <v>68</v>
      </c>
      <c r="K95" s="7" t="s">
        <v>784</v>
      </c>
      <c r="L95" s="7" t="s">
        <v>474</v>
      </c>
      <c r="M95" s="3">
        <f ca="1">IF($B95="N/A", "N/A", VLOOKUP($B95, INDIRECT(Config!$B$1), HLOOKUP(M$1, INDIRECT(Config!$E$1), 2, FALSE),FALSE))</f>
        <v>1</v>
      </c>
      <c r="N95" s="3">
        <f ca="1">IF($B95="N/A", "N/A", VLOOKUP($B95, INDIRECT(Config!$B$1), HLOOKUP(N$1, INDIRECT(Config!$E$1), 2, FALSE),FALSE))</f>
        <v>1</v>
      </c>
      <c r="O95" s="3">
        <f ca="1">IF($B95="N/A", "N/A", VLOOKUP($B95, INDIRECT(Config!$B$1), HLOOKUP(O$1, INDIRECT(Config!$E$1), 2, FALSE),FALSE))</f>
        <v>0</v>
      </c>
    </row>
    <row r="96" spans="1:15" x14ac:dyDescent="0.35">
      <c r="A96" s="202"/>
      <c r="B96" s="7" t="s">
        <v>261</v>
      </c>
      <c r="C96" s="7">
        <v>31</v>
      </c>
      <c r="D96" s="7">
        <v>1</v>
      </c>
      <c r="E96" s="7" t="s">
        <v>265</v>
      </c>
      <c r="F96" s="131" t="s">
        <v>396</v>
      </c>
      <c r="G96" s="7">
        <v>0</v>
      </c>
      <c r="H96" s="21">
        <v>0</v>
      </c>
      <c r="I96" s="3" t="s">
        <v>18</v>
      </c>
      <c r="J96" s="7" t="s">
        <v>68</v>
      </c>
      <c r="K96" s="7" t="s">
        <v>785</v>
      </c>
      <c r="L96" s="7" t="s">
        <v>473</v>
      </c>
      <c r="M96" s="3">
        <f ca="1">IF($B96="N/A", "N/A", VLOOKUP($B96, INDIRECT(Config!$B$1), HLOOKUP(M$1, INDIRECT(Config!$E$1), 2, FALSE),FALSE))</f>
        <v>1</v>
      </c>
      <c r="N96" s="3">
        <f ca="1">IF($B96="N/A", "N/A", VLOOKUP($B96, INDIRECT(Config!$B$1), HLOOKUP(N$1, INDIRECT(Config!$E$1), 2, FALSE),FALSE))</f>
        <v>1</v>
      </c>
      <c r="O96" s="3">
        <f ca="1">IF($B96="N/A", "N/A", VLOOKUP($B96, INDIRECT(Config!$B$1), HLOOKUP(O$1, INDIRECT(Config!$E$1), 2, FALSE),FALSE))</f>
        <v>0</v>
      </c>
    </row>
    <row r="97" spans="1:15" x14ac:dyDescent="0.35">
      <c r="A97" s="188" t="s">
        <v>38</v>
      </c>
      <c r="B97" s="7" t="s">
        <v>221</v>
      </c>
      <c r="C97" s="7">
        <v>0</v>
      </c>
      <c r="D97" s="7">
        <v>8</v>
      </c>
      <c r="E97" s="7" t="s">
        <v>266</v>
      </c>
      <c r="F97" s="131" t="s">
        <v>396</v>
      </c>
      <c r="G97" s="7">
        <v>0</v>
      </c>
      <c r="H97" s="21">
        <v>0</v>
      </c>
      <c r="I97" s="3"/>
      <c r="J97" s="7" t="s">
        <v>131</v>
      </c>
      <c r="K97" s="7" t="s">
        <v>786</v>
      </c>
      <c r="L97" s="7" t="s">
        <v>475</v>
      </c>
      <c r="M97" s="3">
        <f ca="1">IF($B97="N/A", "N/A", VLOOKUP($B97, INDIRECT(Config!$B$1), HLOOKUP(M$1, INDIRECT(Config!$E$1), 2, FALSE),FALSE))</f>
        <v>0</v>
      </c>
      <c r="N97" s="3">
        <f ca="1">IF($B97="N/A", "N/A", VLOOKUP($B97, INDIRECT(Config!$B$1), HLOOKUP(N$1, INDIRECT(Config!$E$1), 2, FALSE),FALSE))</f>
        <v>0</v>
      </c>
      <c r="O97" s="3">
        <f ca="1">IF($B97="N/A", "N/A", VLOOKUP($B97, INDIRECT(Config!$B$1), HLOOKUP(O$1, INDIRECT(Config!$E$1), 2, FALSE),FALSE))</f>
        <v>0</v>
      </c>
    </row>
    <row r="98" spans="1:15" x14ac:dyDescent="0.35">
      <c r="A98" s="188"/>
      <c r="B98" s="7" t="s">
        <v>221</v>
      </c>
      <c r="C98" s="7">
        <v>8</v>
      </c>
      <c r="D98" s="7">
        <v>8</v>
      </c>
      <c r="E98" s="7" t="s">
        <v>267</v>
      </c>
      <c r="F98" s="131" t="s">
        <v>396</v>
      </c>
      <c r="G98" s="7">
        <v>0</v>
      </c>
      <c r="H98" s="21">
        <v>0</v>
      </c>
      <c r="I98" s="3"/>
      <c r="J98" s="7" t="s">
        <v>131</v>
      </c>
      <c r="K98" s="7" t="s">
        <v>786</v>
      </c>
      <c r="L98" s="7" t="s">
        <v>476</v>
      </c>
      <c r="M98" s="3">
        <f ca="1">IF($B98="N/A", "N/A", VLOOKUP($B98, INDIRECT(Config!$B$1), HLOOKUP(M$1, INDIRECT(Config!$E$1), 2, FALSE),FALSE))</f>
        <v>0</v>
      </c>
      <c r="N98" s="3">
        <f ca="1">IF($B98="N/A", "N/A", VLOOKUP($B98, INDIRECT(Config!$B$1), HLOOKUP(N$1, INDIRECT(Config!$E$1), 2, FALSE),FALSE))</f>
        <v>0</v>
      </c>
      <c r="O98" s="3">
        <f ca="1">IF($B98="N/A", "N/A", VLOOKUP($B98, INDIRECT(Config!$B$1), HLOOKUP(O$1, INDIRECT(Config!$E$1), 2, FALSE),FALSE))</f>
        <v>0</v>
      </c>
    </row>
    <row r="99" spans="1:15" x14ac:dyDescent="0.35">
      <c r="A99" s="208"/>
      <c r="B99" s="5" t="s">
        <v>221</v>
      </c>
      <c r="C99" s="5">
        <v>16</v>
      </c>
      <c r="D99" s="5">
        <v>8</v>
      </c>
      <c r="E99" s="5" t="s">
        <v>268</v>
      </c>
      <c r="F99" s="131" t="s">
        <v>396</v>
      </c>
      <c r="G99" s="5">
        <v>0</v>
      </c>
      <c r="H99" s="23">
        <v>0</v>
      </c>
      <c r="I99" s="15"/>
      <c r="J99" s="5" t="s">
        <v>68</v>
      </c>
      <c r="K99" s="5" t="s">
        <v>786</v>
      </c>
      <c r="L99" s="5" t="s">
        <v>477</v>
      </c>
      <c r="M99" s="3">
        <f ca="1">IF($B99="N/A", "N/A", VLOOKUP($B99, INDIRECT(Config!$B$1), HLOOKUP(M$1, INDIRECT(Config!$E$1), 2, FALSE),FALSE))</f>
        <v>0</v>
      </c>
      <c r="N99" s="3">
        <f ca="1">IF($B99="N/A", "N/A", VLOOKUP($B99, INDIRECT(Config!$B$1), HLOOKUP(N$1, INDIRECT(Config!$E$1), 2, FALSE),FALSE))</f>
        <v>0</v>
      </c>
      <c r="O99" s="3">
        <f ca="1">IF($B99="N/A", "N/A", VLOOKUP($B99, INDIRECT(Config!$B$1), HLOOKUP(O$1, INDIRECT(Config!$E$1), 2, FALSE),FALSE))</f>
        <v>0</v>
      </c>
    </row>
    <row r="100" spans="1:15" x14ac:dyDescent="0.35">
      <c r="A100" s="202"/>
      <c r="B100" s="7" t="s">
        <v>221</v>
      </c>
      <c r="C100" s="7">
        <v>24</v>
      </c>
      <c r="D100" s="7">
        <v>8</v>
      </c>
      <c r="E100" s="7" t="s">
        <v>269</v>
      </c>
      <c r="F100" s="131" t="s">
        <v>396</v>
      </c>
      <c r="G100" s="7">
        <v>0</v>
      </c>
      <c r="H100" s="21">
        <v>0</v>
      </c>
      <c r="I100" s="3"/>
      <c r="J100" s="7" t="s">
        <v>68</v>
      </c>
      <c r="K100" s="7" t="s">
        <v>786</v>
      </c>
      <c r="L100" s="7" t="s">
        <v>478</v>
      </c>
      <c r="M100" s="3">
        <f ca="1">IF($B100="N/A", "N/A", VLOOKUP($B100, INDIRECT(Config!$B$1), HLOOKUP(M$1, INDIRECT(Config!$E$1), 2, FALSE),FALSE))</f>
        <v>0</v>
      </c>
      <c r="N100" s="3">
        <f ca="1">IF($B100="N/A", "N/A", VLOOKUP($B100, INDIRECT(Config!$B$1), HLOOKUP(N$1, INDIRECT(Config!$E$1), 2, FALSE),FALSE))</f>
        <v>0</v>
      </c>
      <c r="O100" s="3">
        <f ca="1">IF($B100="N/A", "N/A", VLOOKUP($B100, INDIRECT(Config!$B$1), HLOOKUP(O$1, INDIRECT(Config!$E$1), 2, FALSE),FALSE))</f>
        <v>0</v>
      </c>
    </row>
    <row r="101" spans="1:15" x14ac:dyDescent="0.35">
      <c r="A101" s="203" t="s">
        <v>40</v>
      </c>
      <c r="B101" s="4" t="s">
        <v>626</v>
      </c>
      <c r="C101" s="7">
        <v>0</v>
      </c>
      <c r="D101" s="7">
        <v>16</v>
      </c>
      <c r="E101" s="7" t="s">
        <v>270</v>
      </c>
      <c r="F101" s="209"/>
      <c r="G101" s="2">
        <v>0</v>
      </c>
      <c r="H101" s="19">
        <v>0</v>
      </c>
      <c r="I101" s="147" t="s">
        <v>18</v>
      </c>
      <c r="J101" s="7" t="s">
        <v>68</v>
      </c>
      <c r="K101" s="7" t="s">
        <v>778</v>
      </c>
      <c r="L101" s="7" t="s">
        <v>484</v>
      </c>
      <c r="M101" s="4">
        <f t="shared" ref="M101:O104" si="6">IF($B101="N/A", "N/A", 1)</f>
        <v>1</v>
      </c>
      <c r="N101" s="4">
        <f t="shared" si="6"/>
        <v>1</v>
      </c>
      <c r="O101" s="4">
        <f t="shared" si="6"/>
        <v>1</v>
      </c>
    </row>
    <row r="102" spans="1:15" x14ac:dyDescent="0.35">
      <c r="A102" s="208"/>
      <c r="B102" s="4" t="s">
        <v>626</v>
      </c>
      <c r="C102" s="7">
        <v>16</v>
      </c>
      <c r="D102" s="7">
        <v>8</v>
      </c>
      <c r="E102" s="7" t="s">
        <v>271</v>
      </c>
      <c r="F102" s="210"/>
      <c r="G102" s="2">
        <v>0</v>
      </c>
      <c r="H102" s="19">
        <v>0</v>
      </c>
      <c r="I102" s="147" t="s">
        <v>18</v>
      </c>
      <c r="J102" s="7" t="s">
        <v>68</v>
      </c>
      <c r="K102" s="7" t="s">
        <v>779</v>
      </c>
      <c r="L102" s="7" t="s">
        <v>485</v>
      </c>
      <c r="M102" s="4">
        <f t="shared" si="6"/>
        <v>1</v>
      </c>
      <c r="N102" s="4">
        <f t="shared" si="6"/>
        <v>1</v>
      </c>
      <c r="O102" s="4">
        <f t="shared" si="6"/>
        <v>1</v>
      </c>
    </row>
    <row r="103" spans="1:15" x14ac:dyDescent="0.35">
      <c r="A103" s="208"/>
      <c r="B103" s="4" t="s">
        <v>626</v>
      </c>
      <c r="C103" s="7">
        <v>24</v>
      </c>
      <c r="D103" s="7">
        <v>4</v>
      </c>
      <c r="E103" s="7" t="s">
        <v>272</v>
      </c>
      <c r="F103" s="210"/>
      <c r="G103" s="2">
        <v>0</v>
      </c>
      <c r="H103" s="19">
        <f>10</f>
        <v>10</v>
      </c>
      <c r="I103" s="147" t="s">
        <v>18</v>
      </c>
      <c r="J103" s="7" t="s">
        <v>68</v>
      </c>
      <c r="K103" s="7" t="s">
        <v>780</v>
      </c>
      <c r="L103" s="7" t="s">
        <v>486</v>
      </c>
      <c r="M103" s="4">
        <f t="shared" si="6"/>
        <v>1</v>
      </c>
      <c r="N103" s="4">
        <f t="shared" si="6"/>
        <v>1</v>
      </c>
      <c r="O103" s="4">
        <f t="shared" si="6"/>
        <v>1</v>
      </c>
    </row>
    <row r="104" spans="1:15" x14ac:dyDescent="0.35">
      <c r="A104" s="202"/>
      <c r="B104" s="4" t="s">
        <v>626</v>
      </c>
      <c r="C104" s="7">
        <v>28</v>
      </c>
      <c r="D104" s="7">
        <v>4</v>
      </c>
      <c r="E104" s="7" t="s">
        <v>273</v>
      </c>
      <c r="F104" s="211"/>
      <c r="G104" s="2">
        <v>0</v>
      </c>
      <c r="H104" s="19">
        <v>0</v>
      </c>
      <c r="I104" s="147" t="s">
        <v>18</v>
      </c>
      <c r="J104" s="7" t="s">
        <v>68</v>
      </c>
      <c r="K104" s="7" t="s">
        <v>781</v>
      </c>
      <c r="L104" s="7" t="s">
        <v>485</v>
      </c>
      <c r="M104" s="4">
        <f t="shared" si="6"/>
        <v>1</v>
      </c>
      <c r="N104" s="4">
        <f t="shared" si="6"/>
        <v>1</v>
      </c>
      <c r="O104" s="4">
        <f t="shared" si="6"/>
        <v>1</v>
      </c>
    </row>
    <row r="105" spans="1:15" x14ac:dyDescent="0.35">
      <c r="A105" s="203" t="s">
        <v>54</v>
      </c>
      <c r="B105" s="17" t="s">
        <v>261</v>
      </c>
      <c r="C105" s="17">
        <v>0</v>
      </c>
      <c r="D105" s="17">
        <v>1</v>
      </c>
      <c r="E105" s="17" t="s">
        <v>560</v>
      </c>
      <c r="F105" s="131" t="s">
        <v>396</v>
      </c>
      <c r="G105" s="17">
        <v>0</v>
      </c>
      <c r="H105" s="17">
        <v>0</v>
      </c>
      <c r="I105" s="3" t="s">
        <v>18</v>
      </c>
      <c r="J105" s="7" t="s">
        <v>68</v>
      </c>
      <c r="K105" s="7" t="s">
        <v>767</v>
      </c>
      <c r="L105" s="7" t="s">
        <v>547</v>
      </c>
      <c r="M105" s="3">
        <f ca="1">IF($B105="N/A", "N/A", VLOOKUP($B105, INDIRECT(Config!$B$1), HLOOKUP(M$1, INDIRECT(Config!$E$1), 2, FALSE),FALSE))</f>
        <v>1</v>
      </c>
      <c r="N105" s="3">
        <f ca="1">IF($B105="N/A", "N/A", VLOOKUP($B105, INDIRECT(Config!$B$1), HLOOKUP(N$1, INDIRECT(Config!$E$1), 2, FALSE),FALSE))</f>
        <v>1</v>
      </c>
      <c r="O105" s="3">
        <f ca="1">IF($B105="N/A", "N/A", VLOOKUP($B105, INDIRECT(Config!$B$1), HLOOKUP(O$1, INDIRECT(Config!$E$1), 2, FALSE),FALSE))</f>
        <v>0</v>
      </c>
    </row>
    <row r="106" spans="1:15" s="16" customFormat="1" x14ac:dyDescent="0.35">
      <c r="A106" s="208"/>
      <c r="B106" s="17" t="s">
        <v>261</v>
      </c>
      <c r="C106" s="17">
        <v>1</v>
      </c>
      <c r="D106" s="17">
        <v>1</v>
      </c>
      <c r="E106" s="17" t="s">
        <v>561</v>
      </c>
      <c r="F106" s="131" t="s">
        <v>396</v>
      </c>
      <c r="G106" s="17">
        <v>0</v>
      </c>
      <c r="H106" s="17">
        <v>0</v>
      </c>
      <c r="I106" s="3" t="s">
        <v>18</v>
      </c>
      <c r="J106" s="7" t="s">
        <v>68</v>
      </c>
      <c r="K106" s="7" t="s">
        <v>768</v>
      </c>
      <c r="L106" s="7" t="s">
        <v>548</v>
      </c>
      <c r="M106" s="3">
        <f ca="1">IF($B106="N/A", "N/A", VLOOKUP($B106, INDIRECT(Config!$B$1), HLOOKUP(M$1, INDIRECT(Config!$E$1), 2, FALSE),FALSE))</f>
        <v>1</v>
      </c>
      <c r="N106" s="3">
        <f ca="1">IF($B106="N/A", "N/A", VLOOKUP($B106, INDIRECT(Config!$B$1), HLOOKUP(N$1, INDIRECT(Config!$E$1), 2, FALSE),FALSE))</f>
        <v>1</v>
      </c>
      <c r="O106" s="3">
        <f ca="1">IF($B106="N/A", "N/A", VLOOKUP($B106, INDIRECT(Config!$B$1), HLOOKUP(O$1, INDIRECT(Config!$E$1), 2, FALSE),FALSE))</f>
        <v>0</v>
      </c>
    </row>
    <row r="107" spans="1:15" s="16" customFormat="1" x14ac:dyDescent="0.35">
      <c r="A107" s="202"/>
      <c r="B107" s="17" t="s">
        <v>261</v>
      </c>
      <c r="C107" s="17">
        <v>2</v>
      </c>
      <c r="D107" s="17">
        <v>30</v>
      </c>
      <c r="E107" s="17" t="s">
        <v>678</v>
      </c>
      <c r="F107" s="131" t="s">
        <v>396</v>
      </c>
      <c r="G107" s="17">
        <v>0</v>
      </c>
      <c r="H107" s="17">
        <v>0</v>
      </c>
      <c r="I107" s="3" t="s">
        <v>18</v>
      </c>
      <c r="J107" s="7" t="s">
        <v>68</v>
      </c>
      <c r="K107" s="7" t="s">
        <v>769</v>
      </c>
      <c r="L107" s="7" t="s">
        <v>548</v>
      </c>
      <c r="M107" s="3">
        <f ca="1">IF($B107="N/A", "N/A", VLOOKUP($B107, INDIRECT(Config!$B$1), HLOOKUP(M$1, INDIRECT(Config!$E$1), 2, FALSE),FALSE))</f>
        <v>1</v>
      </c>
      <c r="N107" s="3">
        <f ca="1">IF($B107="N/A", "N/A", VLOOKUP($B107, INDIRECT(Config!$B$1), HLOOKUP(N$1, INDIRECT(Config!$E$1), 2, FALSE),FALSE))</f>
        <v>1</v>
      </c>
      <c r="O107" s="3">
        <f ca="1">IF($B107="N/A", "N/A", VLOOKUP($B107, INDIRECT(Config!$B$1), HLOOKUP(O$1, INDIRECT(Config!$E$1), 2, FALSE),FALSE))</f>
        <v>0</v>
      </c>
    </row>
    <row r="108" spans="1:15" s="16" customFormat="1" x14ac:dyDescent="0.35">
      <c r="A108" s="203" t="s">
        <v>365</v>
      </c>
      <c r="B108" s="17" t="s">
        <v>261</v>
      </c>
      <c r="C108" s="17">
        <v>0</v>
      </c>
      <c r="D108" s="17">
        <v>1</v>
      </c>
      <c r="E108" s="17" t="s">
        <v>562</v>
      </c>
      <c r="F108" s="131" t="s">
        <v>396</v>
      </c>
      <c r="G108" s="17">
        <v>0</v>
      </c>
      <c r="H108" s="17">
        <v>0</v>
      </c>
      <c r="I108" s="3" t="s">
        <v>18</v>
      </c>
      <c r="J108" s="7" t="s">
        <v>68</v>
      </c>
      <c r="K108" s="7" t="s">
        <v>770</v>
      </c>
      <c r="L108" s="7" t="s">
        <v>559</v>
      </c>
      <c r="M108" s="3">
        <f ca="1">IF($B108="N/A", "N/A", VLOOKUP($B108, INDIRECT(Config!$B$1), HLOOKUP(M$1, INDIRECT(Config!$E$1), 2, FALSE),FALSE))</f>
        <v>1</v>
      </c>
      <c r="N108" s="3">
        <f ca="1">IF($B108="N/A", "N/A", VLOOKUP($B108, INDIRECT(Config!$B$1), HLOOKUP(N$1, INDIRECT(Config!$E$1), 2, FALSE),FALSE))</f>
        <v>1</v>
      </c>
      <c r="O108" s="3">
        <f ca="1">IF($B108="N/A", "N/A", VLOOKUP($B108, INDIRECT(Config!$B$1), HLOOKUP(O$1, INDIRECT(Config!$E$1), 2, FALSE),FALSE))</f>
        <v>0</v>
      </c>
    </row>
    <row r="109" spans="1:15" x14ac:dyDescent="0.35">
      <c r="A109" s="202"/>
      <c r="B109" s="17" t="s">
        <v>261</v>
      </c>
      <c r="C109" s="17">
        <v>1</v>
      </c>
      <c r="D109" s="17">
        <v>31</v>
      </c>
      <c r="E109" s="17" t="s">
        <v>677</v>
      </c>
      <c r="F109" s="131" t="s">
        <v>396</v>
      </c>
      <c r="G109" s="17">
        <v>0</v>
      </c>
      <c r="H109" s="17">
        <v>0</v>
      </c>
      <c r="I109" s="3" t="s">
        <v>18</v>
      </c>
      <c r="J109" s="7" t="s">
        <v>68</v>
      </c>
      <c r="K109" s="7" t="s">
        <v>771</v>
      </c>
      <c r="L109" s="7" t="s">
        <v>559</v>
      </c>
      <c r="M109" s="3">
        <f ca="1">IF($B109="N/A", "N/A", VLOOKUP($B109, INDIRECT(Config!$B$1), HLOOKUP(M$1, INDIRECT(Config!$E$1), 2, FALSE),FALSE))</f>
        <v>1</v>
      </c>
      <c r="N109" s="3">
        <f ca="1">IF($B109="N/A", "N/A", VLOOKUP($B109, INDIRECT(Config!$B$1), HLOOKUP(N$1, INDIRECT(Config!$E$1), 2, FALSE),FALSE))</f>
        <v>1</v>
      </c>
      <c r="O109" s="3">
        <f ca="1">IF($B109="N/A", "N/A", VLOOKUP($B109, INDIRECT(Config!$B$1), HLOOKUP(O$1, INDIRECT(Config!$E$1), 2, FALSE),FALSE))</f>
        <v>0</v>
      </c>
    </row>
    <row r="110" spans="1:15" x14ac:dyDescent="0.35">
      <c r="A110" s="203" t="s">
        <v>366</v>
      </c>
      <c r="B110" s="17" t="s">
        <v>367</v>
      </c>
      <c r="C110" s="17">
        <v>0</v>
      </c>
      <c r="D110" s="17">
        <v>1</v>
      </c>
      <c r="E110" s="17" t="s">
        <v>560</v>
      </c>
      <c r="F110" s="131" t="s">
        <v>396</v>
      </c>
      <c r="G110" s="17">
        <v>0</v>
      </c>
      <c r="H110" s="17">
        <v>0</v>
      </c>
      <c r="I110" s="3" t="s">
        <v>18</v>
      </c>
      <c r="J110" s="7" t="s">
        <v>68</v>
      </c>
      <c r="K110" s="7" t="s">
        <v>772</v>
      </c>
      <c r="L110" s="7" t="s">
        <v>547</v>
      </c>
      <c r="M110" s="3">
        <f ca="1">IF(VLOOKUP("PARAM_INT_IFP_TRIPLE_RDD_DIS", INDIRECT(Config!$B$1), HLOOKUP(M$1, INDIRECT(Config!$E$1), 2, FALSE),FALSE)=0, VLOOKUP("TRC_PRESENT", INDIRECT(Config!$B$1), HLOOKUP(M$1, INDIRECT(Config!$E$1), 2, FALSE),FALSE), 0)</f>
        <v>0</v>
      </c>
      <c r="N110" s="3">
        <f ca="1">IF(VLOOKUP("PARAM_INT_IFP_TRIPLE_RDD_DIS", INDIRECT(Config!$B$1), HLOOKUP(N$1, INDIRECT(Config!$E$1), 2, FALSE),FALSE)=0, VLOOKUP("TRC_PRESENT", INDIRECT(Config!$B$1), HLOOKUP(N$1, INDIRECT(Config!$E$1), 2, FALSE),FALSE), 0)</f>
        <v>0</v>
      </c>
      <c r="O110" s="3">
        <f ca="1">IF(VLOOKUP("PARAM_INT_IFP_TRIPLE_RDD_DIS", INDIRECT(Config!$B$1), HLOOKUP(O$1, INDIRECT(Config!$E$1), 2, FALSE),FALSE)=0, VLOOKUP("TRC_PRESENT", INDIRECT(Config!$B$1), HLOOKUP(O$1, INDIRECT(Config!$E$1), 2, FALSE),FALSE), 0)</f>
        <v>0</v>
      </c>
    </row>
    <row r="111" spans="1:15" s="16" customFormat="1" x14ac:dyDescent="0.35">
      <c r="A111" s="208"/>
      <c r="B111" s="17" t="s">
        <v>367</v>
      </c>
      <c r="C111" s="17">
        <v>1</v>
      </c>
      <c r="D111" s="17">
        <v>1</v>
      </c>
      <c r="E111" s="17" t="s">
        <v>561</v>
      </c>
      <c r="F111" s="131" t="s">
        <v>396</v>
      </c>
      <c r="G111" s="17">
        <v>0</v>
      </c>
      <c r="H111" s="17">
        <v>0</v>
      </c>
      <c r="I111" s="3" t="s">
        <v>18</v>
      </c>
      <c r="J111" s="7" t="s">
        <v>68</v>
      </c>
      <c r="K111" s="7" t="s">
        <v>773</v>
      </c>
      <c r="L111" s="7" t="s">
        <v>548</v>
      </c>
      <c r="M111" s="3">
        <f ca="1">IF(VLOOKUP("PARAM_INT_IFP_TRIPLE_RDD_DIS", INDIRECT(Config!$B$1), HLOOKUP(M$1, INDIRECT(Config!$E$1), 2, FALSE),FALSE)=0, VLOOKUP("TRC_PRESENT", INDIRECT(Config!$B$1), HLOOKUP(M$1, INDIRECT(Config!$E$1), 2, FALSE),FALSE), 0)</f>
        <v>0</v>
      </c>
      <c r="N111" s="3">
        <f ca="1">IF(VLOOKUP("PARAM_INT_IFP_TRIPLE_RDD_DIS", INDIRECT(Config!$B$1), HLOOKUP(N$1, INDIRECT(Config!$E$1), 2, FALSE),FALSE)=0, VLOOKUP("TRC_PRESENT", INDIRECT(Config!$B$1), HLOOKUP(N$1, INDIRECT(Config!$E$1), 2, FALSE),FALSE), 0)</f>
        <v>0</v>
      </c>
      <c r="O111" s="3">
        <f ca="1">IF(VLOOKUP("PARAM_INT_IFP_TRIPLE_RDD_DIS", INDIRECT(Config!$B$1), HLOOKUP(O$1, INDIRECT(Config!$E$1), 2, FALSE),FALSE)=0, VLOOKUP("TRC_PRESENT", INDIRECT(Config!$B$1), HLOOKUP(O$1, INDIRECT(Config!$E$1), 2, FALSE),FALSE), 0)</f>
        <v>0</v>
      </c>
    </row>
    <row r="112" spans="1:15" s="16" customFormat="1" x14ac:dyDescent="0.35">
      <c r="A112" s="202"/>
      <c r="B112" s="17" t="s">
        <v>367</v>
      </c>
      <c r="C112" s="17">
        <v>2</v>
      </c>
      <c r="D112" s="17">
        <v>30</v>
      </c>
      <c r="E112" s="17" t="s">
        <v>678</v>
      </c>
      <c r="F112" s="131" t="s">
        <v>396</v>
      </c>
      <c r="G112" s="17">
        <v>0</v>
      </c>
      <c r="H112" s="17">
        <v>0</v>
      </c>
      <c r="I112" s="3" t="s">
        <v>18</v>
      </c>
      <c r="J112" s="7" t="s">
        <v>68</v>
      </c>
      <c r="K112" s="7" t="s">
        <v>769</v>
      </c>
      <c r="L112" s="7" t="s">
        <v>548</v>
      </c>
      <c r="M112" s="3">
        <f ca="1">IF(VLOOKUP("PARAM_INT_IFP_TRIPLE_RDD_DIS", INDIRECT(Config!$B$1), HLOOKUP(M$1, INDIRECT(Config!$E$1), 2, FALSE),FALSE)=0, VLOOKUP("TRC_PRESENT", INDIRECT(Config!$B$1), HLOOKUP(M$1, INDIRECT(Config!$E$1), 2, FALSE),FALSE), 0)</f>
        <v>0</v>
      </c>
      <c r="N112" s="3">
        <f ca="1">IF(VLOOKUP("PARAM_INT_IFP_TRIPLE_RDD_DIS", INDIRECT(Config!$B$1), HLOOKUP(N$1, INDIRECT(Config!$E$1), 2, FALSE),FALSE)=0, VLOOKUP("TRC_PRESENT", INDIRECT(Config!$B$1), HLOOKUP(N$1, INDIRECT(Config!$E$1), 2, FALSE),FALSE), 0)</f>
        <v>0</v>
      </c>
      <c r="O112" s="3">
        <f ca="1">IF(VLOOKUP("PARAM_INT_IFP_TRIPLE_RDD_DIS", INDIRECT(Config!$B$1), HLOOKUP(O$1, INDIRECT(Config!$E$1), 2, FALSE),FALSE)=0, VLOOKUP("TRC_PRESENT", INDIRECT(Config!$B$1), HLOOKUP(O$1, INDIRECT(Config!$E$1), 2, FALSE),FALSE), 0)</f>
        <v>0</v>
      </c>
    </row>
    <row r="113" spans="1:15" s="16" customFormat="1" x14ac:dyDescent="0.35">
      <c r="A113" s="203" t="s">
        <v>368</v>
      </c>
      <c r="B113" s="17" t="s">
        <v>367</v>
      </c>
      <c r="C113" s="17">
        <v>0</v>
      </c>
      <c r="D113" s="17">
        <v>1</v>
      </c>
      <c r="E113" s="17" t="s">
        <v>562</v>
      </c>
      <c r="F113" s="131" t="s">
        <v>396</v>
      </c>
      <c r="G113" s="17">
        <v>0</v>
      </c>
      <c r="H113" s="17">
        <v>0</v>
      </c>
      <c r="I113" s="3" t="s">
        <v>18</v>
      </c>
      <c r="J113" s="7" t="s">
        <v>68</v>
      </c>
      <c r="K113" s="7" t="s">
        <v>774</v>
      </c>
      <c r="L113" s="7" t="s">
        <v>559</v>
      </c>
      <c r="M113" s="3">
        <f ca="1">IF(VLOOKUP("PARAM_INT_IFP_TRIPLE_RDD_DIS", INDIRECT(Config!$B$1), HLOOKUP(M$1, INDIRECT(Config!$E$1), 2, FALSE),FALSE)=0, VLOOKUP("TRC_PRESENT", INDIRECT(Config!$B$1), HLOOKUP(M$1, INDIRECT(Config!$E$1), 2, FALSE),FALSE), 0)</f>
        <v>0</v>
      </c>
      <c r="N113" s="3">
        <f ca="1">IF(VLOOKUP("PARAM_INT_IFP_TRIPLE_RDD_DIS", INDIRECT(Config!$B$1), HLOOKUP(N$1, INDIRECT(Config!$E$1), 2, FALSE),FALSE)=0, VLOOKUP("TRC_PRESENT", INDIRECT(Config!$B$1), HLOOKUP(N$1, INDIRECT(Config!$E$1), 2, FALSE),FALSE), 0)</f>
        <v>0</v>
      </c>
      <c r="O113" s="3">
        <f ca="1">IF(VLOOKUP("PARAM_INT_IFP_TRIPLE_RDD_DIS", INDIRECT(Config!$B$1), HLOOKUP(O$1, INDIRECT(Config!$E$1), 2, FALSE),FALSE)=0, VLOOKUP("TRC_PRESENT", INDIRECT(Config!$B$1), HLOOKUP(O$1, INDIRECT(Config!$E$1), 2, FALSE),FALSE), 0)</f>
        <v>0</v>
      </c>
    </row>
    <row r="114" spans="1:15" x14ac:dyDescent="0.35">
      <c r="A114" s="202"/>
      <c r="B114" s="17" t="s">
        <v>367</v>
      </c>
      <c r="C114" s="17">
        <v>1</v>
      </c>
      <c r="D114" s="17">
        <v>31</v>
      </c>
      <c r="E114" s="17" t="s">
        <v>677</v>
      </c>
      <c r="F114" s="131" t="s">
        <v>396</v>
      </c>
      <c r="G114" s="17">
        <v>0</v>
      </c>
      <c r="H114" s="17">
        <v>0</v>
      </c>
      <c r="I114" s="3" t="s">
        <v>18</v>
      </c>
      <c r="J114" s="7" t="s">
        <v>68</v>
      </c>
      <c r="K114" s="7" t="s">
        <v>771</v>
      </c>
      <c r="L114" s="7" t="s">
        <v>559</v>
      </c>
      <c r="M114" s="3">
        <f ca="1">IF(VLOOKUP("PARAM_INT_IFP_TRIPLE_RDD_DIS", INDIRECT(Config!$B$1), HLOOKUP(M$1, INDIRECT(Config!$E$1), 2, FALSE),FALSE)=0, VLOOKUP("TRC_PRESENT", INDIRECT(Config!$B$1), HLOOKUP(M$1, INDIRECT(Config!$E$1), 2, FALSE),FALSE), 0)</f>
        <v>0</v>
      </c>
      <c r="N114" s="3">
        <f ca="1">IF(VLOOKUP("PARAM_INT_IFP_TRIPLE_RDD_DIS", INDIRECT(Config!$B$1), HLOOKUP(N$1, INDIRECT(Config!$E$1), 2, FALSE),FALSE)=0, VLOOKUP("TRC_PRESENT", INDIRECT(Config!$B$1), HLOOKUP(N$1, INDIRECT(Config!$E$1), 2, FALSE),FALSE), 0)</f>
        <v>0</v>
      </c>
      <c r="O114" s="3">
        <f ca="1">IF(VLOOKUP("PARAM_INT_IFP_TRIPLE_RDD_DIS", INDIRECT(Config!$B$1), HLOOKUP(O$1, INDIRECT(Config!$E$1), 2, FALSE),FALSE)=0, VLOOKUP("TRC_PRESENT", INDIRECT(Config!$B$1), HLOOKUP(O$1, INDIRECT(Config!$E$1), 2, FALSE),FALSE), 0)</f>
        <v>0</v>
      </c>
    </row>
    <row r="115" spans="1:15" x14ac:dyDescent="0.35">
      <c r="A115" s="203" t="s">
        <v>369</v>
      </c>
      <c r="B115" s="17" t="s">
        <v>367</v>
      </c>
      <c r="C115" s="17">
        <v>0</v>
      </c>
      <c r="D115" s="17">
        <v>1</v>
      </c>
      <c r="E115" s="17" t="s">
        <v>560</v>
      </c>
      <c r="F115" s="131" t="s">
        <v>396</v>
      </c>
      <c r="G115" s="17">
        <v>0</v>
      </c>
      <c r="H115" s="17">
        <v>0</v>
      </c>
      <c r="I115" s="3" t="s">
        <v>18</v>
      </c>
      <c r="J115" s="7" t="s">
        <v>68</v>
      </c>
      <c r="K115" s="7" t="s">
        <v>775</v>
      </c>
      <c r="L115" s="7" t="s">
        <v>547</v>
      </c>
      <c r="M115" s="3">
        <f ca="1">IF(VLOOKUP("PARAM_INT_IFP_TRIPLE_RDD_DIS", INDIRECT(Config!$B$1), HLOOKUP(M$1, INDIRECT(Config!$E$1), 2, FALSE),FALSE)=0, VLOOKUP("TRC_PRESENT", INDIRECT(Config!$B$1), HLOOKUP(M$1, INDIRECT(Config!$E$1), 2, FALSE),FALSE), 0)</f>
        <v>0</v>
      </c>
      <c r="N115" s="3">
        <f ca="1">IF(VLOOKUP("PARAM_INT_IFP_TRIPLE_RDD_DIS", INDIRECT(Config!$B$1), HLOOKUP(N$1, INDIRECT(Config!$E$1), 2, FALSE),FALSE)=0, VLOOKUP("TRC_PRESENT", INDIRECT(Config!$B$1), HLOOKUP(N$1, INDIRECT(Config!$E$1), 2, FALSE),FALSE), 0)</f>
        <v>0</v>
      </c>
      <c r="O115" s="3">
        <f ca="1">IF(VLOOKUP("PARAM_INT_IFP_TRIPLE_RDD_DIS", INDIRECT(Config!$B$1), HLOOKUP(O$1, INDIRECT(Config!$E$1), 2, FALSE),FALSE)=0, VLOOKUP("TRC_PRESENT", INDIRECT(Config!$B$1), HLOOKUP(O$1, INDIRECT(Config!$E$1), 2, FALSE),FALSE), 0)</f>
        <v>0</v>
      </c>
    </row>
    <row r="116" spans="1:15" s="16" customFormat="1" x14ac:dyDescent="0.35">
      <c r="A116" s="208"/>
      <c r="B116" s="17" t="s">
        <v>367</v>
      </c>
      <c r="C116" s="17">
        <v>1</v>
      </c>
      <c r="D116" s="17">
        <v>1</v>
      </c>
      <c r="E116" s="17" t="s">
        <v>561</v>
      </c>
      <c r="F116" s="131" t="s">
        <v>396</v>
      </c>
      <c r="G116" s="17">
        <v>0</v>
      </c>
      <c r="H116" s="17">
        <v>0</v>
      </c>
      <c r="I116" s="3" t="s">
        <v>18</v>
      </c>
      <c r="J116" s="7" t="s">
        <v>68</v>
      </c>
      <c r="K116" s="7" t="s">
        <v>776</v>
      </c>
      <c r="L116" s="7" t="s">
        <v>548</v>
      </c>
      <c r="M116" s="3">
        <f ca="1">IF(VLOOKUP("PARAM_INT_IFP_TRIPLE_RDD_DIS", INDIRECT(Config!$B$1), HLOOKUP(M$1, INDIRECT(Config!$E$1), 2, FALSE),FALSE)=0, VLOOKUP("TRC_PRESENT", INDIRECT(Config!$B$1), HLOOKUP(M$1, INDIRECT(Config!$E$1), 2, FALSE),FALSE), 0)</f>
        <v>0</v>
      </c>
      <c r="N116" s="3">
        <f ca="1">IF(VLOOKUP("PARAM_INT_IFP_TRIPLE_RDD_DIS", INDIRECT(Config!$B$1), HLOOKUP(N$1, INDIRECT(Config!$E$1), 2, FALSE),FALSE)=0, VLOOKUP("TRC_PRESENT", INDIRECT(Config!$B$1), HLOOKUP(N$1, INDIRECT(Config!$E$1), 2, FALSE),FALSE), 0)</f>
        <v>0</v>
      </c>
      <c r="O116" s="3">
        <f ca="1">IF(VLOOKUP("PARAM_INT_IFP_TRIPLE_RDD_DIS", INDIRECT(Config!$B$1), HLOOKUP(O$1, INDIRECT(Config!$E$1), 2, FALSE),FALSE)=0, VLOOKUP("TRC_PRESENT", INDIRECT(Config!$B$1), HLOOKUP(O$1, INDIRECT(Config!$E$1), 2, FALSE),FALSE), 0)</f>
        <v>0</v>
      </c>
    </row>
    <row r="117" spans="1:15" s="16" customFormat="1" x14ac:dyDescent="0.35">
      <c r="A117" s="202"/>
      <c r="B117" s="17" t="s">
        <v>367</v>
      </c>
      <c r="C117" s="17">
        <v>2</v>
      </c>
      <c r="D117" s="17">
        <v>30</v>
      </c>
      <c r="E117" s="17" t="s">
        <v>678</v>
      </c>
      <c r="F117" s="131" t="s">
        <v>396</v>
      </c>
      <c r="G117" s="17">
        <v>0</v>
      </c>
      <c r="H117" s="17">
        <v>0</v>
      </c>
      <c r="I117" s="3" t="s">
        <v>18</v>
      </c>
      <c r="J117" s="7" t="s">
        <v>68</v>
      </c>
      <c r="K117" s="7" t="s">
        <v>769</v>
      </c>
      <c r="L117" s="7" t="s">
        <v>548</v>
      </c>
      <c r="M117" s="3">
        <f ca="1">IF(VLOOKUP("PARAM_INT_IFP_TRIPLE_RDD_DIS", INDIRECT(Config!$B$1), HLOOKUP(M$1, INDIRECT(Config!$E$1), 2, FALSE),FALSE)=0, VLOOKUP("TRC_PRESENT", INDIRECT(Config!$B$1), HLOOKUP(M$1, INDIRECT(Config!$E$1), 2, FALSE),FALSE), 0)</f>
        <v>0</v>
      </c>
      <c r="N117" s="3">
        <f ca="1">IF(VLOOKUP("PARAM_INT_IFP_TRIPLE_RDD_DIS", INDIRECT(Config!$B$1), HLOOKUP(N$1, INDIRECT(Config!$E$1), 2, FALSE),FALSE)=0, VLOOKUP("TRC_PRESENT", INDIRECT(Config!$B$1), HLOOKUP(N$1, INDIRECT(Config!$E$1), 2, FALSE),FALSE), 0)</f>
        <v>0</v>
      </c>
      <c r="O117" s="3">
        <f ca="1">IF(VLOOKUP("PARAM_INT_IFP_TRIPLE_RDD_DIS", INDIRECT(Config!$B$1), HLOOKUP(O$1, INDIRECT(Config!$E$1), 2, FALSE),FALSE)=0, VLOOKUP("TRC_PRESENT", INDIRECT(Config!$B$1), HLOOKUP(O$1, INDIRECT(Config!$E$1), 2, FALSE),FALSE), 0)</f>
        <v>0</v>
      </c>
    </row>
    <row r="118" spans="1:15" s="16" customFormat="1" x14ac:dyDescent="0.35">
      <c r="A118" s="203" t="s">
        <v>370</v>
      </c>
      <c r="B118" s="17" t="s">
        <v>367</v>
      </c>
      <c r="C118" s="17">
        <v>0</v>
      </c>
      <c r="D118" s="17">
        <v>1</v>
      </c>
      <c r="E118" s="17" t="s">
        <v>562</v>
      </c>
      <c r="F118" s="131" t="s">
        <v>396</v>
      </c>
      <c r="G118" s="17">
        <v>0</v>
      </c>
      <c r="H118" s="17">
        <v>0</v>
      </c>
      <c r="I118" s="3" t="s">
        <v>18</v>
      </c>
      <c r="J118" s="7" t="s">
        <v>68</v>
      </c>
      <c r="K118" s="7" t="s">
        <v>777</v>
      </c>
      <c r="L118" s="7" t="s">
        <v>559</v>
      </c>
      <c r="M118" s="3">
        <f ca="1">IF(VLOOKUP("PARAM_INT_IFP_TRIPLE_RDD_DIS", INDIRECT(Config!$B$1), HLOOKUP(M$1, INDIRECT(Config!$E$1), 2, FALSE),FALSE)=0, VLOOKUP("TRC_PRESENT", INDIRECT(Config!$B$1), HLOOKUP(M$1, INDIRECT(Config!$E$1), 2, FALSE),FALSE), 0)</f>
        <v>0</v>
      </c>
      <c r="N118" s="3">
        <f ca="1">IF(VLOOKUP("PARAM_INT_IFP_TRIPLE_RDD_DIS", INDIRECT(Config!$B$1), HLOOKUP(N$1, INDIRECT(Config!$E$1), 2, FALSE),FALSE)=0, VLOOKUP("TRC_PRESENT", INDIRECT(Config!$B$1), HLOOKUP(N$1, INDIRECT(Config!$E$1), 2, FALSE),FALSE), 0)</f>
        <v>0</v>
      </c>
      <c r="O118" s="3">
        <f ca="1">IF(VLOOKUP("PARAM_INT_IFP_TRIPLE_RDD_DIS", INDIRECT(Config!$B$1), HLOOKUP(O$1, INDIRECT(Config!$E$1), 2, FALSE),FALSE)=0, VLOOKUP("TRC_PRESENT", INDIRECT(Config!$B$1), HLOOKUP(O$1, INDIRECT(Config!$E$1), 2, FALSE),FALSE), 0)</f>
        <v>0</v>
      </c>
    </row>
    <row r="119" spans="1:15" x14ac:dyDescent="0.35">
      <c r="A119" s="202"/>
      <c r="B119" s="17" t="s">
        <v>367</v>
      </c>
      <c r="C119" s="17">
        <v>1</v>
      </c>
      <c r="D119" s="17">
        <v>31</v>
      </c>
      <c r="E119" s="17" t="s">
        <v>677</v>
      </c>
      <c r="F119" s="131" t="s">
        <v>396</v>
      </c>
      <c r="G119" s="17">
        <v>0</v>
      </c>
      <c r="H119" s="17">
        <v>0</v>
      </c>
      <c r="I119" s="3" t="s">
        <v>18</v>
      </c>
      <c r="J119" s="7" t="s">
        <v>68</v>
      </c>
      <c r="K119" s="7" t="s">
        <v>771</v>
      </c>
      <c r="L119" s="7" t="s">
        <v>559</v>
      </c>
      <c r="M119" s="3">
        <f ca="1">IF(VLOOKUP("PARAM_INT_IFP_TRIPLE_RDD_DIS", INDIRECT(Config!$B$1), HLOOKUP(M$1, INDIRECT(Config!$E$1), 2, FALSE),FALSE)=0, VLOOKUP("TRC_PRESENT", INDIRECT(Config!$B$1), HLOOKUP(M$1, INDIRECT(Config!$E$1), 2, FALSE),FALSE), 0)</f>
        <v>0</v>
      </c>
      <c r="N119" s="3">
        <f ca="1">IF(VLOOKUP("PARAM_INT_IFP_TRIPLE_RDD_DIS", INDIRECT(Config!$B$1), HLOOKUP(N$1, INDIRECT(Config!$E$1), 2, FALSE),FALSE)=0, VLOOKUP("TRC_PRESENT", INDIRECT(Config!$B$1), HLOOKUP(N$1, INDIRECT(Config!$E$1), 2, FALSE),FALSE), 0)</f>
        <v>0</v>
      </c>
      <c r="O119" s="3">
        <f ca="1">IF(VLOOKUP("PARAM_INT_IFP_TRIPLE_RDD_DIS", INDIRECT(Config!$B$1), HLOOKUP(O$1, INDIRECT(Config!$E$1), 2, FALSE),FALSE)=0, VLOOKUP("TRC_PRESENT", INDIRECT(Config!$B$1), HLOOKUP(O$1, INDIRECT(Config!$E$1), 2, FALSE),FALSE), 0)</f>
        <v>0</v>
      </c>
    </row>
    <row r="120" spans="1:15" x14ac:dyDescent="0.35">
      <c r="A120" s="17" t="s">
        <v>371</v>
      </c>
      <c r="B120" s="17" t="s">
        <v>372</v>
      </c>
      <c r="C120" s="17">
        <v>0</v>
      </c>
      <c r="D120" s="17">
        <f>32*8</f>
        <v>256</v>
      </c>
      <c r="E120" s="17" t="s">
        <v>373</v>
      </c>
      <c r="F120" s="131" t="s">
        <v>396</v>
      </c>
      <c r="G120" s="17">
        <v>0</v>
      </c>
      <c r="H120" s="17">
        <v>0</v>
      </c>
      <c r="I120" s="17" t="s">
        <v>564</v>
      </c>
      <c r="J120" s="17" t="s">
        <v>131</v>
      </c>
      <c r="K120" s="17" t="s">
        <v>806</v>
      </c>
      <c r="L120" s="17" t="s">
        <v>563</v>
      </c>
      <c r="M120" s="3">
        <f ca="1">IF($B120="N/A", "N/A", VLOOKUP($B120, INDIRECT(Config!$B$1), HLOOKUP(M$1, INDIRECT(Config!$E$1), 2, FALSE),FALSE))</f>
        <v>0</v>
      </c>
      <c r="N120" s="3">
        <f ca="1">IF($B120="N/A", "N/A", VLOOKUP($B120, INDIRECT(Config!$B$1), HLOOKUP(N$1, INDIRECT(Config!$E$1), 2, FALSE),FALSE))</f>
        <v>0</v>
      </c>
      <c r="O120" s="3">
        <f ca="1">IF($B120="N/A", "N/A", VLOOKUP($B120, INDIRECT(Config!$B$1), HLOOKUP(O$1, INDIRECT(Config!$E$1), 2, FALSE),FALSE))</f>
        <v>0</v>
      </c>
    </row>
    <row r="121" spans="1:15" x14ac:dyDescent="0.35">
      <c r="A121" s="17" t="s">
        <v>374</v>
      </c>
      <c r="B121" s="17" t="s">
        <v>375</v>
      </c>
      <c r="C121" s="17">
        <v>0</v>
      </c>
      <c r="D121" s="17">
        <f>32*8</f>
        <v>256</v>
      </c>
      <c r="E121" s="17" t="s">
        <v>376</v>
      </c>
      <c r="F121" s="131" t="s">
        <v>396</v>
      </c>
      <c r="G121" s="17">
        <v>0</v>
      </c>
      <c r="H121" s="17">
        <v>0</v>
      </c>
      <c r="I121" s="17" t="s">
        <v>564</v>
      </c>
      <c r="J121" s="17" t="s">
        <v>131</v>
      </c>
      <c r="K121" s="17" t="s">
        <v>806</v>
      </c>
      <c r="L121" s="17" t="s">
        <v>563</v>
      </c>
      <c r="M121" s="3">
        <f ca="1">IF(VLOOKUP("PARAM_INT_IFP_TRIPLE_RDD_DIS", INDIRECT(Config!$B$1), HLOOKUP(M$1, INDIRECT(Config!$E$1), 2, FALSE),FALSE)=0, VLOOKUP("OEM_SECRET_KEY_FUSES_LIMIT", INDIRECT(Config!$B$1), HLOOKUP(M$1, INDIRECT(Config!$E$1), 2, FALSE),FALSE), 0)</f>
        <v>0</v>
      </c>
      <c r="N121" s="3">
        <f ca="1">IF(VLOOKUP("PARAM_INT_IFP_TRIPLE_RDD_DIS", INDIRECT(Config!$B$1), HLOOKUP(N$1, INDIRECT(Config!$E$1), 2, FALSE),FALSE)=0, VLOOKUP("OEM_SECRET_KEY_FUSES_LIMIT", INDIRECT(Config!$B$1), HLOOKUP(N$1, INDIRECT(Config!$E$1), 2, FALSE),FALSE), 0)</f>
        <v>0</v>
      </c>
      <c r="O121" s="3">
        <f ca="1">IF(VLOOKUP("PARAM_INT_IFP_TRIPLE_RDD_DIS", INDIRECT(Config!$B$1), HLOOKUP(O$1, INDIRECT(Config!$E$1), 2, FALSE),FALSE)=0, VLOOKUP("OEM_SECRET_KEY_FUSES_LIMIT", INDIRECT(Config!$B$1), HLOOKUP(O$1, INDIRECT(Config!$E$1), 2, FALSE),FALSE), 0)</f>
        <v>0</v>
      </c>
    </row>
    <row r="122" spans="1:15" x14ac:dyDescent="0.35">
      <c r="A122" s="17" t="s">
        <v>377</v>
      </c>
      <c r="B122" s="17" t="s">
        <v>375</v>
      </c>
      <c r="C122" s="17">
        <v>0</v>
      </c>
      <c r="D122" s="17">
        <f>32*8</f>
        <v>256</v>
      </c>
      <c r="E122" s="17" t="s">
        <v>378</v>
      </c>
      <c r="F122" s="131" t="s">
        <v>396</v>
      </c>
      <c r="G122" s="17">
        <v>0</v>
      </c>
      <c r="H122" s="17">
        <v>0</v>
      </c>
      <c r="I122" s="17" t="s">
        <v>564</v>
      </c>
      <c r="J122" s="17" t="s">
        <v>131</v>
      </c>
      <c r="K122" s="17" t="s">
        <v>806</v>
      </c>
      <c r="L122" s="17" t="s">
        <v>563</v>
      </c>
      <c r="M122" s="3">
        <f ca="1">IF(VLOOKUP("PARAM_INT_IFP_TRIPLE_RDD_DIS", INDIRECT(Config!$B$1), HLOOKUP(M$1, INDIRECT(Config!$E$1), 2, FALSE),FALSE)=0, VLOOKUP("OEM_SECRET_KEY_FUSES_LIMIT", INDIRECT(Config!$B$1), HLOOKUP(M$1, INDIRECT(Config!$E$1), 2, FALSE),FALSE), 0)</f>
        <v>0</v>
      </c>
      <c r="N122" s="3">
        <f ca="1">IF(VLOOKUP("PARAM_INT_IFP_TRIPLE_RDD_DIS", INDIRECT(Config!$B$1), HLOOKUP(N$1, INDIRECT(Config!$E$1), 2, FALSE),FALSE)=0, VLOOKUP("OEM_SECRET_KEY_FUSES_LIMIT", INDIRECT(Config!$B$1), HLOOKUP(N$1, INDIRECT(Config!$E$1), 2, FALSE),FALSE), 0)</f>
        <v>0</v>
      </c>
      <c r="O122" s="3">
        <f ca="1">IF(VLOOKUP("PARAM_INT_IFP_TRIPLE_RDD_DIS", INDIRECT(Config!$B$1), HLOOKUP(O$1, INDIRECT(Config!$E$1), 2, FALSE),FALSE)=0, VLOOKUP("OEM_SECRET_KEY_FUSES_LIMIT", INDIRECT(Config!$B$1), HLOOKUP(O$1, INDIRECT(Config!$E$1), 2, FALSE),FALSE), 0)</f>
        <v>0</v>
      </c>
    </row>
    <row r="125" spans="1:15" x14ac:dyDescent="0.35">
      <c r="I125" s="3" t="s">
        <v>18</v>
      </c>
    </row>
    <row r="126" spans="1:15" x14ac:dyDescent="0.35">
      <c r="I126" s="147" t="s">
        <v>18</v>
      </c>
    </row>
  </sheetData>
  <autoFilter ref="A1:O104" xr:uid="{BD3C40ED-A0C8-4381-ACF6-12E781319295}"/>
  <mergeCells count="15">
    <mergeCell ref="A118:A119"/>
    <mergeCell ref="A113:A114"/>
    <mergeCell ref="A93:A96"/>
    <mergeCell ref="F101:F104"/>
    <mergeCell ref="A105:A107"/>
    <mergeCell ref="A110:A112"/>
    <mergeCell ref="A115:A117"/>
    <mergeCell ref="A97:A100"/>
    <mergeCell ref="A101:A104"/>
    <mergeCell ref="A108:A109"/>
    <mergeCell ref="A2:A35"/>
    <mergeCell ref="A36:A57"/>
    <mergeCell ref="A58:A65"/>
    <mergeCell ref="A66:A86"/>
    <mergeCell ref="A87:A89"/>
  </mergeCells>
  <conditionalFormatting sqref="M117:O117 M119:O122 M2:O115">
    <cfRule type="cellIs" dxfId="42" priority="3" operator="equal">
      <formula>"N/A"</formula>
    </cfRule>
  </conditionalFormatting>
  <conditionalFormatting sqref="M116:O116">
    <cfRule type="cellIs" dxfId="41" priority="2" operator="equal">
      <formula>"N/A"</formula>
    </cfRule>
  </conditionalFormatting>
  <conditionalFormatting sqref="M118:O118">
    <cfRule type="cellIs" dxfId="40" priority="1" operator="equal">
      <formula>"N/A"</formula>
    </cfRule>
  </conditionalFormatting>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39023-AF95-4C21-B519-1DE6DA47C5FD}">
  <sheetPr codeName="Sheet9"/>
  <dimension ref="A1:M12"/>
  <sheetViews>
    <sheetView workbookViewId="0"/>
  </sheetViews>
  <sheetFormatPr defaultRowHeight="14.5" x14ac:dyDescent="0.35"/>
  <cols>
    <col min="1" max="1" width="23.36328125" style="16" bestFit="1" customWidth="1"/>
    <col min="2" max="2" width="29.54296875" bestFit="1" customWidth="1"/>
    <col min="3" max="3" width="29.54296875" style="16" customWidth="1"/>
    <col min="4" max="4" width="32.90625" bestFit="1" customWidth="1"/>
    <col min="5" max="5" width="7.6328125" bestFit="1" customWidth="1"/>
    <col min="6" max="6" width="8.453125" bestFit="1" customWidth="1"/>
    <col min="7" max="7" width="13.36328125" bestFit="1" customWidth="1"/>
    <col min="8" max="8" width="10.90625" bestFit="1" customWidth="1"/>
    <col min="9" max="9" width="9.90625" bestFit="1" customWidth="1"/>
    <col min="10" max="10" width="7.36328125" bestFit="1" customWidth="1"/>
    <col min="11" max="11" width="40.36328125" style="16" customWidth="1"/>
    <col min="12" max="12" width="31.6328125" bestFit="1" customWidth="1"/>
    <col min="13" max="13" width="11" bestFit="1" customWidth="1"/>
  </cols>
  <sheetData>
    <row r="1" spans="1:13" s="16" customFormat="1" ht="24" thickBot="1" x14ac:dyDescent="0.6">
      <c r="B1" s="29" t="s">
        <v>412</v>
      </c>
      <c r="C1" s="29"/>
      <c r="D1" s="30" t="s">
        <v>622</v>
      </c>
    </row>
    <row r="2" spans="1:13" ht="15" thickBot="1" x14ac:dyDescent="0.4">
      <c r="A2" s="37" t="s">
        <v>0</v>
      </c>
      <c r="B2" s="38" t="s">
        <v>1</v>
      </c>
      <c r="C2" s="43" t="s">
        <v>383</v>
      </c>
      <c r="D2" s="43" t="s">
        <v>2</v>
      </c>
      <c r="E2" s="50" t="s">
        <v>3</v>
      </c>
      <c r="F2" s="50" t="s">
        <v>4</v>
      </c>
      <c r="G2" s="35" t="s">
        <v>5</v>
      </c>
      <c r="H2" s="36" t="s">
        <v>6</v>
      </c>
      <c r="I2" s="36" t="s">
        <v>397</v>
      </c>
      <c r="J2" s="36" t="s">
        <v>398</v>
      </c>
      <c r="K2" s="36" t="s">
        <v>436</v>
      </c>
      <c r="L2" s="36" t="s">
        <v>7</v>
      </c>
      <c r="M2" s="36" t="s">
        <v>8</v>
      </c>
    </row>
    <row r="3" spans="1:13" x14ac:dyDescent="0.35">
      <c r="A3" s="198" t="s">
        <v>9</v>
      </c>
      <c r="B3" s="39" t="s">
        <v>407</v>
      </c>
      <c r="C3" s="58" t="s">
        <v>407</v>
      </c>
      <c r="D3" s="44" t="s">
        <v>10</v>
      </c>
      <c r="E3" s="45" t="s">
        <v>11</v>
      </c>
      <c r="F3" s="80">
        <f ca="1">IF($C3="No Param",32,VLOOKUP($C3,INDIRECT(Config!$B$1),HLOOKUP(D$1,INDIRECT(Config!$E$1),2,FALSE),FALSE))</f>
        <v>512</v>
      </c>
      <c r="G3" s="31" t="s">
        <v>12</v>
      </c>
      <c r="H3" s="31" t="s">
        <v>13</v>
      </c>
      <c r="I3" s="31">
        <v>0</v>
      </c>
      <c r="J3" s="31">
        <v>0</v>
      </c>
      <c r="K3" s="65" t="s">
        <v>524</v>
      </c>
      <c r="L3" s="212" t="s">
        <v>379</v>
      </c>
      <c r="M3" s="216" t="s">
        <v>14</v>
      </c>
    </row>
    <row r="4" spans="1:13" x14ac:dyDescent="0.35">
      <c r="A4" s="198"/>
      <c r="B4" s="40" t="s">
        <v>408</v>
      </c>
      <c r="C4" s="46" t="s">
        <v>408</v>
      </c>
      <c r="D4" s="46" t="s">
        <v>10</v>
      </c>
      <c r="E4" s="47" t="s">
        <v>11</v>
      </c>
      <c r="F4" s="51">
        <f ca="1">IF($C4="No Param",32,VLOOKUP($C4,INDIRECT(Config!$B$1),HLOOKUP(D$1,INDIRECT(Config!$E$1),2,FALSE),FALSE))</f>
        <v>32</v>
      </c>
      <c r="G4" s="17" t="str">
        <f ca="1">IF(F4=0, "N/A", CONCATENATE("0x",DEC2HEX(HEX2DEC(SUBSTITUTE(G3,"0x",""))+F3/8)))</f>
        <v>0x6040</v>
      </c>
      <c r="H4" s="17" t="str">
        <f ca="1">CONCATENATE("0x",DEC2HEX(HEX2DEC(SUBSTITUTE(H3,"0x",""))+F3/8))</f>
        <v>0xF00B0040</v>
      </c>
      <c r="I4" s="17">
        <v>0</v>
      </c>
      <c r="J4" s="17">
        <v>0</v>
      </c>
      <c r="K4" s="7" t="s">
        <v>525</v>
      </c>
      <c r="L4" s="213"/>
      <c r="M4" s="217"/>
    </row>
    <row r="5" spans="1:13" x14ac:dyDescent="0.35">
      <c r="A5" s="198"/>
      <c r="B5" s="40" t="s">
        <v>409</v>
      </c>
      <c r="C5" s="46" t="s">
        <v>409</v>
      </c>
      <c r="D5" s="46" t="s">
        <v>15</v>
      </c>
      <c r="E5" s="47" t="s">
        <v>11</v>
      </c>
      <c r="F5" s="51">
        <f ca="1">IF($C5="No Param",32,VLOOKUP($C5,INDIRECT(Config!$B$1),HLOOKUP(D$1,INDIRECT(Config!$E$1),2,FALSE),FALSE))</f>
        <v>256</v>
      </c>
      <c r="G5" s="17" t="str">
        <f ca="1">IF(F5=0, "N/A", CONCATENATE("0x",DEC2HEX(HEX2DEC(SUBSTITUTE(G3,"0x",""))+(F3+F4)/8)))</f>
        <v>0x6044</v>
      </c>
      <c r="H5" s="17" t="str">
        <f ca="1">CONCATENATE("0x",DEC2HEX(HEX2DEC(SUBSTITUTE(H4,"0x",""))+F4/8))</f>
        <v>0xF00B0044</v>
      </c>
      <c r="I5" s="17">
        <v>0</v>
      </c>
      <c r="J5" s="17">
        <v>0</v>
      </c>
      <c r="K5" s="7" t="s">
        <v>526</v>
      </c>
      <c r="L5" s="213"/>
      <c r="M5" s="217"/>
    </row>
    <row r="6" spans="1:13" s="16" customFormat="1" x14ac:dyDescent="0.35">
      <c r="A6" s="198"/>
      <c r="B6" s="57" t="s">
        <v>410</v>
      </c>
      <c r="C6" s="90" t="s">
        <v>410</v>
      </c>
      <c r="D6" s="46" t="s">
        <v>15</v>
      </c>
      <c r="E6" s="47" t="s">
        <v>11</v>
      </c>
      <c r="F6" s="51">
        <f ca="1">IF($C6="No Param",32,VLOOKUP($C6,INDIRECT(Config!$B$1),HLOOKUP(D$1,INDIRECT(Config!$E$1),2,FALSE),FALSE))</f>
        <v>256</v>
      </c>
      <c r="G6" s="17" t="str">
        <f ca="1">IF(F6=0, "N/A", CONCATENATE("0x",DEC2HEX(HEX2DEC(SUBSTITUTE(G3,"0x",""))+(F3+F4+F5)/8)))</f>
        <v>0x6064</v>
      </c>
      <c r="H6" s="17" t="str">
        <f ca="1">CONCATENATE("0x",DEC2HEX(HEX2DEC(SUBSTITUTE(H5,"0x",""))+F5/8))</f>
        <v>0xF00B0064</v>
      </c>
      <c r="I6" s="17">
        <v>0</v>
      </c>
      <c r="J6" s="17">
        <v>0</v>
      </c>
      <c r="K6" s="3" t="s">
        <v>530</v>
      </c>
      <c r="L6" s="214"/>
      <c r="M6" s="218"/>
    </row>
    <row r="7" spans="1:13" ht="15" thickBot="1" x14ac:dyDescent="0.4">
      <c r="A7" s="198"/>
      <c r="B7" s="60" t="s">
        <v>434</v>
      </c>
      <c r="C7" s="99" t="s">
        <v>434</v>
      </c>
      <c r="D7" s="58" t="s">
        <v>10</v>
      </c>
      <c r="E7" s="59" t="s">
        <v>11</v>
      </c>
      <c r="F7" s="97">
        <f ca="1">IF($C7="No Param",32,VLOOKUP($C7,INDIRECT(Config!$B$1),HLOOKUP(D$1,INDIRECT(Config!$E$1),2,FALSE),FALSE))</f>
        <v>0</v>
      </c>
      <c r="G7" s="33" t="str">
        <f ca="1">IF(F7=0, "N/A", CONCATENATE("0x",DEC2HEX(HEX2DEC(SUBSTITUTE(G3,"0x",""))+(F3+F4+F5+F6)/8)))</f>
        <v>N/A</v>
      </c>
      <c r="H7" s="33" t="str">
        <f ca="1">CONCATENATE("0x",DEC2HEX(HEX2DEC(SUBSTITUTE(H6,"0x",""))+F6/8))</f>
        <v>0xF00B0084</v>
      </c>
      <c r="I7" s="56">
        <v>0</v>
      </c>
      <c r="J7" s="56">
        <v>0</v>
      </c>
      <c r="K7" s="66" t="s">
        <v>531</v>
      </c>
      <c r="L7" s="215"/>
      <c r="M7" s="219"/>
    </row>
    <row r="8" spans="1:13" x14ac:dyDescent="0.35">
      <c r="A8" s="34" t="s">
        <v>16</v>
      </c>
      <c r="B8" s="41" t="s">
        <v>17</v>
      </c>
      <c r="C8" s="92" t="s">
        <v>17</v>
      </c>
      <c r="D8" s="44" t="s">
        <v>18</v>
      </c>
      <c r="E8" s="45" t="s">
        <v>19</v>
      </c>
      <c r="F8" s="122">
        <f ca="1">IF($C8="No Param",32,VLOOKUP($C8,INDIRECT(Config!$B$1),HLOOKUP(D$1,INDIRECT(Config!$E$1),2,FALSE),FALSE))</f>
        <v>768</v>
      </c>
      <c r="G8" s="31" t="s">
        <v>572</v>
      </c>
      <c r="H8" s="31" t="s">
        <v>20</v>
      </c>
      <c r="I8" s="31">
        <v>0</v>
      </c>
      <c r="J8" s="31">
        <v>0</v>
      </c>
      <c r="K8" s="65" t="s">
        <v>527</v>
      </c>
      <c r="L8" s="220" t="s">
        <v>380</v>
      </c>
      <c r="M8" s="216" t="s">
        <v>21</v>
      </c>
    </row>
    <row r="9" spans="1:13" x14ac:dyDescent="0.35">
      <c r="A9" s="194" t="s">
        <v>22</v>
      </c>
      <c r="B9" s="42" t="s">
        <v>411</v>
      </c>
      <c r="C9" s="93" t="s">
        <v>411</v>
      </c>
      <c r="D9" s="46" t="s">
        <v>18</v>
      </c>
      <c r="E9" s="47" t="s">
        <v>19</v>
      </c>
      <c r="F9" s="64">
        <f ca="1">IF($C9="No Param",32,VLOOKUP($C9,INDIRECT(Config!$B$1),HLOOKUP(D$1,INDIRECT(Config!$E$1),2,FALSE),FALSE))</f>
        <v>160</v>
      </c>
      <c r="G9" s="17" t="str">
        <f ca="1">IF(F9=0, "N/A", CONCATENATE("0x",DEC2HEX(HEX2DEC(SUBSTITUTE(G8,"0x",""))+F8/8)))</f>
        <v>0x6860</v>
      </c>
      <c r="H9" s="17" t="str">
        <f ca="1">CONCATENATE("0x",DEC2HEX(HEX2DEC(SUBSTITUTE(H8,"0x",""))+F8/8))</f>
        <v>0xF00B0460</v>
      </c>
      <c r="I9" s="17">
        <v>0</v>
      </c>
      <c r="J9" s="17">
        <v>0</v>
      </c>
      <c r="K9" s="7" t="s">
        <v>533</v>
      </c>
      <c r="L9" s="221"/>
      <c r="M9" s="217"/>
    </row>
    <row r="10" spans="1:13" x14ac:dyDescent="0.35">
      <c r="A10" s="195"/>
      <c r="B10" s="62" t="s">
        <v>24</v>
      </c>
      <c r="C10" s="63" t="s">
        <v>24</v>
      </c>
      <c r="D10" s="46" t="s">
        <v>18</v>
      </c>
      <c r="E10" s="47" t="s">
        <v>19</v>
      </c>
      <c r="F10" s="64">
        <f ca="1">IF($C10="No Param",32,VLOOKUP($C10,INDIRECT(Config!$B$1),HLOOKUP(D$1,INDIRECT(Config!$E$1),2,FALSE),FALSE))</f>
        <v>32</v>
      </c>
      <c r="G10" s="17" t="str">
        <f ca="1">IF(F10=0, "N/A", CONCATENATE("0x",DEC2HEX(HEX2DEC(SUBSTITUTE(G8,"0x",""))+(F8+F9)/8)))</f>
        <v>0x6874</v>
      </c>
      <c r="H10" s="17" t="str">
        <f ca="1">CONCATENATE("0x",DEC2HEX(HEX2DEC(SUBSTITUTE(H9,"0x",""))+F9/8))</f>
        <v>0xF00B0474</v>
      </c>
      <c r="I10" s="17">
        <v>0</v>
      </c>
      <c r="J10" s="17">
        <v>0</v>
      </c>
      <c r="K10" s="7" t="s">
        <v>528</v>
      </c>
      <c r="L10" s="221"/>
      <c r="M10" s="217"/>
    </row>
    <row r="11" spans="1:13" s="16" customFormat="1" x14ac:dyDescent="0.35">
      <c r="A11" s="195"/>
      <c r="B11" s="63" t="s">
        <v>435</v>
      </c>
      <c r="C11" s="63" t="s">
        <v>435</v>
      </c>
      <c r="D11" s="46" t="s">
        <v>18</v>
      </c>
      <c r="E11" s="47" t="s">
        <v>19</v>
      </c>
      <c r="F11" s="64">
        <f ca="1">IF($C11="No Param",32,VLOOKUP($C11,INDIRECT(Config!$B$1),HLOOKUP(D$1,INDIRECT(Config!$E$1),2,FALSE),FALSE))</f>
        <v>0</v>
      </c>
      <c r="G11" s="17" t="str">
        <f ca="1">IF(F11=0, "N/A", CONCATENATE("0x",DEC2HEX(HEX2DEC(SUBSTITUTE(G8,"0x",""))+(F8+F9+F10)/8)))</f>
        <v>N/A</v>
      </c>
      <c r="H11" s="17" t="str">
        <f ca="1">CONCATENATE("0x",DEC2HEX(HEX2DEC(SUBSTITUTE(H10,"0x",""))+F10/8))</f>
        <v>0xF00B0478</v>
      </c>
      <c r="I11" s="17">
        <v>0</v>
      </c>
      <c r="J11" s="17">
        <v>0</v>
      </c>
      <c r="K11" s="7" t="s">
        <v>532</v>
      </c>
      <c r="L11" s="222"/>
      <c r="M11" s="218"/>
    </row>
    <row r="12" spans="1:13" ht="15" thickBot="1" x14ac:dyDescent="0.4">
      <c r="A12" s="206"/>
      <c r="B12" s="61" t="s">
        <v>23</v>
      </c>
      <c r="C12" s="100" t="s">
        <v>23</v>
      </c>
      <c r="D12" s="55" t="s">
        <v>18</v>
      </c>
      <c r="E12" s="59" t="s">
        <v>19</v>
      </c>
      <c r="F12" s="123">
        <f ca="1">IF($C12="No Param",32,VLOOKUP($C12,INDIRECT(Config!$B$1),HLOOKUP(D$1,INDIRECT(Config!$E$1),2,FALSE),FALSE))</f>
        <v>0</v>
      </c>
      <c r="G12" s="33" t="str">
        <f ca="1">IF(F12=0, "N/A", CONCATENATE("0x",DEC2HEX(HEX2DEC(SUBSTITUTE(G8,"0x",""))+(F8+F9+F10+F11)/8)))</f>
        <v>N/A</v>
      </c>
      <c r="H12" s="33" t="str">
        <f ca="1">CONCATENATE("0x",DEC2HEX(HEX2DEC(SUBSTITUTE(H11,"0x",""))+F11/8))</f>
        <v>0xF00B0478</v>
      </c>
      <c r="I12" s="56">
        <v>0</v>
      </c>
      <c r="J12" s="56">
        <v>0</v>
      </c>
      <c r="K12" s="66" t="s">
        <v>529</v>
      </c>
      <c r="L12" s="223"/>
      <c r="M12" s="219"/>
    </row>
  </sheetData>
  <mergeCells count="6">
    <mergeCell ref="L3:L7"/>
    <mergeCell ref="M3:M7"/>
    <mergeCell ref="L8:L12"/>
    <mergeCell ref="M8:M12"/>
    <mergeCell ref="A3:A7"/>
    <mergeCell ref="A9:A12"/>
  </mergeCells>
  <conditionalFormatting sqref="I7:I10 I12 I3:I5">
    <cfRule type="cellIs" dxfId="39" priority="83" operator="equal">
      <formula>0</formula>
    </cfRule>
  </conditionalFormatting>
  <conditionalFormatting sqref="J3:K5 J7:K10 J12:K12">
    <cfRule type="cellIs" dxfId="38" priority="75" operator="equal">
      <formula>0</formula>
    </cfRule>
  </conditionalFormatting>
  <conditionalFormatting sqref="B6 D6:E6">
    <cfRule type="cellIs" dxfId="37" priority="35" operator="equal">
      <formula>0</formula>
    </cfRule>
  </conditionalFormatting>
  <conditionalFormatting sqref="B3 D3:E3">
    <cfRule type="cellIs" dxfId="36" priority="43" operator="equal">
      <formula>0</formula>
    </cfRule>
  </conditionalFormatting>
  <conditionalFormatting sqref="B4 D4:E4">
    <cfRule type="cellIs" dxfId="35" priority="42" operator="equal">
      <formula>0</formula>
    </cfRule>
  </conditionalFormatting>
  <conditionalFormatting sqref="B5 D5:E5">
    <cfRule type="cellIs" dxfId="34" priority="41" operator="equal">
      <formula>0</formula>
    </cfRule>
  </conditionalFormatting>
  <conditionalFormatting sqref="B7 E7">
    <cfRule type="cellIs" dxfId="33" priority="40" operator="equal">
      <formula>0</formula>
    </cfRule>
  </conditionalFormatting>
  <conditionalFormatting sqref="B9 D9:E9">
    <cfRule type="cellIs" dxfId="32" priority="38" operator="equal">
      <formula>0</formula>
    </cfRule>
  </conditionalFormatting>
  <conditionalFormatting sqref="I6">
    <cfRule type="cellIs" dxfId="31" priority="52" operator="equal">
      <formula>0</formula>
    </cfRule>
  </conditionalFormatting>
  <conditionalFormatting sqref="J6:K6">
    <cfRule type="cellIs" dxfId="30" priority="50" operator="equal">
      <formula>0</formula>
    </cfRule>
  </conditionalFormatting>
  <conditionalFormatting sqref="F3:H3 F4:F12">
    <cfRule type="cellIs" dxfId="29" priority="24" operator="equal">
      <formula>0</formula>
    </cfRule>
  </conditionalFormatting>
  <conditionalFormatting sqref="I11">
    <cfRule type="cellIs" dxfId="28" priority="46" operator="equal">
      <formula>0</formula>
    </cfRule>
  </conditionalFormatting>
  <conditionalFormatting sqref="J11:K11">
    <cfRule type="cellIs" dxfId="27" priority="45" operator="equal">
      <formula>0</formula>
    </cfRule>
  </conditionalFormatting>
  <conditionalFormatting sqref="D7">
    <cfRule type="cellIs" dxfId="26" priority="34" operator="equal">
      <formula>0</formula>
    </cfRule>
  </conditionalFormatting>
  <conditionalFormatting sqref="B8 D8:E8">
    <cfRule type="cellIs" priority="39" operator="equal">
      <formula>0</formula>
    </cfRule>
  </conditionalFormatting>
  <conditionalFormatting sqref="B10 D10:E10">
    <cfRule type="cellIs" dxfId="25" priority="36" operator="equal">
      <formula>0</formula>
    </cfRule>
    <cfRule type="cellIs" dxfId="24" priority="37" operator="equal">
      <formula>0</formula>
    </cfRule>
  </conditionalFormatting>
  <conditionalFormatting sqref="C3">
    <cfRule type="cellIs" dxfId="23" priority="9" operator="equal">
      <formula>0</formula>
    </cfRule>
  </conditionalFormatting>
  <conditionalFormatting sqref="G7">
    <cfRule type="cellIs" dxfId="22" priority="13" operator="equal">
      <formula>0</formula>
    </cfRule>
  </conditionalFormatting>
  <conditionalFormatting sqref="G12">
    <cfRule type="cellIs" dxfId="21" priority="10" operator="equal">
      <formula>0</formula>
    </cfRule>
  </conditionalFormatting>
  <conditionalFormatting sqref="C4">
    <cfRule type="cellIs" dxfId="20" priority="8" operator="equal">
      <formula>0</formula>
    </cfRule>
  </conditionalFormatting>
  <conditionalFormatting sqref="H6">
    <cfRule type="cellIs" dxfId="19" priority="16" operator="equal">
      <formula>0</formula>
    </cfRule>
  </conditionalFormatting>
  <conditionalFormatting sqref="G5">
    <cfRule type="cellIs" dxfId="18" priority="15" operator="equal">
      <formula>0</formula>
    </cfRule>
  </conditionalFormatting>
  <conditionalFormatting sqref="C8">
    <cfRule type="cellIs" priority="5" operator="equal">
      <formula>0</formula>
    </cfRule>
  </conditionalFormatting>
  <conditionalFormatting sqref="C10">
    <cfRule type="cellIs" dxfId="17" priority="2" operator="equal">
      <formula>0</formula>
    </cfRule>
    <cfRule type="cellIs" dxfId="16" priority="3" operator="equal">
      <formula>0</formula>
    </cfRule>
  </conditionalFormatting>
  <conditionalFormatting sqref="G4:H4">
    <cfRule type="cellIs" dxfId="15" priority="23" operator="equal">
      <formula>0</formula>
    </cfRule>
  </conditionalFormatting>
  <conditionalFormatting sqref="H5">
    <cfRule type="cellIs" dxfId="14" priority="22" operator="equal">
      <formula>0</formula>
    </cfRule>
  </conditionalFormatting>
  <conditionalFormatting sqref="H7">
    <cfRule type="cellIs" dxfId="13" priority="21" operator="equal">
      <formula>0</formula>
    </cfRule>
  </conditionalFormatting>
  <conditionalFormatting sqref="G8:H8">
    <cfRule type="cellIs" priority="20" operator="equal">
      <formula>0</formula>
    </cfRule>
  </conditionalFormatting>
  <conditionalFormatting sqref="G9:H9">
    <cfRule type="cellIs" dxfId="12" priority="19" operator="equal">
      <formula>0</formula>
    </cfRule>
  </conditionalFormatting>
  <conditionalFormatting sqref="H10">
    <cfRule type="cellIs" dxfId="11" priority="17" operator="equal">
      <formula>0</formula>
    </cfRule>
    <cfRule type="cellIs" dxfId="10" priority="18" operator="equal">
      <formula>0</formula>
    </cfRule>
  </conditionalFormatting>
  <conditionalFormatting sqref="C5">
    <cfRule type="cellIs" dxfId="9" priority="7" operator="equal">
      <formula>0</formula>
    </cfRule>
  </conditionalFormatting>
  <conditionalFormatting sqref="C7">
    <cfRule type="cellIs" dxfId="8" priority="6" operator="equal">
      <formula>0</formula>
    </cfRule>
  </conditionalFormatting>
  <conditionalFormatting sqref="G6">
    <cfRule type="cellIs" dxfId="7" priority="14" operator="equal">
      <formula>0</formula>
    </cfRule>
  </conditionalFormatting>
  <conditionalFormatting sqref="C9">
    <cfRule type="cellIs" dxfId="6" priority="4" operator="equal">
      <formula>0</formula>
    </cfRule>
  </conditionalFormatting>
  <conditionalFormatting sqref="C6">
    <cfRule type="cellIs" dxfId="5" priority="1" operator="equal">
      <formula>0</formula>
    </cfRule>
  </conditionalFormatting>
  <conditionalFormatting sqref="G10">
    <cfRule type="cellIs" dxfId="4" priority="12" operator="equal">
      <formula>0</formula>
    </cfRule>
  </conditionalFormatting>
  <conditionalFormatting sqref="G11">
    <cfRule type="cellIs" dxfId="3" priority="11" operator="equal">
      <formula>0</formula>
    </cfRule>
  </conditionalFormatting>
  <pageMargins left="0.7" right="0.7" top="0.75" bottom="0.75" header="0.3" footer="0.3"/>
  <pageSetup orientation="portrait" r:id="rId1"/>
  <legacyDrawing r:id="rId2"/>
  <extLst>
    <ext xmlns:x14="http://schemas.microsoft.com/office/spreadsheetml/2009/9/main" uri="{CCE6A557-97BC-4b89-ADB6-D9C93CAAB3DF}">
      <x14:dataValidations xmlns:xm="http://schemas.microsoft.com/office/excel/2006/main" count="1">
        <x14:dataValidation type="list" showInputMessage="1" showErrorMessage="1" xr:uid="{378CFAE0-B8AE-45F9-B93A-B3C405C9D067}">
          <x14:formula1>
            <xm:f>Config!$B$3:$O$3</xm:f>
          </x14:formula1>
          <xm:sqref>D1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FDB514-3E2F-4A32-BEF4-58035F6CA4C0}">
  <sheetPr codeName="Sheet11"/>
  <dimension ref="A1:N55"/>
  <sheetViews>
    <sheetView zoomScale="85" zoomScaleNormal="85" workbookViewId="0">
      <selection activeCell="K50" sqref="K50"/>
    </sheetView>
  </sheetViews>
  <sheetFormatPr defaultColWidth="9.08984375" defaultRowHeight="14.5" x14ac:dyDescent="0.35"/>
  <cols>
    <col min="1" max="1" width="20.36328125" style="6" customWidth="1"/>
    <col min="2" max="2" width="33.453125" style="6" bestFit="1" customWidth="1"/>
    <col min="3" max="3" width="11.36328125" style="16" bestFit="1" customWidth="1"/>
    <col min="4" max="4" width="12.54296875" style="16" bestFit="1" customWidth="1"/>
    <col min="5" max="5" width="53.08984375" style="6" customWidth="1"/>
    <col min="6" max="6" width="24" style="6" bestFit="1" customWidth="1"/>
    <col min="7" max="7" width="11.6328125" style="16" bestFit="1" customWidth="1"/>
    <col min="8" max="8" width="16.453125" style="16" bestFit="1" customWidth="1"/>
    <col min="9" max="9" width="13.36328125" style="6" bestFit="1" customWidth="1"/>
    <col min="10" max="10" width="12.54296875" style="6" bestFit="1" customWidth="1"/>
    <col min="11" max="11" width="12.54296875" style="16" customWidth="1"/>
    <col min="12" max="12" width="8.6328125" style="6" bestFit="1" customWidth="1"/>
    <col min="13" max="13" width="6.6328125" style="6" bestFit="1" customWidth="1"/>
    <col min="14" max="14" width="7" style="6" bestFit="1" customWidth="1"/>
    <col min="15" max="15" width="20" style="6" customWidth="1"/>
    <col min="16" max="16384" width="9.08984375" style="6"/>
  </cols>
  <sheetData>
    <row r="1" spans="1:14" ht="20.25" customHeight="1" x14ac:dyDescent="0.35">
      <c r="A1" s="1" t="s">
        <v>59</v>
      </c>
      <c r="B1" s="1" t="s">
        <v>60</v>
      </c>
      <c r="C1" s="1" t="s">
        <v>394</v>
      </c>
      <c r="D1" s="1" t="s">
        <v>395</v>
      </c>
      <c r="E1" s="1" t="s">
        <v>61</v>
      </c>
      <c r="F1" s="1" t="s">
        <v>62</v>
      </c>
      <c r="G1" s="1" t="s">
        <v>385</v>
      </c>
      <c r="H1" s="1" t="s">
        <v>384</v>
      </c>
      <c r="I1" s="1" t="s">
        <v>63</v>
      </c>
      <c r="J1" s="1" t="s">
        <v>64</v>
      </c>
      <c r="K1" s="1" t="s">
        <v>436</v>
      </c>
      <c r="L1" s="1" t="s">
        <v>622</v>
      </c>
      <c r="M1" s="1" t="s">
        <v>623</v>
      </c>
      <c r="N1" s="1" t="s">
        <v>624</v>
      </c>
    </row>
    <row r="2" spans="1:14" x14ac:dyDescent="0.35">
      <c r="A2" s="201" t="s">
        <v>44</v>
      </c>
      <c r="B2" s="4" t="s">
        <v>627</v>
      </c>
      <c r="C2" s="7">
        <v>0</v>
      </c>
      <c r="D2" s="7">
        <v>1</v>
      </c>
      <c r="E2" s="9" t="s">
        <v>274</v>
      </c>
      <c r="F2" s="8" t="s">
        <v>275</v>
      </c>
      <c r="G2" s="8">
        <v>0</v>
      </c>
      <c r="H2" s="8">
        <v>0</v>
      </c>
      <c r="I2" s="8"/>
      <c r="J2" s="7" t="s">
        <v>89</v>
      </c>
      <c r="K2" s="7" t="s">
        <v>487</v>
      </c>
      <c r="L2" s="4">
        <f ca="1">IF($B2="N/A", "N/A",IF(VLOOKUP("SOFTSTRAP0_EN",INDIRECT(Config!$B$1),HLOOKUP(L$1,INDIRECT(Config!$E$1),2,FALSE),FALSE)=0,0,1))</f>
        <v>1</v>
      </c>
      <c r="M2" s="4">
        <f ca="1">IF($B2="N/A", "N/A",IF(VLOOKUP("SOFTSTRAP0_EN",INDIRECT(Config!$B$1),HLOOKUP(M$1,INDIRECT(Config!$E$1),2,FALSE),FALSE)=0,0,1))</f>
        <v>1</v>
      </c>
      <c r="N2" s="4">
        <f ca="1">IF($B2="N/A", "N/A",IF(VLOOKUP("SOFTSTRAP0_EN",INDIRECT(Config!$B$1),HLOOKUP(N$1,INDIRECT(Config!$E$1),2,FALSE),FALSE)=0,0,1))</f>
        <v>0</v>
      </c>
    </row>
    <row r="3" spans="1:14" x14ac:dyDescent="0.35">
      <c r="A3" s="224"/>
      <c r="B3" s="4" t="s">
        <v>627</v>
      </c>
      <c r="C3" s="7">
        <v>1</v>
      </c>
      <c r="D3" s="7">
        <v>1</v>
      </c>
      <c r="E3" s="10" t="s">
        <v>276</v>
      </c>
      <c r="F3" s="8" t="s">
        <v>277</v>
      </c>
      <c r="G3" s="8">
        <v>0</v>
      </c>
      <c r="H3" s="8">
        <v>0</v>
      </c>
      <c r="I3" s="8"/>
      <c r="J3" s="7" t="s">
        <v>89</v>
      </c>
      <c r="K3" s="7" t="s">
        <v>488</v>
      </c>
      <c r="L3" s="4">
        <f ca="1">IF($B3="N/A", "N/A",IF(VLOOKUP("SOFTSTRAP0_EN",INDIRECT(Config!$B$1),HLOOKUP(L$1,INDIRECT(Config!$E$1),2,FALSE),FALSE)=0,0,1))</f>
        <v>1</v>
      </c>
      <c r="M3" s="4">
        <f ca="1">IF($B3="N/A", "N/A",IF(VLOOKUP("SOFTSTRAP0_EN",INDIRECT(Config!$B$1),HLOOKUP(M$1,INDIRECT(Config!$E$1),2,FALSE),FALSE)=0,0,1))</f>
        <v>1</v>
      </c>
      <c r="N3" s="4">
        <f ca="1">IF($B3="N/A", "N/A",IF(VLOOKUP("SOFTSTRAP0_EN",INDIRECT(Config!$B$1),HLOOKUP(N$1,INDIRECT(Config!$E$1),2,FALSE),FALSE)=0,0,1))</f>
        <v>0</v>
      </c>
    </row>
    <row r="4" spans="1:14" x14ac:dyDescent="0.35">
      <c r="A4" s="224"/>
      <c r="B4" s="4" t="s">
        <v>627</v>
      </c>
      <c r="C4" s="7">
        <v>2</v>
      </c>
      <c r="D4" s="7">
        <v>1</v>
      </c>
      <c r="E4" s="10" t="s">
        <v>278</v>
      </c>
      <c r="F4" s="8" t="s">
        <v>279</v>
      </c>
      <c r="G4" s="8">
        <v>0</v>
      </c>
      <c r="H4" s="8">
        <v>0</v>
      </c>
      <c r="I4" s="8"/>
      <c r="J4" s="7" t="s">
        <v>89</v>
      </c>
      <c r="K4" s="7" t="s">
        <v>489</v>
      </c>
      <c r="L4" s="4">
        <f ca="1">IF($B4="N/A", "N/A",IF(VLOOKUP("SOFTSTRAP0_EN",INDIRECT(Config!$B$1),HLOOKUP(L$1,INDIRECT(Config!$E$1),2,FALSE),FALSE)=0,0,1))</f>
        <v>1</v>
      </c>
      <c r="M4" s="4">
        <f ca="1">IF($B4="N/A", "N/A",IF(VLOOKUP("SOFTSTRAP0_EN",INDIRECT(Config!$B$1),HLOOKUP(M$1,INDIRECT(Config!$E$1),2,FALSE),FALSE)=0,0,1))</f>
        <v>1</v>
      </c>
      <c r="N4" s="4">
        <f ca="1">IF($B4="N/A", "N/A",IF(VLOOKUP("SOFTSTRAP0_EN",INDIRECT(Config!$B$1),HLOOKUP(N$1,INDIRECT(Config!$E$1),2,FALSE),FALSE)=0,0,1))</f>
        <v>0</v>
      </c>
    </row>
    <row r="5" spans="1:14" x14ac:dyDescent="0.35">
      <c r="A5" s="224"/>
      <c r="B5" s="2" t="s">
        <v>50</v>
      </c>
      <c r="C5" s="2">
        <v>3</v>
      </c>
      <c r="D5" s="2">
        <v>1</v>
      </c>
      <c r="E5" s="2"/>
      <c r="F5" s="8" t="s">
        <v>280</v>
      </c>
      <c r="G5" s="8">
        <v>0</v>
      </c>
      <c r="H5" s="8">
        <v>0</v>
      </c>
      <c r="I5" s="8"/>
      <c r="J5" s="7"/>
      <c r="K5" s="7" t="s">
        <v>472</v>
      </c>
      <c r="L5" s="4" t="str">
        <f ca="1">IF($B5="N/A", "N/A",IF(VLOOKUP("SOFTSTRAP0_EN",INDIRECT(Config!$B$1),HLOOKUP(L$1,INDIRECT(Config!$E$1),2,FALSE),FALSE)=0,0,1))</f>
        <v>N/A</v>
      </c>
      <c r="M5" s="4" t="str">
        <f ca="1">IF($B5="N/A", "N/A",IF(VLOOKUP("SOFTSTRAP0_EN",INDIRECT(Config!$B$1),HLOOKUP(M$1,INDIRECT(Config!$E$1),2,FALSE),FALSE)=0,0,1))</f>
        <v>N/A</v>
      </c>
      <c r="N5" s="4" t="str">
        <f ca="1">IF($B5="N/A", "N/A",IF(VLOOKUP("SOFTSTRAP0_EN",INDIRECT(Config!$B$1),HLOOKUP(N$1,INDIRECT(Config!$E$1),2,FALSE),FALSE)=0,0,1))</f>
        <v>N/A</v>
      </c>
    </row>
    <row r="6" spans="1:14" x14ac:dyDescent="0.35">
      <c r="A6" s="224"/>
      <c r="B6" s="4" t="s">
        <v>643</v>
      </c>
      <c r="C6" s="7">
        <v>4</v>
      </c>
      <c r="D6" s="7">
        <v>1</v>
      </c>
      <c r="E6" s="10" t="s">
        <v>281</v>
      </c>
      <c r="F6" s="8" t="s">
        <v>282</v>
      </c>
      <c r="G6" s="8">
        <v>0</v>
      </c>
      <c r="H6" s="8">
        <v>0</v>
      </c>
      <c r="I6" s="8"/>
      <c r="J6" s="7" t="s">
        <v>89</v>
      </c>
      <c r="K6" s="7" t="s">
        <v>490</v>
      </c>
      <c r="L6" s="4">
        <f ca="1">IF($B6="N/A", "N/A",IF(VLOOKUP("SOFTSTRAP0_EN",INDIRECT(Config!$B$1),HLOOKUP(L$1,INDIRECT(Config!$E$1),2,FALSE),FALSE)=0,0,VLOOKUP("BOOT_DEV_CTRL_EN",INDIRECT(Config!$B$1),HLOOKUP(L$1,INDIRECT(Config!$E$1),2,FALSE),FALSE)))</f>
        <v>1</v>
      </c>
      <c r="M6" s="4">
        <f ca="1">IF($B6="N/A", "N/A",IF(VLOOKUP("SOFTSTRAP0_EN",INDIRECT(Config!$B$1),HLOOKUP(M$1,INDIRECT(Config!$E$1),2,FALSE),FALSE)=0,0,VLOOKUP("BOOT_DEV_CTRL_EN",INDIRECT(Config!$B$1),HLOOKUP(M$1,INDIRECT(Config!$E$1),2,FALSE),FALSE)))</f>
        <v>0</v>
      </c>
      <c r="N6" s="4">
        <f ca="1">IF($B6="N/A", "N/A",IF(VLOOKUP("SOFTSTRAP0_EN",INDIRECT(Config!$B$1),HLOOKUP(N$1,INDIRECT(Config!$E$1),2,FALSE),FALSE)=0,0,VLOOKUP("BOOT_DEV_CTRL_EN",INDIRECT(Config!$B$1),HLOOKUP(N$1,INDIRECT(Config!$E$1),2,FALSE),FALSE)))</f>
        <v>0</v>
      </c>
    </row>
    <row r="7" spans="1:14" x14ac:dyDescent="0.35">
      <c r="A7" s="224"/>
      <c r="B7" s="4" t="s">
        <v>643</v>
      </c>
      <c r="C7" s="7">
        <v>5</v>
      </c>
      <c r="D7" s="7">
        <v>1</v>
      </c>
      <c r="E7" s="11" t="s">
        <v>283</v>
      </c>
      <c r="F7" s="8" t="s">
        <v>284</v>
      </c>
      <c r="G7" s="8">
        <v>0</v>
      </c>
      <c r="H7" s="8">
        <v>0</v>
      </c>
      <c r="I7" s="8"/>
      <c r="J7" s="7" t="s">
        <v>89</v>
      </c>
      <c r="K7" s="7" t="s">
        <v>491</v>
      </c>
      <c r="L7" s="4">
        <f ca="1">IF($B7="N/A", "N/A",IF(VLOOKUP("SOFTSTRAP0_EN",INDIRECT(Config!$B$1),HLOOKUP(L$1,INDIRECT(Config!$E$1),2,FALSE),FALSE)=0,0,VLOOKUP("BOOT_DEV_CTRL_EN",INDIRECT(Config!$B$1),HLOOKUP(L$1,INDIRECT(Config!$E$1),2,FALSE),FALSE)))</f>
        <v>1</v>
      </c>
      <c r="M7" s="4">
        <f ca="1">IF($B7="N/A", "N/A",IF(VLOOKUP("SOFTSTRAP0_EN",INDIRECT(Config!$B$1),HLOOKUP(M$1,INDIRECT(Config!$E$1),2,FALSE),FALSE)=0,0,VLOOKUP("BOOT_DEV_CTRL_EN",INDIRECT(Config!$B$1),HLOOKUP(M$1,INDIRECT(Config!$E$1),2,FALSE),FALSE)))</f>
        <v>0</v>
      </c>
      <c r="N7" s="4">
        <f ca="1">IF($B7="N/A", "N/A",IF(VLOOKUP("SOFTSTRAP0_EN",INDIRECT(Config!$B$1),HLOOKUP(N$1,INDIRECT(Config!$E$1),2,FALSE),FALSE)=0,0,VLOOKUP("BOOT_DEV_CTRL_EN",INDIRECT(Config!$B$1),HLOOKUP(N$1,INDIRECT(Config!$E$1),2,FALSE),FALSE)))</f>
        <v>0</v>
      </c>
    </row>
    <row r="8" spans="1:14" x14ac:dyDescent="0.35">
      <c r="A8" s="224"/>
      <c r="B8" s="4" t="s">
        <v>643</v>
      </c>
      <c r="C8" s="7">
        <v>6</v>
      </c>
      <c r="D8" s="7">
        <v>1</v>
      </c>
      <c r="E8" s="10" t="s">
        <v>285</v>
      </c>
      <c r="F8" s="8" t="s">
        <v>286</v>
      </c>
      <c r="G8" s="8">
        <v>0</v>
      </c>
      <c r="H8" s="8">
        <v>0</v>
      </c>
      <c r="I8" s="8"/>
      <c r="J8" s="7" t="s">
        <v>89</v>
      </c>
      <c r="K8" s="7" t="s">
        <v>492</v>
      </c>
      <c r="L8" s="4">
        <f ca="1">IF($B8="N/A", "N/A",IF(VLOOKUP("SOFTSTRAP0_EN",INDIRECT(Config!$B$1),HLOOKUP(L$1,INDIRECT(Config!$E$1),2,FALSE),FALSE)=0,0,VLOOKUP("BOOT_DEV_CTRL_EN",INDIRECT(Config!$B$1),HLOOKUP(L$1,INDIRECT(Config!$E$1),2,FALSE),FALSE)))</f>
        <v>1</v>
      </c>
      <c r="M8" s="4">
        <f ca="1">IF($B8="N/A", "N/A",IF(VLOOKUP("SOFTSTRAP0_EN",INDIRECT(Config!$B$1),HLOOKUP(M$1,INDIRECT(Config!$E$1),2,FALSE),FALSE)=0,0,VLOOKUP("BOOT_DEV_CTRL_EN",INDIRECT(Config!$B$1),HLOOKUP(M$1,INDIRECT(Config!$E$1),2,FALSE),FALSE)))</f>
        <v>0</v>
      </c>
      <c r="N8" s="4">
        <f ca="1">IF($B8="N/A", "N/A",IF(VLOOKUP("SOFTSTRAP0_EN",INDIRECT(Config!$B$1),HLOOKUP(N$1,INDIRECT(Config!$E$1),2,FALSE),FALSE)=0,0,VLOOKUP("BOOT_DEV_CTRL_EN",INDIRECT(Config!$B$1),HLOOKUP(N$1,INDIRECT(Config!$E$1),2,FALSE),FALSE)))</f>
        <v>0</v>
      </c>
    </row>
    <row r="9" spans="1:14" x14ac:dyDescent="0.35">
      <c r="A9" s="224"/>
      <c r="B9" s="4" t="s">
        <v>661</v>
      </c>
      <c r="C9" s="7">
        <v>7</v>
      </c>
      <c r="D9" s="7">
        <v>1</v>
      </c>
      <c r="E9" s="10" t="s">
        <v>287</v>
      </c>
      <c r="F9" s="8" t="s">
        <v>288</v>
      </c>
      <c r="G9" s="8">
        <v>0</v>
      </c>
      <c r="H9" s="8">
        <v>0</v>
      </c>
      <c r="I9" s="8"/>
      <c r="J9" s="7" t="s">
        <v>89</v>
      </c>
      <c r="K9" s="7" t="s">
        <v>493</v>
      </c>
      <c r="L9" s="4">
        <f ca="1">IF($B9="N/A", "N/A",IF(VLOOKUP("SOFTSTRAP0_EN",INDIRECT(Config!$B$1),HLOOKUP(L$1,INDIRECT(Config!$E$1),2,FALSE),FALSE)=0,0,VLOOKUP("ROM_DNX_CAP_DIS_CTRL",INDIRECT(Config!$B$1),HLOOKUP(L$1,INDIRECT(Config!$E$1),2,FALSE),FALSE)))</f>
        <v>1</v>
      </c>
      <c r="M9" s="4">
        <f ca="1">IF($B9="N/A", "N/A",IF(VLOOKUP("SOFTSTRAP0_EN",INDIRECT(Config!$B$1),HLOOKUP(M$1,INDIRECT(Config!$E$1),2,FALSE),FALSE)=0,0,VLOOKUP("ROM_DNX_CAP_DIS_CTRL",INDIRECT(Config!$B$1),HLOOKUP(M$1,INDIRECT(Config!$E$1),2,FALSE),FALSE)))</f>
        <v>0</v>
      </c>
      <c r="N9" s="4">
        <f ca="1">IF($B9="N/A", "N/A",IF(VLOOKUP("SOFTSTRAP0_EN",INDIRECT(Config!$B$1),HLOOKUP(N$1,INDIRECT(Config!$E$1),2,FALSE),FALSE)=0,0,VLOOKUP("ROM_DNX_CAP_DIS_CTRL_CTRL",INDIRECT(Config!$B$1),HLOOKUP(N$1,INDIRECT(Config!$E$1),2,FALSE),FALSE)))</f>
        <v>0</v>
      </c>
    </row>
    <row r="10" spans="1:14" x14ac:dyDescent="0.35">
      <c r="A10" s="224"/>
      <c r="B10" s="2" t="s">
        <v>50</v>
      </c>
      <c r="C10" s="2">
        <v>8</v>
      </c>
      <c r="D10" s="2">
        <v>1</v>
      </c>
      <c r="E10" s="14"/>
      <c r="F10" s="17" t="s">
        <v>289</v>
      </c>
      <c r="G10" s="8">
        <v>0</v>
      </c>
      <c r="H10" s="8">
        <v>0</v>
      </c>
      <c r="I10" s="17"/>
      <c r="J10" s="7"/>
      <c r="K10" s="7" t="s">
        <v>472</v>
      </c>
      <c r="L10" s="4" t="str">
        <f ca="1">IF($B10="N/A", "N/A",IF(VLOOKUP("SOFTSTRAP0_EN",INDIRECT(Config!$B$1),HLOOKUP(L$1,INDIRECT(Config!$E$1),2,FALSE),FALSE)=0,0,VLOOKUP("IP_BASE_FEATURE",INDIRECT(Config!$B$1),HLOOKUP(L$1,INDIRECT(Config!$E$1),2,FALSE),FALSE)))</f>
        <v>N/A</v>
      </c>
      <c r="M10" s="4" t="str">
        <f ca="1">IF($B10="N/A", "N/A",IF(VLOOKUP("SOFTSTRAP0_EN",INDIRECT(Config!$B$1),HLOOKUP(M$1,INDIRECT(Config!$E$1),2,FALSE),FALSE)=0,0,VLOOKUP("IP_BASE_FEATURE",INDIRECT(Config!$B$1),HLOOKUP(M$1,INDIRECT(Config!$E$1),2,FALSE),FALSE)))</f>
        <v>N/A</v>
      </c>
      <c r="N10" s="4" t="str">
        <f ca="1">IF($B10="N/A", "N/A",IF(VLOOKUP("SOFTSTRAP0_EN",INDIRECT(Config!$B$1),HLOOKUP(N$1,INDIRECT(Config!$E$1),2,FALSE),FALSE)=0,0,VLOOKUP("IP_BASE_FEATURE",INDIRECT(Config!$B$1),HLOOKUP(N$1,INDIRECT(Config!$E$1),2,FALSE),FALSE)))</f>
        <v>N/A</v>
      </c>
    </row>
    <row r="11" spans="1:14" x14ac:dyDescent="0.35">
      <c r="A11" s="224"/>
      <c r="B11" s="4" t="s">
        <v>627</v>
      </c>
      <c r="C11" s="7">
        <v>9</v>
      </c>
      <c r="D11" s="7">
        <v>1</v>
      </c>
      <c r="E11" s="10" t="s">
        <v>290</v>
      </c>
      <c r="F11" s="17" t="s">
        <v>291</v>
      </c>
      <c r="G11" s="8">
        <v>0</v>
      </c>
      <c r="H11" s="8">
        <v>0</v>
      </c>
      <c r="I11" s="17"/>
      <c r="J11" s="7" t="s">
        <v>89</v>
      </c>
      <c r="K11" s="7" t="s">
        <v>494</v>
      </c>
      <c r="L11" s="4">
        <f ca="1">IF($B11="N/A", "N/A",IF(VLOOKUP("SOFTSTRAP0_EN",INDIRECT(Config!$B$1),HLOOKUP(L$1,INDIRECT(Config!$E$1),2,FALSE),FALSE)=0,0,1))</f>
        <v>1</v>
      </c>
      <c r="M11" s="4">
        <f ca="1">IF($B11="N/A", "N/A",IF(VLOOKUP("SOFTSTRAP0_EN",INDIRECT(Config!$B$1),HLOOKUP(M$1,INDIRECT(Config!$E$1),2,FALSE),FALSE)=0,0,1))</f>
        <v>1</v>
      </c>
      <c r="N11" s="4">
        <f ca="1">IF($B11="N/A", "N/A",IF(VLOOKUP("SOFTSTRAP0_EN",INDIRECT(Config!$B$1),HLOOKUP(N$1,INDIRECT(Config!$E$1),2,FALSE),FALSE)=0,0,1))</f>
        <v>0</v>
      </c>
    </row>
    <row r="12" spans="1:14" x14ac:dyDescent="0.35">
      <c r="A12" s="224"/>
      <c r="B12" s="4" t="s">
        <v>627</v>
      </c>
      <c r="C12" s="7">
        <v>10</v>
      </c>
      <c r="D12" s="7">
        <v>1</v>
      </c>
      <c r="E12" s="10" t="s">
        <v>292</v>
      </c>
      <c r="F12" s="17" t="s">
        <v>293</v>
      </c>
      <c r="G12" s="8">
        <v>0</v>
      </c>
      <c r="H12" s="8">
        <v>0</v>
      </c>
      <c r="I12" s="17"/>
      <c r="J12" s="7" t="s">
        <v>89</v>
      </c>
      <c r="K12" s="7" t="s">
        <v>495</v>
      </c>
      <c r="L12" s="4">
        <f ca="1">IF($B12="N/A", "N/A",IF(VLOOKUP("SOFTSTRAP0_EN",INDIRECT(Config!$B$1),HLOOKUP(L$1,INDIRECT(Config!$E$1),2,FALSE),FALSE)=0,0,1))</f>
        <v>1</v>
      </c>
      <c r="M12" s="4">
        <f ca="1">IF($B12="N/A", "N/A",IF(VLOOKUP("SOFTSTRAP0_EN",INDIRECT(Config!$B$1),HLOOKUP(M$1,INDIRECT(Config!$E$1),2,FALSE),FALSE)=0,0,1))</f>
        <v>1</v>
      </c>
      <c r="N12" s="4">
        <f ca="1">IF($B12="N/A", "N/A",IF(VLOOKUP("SOFTSTRAP0_EN",INDIRECT(Config!$B$1),HLOOKUP(N$1,INDIRECT(Config!$E$1),2,FALSE),FALSE)=0,0,1))</f>
        <v>0</v>
      </c>
    </row>
    <row r="13" spans="1:14" x14ac:dyDescent="0.35">
      <c r="A13" s="224"/>
      <c r="B13" s="4" t="s">
        <v>627</v>
      </c>
      <c r="C13" s="7">
        <v>11</v>
      </c>
      <c r="D13" s="7">
        <v>1</v>
      </c>
      <c r="E13" s="10" t="s">
        <v>294</v>
      </c>
      <c r="F13" s="17" t="s">
        <v>295</v>
      </c>
      <c r="G13" s="8">
        <v>0</v>
      </c>
      <c r="H13" s="8">
        <v>0</v>
      </c>
      <c r="I13" s="17"/>
      <c r="J13" s="7" t="s">
        <v>89</v>
      </c>
      <c r="K13" s="7" t="s">
        <v>496</v>
      </c>
      <c r="L13" s="4">
        <f ca="1">IF($B13="N/A", "N/A",IF(VLOOKUP("SOFTSTRAP0_EN",INDIRECT(Config!$B$1),HLOOKUP(L$1,INDIRECT(Config!$E$1),2,FALSE),FALSE)=0,0,1))</f>
        <v>1</v>
      </c>
      <c r="M13" s="4">
        <f ca="1">IF($B13="N/A", "N/A",IF(VLOOKUP("SOFTSTRAP0_EN",INDIRECT(Config!$B$1),HLOOKUP(M$1,INDIRECT(Config!$E$1),2,FALSE),FALSE)=0,0,1))</f>
        <v>1</v>
      </c>
      <c r="N13" s="4">
        <f ca="1">IF($B13="N/A", "N/A",IF(VLOOKUP("SOFTSTRAP0_EN",INDIRECT(Config!$B$1),HLOOKUP(N$1,INDIRECT(Config!$E$1),2,FALSE),FALSE)=0,0,1))</f>
        <v>0</v>
      </c>
    </row>
    <row r="14" spans="1:14" x14ac:dyDescent="0.35">
      <c r="A14" s="224"/>
      <c r="B14" s="2" t="s">
        <v>50</v>
      </c>
      <c r="C14" s="2">
        <v>12</v>
      </c>
      <c r="D14" s="2">
        <v>4</v>
      </c>
      <c r="E14" s="14"/>
      <c r="F14" s="17" t="s">
        <v>296</v>
      </c>
      <c r="G14" s="8">
        <v>0</v>
      </c>
      <c r="H14" s="8">
        <v>0</v>
      </c>
      <c r="I14" s="17"/>
      <c r="J14" s="7"/>
      <c r="K14" s="7" t="s">
        <v>472</v>
      </c>
      <c r="L14" s="4" t="str">
        <f ca="1">IF($B14="N/A", "N/A",IF(VLOOKUP("SOFTSTRAP0_EN",INDIRECT(Config!$B$1),HLOOKUP(L$1,INDIRECT(Config!$E$1),2,FALSE),FALSE)=0,0,1))</f>
        <v>N/A</v>
      </c>
      <c r="M14" s="4" t="str">
        <f ca="1">IF($B14="N/A", "N/A",IF(VLOOKUP("SOFTSTRAP0_EN",INDIRECT(Config!$B$1),HLOOKUP(M$1,INDIRECT(Config!$E$1),2,FALSE),FALSE)=0,0,1))</f>
        <v>N/A</v>
      </c>
      <c r="N14" s="4" t="str">
        <f ca="1">IF($B14="N/A", "N/A",IF(VLOOKUP("SOFTSTRAP0_EN",INDIRECT(Config!$B$1),HLOOKUP(N$1,INDIRECT(Config!$E$1),2,FALSE),FALSE)=0,0,1))</f>
        <v>N/A</v>
      </c>
    </row>
    <row r="15" spans="1:14" x14ac:dyDescent="0.35">
      <c r="A15" s="224"/>
      <c r="B15" s="4" t="s">
        <v>627</v>
      </c>
      <c r="C15" s="7">
        <v>13</v>
      </c>
      <c r="D15" s="7">
        <v>1</v>
      </c>
      <c r="E15" s="10" t="s">
        <v>297</v>
      </c>
      <c r="F15" s="17" t="s">
        <v>298</v>
      </c>
      <c r="G15" s="8">
        <v>0</v>
      </c>
      <c r="H15" s="8">
        <v>0</v>
      </c>
      <c r="I15" s="17"/>
      <c r="J15" s="7" t="s">
        <v>89</v>
      </c>
      <c r="K15" s="7" t="s">
        <v>497</v>
      </c>
      <c r="L15" s="4">
        <f ca="1">IF($B15="N/A", "N/A",IF(VLOOKUP("SOFTSTRAP0_EN",INDIRECT(Config!$B$1),HLOOKUP(L$1,INDIRECT(Config!$E$1),2,FALSE),FALSE)=0,0,1))</f>
        <v>1</v>
      </c>
      <c r="M15" s="4">
        <f ca="1">IF($B15="N/A", "N/A",IF(VLOOKUP("SOFTSTRAP0_EN",INDIRECT(Config!$B$1),HLOOKUP(M$1,INDIRECT(Config!$E$1),2,FALSE),FALSE)=0,0,1))</f>
        <v>1</v>
      </c>
      <c r="N15" s="4">
        <f ca="1">IF($B15="N/A", "N/A",IF(VLOOKUP("SOFTSTRAP0_EN",INDIRECT(Config!$B$1),HLOOKUP(N$1,INDIRECT(Config!$E$1),2,FALSE),FALSE)=0,0,1))</f>
        <v>0</v>
      </c>
    </row>
    <row r="16" spans="1:14" x14ac:dyDescent="0.35">
      <c r="A16" s="224"/>
      <c r="B16" s="4" t="s">
        <v>627</v>
      </c>
      <c r="C16" s="7">
        <v>14</v>
      </c>
      <c r="D16" s="7">
        <v>1</v>
      </c>
      <c r="E16" s="10" t="s">
        <v>299</v>
      </c>
      <c r="F16" s="17" t="s">
        <v>300</v>
      </c>
      <c r="G16" s="8">
        <v>0</v>
      </c>
      <c r="H16" s="8">
        <v>0</v>
      </c>
      <c r="I16" s="17"/>
      <c r="J16" s="7" t="s">
        <v>89</v>
      </c>
      <c r="K16" s="7" t="s">
        <v>498</v>
      </c>
      <c r="L16" s="4">
        <f ca="1">IF($B16="N/A", "N/A",IF(VLOOKUP("SOFTSTRAP0_EN",INDIRECT(Config!$B$1),HLOOKUP(L$1,INDIRECT(Config!$E$1),2,FALSE),FALSE)=0,0,1))</f>
        <v>1</v>
      </c>
      <c r="M16" s="4">
        <f ca="1">IF($B16="N/A", "N/A",IF(VLOOKUP("SOFTSTRAP0_EN",INDIRECT(Config!$B$1),HLOOKUP(M$1,INDIRECT(Config!$E$1),2,FALSE),FALSE)=0,0,1))</f>
        <v>1</v>
      </c>
      <c r="N16" s="4">
        <f ca="1">IF($B16="N/A", "N/A",IF(VLOOKUP("SOFTSTRAP0_EN",INDIRECT(Config!$B$1),HLOOKUP(N$1,INDIRECT(Config!$E$1),2,FALSE),FALSE)=0,0,1))</f>
        <v>0</v>
      </c>
    </row>
    <row r="17" spans="1:14" x14ac:dyDescent="0.35">
      <c r="A17" s="224"/>
      <c r="B17" s="2" t="s">
        <v>50</v>
      </c>
      <c r="C17" s="2">
        <v>18</v>
      </c>
      <c r="D17" s="2">
        <v>2</v>
      </c>
      <c r="E17" s="14"/>
      <c r="F17" s="17" t="s">
        <v>301</v>
      </c>
      <c r="G17" s="8">
        <v>0</v>
      </c>
      <c r="H17" s="8">
        <v>0</v>
      </c>
      <c r="I17" s="17"/>
      <c r="J17" s="7"/>
      <c r="K17" s="7" t="s">
        <v>472</v>
      </c>
      <c r="L17" s="4" t="str">
        <f ca="1">IF($B17="N/A", "N/A",IF(VLOOKUP("SOFTSTRAP0_EN",INDIRECT(Config!$B$1),HLOOKUP(L$1,INDIRECT(Config!$E$1),2,FALSE),FALSE)=0,0,1))</f>
        <v>N/A</v>
      </c>
      <c r="M17" s="4" t="str">
        <f ca="1">IF($B17="N/A", "N/A",IF(VLOOKUP("SOFTSTRAP0_EN",INDIRECT(Config!$B$1),HLOOKUP(M$1,INDIRECT(Config!$E$1),2,FALSE),FALSE)=0,0,1))</f>
        <v>N/A</v>
      </c>
      <c r="N17" s="4" t="str">
        <f ca="1">IF($B17="N/A", "N/A",IF(VLOOKUP("SOFTSTRAP0_EN",INDIRECT(Config!$B$1),HLOOKUP(N$1,INDIRECT(Config!$E$1),2,FALSE),FALSE)=0,0,1))</f>
        <v>N/A</v>
      </c>
    </row>
    <row r="18" spans="1:14" x14ac:dyDescent="0.35">
      <c r="A18" s="224"/>
      <c r="B18" s="4" t="s">
        <v>627</v>
      </c>
      <c r="C18" s="7">
        <v>20</v>
      </c>
      <c r="D18" s="7">
        <v>1</v>
      </c>
      <c r="E18" s="10" t="s">
        <v>302</v>
      </c>
      <c r="F18" s="17" t="s">
        <v>303</v>
      </c>
      <c r="G18" s="8">
        <v>0</v>
      </c>
      <c r="H18" s="8">
        <v>0</v>
      </c>
      <c r="I18" s="17"/>
      <c r="J18" s="7" t="s">
        <v>89</v>
      </c>
      <c r="K18" s="7" t="s">
        <v>499</v>
      </c>
      <c r="L18" s="4">
        <f ca="1">IF($B18="N/A", "N/A",IF(VLOOKUP("SOFTSTRAP0_EN",INDIRECT(Config!$B$1),HLOOKUP(L$1,INDIRECT(Config!$E$1),2,FALSE),FALSE)=0,0,1))</f>
        <v>1</v>
      </c>
      <c r="M18" s="4">
        <f ca="1">IF($B18="N/A", "N/A",IF(VLOOKUP("SOFTSTRAP0_EN",INDIRECT(Config!$B$1),HLOOKUP(M$1,INDIRECT(Config!$E$1),2,FALSE),FALSE)=0,0,1))</f>
        <v>1</v>
      </c>
      <c r="N18" s="4">
        <f ca="1">IF($B18="N/A", "N/A",IF(VLOOKUP("SOFTSTRAP0_EN",INDIRECT(Config!$B$1),HLOOKUP(N$1,INDIRECT(Config!$E$1),2,FALSE),FALSE)=0,0,1))</f>
        <v>0</v>
      </c>
    </row>
    <row r="19" spans="1:14" x14ac:dyDescent="0.35">
      <c r="A19" s="224"/>
      <c r="B19" s="4" t="s">
        <v>627</v>
      </c>
      <c r="C19" s="7">
        <v>21</v>
      </c>
      <c r="D19" s="7">
        <v>1</v>
      </c>
      <c r="E19" s="10" t="s">
        <v>304</v>
      </c>
      <c r="F19" s="17" t="s">
        <v>305</v>
      </c>
      <c r="G19" s="8">
        <v>0</v>
      </c>
      <c r="H19" s="8">
        <v>0</v>
      </c>
      <c r="I19" s="17"/>
      <c r="J19" s="7" t="s">
        <v>89</v>
      </c>
      <c r="K19" s="7" t="s">
        <v>500</v>
      </c>
      <c r="L19" s="4">
        <f ca="1">IF($B19="N/A", "N/A",IF(VLOOKUP("SOFTSTRAP0_EN",INDIRECT(Config!$B$1),HLOOKUP(L$1,INDIRECT(Config!$E$1),2,FALSE),FALSE)=0,0,1))</f>
        <v>1</v>
      </c>
      <c r="M19" s="4">
        <f ca="1">IF($B19="N/A", "N/A",IF(VLOOKUP("SOFTSTRAP0_EN",INDIRECT(Config!$B$1),HLOOKUP(M$1,INDIRECT(Config!$E$1),2,FALSE),FALSE)=0,0,1))</f>
        <v>1</v>
      </c>
      <c r="N19" s="4">
        <f ca="1">IF($B19="N/A", "N/A",IF(VLOOKUP("SOFTSTRAP0_EN",INDIRECT(Config!$B$1),HLOOKUP(N$1,INDIRECT(Config!$E$1),2,FALSE),FALSE)=0,0,1))</f>
        <v>0</v>
      </c>
    </row>
    <row r="20" spans="1:14" x14ac:dyDescent="0.35">
      <c r="A20" s="224"/>
      <c r="B20" s="2" t="s">
        <v>50</v>
      </c>
      <c r="C20" s="2">
        <v>22</v>
      </c>
      <c r="D20" s="2">
        <v>7</v>
      </c>
      <c r="E20" s="14"/>
      <c r="F20" s="17" t="s">
        <v>306</v>
      </c>
      <c r="G20" s="8">
        <v>0</v>
      </c>
      <c r="H20" s="8">
        <v>0</v>
      </c>
      <c r="I20" s="17"/>
      <c r="J20" s="7"/>
      <c r="K20" s="7" t="s">
        <v>472</v>
      </c>
      <c r="L20" s="4" t="str">
        <f ca="1">IF($B20="N/A", "N/A",IF(VLOOKUP("SOFTSTRAP0_EN",INDIRECT(Config!$B$1),HLOOKUP(L$1,INDIRECT(Config!$E$1),2,FALSE),FALSE)=0,0,1))</f>
        <v>N/A</v>
      </c>
      <c r="M20" s="4" t="str">
        <f ca="1">IF($B20="N/A", "N/A",IF(VLOOKUP("SOFTSTRAP0_EN",INDIRECT(Config!$B$1),HLOOKUP(M$1,INDIRECT(Config!$E$1),2,FALSE),FALSE)=0,0,1))</f>
        <v>N/A</v>
      </c>
      <c r="N20" s="4" t="str">
        <f ca="1">IF($B20="N/A", "N/A",IF(VLOOKUP("SOFTSTRAP0_EN",INDIRECT(Config!$B$1),HLOOKUP(N$1,INDIRECT(Config!$E$1),2,FALSE),FALSE)=0,0,1))</f>
        <v>N/A</v>
      </c>
    </row>
    <row r="21" spans="1:14" x14ac:dyDescent="0.35">
      <c r="A21" s="224"/>
      <c r="B21" s="4" t="s">
        <v>627</v>
      </c>
      <c r="C21" s="7">
        <v>29</v>
      </c>
      <c r="D21" s="7">
        <v>1</v>
      </c>
      <c r="E21" s="10" t="s">
        <v>307</v>
      </c>
      <c r="F21" s="17" t="s">
        <v>308</v>
      </c>
      <c r="G21" s="8">
        <v>0</v>
      </c>
      <c r="H21" s="8">
        <v>0</v>
      </c>
      <c r="I21" s="17"/>
      <c r="J21" s="7" t="s">
        <v>89</v>
      </c>
      <c r="K21" s="7" t="s">
        <v>501</v>
      </c>
      <c r="L21" s="4">
        <f ca="1">IF($B21="N/A", "N/A",IF(VLOOKUP("SOFTSTRAP0_EN",INDIRECT(Config!$B$1),HLOOKUP(L$1,INDIRECT(Config!$E$1),2,FALSE),FALSE)=0,0,1))</f>
        <v>1</v>
      </c>
      <c r="M21" s="4">
        <f ca="1">IF($B21="N/A", "N/A",IF(VLOOKUP("SOFTSTRAP0_EN",INDIRECT(Config!$B$1),HLOOKUP(M$1,INDIRECT(Config!$E$1),2,FALSE),FALSE)=0,0,1))</f>
        <v>1</v>
      </c>
      <c r="N21" s="4">
        <f ca="1">IF($B21="N/A", "N/A",IF(VLOOKUP("SOFTSTRAP0_EN",INDIRECT(Config!$B$1),HLOOKUP(N$1,INDIRECT(Config!$E$1),2,FALSE),FALSE)=0,0,1))</f>
        <v>0</v>
      </c>
    </row>
    <row r="22" spans="1:14" x14ac:dyDescent="0.35">
      <c r="A22" s="224"/>
      <c r="B22" s="7" t="s">
        <v>641</v>
      </c>
      <c r="C22" s="7">
        <v>30</v>
      </c>
      <c r="D22" s="7">
        <v>1</v>
      </c>
      <c r="E22" s="10" t="s">
        <v>309</v>
      </c>
      <c r="F22" s="17" t="s">
        <v>310</v>
      </c>
      <c r="G22" s="8">
        <v>0</v>
      </c>
      <c r="H22" s="8">
        <v>0</v>
      </c>
      <c r="I22" s="17"/>
      <c r="J22" s="7" t="s">
        <v>89</v>
      </c>
      <c r="K22" s="7" t="s">
        <v>502</v>
      </c>
      <c r="L22" s="4">
        <f ca="1">IF($B22="N/A", "N/A",IF(VLOOKUP("SOFTSTRAP0_EN",INDIRECT(Config!$B$1),HLOOKUP(L$1,INDIRECT(Config!$E$1),2,FALSE),FALSE)=0,0,VLOOKUP("TRC_PRESENT",INDIRECT(Config!$B$1),HLOOKUP(L$1,INDIRECT(Config!$E$1),2,FALSE),FALSE)))</f>
        <v>1</v>
      </c>
      <c r="M22" s="4">
        <f ca="1">IF($B22="N/A", "N/A",IF(VLOOKUP("SOFTSTRAP0_EN",INDIRECT(Config!$B$1),HLOOKUP(M$1,INDIRECT(Config!$E$1),2,FALSE),FALSE)=0,0,VLOOKUP("TRC_PRESENT",INDIRECT(Config!$B$1),HLOOKUP(M$1,INDIRECT(Config!$E$1),2,FALSE),FALSE)))</f>
        <v>1</v>
      </c>
      <c r="N22" s="4">
        <f ca="1">IF($B22="N/A", "N/A",IF(VLOOKUP("SOFTSTRAP0_EN",INDIRECT(Config!$B$1),HLOOKUP(N$1,INDIRECT(Config!$E$1),2,FALSE),FALSE)=0,0,VLOOKUP("TRC_PRESENT",INDIRECT(Config!$B$1),HLOOKUP(N$1,INDIRECT(Config!$E$1),2,FALSE),FALSE)))</f>
        <v>0</v>
      </c>
    </row>
    <row r="23" spans="1:14" x14ac:dyDescent="0.35">
      <c r="A23" s="225"/>
      <c r="B23" s="7" t="s">
        <v>642</v>
      </c>
      <c r="C23" s="7">
        <v>31</v>
      </c>
      <c r="D23" s="7">
        <v>1</v>
      </c>
      <c r="E23" s="9" t="s">
        <v>311</v>
      </c>
      <c r="F23" s="17" t="s">
        <v>312</v>
      </c>
      <c r="G23" s="8">
        <v>0</v>
      </c>
      <c r="H23" s="8">
        <v>0</v>
      </c>
      <c r="I23" s="17"/>
      <c r="J23" s="7" t="s">
        <v>89</v>
      </c>
      <c r="K23" s="7" t="s">
        <v>503</v>
      </c>
      <c r="L23" s="4">
        <f ca="1">IF($B23="N/A", "N/A",IF(VLOOKUP("SOFTSTRAP0_EN",INDIRECT(Config!$B$1),HLOOKUP(L$1,INDIRECT(Config!$E$1),2,FALSE),FALSE)=0,0,VLOOKUP("INCLUDE_MROM",INDIRECT(Config!$B$1),HLOOKUP(L$1,INDIRECT(Config!$E$1),2,FALSE),FALSE)))</f>
        <v>0</v>
      </c>
      <c r="M23" s="4">
        <f ca="1">IF($B23="N/A", "N/A",IF(VLOOKUP("SOFTSTRAP0_EN",INDIRECT(Config!$B$1),HLOOKUP(M$1,INDIRECT(Config!$E$1),2,FALSE),FALSE)=0,0,VLOOKUP("INCLUDE_MROM",INDIRECT(Config!$B$1),HLOOKUP(M$1,INDIRECT(Config!$E$1),2,FALSE),FALSE)))</f>
        <v>0</v>
      </c>
      <c r="N23" s="4">
        <f ca="1">IF($B23="N/A", "N/A",IF(VLOOKUP("SOFTSTRAP0_EN",INDIRECT(Config!$B$1),HLOOKUP(N$1,INDIRECT(Config!$E$1),2,FALSE),FALSE)=0,0,VLOOKUP("INCLUDE_MROM",INDIRECT(Config!$B$1),HLOOKUP(N$1,INDIRECT(Config!$E$1),2,FALSE),FALSE)))</f>
        <v>0</v>
      </c>
    </row>
    <row r="24" spans="1:14" x14ac:dyDescent="0.35">
      <c r="A24" s="203" t="s">
        <v>48</v>
      </c>
      <c r="B24" s="17" t="s">
        <v>644</v>
      </c>
      <c r="C24" s="7">
        <v>0</v>
      </c>
      <c r="D24" s="7">
        <v>1</v>
      </c>
      <c r="E24" s="9" t="s">
        <v>313</v>
      </c>
      <c r="F24" s="17" t="s">
        <v>314</v>
      </c>
      <c r="G24" s="8">
        <v>0</v>
      </c>
      <c r="H24" s="8">
        <v>0</v>
      </c>
      <c r="I24" s="17"/>
      <c r="J24" s="7" t="s">
        <v>89</v>
      </c>
      <c r="K24" s="7" t="s">
        <v>504</v>
      </c>
      <c r="L24" s="4">
        <f ca="1">IF($B24="N/A", "N/A",IF(VLOOKUP("SOFTSTRAP1_EN",INDIRECT(Config!$B$1),HLOOKUP(L$1,INDIRECT(Config!$E$1),2,FALSE),FALSE)=0,0,VLOOKUP("INCLUDE_CM",INDIRECT(Config!$B$1),HLOOKUP(L$1,INDIRECT(Config!$E$1),2,FALSE),FALSE)))</f>
        <v>1</v>
      </c>
      <c r="M24" s="4">
        <f ca="1">IF($B24="N/A", "N/A",IF(VLOOKUP("SOFTSTRAP1_EN",INDIRECT(Config!$B$1),HLOOKUP(M$1,INDIRECT(Config!$E$1),2,FALSE),FALSE)=0,0,VLOOKUP("INCLUDE_CM",INDIRECT(Config!$B$1),HLOOKUP(M$1,INDIRECT(Config!$E$1),2,FALSE),FALSE)))</f>
        <v>0</v>
      </c>
      <c r="N24" s="4">
        <f ca="1">IF($B24="N/A", "N/A",IF(VLOOKUP("SOFTSTRAP1_EN",INDIRECT(Config!$B$1),HLOOKUP(N$1,INDIRECT(Config!$E$1),2,FALSE),FALSE)=0,0,VLOOKUP("INCLUDE_CM",INDIRECT(Config!$B$1),HLOOKUP(N$1,INDIRECT(Config!$E$1),2,FALSE),FALSE)))</f>
        <v>0</v>
      </c>
    </row>
    <row r="25" spans="1:14" x14ac:dyDescent="0.35">
      <c r="A25" s="208"/>
      <c r="B25" s="17" t="s">
        <v>644</v>
      </c>
      <c r="C25" s="7">
        <v>1</v>
      </c>
      <c r="D25" s="7">
        <v>1</v>
      </c>
      <c r="E25" s="12" t="s">
        <v>315</v>
      </c>
      <c r="F25" s="17" t="s">
        <v>316</v>
      </c>
      <c r="G25" s="8">
        <v>0</v>
      </c>
      <c r="H25" s="8">
        <v>0</v>
      </c>
      <c r="I25" s="17"/>
      <c r="J25" s="7" t="s">
        <v>89</v>
      </c>
      <c r="K25" s="7" t="s">
        <v>505</v>
      </c>
      <c r="L25" s="4">
        <f ca="1">IF($B25="N/A", "N/A",IF(VLOOKUP("SOFTSTRAP1_EN",INDIRECT(Config!$B$1),HLOOKUP(L$1,INDIRECT(Config!$E$1),2,FALSE),FALSE)=0,0,VLOOKUP("INCLUDE_CM",INDIRECT(Config!$B$1),HLOOKUP(L$1,INDIRECT(Config!$E$1),2,FALSE),FALSE)))</f>
        <v>1</v>
      </c>
      <c r="M25" s="4">
        <f ca="1">IF($B25="N/A", "N/A",IF(VLOOKUP("SOFTSTRAP1_EN",INDIRECT(Config!$B$1),HLOOKUP(M$1,INDIRECT(Config!$E$1),2,FALSE),FALSE)=0,0,VLOOKUP("INCLUDE_CM",INDIRECT(Config!$B$1),HLOOKUP(M$1,INDIRECT(Config!$E$1),2,FALSE),FALSE)))</f>
        <v>0</v>
      </c>
      <c r="N25" s="4">
        <f ca="1">IF($B25="N/A", "N/A",IF(VLOOKUP("SOFTSTRAP1_EN",INDIRECT(Config!$B$1),HLOOKUP(N$1,INDIRECT(Config!$E$1),2,FALSE),FALSE)=0,0,VLOOKUP("INCLUDE_CM",INDIRECT(Config!$B$1),HLOOKUP(N$1,INDIRECT(Config!$E$1),2,FALSE),FALSE)))</f>
        <v>0</v>
      </c>
    </row>
    <row r="26" spans="1:14" x14ac:dyDescent="0.35">
      <c r="A26" s="208"/>
      <c r="B26" s="17" t="s">
        <v>644</v>
      </c>
      <c r="C26" s="7">
        <v>2</v>
      </c>
      <c r="D26" s="7">
        <v>1</v>
      </c>
      <c r="E26" s="12" t="s">
        <v>317</v>
      </c>
      <c r="F26" s="17" t="s">
        <v>318</v>
      </c>
      <c r="G26" s="8">
        <v>0</v>
      </c>
      <c r="H26" s="8">
        <v>0</v>
      </c>
      <c r="I26" s="17"/>
      <c r="J26" s="7" t="s">
        <v>89</v>
      </c>
      <c r="K26" s="7" t="s">
        <v>506</v>
      </c>
      <c r="L26" s="4">
        <f ca="1">IF($B26="N/A", "N/A",IF(VLOOKUP("SOFTSTRAP1_EN",INDIRECT(Config!$B$1),HLOOKUP(L$1,INDIRECT(Config!$E$1),2,FALSE),FALSE)=0,0,VLOOKUP("INCLUDE_CM",INDIRECT(Config!$B$1),HLOOKUP(L$1,INDIRECT(Config!$E$1),2,FALSE),FALSE)))</f>
        <v>1</v>
      </c>
      <c r="M26" s="4">
        <f ca="1">IF($B26="N/A", "N/A",IF(VLOOKUP("SOFTSTRAP1_EN",INDIRECT(Config!$B$1),HLOOKUP(M$1,INDIRECT(Config!$E$1),2,FALSE),FALSE)=0,0,VLOOKUP("INCLUDE_CM",INDIRECT(Config!$B$1),HLOOKUP(M$1,INDIRECT(Config!$E$1),2,FALSE),FALSE)))</f>
        <v>0</v>
      </c>
      <c r="N26" s="4">
        <f ca="1">IF($B26="N/A", "N/A",IF(VLOOKUP("SOFTSTRAP1_EN",INDIRECT(Config!$B$1),HLOOKUP(N$1,INDIRECT(Config!$E$1),2,FALSE),FALSE)=0,0,VLOOKUP("INCLUDE_CM",INDIRECT(Config!$B$1),HLOOKUP(N$1,INDIRECT(Config!$E$1),2,FALSE),FALSE)))</f>
        <v>0</v>
      </c>
    </row>
    <row r="27" spans="1:14" x14ac:dyDescent="0.35">
      <c r="A27" s="208"/>
      <c r="B27" s="17" t="s">
        <v>644</v>
      </c>
      <c r="C27" s="7">
        <v>3</v>
      </c>
      <c r="D27" s="7">
        <v>1</v>
      </c>
      <c r="E27" s="12" t="s">
        <v>319</v>
      </c>
      <c r="F27" s="17" t="s">
        <v>320</v>
      </c>
      <c r="G27" s="8">
        <v>0</v>
      </c>
      <c r="H27" s="8">
        <v>0</v>
      </c>
      <c r="I27" s="17"/>
      <c r="J27" s="7" t="s">
        <v>89</v>
      </c>
      <c r="K27" s="7" t="s">
        <v>507</v>
      </c>
      <c r="L27" s="4">
        <f ca="1">IF($B27="N/A", "N/A",IF(VLOOKUP("SOFTSTRAP1_EN",INDIRECT(Config!$B$1),HLOOKUP(L$1,INDIRECT(Config!$E$1),2,FALSE),FALSE)=0,0,VLOOKUP("INCLUDE_CM",INDIRECT(Config!$B$1),HLOOKUP(L$1,INDIRECT(Config!$E$1),2,FALSE),FALSE)))</f>
        <v>1</v>
      </c>
      <c r="M27" s="4">
        <f ca="1">IF($B27="N/A", "N/A",IF(VLOOKUP("SOFTSTRAP1_EN",INDIRECT(Config!$B$1),HLOOKUP(M$1,INDIRECT(Config!$E$1),2,FALSE),FALSE)=0,0,VLOOKUP("INCLUDE_CM",INDIRECT(Config!$B$1),HLOOKUP(M$1,INDIRECT(Config!$E$1),2,FALSE),FALSE)))</f>
        <v>0</v>
      </c>
      <c r="N27" s="4">
        <f ca="1">IF($B27="N/A", "N/A",IF(VLOOKUP("SOFTSTRAP1_EN",INDIRECT(Config!$B$1),HLOOKUP(N$1,INDIRECT(Config!$E$1),2,FALSE),FALSE)=0,0,VLOOKUP("INCLUDE_CM",INDIRECT(Config!$B$1),HLOOKUP(N$1,INDIRECT(Config!$E$1),2,FALSE),FALSE)))</f>
        <v>0</v>
      </c>
    </row>
    <row r="28" spans="1:14" x14ac:dyDescent="0.35">
      <c r="A28" s="208"/>
      <c r="B28" s="17" t="s">
        <v>644</v>
      </c>
      <c r="C28" s="7">
        <v>4</v>
      </c>
      <c r="D28" s="7">
        <v>1</v>
      </c>
      <c r="E28" s="12" t="s">
        <v>321</v>
      </c>
      <c r="F28" s="17" t="s">
        <v>322</v>
      </c>
      <c r="G28" s="8">
        <v>0</v>
      </c>
      <c r="H28" s="8">
        <v>0</v>
      </c>
      <c r="I28" s="17"/>
      <c r="J28" s="7" t="s">
        <v>89</v>
      </c>
      <c r="K28" s="7" t="s">
        <v>508</v>
      </c>
      <c r="L28" s="4">
        <f ca="1">IF($B28="N/A", "N/A",IF(VLOOKUP("SOFTSTRAP1_EN",INDIRECT(Config!$B$1),HLOOKUP(L$1,INDIRECT(Config!$E$1),2,FALSE),FALSE)=0,0,VLOOKUP("INCLUDE_CM",INDIRECT(Config!$B$1),HLOOKUP(L$1,INDIRECT(Config!$E$1),2,FALSE),FALSE)))</f>
        <v>1</v>
      </c>
      <c r="M28" s="4">
        <f ca="1">IF($B28="N/A", "N/A",IF(VLOOKUP("SOFTSTRAP1_EN",INDIRECT(Config!$B$1),HLOOKUP(M$1,INDIRECT(Config!$E$1),2,FALSE),FALSE)=0,0,VLOOKUP("INCLUDE_CM",INDIRECT(Config!$B$1),HLOOKUP(M$1,INDIRECT(Config!$E$1),2,FALSE),FALSE)))</f>
        <v>0</v>
      </c>
      <c r="N28" s="4">
        <f ca="1">IF($B28="N/A", "N/A",IF(VLOOKUP("SOFTSTRAP1_EN",INDIRECT(Config!$B$1),HLOOKUP(N$1,INDIRECT(Config!$E$1),2,FALSE),FALSE)=0,0,VLOOKUP("INCLUDE_CM",INDIRECT(Config!$B$1),HLOOKUP(N$1,INDIRECT(Config!$E$1),2,FALSE),FALSE)))</f>
        <v>0</v>
      </c>
    </row>
    <row r="29" spans="1:14" x14ac:dyDescent="0.35">
      <c r="A29" s="208"/>
      <c r="B29" s="17" t="s">
        <v>644</v>
      </c>
      <c r="C29" s="7">
        <v>5</v>
      </c>
      <c r="D29" s="7">
        <v>1</v>
      </c>
      <c r="E29" s="12" t="s">
        <v>323</v>
      </c>
      <c r="F29" s="17" t="s">
        <v>324</v>
      </c>
      <c r="G29" s="8">
        <v>0</v>
      </c>
      <c r="H29" s="8">
        <v>0</v>
      </c>
      <c r="I29" s="17"/>
      <c r="J29" s="7" t="s">
        <v>89</v>
      </c>
      <c r="K29" s="7" t="s">
        <v>509</v>
      </c>
      <c r="L29" s="4">
        <f ca="1">IF($B29="N/A", "N/A",IF(VLOOKUP("SOFTSTRAP1_EN",INDIRECT(Config!$B$1),HLOOKUP(L$1,INDIRECT(Config!$E$1),2,FALSE),FALSE)=0,0,VLOOKUP("INCLUDE_CM",INDIRECT(Config!$B$1),HLOOKUP(L$1,INDIRECT(Config!$E$1),2,FALSE),FALSE)))</f>
        <v>1</v>
      </c>
      <c r="M29" s="4">
        <f ca="1">IF($B29="N/A", "N/A",IF(VLOOKUP("SOFTSTRAP1_EN",INDIRECT(Config!$B$1),HLOOKUP(M$1,INDIRECT(Config!$E$1),2,FALSE),FALSE)=0,0,VLOOKUP("INCLUDE_CM",INDIRECT(Config!$B$1),HLOOKUP(M$1,INDIRECT(Config!$E$1),2,FALSE),FALSE)))</f>
        <v>0</v>
      </c>
      <c r="N29" s="4">
        <f ca="1">IF($B29="N/A", "N/A",IF(VLOOKUP("SOFTSTRAP1_EN",INDIRECT(Config!$B$1),HLOOKUP(N$1,INDIRECT(Config!$E$1),2,FALSE),FALSE)=0,0,VLOOKUP("INCLUDE_CM",INDIRECT(Config!$B$1),HLOOKUP(N$1,INDIRECT(Config!$E$1),2,FALSE),FALSE)))</f>
        <v>0</v>
      </c>
    </row>
    <row r="30" spans="1:14" x14ac:dyDescent="0.35">
      <c r="A30" s="208"/>
      <c r="B30" s="17" t="s">
        <v>644</v>
      </c>
      <c r="C30" s="7">
        <v>6</v>
      </c>
      <c r="D30" s="7">
        <v>1</v>
      </c>
      <c r="E30" s="12" t="s">
        <v>325</v>
      </c>
      <c r="F30" s="17" t="s">
        <v>326</v>
      </c>
      <c r="G30" s="8">
        <v>0</v>
      </c>
      <c r="H30" s="8">
        <v>0</v>
      </c>
      <c r="I30" s="17"/>
      <c r="J30" s="7" t="s">
        <v>89</v>
      </c>
      <c r="K30" s="7" t="s">
        <v>510</v>
      </c>
      <c r="L30" s="4">
        <f ca="1">IF($B30="N/A", "N/A",IF(VLOOKUP("SOFTSTRAP1_EN",INDIRECT(Config!$B$1),HLOOKUP(L$1,INDIRECT(Config!$E$1),2,FALSE),FALSE)=0,0,VLOOKUP("INCLUDE_CM",INDIRECT(Config!$B$1),HLOOKUP(L$1,INDIRECT(Config!$E$1),2,FALSE),FALSE)))</f>
        <v>1</v>
      </c>
      <c r="M30" s="4">
        <f ca="1">IF($B30="N/A", "N/A",IF(VLOOKUP("SOFTSTRAP1_EN",INDIRECT(Config!$B$1),HLOOKUP(M$1,INDIRECT(Config!$E$1),2,FALSE),FALSE)=0,0,VLOOKUP("INCLUDE_CM",INDIRECT(Config!$B$1),HLOOKUP(M$1,INDIRECT(Config!$E$1),2,FALSE),FALSE)))</f>
        <v>0</v>
      </c>
      <c r="N30" s="4">
        <f ca="1">IF($B30="N/A", "N/A",IF(VLOOKUP("SOFTSTRAP1_EN",INDIRECT(Config!$B$1),HLOOKUP(N$1,INDIRECT(Config!$E$1),2,FALSE),FALSE)=0,0,VLOOKUP("INCLUDE_CM",INDIRECT(Config!$B$1),HLOOKUP(N$1,INDIRECT(Config!$E$1),2,FALSE),FALSE)))</f>
        <v>0</v>
      </c>
    </row>
    <row r="31" spans="1:14" x14ac:dyDescent="0.35">
      <c r="A31" s="208"/>
      <c r="B31" s="17" t="s">
        <v>644</v>
      </c>
      <c r="C31" s="7">
        <v>7</v>
      </c>
      <c r="D31" s="7">
        <v>1</v>
      </c>
      <c r="E31" s="12" t="s">
        <v>327</v>
      </c>
      <c r="F31" s="17" t="s">
        <v>328</v>
      </c>
      <c r="G31" s="8">
        <v>0</v>
      </c>
      <c r="H31" s="8">
        <v>0</v>
      </c>
      <c r="I31" s="17"/>
      <c r="J31" s="7" t="s">
        <v>89</v>
      </c>
      <c r="K31" s="7" t="s">
        <v>511</v>
      </c>
      <c r="L31" s="4">
        <f ca="1">IF($B31="N/A", "N/A",IF(VLOOKUP("SOFTSTRAP1_EN",INDIRECT(Config!$B$1),HLOOKUP(L$1,INDIRECT(Config!$E$1),2,FALSE),FALSE)=0,0,VLOOKUP("INCLUDE_CM",INDIRECT(Config!$B$1),HLOOKUP(L$1,INDIRECT(Config!$E$1),2,FALSE),FALSE)))</f>
        <v>1</v>
      </c>
      <c r="M31" s="4">
        <f ca="1">IF($B31="N/A", "N/A",IF(VLOOKUP("SOFTSTRAP1_EN",INDIRECT(Config!$B$1),HLOOKUP(M$1,INDIRECT(Config!$E$1),2,FALSE),FALSE)=0,0,VLOOKUP("INCLUDE_CM",INDIRECT(Config!$B$1),HLOOKUP(M$1,INDIRECT(Config!$E$1),2,FALSE),FALSE)))</f>
        <v>0</v>
      </c>
      <c r="N31" s="4">
        <f ca="1">IF($B31="N/A", "N/A",IF(VLOOKUP("SOFTSTRAP1_EN",INDIRECT(Config!$B$1),HLOOKUP(N$1,INDIRECT(Config!$E$1),2,FALSE),FALSE)=0,0,VLOOKUP("INCLUDE_CM",INDIRECT(Config!$B$1),HLOOKUP(N$1,INDIRECT(Config!$E$1),2,FALSE),FALSE)))</f>
        <v>0</v>
      </c>
    </row>
    <row r="32" spans="1:14" x14ac:dyDescent="0.35">
      <c r="A32" s="208"/>
      <c r="B32" s="17" t="s">
        <v>644</v>
      </c>
      <c r="C32" s="7">
        <v>8</v>
      </c>
      <c r="D32" s="7">
        <v>1</v>
      </c>
      <c r="E32" s="12" t="s">
        <v>329</v>
      </c>
      <c r="F32" s="17" t="s">
        <v>330</v>
      </c>
      <c r="G32" s="8">
        <v>0</v>
      </c>
      <c r="H32" s="8">
        <v>0</v>
      </c>
      <c r="I32" s="17"/>
      <c r="J32" s="7" t="s">
        <v>89</v>
      </c>
      <c r="K32" s="7" t="s">
        <v>512</v>
      </c>
      <c r="L32" s="4">
        <f ca="1">IF($B32="N/A", "N/A",IF(VLOOKUP("SOFTSTRAP1_EN",INDIRECT(Config!$B$1),HLOOKUP(L$1,INDIRECT(Config!$E$1),2,FALSE),FALSE)=0,0,VLOOKUP("INCLUDE_CM",INDIRECT(Config!$B$1),HLOOKUP(L$1,INDIRECT(Config!$E$1),2,FALSE),FALSE)))</f>
        <v>1</v>
      </c>
      <c r="M32" s="4">
        <f ca="1">IF($B32="N/A", "N/A",IF(VLOOKUP("SOFTSTRAP1_EN",INDIRECT(Config!$B$1),HLOOKUP(M$1,INDIRECT(Config!$E$1),2,FALSE),FALSE)=0,0,VLOOKUP("INCLUDE_CM",INDIRECT(Config!$B$1),HLOOKUP(M$1,INDIRECT(Config!$E$1),2,FALSE),FALSE)))</f>
        <v>0</v>
      </c>
      <c r="N32" s="4">
        <f ca="1">IF($B32="N/A", "N/A",IF(VLOOKUP("SOFTSTRAP1_EN",INDIRECT(Config!$B$1),HLOOKUP(N$1,INDIRECT(Config!$E$1),2,FALSE),FALSE)=0,0,VLOOKUP("INCLUDE_CM",INDIRECT(Config!$B$1),HLOOKUP(N$1,INDIRECT(Config!$E$1),2,FALSE),FALSE)))</f>
        <v>0</v>
      </c>
    </row>
    <row r="33" spans="1:14" x14ac:dyDescent="0.35">
      <c r="A33" s="208"/>
      <c r="B33" s="17" t="s">
        <v>644</v>
      </c>
      <c r="C33" s="7">
        <v>9</v>
      </c>
      <c r="D33" s="7">
        <v>1</v>
      </c>
      <c r="E33" s="12" t="s">
        <v>331</v>
      </c>
      <c r="F33" s="17" t="s">
        <v>332</v>
      </c>
      <c r="G33" s="8">
        <v>0</v>
      </c>
      <c r="H33" s="8">
        <v>0</v>
      </c>
      <c r="I33" s="17"/>
      <c r="J33" s="7" t="s">
        <v>89</v>
      </c>
      <c r="K33" s="7" t="s">
        <v>513</v>
      </c>
      <c r="L33" s="4">
        <f ca="1">IF($B33="N/A", "N/A",IF(VLOOKUP("SOFTSTRAP1_EN",INDIRECT(Config!$B$1),HLOOKUP(L$1,INDIRECT(Config!$E$1),2,FALSE),FALSE)=0,0,VLOOKUP("INCLUDE_CM",INDIRECT(Config!$B$1),HLOOKUP(L$1,INDIRECT(Config!$E$1),2,FALSE),FALSE)))</f>
        <v>1</v>
      </c>
      <c r="M33" s="4">
        <f ca="1">IF($B33="N/A", "N/A",IF(VLOOKUP("SOFTSTRAP1_EN",INDIRECT(Config!$B$1),HLOOKUP(M$1,INDIRECT(Config!$E$1),2,FALSE),FALSE)=0,0,VLOOKUP("INCLUDE_CM",INDIRECT(Config!$B$1),HLOOKUP(M$1,INDIRECT(Config!$E$1),2,FALSE),FALSE)))</f>
        <v>0</v>
      </c>
      <c r="N33" s="4">
        <f ca="1">IF($B33="N/A", "N/A",IF(VLOOKUP("SOFTSTRAP1_EN",INDIRECT(Config!$B$1),HLOOKUP(N$1,INDIRECT(Config!$E$1),2,FALSE),FALSE)=0,0,VLOOKUP("INCLUDE_CM",INDIRECT(Config!$B$1),HLOOKUP(N$1,INDIRECT(Config!$E$1),2,FALSE),FALSE)))</f>
        <v>0</v>
      </c>
    </row>
    <row r="34" spans="1:14" x14ac:dyDescent="0.35">
      <c r="A34" s="208"/>
      <c r="B34" s="2" t="s">
        <v>50</v>
      </c>
      <c r="C34" s="2">
        <v>10</v>
      </c>
      <c r="D34" s="2">
        <v>1</v>
      </c>
      <c r="E34" s="13"/>
      <c r="F34" s="17" t="s">
        <v>333</v>
      </c>
      <c r="G34" s="8">
        <v>0</v>
      </c>
      <c r="H34" s="8">
        <v>0</v>
      </c>
      <c r="I34" s="17"/>
      <c r="J34" s="7"/>
      <c r="K34" s="7" t="s">
        <v>472</v>
      </c>
      <c r="L34" s="4" t="str">
        <f ca="1">IF($B34="N/A", "N/A",IF(VLOOKUP("SOFTSTRAP1_EN",INDIRECT(Config!$B$1),HLOOKUP(L$1,INDIRECT(Config!$E$1),2,FALSE),FALSE)=0,0,1))</f>
        <v>N/A</v>
      </c>
      <c r="M34" s="4" t="str">
        <f ca="1">IF($B34="N/A", "N/A",IF(VLOOKUP("SOFTSTRAP1_EN",INDIRECT(Config!$B$1),HLOOKUP(M$1,INDIRECT(Config!$E$1),2,FALSE),FALSE)=0,0,1))</f>
        <v>N/A</v>
      </c>
      <c r="N34" s="4" t="str">
        <f ca="1">IF($B34="N/A", "N/A",IF(VLOOKUP("SOFTSTRAP1_EN",INDIRECT(Config!$B$1),HLOOKUP(N$1,INDIRECT(Config!$E$1),2,FALSE),FALSE)=0,0,1))</f>
        <v>N/A</v>
      </c>
    </row>
    <row r="35" spans="1:14" x14ac:dyDescent="0.35">
      <c r="A35" s="208"/>
      <c r="B35" s="2" t="s">
        <v>50</v>
      </c>
      <c r="C35" s="2">
        <v>11</v>
      </c>
      <c r="D35" s="2">
        <v>1</v>
      </c>
      <c r="E35" s="13"/>
      <c r="F35" s="17" t="s">
        <v>334</v>
      </c>
      <c r="G35" s="8">
        <v>0</v>
      </c>
      <c r="H35" s="8">
        <v>0</v>
      </c>
      <c r="I35" s="17"/>
      <c r="J35" s="7"/>
      <c r="K35" s="7" t="s">
        <v>472</v>
      </c>
      <c r="L35" s="4" t="str">
        <f ca="1">IF($B35="N/A", "N/A",IF(VLOOKUP("SOFTSTRAP1_EN",INDIRECT(Config!$B$1),HLOOKUP(L$1,INDIRECT(Config!$E$1),2,FALSE),FALSE)=0,0,1))</f>
        <v>N/A</v>
      </c>
      <c r="M35" s="4" t="str">
        <f ca="1">IF($B35="N/A", "N/A",IF(VLOOKUP("SOFTSTRAP1_EN",INDIRECT(Config!$B$1),HLOOKUP(M$1,INDIRECT(Config!$E$1),2,FALSE),FALSE)=0,0,1))</f>
        <v>N/A</v>
      </c>
      <c r="N35" s="4" t="str">
        <f ca="1">IF($B35="N/A", "N/A",IF(VLOOKUP("SOFTSTRAP1_EN",INDIRECT(Config!$B$1),HLOOKUP(N$1,INDIRECT(Config!$E$1),2,FALSE),FALSE)=0,0,1))</f>
        <v>N/A</v>
      </c>
    </row>
    <row r="36" spans="1:14" x14ac:dyDescent="0.35">
      <c r="A36" s="208"/>
      <c r="B36" s="2" t="s">
        <v>50</v>
      </c>
      <c r="C36" s="2">
        <v>12</v>
      </c>
      <c r="D36" s="2">
        <v>1</v>
      </c>
      <c r="E36" s="13"/>
      <c r="F36" s="17" t="s">
        <v>335</v>
      </c>
      <c r="G36" s="8">
        <v>0</v>
      </c>
      <c r="H36" s="8">
        <v>0</v>
      </c>
      <c r="I36" s="17"/>
      <c r="J36" s="7"/>
      <c r="K36" s="7" t="s">
        <v>472</v>
      </c>
      <c r="L36" s="4" t="str">
        <f ca="1">IF($B36="N/A", "N/A",IF(VLOOKUP("SOFTSTRAP1_EN",INDIRECT(Config!$B$1),HLOOKUP(L$1,INDIRECT(Config!$E$1),2,FALSE),FALSE)=0,0,1))</f>
        <v>N/A</v>
      </c>
      <c r="M36" s="4" t="str">
        <f ca="1">IF($B36="N/A", "N/A",IF(VLOOKUP("SOFTSTRAP1_EN",INDIRECT(Config!$B$1),HLOOKUP(M$1,INDIRECT(Config!$E$1),2,FALSE),FALSE)=0,0,1))</f>
        <v>N/A</v>
      </c>
      <c r="N36" s="4" t="str">
        <f ca="1">IF($B36="N/A", "N/A",IF(VLOOKUP("SOFTSTRAP1_EN",INDIRECT(Config!$B$1),HLOOKUP(N$1,INDIRECT(Config!$E$1),2,FALSE),FALSE)=0,0,1))</f>
        <v>N/A</v>
      </c>
    </row>
    <row r="37" spans="1:14" x14ac:dyDescent="0.35">
      <c r="A37" s="208"/>
      <c r="B37" s="2" t="s">
        <v>50</v>
      </c>
      <c r="C37" s="2">
        <v>13</v>
      </c>
      <c r="D37" s="2">
        <v>1</v>
      </c>
      <c r="E37" s="13"/>
      <c r="F37" s="17" t="s">
        <v>336</v>
      </c>
      <c r="G37" s="8">
        <v>0</v>
      </c>
      <c r="H37" s="8">
        <v>0</v>
      </c>
      <c r="I37" s="17"/>
      <c r="J37" s="7"/>
      <c r="K37" s="7" t="s">
        <v>472</v>
      </c>
      <c r="L37" s="4" t="str">
        <f ca="1">IF($B37="N/A", "N/A",IF(VLOOKUP("SOFTSTRAP1_EN",INDIRECT(Config!$B$1),HLOOKUP(L$1,INDIRECT(Config!$E$1),2,FALSE),FALSE)=0,0,1))</f>
        <v>N/A</v>
      </c>
      <c r="M37" s="4" t="str">
        <f ca="1">IF($B37="N/A", "N/A",IF(VLOOKUP("SOFTSTRAP1_EN",INDIRECT(Config!$B$1),HLOOKUP(M$1,INDIRECT(Config!$E$1),2,FALSE),FALSE)=0,0,1))</f>
        <v>N/A</v>
      </c>
      <c r="N37" s="4" t="str">
        <f ca="1">IF($B37="N/A", "N/A",IF(VLOOKUP("SOFTSTRAP1_EN",INDIRECT(Config!$B$1),HLOOKUP(N$1,INDIRECT(Config!$E$1),2,FALSE),FALSE)=0,0,1))</f>
        <v>N/A</v>
      </c>
    </row>
    <row r="38" spans="1:14" x14ac:dyDescent="0.35">
      <c r="A38" s="208"/>
      <c r="B38" s="2" t="s">
        <v>50</v>
      </c>
      <c r="C38" s="2">
        <v>14</v>
      </c>
      <c r="D38" s="2">
        <v>1</v>
      </c>
      <c r="E38" s="13"/>
      <c r="F38" s="17" t="s">
        <v>337</v>
      </c>
      <c r="G38" s="8">
        <v>0</v>
      </c>
      <c r="H38" s="8">
        <v>0</v>
      </c>
      <c r="I38" s="17"/>
      <c r="J38" s="7"/>
      <c r="K38" s="7" t="s">
        <v>472</v>
      </c>
      <c r="L38" s="4" t="str">
        <f ca="1">IF($B38="N/A", "N/A",IF(VLOOKUP("SOFTSTRAP1_EN",INDIRECT(Config!$B$1),HLOOKUP(L$1,INDIRECT(Config!$E$1),2,FALSE),FALSE)=0,0,1))</f>
        <v>N/A</v>
      </c>
      <c r="M38" s="4" t="str">
        <f ca="1">IF($B38="N/A", "N/A",IF(VLOOKUP("SOFTSTRAP1_EN",INDIRECT(Config!$B$1),HLOOKUP(M$1,INDIRECT(Config!$E$1),2,FALSE),FALSE)=0,0,1))</f>
        <v>N/A</v>
      </c>
      <c r="N38" s="4" t="str">
        <f ca="1">IF($B38="N/A", "N/A",IF(VLOOKUP("SOFTSTRAP1_EN",INDIRECT(Config!$B$1),HLOOKUP(N$1,INDIRECT(Config!$E$1),2,FALSE),FALSE)=0,0,1))</f>
        <v>N/A</v>
      </c>
    </row>
    <row r="39" spans="1:14" x14ac:dyDescent="0.35">
      <c r="A39" s="208"/>
      <c r="B39" s="2" t="s">
        <v>50</v>
      </c>
      <c r="C39" s="2">
        <v>15</v>
      </c>
      <c r="D39" s="2">
        <v>1</v>
      </c>
      <c r="E39" s="13"/>
      <c r="F39" s="17" t="s">
        <v>338</v>
      </c>
      <c r="G39" s="8">
        <v>0</v>
      </c>
      <c r="H39" s="8">
        <v>0</v>
      </c>
      <c r="I39" s="17"/>
      <c r="J39" s="7"/>
      <c r="K39" s="7" t="s">
        <v>472</v>
      </c>
      <c r="L39" s="4" t="str">
        <f ca="1">IF($B39="N/A", "N/A",IF(VLOOKUP("SOFTSTRAP1_EN",INDIRECT(Config!$B$1),HLOOKUP(L$1,INDIRECT(Config!$E$1),2,FALSE),FALSE)=0,0,1))</f>
        <v>N/A</v>
      </c>
      <c r="M39" s="4" t="str">
        <f ca="1">IF($B39="N/A", "N/A",IF(VLOOKUP("SOFTSTRAP1_EN",INDIRECT(Config!$B$1),HLOOKUP(M$1,INDIRECT(Config!$E$1),2,FALSE),FALSE)=0,0,1))</f>
        <v>N/A</v>
      </c>
      <c r="N39" s="4" t="str">
        <f ca="1">IF($B39="N/A", "N/A",IF(VLOOKUP("SOFTSTRAP1_EN",INDIRECT(Config!$B$1),HLOOKUP(N$1,INDIRECT(Config!$E$1),2,FALSE),FALSE)=0,0,1))</f>
        <v>N/A</v>
      </c>
    </row>
    <row r="40" spans="1:14" x14ac:dyDescent="0.35">
      <c r="A40" s="208"/>
      <c r="B40" s="17" t="s">
        <v>644</v>
      </c>
      <c r="C40" s="7">
        <v>16</v>
      </c>
      <c r="D40" s="7">
        <v>1</v>
      </c>
      <c r="E40" s="12" t="s">
        <v>339</v>
      </c>
      <c r="F40" s="17" t="s">
        <v>340</v>
      </c>
      <c r="G40" s="8">
        <v>0</v>
      </c>
      <c r="H40" s="8">
        <v>0</v>
      </c>
      <c r="I40" s="17"/>
      <c r="J40" s="7" t="s">
        <v>89</v>
      </c>
      <c r="K40" s="7" t="s">
        <v>514</v>
      </c>
      <c r="L40" s="4">
        <f ca="1">IF($B40="N/A", "N/A",IF(VLOOKUP("SOFTSTRAP1_EN",INDIRECT(Config!$B$1),HLOOKUP(L$1,INDIRECT(Config!$E$1),2,FALSE),FALSE)=0,0,VLOOKUP("INCLUDE_CM",INDIRECT(Config!$B$1),HLOOKUP(L$1,INDIRECT(Config!$E$1),2,FALSE),FALSE)))</f>
        <v>1</v>
      </c>
      <c r="M40" s="4">
        <f ca="1">IF($B40="N/A", "N/A",IF(VLOOKUP("SOFTSTRAP1_EN",INDIRECT(Config!$B$1),HLOOKUP(M$1,INDIRECT(Config!$E$1),2,FALSE),FALSE)=0,0,VLOOKUP("INCLUDE_CM",INDIRECT(Config!$B$1),HLOOKUP(M$1,INDIRECT(Config!$E$1),2,FALSE),FALSE)))</f>
        <v>0</v>
      </c>
      <c r="N40" s="4">
        <f ca="1">IF($B40="N/A", "N/A",IF(VLOOKUP("SOFTSTRAP1_EN",INDIRECT(Config!$B$1),HLOOKUP(N$1,INDIRECT(Config!$E$1),2,FALSE),FALSE)=0,0,VLOOKUP("INCLUDE_CM",INDIRECT(Config!$B$1),HLOOKUP(N$1,INDIRECT(Config!$E$1),2,FALSE),FALSE)))</f>
        <v>0</v>
      </c>
    </row>
    <row r="41" spans="1:14" x14ac:dyDescent="0.35">
      <c r="A41" s="208"/>
      <c r="B41" s="2" t="s">
        <v>50</v>
      </c>
      <c r="C41" s="2">
        <v>17</v>
      </c>
      <c r="D41" s="2">
        <v>1</v>
      </c>
      <c r="E41" s="13"/>
      <c r="F41" s="17" t="s">
        <v>341</v>
      </c>
      <c r="G41" s="8">
        <v>0</v>
      </c>
      <c r="H41" s="8">
        <v>0</v>
      </c>
      <c r="I41" s="17"/>
      <c r="J41" s="7"/>
      <c r="K41" s="7" t="s">
        <v>472</v>
      </c>
      <c r="L41" s="4" t="str">
        <f ca="1">IF($B41="N/A", "N/A",IF(VLOOKUP("SOFTSTRAP1_EN",INDIRECT(Config!$B$1),HLOOKUP(L$1,INDIRECT(Config!$E$1),2,FALSE),FALSE)=0,0,1))</f>
        <v>N/A</v>
      </c>
      <c r="M41" s="4" t="str">
        <f ca="1">IF($B41="N/A", "N/A",IF(VLOOKUP("SOFTSTRAP1_EN",INDIRECT(Config!$B$1),HLOOKUP(M$1,INDIRECT(Config!$E$1),2,FALSE),FALSE)=0,0,1))</f>
        <v>N/A</v>
      </c>
      <c r="N41" s="4" t="str">
        <f ca="1">IF($B41="N/A", "N/A",IF(VLOOKUP("SOFTSTRAP1_EN",INDIRECT(Config!$B$1),HLOOKUP(N$1,INDIRECT(Config!$E$1),2,FALSE),FALSE)=0,0,1))</f>
        <v>N/A</v>
      </c>
    </row>
    <row r="42" spans="1:14" x14ac:dyDescent="0.35">
      <c r="A42" s="208"/>
      <c r="B42" s="2" t="s">
        <v>50</v>
      </c>
      <c r="C42" s="2">
        <v>18</v>
      </c>
      <c r="D42" s="2">
        <v>1</v>
      </c>
      <c r="E42" s="13"/>
      <c r="F42" s="17" t="s">
        <v>342</v>
      </c>
      <c r="G42" s="8">
        <v>0</v>
      </c>
      <c r="H42" s="8">
        <v>0</v>
      </c>
      <c r="I42" s="17"/>
      <c r="J42" s="7"/>
      <c r="K42" s="7" t="s">
        <v>472</v>
      </c>
      <c r="L42" s="4" t="str">
        <f ca="1">IF($B42="N/A", "N/A",IF(VLOOKUP("SOFTSTRAP1_EN",INDIRECT(Config!$B$1),HLOOKUP(L$1,INDIRECT(Config!$E$1),2,FALSE),FALSE)=0,0,1))</f>
        <v>N/A</v>
      </c>
      <c r="M42" s="4" t="str">
        <f ca="1">IF($B42="N/A", "N/A",IF(VLOOKUP("SOFTSTRAP1_EN",INDIRECT(Config!$B$1),HLOOKUP(M$1,INDIRECT(Config!$E$1),2,FALSE),FALSE)=0,0,1))</f>
        <v>N/A</v>
      </c>
      <c r="N42" s="4" t="str">
        <f ca="1">IF($B42="N/A", "N/A",IF(VLOOKUP("SOFTSTRAP1_EN",INDIRECT(Config!$B$1),HLOOKUP(N$1,INDIRECT(Config!$E$1),2,FALSE),FALSE)=0,0,1))</f>
        <v>N/A</v>
      </c>
    </row>
    <row r="43" spans="1:14" x14ac:dyDescent="0.35">
      <c r="A43" s="208"/>
      <c r="B43" s="17" t="s">
        <v>644</v>
      </c>
      <c r="C43" s="7">
        <v>19</v>
      </c>
      <c r="D43" s="7">
        <v>1</v>
      </c>
      <c r="E43" s="12" t="s">
        <v>343</v>
      </c>
      <c r="F43" s="17" t="s">
        <v>344</v>
      </c>
      <c r="G43" s="8">
        <v>0</v>
      </c>
      <c r="H43" s="8">
        <v>0</v>
      </c>
      <c r="I43" s="17"/>
      <c r="J43" s="7" t="s">
        <v>89</v>
      </c>
      <c r="K43" s="7" t="s">
        <v>515</v>
      </c>
      <c r="L43" s="4">
        <f ca="1">IF($B43="N/A", "N/A",IF(VLOOKUP("SOFTSTRAP1_EN",INDIRECT(Config!$B$1),HLOOKUP(L$1,INDIRECT(Config!$E$1),2,FALSE),FALSE)=0,0,VLOOKUP("INCLUDE_CM",INDIRECT(Config!$B$1),HLOOKUP(L$1,INDIRECT(Config!$E$1),2,FALSE),FALSE)))</f>
        <v>1</v>
      </c>
      <c r="M43" s="4">
        <f ca="1">IF($B43="N/A", "N/A",IF(VLOOKUP("SOFTSTRAP1_EN",INDIRECT(Config!$B$1),HLOOKUP(M$1,INDIRECT(Config!$E$1),2,FALSE),FALSE)=0,0,VLOOKUP("INCLUDE_CM",INDIRECT(Config!$B$1),HLOOKUP(M$1,INDIRECT(Config!$E$1),2,FALSE),FALSE)))</f>
        <v>0</v>
      </c>
      <c r="N43" s="4">
        <f ca="1">IF($B43="N/A", "N/A",IF(VLOOKUP("SOFTSTRAP1_EN",INDIRECT(Config!$B$1),HLOOKUP(N$1,INDIRECT(Config!$E$1),2,FALSE),FALSE)=0,0,VLOOKUP("INCLUDE_CM",INDIRECT(Config!$B$1),HLOOKUP(N$1,INDIRECT(Config!$E$1),2,FALSE),FALSE)))</f>
        <v>0</v>
      </c>
    </row>
    <row r="44" spans="1:14" x14ac:dyDescent="0.35">
      <c r="A44" s="208"/>
      <c r="B44" s="2" t="s">
        <v>50</v>
      </c>
      <c r="C44" s="2">
        <v>20</v>
      </c>
      <c r="D44" s="2">
        <v>1</v>
      </c>
      <c r="E44" s="13"/>
      <c r="F44" s="17" t="s">
        <v>345</v>
      </c>
      <c r="G44" s="8">
        <v>0</v>
      </c>
      <c r="H44" s="8">
        <v>0</v>
      </c>
      <c r="I44" s="17"/>
      <c r="J44" s="7"/>
      <c r="K44" s="7" t="s">
        <v>472</v>
      </c>
      <c r="L44" s="4" t="str">
        <f ca="1">IF($B44="N/A", "N/A",IF(VLOOKUP("SOFTSTRAP1_EN",INDIRECT(Config!$B$1),HLOOKUP(L$1,INDIRECT(Config!$E$1),2,FALSE),FALSE)=0,0,1))</f>
        <v>N/A</v>
      </c>
      <c r="M44" s="4" t="str">
        <f ca="1">IF($B44="N/A", "N/A",IF(VLOOKUP("SOFTSTRAP1_EN",INDIRECT(Config!$B$1),HLOOKUP(M$1,INDIRECT(Config!$E$1),2,FALSE),FALSE)=0,0,1))</f>
        <v>N/A</v>
      </c>
      <c r="N44" s="4" t="str">
        <f ca="1">IF($B44="N/A", "N/A",IF(VLOOKUP("SOFTSTRAP1_EN",INDIRECT(Config!$B$1),HLOOKUP(N$1,INDIRECT(Config!$E$1),2,FALSE),FALSE)=0,0,1))</f>
        <v>N/A</v>
      </c>
    </row>
    <row r="45" spans="1:14" x14ac:dyDescent="0.35">
      <c r="A45" s="208"/>
      <c r="B45" s="2" t="s">
        <v>50</v>
      </c>
      <c r="C45" s="2">
        <v>21</v>
      </c>
      <c r="D45" s="2">
        <v>1</v>
      </c>
      <c r="E45" s="13"/>
      <c r="F45" s="17" t="s">
        <v>346</v>
      </c>
      <c r="G45" s="8">
        <v>0</v>
      </c>
      <c r="H45" s="8">
        <v>0</v>
      </c>
      <c r="I45" s="17"/>
      <c r="J45" s="7"/>
      <c r="K45" s="7" t="s">
        <v>472</v>
      </c>
      <c r="L45" s="4" t="str">
        <f ca="1">IF($B45="N/A", "N/A",IF(VLOOKUP("SOFTSTRAP1_EN",INDIRECT(Config!$B$1),HLOOKUP(L$1,INDIRECT(Config!$E$1),2,FALSE),FALSE)=0,0,1))</f>
        <v>N/A</v>
      </c>
      <c r="M45" s="4" t="str">
        <f ca="1">IF($B45="N/A", "N/A",IF(VLOOKUP("SOFTSTRAP1_EN",INDIRECT(Config!$B$1),HLOOKUP(M$1,INDIRECT(Config!$E$1),2,FALSE),FALSE)=0,0,1))</f>
        <v>N/A</v>
      </c>
      <c r="N45" s="4" t="str">
        <f ca="1">IF($B45="N/A", "N/A",IF(VLOOKUP("SOFTSTRAP1_EN",INDIRECT(Config!$B$1),HLOOKUP(N$1,INDIRECT(Config!$E$1),2,FALSE),FALSE)=0,0,1))</f>
        <v>N/A</v>
      </c>
    </row>
    <row r="46" spans="1:14" x14ac:dyDescent="0.35">
      <c r="A46" s="208"/>
      <c r="B46" s="2" t="s">
        <v>50</v>
      </c>
      <c r="C46" s="2">
        <v>22</v>
      </c>
      <c r="D46" s="2">
        <v>1</v>
      </c>
      <c r="E46" s="13"/>
      <c r="F46" s="17" t="s">
        <v>347</v>
      </c>
      <c r="G46" s="8">
        <v>0</v>
      </c>
      <c r="H46" s="8">
        <v>0</v>
      </c>
      <c r="I46" s="17"/>
      <c r="J46" s="7"/>
      <c r="K46" s="7" t="s">
        <v>472</v>
      </c>
      <c r="L46" s="4" t="str">
        <f ca="1">IF($B46="N/A", "N/A",IF(VLOOKUP("SOFTSTRAP1_EN",INDIRECT(Config!$B$1),HLOOKUP(L$1,INDIRECT(Config!$E$1),2,FALSE),FALSE)=0,0,1))</f>
        <v>N/A</v>
      </c>
      <c r="M46" s="4" t="str">
        <f ca="1">IF($B46="N/A", "N/A",IF(VLOOKUP("SOFTSTRAP1_EN",INDIRECT(Config!$B$1),HLOOKUP(M$1,INDIRECT(Config!$E$1),2,FALSE),FALSE)=0,0,1))</f>
        <v>N/A</v>
      </c>
      <c r="N46" s="4" t="str">
        <f ca="1">IF($B46="N/A", "N/A",IF(VLOOKUP("SOFTSTRAP1_EN",INDIRECT(Config!$B$1),HLOOKUP(N$1,INDIRECT(Config!$E$1),2,FALSE),FALSE)=0,0,1))</f>
        <v>N/A</v>
      </c>
    </row>
    <row r="47" spans="1:14" x14ac:dyDescent="0.35">
      <c r="A47" s="208"/>
      <c r="B47" s="2" t="s">
        <v>50</v>
      </c>
      <c r="C47" s="2">
        <v>23</v>
      </c>
      <c r="D47" s="2">
        <v>1</v>
      </c>
      <c r="E47" s="13"/>
      <c r="F47" s="17" t="s">
        <v>348</v>
      </c>
      <c r="G47" s="8">
        <v>0</v>
      </c>
      <c r="H47" s="8">
        <v>0</v>
      </c>
      <c r="I47" s="17"/>
      <c r="J47" s="7"/>
      <c r="K47" s="7" t="s">
        <v>472</v>
      </c>
      <c r="L47" s="4" t="str">
        <f ca="1">IF($B47="N/A", "N/A",IF(VLOOKUP("SOFTSTRAP1_EN",INDIRECT(Config!$B$1),HLOOKUP(L$1,INDIRECT(Config!$E$1),2,FALSE),FALSE)=0,0,1))</f>
        <v>N/A</v>
      </c>
      <c r="M47" s="4" t="str">
        <f ca="1">IF($B47="N/A", "N/A",IF(VLOOKUP("SOFTSTRAP1_EN",INDIRECT(Config!$B$1),HLOOKUP(M$1,INDIRECT(Config!$E$1),2,FALSE),FALSE)=0,0,1))</f>
        <v>N/A</v>
      </c>
      <c r="N47" s="4" t="str">
        <f ca="1">IF($B47="N/A", "N/A",IF(VLOOKUP("SOFTSTRAP1_EN",INDIRECT(Config!$B$1),HLOOKUP(N$1,INDIRECT(Config!$E$1),2,FALSE),FALSE)=0,0,1))</f>
        <v>N/A</v>
      </c>
    </row>
    <row r="48" spans="1:14" x14ac:dyDescent="0.35">
      <c r="A48" s="208"/>
      <c r="B48" s="4" t="s">
        <v>628</v>
      </c>
      <c r="C48" s="7">
        <v>24</v>
      </c>
      <c r="D48" s="7">
        <v>1</v>
      </c>
      <c r="E48" s="12" t="s">
        <v>349</v>
      </c>
      <c r="F48" s="17" t="s">
        <v>350</v>
      </c>
      <c r="G48" s="8">
        <v>0</v>
      </c>
      <c r="H48" s="8">
        <v>0</v>
      </c>
      <c r="I48" s="17"/>
      <c r="J48" s="7" t="s">
        <v>89</v>
      </c>
      <c r="K48" s="7" t="s">
        <v>516</v>
      </c>
      <c r="L48" s="4">
        <f ca="1">IF($B48="N/A", "N/A",IF(VLOOKUP("SOFTSTRAP1_EN",INDIRECT(Config!$B$1),HLOOKUP(L$1,INDIRECT(Config!$E$1),2,FALSE),FALSE)=0,0,1))</f>
        <v>1</v>
      </c>
      <c r="M48" s="4">
        <f ca="1">IF($B48="N/A", "N/A",IF(VLOOKUP("SOFTSTRAP1_EN",INDIRECT(Config!$B$1),HLOOKUP(M$1,INDIRECT(Config!$E$1),2,FALSE),FALSE)=0,0,1))</f>
        <v>1</v>
      </c>
      <c r="N48" s="4">
        <f ca="1">IF($B48="N/A", "N/A",IF(VLOOKUP("SOFTSTRAP1_EN",INDIRECT(Config!$B$1),HLOOKUP(N$1,INDIRECT(Config!$E$1),2,FALSE),FALSE)=0,0,1))</f>
        <v>0</v>
      </c>
    </row>
    <row r="49" spans="1:14" x14ac:dyDescent="0.35">
      <c r="A49" s="208"/>
      <c r="B49" s="4" t="s">
        <v>628</v>
      </c>
      <c r="C49" s="7">
        <v>25</v>
      </c>
      <c r="D49" s="7">
        <v>1</v>
      </c>
      <c r="E49" s="12" t="s">
        <v>351</v>
      </c>
      <c r="F49" s="17" t="s">
        <v>352</v>
      </c>
      <c r="G49" s="8">
        <v>0</v>
      </c>
      <c r="H49" s="8">
        <v>0</v>
      </c>
      <c r="I49" s="17"/>
      <c r="J49" s="7" t="s">
        <v>89</v>
      </c>
      <c r="K49" s="7" t="s">
        <v>517</v>
      </c>
      <c r="L49" s="4">
        <f ca="1">IF($B49="N/A", "N/A",IF(VLOOKUP("SOFTSTRAP1_EN",INDIRECT(Config!$B$1),HLOOKUP(L$1,INDIRECT(Config!$E$1),2,FALSE),FALSE)=0,0,1))</f>
        <v>1</v>
      </c>
      <c r="M49" s="4">
        <f ca="1">IF($B49="N/A", "N/A",IF(VLOOKUP("SOFTSTRAP1_EN",INDIRECT(Config!$B$1),HLOOKUP(M$1,INDIRECT(Config!$E$1),2,FALSE),FALSE)=0,0,1))</f>
        <v>1</v>
      </c>
      <c r="N49" s="4">
        <f ca="1">IF($B49="N/A", "N/A",IF(VLOOKUP("SOFTSTRAP1_EN",INDIRECT(Config!$B$1),HLOOKUP(N$1,INDIRECT(Config!$E$1),2,FALSE),FALSE)=0,0,1))</f>
        <v>0</v>
      </c>
    </row>
    <row r="50" spans="1:14" x14ac:dyDescent="0.35">
      <c r="A50" s="208"/>
      <c r="B50" s="4" t="s">
        <v>628</v>
      </c>
      <c r="C50" s="7">
        <v>26</v>
      </c>
      <c r="D50" s="7">
        <v>1</v>
      </c>
      <c r="E50" s="12" t="s">
        <v>353</v>
      </c>
      <c r="F50" s="17" t="s">
        <v>354</v>
      </c>
      <c r="G50" s="8">
        <v>0</v>
      </c>
      <c r="H50" s="8">
        <v>0</v>
      </c>
      <c r="I50" s="17"/>
      <c r="J50" s="7" t="s">
        <v>89</v>
      </c>
      <c r="K50" s="7" t="s">
        <v>518</v>
      </c>
      <c r="L50" s="4">
        <f ca="1">IF($B50="N/A", "N/A",IF(VLOOKUP("SOFTSTRAP1_EN",INDIRECT(Config!$B$1),HLOOKUP(L$1,INDIRECT(Config!$E$1),2,FALSE),FALSE)=0,0,1))</f>
        <v>1</v>
      </c>
      <c r="M50" s="4">
        <f ca="1">IF($B50="N/A", "N/A",IF(VLOOKUP("SOFTSTRAP1_EN",INDIRECT(Config!$B$1),HLOOKUP(M$1,INDIRECT(Config!$E$1),2,FALSE),FALSE)=0,0,1))</f>
        <v>1</v>
      </c>
      <c r="N50" s="4">
        <f ca="1">IF($B50="N/A", "N/A",IF(VLOOKUP("SOFTSTRAP1_EN",INDIRECT(Config!$B$1),HLOOKUP(N$1,INDIRECT(Config!$E$1),2,FALSE),FALSE)=0,0,1))</f>
        <v>0</v>
      </c>
    </row>
    <row r="51" spans="1:14" x14ac:dyDescent="0.35">
      <c r="A51" s="208"/>
      <c r="B51" s="4" t="s">
        <v>628</v>
      </c>
      <c r="C51" s="7">
        <v>27</v>
      </c>
      <c r="D51" s="7">
        <v>1</v>
      </c>
      <c r="E51" s="12" t="s">
        <v>355</v>
      </c>
      <c r="F51" s="17" t="s">
        <v>356</v>
      </c>
      <c r="G51" s="8">
        <v>0</v>
      </c>
      <c r="H51" s="8">
        <v>0</v>
      </c>
      <c r="I51" s="17"/>
      <c r="J51" s="7" t="s">
        <v>89</v>
      </c>
      <c r="K51" s="7" t="s">
        <v>519</v>
      </c>
      <c r="L51" s="4">
        <f ca="1">IF($B51="N/A", "N/A",IF(VLOOKUP("SOFTSTRAP1_EN",INDIRECT(Config!$B$1),HLOOKUP(L$1,INDIRECT(Config!$E$1),2,FALSE),FALSE)=0,0,1))</f>
        <v>1</v>
      </c>
      <c r="M51" s="4">
        <f ca="1">IF($B51="N/A", "N/A",IF(VLOOKUP("SOFTSTRAP1_EN",INDIRECT(Config!$B$1),HLOOKUP(M$1,INDIRECT(Config!$E$1),2,FALSE),FALSE)=0,0,1))</f>
        <v>1</v>
      </c>
      <c r="N51" s="4">
        <f ca="1">IF($B51="N/A", "N/A",IF(VLOOKUP("SOFTSTRAP1_EN",INDIRECT(Config!$B$1),HLOOKUP(N$1,INDIRECT(Config!$E$1),2,FALSE),FALSE)=0,0,1))</f>
        <v>0</v>
      </c>
    </row>
    <row r="52" spans="1:14" x14ac:dyDescent="0.35">
      <c r="A52" s="208"/>
      <c r="B52" s="4" t="s">
        <v>628</v>
      </c>
      <c r="C52" s="7">
        <v>28</v>
      </c>
      <c r="D52" s="7">
        <v>1</v>
      </c>
      <c r="E52" s="12" t="s">
        <v>357</v>
      </c>
      <c r="F52" s="17" t="s">
        <v>358</v>
      </c>
      <c r="G52" s="8">
        <v>0</v>
      </c>
      <c r="H52" s="8">
        <v>0</v>
      </c>
      <c r="I52" s="17"/>
      <c r="J52" s="7" t="s">
        <v>89</v>
      </c>
      <c r="K52" s="7" t="s">
        <v>520</v>
      </c>
      <c r="L52" s="4">
        <f ca="1">IF($B52="N/A", "N/A",IF(VLOOKUP("SOFTSTRAP1_EN",INDIRECT(Config!$B$1),HLOOKUP(L$1,INDIRECT(Config!$E$1),2,FALSE),FALSE)=0,0,1))</f>
        <v>1</v>
      </c>
      <c r="M52" s="4">
        <f ca="1">IF($B52="N/A", "N/A",IF(VLOOKUP("SOFTSTRAP1_EN",INDIRECT(Config!$B$1),HLOOKUP(M$1,INDIRECT(Config!$E$1),2,FALSE),FALSE)=0,0,1))</f>
        <v>1</v>
      </c>
      <c r="N52" s="4">
        <f ca="1">IF($B52="N/A", "N/A",IF(VLOOKUP("SOFTSTRAP1_EN",INDIRECT(Config!$B$1),HLOOKUP(N$1,INDIRECT(Config!$E$1),2,FALSE),FALSE)=0,0,1))</f>
        <v>0</v>
      </c>
    </row>
    <row r="53" spans="1:14" x14ac:dyDescent="0.35">
      <c r="A53" s="208"/>
      <c r="B53" s="4" t="s">
        <v>628</v>
      </c>
      <c r="C53" s="7">
        <v>29</v>
      </c>
      <c r="D53" s="7">
        <v>1</v>
      </c>
      <c r="E53" s="12" t="s">
        <v>359</v>
      </c>
      <c r="F53" s="17" t="s">
        <v>360</v>
      </c>
      <c r="G53" s="8">
        <v>0</v>
      </c>
      <c r="H53" s="8">
        <v>0</v>
      </c>
      <c r="I53" s="17"/>
      <c r="J53" s="7" t="s">
        <v>89</v>
      </c>
      <c r="K53" s="7" t="s">
        <v>521</v>
      </c>
      <c r="L53" s="4">
        <f ca="1">IF($B53="N/A", "N/A",IF(VLOOKUP("SOFTSTRAP1_EN",INDIRECT(Config!$B$1),HLOOKUP(L$1,INDIRECT(Config!$E$1),2,FALSE),FALSE)=0,0,1))</f>
        <v>1</v>
      </c>
      <c r="M53" s="4">
        <f ca="1">IF($B53="N/A", "N/A",IF(VLOOKUP("SOFTSTRAP1_EN",INDIRECT(Config!$B$1),HLOOKUP(M$1,INDIRECT(Config!$E$1),2,FALSE),FALSE)=0,0,1))</f>
        <v>1</v>
      </c>
      <c r="N53" s="4">
        <f ca="1">IF($B53="N/A", "N/A",IF(VLOOKUP("SOFTSTRAP1_EN",INDIRECT(Config!$B$1),HLOOKUP(N$1,INDIRECT(Config!$E$1),2,FALSE),FALSE)=0,0,1))</f>
        <v>0</v>
      </c>
    </row>
    <row r="54" spans="1:14" x14ac:dyDescent="0.35">
      <c r="A54" s="208"/>
      <c r="B54" s="4" t="s">
        <v>628</v>
      </c>
      <c r="C54" s="7">
        <v>30</v>
      </c>
      <c r="D54" s="7">
        <v>1</v>
      </c>
      <c r="E54" s="12" t="s">
        <v>361</v>
      </c>
      <c r="F54" s="17" t="s">
        <v>362</v>
      </c>
      <c r="G54" s="8">
        <v>0</v>
      </c>
      <c r="H54" s="8">
        <v>0</v>
      </c>
      <c r="I54" s="17"/>
      <c r="J54" s="7" t="s">
        <v>89</v>
      </c>
      <c r="K54" s="7" t="s">
        <v>522</v>
      </c>
      <c r="L54" s="4">
        <f ca="1">IF($B54="N/A", "N/A",IF(VLOOKUP("SOFTSTRAP1_EN",INDIRECT(Config!$B$1),HLOOKUP(L$1,INDIRECT(Config!$E$1),2,FALSE),FALSE)=0,0,1))</f>
        <v>1</v>
      </c>
      <c r="M54" s="4">
        <f ca="1">IF($B54="N/A", "N/A",IF(VLOOKUP("SOFTSTRAP1_EN",INDIRECT(Config!$B$1),HLOOKUP(M$1,INDIRECT(Config!$E$1),2,FALSE),FALSE)=0,0,1))</f>
        <v>1</v>
      </c>
      <c r="N54" s="4">
        <f ca="1">IF($B54="N/A", "N/A",IF(VLOOKUP("SOFTSTRAP1_EN",INDIRECT(Config!$B$1),HLOOKUP(N$1,INDIRECT(Config!$E$1),2,FALSE),FALSE)=0,0,1))</f>
        <v>0</v>
      </c>
    </row>
    <row r="55" spans="1:14" x14ac:dyDescent="0.35">
      <c r="A55" s="202"/>
      <c r="B55" s="4" t="s">
        <v>628</v>
      </c>
      <c r="C55" s="7">
        <v>31</v>
      </c>
      <c r="D55" s="7">
        <v>1</v>
      </c>
      <c r="E55" s="12" t="s">
        <v>363</v>
      </c>
      <c r="F55" s="17" t="s">
        <v>364</v>
      </c>
      <c r="G55" s="8">
        <v>0</v>
      </c>
      <c r="H55" s="8">
        <v>0</v>
      </c>
      <c r="I55" s="17"/>
      <c r="J55" s="7" t="s">
        <v>89</v>
      </c>
      <c r="K55" s="7" t="s">
        <v>523</v>
      </c>
      <c r="L55" s="4">
        <f ca="1">IF($B55="N/A", "N/A",IF(VLOOKUP("SOFTSTRAP1_EN",INDIRECT(Config!$B$1),HLOOKUP(L$1,INDIRECT(Config!$E$1),2,FALSE),FALSE)=0,0,1))</f>
        <v>1</v>
      </c>
      <c r="M55" s="4">
        <f ca="1">IF($B55="N/A", "N/A",IF(VLOOKUP("SOFTSTRAP1_EN",INDIRECT(Config!$B$1),HLOOKUP(M$1,INDIRECT(Config!$E$1),2,FALSE),FALSE)=0,0,1))</f>
        <v>1</v>
      </c>
      <c r="N55" s="4">
        <f ca="1">IF($B55="N/A", "N/A",IF(VLOOKUP("SOFTSTRAP1_EN",INDIRECT(Config!$B$1),HLOOKUP(N$1,INDIRECT(Config!$E$1),2,FALSE),FALSE)=0,0,1))</f>
        <v>0</v>
      </c>
    </row>
  </sheetData>
  <autoFilter ref="A1:N1" xr:uid="{BD3C40ED-A0C8-4381-ACF6-12E781319295}"/>
  <mergeCells count="2">
    <mergeCell ref="A2:A23"/>
    <mergeCell ref="A24:A55"/>
  </mergeCells>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2BBD-ED23-47C9-9EBC-246975D908A7}">
  <sheetPr codeName="Sheet12"/>
  <dimension ref="A1:E36"/>
  <sheetViews>
    <sheetView workbookViewId="0">
      <selection activeCell="E11" sqref="E11"/>
    </sheetView>
  </sheetViews>
  <sheetFormatPr defaultRowHeight="14.5" x14ac:dyDescent="0.35"/>
  <cols>
    <col min="2" max="2" width="62.54296875" bestFit="1" customWidth="1"/>
    <col min="3" max="3" width="65.54296875" bestFit="1" customWidth="1"/>
    <col min="5" max="5" width="67.453125" style="76" customWidth="1"/>
  </cols>
  <sheetData>
    <row r="1" spans="1:5" s="16" customFormat="1" ht="18.5" x14ac:dyDescent="0.45">
      <c r="A1" s="126" t="s">
        <v>615</v>
      </c>
      <c r="B1" s="126" t="s">
        <v>616</v>
      </c>
      <c r="C1" s="126" t="s">
        <v>618</v>
      </c>
      <c r="D1" s="126" t="s">
        <v>617</v>
      </c>
      <c r="E1" s="127" t="s">
        <v>436</v>
      </c>
    </row>
    <row r="2" spans="1:5" x14ac:dyDescent="0.35">
      <c r="A2" s="226">
        <v>0</v>
      </c>
      <c r="B2" s="77" t="s">
        <v>590</v>
      </c>
      <c r="C2" s="17">
        <v>0</v>
      </c>
      <c r="D2" s="17"/>
      <c r="E2" s="78"/>
    </row>
    <row r="3" spans="1:5" x14ac:dyDescent="0.35">
      <c r="A3" s="226"/>
      <c r="B3" s="17" t="s">
        <v>591</v>
      </c>
      <c r="C3" s="17">
        <v>8</v>
      </c>
      <c r="D3" s="17"/>
      <c r="E3" s="78"/>
    </row>
    <row r="4" spans="1:5" x14ac:dyDescent="0.35">
      <c r="A4" s="226"/>
      <c r="B4" s="125" t="s">
        <v>597</v>
      </c>
      <c r="C4" s="125" t="s">
        <v>598</v>
      </c>
      <c r="D4" s="17"/>
      <c r="E4" s="78"/>
    </row>
    <row r="5" spans="1:5" x14ac:dyDescent="0.35">
      <c r="A5" s="226"/>
      <c r="B5" s="17" t="s">
        <v>599</v>
      </c>
      <c r="C5" s="17" t="s">
        <v>600</v>
      </c>
      <c r="D5" s="17"/>
      <c r="E5" s="78"/>
    </row>
    <row r="6" spans="1:5" x14ac:dyDescent="0.35">
      <c r="A6" s="226"/>
      <c r="B6" s="17" t="s">
        <v>601</v>
      </c>
      <c r="C6" s="17" t="s">
        <v>602</v>
      </c>
      <c r="D6" s="17"/>
      <c r="E6" s="78"/>
    </row>
    <row r="7" spans="1:5" x14ac:dyDescent="0.35">
      <c r="A7" s="226"/>
      <c r="B7" s="17" t="s">
        <v>603</v>
      </c>
      <c r="C7" s="17" t="s">
        <v>604</v>
      </c>
      <c r="D7" s="17"/>
      <c r="E7" s="78"/>
    </row>
    <row r="8" spans="1:5" ht="72.5" x14ac:dyDescent="0.35">
      <c r="A8" s="226">
        <v>1</v>
      </c>
      <c r="B8" s="124" t="s">
        <v>432</v>
      </c>
      <c r="C8" s="17">
        <v>11</v>
      </c>
      <c r="D8" s="17"/>
      <c r="E8" s="78" t="s">
        <v>608</v>
      </c>
    </row>
    <row r="9" spans="1:5" x14ac:dyDescent="0.35">
      <c r="A9" s="226"/>
      <c r="B9" s="124" t="s">
        <v>594</v>
      </c>
      <c r="C9" s="17">
        <v>0</v>
      </c>
      <c r="D9" s="17"/>
      <c r="E9" s="78" t="s">
        <v>612</v>
      </c>
    </row>
    <row r="10" spans="1:5" x14ac:dyDescent="0.35">
      <c r="A10" s="226"/>
      <c r="B10" s="124" t="s">
        <v>595</v>
      </c>
      <c r="C10" s="17">
        <v>0</v>
      </c>
      <c r="D10" s="17"/>
      <c r="E10" s="78" t="s">
        <v>398</v>
      </c>
    </row>
    <row r="11" spans="1:5" x14ac:dyDescent="0.35">
      <c r="A11" s="226"/>
      <c r="B11" s="124" t="s">
        <v>605</v>
      </c>
      <c r="C11" s="17">
        <v>7</v>
      </c>
      <c r="D11" s="17"/>
      <c r="E11" s="78"/>
    </row>
    <row r="12" spans="1:5" x14ac:dyDescent="0.35">
      <c r="A12" s="226"/>
      <c r="B12" s="124" t="s">
        <v>606</v>
      </c>
      <c r="C12" s="17" t="s">
        <v>607</v>
      </c>
      <c r="D12" s="17"/>
      <c r="E12" s="78"/>
    </row>
    <row r="13" spans="1:5" x14ac:dyDescent="0.35">
      <c r="A13" s="226"/>
      <c r="B13" s="17" t="s">
        <v>402</v>
      </c>
      <c r="C13" s="17"/>
      <c r="D13" s="17"/>
      <c r="E13" s="78"/>
    </row>
    <row r="14" spans="1:5" x14ac:dyDescent="0.35">
      <c r="A14" s="226"/>
      <c r="B14" s="17" t="s">
        <v>209</v>
      </c>
      <c r="C14" s="17"/>
      <c r="D14" s="17"/>
      <c r="E14" s="78"/>
    </row>
    <row r="15" spans="1:5" x14ac:dyDescent="0.35">
      <c r="A15" s="226"/>
      <c r="B15" s="17" t="s">
        <v>592</v>
      </c>
      <c r="C15" s="17" t="s">
        <v>593</v>
      </c>
      <c r="D15" s="17"/>
      <c r="E15" s="78"/>
    </row>
    <row r="16" spans="1:5" x14ac:dyDescent="0.35">
      <c r="A16" s="226"/>
      <c r="B16" s="17" t="s">
        <v>611</v>
      </c>
      <c r="C16" s="17"/>
      <c r="D16" s="17"/>
      <c r="E16" s="78"/>
    </row>
    <row r="17" spans="1:5" x14ac:dyDescent="0.35">
      <c r="A17" s="226">
        <v>2</v>
      </c>
      <c r="B17" s="125" t="s">
        <v>579</v>
      </c>
      <c r="C17" s="125">
        <v>128</v>
      </c>
      <c r="D17" s="17" t="s">
        <v>610</v>
      </c>
      <c r="E17" s="78"/>
    </row>
    <row r="18" spans="1:5" x14ac:dyDescent="0.35">
      <c r="A18" s="226"/>
      <c r="B18" s="125" t="s">
        <v>573</v>
      </c>
      <c r="C18" s="125" t="s">
        <v>576</v>
      </c>
      <c r="D18" s="17"/>
      <c r="E18" s="78"/>
    </row>
    <row r="19" spans="1:5" x14ac:dyDescent="0.35">
      <c r="A19" s="226"/>
      <c r="B19" s="17" t="s">
        <v>574</v>
      </c>
      <c r="C19" s="17" t="s">
        <v>575</v>
      </c>
      <c r="D19" s="17"/>
      <c r="E19" s="78"/>
    </row>
    <row r="20" spans="1:5" x14ac:dyDescent="0.35">
      <c r="A20" s="226"/>
      <c r="B20" s="17" t="s">
        <v>577</v>
      </c>
      <c r="C20" s="17" t="s">
        <v>578</v>
      </c>
      <c r="D20" s="17"/>
      <c r="E20" s="78"/>
    </row>
    <row r="21" spans="1:5" x14ac:dyDescent="0.35">
      <c r="A21" s="226">
        <v>3</v>
      </c>
      <c r="B21" s="125" t="s">
        <v>580</v>
      </c>
      <c r="C21" s="125" t="s">
        <v>581</v>
      </c>
      <c r="D21" s="17"/>
      <c r="E21" s="78"/>
    </row>
    <row r="22" spans="1:5" x14ac:dyDescent="0.35">
      <c r="A22" s="226"/>
      <c r="B22" s="125" t="s">
        <v>582</v>
      </c>
      <c r="C22" s="125" t="s">
        <v>583</v>
      </c>
      <c r="D22" s="17"/>
      <c r="E22" s="78"/>
    </row>
    <row r="23" spans="1:5" x14ac:dyDescent="0.35">
      <c r="A23" s="226"/>
      <c r="B23" s="17" t="s">
        <v>584</v>
      </c>
      <c r="C23" s="17" t="s">
        <v>585</v>
      </c>
      <c r="D23" s="17"/>
      <c r="E23" s="78"/>
    </row>
    <row r="24" spans="1:5" x14ac:dyDescent="0.35">
      <c r="A24" s="226"/>
      <c r="B24" s="17" t="s">
        <v>586</v>
      </c>
      <c r="C24" s="17" t="s">
        <v>587</v>
      </c>
      <c r="D24" s="17"/>
      <c r="E24" s="78"/>
    </row>
    <row r="25" spans="1:5" x14ac:dyDescent="0.35">
      <c r="A25" s="226">
        <v>4</v>
      </c>
      <c r="B25" s="124" t="s">
        <v>588</v>
      </c>
      <c r="C25" s="124" t="s">
        <v>589</v>
      </c>
      <c r="D25" s="17"/>
      <c r="E25" s="78"/>
    </row>
    <row r="26" spans="1:5" x14ac:dyDescent="0.35">
      <c r="A26" s="226"/>
      <c r="B26" s="124" t="s">
        <v>433</v>
      </c>
      <c r="C26" s="17">
        <v>2</v>
      </c>
      <c r="D26" s="17"/>
      <c r="E26" s="78" t="s">
        <v>609</v>
      </c>
    </row>
    <row r="27" spans="1:5" x14ac:dyDescent="0.35">
      <c r="A27" s="226"/>
      <c r="B27" s="124" t="s">
        <v>596</v>
      </c>
      <c r="C27" s="17"/>
      <c r="D27" s="17"/>
      <c r="E27" s="78"/>
    </row>
    <row r="28" spans="1:5" s="16" customFormat="1" x14ac:dyDescent="0.35">
      <c r="E28" s="76"/>
    </row>
    <row r="36" spans="2:2" x14ac:dyDescent="0.35">
      <c r="B36" t="s">
        <v>614</v>
      </c>
    </row>
  </sheetData>
  <mergeCells count="5">
    <mergeCell ref="A2:A7"/>
    <mergeCell ref="A8:A16"/>
    <mergeCell ref="A17:A20"/>
    <mergeCell ref="A21:A24"/>
    <mergeCell ref="A25:A27"/>
  </mergeCells>
  <pageMargins left="0.7" right="0.7" top="0.75" bottom="0.75" header="0.3" footer="0.3"/>
  <pageSetup orientation="portrait" r:id="rId1"/>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7" ma:contentTypeDescription="Create a new document." ma:contentTypeScope="" ma:versionID="b58f43c842942d4b90a73fd31bf68d62">
  <xsd:schema xmlns:xsd="http://www.w3.org/2001/XMLSchema" xmlns:xs="http://www.w3.org/2001/XMLSchema" xmlns:p="http://schemas.microsoft.com/office/2006/metadata/properties" xmlns:ns3="a555451d-518f-4a10-969e-f3a9a0f123ff" xmlns:ns4="a0881c7e-bde8-497c-bcbe-18a05f14a854" targetNamespace="http://schemas.microsoft.com/office/2006/metadata/properties" ma:root="true" ma:fieldsID="439d61cfd458392acc886c9e2c194d1f" ns3:_="" ns4:_="">
    <xsd:import namespace="a555451d-518f-4a10-969e-f3a9a0f123ff"/>
    <xsd:import namespace="a0881c7e-bde8-497c-bcbe-18a05f14a854"/>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555451d-518f-4a10-969e-f3a9a0f123ff"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element name="SharingHintHash" ma:index="10" nillable="true" ma:displayName="Sharing Hint Hash"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91BFAB8-F797-4D4A-9D5B-9B373FF91D8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555451d-518f-4a10-969e-f3a9a0f123ff"/>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675E406-4896-43AF-BD5F-1E85BBEEE692}">
  <ds:schemaRefs>
    <ds:schemaRef ds:uri="a555451d-518f-4a10-969e-f3a9a0f123ff"/>
    <ds:schemaRef ds:uri="http://purl.org/dc/elements/1.1/"/>
    <ds:schemaRef ds:uri="http://schemas.microsoft.com/office/2006/metadata/propertie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a0881c7e-bde8-497c-bcbe-18a05f14a854"/>
    <ds:schemaRef ds:uri="http://www.w3.org/XML/1998/namespace"/>
    <ds:schemaRef ds:uri="http://purl.org/dc/dcmitype/"/>
  </ds:schemaRefs>
</ds:datastoreItem>
</file>

<file path=customXml/itemProps3.xml><?xml version="1.0" encoding="utf-8"?>
<ds:datastoreItem xmlns:ds="http://schemas.openxmlformats.org/officeDocument/2006/customXml" ds:itemID="{3D668630-BB7B-4145-8A1D-DDBEF2DCEAD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Revision</vt:lpstr>
      <vt:lpstr>Config</vt:lpstr>
      <vt:lpstr>LookUp</vt:lpstr>
      <vt:lpstr>GetGroup1</vt:lpstr>
      <vt:lpstr>MTL-SOC-M CSME</vt:lpstr>
      <vt:lpstr>MTL-SOC-M ESE</vt:lpstr>
      <vt:lpstr>MTL-SOC-M GSC</vt:lpstr>
      <vt:lpstr>Group0</vt:lpstr>
      <vt:lpstr>Group1</vt:lpstr>
      <vt:lpstr>Group2,3</vt:lpstr>
      <vt:lpstr>Softstrap</vt:lpstr>
      <vt:lpstr>MISC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Kakeda, Masahide</dc:creator>
  <cp:keywords>CTPClassification=CTP_NT</cp:keywords>
  <dc:description/>
  <cp:lastModifiedBy>Kakeda, Masahide</cp:lastModifiedBy>
  <cp:revision/>
  <dcterms:created xsi:type="dcterms:W3CDTF">2020-02-10T19:00:22Z</dcterms:created>
  <dcterms:modified xsi:type="dcterms:W3CDTF">2020-05-29T20:46:06Z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cbd0f5cd-6e98-4202-8a90-91488250fef6</vt:lpwstr>
  </property>
  <property fmtid="{D5CDD505-2E9C-101B-9397-08002B2CF9AE}" pid="3" name="CTP_TimeStamp">
    <vt:lpwstr>2020-05-29 20:46:06Z</vt:lpwstr>
  </property>
  <property fmtid="{D5CDD505-2E9C-101B-9397-08002B2CF9AE}" pid="4" name="CTP_BU">
    <vt:lpwstr>NA</vt:lpwstr>
  </property>
  <property fmtid="{D5CDD505-2E9C-101B-9397-08002B2CF9AE}" pid="5" name="CTP_IDSID">
    <vt:lpwstr>NA</vt:lpwstr>
  </property>
  <property fmtid="{D5CDD505-2E9C-101B-9397-08002B2CF9AE}" pid="6" name="CTP_WWID">
    <vt:lpwstr>NA</vt:lpwstr>
  </property>
  <property fmtid="{D5CDD505-2E9C-101B-9397-08002B2CF9AE}" pid="7" name="ContentTypeId">
    <vt:lpwstr>0x010100C9AB131A33795349ACDBD6B8876A9E85</vt:lpwstr>
  </property>
  <property fmtid="{D5CDD505-2E9C-101B-9397-08002B2CF9AE}" pid="8" name="CTPClassification">
    <vt:lpwstr>CTP_NT</vt:lpwstr>
  </property>
</Properties>
</file>