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workbookPr defaultThemeVersion="166925"/>
  <mc:AlternateContent xmlns:mc="http://schemas.openxmlformats.org/markup-compatibility/2006">
    <mc:Choice Requires="x15">
      <x15ac:absPath xmlns:x15ac="http://schemas.microsoft.com/office/spreadsheetml/2010/11/ac" url="C:\Users\mkakeda\Perforce\MB_COE\depot\projects\coe\CSME\ArchSpecs\"/>
    </mc:Choice>
  </mc:AlternateContent>
  <xr:revisionPtr revIDLastSave="0" documentId="8_{9B1FFF91-2389-455C-A841-9BF816E9F2FC}" xr6:coauthVersionLast="44" xr6:coauthVersionMax="44" xr10:uidLastSave="{00000000-0000-0000-0000-000000000000}"/>
  <bookViews>
    <workbookView xWindow="-120" yWindow="-120" windowWidth="29040" windowHeight="15840" xr2:uid="{9230698E-BC2D-4B56-9659-6B00A32A5149}"/>
  </bookViews>
  <sheets>
    <sheet name="Revision" sheetId="16" r:id="rId1"/>
    <sheet name="Config" sheetId="12" r:id="rId2"/>
    <sheet name="Summary_CSME" sheetId="11" r:id="rId3"/>
    <sheet name="Summary_ESE" sheetId="13" r:id="rId4"/>
    <sheet name="Summary_GSC" sheetId="14" r:id="rId5"/>
    <sheet name="Group1" sheetId="7" r:id="rId6"/>
    <sheet name="Group2,3" sheetId="15" r:id="rId7"/>
    <sheet name="HardStrap" sheetId="9" r:id="rId8"/>
    <sheet name="Softstrap" sheetId="8" r:id="rId9"/>
  </sheets>
  <definedNames>
    <definedName name="_xlnm._FilterDatabase" localSheetId="5" hidden="1">Group1!$A$1:$N$108</definedName>
    <definedName name="_xlnm._FilterDatabase" localSheetId="7" hidden="1">HardStrap!$A$1:$N$1</definedName>
    <definedName name="_xlnm._FilterDatabase" localSheetId="8"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0" i="7" l="1"/>
  <c r="D119" i="7"/>
  <c r="D118" i="7"/>
  <c r="E3" i="15" l="1"/>
  <c r="F4" i="15" s="1"/>
  <c r="F5" i="15" s="1"/>
  <c r="F6" i="15" s="1"/>
  <c r="E4" i="15"/>
  <c r="E5" i="15"/>
  <c r="E6" i="15"/>
  <c r="E7" i="15"/>
  <c r="E8" i="15"/>
  <c r="G9" i="15" s="1"/>
  <c r="E9" i="15"/>
  <c r="E10" i="15"/>
  <c r="E11" i="15"/>
  <c r="E12" i="15"/>
  <c r="E12" i="14"/>
  <c r="E11" i="14"/>
  <c r="E10" i="14"/>
  <c r="F9" i="14"/>
  <c r="F10" i="14" s="1"/>
  <c r="F11" i="14" s="1"/>
  <c r="F12" i="14" s="1"/>
  <c r="E9" i="14"/>
  <c r="E8" i="14"/>
  <c r="G9" i="14" s="1"/>
  <c r="G10" i="14" s="1"/>
  <c r="G11" i="14" s="1"/>
  <c r="G12" i="14" s="1"/>
  <c r="E7" i="14"/>
  <c r="E6" i="14"/>
  <c r="E5" i="14"/>
  <c r="E4" i="14"/>
  <c r="E3" i="14"/>
  <c r="G4" i="14" s="1"/>
  <c r="G5" i="14" s="1"/>
  <c r="G6" i="14" s="1"/>
  <c r="G7" i="14" s="1"/>
  <c r="E12" i="13"/>
  <c r="E11" i="13"/>
  <c r="E10" i="13"/>
  <c r="E9" i="13"/>
  <c r="E8" i="13"/>
  <c r="G9" i="13" s="1"/>
  <c r="G10" i="13" s="1"/>
  <c r="G11" i="13" s="1"/>
  <c r="G12" i="13" s="1"/>
  <c r="E7" i="13"/>
  <c r="E6" i="13"/>
  <c r="E5" i="13"/>
  <c r="G4" i="13"/>
  <c r="G5" i="13" s="1"/>
  <c r="G6" i="13" s="1"/>
  <c r="G7" i="13" s="1"/>
  <c r="E4" i="13"/>
  <c r="E3" i="13"/>
  <c r="F4" i="13" s="1"/>
  <c r="F5" i="13" s="1"/>
  <c r="F6" i="13" s="1"/>
  <c r="F7" i="13" s="1"/>
  <c r="E12" i="11"/>
  <c r="E11" i="11"/>
  <c r="E10" i="11"/>
  <c r="E9" i="11"/>
  <c r="E8" i="11"/>
  <c r="G9" i="11" s="1"/>
  <c r="G10" i="11" s="1"/>
  <c r="E7" i="11"/>
  <c r="E6" i="11"/>
  <c r="E5" i="11"/>
  <c r="E4" i="11"/>
  <c r="E3" i="11"/>
  <c r="F4" i="11" s="1"/>
  <c r="F5" i="11" s="1"/>
  <c r="F6" i="11" s="1"/>
  <c r="F7" i="11" s="1"/>
  <c r="F4" i="14" l="1"/>
  <c r="F5" i="14" s="1"/>
  <c r="F6" i="14" s="1"/>
  <c r="F7" i="14" s="1"/>
  <c r="F9" i="13"/>
  <c r="F10" i="13" s="1"/>
  <c r="F11" i="13" s="1"/>
  <c r="F12" i="13" s="1"/>
  <c r="G10" i="15"/>
  <c r="G11" i="15" s="1"/>
  <c r="G12" i="15" s="1"/>
  <c r="F7" i="15"/>
  <c r="G4" i="15"/>
  <c r="G5" i="15" s="1"/>
  <c r="G6" i="15" s="1"/>
  <c r="G7" i="15" s="1"/>
  <c r="F9" i="15"/>
  <c r="F10" i="15" s="1"/>
  <c r="F11" i="15" s="1"/>
  <c r="F12" i="15" s="1"/>
  <c r="G11" i="11"/>
  <c r="G12" i="11" s="1"/>
  <c r="G4" i="11"/>
  <c r="G5" i="11" s="1"/>
  <c r="G6" i="11" s="1"/>
  <c r="G7" i="11" s="1"/>
  <c r="F9" i="11"/>
  <c r="F10" i="11" s="1"/>
  <c r="F11" i="11" s="1"/>
  <c r="F12" i="11" s="1"/>
  <c r="M24" i="11"/>
  <c r="M24" i="13"/>
  <c r="M24" i="14"/>
  <c r="L20" i="9" l="1"/>
  <c r="L17" i="9"/>
  <c r="L4" i="9"/>
  <c r="M4" i="9"/>
  <c r="N4" i="9"/>
  <c r="L5" i="9"/>
  <c r="M5" i="9"/>
  <c r="N5" i="9"/>
  <c r="L6" i="9"/>
  <c r="M6" i="9"/>
  <c r="N6" i="9"/>
  <c r="L7" i="9"/>
  <c r="M7" i="9"/>
  <c r="N7" i="9"/>
  <c r="L8" i="9"/>
  <c r="M8" i="9"/>
  <c r="N8" i="9"/>
  <c r="L9" i="9"/>
  <c r="M9" i="9"/>
  <c r="N9" i="9"/>
  <c r="L10" i="9"/>
  <c r="M10" i="9"/>
  <c r="N10" i="9"/>
  <c r="L11" i="9"/>
  <c r="M11" i="9"/>
  <c r="N11" i="9"/>
  <c r="L12" i="9"/>
  <c r="M12" i="9"/>
  <c r="N12" i="9"/>
  <c r="L13" i="9"/>
  <c r="M13" i="9"/>
  <c r="N13" i="9"/>
  <c r="L14" i="9"/>
  <c r="M14" i="9"/>
  <c r="N14" i="9"/>
  <c r="L15" i="9"/>
  <c r="M15" i="9"/>
  <c r="N15" i="9"/>
  <c r="N3" i="9"/>
  <c r="M3" i="9"/>
  <c r="L3" i="9"/>
  <c r="N2" i="9"/>
  <c r="M2" i="9"/>
  <c r="L2" i="9"/>
  <c r="N55" i="8"/>
  <c r="M55" i="8"/>
  <c r="L55" i="8"/>
  <c r="N54" i="8"/>
  <c r="M54" i="8"/>
  <c r="L54" i="8"/>
  <c r="N53" i="8"/>
  <c r="M53" i="8"/>
  <c r="L53" i="8"/>
  <c r="N52" i="8"/>
  <c r="M52" i="8"/>
  <c r="L52" i="8"/>
  <c r="N51" i="8"/>
  <c r="M51" i="8"/>
  <c r="L51" i="8"/>
  <c r="N50" i="8"/>
  <c r="M50" i="8"/>
  <c r="L50" i="8"/>
  <c r="N49" i="8"/>
  <c r="M49" i="8"/>
  <c r="L49" i="8"/>
  <c r="N48" i="8"/>
  <c r="M48" i="8"/>
  <c r="L48" i="8"/>
  <c r="N43" i="8"/>
  <c r="M43" i="8"/>
  <c r="L43" i="8"/>
  <c r="N40" i="8"/>
  <c r="M40" i="8"/>
  <c r="L40" i="8"/>
  <c r="N33" i="8"/>
  <c r="M33" i="8"/>
  <c r="L33" i="8"/>
  <c r="N31" i="8"/>
  <c r="M31" i="8"/>
  <c r="L31" i="8"/>
  <c r="N32" i="8"/>
  <c r="M32" i="8"/>
  <c r="L32" i="8"/>
  <c r="N30" i="8"/>
  <c r="M30" i="8"/>
  <c r="L30" i="8"/>
  <c r="N29" i="8"/>
  <c r="M29" i="8"/>
  <c r="L29" i="8"/>
  <c r="N28" i="8"/>
  <c r="M28" i="8"/>
  <c r="L28" i="8"/>
  <c r="N27" i="8"/>
  <c r="M27" i="8"/>
  <c r="L27" i="8"/>
  <c r="N26" i="8"/>
  <c r="M26" i="8"/>
  <c r="L26" i="8"/>
  <c r="N25" i="8"/>
  <c r="M25" i="8"/>
  <c r="L25" i="8"/>
  <c r="N24" i="8"/>
  <c r="M24" i="8"/>
  <c r="L24" i="8"/>
  <c r="N23" i="8"/>
  <c r="M23" i="8"/>
  <c r="L23" i="8"/>
  <c r="N22" i="8"/>
  <c r="M22" i="8"/>
  <c r="L22" i="8"/>
  <c r="N18" i="8"/>
  <c r="M18" i="8"/>
  <c r="L18" i="8"/>
  <c r="N16" i="8"/>
  <c r="M16" i="8"/>
  <c r="L16" i="8"/>
  <c r="N15" i="8"/>
  <c r="M15" i="8"/>
  <c r="L15" i="8"/>
  <c r="N9" i="8"/>
  <c r="M9" i="8"/>
  <c r="L9" i="8"/>
  <c r="N8" i="8"/>
  <c r="M8" i="8"/>
  <c r="L8" i="8"/>
  <c r="N7" i="8"/>
  <c r="M7" i="8"/>
  <c r="L7" i="8"/>
  <c r="N6" i="8"/>
  <c r="M6" i="8"/>
  <c r="L6" i="8"/>
  <c r="E43" i="14"/>
  <c r="E42" i="14"/>
  <c r="E41" i="14"/>
  <c r="E38" i="14"/>
  <c r="E37" i="14"/>
  <c r="E36" i="14"/>
  <c r="E33" i="14"/>
  <c r="E32" i="14"/>
  <c r="E31" i="14"/>
  <c r="E22" i="14"/>
  <c r="E21" i="14"/>
  <c r="E20" i="14"/>
  <c r="E19" i="14"/>
  <c r="E18" i="14"/>
  <c r="E17" i="14"/>
  <c r="G14" i="14"/>
  <c r="G15" i="14" s="1"/>
  <c r="F14" i="14"/>
  <c r="F15" i="14" s="1"/>
  <c r="F16" i="14" s="1"/>
  <c r="F17" i="14" s="1"/>
  <c r="E13" i="14"/>
  <c r="E43" i="13"/>
  <c r="E42" i="13"/>
  <c r="E41" i="13"/>
  <c r="E38" i="13"/>
  <c r="E37" i="13"/>
  <c r="E36" i="13"/>
  <c r="E33" i="13"/>
  <c r="E32" i="13"/>
  <c r="E31" i="13"/>
  <c r="E22" i="13"/>
  <c r="E21" i="13"/>
  <c r="E20" i="13"/>
  <c r="E19" i="13"/>
  <c r="E18" i="13"/>
  <c r="E17" i="13"/>
  <c r="E13" i="13"/>
  <c r="G14" i="13" s="1"/>
  <c r="G15" i="13" s="1"/>
  <c r="E43" i="11"/>
  <c r="E38" i="11"/>
  <c r="E33" i="11"/>
  <c r="E42" i="11"/>
  <c r="E41" i="11"/>
  <c r="E37" i="11"/>
  <c r="E36" i="11"/>
  <c r="E32" i="11"/>
  <c r="E31" i="11"/>
  <c r="E22" i="11"/>
  <c r="E21" i="11"/>
  <c r="E20" i="11"/>
  <c r="E19" i="11"/>
  <c r="E18" i="11"/>
  <c r="E17" i="11"/>
  <c r="L97" i="7"/>
  <c r="N120" i="7"/>
  <c r="M120" i="7"/>
  <c r="L120" i="7"/>
  <c r="N119" i="7"/>
  <c r="M119" i="7"/>
  <c r="L119" i="7"/>
  <c r="N117" i="7"/>
  <c r="M117" i="7"/>
  <c r="L117" i="7"/>
  <c r="N115" i="7"/>
  <c r="M115" i="7"/>
  <c r="L115" i="7"/>
  <c r="N114" i="7"/>
  <c r="M114" i="7"/>
  <c r="L114" i="7"/>
  <c r="N112" i="7"/>
  <c r="M112" i="7"/>
  <c r="L112" i="7"/>
  <c r="L91" i="7"/>
  <c r="N83" i="7"/>
  <c r="M83" i="7"/>
  <c r="L83" i="7"/>
  <c r="N82" i="7"/>
  <c r="M82" i="7"/>
  <c r="L82" i="7"/>
  <c r="N81" i="7"/>
  <c r="M81" i="7"/>
  <c r="L81" i="7"/>
  <c r="N30" i="7"/>
  <c r="M30" i="7"/>
  <c r="L30" i="7"/>
  <c r="N25" i="7"/>
  <c r="M25" i="7"/>
  <c r="L25" i="7"/>
  <c r="N24" i="7"/>
  <c r="M24" i="7"/>
  <c r="L24" i="7"/>
  <c r="N23" i="7"/>
  <c r="M23" i="7"/>
  <c r="L23" i="7"/>
  <c r="N22" i="7"/>
  <c r="M22" i="7"/>
  <c r="L22" i="7"/>
  <c r="N21" i="7"/>
  <c r="M21" i="7"/>
  <c r="L21" i="7"/>
  <c r="L12" i="7"/>
  <c r="M12" i="7"/>
  <c r="N12" i="7"/>
  <c r="L13" i="7"/>
  <c r="M13" i="7"/>
  <c r="N13" i="7"/>
  <c r="L14" i="7"/>
  <c r="M14" i="7"/>
  <c r="N14" i="7"/>
  <c r="L15" i="7"/>
  <c r="M15" i="7"/>
  <c r="N15" i="7"/>
  <c r="L16" i="7"/>
  <c r="M16" i="7"/>
  <c r="N16" i="7"/>
  <c r="L17" i="7"/>
  <c r="M17" i="7"/>
  <c r="N17" i="7"/>
  <c r="L18" i="7"/>
  <c r="M18" i="7"/>
  <c r="N18" i="7"/>
  <c r="L19" i="7"/>
  <c r="M19" i="7"/>
  <c r="N19" i="7"/>
  <c r="L20" i="7"/>
  <c r="M20" i="7"/>
  <c r="N20" i="7"/>
  <c r="L26" i="7"/>
  <c r="M26" i="7"/>
  <c r="N26" i="7"/>
  <c r="L27" i="7"/>
  <c r="M27" i="7"/>
  <c r="N27" i="7"/>
  <c r="L28" i="7"/>
  <c r="M28" i="7"/>
  <c r="N28" i="7"/>
  <c r="L29" i="7"/>
  <c r="M29" i="7"/>
  <c r="N29" i="7"/>
  <c r="L32" i="7"/>
  <c r="M32" i="7"/>
  <c r="N32" i="7"/>
  <c r="L33" i="7"/>
  <c r="M33" i="7"/>
  <c r="N33" i="7"/>
  <c r="L34" i="7"/>
  <c r="M34" i="7"/>
  <c r="N34" i="7"/>
  <c r="L35" i="7"/>
  <c r="M35" i="7"/>
  <c r="N35" i="7"/>
  <c r="L36" i="7"/>
  <c r="M36" i="7"/>
  <c r="N36" i="7"/>
  <c r="L37" i="7"/>
  <c r="M37" i="7"/>
  <c r="N37" i="7"/>
  <c r="L38" i="7"/>
  <c r="M38" i="7"/>
  <c r="N38" i="7"/>
  <c r="L39" i="7"/>
  <c r="M39" i="7"/>
  <c r="N39" i="7"/>
  <c r="L40" i="7"/>
  <c r="M40" i="7"/>
  <c r="N40" i="7"/>
  <c r="L41" i="7"/>
  <c r="M41" i="7"/>
  <c r="N41" i="7"/>
  <c r="L42" i="7"/>
  <c r="M42" i="7"/>
  <c r="N42" i="7"/>
  <c r="L43" i="7"/>
  <c r="M43" i="7"/>
  <c r="N43" i="7"/>
  <c r="L44" i="7"/>
  <c r="M44" i="7"/>
  <c r="N44" i="7"/>
  <c r="L45" i="7"/>
  <c r="M45" i="7"/>
  <c r="N45" i="7"/>
  <c r="L46" i="7"/>
  <c r="M46" i="7"/>
  <c r="N46" i="7"/>
  <c r="L47" i="7"/>
  <c r="M47" i="7"/>
  <c r="N47" i="7"/>
  <c r="L48" i="7"/>
  <c r="M48" i="7"/>
  <c r="N48" i="7"/>
  <c r="L49" i="7"/>
  <c r="M49" i="7"/>
  <c r="N49" i="7"/>
  <c r="L50" i="7"/>
  <c r="M50" i="7"/>
  <c r="N50" i="7"/>
  <c r="L51" i="7"/>
  <c r="M51" i="7"/>
  <c r="N51" i="7"/>
  <c r="L52" i="7"/>
  <c r="M52" i="7"/>
  <c r="N52" i="7"/>
  <c r="L53" i="7"/>
  <c r="M53" i="7"/>
  <c r="N53" i="7"/>
  <c r="L54" i="7"/>
  <c r="M54" i="7"/>
  <c r="N54" i="7"/>
  <c r="L55" i="7"/>
  <c r="M55" i="7"/>
  <c r="N55" i="7"/>
  <c r="L56" i="7"/>
  <c r="M56" i="7"/>
  <c r="N56" i="7"/>
  <c r="L57" i="7"/>
  <c r="M57" i="7"/>
  <c r="N57" i="7"/>
  <c r="L58" i="7"/>
  <c r="M58" i="7"/>
  <c r="N58" i="7"/>
  <c r="L59" i="7"/>
  <c r="M59" i="7"/>
  <c r="N59" i="7"/>
  <c r="L60" i="7"/>
  <c r="M60" i="7"/>
  <c r="N60" i="7"/>
  <c r="L62" i="7"/>
  <c r="M62" i="7"/>
  <c r="N62" i="7"/>
  <c r="L64" i="7"/>
  <c r="M64" i="7"/>
  <c r="N64" i="7"/>
  <c r="L65" i="7"/>
  <c r="M65" i="7"/>
  <c r="N65" i="7"/>
  <c r="L66" i="7"/>
  <c r="M66" i="7"/>
  <c r="N66" i="7"/>
  <c r="L67" i="7"/>
  <c r="M67" i="7"/>
  <c r="N67" i="7"/>
  <c r="L68" i="7"/>
  <c r="M68" i="7"/>
  <c r="N68" i="7"/>
  <c r="L69" i="7"/>
  <c r="M69" i="7"/>
  <c r="N69" i="7"/>
  <c r="L70" i="7"/>
  <c r="M70" i="7"/>
  <c r="N70" i="7"/>
  <c r="L72" i="7"/>
  <c r="M72" i="7"/>
  <c r="N72" i="7"/>
  <c r="L73" i="7"/>
  <c r="M73" i="7"/>
  <c r="N73" i="7"/>
  <c r="L74" i="7"/>
  <c r="M74" i="7"/>
  <c r="N74" i="7"/>
  <c r="L75" i="7"/>
  <c r="M75" i="7"/>
  <c r="N75" i="7"/>
  <c r="L76" i="7"/>
  <c r="M76" i="7"/>
  <c r="N76" i="7"/>
  <c r="L77" i="7"/>
  <c r="M77" i="7"/>
  <c r="N77" i="7"/>
  <c r="L78" i="7"/>
  <c r="M78" i="7"/>
  <c r="N78" i="7"/>
  <c r="L79" i="7"/>
  <c r="M79" i="7"/>
  <c r="N79" i="7"/>
  <c r="L80" i="7"/>
  <c r="M80" i="7"/>
  <c r="N80" i="7"/>
  <c r="L84" i="7"/>
  <c r="M84" i="7"/>
  <c r="N84" i="7"/>
  <c r="L85" i="7"/>
  <c r="M85" i="7"/>
  <c r="N85" i="7"/>
  <c r="L87" i="7"/>
  <c r="M87" i="7"/>
  <c r="N87" i="7"/>
  <c r="L88" i="7"/>
  <c r="M88" i="7"/>
  <c r="N88" i="7"/>
  <c r="L89" i="7"/>
  <c r="M89" i="7"/>
  <c r="N89" i="7"/>
  <c r="L90" i="7"/>
  <c r="M90" i="7"/>
  <c r="N90" i="7"/>
  <c r="M91" i="7"/>
  <c r="N91" i="7"/>
  <c r="L92" i="7"/>
  <c r="M92" i="7"/>
  <c r="N92" i="7"/>
  <c r="L93" i="7"/>
  <c r="M93" i="7"/>
  <c r="N93" i="7"/>
  <c r="L94" i="7"/>
  <c r="I20" i="14" s="1"/>
  <c r="M94" i="7"/>
  <c r="N94" i="7"/>
  <c r="L95" i="7"/>
  <c r="H21" i="14" s="1"/>
  <c r="M95" i="7"/>
  <c r="N95" i="7"/>
  <c r="L96" i="7"/>
  <c r="I22" i="14" s="1"/>
  <c r="M96" i="7"/>
  <c r="N96" i="7"/>
  <c r="M97" i="7"/>
  <c r="N97" i="7"/>
  <c r="L98" i="7"/>
  <c r="M98" i="7"/>
  <c r="N98" i="7"/>
  <c r="L99" i="7"/>
  <c r="M99" i="7"/>
  <c r="N99" i="7"/>
  <c r="L100" i="7"/>
  <c r="M100" i="7"/>
  <c r="N100" i="7"/>
  <c r="L101" i="7"/>
  <c r="M101" i="7"/>
  <c r="N101" i="7"/>
  <c r="L102" i="7"/>
  <c r="M102" i="7"/>
  <c r="N102" i="7"/>
  <c r="L103" i="7"/>
  <c r="M103" i="7"/>
  <c r="N103" i="7"/>
  <c r="L104" i="7"/>
  <c r="M104" i="7"/>
  <c r="N104" i="7"/>
  <c r="L105" i="7"/>
  <c r="M105" i="7"/>
  <c r="N105" i="7"/>
  <c r="L106" i="7"/>
  <c r="M106" i="7"/>
  <c r="N106" i="7"/>
  <c r="L107" i="7"/>
  <c r="M107" i="7"/>
  <c r="N107" i="7"/>
  <c r="L108" i="7"/>
  <c r="M108" i="7"/>
  <c r="N108" i="7"/>
  <c r="L109" i="7"/>
  <c r="M109" i="7"/>
  <c r="N109" i="7"/>
  <c r="L111" i="7"/>
  <c r="M111" i="7"/>
  <c r="N111" i="7"/>
  <c r="L118" i="7"/>
  <c r="M118" i="7"/>
  <c r="N118" i="7"/>
  <c r="L3" i="7"/>
  <c r="M3" i="7"/>
  <c r="N3" i="7"/>
  <c r="L4" i="7"/>
  <c r="M4" i="7"/>
  <c r="N4" i="7"/>
  <c r="L5" i="7"/>
  <c r="M5" i="7"/>
  <c r="N5" i="7"/>
  <c r="L6" i="7"/>
  <c r="M6" i="7"/>
  <c r="N6" i="7"/>
  <c r="L7" i="7"/>
  <c r="M7" i="7"/>
  <c r="N7" i="7"/>
  <c r="L8" i="7"/>
  <c r="M8" i="7"/>
  <c r="N8" i="7"/>
  <c r="L9" i="7"/>
  <c r="M9" i="7"/>
  <c r="N9" i="7"/>
  <c r="L10" i="7"/>
  <c r="M10" i="7"/>
  <c r="N10" i="7"/>
  <c r="N2" i="7"/>
  <c r="M2" i="7"/>
  <c r="L2" i="7"/>
  <c r="M13" i="11" l="1"/>
  <c r="M13" i="13"/>
  <c r="M3" i="14"/>
  <c r="M3" i="13"/>
  <c r="M13" i="14"/>
  <c r="M8" i="13"/>
  <c r="M8" i="14"/>
  <c r="F18" i="14"/>
  <c r="H17" i="13"/>
  <c r="H18" i="14"/>
  <c r="I16" i="14"/>
  <c r="H15" i="14"/>
  <c r="I17" i="14"/>
  <c r="I21" i="13"/>
  <c r="I19" i="14"/>
  <c r="H13" i="14"/>
  <c r="I23" i="14"/>
  <c r="H16" i="14"/>
  <c r="I14" i="14"/>
  <c r="I13" i="13"/>
  <c r="I21" i="14"/>
  <c r="H13" i="11"/>
  <c r="I15" i="13"/>
  <c r="I18" i="13"/>
  <c r="H21" i="13"/>
  <c r="I15" i="14"/>
  <c r="I18" i="14"/>
  <c r="I16" i="13"/>
  <c r="H19" i="13"/>
  <c r="I13" i="14"/>
  <c r="H19" i="14"/>
  <c r="H13" i="13"/>
  <c r="I19" i="13"/>
  <c r="H22" i="13"/>
  <c r="H22" i="14"/>
  <c r="I22" i="13"/>
  <c r="H17" i="14"/>
  <c r="H14" i="13"/>
  <c r="I17" i="13"/>
  <c r="H20" i="13"/>
  <c r="H23" i="13"/>
  <c r="H14" i="14"/>
  <c r="H20" i="14"/>
  <c r="H23" i="14"/>
  <c r="H16" i="13"/>
  <c r="I14" i="13"/>
  <c r="I20" i="13"/>
  <c r="I23" i="13"/>
  <c r="H15" i="13"/>
  <c r="H18" i="13"/>
  <c r="F14" i="13"/>
  <c r="F15" i="13" s="1"/>
  <c r="F16" i="13" s="1"/>
  <c r="F17" i="13" s="1"/>
  <c r="F18" i="13" s="1"/>
  <c r="M3" i="11"/>
  <c r="M8" i="11"/>
  <c r="H107" i="7" l="1"/>
  <c r="I23" i="11"/>
  <c r="I22" i="11"/>
  <c r="I21" i="11"/>
  <c r="I20" i="11"/>
  <c r="I19" i="11"/>
  <c r="I18" i="11"/>
  <c r="I17" i="11"/>
  <c r="I16" i="11"/>
  <c r="I15" i="11"/>
  <c r="I14" i="11"/>
  <c r="I13" i="11"/>
  <c r="H18" i="11"/>
  <c r="H17" i="11"/>
  <c r="H23" i="11"/>
  <c r="H22" i="11"/>
  <c r="H21" i="11"/>
  <c r="H20" i="11"/>
  <c r="H19" i="11"/>
  <c r="H15" i="11"/>
  <c r="H14" i="11"/>
  <c r="H16" i="11"/>
  <c r="E13" i="11"/>
  <c r="G14" i="11" s="1"/>
  <c r="G15" i="11" s="1"/>
  <c r="F14" i="11" l="1"/>
  <c r="F15" i="11" s="1"/>
  <c r="F16" i="11" s="1"/>
  <c r="F17" i="11" s="1"/>
  <c r="F18"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31299428-34DE-460E-B636-A58EE78EF4D6}">
      <text>
        <r>
          <rPr>
            <b/>
            <sz val="9"/>
            <color indexed="81"/>
            <rFont val="Tahoma"/>
            <charset val="1"/>
          </rPr>
          <t>Kakeda, Masahide:</t>
        </r>
        <r>
          <rPr>
            <sz val="9"/>
            <color indexed="81"/>
            <rFont val="Tahoma"/>
            <charset val="1"/>
          </rPr>
          <t xml:space="preserve">
This address will be last DWs of total Group2 fuses.
This address will be updated based on the total Group2 fuses byte size. 
</t>
        </r>
      </text>
    </comment>
    <comment ref="F12" authorId="0" shapeId="0" xr:uid="{FD5048BD-B52A-410A-8940-524AC406A18C}">
      <text>
        <r>
          <rPr>
            <b/>
            <sz val="9"/>
            <color indexed="81"/>
            <rFont val="Tahoma"/>
            <charset val="1"/>
          </rPr>
          <t>Kakeda, Masahide:</t>
        </r>
        <r>
          <rPr>
            <sz val="9"/>
            <color indexed="81"/>
            <rFont val="Tahoma"/>
            <charset val="1"/>
          </rPr>
          <t xml:space="preserve">
This address will be last DWs of total Group2 fuses.
This address will be updated based on the total Group2 fuses byte size.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9A3B8C11-67CC-412A-8420-26620ED8FAE3}">
      <text>
        <r>
          <rPr>
            <b/>
            <sz val="9"/>
            <color indexed="81"/>
            <rFont val="Tahoma"/>
            <charset val="1"/>
          </rPr>
          <t>Kakeda, Masahide:</t>
        </r>
        <r>
          <rPr>
            <sz val="9"/>
            <color indexed="81"/>
            <rFont val="Tahoma"/>
            <charset val="1"/>
          </rPr>
          <t xml:space="preserve">
This address will be last DWs of total Group2 fuses.
This address will be updated based on the total Group2 fuses byte size. 
</t>
        </r>
      </text>
    </comment>
    <comment ref="F12" authorId="0" shapeId="0" xr:uid="{946F1E31-6383-415A-A34A-1E8207F5E585}">
      <text>
        <r>
          <rPr>
            <b/>
            <sz val="9"/>
            <color indexed="81"/>
            <rFont val="Tahoma"/>
            <charset val="1"/>
          </rPr>
          <t>Kakeda, Masahide:</t>
        </r>
        <r>
          <rPr>
            <sz val="9"/>
            <color indexed="81"/>
            <rFont val="Tahoma"/>
            <charset val="1"/>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18DBA43B-05BB-45A2-B6E1-D4F27A657794}">
      <text>
        <r>
          <rPr>
            <b/>
            <sz val="9"/>
            <color indexed="81"/>
            <rFont val="Tahoma"/>
            <charset val="1"/>
          </rPr>
          <t>Kakeda, Masahide:</t>
        </r>
        <r>
          <rPr>
            <sz val="9"/>
            <color indexed="81"/>
            <rFont val="Tahoma"/>
            <charset val="1"/>
          </rPr>
          <t xml:space="preserve">
This address will be last DWs of total Group2 fuses.
This address will be updated based on the total Group2 fuses byte size. 
</t>
        </r>
      </text>
    </comment>
    <comment ref="F12" authorId="0" shapeId="0" xr:uid="{899F8DD3-FC2B-4651-89A8-7A0D4245F444}">
      <text>
        <r>
          <rPr>
            <b/>
            <sz val="9"/>
            <color indexed="81"/>
            <rFont val="Tahoma"/>
            <charset val="1"/>
          </rPr>
          <t>Kakeda, Masahide:</t>
        </r>
        <r>
          <rPr>
            <sz val="9"/>
            <color indexed="81"/>
            <rFont val="Tahoma"/>
            <charset val="1"/>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charset val="1"/>
          </rPr>
          <t>Kakeda, Masahide:</t>
        </r>
        <r>
          <rPr>
            <sz val="9"/>
            <color indexed="81"/>
            <rFont val="Tahoma"/>
            <charset val="1"/>
          </rPr>
          <t xml:space="preserve">
CSE_HW_FW_CFG_FUSE_DEFAULT</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L75" authorId="0" shapeId="0" xr:uid="{99F35255-3DDC-4FAD-BFF1-309DB27FD10C}">
      <text>
        <r>
          <rPr>
            <b/>
            <sz val="9"/>
            <color indexed="81"/>
            <rFont val="Tahoma"/>
            <family val="2"/>
          </rPr>
          <t>Kakeda, Masahide:</t>
        </r>
        <r>
          <rPr>
            <sz val="9"/>
            <color indexed="81"/>
            <rFont val="Tahoma"/>
            <family val="2"/>
          </rPr>
          <t xml:space="preserve">
SPS FW configuration</t>
        </r>
      </text>
    </comment>
    <comment ref="B81" authorId="0" shapeId="0" xr:uid="{3D815E69-CC10-4388-94C2-CE0553674278}">
      <text>
        <r>
          <rPr>
            <b/>
            <sz val="9"/>
            <color indexed="81"/>
            <rFont val="Tahoma"/>
            <family val="2"/>
          </rPr>
          <t>Kakeda, Masahide:</t>
        </r>
        <r>
          <rPr>
            <sz val="9"/>
            <color indexed="81"/>
            <rFont val="Tahoma"/>
            <family val="2"/>
          </rPr>
          <t xml:space="preserve">
SAMSUNG_PUF_CONFIG_EN and OCS_HNL_PUF_EN are
mutualy exclusive </t>
        </r>
      </text>
    </comment>
    <comment ref="B82" authorId="0" shapeId="0" xr:uid="{944C2DBF-2257-4DDB-8697-E4B761C33228}">
      <text>
        <r>
          <rPr>
            <b/>
            <sz val="9"/>
            <color indexed="81"/>
            <rFont val="Tahoma"/>
            <family val="2"/>
          </rPr>
          <t>Kakeda, Masahide:</t>
        </r>
        <r>
          <rPr>
            <sz val="9"/>
            <color indexed="81"/>
            <rFont val="Tahoma"/>
            <family val="2"/>
          </rPr>
          <t xml:space="preserve">
SAMSUNG_PUF_CONFIG_EN and OCS_HNL_PUF_EN are
mutualy exclusive </t>
        </r>
      </text>
    </comment>
    <comment ref="B83" authorId="0" shapeId="0" xr:uid="{B60FDDD8-C0D0-499B-9B23-29EDF2989F3E}">
      <text>
        <r>
          <rPr>
            <b/>
            <sz val="9"/>
            <color indexed="81"/>
            <rFont val="Tahoma"/>
            <family val="2"/>
          </rPr>
          <t>Kakeda, Masahide:</t>
        </r>
        <r>
          <rPr>
            <sz val="9"/>
            <color indexed="81"/>
            <rFont val="Tahoma"/>
            <family val="2"/>
          </rPr>
          <t xml:space="preserve">
SAMSUNG_PUF_CONFIG_EN and OCS_HNL_PUF_EN are
mutualy exclusive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C142ED9C-A746-43D9-9C5B-9B437E3B04FF}">
      <text>
        <r>
          <rPr>
            <b/>
            <sz val="9"/>
            <color indexed="81"/>
            <rFont val="Tahoma"/>
            <charset val="1"/>
          </rPr>
          <t>Kakeda, Masahide:</t>
        </r>
        <r>
          <rPr>
            <sz val="9"/>
            <color indexed="81"/>
            <rFont val="Tahoma"/>
            <charset val="1"/>
          </rPr>
          <t xml:space="preserve">
This address will be last DWs of total Group2 fuses.
This address will be updated based on the total Group2 fuses byte size. 
</t>
        </r>
      </text>
    </comment>
    <comment ref="F12" authorId="0" shapeId="0" xr:uid="{1671581C-82BB-4F27-B6D4-B78465B5CE20}">
      <text>
        <r>
          <rPr>
            <b/>
            <sz val="9"/>
            <color indexed="81"/>
            <rFont val="Tahoma"/>
            <charset val="1"/>
          </rPr>
          <t>Kakeda, Masahide:</t>
        </r>
        <r>
          <rPr>
            <sz val="9"/>
            <color indexed="81"/>
            <rFont val="Tahoma"/>
            <charset val="1"/>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FC364B23-FDD8-4580-A638-A3982AEF42C3}">
      <text>
        <r>
          <rPr>
            <b/>
            <sz val="9"/>
            <color indexed="81"/>
            <rFont val="Tahoma"/>
            <charset val="1"/>
          </rPr>
          <t>Kakeda, Masahide:</t>
        </r>
        <r>
          <rPr>
            <sz val="9"/>
            <color indexed="81"/>
            <rFont val="Tahoma"/>
            <charset val="1"/>
          </rPr>
          <t xml:space="preserve">
CSE_HW_FW_CFG_FUSE_DEFAULT</t>
        </r>
      </text>
    </comment>
    <comment ref="A2" authorId="0" shapeId="0" xr:uid="{9F348822-7802-43CF-B66E-51E19DE60A72}">
      <text>
        <r>
          <rPr>
            <b/>
            <sz val="9"/>
            <color indexed="81"/>
            <rFont val="Tahoma"/>
            <family val="2"/>
          </rPr>
          <t>Kakeda, Masahide:</t>
        </r>
        <r>
          <rPr>
            <sz val="9"/>
            <color indexed="81"/>
            <rFont val="Tahoma"/>
            <family val="2"/>
          </rPr>
          <t xml:space="preserve">
No Knobs to remove OOB wires (instanciated by SOC)
</t>
        </r>
      </text>
    </comment>
    <comment ref="E11" authorId="0" shapeId="0" xr:uid="{65E9D560-C122-41D4-9EAE-1107D23B4123}">
      <text>
        <r>
          <rPr>
            <b/>
            <sz val="9"/>
            <color indexed="81"/>
            <rFont val="Tahoma"/>
            <family val="2"/>
          </rPr>
          <t>Kakeda, Masahide:</t>
        </r>
        <r>
          <rPr>
            <sz val="9"/>
            <color indexed="81"/>
            <rFont val="Tahoma"/>
            <family val="2"/>
          </rPr>
          <t xml:space="preserve">
This is used by RBE for FSP_HAL</t>
        </r>
      </text>
    </comment>
    <comment ref="F11" authorId="0" shapeId="0" xr:uid="{BE543996-0B0F-47B3-9100-33622118A5C1}">
      <text>
        <r>
          <rPr>
            <b/>
            <sz val="9"/>
            <color indexed="81"/>
            <rFont val="Tahoma"/>
            <family val="2"/>
          </rPr>
          <t>Kakeda, Masahide:</t>
        </r>
        <r>
          <rPr>
            <sz val="9"/>
            <color indexed="81"/>
            <rFont val="Tahoma"/>
            <family val="2"/>
          </rPr>
          <t xml:space="preserve">
This is used by RBE for FSP_HAL</t>
        </r>
      </text>
    </comment>
    <comment ref="B18" authorId="0" shapeId="0" xr:uid="{C40A4941-33D0-4BD7-93E4-9BD2D069D224}">
      <text>
        <r>
          <rPr>
            <b/>
            <sz val="9"/>
            <color indexed="81"/>
            <rFont val="Tahoma"/>
            <family val="2"/>
          </rPr>
          <t>Kakeda, Masahide:</t>
        </r>
        <r>
          <rPr>
            <sz val="9"/>
            <color indexed="81"/>
            <rFont val="Tahoma"/>
            <family val="2"/>
          </rPr>
          <t xml:space="preserve">
No Space flops
</t>
        </r>
      </text>
    </comment>
    <comment ref="B21" authorId="0" shapeId="0" xr:uid="{46D41526-40BD-4687-AD31-5ACEFA758EB4}">
      <text>
        <r>
          <rPr>
            <b/>
            <sz val="9"/>
            <color indexed="81"/>
            <rFont val="Tahoma"/>
            <family val="2"/>
          </rPr>
          <t>Kakeda, Masahide:</t>
        </r>
        <r>
          <rPr>
            <sz val="9"/>
            <color indexed="81"/>
            <rFont val="Tahoma"/>
            <family val="2"/>
          </rPr>
          <t xml:space="preserve">
No Space flops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charset val="1"/>
          </rPr>
          <t>Kakeda, Masahide:</t>
        </r>
        <r>
          <rPr>
            <sz val="9"/>
            <color indexed="81"/>
            <rFont val="Tahoma"/>
            <charset val="1"/>
          </rPr>
          <t xml:space="preserve">
STRAPS_DEFAULT[63:0]</t>
        </r>
      </text>
    </comment>
  </commentList>
</comments>
</file>

<file path=xl/sharedStrings.xml><?xml version="1.0" encoding="utf-8"?>
<sst xmlns="http://schemas.openxmlformats.org/spreadsheetml/2006/main" count="1993" uniqueCount="682">
  <si>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</si>
  <si>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</si>
  <si>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</si>
  <si>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</si>
  <si>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</si>
  <si>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</si>
  <si>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</si>
  <si>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</si>
  <si>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</si>
  <si>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</si>
  <si>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</si>
  <si>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</si>
  <si>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</si>
  <si>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</si>
  <si>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</si>
  <si>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</si>
  <si>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</si>
  <si>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</si>
  <si>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</si>
  <si>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</si>
  <si>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0x6400</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</si>
  <si>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</si>
  <si>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</si>
  <si>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</si>
  <si>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</si>
  <si>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</si>
  <si>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</si>
  <si>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</si>
  <si>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</si>
  <si>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</si>
  <si>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</si>
  <si>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</si>
  <si>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</si>
  <si>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</si>
  <si>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</si>
  <si>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</si>
  <si>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</si>
  <si>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</si>
  <si>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</si>
  <si>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</si>
  <si>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</si>
  <si>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</si>
  <si>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</si>
  <si>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</si>
  <si>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</si>
  <si>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</si>
  <si>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</si>
  <si>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</si>
  <si>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0x8000</t>
  </si>
  <si>
    <t>0xF00B020C</t>
  </si>
  <si>
    <t>GSK_HW_STRAP</t>
  </si>
  <si>
    <t>0x8004</t>
  </si>
  <si>
    <t>0xF00B0170</t>
  </si>
  <si>
    <t>Configuration HW strap</t>
  </si>
  <si>
    <t>GSK_HARD_STRAPS</t>
  </si>
  <si>
    <t>See Hardstrap Sheet</t>
  </si>
  <si>
    <t>Hardware</t>
  </si>
  <si>
    <t>N/A</t>
  </si>
  <si>
    <t>0xF00B0210</t>
  </si>
  <si>
    <t>GSK_HVM_INPUT</t>
  </si>
  <si>
    <t>0xF00B0214</t>
  </si>
  <si>
    <t>GSK_ROM_BYPASS_EN</t>
  </si>
  <si>
    <t>0xF00B0220</t>
  </si>
  <si>
    <t>IFP Configuration Fuse</t>
  </si>
  <si>
    <t>FW_IFP_Reserved</t>
  </si>
  <si>
    <t>IFP1</t>
  </si>
  <si>
    <t>0x0000</t>
  </si>
  <si>
    <t>GSK_OEM_IFP_CONFIG</t>
  </si>
  <si>
    <t>0x0040</t>
  </si>
  <si>
    <t>0xF00B0840</t>
  </si>
  <si>
    <t>GSK_TRC_DIS</t>
  </si>
  <si>
    <t>0x0044</t>
  </si>
  <si>
    <t>0xF00B0844</t>
  </si>
  <si>
    <t>FW_IFP_GENERAL</t>
  </si>
  <si>
    <t>0x0100</t>
  </si>
  <si>
    <t>Registers</t>
  </si>
  <si>
    <t>Parameter Name</t>
  </si>
  <si>
    <t>Enabled (1)</t>
  </si>
  <si>
    <t>Disabled (0)</t>
  </si>
  <si>
    <t>Attributes</t>
  </si>
  <si>
    <t>Usage</t>
  </si>
  <si>
    <t>CSME</t>
  </si>
  <si>
    <t>ESE</t>
  </si>
  <si>
    <t>GSC</t>
  </si>
  <si>
    <t>GSK_FUSES_LO</t>
  </si>
  <si>
    <t>IP_BASE_FEATURE</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</si>
  <si>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</si>
  <si>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</si>
  <si>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</si>
  <si>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</si>
  <si>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</si>
  <si>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</si>
  <si>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</si>
  <si>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</si>
  <si>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</si>
  <si>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</si>
  <si>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</si>
  <si>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</si>
  <si>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</si>
  <si>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</si>
  <si>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</si>
  <si>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</si>
  <si>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</si>
  <si>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</si>
  <si>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</si>
  <si>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</si>
  <si>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</si>
  <si>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</si>
  <si>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</si>
  <si>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</si>
  <si>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</si>
  <si>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ROM_DNX_CAP_DIS</t>
  </si>
  <si>
    <t>IP_DNX_Disable</t>
  </si>
  <si>
    <t>IP_Cfg_Fuse_10</t>
  </si>
  <si>
    <t>ROMB_OEM_Unlock</t>
  </si>
  <si>
    <t>ROM_Bypass_OEM_Unlock</t>
  </si>
  <si>
    <t>IP_Cfg_Fuse_11</t>
  </si>
  <si>
    <t>RPMB_REUSE_DIS</t>
  </si>
  <si>
    <t>SOC_DEV_REUSE_PROHIBITED</t>
  </si>
  <si>
    <t>IP_Cfg_Fuse_12</t>
  </si>
  <si>
    <t>HWSTRAP_BOOT_DEV_SEL_EN</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</si>
  <si>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</si>
  <si>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</si>
  <si>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</si>
  <si>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</si>
  <si>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</si>
  <si>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</si>
  <si>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</si>
  <si>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</si>
  <si>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</si>
  <si>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</si>
  <si>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</si>
  <si>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</si>
  <si>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</si>
  <si>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</si>
  <si>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</si>
  <si>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</si>
  <si>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</si>
  <si>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</si>
  <si>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</si>
  <si>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</si>
  <si>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</si>
  <si>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</si>
  <si>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</si>
  <si>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</si>
  <si>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</si>
  <si>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</si>
  <si>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</si>
  <si>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</si>
  <si>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</si>
  <si>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</si>
  <si>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</si>
  <si>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</si>
  <si>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</si>
  <si>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</si>
  <si>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</si>
  <si>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</si>
  <si>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</si>
  <si>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</si>
  <si>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</si>
  <si>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</si>
  <si>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</si>
  <si>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</si>
  <si>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</si>
  <si>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</si>
  <si>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</si>
  <si>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</si>
  <si>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</si>
  <si>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</si>
  <si>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ISH_Disable</t>
  </si>
  <si>
    <t>IP_Cfg_Fuse_32</t>
  </si>
  <si>
    <t>XEON_CPU_SKU_CTRL_EN</t>
  </si>
  <si>
    <t>C_SKU</t>
  </si>
  <si>
    <t>IP_Cfg_Fuse_33</t>
  </si>
  <si>
    <t>FUSA_DIAG_FEATURE_EN</t>
  </si>
  <si>
    <t>FUSA_DIAGTEST_FEATURE_EN</t>
  </si>
  <si>
    <t>IP_Cfg_Fuse_34</t>
  </si>
  <si>
    <t>OCS_DRNG_Enable</t>
  </si>
  <si>
    <t>IP_Cfg_Fuse_35</t>
  </si>
  <si>
    <t>ROM,RBE,FW</t>
  </si>
  <si>
    <t>NM2_0_DIS</t>
  </si>
  <si>
    <t>Disable_NM2_0</t>
  </si>
  <si>
    <t>IP_Cfg_Fuse_36</t>
  </si>
  <si>
    <t>DCMI_DIS</t>
  </si>
  <si>
    <t>DCMI_Disable</t>
  </si>
  <si>
    <t>IP_Cfg_Fuse_37</t>
  </si>
  <si>
    <t>SVR_CHIPSET</t>
  </si>
  <si>
    <t>IP_Cfg_Fuse_38</t>
  </si>
  <si>
    <t>PVAP_2_0_DIS</t>
  </si>
  <si>
    <t>PAVP_2_0_Disable</t>
  </si>
  <si>
    <t>IP_Cfg_Fuse_39</t>
  </si>
  <si>
    <t>MNG_APP_DIS</t>
  </si>
  <si>
    <t>MANEAGEABILITY_APP_Disable</t>
  </si>
  <si>
    <t>IP_Cfg_Fuse_40</t>
  </si>
  <si>
    <t>IP_SKU_Fuse_6_NET_INFRA_MODE</t>
  </si>
  <si>
    <t>IP_Cfg_Fuse_43_41</t>
  </si>
  <si>
    <t>NFC_DIS</t>
  </si>
  <si>
    <t>NFC_Disable</t>
  </si>
  <si>
    <t>IP_Cfg_Fuse_44</t>
  </si>
  <si>
    <t>WIDI_DIS</t>
  </si>
  <si>
    <t>WiDi_Disable</t>
  </si>
  <si>
    <t>IP_Cfg_Fuse_45</t>
  </si>
  <si>
    <t>OEM_IFP_DIS</t>
  </si>
  <si>
    <t>OEM_IFP_Disable</t>
  </si>
  <si>
    <t>IP_Cfg_Fuse_46</t>
  </si>
  <si>
    <t>ICLS_DIS</t>
  </si>
  <si>
    <t>iCLK_Disable</t>
  </si>
  <si>
    <t>IP_Cfg_Fuse_47</t>
  </si>
  <si>
    <t>BOOT_DEV_CTRL_EN</t>
  </si>
  <si>
    <t>IP_SPI_Boot_EN</t>
  </si>
  <si>
    <t>IP_Cfg_Fuse_48</t>
  </si>
  <si>
    <t>ROM,RBE</t>
  </si>
  <si>
    <t>IP_eMMC_Boot_EN</t>
  </si>
  <si>
    <t>IP_Cfg_Fuse_49</t>
  </si>
  <si>
    <t>IP_UFS_Boot_EN</t>
  </si>
  <si>
    <t>IP_Cfg_Fuse_50</t>
  </si>
  <si>
    <t>IFP_DIS</t>
  </si>
  <si>
    <t>FPF_Disable</t>
  </si>
  <si>
    <t>IP_Cfg_Fuse_51</t>
  </si>
  <si>
    <t>BTG_DIS</t>
  </si>
  <si>
    <t>Secure_Boot_AnC_Disable</t>
  </si>
  <si>
    <t>IP_Cfg_Fuse_52</t>
  </si>
  <si>
    <t>PTT_DIS</t>
  </si>
  <si>
    <t>fTPM_Disable</t>
  </si>
  <si>
    <t>IP_Cfg_Fuse_53</t>
  </si>
  <si>
    <t>ICC_SKU_EN</t>
  </si>
  <si>
    <t>ICC_SKU</t>
  </si>
  <si>
    <t>IP_Cfg_Fuse_55_54</t>
  </si>
  <si>
    <t>FW_Signing_Key_Disables</t>
  </si>
  <si>
    <t>IP_Cfg_Fuse_63_56</t>
  </si>
  <si>
    <t>GSK_FUSES_HI</t>
  </si>
  <si>
    <t>IP_SRAM_Bank_Enable</t>
  </si>
  <si>
    <t>IP_Cfg_Fuse_78_64</t>
  </si>
  <si>
    <t>RMT_WAKE_DIS</t>
  </si>
  <si>
    <t>IP_Remote_Wake_Disable</t>
  </si>
  <si>
    <t>IP_Cfg_Fuse_79</t>
  </si>
  <si>
    <t>UFS_HIGH_SPEED_DIS</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</si>
  <si>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</si>
  <si>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</si>
  <si>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</si>
  <si>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</si>
  <si>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</si>
  <si>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</si>
  <si>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</si>
  <si>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</si>
  <si>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</si>
  <si>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</si>
  <si>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</si>
  <si>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</si>
  <si>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</si>
  <si>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</si>
  <si>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</si>
  <si>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</si>
  <si>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</si>
  <si>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</si>
  <si>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</si>
  <si>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</si>
  <si>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</si>
  <si>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</si>
  <si>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</si>
  <si>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</si>
  <si>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</si>
  <si>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</si>
  <si>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</si>
  <si>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</si>
  <si>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</si>
  <si>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</si>
  <si>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</si>
  <si>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</si>
  <si>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</si>
  <si>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</si>
  <si>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</si>
  <si>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</si>
  <si>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</si>
  <si>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</si>
  <si>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</si>
  <si>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</si>
  <si>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</si>
  <si>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</si>
  <si>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</si>
  <si>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OCS_HNL_PUF_EN &amp; !SAMSUNG_PUF_CONFIG_EN</t>
  </si>
  <si>
    <t>CLEAN_DATA_ON_ERROR</t>
  </si>
  <si>
    <t>Rom_clear_data_on_exit_points_en</t>
  </si>
  <si>
    <t>IP_Cfg_Fuse_117</t>
  </si>
  <si>
    <t>CSE_CFG_FUSES_VALID</t>
  </si>
  <si>
    <t>IP_Cfg_Fuse_118</t>
  </si>
  <si>
    <t>IP_Cfg_Fuse_119</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</si>
  <si>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</si>
  <si>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</si>
  <si>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</si>
  <si>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</si>
  <si>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</si>
  <si>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</si>
  <si>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</si>
  <si>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</si>
  <si>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</si>
  <si>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</si>
  <si>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</si>
  <si>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</si>
  <si>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</si>
  <si>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</si>
  <si>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</si>
  <si>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</si>
  <si>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</si>
  <si>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</si>
  <si>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</si>
  <si>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</si>
  <si>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</si>
  <si>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</si>
  <si>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</si>
  <si>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</si>
  <si>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</si>
  <si>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</si>
  <si>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</si>
  <si>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</si>
  <si>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</si>
  <si>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tls_conf_en</t>
  </si>
  <si>
    <t>spare_0</t>
  </si>
  <si>
    <t>HW, FW</t>
  </si>
  <si>
    <t>spare_3_1</t>
  </si>
  <si>
    <t>HW, Spare</t>
  </si>
  <si>
    <t>spi_boot_en</t>
  </si>
  <si>
    <t>spare_4</t>
  </si>
  <si>
    <t>emmc_boot_en</t>
  </si>
  <si>
    <t>spare_5</t>
  </si>
  <si>
    <t>ufs_boot_en</t>
  </si>
  <si>
    <t>spare_6</t>
  </si>
  <si>
    <t>cse_rom_bypass</t>
  </si>
  <si>
    <t>spare_7</t>
  </si>
  <si>
    <t>synced_force_fw_reload</t>
  </si>
  <si>
    <t>spare_8</t>
  </si>
  <si>
    <t>legacy_boot_en</t>
  </si>
  <si>
    <t>spare_9</t>
  </si>
  <si>
    <t>pcie_boot_en</t>
  </si>
  <si>
    <t>spare_10</t>
  </si>
  <si>
    <t>spare_14_11</t>
  </si>
  <si>
    <t>HW, RBE</t>
  </si>
  <si>
    <t>wc_present</t>
  </si>
  <si>
    <t>spare_15</t>
  </si>
  <si>
    <t>espi_disable</t>
  </si>
  <si>
    <t>spare_16</t>
  </si>
  <si>
    <t>espi_saf_en</t>
  </si>
  <si>
    <t>spare_17</t>
  </si>
  <si>
    <t>spare_31_18</t>
  </si>
  <si>
    <t>synced_hvm_stall</t>
  </si>
  <si>
    <t>reserved_0</t>
  </si>
  <si>
    <t>reserved_31_1</t>
  </si>
  <si>
    <t>rom_bypass_enabled</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</si>
  <si>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</si>
  <si>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</si>
  <si>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</si>
  <si>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</si>
  <si>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</si>
  <si>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</si>
  <si>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</si>
  <si>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</si>
  <si>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</si>
  <si>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</si>
  <si>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</si>
  <si>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</si>
  <si>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</si>
  <si>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</si>
  <si>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</si>
  <si>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</si>
  <si>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</si>
  <si>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</si>
  <si>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</si>
  <si>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</si>
  <si>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</si>
  <si>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</si>
  <si>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</si>
  <si>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</si>
  <si>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</si>
  <si>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</si>
  <si>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</si>
  <si>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</si>
  <si>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</si>
  <si>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</si>
  <si>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</si>
  <si>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</si>
  <si>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</si>
  <si>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</si>
  <si>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</si>
  <si>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</si>
  <si>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</si>
  <si>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</si>
  <si>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</si>
  <si>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</si>
  <si>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</si>
  <si>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</si>
  <si>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</si>
  <si>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</si>
  <si>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</si>
  <si>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</si>
  <si>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</si>
  <si>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</si>
  <si>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</si>
  <si>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</si>
  <si>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</si>
  <si>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</si>
  <si>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</si>
  <si>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</si>
  <si>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</si>
  <si>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</si>
  <si>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</si>
  <si>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</si>
  <si>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</si>
  <si>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</si>
  <si>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</si>
  <si>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</si>
  <si>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</si>
  <si>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</si>
  <si>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</si>
  <si>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</si>
  <si>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</si>
  <si>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</si>
  <si>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</si>
  <si>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</si>
  <si>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</si>
  <si>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</si>
  <si>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</si>
  <si>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</si>
  <si>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</si>
  <si>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</si>
  <si>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</si>
  <si>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</si>
  <si>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</si>
  <si>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</si>
  <si>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</si>
  <si>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</si>
  <si>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</si>
  <si>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</si>
  <si>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</si>
  <si>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</si>
  <si>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</si>
  <si>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</si>
  <si>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</si>
  <si>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</si>
  <si>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</si>
  <si>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</si>
  <si>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</si>
  <si>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</si>
  <si>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</si>
  <si>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</si>
  <si>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</si>
  <si>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</si>
  <si>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</si>
  <si>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</si>
  <si>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</si>
  <si>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</si>
  <si>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</si>
  <si>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</si>
  <si>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</si>
  <si>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</si>
  <si>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</si>
  <si>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</si>
  <si>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</si>
  <si>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HW capture</t>
  </si>
  <si>
    <t>Parameter</t>
  </si>
  <si>
    <t>GROUP2_FUSE_BYTES</t>
  </si>
  <si>
    <t>GROUP3_FUSE_BYTES</t>
  </si>
  <si>
    <t>Default value</t>
  </si>
  <si>
    <t>A0 value</t>
  </si>
  <si>
    <t>IP_Cfg_Fuse_27</t>
  </si>
  <si>
    <t>IP_Cfg_Fuse_28</t>
  </si>
  <si>
    <t>SKIP_FUSE_BASED_PATCH</t>
  </si>
  <si>
    <t>FUSE_BASED_PATCH_DIS</t>
  </si>
  <si>
    <t>0x2100</t>
  </si>
  <si>
    <t>0x2104</t>
  </si>
  <si>
    <t>0x2108</t>
  </si>
  <si>
    <t>0x210C</t>
  </si>
  <si>
    <t>0xF00B022C</t>
  </si>
  <si>
    <t>0xF00B0240</t>
  </si>
  <si>
    <t>0xF00B0244</t>
  </si>
  <si>
    <t>0xF00B0248</t>
  </si>
  <si>
    <t>BIT num</t>
  </si>
  <si>
    <t>BIT width</t>
  </si>
  <si>
    <t>Removed</t>
  </si>
  <si>
    <t>A0 default</t>
  </si>
  <si>
    <t>Default</t>
  </si>
  <si>
    <t>0x00000000</t>
  </si>
  <si>
    <t>IFWI_LAYOUT_1_5_EN</t>
  </si>
  <si>
    <t>OCS_HNL_PUF_EN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</si>
  <si>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</si>
  <si>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</si>
  <si>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</si>
  <si>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</si>
  <si>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</si>
  <si>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</si>
  <si>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</si>
  <si>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</si>
  <si>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</si>
  <si>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</si>
  <si>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</si>
  <si>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</si>
  <si>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</si>
  <si>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</si>
  <si>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</si>
  <si>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</si>
  <si>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</si>
  <si>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0xF00B0880</t>
  </si>
  <si>
    <t>0xF00B0A40</t>
  </si>
  <si>
    <t>0xF00B0A44</t>
  </si>
  <si>
    <t>0xF00B0C40</t>
  </si>
  <si>
    <t>0xF00B0C44</t>
  </si>
  <si>
    <t>0xF00B0A80</t>
  </si>
  <si>
    <t>0xF00B0C80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</si>
  <si>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</si>
  <si>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</si>
  <si>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</si>
  <si>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</si>
  <si>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</si>
  <si>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</si>
  <si>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</si>
  <si>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</si>
  <si>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</si>
  <si>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</si>
  <si>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</si>
  <si>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</si>
  <si>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</si>
  <si>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</si>
  <si>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</si>
  <si>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</si>
  <si>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</si>
  <si>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</si>
  <si>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</si>
  <si>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</si>
  <si>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</si>
  <si>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</si>
  <si>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</si>
  <si>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</si>
  <si>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</si>
  <si>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</si>
  <si>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</si>
  <si>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</si>
  <si>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</si>
  <si>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</si>
  <si>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</si>
  <si>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</si>
  <si>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</si>
  <si>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</si>
  <si>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</si>
  <si>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</si>
  <si>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</si>
  <si>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</si>
  <si>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</si>
  <si>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</si>
  <si>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</si>
  <si>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</si>
  <si>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</si>
  <si>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</si>
  <si>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</si>
  <si>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</si>
  <si>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</si>
  <si>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</si>
  <si>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</si>
  <si>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</si>
  <si>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</si>
  <si>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</si>
  <si>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</si>
  <si>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</si>
  <si>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</si>
  <si>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</si>
  <si>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</si>
  <si>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</si>
  <si>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</si>
  <si>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</si>
  <si>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</si>
  <si>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</si>
  <si>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</si>
  <si>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</si>
  <si>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</si>
  <si>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</si>
  <si>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</si>
  <si>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</si>
  <si>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</si>
  <si>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</si>
  <si>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</si>
  <si>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</si>
  <si>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</si>
  <si>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</si>
  <si>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</si>
  <si>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</si>
  <si>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</si>
  <si>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</si>
  <si>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</si>
  <si>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</si>
  <si>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</si>
  <si>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</si>
  <si>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</si>
  <si>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</si>
  <si>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</si>
  <si>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</si>
  <si>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</si>
  <si>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</si>
  <si>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</si>
  <si>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</si>
  <si>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</si>
  <si>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</si>
  <si>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</si>
  <si>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</si>
  <si>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</si>
  <si>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</si>
  <si>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</si>
  <si>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</si>
  <si>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</si>
  <si>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</si>
  <si>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</si>
  <si>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</si>
  <si>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</si>
  <si>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</si>
  <si>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</si>
  <si>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</si>
  <si>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</si>
  <si>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</si>
  <si>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</si>
  <si>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</si>
  <si>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</si>
  <si>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</si>
  <si>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</si>
  <si>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</si>
  <si>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</si>
  <si>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</si>
  <si>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</si>
  <si>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</si>
  <si>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</si>
  <si>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</si>
  <si>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</si>
  <si>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</si>
  <si>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</si>
  <si>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</si>
  <si>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</si>
  <si>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</si>
  <si>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</si>
  <si>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</si>
  <si>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</si>
  <si>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</si>
  <si>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</si>
  <si>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</si>
  <si>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</si>
  <si>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</si>
  <si>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</si>
  <si>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</si>
  <si>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</si>
  <si>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</si>
  <si>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</si>
  <si>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</si>
  <si>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</si>
  <si>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</si>
  <si>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</si>
  <si>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</si>
  <si>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</si>
  <si>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</si>
  <si>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</si>
  <si>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OEM_IFP_CONFIG_DONE_1</t>
  </si>
  <si>
    <t>TRC_GLITCH_DETECTION_ENABLE_IFP_1</t>
  </si>
  <si>
    <t>TRC_GLITCH_DETECTION_DISABLE_IFP_1</t>
  </si>
  <si>
    <t>OEM_IFP_CONFIG_DONE_2</t>
  </si>
  <si>
    <t>TRC_GLITCH_DETECTION_ENABLE_IFP_2</t>
  </si>
  <si>
    <t>TRC_GLITCH_DETECTION_DISABLE_IFP_2</t>
  </si>
  <si>
    <t xml:space="preserve">OEM Secret Keys    </t>
  </si>
  <si>
    <t>BOD, JtagRd, JtagWr, SBRd, SBWr</t>
  </si>
  <si>
    <t>Enables Slave Attached Flash Support when set Tied to One in case it is not supported by the project. ROM/FW would look at the associated fuse configuration to determine if the Slave Attached Flash is supported.</t>
  </si>
  <si>
    <t>When asserted, the eSPI interface is disabled. Tied to One in case eSPI is not supported by the project.</t>
  </si>
  <si>
    <t>When asserted, Whiskey Cove PMIC is present Tied to Zero in case it is not supported by the project (for example CNP)</t>
  </si>
  <si>
    <t>Enables PCIe NVMe as a boot source when set. Tied to One in case it is not supported by the project. ROM/FW would look at the associated fuse configurations to determine if the PCIe NVMe is supported.</t>
  </si>
  <si>
    <t>When asserted lets CSE ROM FW know that boot device is SPI and FW should wait for EC to boot from SPI before CSE access to SPI Flash. This does not define whether CSE assisted boot will be done. When de-asserted, boot device may be other than SPI Flash, and if the boot device is SPI CSE ROM FW does not need to wait for EC to boot before it accesses SPI Flash. Tied to Zero in case it is not supported by the project</t>
  </si>
  <si>
    <t>When asserted, FW checks for a DNX coneection. This signal can change dynamically and requires a double Tied to Zero in case it is not supported by the project.</t>
  </si>
  <si>
    <t>This is the pin strap for ROM bypass enable. ROM Bypass is enabled by FW and Test-mode GKEY is enforced by HW when: (CSE_ROM_Bypass_Disable == 0) AND (CSE_ROM_BYPASS OR CSE_ROM_Bypass_Enable_Softstrap) Tied to Zero in case it is not supported by the project</t>
  </si>
  <si>
    <t>Enables UFS Flash as a boot source when set. Tied to One in case it is not supported by the project.</t>
  </si>
  <si>
    <t>Enables eMMC Flash as a boot source when set. Tied to One in case it is not supported by the project.</t>
  </si>
  <si>
    <t>Enables SPI Flash as a boot source when set. Tied to One in case it is not supported by the project.</t>
  </si>
  <si>
    <t>Does not drive HW. TLS Confidentiality Enable: This hard strap is captured by the GPIO and sent as wire to CSE. it is reflected to FW by this register and does not impact HW. it is used by manageability FW to know whether it should use RSA in TLS Session or not. Tied to Zero in case it is not supported by the project</t>
  </si>
  <si>
    <t>HVM mode in has an additional requirement on FW to stall and wait upon an input pin value before any read from the boot device. Converged Security Engine (Ch02) High-Level Architecture Specification Template version 5.0 Intel Top Secret 107  The HW implication of this is that a wire is input into CSE interface “gpio_cse_hvm_stall”, synchronized and reflected to FW in a the GSK_HVM_INPUTS register. Note: This pin is neither sampled by ROM or used by HVM FW. This pin is allocated a Pin strap in PCH but was never driven and Thus for discrete graphics SOC this pin strap is not allocated and tied to 0.</t>
  </si>
  <si>
    <t>ROM Bypass Enable HW strap</t>
  </si>
  <si>
    <t>Revision #</t>
  </si>
  <si>
    <t>Date</t>
  </si>
  <si>
    <t>Author</t>
  </si>
  <si>
    <t>Masahide Kakeda</t>
  </si>
  <si>
    <t>Initial Revision</t>
  </si>
  <si>
    <t>Added GSC Config</t>
  </si>
  <si>
    <t>Added Description for each bit fields.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</si>
</sst>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18"/>
      <color theme="1"/>
      <name val="Calibri"/>
      <family val="2"/>
      <scheme val="minor"/>
    </font>
    <font>
      <b/>
      <sz val="18"/>
      <color rgb="FFFF0000"/>
      <name val="Calibri"/>
      <family val="2"/>
      <scheme val="minor"/>
    </font>
    <font>
      <sz val="8"/>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s>
  <borders count="48">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medium">
        <color indexed="64"/>
      </right>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auto="1"/>
      </bottom>
      <diagonal/>
    </border>
    <border>
      <left/>
      <right/>
      <top style="thin">
        <color indexed="64"/>
      </top>
      <bottom style="thin">
        <color auto="1"/>
      </bottom>
      <diagonal/>
    </border>
    <border>
      <left/>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top/>
      <bottom style="medium">
        <color indexed="64"/>
      </bottom>
      <diagonal/>
    </border>
    <border>
      <left style="medium">
        <color indexed="64"/>
      </left>
      <right style="thin">
        <color auto="1"/>
      </right>
      <top/>
      <bottom style="medium">
        <color indexed="64"/>
      </bottom>
      <diagonal/>
    </border>
    <border>
      <left/>
      <right style="medium">
        <color indexed="64"/>
      </right>
      <top style="thin">
        <color auto="1"/>
      </top>
      <bottom/>
      <diagonal/>
    </border>
  </borders>
  <cellStyleXfs count="1">
    <xf numFmtId="0" fontId="0" fillId="0" borderId="0"/>
  </cellStyleXfs>
  <cellXfs count="178">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0" borderId="1" xfId="0" applyBorder="1" applyAlignment="1">
      <alignment horizontal="lef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0" borderId="0" xfId="0" applyAlignment="1">
      <alignment horizontal="left" vertical="center"/>
    </xf>
    <xf numFmtId="0" fontId="0" fillId="8" borderId="2" xfId="0" applyFill="1" applyBorder="1" applyAlignment="1">
      <alignment horizontal="left" vertical="center"/>
    </xf>
    <xf numFmtId="0" fontId="8" fillId="4" borderId="0" xfId="0" applyFont="1" applyFill="1"/>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11" fillId="0" borderId="0" xfId="0" applyFont="1"/>
    <xf numFmtId="0" fontId="12" fillId="0" borderId="0" xfId="0" applyFont="1"/>
    <xf numFmtId="0" fontId="0" fillId="3" borderId="2" xfId="0" applyFill="1" applyBorder="1" applyAlignment="1"/>
    <xf numFmtId="0" fontId="0" fillId="0" borderId="8" xfId="0" applyBorder="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0" fillId="0" borderId="13" xfId="0" applyBorder="1"/>
    <xf numFmtId="0" fontId="0" fillId="3" borderId="8" xfId="0" applyFill="1" applyBorder="1"/>
    <xf numFmtId="0" fontId="0" fillId="3" borderId="9" xfId="0" applyFill="1" applyBorder="1"/>
    <xf numFmtId="0" fontId="0" fillId="3" borderId="9" xfId="0" applyFill="1" applyBorder="1" applyAlignment="1"/>
    <xf numFmtId="0" fontId="0" fillId="3" borderId="11" xfId="0" applyFill="1" applyBorder="1"/>
    <xf numFmtId="0" fontId="7" fillId="7" borderId="21" xfId="0" applyFont="1" applyFill="1" applyBorder="1" applyAlignment="1">
      <alignment vertical="center"/>
    </xf>
    <xf numFmtId="0" fontId="7" fillId="7" borderId="18" xfId="0" applyFont="1" applyFill="1" applyBorder="1" applyAlignment="1">
      <alignment vertical="center"/>
    </xf>
    <xf numFmtId="0" fontId="7" fillId="7" borderId="19" xfId="0" applyFont="1" applyFill="1" applyBorder="1" applyAlignment="1">
      <alignment vertical="center"/>
    </xf>
    <xf numFmtId="0" fontId="7" fillId="7" borderId="7" xfId="0" applyFont="1" applyFill="1" applyBorder="1" applyAlignment="1">
      <alignment vertical="center"/>
    </xf>
    <xf numFmtId="0" fontId="0" fillId="3" borderId="13" xfId="0" applyFill="1" applyBorder="1"/>
    <xf numFmtId="0" fontId="7" fillId="7" borderId="22" xfId="0" applyFont="1" applyFill="1" applyBorder="1" applyAlignment="1">
      <alignment vertical="center"/>
    </xf>
    <xf numFmtId="0" fontId="0" fillId="0" borderId="23" xfId="0" applyBorder="1"/>
    <xf numFmtId="0" fontId="0" fillId="0" borderId="24" xfId="0" applyBorder="1"/>
    <xf numFmtId="0" fontId="0" fillId="0" borderId="23" xfId="0" applyBorder="1" applyAlignment="1">
      <alignment horizontal="left" vertical="center" wrapText="1"/>
    </xf>
    <xf numFmtId="0" fontId="0" fillId="6" borderId="24" xfId="0" applyFill="1" applyBorder="1" applyAlignment="1">
      <alignment horizontal="left" vertical="center" wrapText="1"/>
    </xf>
    <xf numFmtId="0" fontId="0" fillId="0" borderId="24" xfId="0" applyFill="1" applyBorder="1"/>
    <xf numFmtId="0" fontId="0" fillId="0" borderId="25" xfId="0" applyBorder="1"/>
    <xf numFmtId="0" fontId="7" fillId="7" borderId="26" xfId="0" applyFont="1" applyFill="1" applyBorder="1" applyAlignment="1">
      <alignment vertical="center"/>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7" xfId="0" applyFill="1" applyBorder="1" applyAlignment="1">
      <alignment horizontal="center" vertical="center" wrapText="1"/>
    </xf>
    <xf numFmtId="0" fontId="0" fillId="0" borderId="28" xfId="0" applyFill="1" applyBorder="1" applyAlignment="1">
      <alignment horizontal="center" vertical="center" wrapText="1"/>
    </xf>
    <xf numFmtId="0" fontId="0" fillId="0" borderId="29" xfId="0" applyFill="1" applyBorder="1" applyAlignment="1">
      <alignment horizontal="center" vertical="center" wrapText="1"/>
    </xf>
    <xf numFmtId="0" fontId="7" fillId="7" borderId="6" xfId="0" applyFont="1" applyFill="1" applyBorder="1" applyAlignment="1">
      <alignment vertical="center"/>
    </xf>
    <xf numFmtId="0" fontId="0" fillId="0" borderId="30" xfId="0" applyBorder="1"/>
    <xf numFmtId="0" fontId="0" fillId="0" borderId="31" xfId="0" applyBorder="1"/>
    <xf numFmtId="0" fontId="0" fillId="0" borderId="32" xfId="0" applyBorder="1"/>
    <xf numFmtId="0" fontId="0" fillId="0" borderId="33" xfId="0" applyBorder="1"/>
    <xf numFmtId="0" fontId="0" fillId="0" borderId="35" xfId="0" applyBorder="1"/>
    <xf numFmtId="0" fontId="0" fillId="3" borderId="30" xfId="0" applyFill="1" applyBorder="1"/>
    <xf numFmtId="0" fontId="0" fillId="3" borderId="31" xfId="0" applyFill="1" applyBorder="1"/>
    <xf numFmtId="0" fontId="0" fillId="3" borderId="32" xfId="0" applyFill="1" applyBorder="1"/>
    <xf numFmtId="0" fontId="0" fillId="3" borderId="33" xfId="0" applyFill="1" applyBorder="1"/>
    <xf numFmtId="0" fontId="0" fillId="3" borderId="34" xfId="0" applyFill="1" applyBorder="1"/>
    <xf numFmtId="0" fontId="0" fillId="3" borderId="35" xfId="0" applyFill="1" applyBorder="1"/>
    <xf numFmtId="0" fontId="0" fillId="3" borderId="30" xfId="0" applyFill="1" applyBorder="1" applyAlignment="1">
      <alignment horizontal="center" vertical="center" wrapText="1"/>
    </xf>
    <xf numFmtId="0" fontId="0" fillId="0" borderId="32" xfId="0" applyBorder="1" applyAlignment="1">
      <alignment horizontal="center" vertical="center" wrapText="1"/>
    </xf>
    <xf numFmtId="0" fontId="0" fillId="3" borderId="32" xfId="0" applyFill="1" applyBorder="1" applyAlignment="1">
      <alignment horizontal="center" vertical="center" wrapText="1"/>
    </xf>
    <xf numFmtId="0" fontId="0" fillId="3" borderId="34" xfId="0" applyFill="1" applyBorder="1" applyAlignment="1">
      <alignment horizontal="center" vertical="center" wrapText="1"/>
    </xf>
    <xf numFmtId="0" fontId="0" fillId="3" borderId="14" xfId="0" applyFill="1" applyBorder="1"/>
    <xf numFmtId="0" fontId="0" fillId="3" borderId="14" xfId="0" applyFill="1" applyBorder="1" applyAlignment="1"/>
    <xf numFmtId="0" fontId="8" fillId="4" borderId="4" xfId="0" applyFont="1" applyFill="1" applyBorder="1"/>
    <xf numFmtId="0" fontId="7" fillId="7" borderId="38" xfId="0" applyFont="1" applyFill="1" applyBorder="1" applyAlignment="1">
      <alignment vertical="center"/>
    </xf>
    <xf numFmtId="0" fontId="0" fillId="0" borderId="2" xfId="0" applyBorder="1" applyAlignment="1">
      <alignment horizontal="center" vertical="center" wrapText="1"/>
    </xf>
    <xf numFmtId="0" fontId="0" fillId="0" borderId="9"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42" xfId="0" applyBorder="1"/>
    <xf numFmtId="0" fontId="0" fillId="0" borderId="36" xfId="0" applyBorder="1" applyAlignment="1">
      <alignment horizontal="center" vertical="center" wrapText="1"/>
    </xf>
    <xf numFmtId="0" fontId="0" fillId="0" borderId="36" xfId="0" applyBorder="1"/>
    <xf numFmtId="0" fontId="0" fillId="6" borderId="24" xfId="0" applyFill="1" applyBorder="1"/>
    <xf numFmtId="0" fontId="0" fillId="0" borderId="43" xfId="0" applyBorder="1"/>
    <xf numFmtId="0" fontId="0" fillId="0" borderId="44" xfId="0" applyBorder="1"/>
    <xf numFmtId="0" fontId="0" fillId="0" borderId="45" xfId="0" applyBorder="1" applyAlignment="1">
      <alignment horizontal="center" vertical="center" wrapText="1"/>
    </xf>
    <xf numFmtId="0" fontId="0" fillId="0" borderId="46" xfId="0" applyBorder="1"/>
    <xf numFmtId="0" fontId="0" fillId="0" borderId="41" xfId="0" applyFill="1" applyBorder="1"/>
    <xf numFmtId="0" fontId="0" fillId="0" borderId="41" xfId="0" applyBorder="1" applyAlignment="1">
      <alignment horizontal="left" vertical="center" wrapText="1"/>
    </xf>
    <xf numFmtId="0" fontId="0" fillId="0" borderId="24" xfId="0" applyBorder="1" applyAlignment="1">
      <alignment horizontal="left" vertical="center" wrapText="1"/>
    </xf>
    <xf numFmtId="0" fontId="0" fillId="0" borderId="32"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8" fillId="4" borderId="2" xfId="0" applyFont="1" applyFill="1"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40" xfId="0" applyBorder="1" applyAlignment="1">
      <alignment horizontal="center" vertical="center"/>
    </xf>
    <xf numFmtId="0" fontId="0" fillId="0" borderId="15" xfId="0" applyBorder="1" applyAlignment="1">
      <alignment horizontal="center" vertic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17" xfId="0" applyBorder="1" applyAlignment="1">
      <alignment horizontal="left" vertical="center"/>
    </xf>
    <xf numFmtId="0" fontId="0" fillId="0" borderId="30" xfId="0" applyBorder="1" applyAlignment="1">
      <alignment horizontal="left" vertical="center"/>
    </xf>
    <xf numFmtId="0" fontId="0" fillId="0" borderId="32" xfId="0" applyBorder="1" applyAlignment="1">
      <alignment horizontal="left" vertical="center"/>
    </xf>
    <xf numFmtId="0" fontId="0" fillId="0" borderId="2" xfId="0" applyBorder="1" applyAlignment="1">
      <alignment horizontal="left" vertical="center" wrapText="1"/>
    </xf>
    <xf numFmtId="0" fontId="0" fillId="0" borderId="9"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4" xfId="0" applyFill="1" applyBorder="1" applyAlignment="1">
      <alignment horizontal="left" vertical="center"/>
    </xf>
    <xf numFmtId="0" fontId="0" fillId="0" borderId="18"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34" xfId="0" applyBorder="1" applyAlignment="1">
      <alignment horizontal="left" vertical="center"/>
    </xf>
    <xf numFmtId="0" fontId="0" fillId="0" borderId="18" xfId="0" applyBorder="1" applyAlignment="1">
      <alignment horizontal="left" vertical="center"/>
    </xf>
    <xf numFmtId="0" fontId="0" fillId="0" borderId="4" xfId="0" applyBorder="1" applyAlignment="1">
      <alignment horizontal="left" vertical="center"/>
    </xf>
    <xf numFmtId="0" fontId="0" fillId="0" borderId="36" xfId="0" applyBorder="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37" xfId="0" applyBorder="1" applyAlignment="1">
      <alignment horizontal="left" vertical="center"/>
    </xf>
    <xf numFmtId="0" fontId="0" fillId="0" borderId="2" xfId="0" applyBorder="1" applyAlignment="1">
      <alignment horizontal="left"/>
    </xf>
    <xf numFmtId="0" fontId="0" fillId="0" borderId="14" xfId="0" applyBorder="1" applyAlignment="1">
      <alignment horizontal="left"/>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39" xfId="0" applyBorder="1" applyAlignment="1">
      <alignment horizontal="center" vertical="center"/>
    </xf>
    <xf numFmtId="0" fontId="0" fillId="0" borderId="37" xfId="0" applyBorder="1" applyAlignment="1">
      <alignment horizontal="center" vertical="center"/>
    </xf>
    <xf numFmtId="0" fontId="0" fillId="0" borderId="36" xfId="0" applyBorder="1" applyAlignment="1">
      <alignment horizontal="center" vertical="center"/>
    </xf>
    <xf numFmtId="0" fontId="0" fillId="0" borderId="1" xfId="0" applyBorder="1" applyAlignment="1">
      <alignment horizontal="left" vertical="center"/>
    </xf>
    <xf numFmtId="0" fontId="0" fillId="0" borderId="2" xfId="0" applyBorder="1" applyAlignment="1">
      <alignment vertical="center"/>
    </xf>
    <xf numFmtId="0" fontId="0" fillId="8" borderId="2" xfId="0" applyFill="1" applyBorder="1" applyAlignment="1">
      <alignment horizontal="left" vertical="center"/>
    </xf>
    <xf numFmtId="0" fontId="0" fillId="8" borderId="3" xfId="0" applyFill="1" applyBorder="1" applyAlignment="1">
      <alignment horizontal="left" vertical="center"/>
    </xf>
    <xf numFmtId="0" fontId="0" fillId="8" borderId="4" xfId="0" applyFill="1" applyBorder="1" applyAlignment="1">
      <alignment horizontal="left" vertical="center"/>
    </xf>
    <xf numFmtId="0" fontId="0" fillId="8" borderId="1" xfId="0" applyFill="1"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40" xfId="0" applyBorder="1" applyAlignment="1">
      <alignment horizontal="left" vertical="center"/>
    </xf>
    <xf numFmtId="0" fontId="0" fillId="0" borderId="15" xfId="0" applyBorder="1" applyAlignment="1">
      <alignment horizontal="left" vertical="center"/>
    </xf>
    <xf numFmtId="0" fontId="0" fillId="0" borderId="31" xfId="0" applyBorder="1" applyAlignment="1">
      <alignment horizontal="left" vertical="center"/>
    </xf>
    <xf numFmtId="0" fontId="0" fillId="0" borderId="33" xfId="0" applyBorder="1" applyAlignment="1">
      <alignment horizontal="left" vertical="center"/>
    </xf>
    <xf numFmtId="0" fontId="0" fillId="0" borderId="47" xfId="0" applyBorder="1" applyAlignment="1">
      <alignment horizontal="left" vertical="center"/>
    </xf>
    <xf numFmtId="0" fontId="0" fillId="0" borderId="35"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40" xfId="0" applyFill="1" applyBorder="1" applyAlignment="1">
      <alignment horizontal="left" vertical="center"/>
    </xf>
    <xf numFmtId="0" fontId="0" fillId="0" borderId="15" xfId="0" applyFill="1"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cellXfs>
  <cellStyles count="1">
    <cellStyle name="Normal" xfId="0" builtinId="0"/>
  </cellStyles>
  <dxfs count="18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dimension ref="A1:D12"/>
  <sheetViews>
    <sheetView tabSelected="1" workbookViewId="0"/>
  </sheetViews>
  <sheetFormatPr defaultRowHeight="15" x14ac:dyDescent="0.25"/>
  <cols>
    <col min="1" max="1" width="10" bestFit="1" customWidth="1"/>
    <col min="2" max="2" width="8.7109375" bestFit="1" customWidth="1"/>
    <col min="3" max="3" width="9.28515625" customWidth="1"/>
    <col min="4" max="4" width="68" customWidth="1"/>
  </cols>
  <sheetData>
    <row r="1" spans="1:4" x14ac:dyDescent="0.25">
      <c r="A1" s="104" t="s">
        <v>675</v>
      </c>
      <c r="B1" s="105" t="s">
        <v>676</v>
      </c>
      <c r="C1" s="106" t="s">
        <v>677</v>
      </c>
      <c r="D1" s="107" t="s">
        <v>525</v>
      </c>
    </row>
    <row r="2" spans="1:4" x14ac:dyDescent="0.25">
      <c r="A2" s="108">
        <v>1</v>
      </c>
      <c r="B2" s="109">
        <v>43878</v>
      </c>
      <c r="C2" s="110" t="s">
        <v>678</v>
      </c>
      <c r="D2" s="111" t="s">
        <v>679</v>
      </c>
    </row>
    <row r="3" spans="1:4" x14ac:dyDescent="0.25">
      <c r="A3" s="108">
        <v>2</v>
      </c>
      <c r="B3" s="109">
        <v>43880</v>
      </c>
      <c r="C3" s="110" t="s">
        <v>678</v>
      </c>
      <c r="D3" s="112" t="s">
        <v>680</v>
      </c>
    </row>
    <row r="4" spans="1:4" x14ac:dyDescent="0.25">
      <c r="A4" s="108">
        <v>3</v>
      </c>
      <c r="B4" s="109">
        <v>43880</v>
      </c>
      <c r="C4" s="110" t="s">
        <v>678</v>
      </c>
      <c r="D4" s="112" t="s">
        <v>681</v>
      </c>
    </row>
    <row r="5" spans="1:4" x14ac:dyDescent="0.25">
      <c r="A5" s="108">
        <v>4</v>
      </c>
      <c r="B5" s="17"/>
      <c r="C5" s="17"/>
      <c r="D5" s="17"/>
    </row>
    <row r="6" spans="1:4" x14ac:dyDescent="0.25">
      <c r="A6" s="108">
        <v>5</v>
      </c>
      <c r="B6" s="17"/>
      <c r="C6" s="17"/>
      <c r="D6" s="17"/>
    </row>
    <row r="7" spans="1:4" x14ac:dyDescent="0.25">
      <c r="A7" s="108">
        <v>6</v>
      </c>
      <c r="B7" s="17"/>
      <c r="C7" s="17"/>
      <c r="D7" s="17"/>
    </row>
    <row r="8" spans="1:4" x14ac:dyDescent="0.25">
      <c r="A8" s="108">
        <v>7</v>
      </c>
      <c r="B8" s="17"/>
      <c r="C8" s="17"/>
      <c r="D8" s="17"/>
    </row>
    <row r="9" spans="1:4" x14ac:dyDescent="0.25">
      <c r="A9" s="108">
        <v>8</v>
      </c>
      <c r="B9" s="17"/>
      <c r="C9" s="17"/>
      <c r="D9" s="17"/>
    </row>
    <row r="10" spans="1:4" x14ac:dyDescent="0.25">
      <c r="A10" s="108">
        <v>9</v>
      </c>
      <c r="B10" s="17"/>
      <c r="C10" s="17"/>
      <c r="D10" s="17"/>
    </row>
    <row r="11" spans="1:4" x14ac:dyDescent="0.25">
      <c r="A11" s="108">
        <v>10</v>
      </c>
      <c r="B11" s="17"/>
      <c r="C11" s="17"/>
      <c r="D11" s="17"/>
    </row>
    <row r="12" spans="1:4" x14ac:dyDescent="0.25">
      <c r="A12" s="108">
        <v>11</v>
      </c>
      <c r="B12" s="17"/>
      <c r="C12" s="17"/>
      <c r="D12"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dimension ref="A1:M62"/>
  <sheetViews>
    <sheetView workbookViewId="0">
      <selection activeCell="A13" sqref="A13"/>
    </sheetView>
  </sheetViews>
  <sheetFormatPr defaultRowHeight="15" x14ac:dyDescent="0.25"/>
  <cols>
    <col min="1" max="1" width="32.7109375" bestFit="1" customWidth="1"/>
    <col min="2" max="2" width="7.7109375" style="16" customWidth="1"/>
    <col min="3" max="13" width="7.42578125" customWidth="1"/>
  </cols>
  <sheetData>
    <row r="1" spans="1:13" s="16" customFormat="1" x14ac:dyDescent="0.25">
      <c r="A1" s="28"/>
      <c r="B1" s="28" t="s">
        <v>520</v>
      </c>
      <c r="C1" s="113" t="s">
        <v>486</v>
      </c>
      <c r="D1" s="113"/>
      <c r="E1" s="113"/>
      <c r="F1" s="28"/>
      <c r="G1" s="28"/>
      <c r="H1" s="28"/>
      <c r="I1" s="28"/>
      <c r="J1" s="28"/>
      <c r="K1" s="28"/>
      <c r="L1" s="28"/>
      <c r="M1" s="28"/>
    </row>
    <row r="2" spans="1:13" s="16" customFormat="1" x14ac:dyDescent="0.25">
      <c r="A2" s="29" t="s">
        <v>485</v>
      </c>
      <c r="B2" s="29" t="s">
        <v>479</v>
      </c>
      <c r="C2" s="30" t="s">
        <v>81</v>
      </c>
      <c r="D2" s="30" t="s">
        <v>82</v>
      </c>
      <c r="E2" s="30" t="s">
        <v>83</v>
      </c>
      <c r="F2" s="28"/>
      <c r="G2" s="28"/>
      <c r="H2" s="28"/>
      <c r="I2" s="28"/>
      <c r="J2" s="28"/>
      <c r="K2" s="28"/>
      <c r="L2" s="28"/>
      <c r="M2" s="28"/>
    </row>
    <row r="3" spans="1:13" s="16" customFormat="1" x14ac:dyDescent="0.25">
      <c r="A3" s="32" t="s">
        <v>487</v>
      </c>
      <c r="B3" s="31">
        <v>0</v>
      </c>
      <c r="C3" s="31">
        <v>1</v>
      </c>
      <c r="D3" s="31">
        <v>2</v>
      </c>
      <c r="E3" s="31">
        <v>3</v>
      </c>
      <c r="F3" s="31">
        <v>4</v>
      </c>
      <c r="G3" s="31">
        <v>5</v>
      </c>
      <c r="H3" s="31">
        <v>6</v>
      </c>
      <c r="I3" s="31">
        <v>7</v>
      </c>
      <c r="J3" s="31">
        <v>8</v>
      </c>
      <c r="K3" s="31">
        <v>9</v>
      </c>
      <c r="L3" s="31">
        <v>10</v>
      </c>
      <c r="M3" s="30">
        <v>11</v>
      </c>
    </row>
    <row r="4" spans="1:13" x14ac:dyDescent="0.25">
      <c r="A4" s="86" t="s">
        <v>151</v>
      </c>
      <c r="B4" s="17">
        <v>1</v>
      </c>
      <c r="C4" s="17">
        <v>1</v>
      </c>
      <c r="D4" s="17">
        <v>0</v>
      </c>
      <c r="E4" s="17">
        <v>0</v>
      </c>
      <c r="F4" s="17"/>
      <c r="G4" s="17"/>
      <c r="H4" s="17"/>
      <c r="I4" s="17"/>
      <c r="J4" s="17"/>
      <c r="K4" s="17"/>
      <c r="L4" s="17"/>
      <c r="M4" s="17"/>
    </row>
    <row r="5" spans="1:13" x14ac:dyDescent="0.25">
      <c r="A5" s="86" t="s">
        <v>208</v>
      </c>
      <c r="B5" s="17">
        <v>1</v>
      </c>
      <c r="C5" s="17">
        <v>1</v>
      </c>
      <c r="D5" s="17">
        <v>0</v>
      </c>
      <c r="E5" s="17">
        <v>0</v>
      </c>
      <c r="F5" s="17"/>
      <c r="G5" s="17"/>
      <c r="H5" s="17"/>
      <c r="I5" s="17"/>
      <c r="J5" s="17"/>
      <c r="K5" s="17"/>
      <c r="L5" s="17"/>
      <c r="M5" s="17"/>
    </row>
    <row r="6" spans="1:13" x14ac:dyDescent="0.25">
      <c r="A6" s="86" t="s">
        <v>219</v>
      </c>
      <c r="B6" s="17">
        <v>1</v>
      </c>
      <c r="C6" s="17">
        <v>1</v>
      </c>
      <c r="D6" s="17">
        <v>0</v>
      </c>
      <c r="E6" s="17">
        <v>0</v>
      </c>
      <c r="F6" s="17"/>
      <c r="G6" s="17"/>
      <c r="H6" s="17"/>
      <c r="I6" s="17"/>
      <c r="J6" s="17"/>
      <c r="K6" s="17"/>
      <c r="L6" s="17"/>
      <c r="M6" s="17"/>
    </row>
    <row r="7" spans="1:13" x14ac:dyDescent="0.25">
      <c r="A7" s="86" t="s">
        <v>281</v>
      </c>
      <c r="B7" s="17">
        <v>1</v>
      </c>
      <c r="C7" s="17">
        <v>1</v>
      </c>
      <c r="D7" s="17">
        <v>1</v>
      </c>
      <c r="E7" s="17">
        <v>0</v>
      </c>
      <c r="F7" s="17"/>
      <c r="G7" s="17"/>
      <c r="H7" s="17"/>
      <c r="I7" s="17"/>
      <c r="J7" s="17"/>
      <c r="K7" s="17"/>
      <c r="L7" s="17"/>
      <c r="M7" s="17"/>
    </row>
    <row r="8" spans="1:13" x14ac:dyDescent="0.25">
      <c r="A8" s="86" t="s">
        <v>92</v>
      </c>
      <c r="B8" s="17">
        <v>1</v>
      </c>
      <c r="C8" s="17">
        <v>1</v>
      </c>
      <c r="D8" s="17">
        <v>0</v>
      </c>
      <c r="E8" s="17">
        <v>1</v>
      </c>
      <c r="F8" s="17"/>
      <c r="G8" s="17"/>
      <c r="H8" s="17"/>
      <c r="I8" s="17"/>
      <c r="J8" s="17"/>
      <c r="K8" s="17"/>
      <c r="L8" s="17"/>
      <c r="M8" s="17"/>
    </row>
    <row r="9" spans="1:13" x14ac:dyDescent="0.25">
      <c r="A9" s="86" t="s">
        <v>269</v>
      </c>
      <c r="B9" s="17">
        <v>1</v>
      </c>
      <c r="C9" s="17">
        <v>1</v>
      </c>
      <c r="D9" s="17">
        <v>0</v>
      </c>
      <c r="E9" s="17">
        <v>0</v>
      </c>
      <c r="F9" s="17"/>
      <c r="G9" s="17"/>
      <c r="H9" s="17"/>
      <c r="I9" s="17"/>
      <c r="J9" s="17"/>
      <c r="K9" s="17"/>
      <c r="L9" s="17"/>
      <c r="M9" s="17"/>
    </row>
    <row r="10" spans="1:13" x14ac:dyDescent="0.25">
      <c r="A10" s="88" t="s">
        <v>488</v>
      </c>
      <c r="B10" s="17">
        <v>13</v>
      </c>
      <c r="C10" s="17">
        <v>13</v>
      </c>
      <c r="D10" s="17">
        <v>5</v>
      </c>
      <c r="E10" s="17">
        <v>5</v>
      </c>
      <c r="F10" s="17"/>
      <c r="G10" s="17"/>
      <c r="H10" s="17"/>
      <c r="I10" s="17"/>
      <c r="J10" s="17"/>
      <c r="K10" s="17"/>
      <c r="L10" s="17"/>
      <c r="M10" s="17"/>
    </row>
    <row r="11" spans="1:13" x14ac:dyDescent="0.25">
      <c r="A11" s="86" t="s">
        <v>183</v>
      </c>
      <c r="B11" s="17">
        <v>0</v>
      </c>
      <c r="C11" s="17">
        <v>0</v>
      </c>
      <c r="D11" s="17">
        <v>0</v>
      </c>
      <c r="E11" s="17">
        <v>0</v>
      </c>
      <c r="F11" s="17"/>
      <c r="G11" s="17"/>
      <c r="H11" s="17"/>
      <c r="I11" s="17"/>
      <c r="J11" s="17"/>
      <c r="K11" s="17"/>
      <c r="L11" s="17"/>
      <c r="M11" s="17"/>
    </row>
    <row r="12" spans="1:13" x14ac:dyDescent="0.25">
      <c r="A12" s="88" t="s">
        <v>291</v>
      </c>
      <c r="B12" s="17">
        <v>0</v>
      </c>
      <c r="C12" s="17">
        <v>0</v>
      </c>
      <c r="D12" s="17">
        <v>0</v>
      </c>
      <c r="E12" s="17">
        <v>0</v>
      </c>
      <c r="F12" s="17"/>
      <c r="G12" s="17"/>
      <c r="H12" s="17"/>
      <c r="I12" s="17"/>
      <c r="J12" s="17"/>
      <c r="K12" s="17"/>
      <c r="L12" s="17"/>
      <c r="M12" s="17"/>
    </row>
    <row r="13" spans="1:13" x14ac:dyDescent="0.25">
      <c r="A13" s="86" t="s">
        <v>639</v>
      </c>
      <c r="B13" s="17">
        <v>0</v>
      </c>
      <c r="C13" s="17">
        <v>0</v>
      </c>
      <c r="D13" s="17">
        <v>0</v>
      </c>
      <c r="E13" s="17">
        <v>1</v>
      </c>
      <c r="F13" s="17"/>
      <c r="G13" s="17"/>
      <c r="H13" s="17"/>
      <c r="I13" s="17"/>
      <c r="J13" s="17"/>
      <c r="K13" s="17"/>
      <c r="L13" s="17"/>
      <c r="M13" s="17"/>
    </row>
    <row r="14" spans="1:13" x14ac:dyDescent="0.25">
      <c r="A14" s="86" t="s">
        <v>174</v>
      </c>
      <c r="B14" s="17">
        <v>1</v>
      </c>
      <c r="C14" s="17">
        <v>1</v>
      </c>
      <c r="D14" s="17">
        <v>0</v>
      </c>
      <c r="E14" s="17">
        <v>0</v>
      </c>
      <c r="F14" s="17"/>
      <c r="G14" s="17"/>
      <c r="H14" s="17"/>
      <c r="I14" s="17"/>
      <c r="J14" s="17"/>
      <c r="K14" s="17"/>
      <c r="L14" s="17"/>
      <c r="M14" s="17"/>
    </row>
    <row r="15" spans="1:13" x14ac:dyDescent="0.25">
      <c r="A15" s="86" t="s">
        <v>466</v>
      </c>
      <c r="B15" s="17">
        <v>0</v>
      </c>
      <c r="C15" s="17">
        <v>0</v>
      </c>
      <c r="D15" s="17">
        <v>0</v>
      </c>
      <c r="E15" s="17">
        <v>0</v>
      </c>
      <c r="F15" s="17"/>
      <c r="G15" s="17"/>
      <c r="H15" s="17"/>
      <c r="I15" s="17"/>
      <c r="J15" s="17"/>
      <c r="K15" s="17"/>
      <c r="L15" s="17"/>
      <c r="M15" s="17"/>
    </row>
    <row r="16" spans="1:13" x14ac:dyDescent="0.25">
      <c r="A16" s="88" t="s">
        <v>266</v>
      </c>
      <c r="B16" s="17">
        <v>0</v>
      </c>
      <c r="C16" s="17">
        <v>0</v>
      </c>
      <c r="D16" s="17">
        <v>0</v>
      </c>
      <c r="E16" s="17">
        <v>0</v>
      </c>
      <c r="F16" s="17"/>
      <c r="G16" s="17"/>
      <c r="H16" s="17"/>
      <c r="I16" s="17"/>
      <c r="J16" s="17"/>
      <c r="K16" s="17"/>
      <c r="L16" s="17"/>
      <c r="M16" s="17"/>
    </row>
    <row r="17" spans="1:13" x14ac:dyDescent="0.25">
      <c r="A17" s="86" t="s">
        <v>120</v>
      </c>
      <c r="B17" s="17">
        <v>1</v>
      </c>
      <c r="C17" s="17">
        <v>1</v>
      </c>
      <c r="D17" s="17">
        <v>0</v>
      </c>
      <c r="E17" s="17">
        <v>0</v>
      </c>
      <c r="F17" s="17"/>
      <c r="G17" s="17"/>
      <c r="H17" s="17"/>
      <c r="I17" s="17"/>
      <c r="J17" s="17"/>
      <c r="K17" s="17"/>
      <c r="L17" s="17"/>
      <c r="M17" s="17"/>
    </row>
    <row r="18" spans="1:13" x14ac:dyDescent="0.25">
      <c r="A18" s="88" t="s">
        <v>225</v>
      </c>
      <c r="B18" s="17">
        <v>1</v>
      </c>
      <c r="C18" s="17">
        <v>1</v>
      </c>
      <c r="D18" s="17">
        <v>0</v>
      </c>
      <c r="E18" s="17">
        <v>0</v>
      </c>
      <c r="F18" s="17"/>
      <c r="G18" s="17"/>
      <c r="H18" s="17"/>
      <c r="I18" s="17"/>
      <c r="J18" s="17"/>
      <c r="K18" s="17"/>
      <c r="L18" s="17"/>
      <c r="M18" s="17"/>
    </row>
    <row r="19" spans="1:13" x14ac:dyDescent="0.25">
      <c r="A19" s="86" t="s">
        <v>205</v>
      </c>
      <c r="B19" s="17">
        <v>1</v>
      </c>
      <c r="C19" s="17">
        <v>1</v>
      </c>
      <c r="D19" s="17">
        <v>0</v>
      </c>
      <c r="E19" s="17">
        <v>1</v>
      </c>
      <c r="F19" s="17"/>
      <c r="G19" s="17"/>
      <c r="H19" s="17"/>
      <c r="I19" s="17"/>
      <c r="J19" s="17"/>
      <c r="K19" s="17"/>
      <c r="L19" s="17"/>
      <c r="M19" s="17"/>
    </row>
    <row r="20" spans="1:13" x14ac:dyDescent="0.25">
      <c r="A20" s="86" t="s">
        <v>216</v>
      </c>
      <c r="B20" s="17">
        <v>1</v>
      </c>
      <c r="C20" s="17">
        <v>1</v>
      </c>
      <c r="D20" s="17">
        <v>0</v>
      </c>
      <c r="E20" s="17">
        <v>0</v>
      </c>
      <c r="F20" s="17"/>
      <c r="G20" s="17"/>
      <c r="H20" s="17"/>
      <c r="I20" s="17"/>
      <c r="J20" s="17"/>
      <c r="K20" s="17"/>
      <c r="L20" s="17"/>
      <c r="M20" s="17"/>
    </row>
    <row r="21" spans="1:13" x14ac:dyDescent="0.25">
      <c r="A21" s="86" t="s">
        <v>481</v>
      </c>
      <c r="B21" s="17">
        <v>0</v>
      </c>
      <c r="C21" s="17">
        <v>0</v>
      </c>
      <c r="D21" s="17">
        <v>0</v>
      </c>
      <c r="E21" s="17">
        <v>0</v>
      </c>
      <c r="F21" s="17"/>
      <c r="G21" s="17"/>
      <c r="H21" s="17"/>
      <c r="I21" s="17"/>
      <c r="J21" s="17"/>
      <c r="K21" s="17"/>
      <c r="L21" s="17"/>
      <c r="M21" s="17"/>
    </row>
    <row r="22" spans="1:13" x14ac:dyDescent="0.25">
      <c r="A22" s="86" t="s">
        <v>259</v>
      </c>
      <c r="B22" s="17">
        <v>0</v>
      </c>
      <c r="C22" s="17">
        <v>0</v>
      </c>
      <c r="D22" s="17">
        <v>0</v>
      </c>
      <c r="E22" s="17">
        <v>0</v>
      </c>
      <c r="F22" s="17"/>
      <c r="G22" s="17"/>
      <c r="H22" s="17"/>
      <c r="I22" s="17"/>
      <c r="J22" s="17"/>
      <c r="K22" s="17"/>
      <c r="L22" s="17"/>
      <c r="M22" s="17"/>
    </row>
    <row r="23" spans="1:13" s="16" customFormat="1" x14ac:dyDescent="0.25">
      <c r="A23" s="86" t="s">
        <v>517</v>
      </c>
      <c r="B23" s="17">
        <v>1</v>
      </c>
      <c r="C23" s="17">
        <v>1</v>
      </c>
      <c r="D23" s="17">
        <v>0</v>
      </c>
      <c r="E23" s="17">
        <v>0</v>
      </c>
      <c r="F23" s="17"/>
      <c r="G23" s="17"/>
      <c r="H23" s="17"/>
      <c r="I23" s="17"/>
      <c r="J23" s="17"/>
      <c r="K23" s="17"/>
      <c r="L23" s="17"/>
      <c r="M23" s="17"/>
    </row>
    <row r="24" spans="1:13" x14ac:dyDescent="0.25">
      <c r="A24" s="86" t="s">
        <v>85</v>
      </c>
      <c r="B24" s="17">
        <v>1</v>
      </c>
      <c r="C24" s="17">
        <v>1</v>
      </c>
      <c r="D24" s="17">
        <v>1</v>
      </c>
      <c r="E24" s="17">
        <v>1</v>
      </c>
      <c r="F24" s="17"/>
      <c r="G24" s="17"/>
      <c r="H24" s="17"/>
      <c r="I24" s="17"/>
      <c r="J24" s="17"/>
      <c r="K24" s="17"/>
      <c r="L24" s="17"/>
      <c r="M24" s="17"/>
    </row>
    <row r="25" spans="1:13" x14ac:dyDescent="0.25">
      <c r="A25" s="86" t="s">
        <v>168</v>
      </c>
      <c r="B25" s="17">
        <v>0</v>
      </c>
      <c r="C25" s="17">
        <v>0</v>
      </c>
      <c r="D25" s="17">
        <v>0</v>
      </c>
      <c r="E25" s="17">
        <v>0</v>
      </c>
      <c r="F25" s="17"/>
      <c r="G25" s="17"/>
      <c r="H25" s="17"/>
      <c r="I25" s="17"/>
      <c r="J25" s="17"/>
      <c r="K25" s="17"/>
      <c r="L25" s="17"/>
      <c r="M25" s="17"/>
    </row>
    <row r="26" spans="1:13" x14ac:dyDescent="0.25">
      <c r="A26" s="86" t="s">
        <v>191</v>
      </c>
      <c r="B26" s="17">
        <v>1</v>
      </c>
      <c r="C26" s="17">
        <v>1</v>
      </c>
      <c r="D26" s="17">
        <v>0</v>
      </c>
      <c r="E26" s="17">
        <v>0</v>
      </c>
      <c r="F26" s="17"/>
      <c r="G26" s="17"/>
      <c r="H26" s="17"/>
      <c r="I26" s="17"/>
      <c r="J26" s="17"/>
      <c r="K26" s="17"/>
      <c r="L26" s="17"/>
      <c r="M26" s="17"/>
    </row>
    <row r="27" spans="1:13" x14ac:dyDescent="0.25">
      <c r="A27" s="86" t="s">
        <v>196</v>
      </c>
      <c r="B27" s="17">
        <v>0</v>
      </c>
      <c r="C27" s="17">
        <v>0</v>
      </c>
      <c r="D27" s="17">
        <v>0</v>
      </c>
      <c r="E27" s="17">
        <v>0</v>
      </c>
      <c r="F27" s="17"/>
      <c r="G27" s="17"/>
      <c r="H27" s="17"/>
      <c r="I27" s="17"/>
      <c r="J27" s="17"/>
      <c r="K27" s="17"/>
      <c r="L27" s="17"/>
      <c r="M27" s="17"/>
    </row>
    <row r="28" spans="1:13" x14ac:dyDescent="0.25">
      <c r="A28" s="86" t="s">
        <v>180</v>
      </c>
      <c r="B28" s="17">
        <v>1</v>
      </c>
      <c r="C28" s="17">
        <v>1</v>
      </c>
      <c r="D28" s="17">
        <v>0</v>
      </c>
      <c r="E28" s="17">
        <v>0</v>
      </c>
      <c r="F28" s="17"/>
      <c r="G28" s="17"/>
      <c r="H28" s="17"/>
      <c r="I28" s="17"/>
      <c r="J28" s="17"/>
      <c r="K28" s="17"/>
      <c r="L28" s="17"/>
      <c r="M28" s="17"/>
    </row>
    <row r="29" spans="1:13" x14ac:dyDescent="0.25">
      <c r="A29" s="86" t="s">
        <v>482</v>
      </c>
      <c r="B29" s="17">
        <v>0</v>
      </c>
      <c r="C29" s="17">
        <v>0</v>
      </c>
      <c r="D29" s="17">
        <v>0</v>
      </c>
      <c r="E29" s="17">
        <v>0</v>
      </c>
      <c r="F29" s="17"/>
      <c r="G29" s="17"/>
      <c r="H29" s="17"/>
      <c r="I29" s="17"/>
      <c r="J29" s="17"/>
      <c r="K29" s="17"/>
      <c r="L29" s="17"/>
      <c r="M29" s="17"/>
    </row>
    <row r="30" spans="1:13" x14ac:dyDescent="0.25">
      <c r="A30" s="86" t="s">
        <v>202</v>
      </c>
      <c r="B30" s="17">
        <v>0</v>
      </c>
      <c r="C30" s="17">
        <v>0</v>
      </c>
      <c r="D30" s="17">
        <v>0</v>
      </c>
      <c r="E30" s="17">
        <v>0</v>
      </c>
      <c r="F30" s="17"/>
      <c r="G30" s="17"/>
      <c r="H30" s="17"/>
      <c r="I30" s="17"/>
      <c r="J30" s="17"/>
      <c r="K30" s="17"/>
      <c r="L30" s="17"/>
      <c r="M30" s="17"/>
    </row>
    <row r="31" spans="1:13" x14ac:dyDescent="0.25">
      <c r="A31" s="86" t="s">
        <v>446</v>
      </c>
      <c r="B31" s="17">
        <v>0</v>
      </c>
      <c r="C31" s="17">
        <v>0</v>
      </c>
      <c r="D31" s="17">
        <v>0</v>
      </c>
      <c r="E31" s="17">
        <v>0</v>
      </c>
      <c r="F31" s="17"/>
      <c r="G31" s="17"/>
      <c r="H31" s="17"/>
      <c r="I31" s="17"/>
      <c r="J31" s="17"/>
      <c r="K31" s="17"/>
      <c r="L31" s="17"/>
      <c r="M31" s="17"/>
    </row>
    <row r="32" spans="1:13" x14ac:dyDescent="0.25">
      <c r="A32" s="86" t="s">
        <v>483</v>
      </c>
      <c r="B32" s="17">
        <v>1</v>
      </c>
      <c r="C32" s="17">
        <v>1</v>
      </c>
      <c r="D32" s="17">
        <v>1</v>
      </c>
      <c r="E32" s="17">
        <v>1</v>
      </c>
      <c r="F32" s="17"/>
      <c r="G32" s="17"/>
      <c r="H32" s="17"/>
      <c r="I32" s="17"/>
      <c r="J32" s="17"/>
      <c r="K32" s="17"/>
      <c r="L32" s="17"/>
      <c r="M32" s="17"/>
    </row>
    <row r="33" spans="1:13" x14ac:dyDescent="0.25">
      <c r="A33" s="86" t="s">
        <v>97</v>
      </c>
      <c r="B33" s="17">
        <v>1</v>
      </c>
      <c r="C33" s="17">
        <v>1</v>
      </c>
      <c r="D33" s="17">
        <v>0</v>
      </c>
      <c r="E33" s="17">
        <v>0</v>
      </c>
      <c r="F33" s="17"/>
      <c r="G33" s="17"/>
      <c r="H33" s="17"/>
      <c r="I33" s="17"/>
      <c r="J33" s="17"/>
      <c r="K33" s="17"/>
      <c r="L33" s="17"/>
      <c r="M33" s="17"/>
    </row>
    <row r="34" spans="1:13" x14ac:dyDescent="0.25">
      <c r="A34" s="86" t="s">
        <v>159</v>
      </c>
      <c r="B34" s="17">
        <v>0</v>
      </c>
      <c r="C34" s="17">
        <v>0</v>
      </c>
      <c r="D34" s="17">
        <v>0</v>
      </c>
      <c r="E34" s="17">
        <v>0</v>
      </c>
      <c r="F34" s="17"/>
      <c r="G34" s="17"/>
      <c r="H34" s="17"/>
      <c r="I34" s="17"/>
      <c r="J34" s="17"/>
      <c r="K34" s="17"/>
      <c r="L34" s="17"/>
      <c r="M34" s="17"/>
    </row>
    <row r="35" spans="1:13" x14ac:dyDescent="0.25">
      <c r="A35" s="86" t="s">
        <v>222</v>
      </c>
      <c r="B35" s="17">
        <v>1</v>
      </c>
      <c r="C35" s="17">
        <v>1</v>
      </c>
      <c r="D35" s="17">
        <v>0</v>
      </c>
      <c r="E35" s="17">
        <v>0</v>
      </c>
      <c r="F35" s="17"/>
      <c r="G35" s="17"/>
      <c r="H35" s="17"/>
      <c r="I35" s="17"/>
      <c r="J35" s="17"/>
      <c r="K35" s="17"/>
      <c r="L35" s="17"/>
      <c r="M35" s="17"/>
    </row>
    <row r="36" spans="1:13" x14ac:dyDescent="0.25">
      <c r="A36" s="86" t="s">
        <v>188</v>
      </c>
      <c r="B36" s="17">
        <v>1</v>
      </c>
      <c r="C36" s="17">
        <v>1</v>
      </c>
      <c r="D36" s="17">
        <v>0</v>
      </c>
      <c r="E36" s="17">
        <v>1</v>
      </c>
      <c r="F36" s="17"/>
      <c r="G36" s="17"/>
      <c r="H36" s="17"/>
      <c r="I36" s="17"/>
      <c r="J36" s="17"/>
      <c r="K36" s="17"/>
      <c r="L36" s="17"/>
      <c r="M36" s="17"/>
    </row>
    <row r="37" spans="1:13" x14ac:dyDescent="0.25">
      <c r="A37" s="86" t="s">
        <v>484</v>
      </c>
      <c r="B37" s="17">
        <v>0</v>
      </c>
      <c r="C37" s="17">
        <v>0</v>
      </c>
      <c r="D37" s="17">
        <v>0</v>
      </c>
      <c r="E37" s="17">
        <v>1</v>
      </c>
      <c r="F37" s="17"/>
      <c r="G37" s="17"/>
      <c r="H37" s="17"/>
      <c r="I37" s="17"/>
      <c r="J37" s="17"/>
      <c r="K37" s="17"/>
      <c r="L37" s="17"/>
      <c r="M37" s="17"/>
    </row>
    <row r="38" spans="1:13" x14ac:dyDescent="0.25">
      <c r="A38" s="86" t="s">
        <v>233</v>
      </c>
      <c r="B38" s="17">
        <v>1</v>
      </c>
      <c r="C38" s="17">
        <v>1</v>
      </c>
      <c r="D38" s="17">
        <v>0</v>
      </c>
      <c r="E38" s="17">
        <v>0</v>
      </c>
      <c r="F38" s="17"/>
      <c r="G38" s="17"/>
      <c r="H38" s="17"/>
      <c r="I38" s="17"/>
      <c r="J38" s="17"/>
      <c r="K38" s="17"/>
      <c r="L38" s="17"/>
      <c r="M38" s="17"/>
    </row>
    <row r="39" spans="1:13" x14ac:dyDescent="0.25">
      <c r="A39" s="86" t="s">
        <v>111</v>
      </c>
      <c r="B39" s="17">
        <v>1</v>
      </c>
      <c r="C39" s="17">
        <v>1</v>
      </c>
      <c r="D39" s="17">
        <v>0</v>
      </c>
      <c r="E39" s="17">
        <v>0</v>
      </c>
      <c r="F39" s="17"/>
      <c r="G39" s="17"/>
      <c r="H39" s="17"/>
      <c r="I39" s="17"/>
      <c r="J39" s="17"/>
      <c r="K39" s="17"/>
      <c r="L39" s="17"/>
      <c r="M39" s="17"/>
    </row>
    <row r="40" spans="1:13" x14ac:dyDescent="0.25">
      <c r="A40" s="86" t="s">
        <v>247</v>
      </c>
      <c r="B40" s="17">
        <v>0</v>
      </c>
      <c r="C40" s="17">
        <v>0</v>
      </c>
      <c r="D40" s="17">
        <v>0</v>
      </c>
      <c r="E40" s="17">
        <v>1</v>
      </c>
      <c r="F40" s="17"/>
      <c r="G40" s="17"/>
      <c r="H40" s="17"/>
      <c r="I40" s="17"/>
      <c r="J40" s="17"/>
      <c r="K40" s="17"/>
      <c r="L40" s="17"/>
      <c r="M40" s="17"/>
    </row>
    <row r="41" spans="1:13" x14ac:dyDescent="0.25">
      <c r="A41" s="86" t="s">
        <v>114</v>
      </c>
      <c r="B41" s="17">
        <v>0</v>
      </c>
      <c r="C41" s="17">
        <v>0</v>
      </c>
      <c r="D41" s="17">
        <v>0</v>
      </c>
      <c r="E41" s="17">
        <v>0</v>
      </c>
      <c r="F41" s="17"/>
      <c r="G41" s="17"/>
      <c r="H41" s="17"/>
      <c r="I41" s="17"/>
      <c r="J41" s="17"/>
      <c r="K41" s="17"/>
      <c r="L41" s="17"/>
      <c r="M41" s="17"/>
    </row>
    <row r="42" spans="1:13" x14ac:dyDescent="0.25">
      <c r="A42" s="86" t="s">
        <v>117</v>
      </c>
      <c r="B42" s="17">
        <v>1</v>
      </c>
      <c r="C42" s="17">
        <v>1</v>
      </c>
      <c r="D42" s="17">
        <v>0</v>
      </c>
      <c r="E42" s="17">
        <v>0</v>
      </c>
      <c r="F42" s="17"/>
      <c r="G42" s="17"/>
      <c r="H42" s="17"/>
      <c r="I42" s="17"/>
      <c r="J42" s="17"/>
      <c r="K42" s="17"/>
      <c r="L42" s="17"/>
      <c r="M42" s="17"/>
    </row>
    <row r="43" spans="1:13" x14ac:dyDescent="0.25">
      <c r="A43" s="86" t="s">
        <v>125</v>
      </c>
      <c r="B43" s="17">
        <v>0</v>
      </c>
      <c r="C43" s="17">
        <v>0</v>
      </c>
      <c r="D43" s="17">
        <v>0</v>
      </c>
      <c r="E43" s="17">
        <v>0</v>
      </c>
      <c r="F43" s="17"/>
      <c r="G43" s="17"/>
      <c r="H43" s="17"/>
      <c r="I43" s="17"/>
      <c r="J43" s="17"/>
      <c r="K43" s="17"/>
      <c r="L43" s="17"/>
      <c r="M43" s="17"/>
    </row>
    <row r="44" spans="1:13" x14ac:dyDescent="0.25">
      <c r="A44" s="86" t="s">
        <v>145</v>
      </c>
      <c r="B44" s="17">
        <v>1</v>
      </c>
      <c r="C44" s="17">
        <v>1</v>
      </c>
      <c r="D44" s="17">
        <v>1</v>
      </c>
      <c r="E44" s="17">
        <v>0</v>
      </c>
      <c r="F44" s="17"/>
      <c r="G44" s="17"/>
      <c r="H44" s="17"/>
      <c r="I44" s="17"/>
      <c r="J44" s="17"/>
      <c r="K44" s="17"/>
      <c r="L44" s="17"/>
      <c r="M44" s="17"/>
    </row>
    <row r="45" spans="1:13" x14ac:dyDescent="0.25">
      <c r="A45" s="86" t="s">
        <v>148</v>
      </c>
      <c r="B45" s="17">
        <v>1</v>
      </c>
      <c r="C45" s="17">
        <v>1</v>
      </c>
      <c r="D45" s="17">
        <v>1</v>
      </c>
      <c r="E45" s="17">
        <v>0</v>
      </c>
      <c r="F45" s="17"/>
      <c r="G45" s="17"/>
      <c r="H45" s="17"/>
      <c r="I45" s="17"/>
      <c r="J45" s="17"/>
      <c r="K45" s="17"/>
      <c r="L45" s="17"/>
      <c r="M45" s="17"/>
    </row>
    <row r="46" spans="1:13" x14ac:dyDescent="0.25">
      <c r="A46" s="86" t="s">
        <v>303</v>
      </c>
      <c r="B46" s="17">
        <v>1</v>
      </c>
      <c r="C46" s="17">
        <v>1</v>
      </c>
      <c r="D46" s="17">
        <v>1</v>
      </c>
      <c r="E46" s="17">
        <v>0</v>
      </c>
      <c r="F46" s="17"/>
      <c r="G46" s="17"/>
      <c r="H46" s="17"/>
      <c r="I46" s="17"/>
      <c r="J46" s="17"/>
      <c r="K46" s="17"/>
      <c r="L46" s="17"/>
      <c r="M46" s="17"/>
    </row>
    <row r="47" spans="1:13" x14ac:dyDescent="0.25">
      <c r="A47" s="86" t="s">
        <v>236</v>
      </c>
      <c r="B47" s="17">
        <v>1</v>
      </c>
      <c r="C47" s="17">
        <v>1</v>
      </c>
      <c r="D47" s="17">
        <v>0</v>
      </c>
      <c r="E47" s="17">
        <v>0</v>
      </c>
      <c r="F47" s="17"/>
      <c r="G47" s="17"/>
      <c r="H47" s="17"/>
      <c r="I47" s="17"/>
      <c r="J47" s="17"/>
      <c r="K47" s="17"/>
      <c r="L47" s="17"/>
      <c r="M47" s="17"/>
    </row>
    <row r="48" spans="1:13" x14ac:dyDescent="0.25">
      <c r="A48" s="86" t="s">
        <v>199</v>
      </c>
      <c r="B48" s="17">
        <v>1</v>
      </c>
      <c r="C48" s="17">
        <v>1</v>
      </c>
      <c r="D48" s="17">
        <v>0</v>
      </c>
      <c r="E48" s="17">
        <v>1</v>
      </c>
      <c r="F48" s="17"/>
      <c r="G48" s="17"/>
      <c r="H48" s="17"/>
      <c r="I48" s="17"/>
      <c r="J48" s="17"/>
      <c r="K48" s="17"/>
      <c r="L48" s="17"/>
      <c r="M48" s="17"/>
    </row>
    <row r="49" spans="1:13" x14ac:dyDescent="0.25">
      <c r="A49" s="86" t="s">
        <v>171</v>
      </c>
      <c r="B49" s="17">
        <v>1</v>
      </c>
      <c r="C49" s="17">
        <v>1</v>
      </c>
      <c r="D49" s="17">
        <v>0</v>
      </c>
      <c r="E49" s="17">
        <v>0</v>
      </c>
      <c r="F49" s="17"/>
      <c r="G49" s="17"/>
      <c r="H49" s="17"/>
      <c r="I49" s="17"/>
      <c r="J49" s="17"/>
      <c r="K49" s="17"/>
      <c r="L49" s="17"/>
      <c r="M49" s="17"/>
    </row>
    <row r="50" spans="1:13" x14ac:dyDescent="0.25">
      <c r="A50" s="82" t="s">
        <v>518</v>
      </c>
      <c r="B50" s="27"/>
      <c r="C50" s="27"/>
      <c r="D50" s="27"/>
      <c r="E50" s="27"/>
      <c r="F50" s="27"/>
      <c r="G50" s="27"/>
      <c r="H50" s="27"/>
      <c r="I50" s="27"/>
      <c r="J50" s="27"/>
      <c r="K50" s="27"/>
      <c r="L50" s="27"/>
      <c r="M50" s="27"/>
    </row>
    <row r="51" spans="1:13" x14ac:dyDescent="0.25">
      <c r="A51" s="4" t="s">
        <v>489</v>
      </c>
      <c r="B51" s="17">
        <v>512</v>
      </c>
      <c r="C51" s="17">
        <v>512</v>
      </c>
      <c r="D51" s="17">
        <v>512</v>
      </c>
      <c r="E51" s="17">
        <v>512</v>
      </c>
      <c r="F51" s="17"/>
      <c r="G51" s="17"/>
      <c r="H51" s="17"/>
      <c r="I51" s="17"/>
      <c r="J51" s="17"/>
      <c r="K51" s="17"/>
      <c r="L51" s="17"/>
      <c r="M51" s="17"/>
    </row>
    <row r="52" spans="1:13" x14ac:dyDescent="0.25">
      <c r="A52" s="4" t="s">
        <v>490</v>
      </c>
      <c r="B52" s="17">
        <v>32</v>
      </c>
      <c r="C52" s="17">
        <v>32</v>
      </c>
      <c r="D52" s="17">
        <v>32</v>
      </c>
      <c r="E52" s="17">
        <v>32</v>
      </c>
      <c r="F52" s="17"/>
      <c r="G52" s="17"/>
      <c r="H52" s="17"/>
      <c r="I52" s="17"/>
      <c r="J52" s="17"/>
      <c r="K52" s="17"/>
      <c r="L52" s="17"/>
      <c r="M52" s="17"/>
    </row>
    <row r="53" spans="1:13" x14ac:dyDescent="0.25">
      <c r="A53" s="4" t="s">
        <v>491</v>
      </c>
      <c r="B53" s="17">
        <v>256</v>
      </c>
      <c r="C53" s="17">
        <v>256</v>
      </c>
      <c r="D53" s="17">
        <v>256</v>
      </c>
      <c r="E53" s="17">
        <v>256</v>
      </c>
      <c r="F53" s="17"/>
      <c r="G53" s="17"/>
      <c r="H53" s="17"/>
      <c r="I53" s="17"/>
      <c r="J53" s="17"/>
      <c r="K53" s="17"/>
      <c r="L53" s="17"/>
      <c r="M53" s="17"/>
    </row>
    <row r="54" spans="1:13" s="16" customFormat="1" x14ac:dyDescent="0.25">
      <c r="A54" s="4" t="s">
        <v>492</v>
      </c>
      <c r="B54" s="17">
        <v>0</v>
      </c>
      <c r="C54" s="17">
        <v>256</v>
      </c>
      <c r="D54" s="17">
        <v>256</v>
      </c>
      <c r="E54" s="17">
        <v>256</v>
      </c>
      <c r="F54" s="17"/>
      <c r="G54" s="17"/>
      <c r="H54" s="17"/>
      <c r="I54" s="17"/>
      <c r="J54" s="17"/>
      <c r="K54" s="17"/>
      <c r="L54" s="17"/>
      <c r="M54" s="17"/>
    </row>
    <row r="55" spans="1:13" x14ac:dyDescent="0.25">
      <c r="A55" s="4" t="s">
        <v>523</v>
      </c>
      <c r="B55" s="17">
        <v>0</v>
      </c>
      <c r="C55" s="17">
        <v>0</v>
      </c>
      <c r="D55" s="17">
        <v>0</v>
      </c>
      <c r="E55" s="17">
        <v>32</v>
      </c>
      <c r="F55" s="17"/>
      <c r="G55" s="17"/>
      <c r="H55" s="17"/>
      <c r="I55" s="17"/>
      <c r="J55" s="17"/>
      <c r="K55" s="17"/>
      <c r="L55" s="17"/>
      <c r="M55" s="17"/>
    </row>
    <row r="56" spans="1:13" s="16" customFormat="1" x14ac:dyDescent="0.25">
      <c r="A56" s="82" t="s">
        <v>519</v>
      </c>
      <c r="B56" s="27"/>
      <c r="C56" s="27"/>
      <c r="D56" s="27"/>
      <c r="E56" s="27"/>
      <c r="F56" s="27"/>
      <c r="G56" s="27"/>
      <c r="H56" s="27"/>
      <c r="I56" s="27"/>
      <c r="J56" s="27"/>
      <c r="K56" s="27"/>
      <c r="L56" s="27"/>
      <c r="M56" s="27"/>
    </row>
    <row r="57" spans="1:13" x14ac:dyDescent="0.25">
      <c r="A57" s="87" t="s">
        <v>17</v>
      </c>
      <c r="B57" s="17">
        <v>768</v>
      </c>
      <c r="C57" s="17">
        <v>768</v>
      </c>
      <c r="D57" s="17">
        <v>768</v>
      </c>
      <c r="E57" s="17">
        <v>768</v>
      </c>
      <c r="F57" s="17"/>
      <c r="G57" s="17"/>
      <c r="H57" s="17"/>
      <c r="I57" s="17"/>
      <c r="J57" s="17"/>
      <c r="K57" s="17"/>
      <c r="L57" s="17"/>
      <c r="M57" s="17"/>
    </row>
    <row r="58" spans="1:13" x14ac:dyDescent="0.25">
      <c r="A58" s="87" t="s">
        <v>493</v>
      </c>
      <c r="B58" s="17">
        <v>32</v>
      </c>
      <c r="C58" s="17">
        <v>160</v>
      </c>
      <c r="D58" s="17">
        <v>160</v>
      </c>
      <c r="E58" s="17">
        <v>160</v>
      </c>
      <c r="F58" s="17"/>
      <c r="G58" s="17"/>
      <c r="H58" s="17"/>
      <c r="I58" s="17"/>
      <c r="J58" s="17"/>
      <c r="K58" s="17"/>
      <c r="L58" s="17"/>
      <c r="M58" s="17"/>
    </row>
    <row r="59" spans="1:13" x14ac:dyDescent="0.25">
      <c r="A59" s="87" t="s">
        <v>24</v>
      </c>
      <c r="B59" s="17">
        <v>0</v>
      </c>
      <c r="C59" s="17">
        <v>0</v>
      </c>
      <c r="D59" s="17">
        <v>2048</v>
      </c>
      <c r="E59" s="17">
        <v>0</v>
      </c>
      <c r="F59" s="17"/>
      <c r="G59" s="17"/>
      <c r="H59" s="17"/>
      <c r="I59" s="17"/>
      <c r="J59" s="17"/>
      <c r="K59" s="17"/>
      <c r="L59" s="17"/>
      <c r="M59" s="17"/>
    </row>
    <row r="60" spans="1:13" s="16" customFormat="1" x14ac:dyDescent="0.25">
      <c r="A60" s="87" t="s">
        <v>25</v>
      </c>
      <c r="B60" s="17">
        <v>32</v>
      </c>
      <c r="C60" s="17">
        <v>32</v>
      </c>
      <c r="D60" s="17">
        <v>32</v>
      </c>
      <c r="E60" s="17">
        <v>32</v>
      </c>
      <c r="F60" s="17"/>
      <c r="G60" s="17"/>
      <c r="H60" s="17"/>
      <c r="I60" s="17"/>
      <c r="J60" s="17"/>
      <c r="K60" s="17"/>
      <c r="L60" s="17"/>
      <c r="M60" s="17"/>
    </row>
    <row r="61" spans="1:13" x14ac:dyDescent="0.25">
      <c r="A61" s="87" t="s">
        <v>524</v>
      </c>
      <c r="B61" s="17">
        <v>0</v>
      </c>
      <c r="C61" s="17">
        <v>0</v>
      </c>
      <c r="D61" s="17">
        <v>0</v>
      </c>
      <c r="E61" s="17">
        <v>32</v>
      </c>
      <c r="F61" s="17"/>
      <c r="G61" s="17"/>
      <c r="H61" s="17"/>
      <c r="I61" s="17"/>
      <c r="J61" s="17"/>
      <c r="K61" s="17"/>
      <c r="L61" s="17"/>
      <c r="M61" s="17"/>
    </row>
    <row r="62" spans="1:13" s="16" customFormat="1" x14ac:dyDescent="0.25"/>
  </sheetData>
  <mergeCells count="1">
    <mergeCell ref="C1:E1"/>
  </mergeCells>
  <conditionalFormatting sqref="A51">
    <cfRule type="cellIs" dxfId="182" priority="9" operator="equal">
      <formula>0</formula>
    </cfRule>
  </conditionalFormatting>
  <conditionalFormatting sqref="A52">
    <cfRule type="cellIs" dxfId="181" priority="8" operator="equal">
      <formula>0</formula>
    </cfRule>
  </conditionalFormatting>
  <conditionalFormatting sqref="A53">
    <cfRule type="cellIs" dxfId="180" priority="7" operator="equal">
      <formula>0</formula>
    </cfRule>
  </conditionalFormatting>
  <conditionalFormatting sqref="A55">
    <cfRule type="cellIs" dxfId="179" priority="6" operator="equal">
      <formula>0</formula>
    </cfRule>
  </conditionalFormatting>
  <conditionalFormatting sqref="A57">
    <cfRule type="cellIs" priority="5" operator="equal">
      <formula>0</formula>
    </cfRule>
  </conditionalFormatting>
  <conditionalFormatting sqref="A58">
    <cfRule type="cellIs" dxfId="178" priority="4" operator="equal">
      <formula>0</formula>
    </cfRule>
  </conditionalFormatting>
  <conditionalFormatting sqref="A59">
    <cfRule type="cellIs" dxfId="177" priority="2" operator="equal">
      <formula>0</formula>
    </cfRule>
    <cfRule type="cellIs" dxfId="176" priority="3" operator="equal">
      <formula>0</formula>
    </cfRule>
  </conditionalFormatting>
  <conditionalFormatting sqref="A54">
    <cfRule type="cellIs" dxfId="175" priority="1" operator="equal">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B01AD-B04F-4971-9EFB-CBF96FF9228C}">
  <dimension ref="A1:M48"/>
  <sheetViews>
    <sheetView workbookViewId="0"/>
  </sheetViews>
  <sheetFormatPr defaultColWidth="9.140625" defaultRowHeight="15" x14ac:dyDescent="0.25"/>
  <cols>
    <col min="1" max="1" width="24" style="16" bestFit="1" customWidth="1"/>
    <col min="2" max="2" width="34.5703125" style="16" bestFit="1" customWidth="1"/>
    <col min="3" max="3" width="33.85546875" style="16" bestFit="1" customWidth="1"/>
    <col min="4" max="4" width="9.5703125" style="16" bestFit="1" customWidth="1"/>
    <col min="5" max="5" width="8.7109375" style="16" bestFit="1" customWidth="1"/>
    <col min="6" max="6" width="13.5703125" style="16" bestFit="1" customWidth="1"/>
    <col min="7" max="7" width="11.28515625" style="16" bestFit="1" customWidth="1"/>
    <col min="8" max="9" width="11.28515625" style="16" customWidth="1"/>
    <col min="10" max="10" width="31.7109375" style="16" bestFit="1" customWidth="1"/>
    <col min="11" max="11" width="11.28515625" style="16" bestFit="1" customWidth="1"/>
    <col min="12" max="12" width="23.5703125" style="16" bestFit="1" customWidth="1"/>
    <col min="13" max="13" width="6" style="16" bestFit="1" customWidth="1"/>
    <col min="14" max="16384" width="9.140625" style="16"/>
  </cols>
  <sheetData>
    <row r="1" spans="1:13" ht="24" thickBot="1" x14ac:dyDescent="0.4">
      <c r="B1" s="33" t="s">
        <v>494</v>
      </c>
      <c r="C1" s="34" t="s">
        <v>81</v>
      </c>
    </row>
    <row r="2" spans="1:13" ht="15" customHeight="1" thickBot="1" x14ac:dyDescent="0.3">
      <c r="A2" s="49" t="s">
        <v>0</v>
      </c>
      <c r="B2" s="51" t="s">
        <v>1</v>
      </c>
      <c r="C2" s="64" t="s">
        <v>2</v>
      </c>
      <c r="D2" s="58" t="s">
        <v>3</v>
      </c>
      <c r="E2" s="58" t="s">
        <v>4</v>
      </c>
      <c r="F2" s="46" t="s">
        <v>5</v>
      </c>
      <c r="G2" s="47" t="s">
        <v>6</v>
      </c>
      <c r="H2" s="47" t="s">
        <v>478</v>
      </c>
      <c r="I2" s="47" t="s">
        <v>479</v>
      </c>
      <c r="J2" s="47" t="s">
        <v>7</v>
      </c>
      <c r="K2" s="47" t="s">
        <v>8</v>
      </c>
      <c r="L2" s="47" t="s">
        <v>458</v>
      </c>
      <c r="M2" s="48" t="s">
        <v>81</v>
      </c>
    </row>
    <row r="3" spans="1:13" ht="15" customHeight="1" x14ac:dyDescent="0.25">
      <c r="A3" s="118" t="s">
        <v>9</v>
      </c>
      <c r="B3" s="52" t="s">
        <v>489</v>
      </c>
      <c r="C3" s="65" t="s">
        <v>10</v>
      </c>
      <c r="D3" s="66" t="s">
        <v>11</v>
      </c>
      <c r="E3" s="59">
        <f>VLOOKUP($B3, Config!$A$4:$E$61, HLOOKUP(C$1, Config!$C$2:$AA$3, 2, FALSE)+2,FALSE)</f>
        <v>512</v>
      </c>
      <c r="F3" s="36" t="s">
        <v>12</v>
      </c>
      <c r="G3" s="37" t="s">
        <v>13</v>
      </c>
      <c r="H3" s="37" t="s">
        <v>57</v>
      </c>
      <c r="I3" s="37" t="s">
        <v>57</v>
      </c>
      <c r="J3" s="119" t="s">
        <v>453</v>
      </c>
      <c r="K3" s="123" t="s">
        <v>14</v>
      </c>
      <c r="L3" s="124" t="s">
        <v>460</v>
      </c>
      <c r="M3" s="114">
        <f>($E3+$E4+$E5+$E7)/8</f>
        <v>100</v>
      </c>
    </row>
    <row r="4" spans="1:13" ht="15" customHeight="1" x14ac:dyDescent="0.25">
      <c r="A4" s="118"/>
      <c r="B4" s="53" t="s">
        <v>490</v>
      </c>
      <c r="C4" s="67" t="s">
        <v>10</v>
      </c>
      <c r="D4" s="68" t="s">
        <v>11</v>
      </c>
      <c r="E4" s="60">
        <f>VLOOKUP($B4, Config!$A$4:$E$61, HLOOKUP(C$1, Config!$C$2:$AA$3, 2, FALSE)+2,FALSE)</f>
        <v>32</v>
      </c>
      <c r="F4" s="38" t="str">
        <f>CONCATENATE("0x",DEC2HEX(HEX2DEC(SUBSTITUTE(F3,"0x",""))+E3/8))</f>
        <v>0x6040</v>
      </c>
      <c r="G4" s="17" t="str">
        <f>CONCATENATE("0x",DEC2HEX(HEX2DEC(SUBSTITUTE(G3,"0x",""))+E3/8))</f>
        <v>0xF00B0040</v>
      </c>
      <c r="H4" s="17" t="s">
        <v>57</v>
      </c>
      <c r="I4" s="17" t="s">
        <v>57</v>
      </c>
      <c r="J4" s="120"/>
      <c r="K4" s="120"/>
      <c r="L4" s="125"/>
      <c r="M4" s="115"/>
    </row>
    <row r="5" spans="1:13" ht="15" customHeight="1" x14ac:dyDescent="0.25">
      <c r="A5" s="118"/>
      <c r="B5" s="53" t="s">
        <v>491</v>
      </c>
      <c r="C5" s="67" t="s">
        <v>15</v>
      </c>
      <c r="D5" s="68" t="s">
        <v>11</v>
      </c>
      <c r="E5" s="60">
        <f>VLOOKUP($B5, Config!$A$4:$E$61, HLOOKUP(C$1, Config!$C$2:$AA$3, 2, FALSE)+2,FALSE)</f>
        <v>256</v>
      </c>
      <c r="F5" s="38" t="str">
        <f>CONCATENATE("0x",DEC2HEX(HEX2DEC(SUBSTITUTE(F4,"0x",""))+E4/8))</f>
        <v>0x6044</v>
      </c>
      <c r="G5" s="17" t="str">
        <f>CONCATENATE("0x",DEC2HEX(HEX2DEC(SUBSTITUTE(G4,"0x",""))+E4/8))</f>
        <v>0xF00B0044</v>
      </c>
      <c r="H5" s="17" t="s">
        <v>57</v>
      </c>
      <c r="I5" s="17" t="s">
        <v>57</v>
      </c>
      <c r="J5" s="120"/>
      <c r="K5" s="120"/>
      <c r="L5" s="125"/>
      <c r="M5" s="115"/>
    </row>
    <row r="6" spans="1:13" ht="15" customHeight="1" x14ac:dyDescent="0.25">
      <c r="A6" s="118"/>
      <c r="B6" s="92" t="s">
        <v>492</v>
      </c>
      <c r="C6" s="67" t="s">
        <v>15</v>
      </c>
      <c r="D6" s="68" t="s">
        <v>11</v>
      </c>
      <c r="E6" s="60">
        <f>VLOOKUP($B6, Config!$A$4:$E$61, HLOOKUP(C$1, Config!$C$2:$AA$3, 2, FALSE)+2,FALSE)</f>
        <v>256</v>
      </c>
      <c r="F6" s="38" t="str">
        <f>CONCATENATE("0x",DEC2HEX(HEX2DEC(SUBSTITUTE(F5,"0x",""))+E5/8))</f>
        <v>0x6064</v>
      </c>
      <c r="G6" s="17" t="str">
        <f>CONCATENATE("0x",DEC2HEX(HEX2DEC(SUBSTITUTE(G5,"0x",""))+E5/8))</f>
        <v>0xF00B0064</v>
      </c>
      <c r="H6" s="17" t="s">
        <v>57</v>
      </c>
      <c r="I6" s="17" t="s">
        <v>57</v>
      </c>
      <c r="J6" s="121"/>
      <c r="K6" s="121"/>
      <c r="L6" s="126"/>
      <c r="M6" s="116"/>
    </row>
    <row r="7" spans="1:13" ht="15" customHeight="1" thickBot="1" x14ac:dyDescent="0.3">
      <c r="A7" s="118"/>
      <c r="B7" s="97" t="s">
        <v>523</v>
      </c>
      <c r="C7" s="93" t="s">
        <v>10</v>
      </c>
      <c r="D7" s="94" t="s">
        <v>11</v>
      </c>
      <c r="E7" s="95">
        <f>VLOOKUP($B7, Config!$A$4:$E$61, HLOOKUP(C$1, Config!$C$2:$AA$3, 2, FALSE)+2,FALSE)</f>
        <v>0</v>
      </c>
      <c r="F7" s="96" t="str">
        <f>CONCATENATE("0x",DEC2HEX(HEX2DEC(SUBSTITUTE(F6,"0x",""))+E6/8))</f>
        <v>0x6084</v>
      </c>
      <c r="G7" s="91" t="str">
        <f>CONCATENATE("0x",DEC2HEX(HEX2DEC(SUBSTITUTE(G6,"0x",""))+E6/8))</f>
        <v>0xF00B0084</v>
      </c>
      <c r="H7" s="91" t="s">
        <v>57</v>
      </c>
      <c r="I7" s="91" t="s">
        <v>57</v>
      </c>
      <c r="J7" s="122"/>
      <c r="K7" s="122"/>
      <c r="L7" s="127"/>
      <c r="M7" s="117"/>
    </row>
    <row r="8" spans="1:13" x14ac:dyDescent="0.25">
      <c r="A8" s="40" t="s">
        <v>16</v>
      </c>
      <c r="B8" s="54" t="s">
        <v>17</v>
      </c>
      <c r="C8" s="65" t="s">
        <v>18</v>
      </c>
      <c r="D8" s="66" t="s">
        <v>19</v>
      </c>
      <c r="E8" s="59">
        <f>VLOOKUP($B8, Config!$A$4:$E$61, HLOOKUP(C$1, Config!$C$2:$AA$3, 2, FALSE)+2,FALSE)</f>
        <v>768</v>
      </c>
      <c r="F8" s="36" t="s">
        <v>20</v>
      </c>
      <c r="G8" s="37" t="s">
        <v>21</v>
      </c>
      <c r="H8" s="37" t="s">
        <v>57</v>
      </c>
      <c r="I8" s="37" t="s">
        <v>57</v>
      </c>
      <c r="J8" s="134" t="s">
        <v>454</v>
      </c>
      <c r="K8" s="123" t="s">
        <v>22</v>
      </c>
      <c r="L8" s="124" t="s">
        <v>459</v>
      </c>
      <c r="M8" s="114">
        <f>($E8+$E9+$E10+$E12)/8</f>
        <v>120</v>
      </c>
    </row>
    <row r="9" spans="1:13" x14ac:dyDescent="0.25">
      <c r="A9" s="128" t="s">
        <v>23</v>
      </c>
      <c r="B9" s="55" t="s">
        <v>493</v>
      </c>
      <c r="C9" s="67" t="s">
        <v>18</v>
      </c>
      <c r="D9" s="68" t="s">
        <v>19</v>
      </c>
      <c r="E9" s="60">
        <f>VLOOKUP($B9, Config!$A$4:$E$61, HLOOKUP(C$1, Config!$C$2:$AA$3, 2, FALSE)+2,FALSE)</f>
        <v>160</v>
      </c>
      <c r="F9" s="38" t="str">
        <f>CONCATENATE("0x",DEC2HEX(HEX2DEC(SUBSTITUTE(F8,"0x",""))+E8/8))</f>
        <v>0x6460</v>
      </c>
      <c r="G9" s="17" t="str">
        <f>CONCATENATE("0x",DEC2HEX(HEX2DEC(SUBSTITUTE(G8,"0x",""))+E8/8))</f>
        <v>0xF00B0460</v>
      </c>
      <c r="H9" s="17" t="s">
        <v>57</v>
      </c>
      <c r="I9" s="17" t="s">
        <v>57</v>
      </c>
      <c r="J9" s="135"/>
      <c r="K9" s="120"/>
      <c r="L9" s="125"/>
      <c r="M9" s="115"/>
    </row>
    <row r="10" spans="1:13" x14ac:dyDescent="0.25">
      <c r="A10" s="129"/>
      <c r="B10" s="99" t="s">
        <v>25</v>
      </c>
      <c r="C10" s="67" t="s">
        <v>18</v>
      </c>
      <c r="D10" s="68" t="s">
        <v>19</v>
      </c>
      <c r="E10" s="60">
        <f>VLOOKUP($B10, Config!$A$4:$E$61, HLOOKUP(C$1, Config!$C$2:$AA$3, 2, FALSE)+2,FALSE)</f>
        <v>32</v>
      </c>
      <c r="F10" s="38" t="str">
        <f>CONCATENATE("0x",DEC2HEX(HEX2DEC(SUBSTITUTE(F9,"0x",""))+E9/8))</f>
        <v>0x6474</v>
      </c>
      <c r="G10" s="17" t="str">
        <f>CONCATENATE("0x",DEC2HEX(HEX2DEC(SUBSTITUTE(G9,"0x",""))+E9/8))</f>
        <v>0xF00B0474</v>
      </c>
      <c r="H10" s="17" t="s">
        <v>57</v>
      </c>
      <c r="I10" s="17" t="s">
        <v>57</v>
      </c>
      <c r="J10" s="135"/>
      <c r="K10" s="120"/>
      <c r="L10" s="125"/>
      <c r="M10" s="115"/>
    </row>
    <row r="11" spans="1:13" x14ac:dyDescent="0.25">
      <c r="A11" s="129"/>
      <c r="B11" s="100" t="s">
        <v>524</v>
      </c>
      <c r="C11" s="67" t="s">
        <v>18</v>
      </c>
      <c r="D11" s="68" t="s">
        <v>19</v>
      </c>
      <c r="E11" s="60">
        <f>VLOOKUP($B11, Config!$A$4:$E$61, HLOOKUP(C$1, Config!$C$2:$AA$3, 2, FALSE)+2,FALSE)</f>
        <v>0</v>
      </c>
      <c r="F11" s="38" t="str">
        <f>CONCATENATE("0x",DEC2HEX(HEX2DEC(SUBSTITUTE(F10,"0x",""))+E10/8))</f>
        <v>0x6478</v>
      </c>
      <c r="G11" s="17" t="str">
        <f>CONCATENATE("0x",DEC2HEX(HEX2DEC(SUBSTITUTE(G10,"0x",""))+E10/8))</f>
        <v>0xF00B0478</v>
      </c>
      <c r="H11" s="17" t="s">
        <v>57</v>
      </c>
      <c r="I11" s="17" t="s">
        <v>57</v>
      </c>
      <c r="J11" s="136"/>
      <c r="K11" s="121"/>
      <c r="L11" s="126"/>
      <c r="M11" s="116"/>
    </row>
    <row r="12" spans="1:13" ht="15.75" thickBot="1" x14ac:dyDescent="0.3">
      <c r="A12" s="130"/>
      <c r="B12" s="98" t="s">
        <v>24</v>
      </c>
      <c r="C12" s="89" t="s">
        <v>18</v>
      </c>
      <c r="D12" s="94" t="s">
        <v>19</v>
      </c>
      <c r="E12" s="95">
        <f>VLOOKUP($B12, Config!$A$4:$E$61, HLOOKUP(C$1, Config!$C$2:$AA$3, 2, FALSE)+2,FALSE)</f>
        <v>0</v>
      </c>
      <c r="F12" s="96" t="str">
        <f>CONCATENATE("0x",DEC2HEX(HEX2DEC(SUBSTITUTE(F11,"0x",""))+E11/8))</f>
        <v>0x6478</v>
      </c>
      <c r="G12" s="91" t="str">
        <f>CONCATENATE("0x",DEC2HEX(HEX2DEC(SUBSTITUTE(G11,"0x",""))+E11/8))</f>
        <v>0xF00B0478</v>
      </c>
      <c r="H12" s="91" t="s">
        <v>57</v>
      </c>
      <c r="I12" s="91" t="s">
        <v>57</v>
      </c>
      <c r="J12" s="137"/>
      <c r="K12" s="122"/>
      <c r="L12" s="127"/>
      <c r="M12" s="117"/>
    </row>
    <row r="13" spans="1:13" ht="15" customHeight="1" x14ac:dyDescent="0.25">
      <c r="A13" s="128" t="s">
        <v>26</v>
      </c>
      <c r="B13" s="52" t="s">
        <v>27</v>
      </c>
      <c r="C13" s="131" t="s">
        <v>28</v>
      </c>
      <c r="D13" s="66" t="s">
        <v>29</v>
      </c>
      <c r="E13" s="61">
        <f>32</f>
        <v>32</v>
      </c>
      <c r="F13" s="36" t="s">
        <v>30</v>
      </c>
      <c r="G13" s="37" t="s">
        <v>31</v>
      </c>
      <c r="H13" s="37" t="str">
        <f>CONCATENATE("0x", DEC2HEX(_xlfn.BITLSHIFT(1, Group1!C2)*Group1!G2*Group1!L2
+_xlfn.BITLSHIFT(1, Group1!C3)*Group1!G3*Group1!L3
+_xlfn.BITLSHIFT(1, Group1!C4)*Group1!G4*Group1!L4
+_xlfn.BITLSHIFT(1, Group1!C5)*Group1!G5*Group1!L5
+_xlfn.BITLSHIFT(1, Group1!C6)*Group1!G6*Group1!L6
+_xlfn.BITLSHIFT(1, Group1!C7)*Group1!G7*Group1!L7
+_xlfn.BITLSHIFT(1, Group1!C8)*Group1!G8*Group1!L8
+_xlfn.BITLSHIFT(1, Group1!C9)*Group1!G9*Group1!L9
+_xlfn.BITLSHIFT(1, Group1!C10)*Group1!G10*Group1!L10
+_xlfn.BITLSHIFT(1, Group1!C11)*Group1!G11*Group1!L11
+_xlfn.BITLSHIFT(1, Group1!C12)*Group1!G12*Group1!L12
+_xlfn.BITLSHIFT(1, Group1!C13)*Group1!G13*Group1!L13
+_xlfn.BITLSHIFT(1, Group1!C14)*Group1!G14*Group1!L14
+_xlfn.BITLSHIFT(1, Group1!C15)*Group1!G15*Group1!L15
+_xlfn.BITLSHIFT(1, Group1!C16)*Group1!G16*Group1!L16
+_xlfn.BITLSHIFT(1, Group1!C17)*Group1!G17*Group1!L17
+_xlfn.BITLSHIFT(1, Group1!C18)*Group1!G18*Group1!L18
+_xlfn.BITLSHIFT(1, Group1!C19)*Group1!G19*Group1!L19
+_xlfn.BITLSHIFT(1, Group1!C20)*Group1!G20*Group1!L20
+_xlfn.BITLSHIFT(1, Group1!C21)*Group1!G21*Group1!L21
+_xlfn.BITLSHIFT(1, Group1!C22)*Group1!G22*Group1!L22
+_xlfn.BITLSHIFT(1, Group1!C23)*Group1!G23*Group1!L23
+_xlfn.BITLSHIFT(1, Group1!C24)*Group1!G24*Group1!L24
+_xlfn.BITLSHIFT(1, Group1!C25)*Group1!G25*Group1!L25
+_xlfn.BITLSHIFT(1, Group1!C26)*Group1!G26*Group1!L26
+_xlfn.BITLSHIFT(1, Group1!C27)*Group1!G27*Group1!L27
+_xlfn.BITLSHIFT(1, Group1!C28)*Group1!G28*Group1!L28
+_xlfn.BITLSHIFT(1, Group1!C29)*Group1!G29*Group1!L29
+_xlfn.BITLSHIFT(1, Group1!C30)*Group1!G30*Group1!L30
+_xlfn.BITLSHIFT(1, Group1!C31)*Group1!G31*Group1!L31
+_xlfn.BITLSHIFT(1, Group1!C32)*Group1!G32*Group1!L32
+_xlfn.BITLSHIFT(1, Group1!C33)*Group1!G33*Group1!L33
+_xlfn.BITLSHIFT(1, Group1!C34)*Group1!G34*Group1!L34
+_xlfn.BITLSHIFT(1, Group1!C35)*Group1!G35*Group1!L35,8))</f>
        <v>0x43035480</v>
      </c>
      <c r="I13" s="37" t="str">
        <f>CONCATENATE("0x", DEC2HEX(
 _xlfn.BITLSHIFT(1, Group1!C2)*Group1!H2*Group1!L2
+_xlfn.BITLSHIFT(1, Group1!C3)*Group1!H3*Group1!L3
+_xlfn.BITLSHIFT(1, Group1!C4)*Group1!H4*Group1!L4
+_xlfn.BITLSHIFT(1, Group1!C5)*Group1!H5*Group1!L5
+_xlfn.BITLSHIFT(1, Group1!C6)*Group1!H6*Group1!L6
+_xlfn.BITLSHIFT(1, Group1!C7)*Group1!H7*Group1!L7
+_xlfn.BITLSHIFT(1, Group1!C8)*Group1!H8*Group1!L8
+_xlfn.BITLSHIFT(1, Group1!C9)*Group1!H9*Group1!L9
+_xlfn.BITLSHIFT(1, Group1!C10)*Group1!H10*Group1!L10
+_xlfn.BITLSHIFT(1, Group1!C11)*Group1!H11*Group1!L11
+_xlfn.BITLSHIFT(1, Group1!C12)*Group1!H12*Group1!L12
+_xlfn.BITLSHIFT(1, Group1!C13)*Group1!H13*Group1!L13
+_xlfn.BITLSHIFT(1, Group1!C14)*Group1!H14*Group1!L14
+_xlfn.BITLSHIFT(1, Group1!C15)*Group1!H15*Group1!L15
+_xlfn.BITLSHIFT(1, Group1!C16)*Group1!H16*Group1!L16
+_xlfn.BITLSHIFT(1, Group1!C17)*Group1!H17*Group1!L17
+_xlfn.BITLSHIFT(1, Group1!C18)*Group1!H18*Group1!L18
+_xlfn.BITLSHIFT(1, Group1!C19)*Group1!H19*Group1!L19
+_xlfn.BITLSHIFT(1, Group1!C20)*Group1!H20*Group1!L20
+_xlfn.BITLSHIFT(1, Group1!C21)*Group1!H21*Group1!L21
+_xlfn.BITLSHIFT(1, Group1!C22)*Group1!H22*Group1!L22
+_xlfn.BITLSHIFT(1, Group1!C23)*Group1!H23*Group1!L23
+_xlfn.BITLSHIFT(1, Group1!C24)*Group1!H24*Group1!L24
+_xlfn.BITLSHIFT(1, Group1!C25)*Group1!H25*Group1!L25
+_xlfn.BITLSHIFT(1, Group1!C26)*Group1!H26*Group1!L26
+_xlfn.BITLSHIFT(1, Group1!C27)*Group1!H27*Group1!L27
+_xlfn.BITLSHIFT(1, Group1!C28)*Group1!H28*Group1!L28
+_xlfn.BITLSHIFT(1, Group1!C29)*Group1!H29*Group1!L29
+_xlfn.BITLSHIFT(1, Group1!C30)*Group1!H30*Group1!L30
+_xlfn.BITLSHIFT(1, Group1!C31)*Group1!H31*Group1!L31
+_xlfn.BITLSHIFT(1, Group1!C32)*Group1!H32*Group1!L32
+_xlfn.BITLSHIFT(1, Group1!C33)*Group1!H33*Group1!L33
+_xlfn.BITLSHIFT(1, Group1!C34)*Group1!H34*Group1!L34
+_xlfn.BITLSHIFT(1, Group1!C35)*Group1!H35*Group1!L35, 8))</f>
        <v>0x02033083</v>
      </c>
      <c r="J13" s="119" t="s">
        <v>455</v>
      </c>
      <c r="K13" s="123" t="s">
        <v>32</v>
      </c>
      <c r="L13" s="138" t="s">
        <v>521</v>
      </c>
      <c r="M13" s="150">
        <f>4*32/32+E17/32+E18/32+E19/32+E20/32+E21/32+E22/32</f>
        <v>5</v>
      </c>
    </row>
    <row r="14" spans="1:13" x14ac:dyDescent="0.25">
      <c r="A14" s="129"/>
      <c r="B14" s="53" t="s">
        <v>33</v>
      </c>
      <c r="C14" s="132"/>
      <c r="D14" s="68" t="s">
        <v>29</v>
      </c>
      <c r="E14" s="62">
        <v>32</v>
      </c>
      <c r="F14" s="38" t="str">
        <f>CONCATENATE("0x",DEC2HEX(HEX2DEC(SUBSTITUTE(F13,"0x",""))+E13/8))</f>
        <v>0x2004</v>
      </c>
      <c r="G14" s="17" t="str">
        <f>CONCATENATE("0x",DEC2HEX(HEX2DEC(SUBSTITUTE(G13,"0x",""))+E13/8))</f>
        <v>0xF00B0204</v>
      </c>
      <c r="H14" s="17" t="str">
        <f>CONCATENATE("0x",DEC2HEX(
_xlfn.BITLSHIFT(1,Group1!C36)*Group1!G36*Group1!L36
+_xlfn.BITLSHIFT(1,Group1!C37)*Group1!G37*Group1!L37
+_xlfn.BITLSHIFT(1,Group1!C38)*Group1!G38*Group1!L38
+_xlfn.BITLSHIFT(1,Group1!C39)*Group1!G39*Group1!L39
+_xlfn.BITLSHIFT(1,Group1!C40)*Group1!G40*Group1!L40
+_xlfn.BITLSHIFT(1,Group1!C41)*Group1!G41*Group1!L41
+_xlfn.BITLSHIFT(1,Group1!C42)*Group1!G42*Group1!L42
+_xlfn.BITLSHIFT(1,Group1!C43)*Group1!G43*Group1!L43
+_xlfn.BITLSHIFT(1,Group1!C44)*Group1!G44*Group1!L44
+_xlfn.BITLSHIFT(1,Group1!C45)*Group1!G45*Group1!L45
+_xlfn.BITLSHIFT(1,Group1!C46)*Group1!G46*Group1!L46
+_xlfn.BITLSHIFT(1,Group1!C47)*Group1!G47*Group1!L47
+_xlfn.BITLSHIFT(1,Group1!C48)*Group1!G48*Group1!L48
+_xlfn.BITLSHIFT(1,Group1!C49)*Group1!G49*Group1!L49
+_xlfn.BITLSHIFT(1,Group1!C50)*Group1!G50*Group1!L50
+_xlfn.BITLSHIFT(1,Group1!C51)*Group1!G51*Group1!L51
+_xlfn.BITLSHIFT(1,Group1!C52)*Group1!G52*Group1!L52
+_xlfn.BITLSHIFT(1,Group1!C53)*Group1!G53*Group1!L53
+_xlfn.BITLSHIFT(1,Group1!C54)*Group1!G54*Group1!L54
+_xlfn.BITLSHIFT(1,Group1!C55)*Group1!G55*Group1!L55
+_xlfn.BITLSHIFT(1,Group1!C56)*Group1!G56*Group1!L56
+_xlfn.BITLSHIFT(1,Group1!C57)*Group1!G57*Group1!L57,8))</f>
        <v>0x00810814</v>
      </c>
      <c r="I14" s="17" t="str">
        <f>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J14" s="133"/>
      <c r="K14" s="120"/>
      <c r="L14" s="139"/>
      <c r="M14" s="151"/>
    </row>
    <row r="15" spans="1:13" x14ac:dyDescent="0.25">
      <c r="A15" s="129"/>
      <c r="B15" s="53" t="s">
        <v>34</v>
      </c>
      <c r="C15" s="132"/>
      <c r="D15" s="68" t="s">
        <v>29</v>
      </c>
      <c r="E15" s="62">
        <v>32</v>
      </c>
      <c r="F15" s="38" t="str">
        <f>CONCATENATE("0x",DEC2HEX(HEX2DEC(SUBSTITUTE(F14,"0x",""))+E14/8))</f>
        <v>0x2008</v>
      </c>
      <c r="G15" s="17" t="str">
        <f>CONCATENATE("0x",DEC2HEX(HEX2DEC(SUBSTITUTE(G14,"0x",""))+E14/8))</f>
        <v>0xF00B0208</v>
      </c>
      <c r="H15" s="17" t="str">
        <f>CONCATENATE("0x", DEC2HEX(
 _xlfn.BITLSHIFT(1, Group1!C58)*Group1!G58*Group1!L58
+_xlfn.BITLSHIFT(1, Group1!C59)*Group1!G59*Group1!L59
+_xlfn.BITLSHIFT(1, Group1!C60)*Group1!G60*Group1!L60
+_xlfn.BITLSHIFT(1, Group1!C61)*Group1!G61*Group1!L61
+_xlfn.BITLSHIFT(1, Group1!C62)*Group1!G62*Group1!L62
+_xlfn.BITLSHIFT(1, Group1!C63)*Group1!G63*Group1!L63
+_xlfn.BITLSHIFT(1, Group1!C64)*Group1!G64*Group1!L64
+_xlfn.BITLSHIFT(1, Group1!C65)*Group1!G65*Group1!L65, 8))</f>
        <v>0x00000000</v>
      </c>
      <c r="I15" s="17" t="str">
        <f>CONCATENATE("0x", DEC2HEX(
 _xlfn.BITLSHIFT(1, Group1!C58)*Group1!H58*Group1!L58
+_xlfn.BITLSHIFT(1, Group1!C59)*Group1!H59*Group1!L59
+_xlfn.BITLSHIFT(1, Group1!C60)*Group1!H60*Group1!L60
+_xlfn.BITLSHIFT(1, Group1!C61)*Group1!H61*Group1!L61
+_xlfn.BITLSHIFT(1, Group1!C62)*Group1!H62*Group1!L62
+_xlfn.BITLSHIFT(1, Group1!C63)*Group1!H63*Group1!L63
+_xlfn.BITLSHIFT(1, Group1!C64)*Group1!H64*Group1!L64
+_xlfn.BITLSHIFT(1, Group1!C65)*Group1!H65*Group1!L65, 8))</f>
        <v>0x00040000</v>
      </c>
      <c r="J15" s="133"/>
      <c r="K15" s="120"/>
      <c r="L15" s="139"/>
      <c r="M15" s="151"/>
    </row>
    <row r="16" spans="1:13" x14ac:dyDescent="0.25">
      <c r="A16" s="129"/>
      <c r="B16" s="53" t="s">
        <v>35</v>
      </c>
      <c r="C16" s="132"/>
      <c r="D16" s="68" t="s">
        <v>29</v>
      </c>
      <c r="E16" s="62">
        <v>32</v>
      </c>
      <c r="F16" s="38" t="str">
        <f>CONCATENATE("0x",DEC2HEX(HEX2DEC(SUBSTITUTE(F15,"0x",""))+E15/8))</f>
        <v>0x200C</v>
      </c>
      <c r="G16" s="17" t="s">
        <v>36</v>
      </c>
      <c r="H16" s="17" t="str">
        <f>CONCATENATE("0x", DEC2HEX(
 _xlfn.BITLSHIFT(1, Group1!C66)*Group1!G66*Group1!L66
+_xlfn.BITLSHIFT(1, Group1!C67)*Group1!G67*Group1!L67
+_xlfn.BITLSHIFT(1, Group1!C68)*Group1!G68*Group1!L68
+_xlfn.BITLSHIFT(1, Group1!C69)*Group1!G69*Group1!L69
+_xlfn.BITLSHIFT(1, Group1!C70)*Group1!G70*Group1!L70
+_xlfn.BITLSHIFT(1, Group1!C71)*Group1!G71*Group1!L71
+_xlfn.BITLSHIFT(1, Group1!C72)*Group1!G72*Group1!L72
+_xlfn.BITLSHIFT(1, Group1!C73)*Group1!G73*Group1!L73
+_xlfn.BITLSHIFT(1, Group1!C74)*Group1!G74*Group1!L74
+_xlfn.BITLSHIFT(1, Group1!C75)*Group1!G75*Group1!L75
+_xlfn.BITLSHIFT(1, Group1!C76)*Group1!G76*Group1!L76
+_xlfn.BITLSHIFT(1, Group1!C77)*Group1!G77*Group1!L77
+_xlfn.BITLSHIFT(1, Group1!C78)*Group1!G78*Group1!L78
+_xlfn.BITLSHIFT(1, Group1!C79)*Group1!G79*Group1!L79
+_xlfn.BITLSHIFT(1, Group1!C80)*Group1!G80*Group1!L80
+_xlfn.BITLSHIFT(1, Group1!C81)*Group1!G81*Group1!L81
+_xlfn.BITLSHIFT(1, Group1!C82)*Group1!G82*Group1!L82
+_xlfn.BITLSHIFT(1, Group1!C83)*Group1!G83*Group1!L83
+_xlfn.BITLSHIFT(1, Group1!C84)*Group1!G84*Group1!L84
+_xlfn.BITLSHIFT(1, Group1!C85)*Group1!G85*Group1!L85
+_xlfn.BITLSHIFT(1, Group1!C86)*Group1!G86*Group1!L86
+_xlfn.BITLSHIFT(1, Group1!C87)*Group1!G87*Group1!L87
+_xlfn.BITLSHIFT(1, Group1!C88)*Group1!G88*Group1!L88
+_xlfn.BITLSHIFT(1, Group1!C89)*Group1!G89*Group1!L89
+_xlfn.BITLSHIFT(1, Group1!C90)*Group1!G90*Group1!L90, 8))</f>
        <v>0x00000000</v>
      </c>
      <c r="I16" s="17" t="str">
        <f>CONCATENATE("0x", DEC2HEX(
 _xlfn.BITLSHIFT(1, Group1!C66)*Group1!H66*Group1!L66
+_xlfn.BITLSHIFT(1, Group1!C67)*Group1!H67*Group1!L67
+_xlfn.BITLSHIFT(1, Group1!C68)*Group1!H68*Group1!L68
+_xlfn.BITLSHIFT(1, Group1!C69)*Group1!H69*Group1!L69
+_xlfn.BITLSHIFT(1, Group1!C70)*Group1!H70*Group1!L70
+_xlfn.BITLSHIFT(1, Group1!C71)*Group1!H71*Group1!L71
+_xlfn.BITLSHIFT(1, Group1!C72)*Group1!H72*Group1!L72
+_xlfn.BITLSHIFT(1, Group1!C73)*Group1!H73*Group1!L73
+_xlfn.BITLSHIFT(1, Group1!C74)*Group1!H74*Group1!L74
+_xlfn.BITLSHIFT(1, Group1!C75)*Group1!H75*Group1!L75
+_xlfn.BITLSHIFT(1, Group1!C76)*Group1!H76*Group1!L76
+_xlfn.BITLSHIFT(1, Group1!C77)*Group1!H77*Group1!L77
+_xlfn.BITLSHIFT(1, Group1!C78)*Group1!H78*Group1!L78
+_xlfn.BITLSHIFT(1, Group1!C79)*Group1!H79*Group1!L79
+_xlfn.BITLSHIFT(1, Group1!C80)*Group1!H80*Group1!L80
+_xlfn.BITLSHIFT(1, Group1!C81)*Group1!H81*Group1!L81
+_xlfn.BITLSHIFT(1, Group1!C82)*Group1!H82*Group1!L82
+_xlfn.BITLSHIFT(1, Group1!C83)*Group1!H83*Group1!L83
+_xlfn.BITLSHIFT(1, Group1!C84)*Group1!H84*Group1!L84
+_xlfn.BITLSHIFT(1, Group1!C85)*Group1!H85*Group1!L85
+_xlfn.BITLSHIFT(1, Group1!C86)*Group1!H86*Group1!L86
+_xlfn.BITLSHIFT(1, Group1!C87)*Group1!H87*Group1!L87
+_xlfn.BITLSHIFT(1, Group1!C88)*Group1!H88*Group1!L88
+_xlfn.BITLSHIFT(1, Group1!C89)*Group1!H89*Group1!L89
+_xlfn.BITLSHIFT(1, Group1!C90)*Group1!H90*Group1!L90, 8))</f>
        <v>0x00000000</v>
      </c>
      <c r="J16" s="133"/>
      <c r="K16" s="120"/>
      <c r="L16" s="139"/>
      <c r="M16" s="151"/>
    </row>
    <row r="17" spans="1:13" x14ac:dyDescent="0.25">
      <c r="A17" s="129"/>
      <c r="B17" s="53" t="s">
        <v>37</v>
      </c>
      <c r="C17" s="132"/>
      <c r="D17" s="68" t="s">
        <v>29</v>
      </c>
      <c r="E17" s="60">
        <f>VLOOKUP("TRC_PRESENT", Config!$A$4:$E$50, HLOOKUP(C$1, Config!$C$2:$AA$3, 2, FALSE)+2,FALSE)*32</f>
        <v>32</v>
      </c>
      <c r="F17" s="38" t="str">
        <f>CONCATENATE("0x",DEC2HEX(HEX2DEC(SUBSTITUTE(F16,"0x",""))+E16/8))</f>
        <v>0x2010</v>
      </c>
      <c r="G17" s="17" t="s">
        <v>38</v>
      </c>
      <c r="H17" s="17" t="str">
        <f>CONCATENATE("0x", DEC2HEX(
 _xlfn.BITLSHIFT(1, Group1!C97)*Group1!G97*Group1!L97
+_xlfn.BITLSHIFT(1, Group1!C98)*Group1!G98*Group1!L98
+_xlfn.BITLSHIFT(1, Group1!C99)*Group1!G99*Group1!L99
+_xlfn.BITLSHIFT(1, Group1!C100)*Group1!G100*Group1!L100, 8))</f>
        <v>0x00000000</v>
      </c>
      <c r="I17" s="17" t="str">
        <f>CONCATENATE("0x", DEC2HEX(
 _xlfn.BITLSHIFT(1, Group1!C97)*Group1!H97*Group1!L97
+_xlfn.BITLSHIFT(1, Group1!C98)*Group1!H98*Group1!L98
+_xlfn.BITLSHIFT(1, Group1!C99)*Group1!H99*Group1!L99
+_xlfn.BITLSHIFT(1, Group1!C100)*Group1!H100*Group1!L100, 8))</f>
        <v>0x00000000</v>
      </c>
      <c r="J17" s="133"/>
      <c r="K17" s="120"/>
      <c r="L17" s="139"/>
      <c r="M17" s="151"/>
    </row>
    <row r="18" spans="1:13" x14ac:dyDescent="0.25">
      <c r="A18" s="129"/>
      <c r="B18" s="53" t="s">
        <v>39</v>
      </c>
      <c r="C18" s="132"/>
      <c r="D18" s="68" t="s">
        <v>29</v>
      </c>
      <c r="E18" s="60">
        <f>VLOOKUP("INCLUDE_MROM", Config!$A$4:$E$50, HLOOKUP(C$1, Config!$C$2:$AA$3, 2, FALSE)+2,FALSE)*32</f>
        <v>0</v>
      </c>
      <c r="F18" s="38" t="str">
        <f>CONCATENATE("0x",DEC2HEX(HEX2DEC(SUBSTITUTE(F17,"0x",""))+E17/8))</f>
        <v>0x2014</v>
      </c>
      <c r="G18" s="17" t="s">
        <v>40</v>
      </c>
      <c r="H18" s="17" t="str">
        <f>CONCATENATE("0x", DEC2HEX(
 _xlfn.BITLSHIFT(1, Group1!C101)*Group1!G101*Group1!L101
+_xlfn.BITLSHIFT(1, Group1!C102)*Group1!G102*Group1!L102
+_xlfn.BITLSHIFT(1, Group1!C103)*Group1!G103*Group1!L103
+_xlfn.BITLSHIFT(1, Group1!C104)*Group1!G104*Group1!L104, 8))</f>
        <v>0x00000000</v>
      </c>
      <c r="I18" s="17" t="str">
        <f>CONCATENATE("0x", DEC2HEX(
 _xlfn.BITLSHIFT(1, Group1!C101)*Group1!H101*Group1!L101
+_xlfn.BITLSHIFT(1, Group1!C102)*Group1!H102*Group1!L102
+_xlfn.BITLSHIFT(1, Group1!C103)*Group1!H103*Group1!L103
+_xlfn.BITLSHIFT(1, Group1!C104)*Group1!H104*Group1!L104, 8))</f>
        <v>0x00000000</v>
      </c>
      <c r="J18" s="133"/>
      <c r="K18" s="120"/>
      <c r="L18" s="139"/>
      <c r="M18" s="151"/>
    </row>
    <row r="19" spans="1:13" x14ac:dyDescent="0.25">
      <c r="A19" s="129"/>
      <c r="B19" s="56" t="s">
        <v>296</v>
      </c>
      <c r="C19" s="132"/>
      <c r="D19" s="68" t="s">
        <v>29</v>
      </c>
      <c r="E19" s="60">
        <f>VLOOKUP("ROM_INT_FUSE_PULL", Config!$A$4:$E$50, HLOOKUP(C$1, Config!$C$2:$AA$3, 2, FALSE)+2,FALSE)*32</f>
        <v>0</v>
      </c>
      <c r="F19" s="38" t="s">
        <v>467</v>
      </c>
      <c r="G19" s="7" t="s">
        <v>471</v>
      </c>
      <c r="H19" s="7" t="str">
        <f>CONCATENATE("0x", DEC2HEX(
 _xlfn.BITLSHIFT(1, Group1!C91)*Group1!G91*Group1!L91
+_xlfn.BITLSHIFT(1, Group1!C92)*Group1!G92*Group1!L92
+_xlfn.BITLSHIFT(1, Group1!C93)*Group1!G93*Group1!L93, 8))</f>
        <v>0x00000000</v>
      </c>
      <c r="I19" s="7" t="str">
        <f>CONCATENATE("0x", DEC2HEX(
 _xlfn.BITLSHIFT(1, Group1!C91)*Group1!H91*Group1!L91
+_xlfn.BITLSHIFT(1, Group1!C92)*Group1!H92*Group1!L92
+_xlfn.BITLSHIFT(1, Group1!C93)*Group1!H93*Group1!L93, 8))</f>
        <v>0x00000000</v>
      </c>
      <c r="J19" s="133"/>
      <c r="K19" s="120"/>
      <c r="L19" s="139"/>
      <c r="M19" s="151"/>
    </row>
    <row r="20" spans="1:13" x14ac:dyDescent="0.25">
      <c r="A20" s="129"/>
      <c r="B20" s="56" t="s">
        <v>300</v>
      </c>
      <c r="C20" s="132"/>
      <c r="D20" s="68" t="s">
        <v>29</v>
      </c>
      <c r="E20" s="60">
        <f>VLOOKUP("RF_FUSE_INT_PULL", Config!$A$4:$E$50, HLOOKUP(C$1, Config!$C$2:$AA$3, 2, FALSE)+2,FALSE)*32</f>
        <v>0</v>
      </c>
      <c r="F20" s="38" t="s">
        <v>468</v>
      </c>
      <c r="G20" s="7" t="s">
        <v>472</v>
      </c>
      <c r="H20" s="7" t="str">
        <f>CONCATENATE("0x", DEC2HEX(
 _xlfn.BITLSHIFT(1, Group1!C94)*Group1!G94*Group1!L94, 8))</f>
        <v>0x00000000</v>
      </c>
      <c r="I20" s="7" t="str">
        <f>CONCATENATE("0x", DEC2HEX(
 _xlfn.BITLSHIFT(1, Group1!C94)*Group1!H94*Group1!L94, 8))</f>
        <v>0x00000000</v>
      </c>
      <c r="J20" s="133"/>
      <c r="K20" s="120"/>
      <c r="L20" s="139"/>
      <c r="M20" s="151"/>
    </row>
    <row r="21" spans="1:13" x14ac:dyDescent="0.25">
      <c r="A21" s="129"/>
      <c r="B21" s="56" t="s">
        <v>301</v>
      </c>
      <c r="C21" s="132"/>
      <c r="D21" s="68" t="s">
        <v>29</v>
      </c>
      <c r="E21" s="60">
        <f>VLOOKUP("RF_FUSE_INT_PULL", Config!$A$4:$E$50, HLOOKUP(C$1, Config!$C$2:$AA$3, 2, FALSE)+2,FALSE)*32</f>
        <v>0</v>
      </c>
      <c r="F21" s="38" t="s">
        <v>469</v>
      </c>
      <c r="G21" s="7" t="s">
        <v>473</v>
      </c>
      <c r="H21" s="7" t="str">
        <f>CONCATENATE("0x", DEC2HEX(
 _xlfn.BITLSHIFT(1, Group1!C95)*Group1!G95*Group1!L95, 8))</f>
        <v>0x00000000</v>
      </c>
      <c r="I21" s="7" t="str">
        <f>CONCATENATE("0x", DEC2HEX(
 _xlfn.BITLSHIFT(1, Group1!C95)*Group1!H95*Group1!L95, 8))</f>
        <v>0x00000000</v>
      </c>
      <c r="J21" s="133"/>
      <c r="K21" s="120"/>
      <c r="L21" s="139"/>
      <c r="M21" s="151"/>
    </row>
    <row r="22" spans="1:13" x14ac:dyDescent="0.25">
      <c r="A22" s="129"/>
      <c r="B22" s="56" t="s">
        <v>302</v>
      </c>
      <c r="C22" s="132"/>
      <c r="D22" s="68" t="s">
        <v>29</v>
      </c>
      <c r="E22" s="60">
        <f>VLOOKUP("RF_FUSE_INT_PULL", Config!$A$4:$E$50, HLOOKUP(C$1, Config!$C$2:$AA$3, 2, FALSE)+2,FALSE)*32</f>
        <v>0</v>
      </c>
      <c r="F22" s="38" t="s">
        <v>470</v>
      </c>
      <c r="G22" s="7" t="s">
        <v>474</v>
      </c>
      <c r="H22" s="7" t="str">
        <f>CONCATENATE("0x", DEC2HEX(
 _xlfn.BITLSHIFT(1, Group1!C96)*Group1!G96*Group1!L96, 8))</f>
        <v>0x00000000</v>
      </c>
      <c r="I22" s="7" t="str">
        <f>CONCATENATE("0x", DEC2HEX(
 _xlfn.BITLSHIFT(1, Group1!C96)*Group1!H96*Group1!L96, 8))</f>
        <v>0x00000000</v>
      </c>
      <c r="J22" s="133"/>
      <c r="K22" s="120"/>
      <c r="L22" s="139"/>
      <c r="M22" s="151"/>
    </row>
    <row r="23" spans="1:13" x14ac:dyDescent="0.25">
      <c r="A23" s="129"/>
      <c r="B23" s="53" t="s">
        <v>41</v>
      </c>
      <c r="C23" s="132"/>
      <c r="D23" s="68" t="s">
        <v>29</v>
      </c>
      <c r="E23" s="62">
        <v>32</v>
      </c>
      <c r="F23" s="38" t="s">
        <v>42</v>
      </c>
      <c r="G23" s="17" t="s">
        <v>43</v>
      </c>
      <c r="H23" s="17" t="str">
        <f>CONCATENATE("0x", DEC2HEX(
 _xlfn.BITLSHIFT(1, Group1!C105)*Group1!G105*Group1!L105
+_xlfn.BITLSHIFT(1, Group1!C106)*Group1!G106*Group1!L106
+_xlfn.BITLSHIFT(1, Group1!C107)*Group1!G107*Group1!L107
+_xlfn.BITLSHIFT(1, Group1!C108)*Group1!G108*Group1!L108, 8))</f>
        <v>0x00000000</v>
      </c>
      <c r="I23" s="17" t="str">
        <f>CONCATENATE("0x", DEC2HEX(
 _xlfn.BITLSHIFT(1, Group1!C105)*Group1!H105*Group1!L105
+_xlfn.BITLSHIFT(1, Group1!C106)*Group1!H106*Group1!L106
+_xlfn.BITLSHIFT(1, Group1!C107)*Group1!H107*Group1!L107
+_xlfn.BITLSHIFT(1, Group1!C108)*Group1!H108*Group1!L108, 8))</f>
        <v>0x0A000000</v>
      </c>
      <c r="J23" s="133"/>
      <c r="K23" s="120"/>
      <c r="L23" s="140"/>
      <c r="M23" s="152"/>
    </row>
    <row r="24" spans="1:13" x14ac:dyDescent="0.25">
      <c r="A24" s="128" t="s">
        <v>44</v>
      </c>
      <c r="B24" s="53" t="s">
        <v>45</v>
      </c>
      <c r="C24" s="132" t="s">
        <v>46</v>
      </c>
      <c r="D24" s="68" t="s">
        <v>47</v>
      </c>
      <c r="E24" s="62">
        <v>32</v>
      </c>
      <c r="F24" s="38" t="s">
        <v>48</v>
      </c>
      <c r="G24" s="17" t="s">
        <v>49</v>
      </c>
      <c r="H24" s="17" t="s">
        <v>57</v>
      </c>
      <c r="I24" s="17" t="s">
        <v>57</v>
      </c>
      <c r="J24" s="133" t="s">
        <v>456</v>
      </c>
      <c r="K24" s="120"/>
      <c r="L24" s="126" t="s">
        <v>522</v>
      </c>
      <c r="M24" s="116">
        <f>2</f>
        <v>2</v>
      </c>
    </row>
    <row r="25" spans="1:13" x14ac:dyDescent="0.25">
      <c r="A25" s="130"/>
      <c r="B25" s="53" t="s">
        <v>50</v>
      </c>
      <c r="C25" s="132"/>
      <c r="D25" s="68" t="s">
        <v>47</v>
      </c>
      <c r="E25" s="62">
        <v>32</v>
      </c>
      <c r="F25" s="38" t="s">
        <v>51</v>
      </c>
      <c r="G25" s="17" t="s">
        <v>52</v>
      </c>
      <c r="H25" s="17" t="s">
        <v>57</v>
      </c>
      <c r="I25" s="17" t="s">
        <v>57</v>
      </c>
      <c r="J25" s="120"/>
      <c r="K25" s="120"/>
      <c r="L25" s="140"/>
      <c r="M25" s="152"/>
    </row>
    <row r="26" spans="1:13" x14ac:dyDescent="0.25">
      <c r="A26" s="128" t="s">
        <v>53</v>
      </c>
      <c r="B26" s="53" t="s">
        <v>54</v>
      </c>
      <c r="C26" s="132" t="s">
        <v>55</v>
      </c>
      <c r="D26" s="68" t="s">
        <v>56</v>
      </c>
      <c r="E26" s="62">
        <v>32</v>
      </c>
      <c r="F26" s="38" t="s">
        <v>57</v>
      </c>
      <c r="G26" s="17" t="s">
        <v>58</v>
      </c>
      <c r="H26" s="17" t="s">
        <v>57</v>
      </c>
      <c r="I26" s="17" t="s">
        <v>57</v>
      </c>
      <c r="J26" s="120" t="s">
        <v>457</v>
      </c>
      <c r="K26" s="148" t="s">
        <v>57</v>
      </c>
      <c r="L26" s="126" t="s">
        <v>57</v>
      </c>
      <c r="M26" s="116" t="s">
        <v>57</v>
      </c>
    </row>
    <row r="27" spans="1:13" x14ac:dyDescent="0.25">
      <c r="A27" s="129"/>
      <c r="B27" s="53" t="s">
        <v>59</v>
      </c>
      <c r="C27" s="132"/>
      <c r="D27" s="68" t="s">
        <v>56</v>
      </c>
      <c r="E27" s="62">
        <v>32</v>
      </c>
      <c r="F27" s="38" t="s">
        <v>57</v>
      </c>
      <c r="G27" s="17" t="s">
        <v>60</v>
      </c>
      <c r="H27" s="17" t="s">
        <v>57</v>
      </c>
      <c r="I27" s="17" t="s">
        <v>57</v>
      </c>
      <c r="J27" s="120"/>
      <c r="K27" s="148"/>
      <c r="L27" s="139"/>
      <c r="M27" s="151"/>
    </row>
    <row r="28" spans="1:13" ht="15.75" thickBot="1" x14ac:dyDescent="0.3">
      <c r="A28" s="130"/>
      <c r="B28" s="57" t="s">
        <v>61</v>
      </c>
      <c r="C28" s="141"/>
      <c r="D28" s="69" t="s">
        <v>56</v>
      </c>
      <c r="E28" s="63">
        <v>32</v>
      </c>
      <c r="F28" s="41" t="s">
        <v>57</v>
      </c>
      <c r="G28" s="39" t="s">
        <v>62</v>
      </c>
      <c r="H28" s="39" t="s">
        <v>57</v>
      </c>
      <c r="I28" s="39" t="s">
        <v>57</v>
      </c>
      <c r="J28" s="122"/>
      <c r="K28" s="149"/>
      <c r="L28" s="154"/>
      <c r="M28" s="153"/>
    </row>
    <row r="29" spans="1:13" ht="15.75" thickBot="1" x14ac:dyDescent="0.3">
      <c r="A29" s="19"/>
    </row>
    <row r="30" spans="1:13" x14ac:dyDescent="0.25">
      <c r="A30" s="118" t="s">
        <v>63</v>
      </c>
      <c r="B30" s="70" t="s">
        <v>64</v>
      </c>
      <c r="C30" s="70"/>
      <c r="D30" s="71" t="s">
        <v>65</v>
      </c>
      <c r="E30" s="76">
        <v>512</v>
      </c>
      <c r="F30" s="42" t="s">
        <v>66</v>
      </c>
      <c r="G30" s="43" t="s">
        <v>57</v>
      </c>
      <c r="H30" s="43" t="s">
        <v>57</v>
      </c>
      <c r="I30" s="43" t="s">
        <v>57</v>
      </c>
      <c r="J30" s="44" t="s">
        <v>57</v>
      </c>
      <c r="K30" s="123" t="s">
        <v>57</v>
      </c>
      <c r="L30" s="142" t="s">
        <v>57</v>
      </c>
      <c r="M30" s="145" t="s">
        <v>57</v>
      </c>
    </row>
    <row r="31" spans="1:13" ht="15" customHeight="1" x14ac:dyDescent="0.25">
      <c r="A31" s="118"/>
      <c r="B31" s="67" t="s">
        <v>67</v>
      </c>
      <c r="C31" s="67" t="s">
        <v>18</v>
      </c>
      <c r="D31" s="68" t="s">
        <v>65</v>
      </c>
      <c r="E31" s="77">
        <f>VLOOKUP("TRC_PRESENT", Config!$A$4:$E$50, HLOOKUP(C$1, Config!$C$2:$AA$3, 2, FALSE)+2,FALSE)*32</f>
        <v>32</v>
      </c>
      <c r="F31" s="38" t="s">
        <v>68</v>
      </c>
      <c r="G31" s="17" t="s">
        <v>69</v>
      </c>
      <c r="H31" s="17" t="s">
        <v>480</v>
      </c>
      <c r="I31" s="17" t="s">
        <v>480</v>
      </c>
      <c r="J31" s="133" t="s">
        <v>455</v>
      </c>
      <c r="K31" s="120"/>
      <c r="L31" s="143"/>
      <c r="M31" s="146"/>
    </row>
    <row r="32" spans="1:13" x14ac:dyDescent="0.25">
      <c r="A32" s="118"/>
      <c r="B32" s="67" t="s">
        <v>70</v>
      </c>
      <c r="C32" s="67" t="s">
        <v>18</v>
      </c>
      <c r="D32" s="68" t="s">
        <v>65</v>
      </c>
      <c r="E32" s="77">
        <f>VLOOKUP("TRC_PRESENT", Config!$A$4:$E$50, HLOOKUP(C$1, Config!$C$2:$AA$3, 2, FALSE)+2,FALSE)*32</f>
        <v>32</v>
      </c>
      <c r="F32" s="38" t="s">
        <v>71</v>
      </c>
      <c r="G32" s="17" t="s">
        <v>72</v>
      </c>
      <c r="H32" s="17" t="s">
        <v>480</v>
      </c>
      <c r="I32" s="17" t="s">
        <v>480</v>
      </c>
      <c r="J32" s="133"/>
      <c r="K32" s="120"/>
      <c r="L32" s="143"/>
      <c r="M32" s="146"/>
    </row>
    <row r="33" spans="1:13" x14ac:dyDescent="0.25">
      <c r="A33" s="118"/>
      <c r="B33" s="67" t="s">
        <v>445</v>
      </c>
      <c r="C33" s="67" t="s">
        <v>661</v>
      </c>
      <c r="D33" s="68" t="s">
        <v>65</v>
      </c>
      <c r="E33" s="77">
        <f>IF(VLOOKUP("PARAM_INT_IFP_TRIPLE_RDD_DIS", Config!$A$4:$E$61, HLOOKUP(C$1, Config!$C$2:$AA$3, 2, FALSE)+2,FALSE)=0, VLOOKUP("OEM_SECRET_KEY_FUSES_LIMIT", Config!$A$4:$E$61, HLOOKUP(C$1, Config!$C$2:$AA$3, 2, FALSE)+2,FALSE)*32, 0)</f>
        <v>0</v>
      </c>
      <c r="F33" s="38" t="s">
        <v>499</v>
      </c>
      <c r="G33" s="17" t="s">
        <v>500</v>
      </c>
      <c r="H33" s="17" t="s">
        <v>480</v>
      </c>
      <c r="I33" s="17" t="s">
        <v>480</v>
      </c>
      <c r="J33" s="133"/>
      <c r="K33" s="120"/>
      <c r="L33" s="143"/>
      <c r="M33" s="146"/>
    </row>
    <row r="34" spans="1:13" x14ac:dyDescent="0.25">
      <c r="A34" s="118"/>
      <c r="B34" s="72" t="s">
        <v>73</v>
      </c>
      <c r="C34" s="72"/>
      <c r="D34" s="73" t="s">
        <v>65</v>
      </c>
      <c r="E34" s="78">
        <v>2048</v>
      </c>
      <c r="F34" s="45" t="s">
        <v>74</v>
      </c>
      <c r="G34" s="2" t="s">
        <v>57</v>
      </c>
      <c r="H34" s="35" t="s">
        <v>57</v>
      </c>
      <c r="I34" s="2" t="s">
        <v>57</v>
      </c>
      <c r="J34" s="35" t="s">
        <v>57</v>
      </c>
      <c r="K34" s="120"/>
      <c r="L34" s="143"/>
      <c r="M34" s="146"/>
    </row>
    <row r="35" spans="1:13" x14ac:dyDescent="0.25">
      <c r="A35" s="118"/>
      <c r="B35" s="72" t="s">
        <v>64</v>
      </c>
      <c r="C35" s="72"/>
      <c r="D35" s="73" t="s">
        <v>497</v>
      </c>
      <c r="E35" s="78">
        <v>512</v>
      </c>
      <c r="F35" s="45" t="s">
        <v>514</v>
      </c>
      <c r="G35" s="2" t="s">
        <v>57</v>
      </c>
      <c r="H35" s="2" t="s">
        <v>57</v>
      </c>
      <c r="I35" s="2" t="s">
        <v>57</v>
      </c>
      <c r="J35" s="35" t="s">
        <v>57</v>
      </c>
      <c r="K35" s="120"/>
      <c r="L35" s="143"/>
      <c r="M35" s="146"/>
    </row>
    <row r="36" spans="1:13" ht="15" customHeight="1" x14ac:dyDescent="0.25">
      <c r="A36" s="118"/>
      <c r="B36" s="67" t="s">
        <v>440</v>
      </c>
      <c r="C36" s="67" t="s">
        <v>18</v>
      </c>
      <c r="D36" s="68" t="s">
        <v>497</v>
      </c>
      <c r="E36" s="77">
        <f>IF(VLOOKUP("PARAM_INT_IFP_TRIPLE_RDD_DIS", Config!$A$4:$E$61, HLOOKUP(C$1, Config!$C$2:$AA$3, 2, FALSE)+2,FALSE)=0, VLOOKUP("TRC_PRESENT", Config!$A$4:$E$61, HLOOKUP(C$1, Config!$C$2:$AA$3, 2, FALSE)+2,FALSE)*32, 0)</f>
        <v>0</v>
      </c>
      <c r="F36" s="38" t="s">
        <v>509</v>
      </c>
      <c r="G36" s="17" t="s">
        <v>501</v>
      </c>
      <c r="H36" s="17" t="s">
        <v>480</v>
      </c>
      <c r="I36" s="17" t="s">
        <v>480</v>
      </c>
      <c r="J36" s="133" t="s">
        <v>455</v>
      </c>
      <c r="K36" s="120"/>
      <c r="L36" s="143"/>
      <c r="M36" s="146"/>
    </row>
    <row r="37" spans="1:13" x14ac:dyDescent="0.25">
      <c r="A37" s="118"/>
      <c r="B37" s="67" t="s">
        <v>495</v>
      </c>
      <c r="C37" s="67" t="s">
        <v>18</v>
      </c>
      <c r="D37" s="68" t="s">
        <v>497</v>
      </c>
      <c r="E37" s="77">
        <f>IF(VLOOKUP("PARAM_INT_IFP_TRIPLE_RDD_DIS", Config!$A$4:$E$61, HLOOKUP(C$1, Config!$C$2:$AA$3, 2, FALSE)+2,FALSE)=0, VLOOKUP("TRC_PRESENT", Config!$A$4:$E$61, HLOOKUP(C$1, Config!$C$2:$AA$3, 2, FALSE)+2,FALSE)*32, 0)</f>
        <v>0</v>
      </c>
      <c r="F37" s="38" t="s">
        <v>512</v>
      </c>
      <c r="G37" s="17" t="s">
        <v>502</v>
      </c>
      <c r="H37" s="17" t="s">
        <v>480</v>
      </c>
      <c r="I37" s="17" t="s">
        <v>480</v>
      </c>
      <c r="J37" s="133"/>
      <c r="K37" s="120"/>
      <c r="L37" s="143"/>
      <c r="M37" s="146"/>
    </row>
    <row r="38" spans="1:13" x14ac:dyDescent="0.25">
      <c r="A38" s="118"/>
      <c r="B38" s="67" t="s">
        <v>448</v>
      </c>
      <c r="C38" s="67" t="s">
        <v>661</v>
      </c>
      <c r="D38" s="68" t="s">
        <v>497</v>
      </c>
      <c r="E38" s="77">
        <f>IF(VLOOKUP("PARAM_INT_IFP_TRIPLE_RDD_DIS", Config!$A$4:$E$61, HLOOKUP(C$1, Config!$C$2:$AA$3, 2, FALSE)+2,FALSE)=0, VLOOKUP("OEM_SECRET_KEY_FUSES_LIMIT", Config!$A$4:$E$61, HLOOKUP(C$1, Config!$C$2:$AA$3, 2, FALSE)+2,FALSE)*32, 0)</f>
        <v>0</v>
      </c>
      <c r="F38" s="38" t="s">
        <v>507</v>
      </c>
      <c r="G38" s="17" t="s">
        <v>505</v>
      </c>
      <c r="H38" s="17" t="s">
        <v>480</v>
      </c>
      <c r="I38" s="17" t="s">
        <v>480</v>
      </c>
      <c r="J38" s="133"/>
      <c r="K38" s="120"/>
      <c r="L38" s="143"/>
      <c r="M38" s="146"/>
    </row>
    <row r="39" spans="1:13" x14ac:dyDescent="0.25">
      <c r="A39" s="118"/>
      <c r="B39" s="72" t="s">
        <v>73</v>
      </c>
      <c r="C39" s="72"/>
      <c r="D39" s="73" t="s">
        <v>497</v>
      </c>
      <c r="E39" s="78">
        <v>2048</v>
      </c>
      <c r="F39" s="45" t="s">
        <v>513</v>
      </c>
      <c r="G39" s="2" t="s">
        <v>57</v>
      </c>
      <c r="H39" s="35" t="s">
        <v>57</v>
      </c>
      <c r="I39" s="2" t="s">
        <v>57</v>
      </c>
      <c r="J39" s="35" t="s">
        <v>57</v>
      </c>
      <c r="K39" s="120"/>
      <c r="L39" s="143"/>
      <c r="M39" s="146"/>
    </row>
    <row r="40" spans="1:13" x14ac:dyDescent="0.25">
      <c r="A40" s="118"/>
      <c r="B40" s="72" t="s">
        <v>64</v>
      </c>
      <c r="C40" s="72"/>
      <c r="D40" s="73" t="s">
        <v>498</v>
      </c>
      <c r="E40" s="78">
        <v>512</v>
      </c>
      <c r="F40" s="45" t="s">
        <v>515</v>
      </c>
      <c r="G40" s="2" t="s">
        <v>57</v>
      </c>
      <c r="H40" s="2" t="s">
        <v>57</v>
      </c>
      <c r="I40" s="2" t="s">
        <v>57</v>
      </c>
      <c r="J40" s="35" t="s">
        <v>57</v>
      </c>
      <c r="K40" s="120"/>
      <c r="L40" s="143"/>
      <c r="M40" s="146"/>
    </row>
    <row r="41" spans="1:13" ht="15" customHeight="1" x14ac:dyDescent="0.25">
      <c r="A41" s="118"/>
      <c r="B41" s="67" t="s">
        <v>443</v>
      </c>
      <c r="C41" s="67" t="s">
        <v>18</v>
      </c>
      <c r="D41" s="68" t="s">
        <v>498</v>
      </c>
      <c r="E41" s="77">
        <f>IF(VLOOKUP("PARAM_INT_IFP_TRIPLE_RDD_DIS", Config!$A$4:$E$61, HLOOKUP(C$1, Config!$C$2:$AA$3, 2, FALSE)+2,FALSE)=0, VLOOKUP("TRC_PRESENT", Config!$A$4:$E$61, HLOOKUP(C$1, Config!$C$2:$AA$3, 2, FALSE)+2,FALSE)*32, 0)</f>
        <v>0</v>
      </c>
      <c r="F41" s="38" t="s">
        <v>511</v>
      </c>
      <c r="G41" s="17" t="s">
        <v>503</v>
      </c>
      <c r="H41" s="17" t="s">
        <v>480</v>
      </c>
      <c r="I41" s="17" t="s">
        <v>480</v>
      </c>
      <c r="J41" s="133" t="s">
        <v>455</v>
      </c>
      <c r="K41" s="120"/>
      <c r="L41" s="143"/>
      <c r="M41" s="146"/>
    </row>
    <row r="42" spans="1:13" x14ac:dyDescent="0.25">
      <c r="A42" s="118"/>
      <c r="B42" s="67" t="s">
        <v>496</v>
      </c>
      <c r="C42" s="67" t="s">
        <v>18</v>
      </c>
      <c r="D42" s="68" t="s">
        <v>498</v>
      </c>
      <c r="E42" s="77">
        <f>IF(VLOOKUP("PARAM_INT_IFP_TRIPLE_RDD_DIS", Config!$A$4:$E$61, HLOOKUP(C$1, Config!$C$2:$AA$3, 2, FALSE)+2,FALSE)=0, VLOOKUP("TRC_PRESENT", Config!$A$4:$E$61, HLOOKUP(C$1, Config!$C$2:$AA$3, 2, FALSE)+2,FALSE)*32, 0)</f>
        <v>0</v>
      </c>
      <c r="F42" s="38" t="s">
        <v>510</v>
      </c>
      <c r="G42" s="17" t="s">
        <v>504</v>
      </c>
      <c r="H42" s="17" t="s">
        <v>480</v>
      </c>
      <c r="I42" s="17" t="s">
        <v>480</v>
      </c>
      <c r="J42" s="133"/>
      <c r="K42" s="120"/>
      <c r="L42" s="143"/>
      <c r="M42" s="146"/>
    </row>
    <row r="43" spans="1:13" x14ac:dyDescent="0.25">
      <c r="A43" s="118"/>
      <c r="B43" s="67" t="s">
        <v>451</v>
      </c>
      <c r="C43" s="67" t="s">
        <v>661</v>
      </c>
      <c r="D43" s="68" t="s">
        <v>498</v>
      </c>
      <c r="E43" s="77">
        <f>IF(VLOOKUP("PARAM_INT_IFP_TRIPLE_RDD_DIS", Config!$A$4:$E$61, HLOOKUP(C$1, Config!$C$2:$AA$3, 2, FALSE)+2,FALSE)=0, VLOOKUP("OEM_SECRET_KEY_FUSES_LIMIT", Config!$A$4:$E$61, HLOOKUP(C$1, Config!$C$2:$AA$3, 2, FALSE)+2,FALSE)*32, 0)</f>
        <v>0</v>
      </c>
      <c r="F43" s="38" t="s">
        <v>508</v>
      </c>
      <c r="G43" s="17" t="s">
        <v>506</v>
      </c>
      <c r="H43" s="17" t="s">
        <v>480</v>
      </c>
      <c r="I43" s="17" t="s">
        <v>480</v>
      </c>
      <c r="J43" s="133"/>
      <c r="K43" s="120"/>
      <c r="L43" s="143"/>
      <c r="M43" s="146"/>
    </row>
    <row r="44" spans="1:13" ht="15.75" thickBot="1" x14ac:dyDescent="0.3">
      <c r="A44" s="118"/>
      <c r="B44" s="74" t="s">
        <v>73</v>
      </c>
      <c r="C44" s="74"/>
      <c r="D44" s="75" t="s">
        <v>498</v>
      </c>
      <c r="E44" s="79">
        <v>2048</v>
      </c>
      <c r="F44" s="50" t="s">
        <v>516</v>
      </c>
      <c r="G44" s="80" t="s">
        <v>57</v>
      </c>
      <c r="H44" s="81" t="s">
        <v>57</v>
      </c>
      <c r="I44" s="80" t="s">
        <v>57</v>
      </c>
      <c r="J44" s="81" t="s">
        <v>57</v>
      </c>
      <c r="K44" s="122"/>
      <c r="L44" s="144"/>
      <c r="M44" s="147"/>
    </row>
    <row r="45" spans="1:13" ht="15" customHeight="1" x14ac:dyDescent="0.25">
      <c r="C45" s="16" t="s">
        <v>81</v>
      </c>
    </row>
    <row r="46" spans="1:13" ht="15" customHeight="1" x14ac:dyDescent="0.25">
      <c r="C46" s="16" t="s">
        <v>82</v>
      </c>
    </row>
    <row r="47" spans="1:13" ht="15" customHeight="1" x14ac:dyDescent="0.25">
      <c r="C47" s="16" t="s">
        <v>83</v>
      </c>
    </row>
    <row r="48" spans="1:13" ht="15" customHeight="1" x14ac:dyDescent="0.25"/>
  </sheetData>
  <mergeCells count="34">
    <mergeCell ref="M30:M44"/>
    <mergeCell ref="K26:K28"/>
    <mergeCell ref="M13:M23"/>
    <mergeCell ref="M24:M25"/>
    <mergeCell ref="M26:M28"/>
    <mergeCell ref="K30:K44"/>
    <mergeCell ref="L26:L28"/>
    <mergeCell ref="J31:J33"/>
    <mergeCell ref="J36:J38"/>
    <mergeCell ref="A30:A44"/>
    <mergeCell ref="J41:J43"/>
    <mergeCell ref="L30:L44"/>
    <mergeCell ref="L13:L23"/>
    <mergeCell ref="L24:L25"/>
    <mergeCell ref="A26:A28"/>
    <mergeCell ref="C26:C28"/>
    <mergeCell ref="J26:J28"/>
    <mergeCell ref="A13:A23"/>
    <mergeCell ref="C13:C23"/>
    <mergeCell ref="J13:J23"/>
    <mergeCell ref="K13:K25"/>
    <mergeCell ref="A24:A25"/>
    <mergeCell ref="C24:C25"/>
    <mergeCell ref="J24:J25"/>
    <mergeCell ref="M8:M12"/>
    <mergeCell ref="A3:A7"/>
    <mergeCell ref="J3:J7"/>
    <mergeCell ref="K3:K7"/>
    <mergeCell ref="L3:L7"/>
    <mergeCell ref="M3:M7"/>
    <mergeCell ref="A9:A12"/>
    <mergeCell ref="J8:J12"/>
    <mergeCell ref="K8:K12"/>
    <mergeCell ref="L8:L12"/>
  </mergeCells>
  <phoneticPr fontId="13" type="noConversion"/>
  <conditionalFormatting sqref="E19">
    <cfRule type="cellIs" dxfId="174" priority="67" operator="equal">
      <formula>0</formula>
    </cfRule>
  </conditionalFormatting>
  <conditionalFormatting sqref="E20">
    <cfRule type="cellIs" dxfId="173" priority="66" operator="equal">
      <formula>0</formula>
    </cfRule>
  </conditionalFormatting>
  <conditionalFormatting sqref="E22">
    <cfRule type="cellIs" dxfId="172" priority="62" operator="equal">
      <formula>0</formula>
    </cfRule>
  </conditionalFormatting>
  <conditionalFormatting sqref="F19:I19">
    <cfRule type="cellIs" dxfId="171" priority="83" operator="equal">
      <formula>0</formula>
    </cfRule>
  </conditionalFormatting>
  <conditionalFormatting sqref="I40">
    <cfRule type="cellIs" dxfId="170" priority="52" operator="equal">
      <formula>0</formula>
    </cfRule>
  </conditionalFormatting>
  <conditionalFormatting sqref="H24:H28 H30">
    <cfRule type="cellIs" dxfId="169" priority="79" operator="equal">
      <formula>0</formula>
    </cfRule>
  </conditionalFormatting>
  <conditionalFormatting sqref="I24:I28 I30">
    <cfRule type="cellIs" dxfId="168" priority="78" operator="equal">
      <formula>0</formula>
    </cfRule>
  </conditionalFormatting>
  <conditionalFormatting sqref="E17">
    <cfRule type="cellIs" dxfId="167" priority="69" operator="equal">
      <formula>0</formula>
    </cfRule>
  </conditionalFormatting>
  <conditionalFormatting sqref="E18">
    <cfRule type="cellIs" dxfId="166" priority="68" operator="equal">
      <formula>0</formula>
    </cfRule>
  </conditionalFormatting>
  <conditionalFormatting sqref="E31">
    <cfRule type="cellIs" dxfId="165" priority="61" operator="equal">
      <formula>0</formula>
    </cfRule>
  </conditionalFormatting>
  <conditionalFormatting sqref="E41">
    <cfRule type="cellIs" dxfId="164" priority="36" operator="equal">
      <formula>0</formula>
    </cfRule>
  </conditionalFormatting>
  <conditionalFormatting sqref="E21">
    <cfRule type="cellIs" dxfId="163" priority="63" operator="equal">
      <formula>0</formula>
    </cfRule>
  </conditionalFormatting>
  <conditionalFormatting sqref="E32 E34">
    <cfRule type="cellIs" dxfId="162" priority="60" operator="equal">
      <formula>0</formula>
    </cfRule>
  </conditionalFormatting>
  <conditionalFormatting sqref="E36">
    <cfRule type="cellIs" dxfId="161" priority="40" operator="equal">
      <formula>0</formula>
    </cfRule>
  </conditionalFormatting>
  <conditionalFormatting sqref="E39">
    <cfRule type="cellIs" dxfId="160" priority="28" operator="equal">
      <formula>0</formula>
    </cfRule>
  </conditionalFormatting>
  <conditionalFormatting sqref="E42">
    <cfRule type="cellIs" dxfId="159" priority="35" operator="equal">
      <formula>0</formula>
    </cfRule>
  </conditionalFormatting>
  <conditionalFormatting sqref="H35">
    <cfRule type="cellIs" dxfId="158" priority="55" operator="equal">
      <formula>0</formula>
    </cfRule>
  </conditionalFormatting>
  <conditionalFormatting sqref="I35">
    <cfRule type="cellIs" dxfId="157" priority="54" operator="equal">
      <formula>0</formula>
    </cfRule>
  </conditionalFormatting>
  <conditionalFormatting sqref="H40">
    <cfRule type="cellIs" dxfId="156" priority="53" operator="equal">
      <formula>0</formula>
    </cfRule>
  </conditionalFormatting>
  <conditionalFormatting sqref="E37">
    <cfRule type="cellIs" dxfId="155" priority="39" operator="equal">
      <formula>0</formula>
    </cfRule>
  </conditionalFormatting>
  <conditionalFormatting sqref="E44">
    <cfRule type="cellIs" dxfId="154" priority="30" operator="equal">
      <formula>0</formula>
    </cfRule>
  </conditionalFormatting>
  <conditionalFormatting sqref="E33">
    <cfRule type="cellIs" dxfId="153" priority="27" operator="equal">
      <formula>0</formula>
    </cfRule>
  </conditionalFormatting>
  <conditionalFormatting sqref="E38">
    <cfRule type="cellIs" dxfId="152" priority="26" operator="equal">
      <formula>0</formula>
    </cfRule>
  </conditionalFormatting>
  <conditionalFormatting sqref="E43">
    <cfRule type="cellIs" dxfId="151" priority="25" operator="equal">
      <formula>0</formula>
    </cfRule>
  </conditionalFormatting>
  <conditionalFormatting sqref="B3:H3 H4:H5 H7:H10 H12">
    <cfRule type="cellIs" dxfId="150" priority="24" operator="equal">
      <formula>0</formula>
    </cfRule>
  </conditionalFormatting>
  <conditionalFormatting sqref="B4:D4 F4:G4">
    <cfRule type="cellIs" dxfId="149" priority="23" operator="equal">
      <formula>0</formula>
    </cfRule>
  </conditionalFormatting>
  <conditionalFormatting sqref="B5:D5 F5:G5">
    <cfRule type="cellIs" dxfId="148" priority="22" operator="equal">
      <formula>0</formula>
    </cfRule>
  </conditionalFormatting>
  <conditionalFormatting sqref="B7 F7:G7 D7">
    <cfRule type="cellIs" dxfId="147" priority="21" operator="equal">
      <formula>0</formula>
    </cfRule>
  </conditionalFormatting>
  <conditionalFormatting sqref="B8:D8 F8:G8">
    <cfRule type="cellIs" priority="20" operator="equal">
      <formula>0</formula>
    </cfRule>
  </conditionalFormatting>
  <conditionalFormatting sqref="B9:D9 F9:G9">
    <cfRule type="cellIs" dxfId="146" priority="19" operator="equal">
      <formula>0</formula>
    </cfRule>
  </conditionalFormatting>
  <conditionalFormatting sqref="B10:D10 F10:G10">
    <cfRule type="cellIs" dxfId="145" priority="17" operator="equal">
      <formula>0</formula>
    </cfRule>
    <cfRule type="cellIs" dxfId="144" priority="18" operator="equal">
      <formula>0</formula>
    </cfRule>
  </conditionalFormatting>
  <conditionalFormatting sqref="I3:I5 I7:I10 I12">
    <cfRule type="cellIs" dxfId="143" priority="16" operator="equal">
      <formula>0</formula>
    </cfRule>
  </conditionalFormatting>
  <conditionalFormatting sqref="E4">
    <cfRule type="cellIs" dxfId="142" priority="15" operator="equal">
      <formula>0</formula>
    </cfRule>
  </conditionalFormatting>
  <conditionalFormatting sqref="E5">
    <cfRule type="cellIs" dxfId="141" priority="14" operator="equal">
      <formula>0</formula>
    </cfRule>
  </conditionalFormatting>
  <conditionalFormatting sqref="E7">
    <cfRule type="cellIs" dxfId="140" priority="13" operator="equal">
      <formula>0</formula>
    </cfRule>
  </conditionalFormatting>
  <conditionalFormatting sqref="E8">
    <cfRule type="cellIs" dxfId="139" priority="12" operator="equal">
      <formula>0</formula>
    </cfRule>
  </conditionalFormatting>
  <conditionalFormatting sqref="E9">
    <cfRule type="cellIs" dxfId="138" priority="11" operator="equal">
      <formula>0</formula>
    </cfRule>
  </conditionalFormatting>
  <conditionalFormatting sqref="E10">
    <cfRule type="cellIs" dxfId="137" priority="10" operator="equal">
      <formula>0</formula>
    </cfRule>
  </conditionalFormatting>
  <conditionalFormatting sqref="E12">
    <cfRule type="cellIs" dxfId="136" priority="9" operator="equal">
      <formula>0</formula>
    </cfRule>
  </conditionalFormatting>
  <conditionalFormatting sqref="H6">
    <cfRule type="cellIs" dxfId="135" priority="8" operator="equal">
      <formula>0</formula>
    </cfRule>
  </conditionalFormatting>
  <conditionalFormatting sqref="B6:D6 F6:G6">
    <cfRule type="cellIs" dxfId="134" priority="7" operator="equal">
      <formula>0</formula>
    </cfRule>
  </conditionalFormatting>
  <conditionalFormatting sqref="I6">
    <cfRule type="cellIs" dxfId="133" priority="6" operator="equal">
      <formula>0</formula>
    </cfRule>
  </conditionalFormatting>
  <conditionalFormatting sqref="E6">
    <cfRule type="cellIs" dxfId="132" priority="5" operator="equal">
      <formula>0</formula>
    </cfRule>
  </conditionalFormatting>
  <conditionalFormatting sqref="C7">
    <cfRule type="cellIs" dxfId="131" priority="4" operator="equal">
      <formula>0</formula>
    </cfRule>
  </conditionalFormatting>
  <conditionalFormatting sqref="H11">
    <cfRule type="cellIs" dxfId="130" priority="3" operator="equal">
      <formula>0</formula>
    </cfRule>
  </conditionalFormatting>
  <conditionalFormatting sqref="I11">
    <cfRule type="cellIs" dxfId="129" priority="2" operator="equal">
      <formula>0</formula>
    </cfRule>
  </conditionalFormatting>
  <conditionalFormatting sqref="E11">
    <cfRule type="cellIs" dxfId="128"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580D5-0128-4C15-945C-81518BE41C66}">
  <dimension ref="A1:M48"/>
  <sheetViews>
    <sheetView workbookViewId="0"/>
  </sheetViews>
  <sheetFormatPr defaultColWidth="9.140625" defaultRowHeight="15" x14ac:dyDescent="0.25"/>
  <cols>
    <col min="1" max="1" width="24" style="16" bestFit="1" customWidth="1"/>
    <col min="2" max="2" width="34.5703125" style="16" bestFit="1" customWidth="1"/>
    <col min="3" max="3" width="33.85546875" style="16" bestFit="1" customWidth="1"/>
    <col min="4" max="4" width="9.5703125" style="16" bestFit="1" customWidth="1"/>
    <col min="5" max="5" width="8.7109375" style="16" bestFit="1" customWidth="1"/>
    <col min="6" max="6" width="13.5703125" style="16" bestFit="1" customWidth="1"/>
    <col min="7" max="7" width="11.28515625" style="16" bestFit="1" customWidth="1"/>
    <col min="8" max="9" width="11.28515625" style="16" customWidth="1"/>
    <col min="10" max="10" width="31.7109375" style="16" bestFit="1" customWidth="1"/>
    <col min="11" max="11" width="11.28515625" style="16" bestFit="1" customWidth="1"/>
    <col min="12" max="12" width="23.5703125" style="16" bestFit="1" customWidth="1"/>
    <col min="13" max="13" width="6" style="16" bestFit="1" customWidth="1"/>
    <col min="14" max="16384" width="9.140625" style="16"/>
  </cols>
  <sheetData>
    <row r="1" spans="1:13" ht="24" thickBot="1" x14ac:dyDescent="0.4">
      <c r="B1" s="33" t="s">
        <v>494</v>
      </c>
      <c r="C1" s="34" t="s">
        <v>82</v>
      </c>
    </row>
    <row r="2" spans="1:13" ht="15" customHeight="1" thickBot="1" x14ac:dyDescent="0.3">
      <c r="A2" s="49" t="s">
        <v>0</v>
      </c>
      <c r="B2" s="51" t="s">
        <v>1</v>
      </c>
      <c r="C2" s="64" t="s">
        <v>2</v>
      </c>
      <c r="D2" s="58" t="s">
        <v>3</v>
      </c>
      <c r="E2" s="58" t="s">
        <v>4</v>
      </c>
      <c r="F2" s="46" t="s">
        <v>5</v>
      </c>
      <c r="G2" s="47" t="s">
        <v>6</v>
      </c>
      <c r="H2" s="47" t="s">
        <v>478</v>
      </c>
      <c r="I2" s="47" t="s">
        <v>479</v>
      </c>
      <c r="J2" s="47" t="s">
        <v>7</v>
      </c>
      <c r="K2" s="47" t="s">
        <v>8</v>
      </c>
      <c r="L2" s="47" t="s">
        <v>458</v>
      </c>
      <c r="M2" s="48" t="s">
        <v>81</v>
      </c>
    </row>
    <row r="3" spans="1:13" ht="15" customHeight="1" x14ac:dyDescent="0.25">
      <c r="A3" s="118" t="s">
        <v>9</v>
      </c>
      <c r="B3" s="52" t="s">
        <v>489</v>
      </c>
      <c r="C3" s="65" t="s">
        <v>10</v>
      </c>
      <c r="D3" s="66" t="s">
        <v>11</v>
      </c>
      <c r="E3" s="59">
        <f>VLOOKUP($B3, Config!$A$4:$E$61, HLOOKUP(C$1, Config!$C$2:$AA$3, 2, FALSE)+2,FALSE)</f>
        <v>512</v>
      </c>
      <c r="F3" s="36" t="s">
        <v>12</v>
      </c>
      <c r="G3" s="37" t="s">
        <v>13</v>
      </c>
      <c r="H3" s="37" t="s">
        <v>57</v>
      </c>
      <c r="I3" s="37" t="s">
        <v>57</v>
      </c>
      <c r="J3" s="119" t="s">
        <v>453</v>
      </c>
      <c r="K3" s="123" t="s">
        <v>14</v>
      </c>
      <c r="L3" s="124" t="s">
        <v>460</v>
      </c>
      <c r="M3" s="114">
        <f>($E3+$E4+$E5+$E7)/8</f>
        <v>100</v>
      </c>
    </row>
    <row r="4" spans="1:13" ht="15" customHeight="1" x14ac:dyDescent="0.25">
      <c r="A4" s="118"/>
      <c r="B4" s="53" t="s">
        <v>490</v>
      </c>
      <c r="C4" s="67" t="s">
        <v>10</v>
      </c>
      <c r="D4" s="68" t="s">
        <v>11</v>
      </c>
      <c r="E4" s="60">
        <f>VLOOKUP($B4, Config!$A$4:$E$61, HLOOKUP(C$1, Config!$C$2:$AA$3, 2, FALSE)+2,FALSE)</f>
        <v>32</v>
      </c>
      <c r="F4" s="38" t="str">
        <f>CONCATENATE("0x",DEC2HEX(HEX2DEC(SUBSTITUTE(F3,"0x",""))+E3/8))</f>
        <v>0x6040</v>
      </c>
      <c r="G4" s="17" t="str">
        <f>CONCATENATE("0x",DEC2HEX(HEX2DEC(SUBSTITUTE(G3,"0x",""))+E3/8))</f>
        <v>0xF00B0040</v>
      </c>
      <c r="H4" s="17" t="s">
        <v>57</v>
      </c>
      <c r="I4" s="17" t="s">
        <v>57</v>
      </c>
      <c r="J4" s="120"/>
      <c r="K4" s="120"/>
      <c r="L4" s="125"/>
      <c r="M4" s="115"/>
    </row>
    <row r="5" spans="1:13" ht="15" customHeight="1" x14ac:dyDescent="0.25">
      <c r="A5" s="118"/>
      <c r="B5" s="53" t="s">
        <v>491</v>
      </c>
      <c r="C5" s="67" t="s">
        <v>15</v>
      </c>
      <c r="D5" s="68" t="s">
        <v>11</v>
      </c>
      <c r="E5" s="60">
        <f>VLOOKUP($B5, Config!$A$4:$E$61, HLOOKUP(C$1, Config!$C$2:$AA$3, 2, FALSE)+2,FALSE)</f>
        <v>256</v>
      </c>
      <c r="F5" s="38" t="str">
        <f>CONCATENATE("0x",DEC2HEX(HEX2DEC(SUBSTITUTE(F4,"0x",""))+E4/8))</f>
        <v>0x6044</v>
      </c>
      <c r="G5" s="17" t="str">
        <f>CONCATENATE("0x",DEC2HEX(HEX2DEC(SUBSTITUTE(G4,"0x",""))+E4/8))</f>
        <v>0xF00B0044</v>
      </c>
      <c r="H5" s="17" t="s">
        <v>57</v>
      </c>
      <c r="I5" s="17" t="s">
        <v>57</v>
      </c>
      <c r="J5" s="120"/>
      <c r="K5" s="120"/>
      <c r="L5" s="125"/>
      <c r="M5" s="115"/>
    </row>
    <row r="6" spans="1:13" ht="15" customHeight="1" x14ac:dyDescent="0.25">
      <c r="A6" s="118"/>
      <c r="B6" s="92" t="s">
        <v>492</v>
      </c>
      <c r="C6" s="67" t="s">
        <v>15</v>
      </c>
      <c r="D6" s="68" t="s">
        <v>11</v>
      </c>
      <c r="E6" s="60">
        <f>VLOOKUP($B6, Config!$A$4:$E$61, HLOOKUP(C$1, Config!$C$2:$AA$3, 2, FALSE)+2,FALSE)</f>
        <v>256</v>
      </c>
      <c r="F6" s="38" t="str">
        <f>CONCATENATE("0x",DEC2HEX(HEX2DEC(SUBSTITUTE(F5,"0x",""))+E5/8))</f>
        <v>0x6064</v>
      </c>
      <c r="G6" s="17" t="str">
        <f>CONCATENATE("0x",DEC2HEX(HEX2DEC(SUBSTITUTE(G5,"0x",""))+E5/8))</f>
        <v>0xF00B0064</v>
      </c>
      <c r="H6" s="17" t="s">
        <v>57</v>
      </c>
      <c r="I6" s="17" t="s">
        <v>57</v>
      </c>
      <c r="J6" s="121"/>
      <c r="K6" s="121"/>
      <c r="L6" s="126"/>
      <c r="M6" s="116"/>
    </row>
    <row r="7" spans="1:13" ht="15" customHeight="1" thickBot="1" x14ac:dyDescent="0.3">
      <c r="A7" s="118"/>
      <c r="B7" s="97" t="s">
        <v>523</v>
      </c>
      <c r="C7" s="93" t="s">
        <v>10</v>
      </c>
      <c r="D7" s="94" t="s">
        <v>11</v>
      </c>
      <c r="E7" s="95">
        <f>VLOOKUP($B7, Config!$A$4:$E$61, HLOOKUP(C$1, Config!$C$2:$AA$3, 2, FALSE)+2,FALSE)</f>
        <v>0</v>
      </c>
      <c r="F7" s="96" t="str">
        <f>CONCATENATE("0x",DEC2HEX(HEX2DEC(SUBSTITUTE(F6,"0x",""))+E6/8))</f>
        <v>0x6084</v>
      </c>
      <c r="G7" s="91" t="str">
        <f>CONCATENATE("0x",DEC2HEX(HEX2DEC(SUBSTITUTE(G6,"0x",""))+E6/8))</f>
        <v>0xF00B0084</v>
      </c>
      <c r="H7" s="91" t="s">
        <v>57</v>
      </c>
      <c r="I7" s="91" t="s">
        <v>57</v>
      </c>
      <c r="J7" s="122"/>
      <c r="K7" s="122"/>
      <c r="L7" s="127"/>
      <c r="M7" s="117"/>
    </row>
    <row r="8" spans="1:13" x14ac:dyDescent="0.25">
      <c r="A8" s="40" t="s">
        <v>16</v>
      </c>
      <c r="B8" s="54" t="s">
        <v>17</v>
      </c>
      <c r="C8" s="65" t="s">
        <v>18</v>
      </c>
      <c r="D8" s="66" t="s">
        <v>19</v>
      </c>
      <c r="E8" s="59">
        <f>VLOOKUP($B8, Config!$A$4:$E$61, HLOOKUP(C$1, Config!$C$2:$AA$3, 2, FALSE)+2,FALSE)</f>
        <v>768</v>
      </c>
      <c r="F8" s="36" t="s">
        <v>20</v>
      </c>
      <c r="G8" s="37" t="s">
        <v>21</v>
      </c>
      <c r="H8" s="37" t="s">
        <v>57</v>
      </c>
      <c r="I8" s="37" t="s">
        <v>57</v>
      </c>
      <c r="J8" s="134" t="s">
        <v>454</v>
      </c>
      <c r="K8" s="123" t="s">
        <v>22</v>
      </c>
      <c r="L8" s="124" t="s">
        <v>459</v>
      </c>
      <c r="M8" s="114">
        <f>($E8+$E9+$E10+$E12)/8</f>
        <v>376</v>
      </c>
    </row>
    <row r="9" spans="1:13" x14ac:dyDescent="0.25">
      <c r="A9" s="128" t="s">
        <v>23</v>
      </c>
      <c r="B9" s="55" t="s">
        <v>493</v>
      </c>
      <c r="C9" s="67" t="s">
        <v>18</v>
      </c>
      <c r="D9" s="68" t="s">
        <v>19</v>
      </c>
      <c r="E9" s="60">
        <f>VLOOKUP($B9, Config!$A$4:$E$61, HLOOKUP(C$1, Config!$C$2:$AA$3, 2, FALSE)+2,FALSE)</f>
        <v>160</v>
      </c>
      <c r="F9" s="38" t="str">
        <f>CONCATENATE("0x",DEC2HEX(HEX2DEC(SUBSTITUTE(F8,"0x",""))+E8/8))</f>
        <v>0x6460</v>
      </c>
      <c r="G9" s="17" t="str">
        <f>CONCATENATE("0x",DEC2HEX(HEX2DEC(SUBSTITUTE(G8,"0x",""))+E8/8))</f>
        <v>0xF00B0460</v>
      </c>
      <c r="H9" s="17" t="s">
        <v>57</v>
      </c>
      <c r="I9" s="17" t="s">
        <v>57</v>
      </c>
      <c r="J9" s="135"/>
      <c r="K9" s="120"/>
      <c r="L9" s="125"/>
      <c r="M9" s="115"/>
    </row>
    <row r="10" spans="1:13" x14ac:dyDescent="0.25">
      <c r="A10" s="129"/>
      <c r="B10" s="99" t="s">
        <v>25</v>
      </c>
      <c r="C10" s="67" t="s">
        <v>18</v>
      </c>
      <c r="D10" s="68" t="s">
        <v>19</v>
      </c>
      <c r="E10" s="60">
        <f>VLOOKUP($B10, Config!$A$4:$E$61, HLOOKUP(C$1, Config!$C$2:$AA$3, 2, FALSE)+2,FALSE)</f>
        <v>32</v>
      </c>
      <c r="F10" s="38" t="str">
        <f>CONCATENATE("0x",DEC2HEX(HEX2DEC(SUBSTITUTE(F9,"0x",""))+E9/8))</f>
        <v>0x6474</v>
      </c>
      <c r="G10" s="17" t="str">
        <f>CONCATENATE("0x",DEC2HEX(HEX2DEC(SUBSTITUTE(G9,"0x",""))+E9/8))</f>
        <v>0xF00B0474</v>
      </c>
      <c r="H10" s="17" t="s">
        <v>57</v>
      </c>
      <c r="I10" s="17" t="s">
        <v>57</v>
      </c>
      <c r="J10" s="135"/>
      <c r="K10" s="120"/>
      <c r="L10" s="125"/>
      <c r="M10" s="115"/>
    </row>
    <row r="11" spans="1:13" x14ac:dyDescent="0.25">
      <c r="A11" s="129"/>
      <c r="B11" s="100" t="s">
        <v>524</v>
      </c>
      <c r="C11" s="67" t="s">
        <v>18</v>
      </c>
      <c r="D11" s="68" t="s">
        <v>19</v>
      </c>
      <c r="E11" s="60">
        <f>VLOOKUP($B11, Config!$A$4:$E$61, HLOOKUP(C$1, Config!$C$2:$AA$3, 2, FALSE)+2,FALSE)</f>
        <v>0</v>
      </c>
      <c r="F11" s="38" t="str">
        <f>CONCATENATE("0x",DEC2HEX(HEX2DEC(SUBSTITUTE(F10,"0x",""))+E10/8))</f>
        <v>0x6478</v>
      </c>
      <c r="G11" s="17" t="str">
        <f>CONCATENATE("0x",DEC2HEX(HEX2DEC(SUBSTITUTE(G10,"0x",""))+E10/8))</f>
        <v>0xF00B0478</v>
      </c>
      <c r="H11" s="17" t="s">
        <v>57</v>
      </c>
      <c r="I11" s="17" t="s">
        <v>57</v>
      </c>
      <c r="J11" s="136"/>
      <c r="K11" s="121"/>
      <c r="L11" s="126"/>
      <c r="M11" s="116"/>
    </row>
    <row r="12" spans="1:13" ht="15.75" thickBot="1" x14ac:dyDescent="0.3">
      <c r="A12" s="130"/>
      <c r="B12" s="98" t="s">
        <v>24</v>
      </c>
      <c r="C12" s="89" t="s">
        <v>18</v>
      </c>
      <c r="D12" s="94" t="s">
        <v>19</v>
      </c>
      <c r="E12" s="95">
        <f>VLOOKUP($B12, Config!$A$4:$E$61, HLOOKUP(C$1, Config!$C$2:$AA$3, 2, FALSE)+2,FALSE)</f>
        <v>2048</v>
      </c>
      <c r="F12" s="96" t="str">
        <f>CONCATENATE("0x",DEC2HEX(HEX2DEC(SUBSTITUTE(F11,"0x",""))+E11/8))</f>
        <v>0x6478</v>
      </c>
      <c r="G12" s="91" t="str">
        <f>CONCATENATE("0x",DEC2HEX(HEX2DEC(SUBSTITUTE(G11,"0x",""))+E11/8))</f>
        <v>0xF00B0478</v>
      </c>
      <c r="H12" s="91" t="s">
        <v>57</v>
      </c>
      <c r="I12" s="91" t="s">
        <v>57</v>
      </c>
      <c r="J12" s="137"/>
      <c r="K12" s="122"/>
      <c r="L12" s="127"/>
      <c r="M12" s="117"/>
    </row>
    <row r="13" spans="1:13" ht="15" customHeight="1" x14ac:dyDescent="0.25">
      <c r="A13" s="128" t="s">
        <v>26</v>
      </c>
      <c r="B13" s="52" t="s">
        <v>27</v>
      </c>
      <c r="C13" s="131" t="s">
        <v>28</v>
      </c>
      <c r="D13" s="66" t="s">
        <v>29</v>
      </c>
      <c r="E13" s="61">
        <f>32</f>
        <v>32</v>
      </c>
      <c r="F13" s="36" t="s">
        <v>30</v>
      </c>
      <c r="G13" s="37" t="s">
        <v>31</v>
      </c>
      <c r="H13" s="37" t="str">
        <f>CONCATENATE("0x", DEC2HEX(_xlfn.BITLSHIFT(1, Group1!C2)*Group1!G2*Group1!L2
+_xlfn.BITLSHIFT(1, Group1!C3)*Group1!G3*Group1!L3
+_xlfn.BITLSHIFT(1, Group1!C4)*Group1!G4*Group1!L4
+_xlfn.BITLSHIFT(1, Group1!C5)*Group1!G5*Group1!L5
+_xlfn.BITLSHIFT(1, Group1!C6)*Group1!G6*Group1!L6
+_xlfn.BITLSHIFT(1, Group1!C7)*Group1!G7*Group1!L7
+_xlfn.BITLSHIFT(1, Group1!C8)*Group1!G8*Group1!L8
+_xlfn.BITLSHIFT(1, Group1!C9)*Group1!G9*Group1!L9
+_xlfn.BITLSHIFT(1, Group1!C10)*Group1!G10*Group1!L10
+_xlfn.BITLSHIFT(1, Group1!C11)*Group1!G11*Group1!L11
+_xlfn.BITLSHIFT(1, Group1!C12)*Group1!G12*Group1!L12
+_xlfn.BITLSHIFT(1, Group1!C13)*Group1!G13*Group1!L13
+_xlfn.BITLSHIFT(1, Group1!C14)*Group1!G14*Group1!L14
+_xlfn.BITLSHIFT(1, Group1!C15)*Group1!G15*Group1!L15
+_xlfn.BITLSHIFT(1, Group1!C16)*Group1!G16*Group1!L16
+_xlfn.BITLSHIFT(1, Group1!C17)*Group1!G17*Group1!L17
+_xlfn.BITLSHIFT(1, Group1!C18)*Group1!G18*Group1!L18
+_xlfn.BITLSHIFT(1, Group1!C19)*Group1!G19*Group1!L19
+_xlfn.BITLSHIFT(1, Group1!C20)*Group1!G20*Group1!L20
+_xlfn.BITLSHIFT(1, Group1!C21)*Group1!G21*Group1!L21
+_xlfn.BITLSHIFT(1, Group1!C22)*Group1!G22*Group1!L22
+_xlfn.BITLSHIFT(1, Group1!C23)*Group1!G23*Group1!L23
+_xlfn.BITLSHIFT(1, Group1!C24)*Group1!G24*Group1!L24
+_xlfn.BITLSHIFT(1, Group1!C25)*Group1!G25*Group1!L25
+_xlfn.BITLSHIFT(1, Group1!C26)*Group1!G26*Group1!L26
+_xlfn.BITLSHIFT(1, Group1!C27)*Group1!G27*Group1!L27
+_xlfn.BITLSHIFT(1, Group1!C28)*Group1!G28*Group1!L28
+_xlfn.BITLSHIFT(1, Group1!C29)*Group1!G29*Group1!L29
+_xlfn.BITLSHIFT(1, Group1!C30)*Group1!G30*Group1!L30
+_xlfn.BITLSHIFT(1, Group1!C31)*Group1!G31*Group1!L31
+_xlfn.BITLSHIFT(1, Group1!C32)*Group1!G32*Group1!L32
+_xlfn.BITLSHIFT(1, Group1!C33)*Group1!G33*Group1!L33
+_xlfn.BITLSHIFT(1, Group1!C34)*Group1!G34*Group1!L34
+_xlfn.BITLSHIFT(1, Group1!C35)*Group1!G35*Group1!L35,8))</f>
        <v>0x43035480</v>
      </c>
      <c r="I13" s="37" t="str">
        <f>CONCATENATE("0x", DEC2HEX(
 _xlfn.BITLSHIFT(1, Group1!C2)*Group1!H2*Group1!L2
+_xlfn.BITLSHIFT(1, Group1!C3)*Group1!H3*Group1!L3
+_xlfn.BITLSHIFT(1, Group1!C4)*Group1!H4*Group1!L4
+_xlfn.BITLSHIFT(1, Group1!C5)*Group1!H5*Group1!L5
+_xlfn.BITLSHIFT(1, Group1!C6)*Group1!H6*Group1!L6
+_xlfn.BITLSHIFT(1, Group1!C7)*Group1!H7*Group1!L7
+_xlfn.BITLSHIFT(1, Group1!C8)*Group1!H8*Group1!L8
+_xlfn.BITLSHIFT(1, Group1!C9)*Group1!H9*Group1!L9
+_xlfn.BITLSHIFT(1, Group1!C10)*Group1!H10*Group1!L10
+_xlfn.BITLSHIFT(1, Group1!C11)*Group1!H11*Group1!L11
+_xlfn.BITLSHIFT(1, Group1!C12)*Group1!H12*Group1!L12
+_xlfn.BITLSHIFT(1, Group1!C13)*Group1!H13*Group1!L13
+_xlfn.BITLSHIFT(1, Group1!C14)*Group1!H14*Group1!L14
+_xlfn.BITLSHIFT(1, Group1!C15)*Group1!H15*Group1!L15
+_xlfn.BITLSHIFT(1, Group1!C16)*Group1!H16*Group1!L16
+_xlfn.BITLSHIFT(1, Group1!C17)*Group1!H17*Group1!L17
+_xlfn.BITLSHIFT(1, Group1!C18)*Group1!H18*Group1!L18
+_xlfn.BITLSHIFT(1, Group1!C19)*Group1!H19*Group1!L19
+_xlfn.BITLSHIFT(1, Group1!C20)*Group1!H20*Group1!L20
+_xlfn.BITLSHIFT(1, Group1!C21)*Group1!H21*Group1!L21
+_xlfn.BITLSHIFT(1, Group1!C22)*Group1!H22*Group1!L22
+_xlfn.BITLSHIFT(1, Group1!C23)*Group1!H23*Group1!L23
+_xlfn.BITLSHIFT(1, Group1!C24)*Group1!H24*Group1!L24
+_xlfn.BITLSHIFT(1, Group1!C25)*Group1!H25*Group1!L25
+_xlfn.BITLSHIFT(1, Group1!C26)*Group1!H26*Group1!L26
+_xlfn.BITLSHIFT(1, Group1!C27)*Group1!H27*Group1!L27
+_xlfn.BITLSHIFT(1, Group1!C28)*Group1!H28*Group1!L28
+_xlfn.BITLSHIFT(1, Group1!C29)*Group1!H29*Group1!L29
+_xlfn.BITLSHIFT(1, Group1!C30)*Group1!H30*Group1!L30
+_xlfn.BITLSHIFT(1, Group1!C31)*Group1!H31*Group1!L31
+_xlfn.BITLSHIFT(1, Group1!C32)*Group1!H32*Group1!L32
+_xlfn.BITLSHIFT(1, Group1!C33)*Group1!H33*Group1!L33
+_xlfn.BITLSHIFT(1, Group1!C34)*Group1!H34*Group1!L34
+_xlfn.BITLSHIFT(1, Group1!C35)*Group1!H35*Group1!L35, 8))</f>
        <v>0x02033083</v>
      </c>
      <c r="J13" s="119" t="s">
        <v>455</v>
      </c>
      <c r="K13" s="123" t="s">
        <v>32</v>
      </c>
      <c r="L13" s="138" t="s">
        <v>521</v>
      </c>
      <c r="M13" s="150">
        <f>4*32/32+E17/32+E18/32+E19/32+E20/32+E21/32+E22/32</f>
        <v>5</v>
      </c>
    </row>
    <row r="14" spans="1:13" x14ac:dyDescent="0.25">
      <c r="A14" s="129"/>
      <c r="B14" s="53" t="s">
        <v>33</v>
      </c>
      <c r="C14" s="132"/>
      <c r="D14" s="68" t="s">
        <v>29</v>
      </c>
      <c r="E14" s="62">
        <v>32</v>
      </c>
      <c r="F14" s="38" t="str">
        <f>CONCATENATE("0x",DEC2HEX(HEX2DEC(SUBSTITUTE(F13,"0x",""))+E13/8))</f>
        <v>0x2004</v>
      </c>
      <c r="G14" s="17" t="str">
        <f>CONCATENATE("0x",DEC2HEX(HEX2DEC(SUBSTITUTE(G13,"0x",""))+E13/8))</f>
        <v>0xF00B0204</v>
      </c>
      <c r="H14" s="17" t="str">
        <f>CONCATENATE("0x",DEC2HEX(
_xlfn.BITLSHIFT(1,Group1!C36)*Group1!G36*Group1!L36
+_xlfn.BITLSHIFT(1,Group1!C37)*Group1!G37*Group1!L37
+_xlfn.BITLSHIFT(1,Group1!C38)*Group1!G38*Group1!L38
+_xlfn.BITLSHIFT(1,Group1!C39)*Group1!G39*Group1!L39
+_xlfn.BITLSHIFT(1,Group1!C40)*Group1!G40*Group1!L40
+_xlfn.BITLSHIFT(1,Group1!C41)*Group1!G41*Group1!L41
+_xlfn.BITLSHIFT(1,Group1!C42)*Group1!G42*Group1!L42
+_xlfn.BITLSHIFT(1,Group1!C43)*Group1!G43*Group1!L43
+_xlfn.BITLSHIFT(1,Group1!C44)*Group1!G44*Group1!L44
+_xlfn.BITLSHIFT(1,Group1!C45)*Group1!G45*Group1!L45
+_xlfn.BITLSHIFT(1,Group1!C46)*Group1!G46*Group1!L46
+_xlfn.BITLSHIFT(1,Group1!C47)*Group1!G47*Group1!L47
+_xlfn.BITLSHIFT(1,Group1!C48)*Group1!G48*Group1!L48
+_xlfn.BITLSHIFT(1,Group1!C49)*Group1!G49*Group1!L49
+_xlfn.BITLSHIFT(1,Group1!C50)*Group1!G50*Group1!L50
+_xlfn.BITLSHIFT(1,Group1!C51)*Group1!G51*Group1!L51
+_xlfn.BITLSHIFT(1,Group1!C52)*Group1!G52*Group1!L52
+_xlfn.BITLSHIFT(1,Group1!C53)*Group1!G53*Group1!L53
+_xlfn.BITLSHIFT(1,Group1!C54)*Group1!G54*Group1!L54
+_xlfn.BITLSHIFT(1,Group1!C55)*Group1!G55*Group1!L55
+_xlfn.BITLSHIFT(1,Group1!C56)*Group1!G56*Group1!L56
+_xlfn.BITLSHIFT(1,Group1!C57)*Group1!G57*Group1!L57,8))</f>
        <v>0x00810814</v>
      </c>
      <c r="I14" s="17" t="str">
        <f>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J14" s="133"/>
      <c r="K14" s="120"/>
      <c r="L14" s="139"/>
      <c r="M14" s="151"/>
    </row>
    <row r="15" spans="1:13" x14ac:dyDescent="0.25">
      <c r="A15" s="129"/>
      <c r="B15" s="53" t="s">
        <v>34</v>
      </c>
      <c r="C15" s="132"/>
      <c r="D15" s="68" t="s">
        <v>29</v>
      </c>
      <c r="E15" s="62">
        <v>32</v>
      </c>
      <c r="F15" s="38" t="str">
        <f>CONCATENATE("0x",DEC2HEX(HEX2DEC(SUBSTITUTE(F14,"0x",""))+E14/8))</f>
        <v>0x2008</v>
      </c>
      <c r="G15" s="17" t="str">
        <f>CONCATENATE("0x",DEC2HEX(HEX2DEC(SUBSTITUTE(G14,"0x",""))+E14/8))</f>
        <v>0xF00B0208</v>
      </c>
      <c r="H15" s="17" t="str">
        <f>CONCATENATE("0x", DEC2HEX(
 _xlfn.BITLSHIFT(1, Group1!C58)*Group1!G58*Group1!L58
+_xlfn.BITLSHIFT(1, Group1!C59)*Group1!G59*Group1!L59
+_xlfn.BITLSHIFT(1, Group1!C60)*Group1!G60*Group1!L60
+_xlfn.BITLSHIFT(1, Group1!C61)*Group1!G61*Group1!L61
+_xlfn.BITLSHIFT(1, Group1!C62)*Group1!G62*Group1!L62
+_xlfn.BITLSHIFT(1, Group1!C63)*Group1!G63*Group1!L63
+_xlfn.BITLSHIFT(1, Group1!C64)*Group1!G64*Group1!L64
+_xlfn.BITLSHIFT(1, Group1!C65)*Group1!G65*Group1!L65, 8))</f>
        <v>0x00000000</v>
      </c>
      <c r="I15" s="17" t="str">
        <f>CONCATENATE("0x", DEC2HEX(
 _xlfn.BITLSHIFT(1, Group1!C58)*Group1!H58*Group1!L58
+_xlfn.BITLSHIFT(1, Group1!C59)*Group1!H59*Group1!L59
+_xlfn.BITLSHIFT(1, Group1!C60)*Group1!H60*Group1!L60
+_xlfn.BITLSHIFT(1, Group1!C61)*Group1!H61*Group1!L61
+_xlfn.BITLSHIFT(1, Group1!C62)*Group1!H62*Group1!L62
+_xlfn.BITLSHIFT(1, Group1!C63)*Group1!H63*Group1!L63
+_xlfn.BITLSHIFT(1, Group1!C64)*Group1!H64*Group1!L64
+_xlfn.BITLSHIFT(1, Group1!C65)*Group1!H65*Group1!L65, 8))</f>
        <v>0x00040000</v>
      </c>
      <c r="J15" s="133"/>
      <c r="K15" s="120"/>
      <c r="L15" s="139"/>
      <c r="M15" s="151"/>
    </row>
    <row r="16" spans="1:13" x14ac:dyDescent="0.25">
      <c r="A16" s="129"/>
      <c r="B16" s="53" t="s">
        <v>35</v>
      </c>
      <c r="C16" s="132"/>
      <c r="D16" s="68" t="s">
        <v>29</v>
      </c>
      <c r="E16" s="62">
        <v>32</v>
      </c>
      <c r="F16" s="38" t="str">
        <f>CONCATENATE("0x",DEC2HEX(HEX2DEC(SUBSTITUTE(F15,"0x",""))+E15/8))</f>
        <v>0x200C</v>
      </c>
      <c r="G16" s="17" t="s">
        <v>36</v>
      </c>
      <c r="H16" s="17" t="str">
        <f>CONCATENATE("0x", DEC2HEX(
 _xlfn.BITLSHIFT(1, Group1!C66)*Group1!G66*Group1!L66
+_xlfn.BITLSHIFT(1, Group1!C67)*Group1!G67*Group1!L67
+_xlfn.BITLSHIFT(1, Group1!C68)*Group1!G68*Group1!L68
+_xlfn.BITLSHIFT(1, Group1!C69)*Group1!G69*Group1!L69
+_xlfn.BITLSHIFT(1, Group1!C70)*Group1!G70*Group1!L70
+_xlfn.BITLSHIFT(1, Group1!C71)*Group1!G71*Group1!L71
+_xlfn.BITLSHIFT(1, Group1!C72)*Group1!G72*Group1!L72
+_xlfn.BITLSHIFT(1, Group1!C73)*Group1!G73*Group1!L73
+_xlfn.BITLSHIFT(1, Group1!C74)*Group1!G74*Group1!L74
+_xlfn.BITLSHIFT(1, Group1!C75)*Group1!G75*Group1!L75
+_xlfn.BITLSHIFT(1, Group1!C76)*Group1!G76*Group1!L76
+_xlfn.BITLSHIFT(1, Group1!C77)*Group1!G77*Group1!L77
+_xlfn.BITLSHIFT(1, Group1!C78)*Group1!G78*Group1!L78
+_xlfn.BITLSHIFT(1, Group1!C79)*Group1!G79*Group1!L79
+_xlfn.BITLSHIFT(1, Group1!C80)*Group1!G80*Group1!L80
+_xlfn.BITLSHIFT(1, Group1!C81)*Group1!G81*Group1!L81
+_xlfn.BITLSHIFT(1, Group1!C82)*Group1!G82*Group1!L82
+_xlfn.BITLSHIFT(1, Group1!C83)*Group1!G83*Group1!L83
+_xlfn.BITLSHIFT(1, Group1!C84)*Group1!G84*Group1!L84
+_xlfn.BITLSHIFT(1, Group1!C85)*Group1!G85*Group1!L85
+_xlfn.BITLSHIFT(1, Group1!C86)*Group1!G86*Group1!L86
+_xlfn.BITLSHIFT(1, Group1!C87)*Group1!G87*Group1!L87
+_xlfn.BITLSHIFT(1, Group1!C88)*Group1!G88*Group1!L88
+_xlfn.BITLSHIFT(1, Group1!C89)*Group1!G89*Group1!L89
+_xlfn.BITLSHIFT(1, Group1!C90)*Group1!G90*Group1!L90, 8))</f>
        <v>0x00000000</v>
      </c>
      <c r="I16" s="17" t="str">
        <f>CONCATENATE("0x", DEC2HEX(
 _xlfn.BITLSHIFT(1, Group1!C66)*Group1!H66*Group1!L66
+_xlfn.BITLSHIFT(1, Group1!C67)*Group1!H67*Group1!L67
+_xlfn.BITLSHIFT(1, Group1!C68)*Group1!H68*Group1!L68
+_xlfn.BITLSHIFT(1, Group1!C69)*Group1!H69*Group1!L69
+_xlfn.BITLSHIFT(1, Group1!C70)*Group1!H70*Group1!L70
+_xlfn.BITLSHIFT(1, Group1!C71)*Group1!H71*Group1!L71
+_xlfn.BITLSHIFT(1, Group1!C72)*Group1!H72*Group1!L72
+_xlfn.BITLSHIFT(1, Group1!C73)*Group1!H73*Group1!L73
+_xlfn.BITLSHIFT(1, Group1!C74)*Group1!H74*Group1!L74
+_xlfn.BITLSHIFT(1, Group1!C75)*Group1!H75*Group1!L75
+_xlfn.BITLSHIFT(1, Group1!C76)*Group1!H76*Group1!L76
+_xlfn.BITLSHIFT(1, Group1!C77)*Group1!H77*Group1!L77
+_xlfn.BITLSHIFT(1, Group1!C78)*Group1!H78*Group1!L78
+_xlfn.BITLSHIFT(1, Group1!C79)*Group1!H79*Group1!L79
+_xlfn.BITLSHIFT(1, Group1!C80)*Group1!H80*Group1!L80
+_xlfn.BITLSHIFT(1, Group1!C81)*Group1!H81*Group1!L81
+_xlfn.BITLSHIFT(1, Group1!C82)*Group1!H82*Group1!L82
+_xlfn.BITLSHIFT(1, Group1!C83)*Group1!H83*Group1!L83
+_xlfn.BITLSHIFT(1, Group1!C84)*Group1!H84*Group1!L84
+_xlfn.BITLSHIFT(1, Group1!C85)*Group1!H85*Group1!L85
+_xlfn.BITLSHIFT(1, Group1!C86)*Group1!H86*Group1!L86
+_xlfn.BITLSHIFT(1, Group1!C87)*Group1!H87*Group1!L87
+_xlfn.BITLSHIFT(1, Group1!C88)*Group1!H88*Group1!L88
+_xlfn.BITLSHIFT(1, Group1!C89)*Group1!H89*Group1!L89
+_xlfn.BITLSHIFT(1, Group1!C90)*Group1!H90*Group1!L90, 8))</f>
        <v>0x00000000</v>
      </c>
      <c r="J16" s="133"/>
      <c r="K16" s="120"/>
      <c r="L16" s="139"/>
      <c r="M16" s="151"/>
    </row>
    <row r="17" spans="1:13" x14ac:dyDescent="0.25">
      <c r="A17" s="129"/>
      <c r="B17" s="53" t="s">
        <v>37</v>
      </c>
      <c r="C17" s="132"/>
      <c r="D17" s="68" t="s">
        <v>29</v>
      </c>
      <c r="E17" s="60">
        <f>VLOOKUP("TRC_PRESENT", Config!$A$4:$E$50, HLOOKUP(C$1, Config!$C$2:$AA$3, 2, FALSE)+2,FALSE)*32</f>
        <v>32</v>
      </c>
      <c r="F17" s="38" t="str">
        <f>CONCATENATE("0x",DEC2HEX(HEX2DEC(SUBSTITUTE(F16,"0x",""))+E16/8))</f>
        <v>0x2010</v>
      </c>
      <c r="G17" s="17" t="s">
        <v>38</v>
      </c>
      <c r="H17" s="17" t="str">
        <f>CONCATENATE("0x", DEC2HEX(
 _xlfn.BITLSHIFT(1, Group1!C97)*Group1!G97*Group1!L97
+_xlfn.BITLSHIFT(1, Group1!C98)*Group1!G98*Group1!L98
+_xlfn.BITLSHIFT(1, Group1!C99)*Group1!G99*Group1!L99
+_xlfn.BITLSHIFT(1, Group1!C100)*Group1!G100*Group1!L100, 8))</f>
        <v>0x00000000</v>
      </c>
      <c r="I17" s="17" t="str">
        <f>CONCATENATE("0x", DEC2HEX(
 _xlfn.BITLSHIFT(1, Group1!C97)*Group1!H97*Group1!L97
+_xlfn.BITLSHIFT(1, Group1!C98)*Group1!H98*Group1!L98
+_xlfn.BITLSHIFT(1, Group1!C99)*Group1!H99*Group1!L99
+_xlfn.BITLSHIFT(1, Group1!C100)*Group1!H100*Group1!L100, 8))</f>
        <v>0x00000000</v>
      </c>
      <c r="J17" s="133"/>
      <c r="K17" s="120"/>
      <c r="L17" s="139"/>
      <c r="M17" s="151"/>
    </row>
    <row r="18" spans="1:13" x14ac:dyDescent="0.25">
      <c r="A18" s="129"/>
      <c r="B18" s="53" t="s">
        <v>39</v>
      </c>
      <c r="C18" s="132"/>
      <c r="D18" s="68" t="s">
        <v>29</v>
      </c>
      <c r="E18" s="60">
        <f>VLOOKUP("INCLUDE_MROM", Config!$A$4:$E$50, HLOOKUP(C$1, Config!$C$2:$AA$3, 2, FALSE)+2,FALSE)*32</f>
        <v>0</v>
      </c>
      <c r="F18" s="38" t="str">
        <f>CONCATENATE("0x",DEC2HEX(HEX2DEC(SUBSTITUTE(F17,"0x",""))+E17/8))</f>
        <v>0x2014</v>
      </c>
      <c r="G18" s="17" t="s">
        <v>40</v>
      </c>
      <c r="H18" s="17" t="str">
        <f>CONCATENATE("0x", DEC2HEX(
 _xlfn.BITLSHIFT(1, Group1!C101)*Group1!G101*Group1!L101
+_xlfn.BITLSHIFT(1, Group1!C102)*Group1!G102*Group1!L102
+_xlfn.BITLSHIFT(1, Group1!C103)*Group1!G103*Group1!L103
+_xlfn.BITLSHIFT(1, Group1!C104)*Group1!G104*Group1!L104, 8))</f>
        <v>0x00000000</v>
      </c>
      <c r="I18" s="17" t="str">
        <f>CONCATENATE("0x", DEC2HEX(
 _xlfn.BITLSHIFT(1, Group1!C101)*Group1!H101*Group1!L101
+_xlfn.BITLSHIFT(1, Group1!C102)*Group1!H102*Group1!L102
+_xlfn.BITLSHIFT(1, Group1!C103)*Group1!H103*Group1!L103
+_xlfn.BITLSHIFT(1, Group1!C104)*Group1!H104*Group1!L104, 8))</f>
        <v>0x00000000</v>
      </c>
      <c r="J18" s="133"/>
      <c r="K18" s="120"/>
      <c r="L18" s="139"/>
      <c r="M18" s="151"/>
    </row>
    <row r="19" spans="1:13" x14ac:dyDescent="0.25">
      <c r="A19" s="129"/>
      <c r="B19" s="56" t="s">
        <v>296</v>
      </c>
      <c r="C19" s="132"/>
      <c r="D19" s="68" t="s">
        <v>29</v>
      </c>
      <c r="E19" s="60">
        <f>VLOOKUP("ROM_INT_FUSE_PULL", Config!$A$4:$E$50, HLOOKUP(C$1, Config!$C$2:$AA$3, 2, FALSE)+2,FALSE)*32</f>
        <v>0</v>
      </c>
      <c r="F19" s="38" t="s">
        <v>467</v>
      </c>
      <c r="G19" s="7" t="s">
        <v>471</v>
      </c>
      <c r="H19" s="7" t="str">
        <f>CONCATENATE("0x", DEC2HEX(
 _xlfn.BITLSHIFT(1, Group1!C91)*Group1!G91*Group1!L91
+_xlfn.BITLSHIFT(1, Group1!C92)*Group1!G92*Group1!L92
+_xlfn.BITLSHIFT(1, Group1!C93)*Group1!G93*Group1!L93, 8))</f>
        <v>0x00000000</v>
      </c>
      <c r="I19" s="7" t="str">
        <f>CONCATENATE("0x", DEC2HEX(
 _xlfn.BITLSHIFT(1, Group1!C91)*Group1!H91*Group1!L91
+_xlfn.BITLSHIFT(1, Group1!C92)*Group1!H92*Group1!L92
+_xlfn.BITLSHIFT(1, Group1!C93)*Group1!H93*Group1!L93, 8))</f>
        <v>0x00000000</v>
      </c>
      <c r="J19" s="133"/>
      <c r="K19" s="120"/>
      <c r="L19" s="139"/>
      <c r="M19" s="151"/>
    </row>
    <row r="20" spans="1:13" x14ac:dyDescent="0.25">
      <c r="A20" s="129"/>
      <c r="B20" s="56" t="s">
        <v>300</v>
      </c>
      <c r="C20" s="132"/>
      <c r="D20" s="68" t="s">
        <v>29</v>
      </c>
      <c r="E20" s="60">
        <f>VLOOKUP("RF_FUSE_INT_PULL", Config!$A$4:$E$50, HLOOKUP(C$1, Config!$C$2:$AA$3, 2, FALSE)+2,FALSE)*32</f>
        <v>0</v>
      </c>
      <c r="F20" s="38" t="s">
        <v>468</v>
      </c>
      <c r="G20" s="7" t="s">
        <v>472</v>
      </c>
      <c r="H20" s="7" t="str">
        <f>CONCATENATE("0x", DEC2HEX(
 _xlfn.BITLSHIFT(1, Group1!C94)*Group1!G94*Group1!L94, 8))</f>
        <v>0x00000000</v>
      </c>
      <c r="I20" s="7" t="str">
        <f>CONCATENATE("0x", DEC2HEX(
 _xlfn.BITLSHIFT(1, Group1!C94)*Group1!H94*Group1!L94, 8))</f>
        <v>0x00000000</v>
      </c>
      <c r="J20" s="133"/>
      <c r="K20" s="120"/>
      <c r="L20" s="139"/>
      <c r="M20" s="151"/>
    </row>
    <row r="21" spans="1:13" x14ac:dyDescent="0.25">
      <c r="A21" s="129"/>
      <c r="B21" s="56" t="s">
        <v>301</v>
      </c>
      <c r="C21" s="132"/>
      <c r="D21" s="68" t="s">
        <v>29</v>
      </c>
      <c r="E21" s="60">
        <f>VLOOKUP("RF_FUSE_INT_PULL", Config!$A$4:$E$50, HLOOKUP(C$1, Config!$C$2:$AA$3, 2, FALSE)+2,FALSE)*32</f>
        <v>0</v>
      </c>
      <c r="F21" s="38" t="s">
        <v>469</v>
      </c>
      <c r="G21" s="7" t="s">
        <v>473</v>
      </c>
      <c r="H21" s="7" t="str">
        <f>CONCATENATE("0x", DEC2HEX(
 _xlfn.BITLSHIFT(1, Group1!C95)*Group1!G95*Group1!L95, 8))</f>
        <v>0x00000000</v>
      </c>
      <c r="I21" s="7" t="str">
        <f>CONCATENATE("0x", DEC2HEX(
 _xlfn.BITLSHIFT(1, Group1!C95)*Group1!H95*Group1!L95, 8))</f>
        <v>0x00000000</v>
      </c>
      <c r="J21" s="133"/>
      <c r="K21" s="120"/>
      <c r="L21" s="139"/>
      <c r="M21" s="151"/>
    </row>
    <row r="22" spans="1:13" x14ac:dyDescent="0.25">
      <c r="A22" s="129"/>
      <c r="B22" s="56" t="s">
        <v>302</v>
      </c>
      <c r="C22" s="132"/>
      <c r="D22" s="68" t="s">
        <v>29</v>
      </c>
      <c r="E22" s="60">
        <f>VLOOKUP("RF_FUSE_INT_PULL", Config!$A$4:$E$50, HLOOKUP(C$1, Config!$C$2:$AA$3, 2, FALSE)+2,FALSE)*32</f>
        <v>0</v>
      </c>
      <c r="F22" s="38" t="s">
        <v>470</v>
      </c>
      <c r="G22" s="7" t="s">
        <v>474</v>
      </c>
      <c r="H22" s="7" t="str">
        <f>CONCATENATE("0x", DEC2HEX(
 _xlfn.BITLSHIFT(1, Group1!C96)*Group1!G96*Group1!L96, 8))</f>
        <v>0x00000000</v>
      </c>
      <c r="I22" s="7" t="str">
        <f>CONCATENATE("0x", DEC2HEX(
 _xlfn.BITLSHIFT(1, Group1!C96)*Group1!H96*Group1!L96, 8))</f>
        <v>0x00000000</v>
      </c>
      <c r="J22" s="133"/>
      <c r="K22" s="120"/>
      <c r="L22" s="139"/>
      <c r="M22" s="151"/>
    </row>
    <row r="23" spans="1:13" x14ac:dyDescent="0.25">
      <c r="A23" s="129"/>
      <c r="B23" s="53" t="s">
        <v>41</v>
      </c>
      <c r="C23" s="132"/>
      <c r="D23" s="68" t="s">
        <v>29</v>
      </c>
      <c r="E23" s="62">
        <v>32</v>
      </c>
      <c r="F23" s="38" t="s">
        <v>42</v>
      </c>
      <c r="G23" s="17" t="s">
        <v>43</v>
      </c>
      <c r="H23" s="17" t="str">
        <f>CONCATENATE("0x", DEC2HEX(
 _xlfn.BITLSHIFT(1, Group1!C105)*Group1!G105*Group1!L105
+_xlfn.BITLSHIFT(1, Group1!C106)*Group1!G106*Group1!L106
+_xlfn.BITLSHIFT(1, Group1!C107)*Group1!G107*Group1!L107
+_xlfn.BITLSHIFT(1, Group1!C108)*Group1!G108*Group1!L108, 8))</f>
        <v>0x00000000</v>
      </c>
      <c r="I23" s="17" t="str">
        <f>CONCATENATE("0x", DEC2HEX(
 _xlfn.BITLSHIFT(1, Group1!C105)*Group1!H105*Group1!L105
+_xlfn.BITLSHIFT(1, Group1!C106)*Group1!H106*Group1!L106
+_xlfn.BITLSHIFT(1, Group1!C107)*Group1!H107*Group1!L107
+_xlfn.BITLSHIFT(1, Group1!C108)*Group1!H108*Group1!L108, 8))</f>
        <v>0x0A000000</v>
      </c>
      <c r="J23" s="133"/>
      <c r="K23" s="120"/>
      <c r="L23" s="140"/>
      <c r="M23" s="152"/>
    </row>
    <row r="24" spans="1:13" x14ac:dyDescent="0.25">
      <c r="A24" s="128" t="s">
        <v>44</v>
      </c>
      <c r="B24" s="53" t="s">
        <v>45</v>
      </c>
      <c r="C24" s="132" t="s">
        <v>46</v>
      </c>
      <c r="D24" s="68" t="s">
        <v>47</v>
      </c>
      <c r="E24" s="62">
        <v>32</v>
      </c>
      <c r="F24" s="38" t="s">
        <v>48</v>
      </c>
      <c r="G24" s="17" t="s">
        <v>49</v>
      </c>
      <c r="H24" s="17" t="s">
        <v>57</v>
      </c>
      <c r="I24" s="17" t="s">
        <v>57</v>
      </c>
      <c r="J24" s="133" t="s">
        <v>456</v>
      </c>
      <c r="K24" s="120"/>
      <c r="L24" s="126" t="s">
        <v>522</v>
      </c>
      <c r="M24" s="116">
        <f>2</f>
        <v>2</v>
      </c>
    </row>
    <row r="25" spans="1:13" x14ac:dyDescent="0.25">
      <c r="A25" s="130"/>
      <c r="B25" s="53" t="s">
        <v>50</v>
      </c>
      <c r="C25" s="132"/>
      <c r="D25" s="68" t="s">
        <v>47</v>
      </c>
      <c r="E25" s="62">
        <v>32</v>
      </c>
      <c r="F25" s="38" t="s">
        <v>51</v>
      </c>
      <c r="G25" s="17" t="s">
        <v>52</v>
      </c>
      <c r="H25" s="17" t="s">
        <v>57</v>
      </c>
      <c r="I25" s="17" t="s">
        <v>57</v>
      </c>
      <c r="J25" s="120"/>
      <c r="K25" s="120"/>
      <c r="L25" s="140"/>
      <c r="M25" s="152"/>
    </row>
    <row r="26" spans="1:13" x14ac:dyDescent="0.25">
      <c r="A26" s="128" t="s">
        <v>53</v>
      </c>
      <c r="B26" s="53" t="s">
        <v>54</v>
      </c>
      <c r="C26" s="132" t="s">
        <v>55</v>
      </c>
      <c r="D26" s="68" t="s">
        <v>56</v>
      </c>
      <c r="E26" s="62">
        <v>32</v>
      </c>
      <c r="F26" s="38" t="s">
        <v>57</v>
      </c>
      <c r="G26" s="17" t="s">
        <v>58</v>
      </c>
      <c r="H26" s="17" t="s">
        <v>57</v>
      </c>
      <c r="I26" s="17" t="s">
        <v>57</v>
      </c>
      <c r="J26" s="120" t="s">
        <v>457</v>
      </c>
      <c r="K26" s="148" t="s">
        <v>57</v>
      </c>
      <c r="L26" s="126" t="s">
        <v>57</v>
      </c>
      <c r="M26" s="116" t="s">
        <v>57</v>
      </c>
    </row>
    <row r="27" spans="1:13" x14ac:dyDescent="0.25">
      <c r="A27" s="129"/>
      <c r="B27" s="53" t="s">
        <v>59</v>
      </c>
      <c r="C27" s="132"/>
      <c r="D27" s="68" t="s">
        <v>56</v>
      </c>
      <c r="E27" s="62">
        <v>32</v>
      </c>
      <c r="F27" s="38" t="s">
        <v>57</v>
      </c>
      <c r="G27" s="17" t="s">
        <v>60</v>
      </c>
      <c r="H27" s="17" t="s">
        <v>57</v>
      </c>
      <c r="I27" s="17" t="s">
        <v>57</v>
      </c>
      <c r="J27" s="120"/>
      <c r="K27" s="148"/>
      <c r="L27" s="139"/>
      <c r="M27" s="151"/>
    </row>
    <row r="28" spans="1:13" ht="15.75" thickBot="1" x14ac:dyDescent="0.3">
      <c r="A28" s="130"/>
      <c r="B28" s="57" t="s">
        <v>61</v>
      </c>
      <c r="C28" s="141"/>
      <c r="D28" s="69" t="s">
        <v>56</v>
      </c>
      <c r="E28" s="63">
        <v>32</v>
      </c>
      <c r="F28" s="41" t="s">
        <v>57</v>
      </c>
      <c r="G28" s="39" t="s">
        <v>62</v>
      </c>
      <c r="H28" s="39" t="s">
        <v>57</v>
      </c>
      <c r="I28" s="39" t="s">
        <v>57</v>
      </c>
      <c r="J28" s="122"/>
      <c r="K28" s="149"/>
      <c r="L28" s="154"/>
      <c r="M28" s="153"/>
    </row>
    <row r="29" spans="1:13" ht="15.75" thickBot="1" x14ac:dyDescent="0.3">
      <c r="A29" s="19"/>
    </row>
    <row r="30" spans="1:13" x14ac:dyDescent="0.25">
      <c r="A30" s="118" t="s">
        <v>63</v>
      </c>
      <c r="B30" s="70" t="s">
        <v>64</v>
      </c>
      <c r="C30" s="70"/>
      <c r="D30" s="71" t="s">
        <v>65</v>
      </c>
      <c r="E30" s="76">
        <v>512</v>
      </c>
      <c r="F30" s="42" t="s">
        <v>66</v>
      </c>
      <c r="G30" s="43" t="s">
        <v>57</v>
      </c>
      <c r="H30" s="43" t="s">
        <v>57</v>
      </c>
      <c r="I30" s="43" t="s">
        <v>57</v>
      </c>
      <c r="J30" s="44" t="s">
        <v>57</v>
      </c>
      <c r="K30" s="123" t="s">
        <v>57</v>
      </c>
      <c r="L30" s="142" t="s">
        <v>57</v>
      </c>
      <c r="M30" s="145" t="s">
        <v>57</v>
      </c>
    </row>
    <row r="31" spans="1:13" ht="15" customHeight="1" x14ac:dyDescent="0.25">
      <c r="A31" s="118"/>
      <c r="B31" s="67" t="s">
        <v>67</v>
      </c>
      <c r="C31" s="67" t="s">
        <v>18</v>
      </c>
      <c r="D31" s="68" t="s">
        <v>65</v>
      </c>
      <c r="E31" s="77">
        <f>VLOOKUP("TRC_PRESENT", Config!$A$4:$E$50, HLOOKUP(C$1, Config!$C$2:$AA$3, 2, FALSE)+2,FALSE)*32</f>
        <v>32</v>
      </c>
      <c r="F31" s="38" t="s">
        <v>68</v>
      </c>
      <c r="G31" s="17" t="s">
        <v>69</v>
      </c>
      <c r="H31" s="17" t="s">
        <v>480</v>
      </c>
      <c r="I31" s="17" t="s">
        <v>480</v>
      </c>
      <c r="J31" s="133" t="s">
        <v>455</v>
      </c>
      <c r="K31" s="120"/>
      <c r="L31" s="143"/>
      <c r="M31" s="146"/>
    </row>
    <row r="32" spans="1:13" x14ac:dyDescent="0.25">
      <c r="A32" s="118"/>
      <c r="B32" s="67" t="s">
        <v>70</v>
      </c>
      <c r="C32" s="67" t="s">
        <v>18</v>
      </c>
      <c r="D32" s="68" t="s">
        <v>65</v>
      </c>
      <c r="E32" s="77">
        <f>VLOOKUP("TRC_PRESENT", Config!$A$4:$E$50, HLOOKUP(C$1, Config!$C$2:$AA$3, 2, FALSE)+2,FALSE)*32</f>
        <v>32</v>
      </c>
      <c r="F32" s="38" t="s">
        <v>71</v>
      </c>
      <c r="G32" s="17" t="s">
        <v>72</v>
      </c>
      <c r="H32" s="17" t="s">
        <v>480</v>
      </c>
      <c r="I32" s="17" t="s">
        <v>480</v>
      </c>
      <c r="J32" s="133"/>
      <c r="K32" s="120"/>
      <c r="L32" s="143"/>
      <c r="M32" s="146"/>
    </row>
    <row r="33" spans="1:13" x14ac:dyDescent="0.25">
      <c r="A33" s="118"/>
      <c r="B33" s="67" t="s">
        <v>445</v>
      </c>
      <c r="C33" s="67" t="s">
        <v>661</v>
      </c>
      <c r="D33" s="68" t="s">
        <v>65</v>
      </c>
      <c r="E33" s="77">
        <f>IF(VLOOKUP("PARAM_INT_IFP_TRIPLE_RDD_DIS", Config!$A$4:$E$61, HLOOKUP(C$1, Config!$C$2:$AA$3, 2, FALSE)+2,FALSE)=0, VLOOKUP("OEM_SECRET_KEY_FUSES_LIMIT", Config!$A$4:$E$61, HLOOKUP(C$1, Config!$C$2:$AA$3, 2, FALSE)+2,FALSE)*32, 0)</f>
        <v>0</v>
      </c>
      <c r="F33" s="38" t="s">
        <v>499</v>
      </c>
      <c r="G33" s="17" t="s">
        <v>500</v>
      </c>
      <c r="H33" s="17" t="s">
        <v>480</v>
      </c>
      <c r="I33" s="17" t="s">
        <v>480</v>
      </c>
      <c r="J33" s="133"/>
      <c r="K33" s="120"/>
      <c r="L33" s="143"/>
      <c r="M33" s="146"/>
    </row>
    <row r="34" spans="1:13" x14ac:dyDescent="0.25">
      <c r="A34" s="118"/>
      <c r="B34" s="72" t="s">
        <v>73</v>
      </c>
      <c r="C34" s="72"/>
      <c r="D34" s="73" t="s">
        <v>65</v>
      </c>
      <c r="E34" s="78">
        <v>2048</v>
      </c>
      <c r="F34" s="45" t="s">
        <v>74</v>
      </c>
      <c r="G34" s="2" t="s">
        <v>57</v>
      </c>
      <c r="H34" s="35" t="s">
        <v>57</v>
      </c>
      <c r="I34" s="2" t="s">
        <v>57</v>
      </c>
      <c r="J34" s="35" t="s">
        <v>57</v>
      </c>
      <c r="K34" s="120"/>
      <c r="L34" s="143"/>
      <c r="M34" s="146"/>
    </row>
    <row r="35" spans="1:13" x14ac:dyDescent="0.25">
      <c r="A35" s="118"/>
      <c r="B35" s="72" t="s">
        <v>64</v>
      </c>
      <c r="C35" s="72"/>
      <c r="D35" s="73" t="s">
        <v>497</v>
      </c>
      <c r="E35" s="78">
        <v>512</v>
      </c>
      <c r="F35" s="45" t="s">
        <v>514</v>
      </c>
      <c r="G35" s="2" t="s">
        <v>57</v>
      </c>
      <c r="H35" s="2" t="s">
        <v>57</v>
      </c>
      <c r="I35" s="2" t="s">
        <v>57</v>
      </c>
      <c r="J35" s="35" t="s">
        <v>57</v>
      </c>
      <c r="K35" s="120"/>
      <c r="L35" s="143"/>
      <c r="M35" s="146"/>
    </row>
    <row r="36" spans="1:13" ht="15" customHeight="1" x14ac:dyDescent="0.25">
      <c r="A36" s="118"/>
      <c r="B36" s="67" t="s">
        <v>440</v>
      </c>
      <c r="C36" s="67" t="s">
        <v>18</v>
      </c>
      <c r="D36" s="68" t="s">
        <v>497</v>
      </c>
      <c r="E36" s="77">
        <f>IF(VLOOKUP("PARAM_INT_IFP_TRIPLE_RDD_DIS", Config!$A$4:$E$61, HLOOKUP(C$1, Config!$C$2:$AA$3, 2, FALSE)+2,FALSE)=0, VLOOKUP("TRC_PRESENT", Config!$A$4:$E$61, HLOOKUP(C$1, Config!$C$2:$AA$3, 2, FALSE)+2,FALSE)*32, 0)</f>
        <v>0</v>
      </c>
      <c r="F36" s="38" t="s">
        <v>509</v>
      </c>
      <c r="G36" s="17" t="s">
        <v>501</v>
      </c>
      <c r="H36" s="17" t="s">
        <v>480</v>
      </c>
      <c r="I36" s="17" t="s">
        <v>480</v>
      </c>
      <c r="J36" s="133" t="s">
        <v>455</v>
      </c>
      <c r="K36" s="120"/>
      <c r="L36" s="143"/>
      <c r="M36" s="146"/>
    </row>
    <row r="37" spans="1:13" x14ac:dyDescent="0.25">
      <c r="A37" s="118"/>
      <c r="B37" s="67" t="s">
        <v>495</v>
      </c>
      <c r="C37" s="67" t="s">
        <v>18</v>
      </c>
      <c r="D37" s="68" t="s">
        <v>497</v>
      </c>
      <c r="E37" s="77">
        <f>IF(VLOOKUP("PARAM_INT_IFP_TRIPLE_RDD_DIS", Config!$A$4:$E$61, HLOOKUP(C$1, Config!$C$2:$AA$3, 2, FALSE)+2,FALSE)=0, VLOOKUP("TRC_PRESENT", Config!$A$4:$E$61, HLOOKUP(C$1, Config!$C$2:$AA$3, 2, FALSE)+2,FALSE)*32, 0)</f>
        <v>0</v>
      </c>
      <c r="F37" s="38" t="s">
        <v>512</v>
      </c>
      <c r="G37" s="17" t="s">
        <v>502</v>
      </c>
      <c r="H37" s="17" t="s">
        <v>480</v>
      </c>
      <c r="I37" s="17" t="s">
        <v>480</v>
      </c>
      <c r="J37" s="133"/>
      <c r="K37" s="120"/>
      <c r="L37" s="143"/>
      <c r="M37" s="146"/>
    </row>
    <row r="38" spans="1:13" x14ac:dyDescent="0.25">
      <c r="A38" s="118"/>
      <c r="B38" s="67" t="s">
        <v>448</v>
      </c>
      <c r="C38" s="67" t="s">
        <v>661</v>
      </c>
      <c r="D38" s="68" t="s">
        <v>497</v>
      </c>
      <c r="E38" s="77">
        <f>IF(VLOOKUP("PARAM_INT_IFP_TRIPLE_RDD_DIS", Config!$A$4:$E$61, HLOOKUP(C$1, Config!$C$2:$AA$3, 2, FALSE)+2,FALSE)=0, VLOOKUP("OEM_SECRET_KEY_FUSES_LIMIT", Config!$A$4:$E$61, HLOOKUP(C$1, Config!$C$2:$AA$3, 2, FALSE)+2,FALSE)*32, 0)</f>
        <v>0</v>
      </c>
      <c r="F38" s="38" t="s">
        <v>507</v>
      </c>
      <c r="G38" s="17" t="s">
        <v>505</v>
      </c>
      <c r="H38" s="17" t="s">
        <v>480</v>
      </c>
      <c r="I38" s="17" t="s">
        <v>480</v>
      </c>
      <c r="J38" s="133"/>
      <c r="K38" s="120"/>
      <c r="L38" s="143"/>
      <c r="M38" s="146"/>
    </row>
    <row r="39" spans="1:13" x14ac:dyDescent="0.25">
      <c r="A39" s="118"/>
      <c r="B39" s="72" t="s">
        <v>73</v>
      </c>
      <c r="C39" s="72"/>
      <c r="D39" s="73" t="s">
        <v>497</v>
      </c>
      <c r="E39" s="78">
        <v>2048</v>
      </c>
      <c r="F39" s="45" t="s">
        <v>513</v>
      </c>
      <c r="G39" s="2" t="s">
        <v>57</v>
      </c>
      <c r="H39" s="35" t="s">
        <v>57</v>
      </c>
      <c r="I39" s="2" t="s">
        <v>57</v>
      </c>
      <c r="J39" s="35" t="s">
        <v>57</v>
      </c>
      <c r="K39" s="120"/>
      <c r="L39" s="143"/>
      <c r="M39" s="146"/>
    </row>
    <row r="40" spans="1:13" x14ac:dyDescent="0.25">
      <c r="A40" s="118"/>
      <c r="B40" s="72" t="s">
        <v>64</v>
      </c>
      <c r="C40" s="72"/>
      <c r="D40" s="73" t="s">
        <v>498</v>
      </c>
      <c r="E40" s="78">
        <v>512</v>
      </c>
      <c r="F40" s="45" t="s">
        <v>515</v>
      </c>
      <c r="G40" s="2" t="s">
        <v>57</v>
      </c>
      <c r="H40" s="2" t="s">
        <v>57</v>
      </c>
      <c r="I40" s="2" t="s">
        <v>57</v>
      </c>
      <c r="J40" s="35" t="s">
        <v>57</v>
      </c>
      <c r="K40" s="120"/>
      <c r="L40" s="143"/>
      <c r="M40" s="146"/>
    </row>
    <row r="41" spans="1:13" ht="15" customHeight="1" x14ac:dyDescent="0.25">
      <c r="A41" s="118"/>
      <c r="B41" s="67" t="s">
        <v>443</v>
      </c>
      <c r="C41" s="67" t="s">
        <v>18</v>
      </c>
      <c r="D41" s="68" t="s">
        <v>498</v>
      </c>
      <c r="E41" s="77">
        <f>IF(VLOOKUP("PARAM_INT_IFP_TRIPLE_RDD_DIS", Config!$A$4:$E$61, HLOOKUP(C$1, Config!$C$2:$AA$3, 2, FALSE)+2,FALSE)=0, VLOOKUP("TRC_PRESENT", Config!$A$4:$E$61, HLOOKUP(C$1, Config!$C$2:$AA$3, 2, FALSE)+2,FALSE)*32, 0)</f>
        <v>0</v>
      </c>
      <c r="F41" s="38" t="s">
        <v>511</v>
      </c>
      <c r="G41" s="17" t="s">
        <v>503</v>
      </c>
      <c r="H41" s="17" t="s">
        <v>480</v>
      </c>
      <c r="I41" s="17" t="s">
        <v>480</v>
      </c>
      <c r="J41" s="133" t="s">
        <v>455</v>
      </c>
      <c r="K41" s="120"/>
      <c r="L41" s="143"/>
      <c r="M41" s="146"/>
    </row>
    <row r="42" spans="1:13" x14ac:dyDescent="0.25">
      <c r="A42" s="118"/>
      <c r="B42" s="67" t="s">
        <v>496</v>
      </c>
      <c r="C42" s="67" t="s">
        <v>18</v>
      </c>
      <c r="D42" s="68" t="s">
        <v>498</v>
      </c>
      <c r="E42" s="77">
        <f>IF(VLOOKUP("PARAM_INT_IFP_TRIPLE_RDD_DIS", Config!$A$4:$E$61, HLOOKUP(C$1, Config!$C$2:$AA$3, 2, FALSE)+2,FALSE)=0, VLOOKUP("TRC_PRESENT", Config!$A$4:$E$61, HLOOKUP(C$1, Config!$C$2:$AA$3, 2, FALSE)+2,FALSE)*32, 0)</f>
        <v>0</v>
      </c>
      <c r="F42" s="38" t="s">
        <v>510</v>
      </c>
      <c r="G42" s="17" t="s">
        <v>504</v>
      </c>
      <c r="H42" s="17" t="s">
        <v>480</v>
      </c>
      <c r="I42" s="17" t="s">
        <v>480</v>
      </c>
      <c r="J42" s="133"/>
      <c r="K42" s="120"/>
      <c r="L42" s="143"/>
      <c r="M42" s="146"/>
    </row>
    <row r="43" spans="1:13" x14ac:dyDescent="0.25">
      <c r="A43" s="118"/>
      <c r="B43" s="67" t="s">
        <v>451</v>
      </c>
      <c r="C43" s="67" t="s">
        <v>661</v>
      </c>
      <c r="D43" s="68" t="s">
        <v>498</v>
      </c>
      <c r="E43" s="77">
        <f>IF(VLOOKUP("PARAM_INT_IFP_TRIPLE_RDD_DIS", Config!$A$4:$E$61, HLOOKUP(C$1, Config!$C$2:$AA$3, 2, FALSE)+2,FALSE)=0, VLOOKUP("OEM_SECRET_KEY_FUSES_LIMIT", Config!$A$4:$E$61, HLOOKUP(C$1, Config!$C$2:$AA$3, 2, FALSE)+2,FALSE)*32, 0)</f>
        <v>0</v>
      </c>
      <c r="F43" s="38" t="s">
        <v>508</v>
      </c>
      <c r="G43" s="17" t="s">
        <v>506</v>
      </c>
      <c r="H43" s="17" t="s">
        <v>480</v>
      </c>
      <c r="I43" s="17" t="s">
        <v>480</v>
      </c>
      <c r="J43" s="133"/>
      <c r="K43" s="120"/>
      <c r="L43" s="143"/>
      <c r="M43" s="146"/>
    </row>
    <row r="44" spans="1:13" ht="15.75" thickBot="1" x14ac:dyDescent="0.3">
      <c r="A44" s="118"/>
      <c r="B44" s="74" t="s">
        <v>73</v>
      </c>
      <c r="C44" s="74"/>
      <c r="D44" s="75" t="s">
        <v>498</v>
      </c>
      <c r="E44" s="79">
        <v>2048</v>
      </c>
      <c r="F44" s="50" t="s">
        <v>516</v>
      </c>
      <c r="G44" s="80" t="s">
        <v>57</v>
      </c>
      <c r="H44" s="81" t="s">
        <v>57</v>
      </c>
      <c r="I44" s="80" t="s">
        <v>57</v>
      </c>
      <c r="J44" s="81" t="s">
        <v>57</v>
      </c>
      <c r="K44" s="122"/>
      <c r="L44" s="144"/>
      <c r="M44" s="147"/>
    </row>
    <row r="45" spans="1:13" ht="15" customHeight="1" x14ac:dyDescent="0.25">
      <c r="C45" s="16" t="s">
        <v>81</v>
      </c>
    </row>
    <row r="46" spans="1:13" ht="15" customHeight="1" x14ac:dyDescent="0.25">
      <c r="C46" s="16" t="s">
        <v>82</v>
      </c>
    </row>
    <row r="47" spans="1:13" ht="15" customHeight="1" x14ac:dyDescent="0.25">
      <c r="C47" s="16" t="s">
        <v>83</v>
      </c>
    </row>
    <row r="48" spans="1:13" ht="15" customHeight="1" x14ac:dyDescent="0.25"/>
  </sheetData>
  <mergeCells count="34">
    <mergeCell ref="M13:M23"/>
    <mergeCell ref="M24:M25"/>
    <mergeCell ref="M26:M28"/>
    <mergeCell ref="M30:M44"/>
    <mergeCell ref="J31:J33"/>
    <mergeCell ref="J36:J38"/>
    <mergeCell ref="J41:J43"/>
    <mergeCell ref="L30:L44"/>
    <mergeCell ref="L13:L23"/>
    <mergeCell ref="L24:L25"/>
    <mergeCell ref="L26:L28"/>
    <mergeCell ref="C26:C28"/>
    <mergeCell ref="J26:J28"/>
    <mergeCell ref="K26:K28"/>
    <mergeCell ref="A30:A44"/>
    <mergeCell ref="K30:K44"/>
    <mergeCell ref="A26:A28"/>
    <mergeCell ref="A13:A23"/>
    <mergeCell ref="C13:C23"/>
    <mergeCell ref="J13:J23"/>
    <mergeCell ref="K13:K25"/>
    <mergeCell ref="A24:A25"/>
    <mergeCell ref="C24:C25"/>
    <mergeCell ref="J24:J25"/>
    <mergeCell ref="A3:A7"/>
    <mergeCell ref="J3:J7"/>
    <mergeCell ref="K3:K7"/>
    <mergeCell ref="L3:L7"/>
    <mergeCell ref="M3:M7"/>
    <mergeCell ref="J8:J12"/>
    <mergeCell ref="K8:K12"/>
    <mergeCell ref="L8:L12"/>
    <mergeCell ref="M8:M12"/>
    <mergeCell ref="A9:A12"/>
  </mergeCells>
  <conditionalFormatting sqref="H3:H5 H7:H10 H12">
    <cfRule type="cellIs" dxfId="127" priority="67" operator="equal">
      <formula>0</formula>
    </cfRule>
  </conditionalFormatting>
  <conditionalFormatting sqref="E18">
    <cfRule type="cellIs" dxfId="126" priority="47" operator="equal">
      <formula>0</formula>
    </cfRule>
  </conditionalFormatting>
  <conditionalFormatting sqref="E19">
    <cfRule type="cellIs" dxfId="125" priority="46" operator="equal">
      <formula>0</formula>
    </cfRule>
  </conditionalFormatting>
  <conditionalFormatting sqref="E20">
    <cfRule type="cellIs" dxfId="124" priority="45" operator="equal">
      <formula>0</formula>
    </cfRule>
  </conditionalFormatting>
  <conditionalFormatting sqref="E22">
    <cfRule type="cellIs" dxfId="123" priority="43" operator="equal">
      <formula>0</formula>
    </cfRule>
  </conditionalFormatting>
  <conditionalFormatting sqref="F19:I19">
    <cfRule type="cellIs" dxfId="122" priority="59" operator="equal">
      <formula>0</formula>
    </cfRule>
  </conditionalFormatting>
  <conditionalFormatting sqref="I3:I5 I7:I10 I12">
    <cfRule type="cellIs" dxfId="121" priority="58" operator="equal">
      <formula>0</formula>
    </cfRule>
  </conditionalFormatting>
  <conditionalFormatting sqref="E36">
    <cfRule type="cellIs" dxfId="120" priority="36" operator="equal">
      <formula>0</formula>
    </cfRule>
  </conditionalFormatting>
  <conditionalFormatting sqref="H24:H28 H30">
    <cfRule type="cellIs" dxfId="119" priority="57" operator="equal">
      <formula>0</formula>
    </cfRule>
  </conditionalFormatting>
  <conditionalFormatting sqref="I24:I28 I30">
    <cfRule type="cellIs" dxfId="118" priority="56" operator="equal">
      <formula>0</formula>
    </cfRule>
  </conditionalFormatting>
  <conditionalFormatting sqref="E37">
    <cfRule type="cellIs" dxfId="117" priority="35" operator="equal">
      <formula>0</formula>
    </cfRule>
  </conditionalFormatting>
  <conditionalFormatting sqref="E41">
    <cfRule type="cellIs" dxfId="116" priority="34" operator="equal">
      <formula>0</formula>
    </cfRule>
  </conditionalFormatting>
  <conditionalFormatting sqref="E42">
    <cfRule type="cellIs" dxfId="115" priority="33" operator="equal">
      <formula>0</formula>
    </cfRule>
  </conditionalFormatting>
  <conditionalFormatting sqref="E44">
    <cfRule type="cellIs" dxfId="114" priority="32" operator="equal">
      <formula>0</formula>
    </cfRule>
  </conditionalFormatting>
  <conditionalFormatting sqref="E39">
    <cfRule type="cellIs" dxfId="113" priority="31" operator="equal">
      <formula>0</formula>
    </cfRule>
  </conditionalFormatting>
  <conditionalFormatting sqref="E33">
    <cfRule type="cellIs" dxfId="112" priority="30" operator="equal">
      <formula>0</formula>
    </cfRule>
  </conditionalFormatting>
  <conditionalFormatting sqref="E17">
    <cfRule type="cellIs" dxfId="111" priority="48" operator="equal">
      <formula>0</formula>
    </cfRule>
  </conditionalFormatting>
  <conditionalFormatting sqref="E31">
    <cfRule type="cellIs" dxfId="110" priority="42" operator="equal">
      <formula>0</formula>
    </cfRule>
  </conditionalFormatting>
  <conditionalFormatting sqref="E21">
    <cfRule type="cellIs" dxfId="109" priority="44" operator="equal">
      <formula>0</formula>
    </cfRule>
  </conditionalFormatting>
  <conditionalFormatting sqref="E32 E34">
    <cfRule type="cellIs" dxfId="108" priority="41" operator="equal">
      <formula>0</formula>
    </cfRule>
  </conditionalFormatting>
  <conditionalFormatting sqref="H35">
    <cfRule type="cellIs" dxfId="107" priority="40" operator="equal">
      <formula>0</formula>
    </cfRule>
  </conditionalFormatting>
  <conditionalFormatting sqref="I35">
    <cfRule type="cellIs" dxfId="106" priority="39" operator="equal">
      <formula>0</formula>
    </cfRule>
  </conditionalFormatting>
  <conditionalFormatting sqref="H40">
    <cfRule type="cellIs" dxfId="105" priority="38" operator="equal">
      <formula>0</formula>
    </cfRule>
  </conditionalFormatting>
  <conditionalFormatting sqref="I40">
    <cfRule type="cellIs" dxfId="104" priority="37" operator="equal">
      <formula>0</formula>
    </cfRule>
  </conditionalFormatting>
  <conditionalFormatting sqref="E38">
    <cfRule type="cellIs" dxfId="103" priority="29" operator="equal">
      <formula>0</formula>
    </cfRule>
  </conditionalFormatting>
  <conditionalFormatting sqref="E43">
    <cfRule type="cellIs" dxfId="102" priority="28" operator="equal">
      <formula>0</formula>
    </cfRule>
  </conditionalFormatting>
  <conditionalFormatting sqref="H6">
    <cfRule type="cellIs" dxfId="101" priority="27" operator="equal">
      <formula>0</formula>
    </cfRule>
  </conditionalFormatting>
  <conditionalFormatting sqref="E9">
    <cfRule type="cellIs" dxfId="100" priority="7" operator="equal">
      <formula>0</formula>
    </cfRule>
  </conditionalFormatting>
  <conditionalFormatting sqref="I6">
    <cfRule type="cellIs" dxfId="99" priority="25" operator="equal">
      <formula>0</formula>
    </cfRule>
  </conditionalFormatting>
  <conditionalFormatting sqref="E12">
    <cfRule type="cellIs" dxfId="98" priority="5" operator="equal">
      <formula>0</formula>
    </cfRule>
  </conditionalFormatting>
  <conditionalFormatting sqref="B6:D6 F6:G6">
    <cfRule type="cellIs" dxfId="97" priority="4" operator="equal">
      <formula>0</formula>
    </cfRule>
  </conditionalFormatting>
  <conditionalFormatting sqref="H11">
    <cfRule type="cellIs" dxfId="96" priority="22" operator="equal">
      <formula>0</formula>
    </cfRule>
  </conditionalFormatting>
  <conditionalFormatting sqref="I11">
    <cfRule type="cellIs" dxfId="95" priority="21" operator="equal">
      <formula>0</formula>
    </cfRule>
  </conditionalFormatting>
  <conditionalFormatting sqref="E11">
    <cfRule type="cellIs" dxfId="94" priority="1" operator="equal">
      <formula>0</formula>
    </cfRule>
  </conditionalFormatting>
  <conditionalFormatting sqref="B3:G3">
    <cfRule type="cellIs" dxfId="93" priority="19" operator="equal">
      <formula>0</formula>
    </cfRule>
  </conditionalFormatting>
  <conditionalFormatting sqref="B4:D4 F4:G4">
    <cfRule type="cellIs" dxfId="92" priority="18" operator="equal">
      <formula>0</formula>
    </cfRule>
  </conditionalFormatting>
  <conditionalFormatting sqref="B5:D5 F5:G5">
    <cfRule type="cellIs" dxfId="91" priority="17" operator="equal">
      <formula>0</formula>
    </cfRule>
  </conditionalFormatting>
  <conditionalFormatting sqref="B7 F7:G7 D7">
    <cfRule type="cellIs" dxfId="90" priority="16" operator="equal">
      <formula>0</formula>
    </cfRule>
  </conditionalFormatting>
  <conditionalFormatting sqref="B8:D8 F8:G8">
    <cfRule type="cellIs" priority="15" operator="equal">
      <formula>0</formula>
    </cfRule>
  </conditionalFormatting>
  <conditionalFormatting sqref="B9:D9 F9:G9">
    <cfRule type="cellIs" dxfId="89" priority="14" operator="equal">
      <formula>0</formula>
    </cfRule>
  </conditionalFormatting>
  <conditionalFormatting sqref="B10:D10 F10:G10">
    <cfRule type="cellIs" dxfId="88" priority="12" operator="equal">
      <formula>0</formula>
    </cfRule>
    <cfRule type="cellIs" dxfId="87" priority="13" operator="equal">
      <formula>0</formula>
    </cfRule>
  </conditionalFormatting>
  <conditionalFormatting sqref="E4">
    <cfRule type="cellIs" dxfId="86" priority="11" operator="equal">
      <formula>0</formula>
    </cfRule>
  </conditionalFormatting>
  <conditionalFormatting sqref="E5">
    <cfRule type="cellIs" dxfId="85" priority="10" operator="equal">
      <formula>0</formula>
    </cfRule>
  </conditionalFormatting>
  <conditionalFormatting sqref="E7">
    <cfRule type="cellIs" dxfId="84" priority="9" operator="equal">
      <formula>0</formula>
    </cfRule>
  </conditionalFormatting>
  <conditionalFormatting sqref="E8">
    <cfRule type="cellIs" dxfId="83" priority="8" operator="equal">
      <formula>0</formula>
    </cfRule>
  </conditionalFormatting>
  <conditionalFormatting sqref="E10">
    <cfRule type="cellIs" dxfId="82" priority="6" operator="equal">
      <formula>0</formula>
    </cfRule>
  </conditionalFormatting>
  <conditionalFormatting sqref="E6">
    <cfRule type="cellIs" dxfId="81" priority="3" operator="equal">
      <formula>0</formula>
    </cfRule>
  </conditionalFormatting>
  <conditionalFormatting sqref="C7">
    <cfRule type="cellIs" dxfId="8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00653-0F25-4A37-8588-F0D957EF51CE}">
  <dimension ref="A1:M48"/>
  <sheetViews>
    <sheetView workbookViewId="0"/>
  </sheetViews>
  <sheetFormatPr defaultColWidth="9.140625" defaultRowHeight="15" x14ac:dyDescent="0.25"/>
  <cols>
    <col min="1" max="1" width="24" style="16" bestFit="1" customWidth="1"/>
    <col min="2" max="2" width="34.5703125" style="16" bestFit="1" customWidth="1"/>
    <col min="3" max="3" width="33.85546875" style="16" bestFit="1" customWidth="1"/>
    <col min="4" max="4" width="9.5703125" style="16" bestFit="1" customWidth="1"/>
    <col min="5" max="5" width="8.7109375" style="16" bestFit="1" customWidth="1"/>
    <col min="6" max="6" width="13.5703125" style="16" bestFit="1" customWidth="1"/>
    <col min="7" max="7" width="11.28515625" style="16" bestFit="1" customWidth="1"/>
    <col min="8" max="9" width="11.28515625" style="16" customWidth="1"/>
    <col min="10" max="10" width="31.7109375" style="16" bestFit="1" customWidth="1"/>
    <col min="11" max="11" width="11.28515625" style="16" bestFit="1" customWidth="1"/>
    <col min="12" max="12" width="23.5703125" style="16" bestFit="1" customWidth="1"/>
    <col min="13" max="13" width="6" style="16" bestFit="1" customWidth="1"/>
    <col min="14" max="16384" width="9.140625" style="16"/>
  </cols>
  <sheetData>
    <row r="1" spans="1:13" ht="24" thickBot="1" x14ac:dyDescent="0.4">
      <c r="B1" s="33" t="s">
        <v>494</v>
      </c>
      <c r="C1" s="34" t="s">
        <v>83</v>
      </c>
    </row>
    <row r="2" spans="1:13" ht="15" customHeight="1" thickBot="1" x14ac:dyDescent="0.3">
      <c r="A2" s="49" t="s">
        <v>0</v>
      </c>
      <c r="B2" s="51" t="s">
        <v>1</v>
      </c>
      <c r="C2" s="64" t="s">
        <v>2</v>
      </c>
      <c r="D2" s="58" t="s">
        <v>3</v>
      </c>
      <c r="E2" s="58" t="s">
        <v>4</v>
      </c>
      <c r="F2" s="46" t="s">
        <v>5</v>
      </c>
      <c r="G2" s="47" t="s">
        <v>6</v>
      </c>
      <c r="H2" s="47" t="s">
        <v>478</v>
      </c>
      <c r="I2" s="47" t="s">
        <v>479</v>
      </c>
      <c r="J2" s="47" t="s">
        <v>7</v>
      </c>
      <c r="K2" s="47" t="s">
        <v>8</v>
      </c>
      <c r="L2" s="47" t="s">
        <v>458</v>
      </c>
      <c r="M2" s="48" t="s">
        <v>81</v>
      </c>
    </row>
    <row r="3" spans="1:13" ht="15" customHeight="1" x14ac:dyDescent="0.25">
      <c r="A3" s="118" t="s">
        <v>9</v>
      </c>
      <c r="B3" s="52" t="s">
        <v>489</v>
      </c>
      <c r="C3" s="65" t="s">
        <v>10</v>
      </c>
      <c r="D3" s="66" t="s">
        <v>11</v>
      </c>
      <c r="E3" s="59">
        <f>VLOOKUP($B3, Config!$A$4:$E$61, HLOOKUP(C$1, Config!$C$2:$AA$3, 2, FALSE)+2,FALSE)</f>
        <v>512</v>
      </c>
      <c r="F3" s="36" t="s">
        <v>12</v>
      </c>
      <c r="G3" s="37" t="s">
        <v>13</v>
      </c>
      <c r="H3" s="37" t="s">
        <v>57</v>
      </c>
      <c r="I3" s="37" t="s">
        <v>57</v>
      </c>
      <c r="J3" s="119" t="s">
        <v>453</v>
      </c>
      <c r="K3" s="123" t="s">
        <v>14</v>
      </c>
      <c r="L3" s="124" t="s">
        <v>460</v>
      </c>
      <c r="M3" s="114">
        <f>($E3+$E4+$E5+$E7)/8</f>
        <v>104</v>
      </c>
    </row>
    <row r="4" spans="1:13" ht="15" customHeight="1" x14ac:dyDescent="0.25">
      <c r="A4" s="118"/>
      <c r="B4" s="53" t="s">
        <v>490</v>
      </c>
      <c r="C4" s="67" t="s">
        <v>10</v>
      </c>
      <c r="D4" s="68" t="s">
        <v>11</v>
      </c>
      <c r="E4" s="60">
        <f>VLOOKUP($B4, Config!$A$4:$E$61, HLOOKUP(C$1, Config!$C$2:$AA$3, 2, FALSE)+2,FALSE)</f>
        <v>32</v>
      </c>
      <c r="F4" s="38" t="str">
        <f>CONCATENATE("0x",DEC2HEX(HEX2DEC(SUBSTITUTE(F3,"0x",""))+E3/8))</f>
        <v>0x6040</v>
      </c>
      <c r="G4" s="17" t="str">
        <f>CONCATENATE("0x",DEC2HEX(HEX2DEC(SUBSTITUTE(G3,"0x",""))+E3/8))</f>
        <v>0xF00B0040</v>
      </c>
      <c r="H4" s="17" t="s">
        <v>57</v>
      </c>
      <c r="I4" s="17" t="s">
        <v>57</v>
      </c>
      <c r="J4" s="120"/>
      <c r="K4" s="120"/>
      <c r="L4" s="125"/>
      <c r="M4" s="115"/>
    </row>
    <row r="5" spans="1:13" ht="15" customHeight="1" x14ac:dyDescent="0.25">
      <c r="A5" s="118"/>
      <c r="B5" s="53" t="s">
        <v>491</v>
      </c>
      <c r="C5" s="67" t="s">
        <v>15</v>
      </c>
      <c r="D5" s="68" t="s">
        <v>11</v>
      </c>
      <c r="E5" s="60">
        <f>VLOOKUP($B5, Config!$A$4:$E$61, HLOOKUP(C$1, Config!$C$2:$AA$3, 2, FALSE)+2,FALSE)</f>
        <v>256</v>
      </c>
      <c r="F5" s="38" t="str">
        <f>CONCATENATE("0x",DEC2HEX(HEX2DEC(SUBSTITUTE(F4,"0x",""))+E4/8))</f>
        <v>0x6044</v>
      </c>
      <c r="G5" s="17" t="str">
        <f>CONCATENATE("0x",DEC2HEX(HEX2DEC(SUBSTITUTE(G4,"0x",""))+E4/8))</f>
        <v>0xF00B0044</v>
      </c>
      <c r="H5" s="17" t="s">
        <v>57</v>
      </c>
      <c r="I5" s="17" t="s">
        <v>57</v>
      </c>
      <c r="J5" s="120"/>
      <c r="K5" s="120"/>
      <c r="L5" s="125"/>
      <c r="M5" s="115"/>
    </row>
    <row r="6" spans="1:13" ht="15" customHeight="1" x14ac:dyDescent="0.25">
      <c r="A6" s="118"/>
      <c r="B6" s="92" t="s">
        <v>492</v>
      </c>
      <c r="C6" s="67" t="s">
        <v>15</v>
      </c>
      <c r="D6" s="68" t="s">
        <v>11</v>
      </c>
      <c r="E6" s="60">
        <f>VLOOKUP($B6, Config!$A$4:$E$61, HLOOKUP(C$1, Config!$C$2:$AA$3, 2, FALSE)+2,FALSE)</f>
        <v>256</v>
      </c>
      <c r="F6" s="38" t="str">
        <f>CONCATENATE("0x",DEC2HEX(HEX2DEC(SUBSTITUTE(F5,"0x",""))+E5/8))</f>
        <v>0x6064</v>
      </c>
      <c r="G6" s="17" t="str">
        <f>CONCATENATE("0x",DEC2HEX(HEX2DEC(SUBSTITUTE(G5,"0x",""))+E5/8))</f>
        <v>0xF00B0064</v>
      </c>
      <c r="H6" s="17" t="s">
        <v>57</v>
      </c>
      <c r="I6" s="17" t="s">
        <v>57</v>
      </c>
      <c r="J6" s="121"/>
      <c r="K6" s="121"/>
      <c r="L6" s="126"/>
      <c r="M6" s="116"/>
    </row>
    <row r="7" spans="1:13" ht="15" customHeight="1" thickBot="1" x14ac:dyDescent="0.3">
      <c r="A7" s="118"/>
      <c r="B7" s="97" t="s">
        <v>523</v>
      </c>
      <c r="C7" s="93" t="s">
        <v>10</v>
      </c>
      <c r="D7" s="94" t="s">
        <v>11</v>
      </c>
      <c r="E7" s="95">
        <f>VLOOKUP($B7, Config!$A$4:$E$61, HLOOKUP(C$1, Config!$C$2:$AA$3, 2, FALSE)+2,FALSE)</f>
        <v>32</v>
      </c>
      <c r="F7" s="96" t="str">
        <f>CONCATENATE("0x",DEC2HEX(HEX2DEC(SUBSTITUTE(F6,"0x",""))+E6/8))</f>
        <v>0x6084</v>
      </c>
      <c r="G7" s="91" t="str">
        <f>CONCATENATE("0x",DEC2HEX(HEX2DEC(SUBSTITUTE(G6,"0x",""))+E6/8))</f>
        <v>0xF00B0084</v>
      </c>
      <c r="H7" s="91" t="s">
        <v>57</v>
      </c>
      <c r="I7" s="91" t="s">
        <v>57</v>
      </c>
      <c r="J7" s="122"/>
      <c r="K7" s="122"/>
      <c r="L7" s="127"/>
      <c r="M7" s="117"/>
    </row>
    <row r="8" spans="1:13" x14ac:dyDescent="0.25">
      <c r="A8" s="40" t="s">
        <v>16</v>
      </c>
      <c r="B8" s="54" t="s">
        <v>17</v>
      </c>
      <c r="C8" s="65" t="s">
        <v>18</v>
      </c>
      <c r="D8" s="66" t="s">
        <v>19</v>
      </c>
      <c r="E8" s="59">
        <f>VLOOKUP($B8, Config!$A$4:$E$61, HLOOKUP(C$1, Config!$C$2:$AA$3, 2, FALSE)+2,FALSE)</f>
        <v>768</v>
      </c>
      <c r="F8" s="36" t="s">
        <v>20</v>
      </c>
      <c r="G8" s="37" t="s">
        <v>21</v>
      </c>
      <c r="H8" s="37" t="s">
        <v>57</v>
      </c>
      <c r="I8" s="37" t="s">
        <v>57</v>
      </c>
      <c r="J8" s="134" t="s">
        <v>454</v>
      </c>
      <c r="K8" s="123" t="s">
        <v>22</v>
      </c>
      <c r="L8" s="124" t="s">
        <v>459</v>
      </c>
      <c r="M8" s="114">
        <f>($E8+$E9+$E10+$E12)/8</f>
        <v>120</v>
      </c>
    </row>
    <row r="9" spans="1:13" x14ac:dyDescent="0.25">
      <c r="A9" s="128" t="s">
        <v>23</v>
      </c>
      <c r="B9" s="55" t="s">
        <v>493</v>
      </c>
      <c r="C9" s="67" t="s">
        <v>18</v>
      </c>
      <c r="D9" s="68" t="s">
        <v>19</v>
      </c>
      <c r="E9" s="60">
        <f>VLOOKUP($B9, Config!$A$4:$E$61, HLOOKUP(C$1, Config!$C$2:$AA$3, 2, FALSE)+2,FALSE)</f>
        <v>160</v>
      </c>
      <c r="F9" s="38" t="str">
        <f>CONCATENATE("0x",DEC2HEX(HEX2DEC(SUBSTITUTE(F8,"0x",""))+E8/8))</f>
        <v>0x6460</v>
      </c>
      <c r="G9" s="17" t="str">
        <f>CONCATENATE("0x",DEC2HEX(HEX2DEC(SUBSTITUTE(G8,"0x",""))+E8/8))</f>
        <v>0xF00B0460</v>
      </c>
      <c r="H9" s="17" t="s">
        <v>57</v>
      </c>
      <c r="I9" s="17" t="s">
        <v>57</v>
      </c>
      <c r="J9" s="135"/>
      <c r="K9" s="120"/>
      <c r="L9" s="125"/>
      <c r="M9" s="115"/>
    </row>
    <row r="10" spans="1:13" x14ac:dyDescent="0.25">
      <c r="A10" s="129"/>
      <c r="B10" s="99" t="s">
        <v>25</v>
      </c>
      <c r="C10" s="67" t="s">
        <v>18</v>
      </c>
      <c r="D10" s="68" t="s">
        <v>19</v>
      </c>
      <c r="E10" s="60">
        <f>VLOOKUP($B10, Config!$A$4:$E$61, HLOOKUP(C$1, Config!$C$2:$AA$3, 2, FALSE)+2,FALSE)</f>
        <v>32</v>
      </c>
      <c r="F10" s="38" t="str">
        <f>CONCATENATE("0x",DEC2HEX(HEX2DEC(SUBSTITUTE(F9,"0x",""))+E9/8))</f>
        <v>0x6474</v>
      </c>
      <c r="G10" s="17" t="str">
        <f>CONCATENATE("0x",DEC2HEX(HEX2DEC(SUBSTITUTE(G9,"0x",""))+E9/8))</f>
        <v>0xF00B0474</v>
      </c>
      <c r="H10" s="17" t="s">
        <v>57</v>
      </c>
      <c r="I10" s="17" t="s">
        <v>57</v>
      </c>
      <c r="J10" s="135"/>
      <c r="K10" s="120"/>
      <c r="L10" s="125"/>
      <c r="M10" s="115"/>
    </row>
    <row r="11" spans="1:13" x14ac:dyDescent="0.25">
      <c r="A11" s="129"/>
      <c r="B11" s="100" t="s">
        <v>524</v>
      </c>
      <c r="C11" s="67" t="s">
        <v>18</v>
      </c>
      <c r="D11" s="68" t="s">
        <v>19</v>
      </c>
      <c r="E11" s="60">
        <f>VLOOKUP($B11, Config!$A$4:$E$61, HLOOKUP(C$1, Config!$C$2:$AA$3, 2, FALSE)+2,FALSE)</f>
        <v>32</v>
      </c>
      <c r="F11" s="38" t="str">
        <f>CONCATENATE("0x",DEC2HEX(HEX2DEC(SUBSTITUTE(F10,"0x",""))+E10/8))</f>
        <v>0x6478</v>
      </c>
      <c r="G11" s="17" t="str">
        <f>CONCATENATE("0x",DEC2HEX(HEX2DEC(SUBSTITUTE(G10,"0x",""))+E10/8))</f>
        <v>0xF00B0478</v>
      </c>
      <c r="H11" s="17" t="s">
        <v>57</v>
      </c>
      <c r="I11" s="17" t="s">
        <v>57</v>
      </c>
      <c r="J11" s="136"/>
      <c r="K11" s="121"/>
      <c r="L11" s="126"/>
      <c r="M11" s="116"/>
    </row>
    <row r="12" spans="1:13" ht="15.75" thickBot="1" x14ac:dyDescent="0.3">
      <c r="A12" s="130"/>
      <c r="B12" s="98" t="s">
        <v>24</v>
      </c>
      <c r="C12" s="89" t="s">
        <v>18</v>
      </c>
      <c r="D12" s="94" t="s">
        <v>19</v>
      </c>
      <c r="E12" s="95">
        <f>VLOOKUP($B12, Config!$A$4:$E$61, HLOOKUP(C$1, Config!$C$2:$AA$3, 2, FALSE)+2,FALSE)</f>
        <v>0</v>
      </c>
      <c r="F12" s="96" t="str">
        <f>CONCATENATE("0x",DEC2HEX(HEX2DEC(SUBSTITUTE(F11,"0x",""))+E11/8))</f>
        <v>0x647C</v>
      </c>
      <c r="G12" s="91" t="str">
        <f>CONCATENATE("0x",DEC2HEX(HEX2DEC(SUBSTITUTE(G11,"0x",""))+E11/8))</f>
        <v>0xF00B047C</v>
      </c>
      <c r="H12" s="91" t="s">
        <v>57</v>
      </c>
      <c r="I12" s="91" t="s">
        <v>57</v>
      </c>
      <c r="J12" s="137"/>
      <c r="K12" s="122"/>
      <c r="L12" s="127"/>
      <c r="M12" s="117"/>
    </row>
    <row r="13" spans="1:13" ht="15" customHeight="1" x14ac:dyDescent="0.25">
      <c r="A13" s="128" t="s">
        <v>26</v>
      </c>
      <c r="B13" s="52" t="s">
        <v>27</v>
      </c>
      <c r="C13" s="131" t="s">
        <v>28</v>
      </c>
      <c r="D13" s="66" t="s">
        <v>29</v>
      </c>
      <c r="E13" s="61">
        <f>32</f>
        <v>32</v>
      </c>
      <c r="F13" s="36" t="s">
        <v>30</v>
      </c>
      <c r="G13" s="37" t="s">
        <v>31</v>
      </c>
      <c r="H13" s="37" t="str">
        <f>CONCATENATE("0x", DEC2HEX(_xlfn.BITLSHIFT(1, Group1!C2)*Group1!G2*Group1!L2
+_xlfn.BITLSHIFT(1, Group1!C3)*Group1!G3*Group1!L3
+_xlfn.BITLSHIFT(1, Group1!C4)*Group1!G4*Group1!L4
+_xlfn.BITLSHIFT(1, Group1!C5)*Group1!G5*Group1!L5
+_xlfn.BITLSHIFT(1, Group1!C6)*Group1!G6*Group1!L6
+_xlfn.BITLSHIFT(1, Group1!C7)*Group1!G7*Group1!L7
+_xlfn.BITLSHIFT(1, Group1!C8)*Group1!G8*Group1!L8
+_xlfn.BITLSHIFT(1, Group1!C9)*Group1!G9*Group1!L9
+_xlfn.BITLSHIFT(1, Group1!C10)*Group1!G10*Group1!L10
+_xlfn.BITLSHIFT(1, Group1!C11)*Group1!G11*Group1!L11
+_xlfn.BITLSHIFT(1, Group1!C12)*Group1!G12*Group1!L12
+_xlfn.BITLSHIFT(1, Group1!C13)*Group1!G13*Group1!L13
+_xlfn.BITLSHIFT(1, Group1!C14)*Group1!G14*Group1!L14
+_xlfn.BITLSHIFT(1, Group1!C15)*Group1!G15*Group1!L15
+_xlfn.BITLSHIFT(1, Group1!C16)*Group1!G16*Group1!L16
+_xlfn.BITLSHIFT(1, Group1!C17)*Group1!G17*Group1!L17
+_xlfn.BITLSHIFT(1, Group1!C18)*Group1!G18*Group1!L18
+_xlfn.BITLSHIFT(1, Group1!C19)*Group1!G19*Group1!L19
+_xlfn.BITLSHIFT(1, Group1!C20)*Group1!G20*Group1!L20
+_xlfn.BITLSHIFT(1, Group1!C21)*Group1!G21*Group1!L21
+_xlfn.BITLSHIFT(1, Group1!C22)*Group1!G22*Group1!L22
+_xlfn.BITLSHIFT(1, Group1!C23)*Group1!G23*Group1!L23
+_xlfn.BITLSHIFT(1, Group1!C24)*Group1!G24*Group1!L24
+_xlfn.BITLSHIFT(1, Group1!C25)*Group1!G25*Group1!L25
+_xlfn.BITLSHIFT(1, Group1!C26)*Group1!G26*Group1!L26
+_xlfn.BITLSHIFT(1, Group1!C27)*Group1!G27*Group1!L27
+_xlfn.BITLSHIFT(1, Group1!C28)*Group1!G28*Group1!L28
+_xlfn.BITLSHIFT(1, Group1!C29)*Group1!G29*Group1!L29
+_xlfn.BITLSHIFT(1, Group1!C30)*Group1!G30*Group1!L30
+_xlfn.BITLSHIFT(1, Group1!C31)*Group1!G31*Group1!L31
+_xlfn.BITLSHIFT(1, Group1!C32)*Group1!G32*Group1!L32
+_xlfn.BITLSHIFT(1, Group1!C33)*Group1!G33*Group1!L33
+_xlfn.BITLSHIFT(1, Group1!C34)*Group1!G34*Group1!L34
+_xlfn.BITLSHIFT(1, Group1!C35)*Group1!G35*Group1!L35,8))</f>
        <v>0x43035480</v>
      </c>
      <c r="I13" s="37" t="str">
        <f>CONCATENATE("0x", DEC2HEX(
 _xlfn.BITLSHIFT(1, Group1!C2)*Group1!H2*Group1!L2
+_xlfn.BITLSHIFT(1, Group1!C3)*Group1!H3*Group1!L3
+_xlfn.BITLSHIFT(1, Group1!C4)*Group1!H4*Group1!L4
+_xlfn.BITLSHIFT(1, Group1!C5)*Group1!H5*Group1!L5
+_xlfn.BITLSHIFT(1, Group1!C6)*Group1!H6*Group1!L6
+_xlfn.BITLSHIFT(1, Group1!C7)*Group1!H7*Group1!L7
+_xlfn.BITLSHIFT(1, Group1!C8)*Group1!H8*Group1!L8
+_xlfn.BITLSHIFT(1, Group1!C9)*Group1!H9*Group1!L9
+_xlfn.BITLSHIFT(1, Group1!C10)*Group1!H10*Group1!L10
+_xlfn.BITLSHIFT(1, Group1!C11)*Group1!H11*Group1!L11
+_xlfn.BITLSHIFT(1, Group1!C12)*Group1!H12*Group1!L12
+_xlfn.BITLSHIFT(1, Group1!C13)*Group1!H13*Group1!L13
+_xlfn.BITLSHIFT(1, Group1!C14)*Group1!H14*Group1!L14
+_xlfn.BITLSHIFT(1, Group1!C15)*Group1!H15*Group1!L15
+_xlfn.BITLSHIFT(1, Group1!C16)*Group1!H16*Group1!L16
+_xlfn.BITLSHIFT(1, Group1!C17)*Group1!H17*Group1!L17
+_xlfn.BITLSHIFT(1, Group1!C18)*Group1!H18*Group1!L18
+_xlfn.BITLSHIFT(1, Group1!C19)*Group1!H19*Group1!L19
+_xlfn.BITLSHIFT(1, Group1!C20)*Group1!H20*Group1!L20
+_xlfn.BITLSHIFT(1, Group1!C21)*Group1!H21*Group1!L21
+_xlfn.BITLSHIFT(1, Group1!C22)*Group1!H22*Group1!L22
+_xlfn.BITLSHIFT(1, Group1!C23)*Group1!H23*Group1!L23
+_xlfn.BITLSHIFT(1, Group1!C24)*Group1!H24*Group1!L24
+_xlfn.BITLSHIFT(1, Group1!C25)*Group1!H25*Group1!L25
+_xlfn.BITLSHIFT(1, Group1!C26)*Group1!H26*Group1!L26
+_xlfn.BITLSHIFT(1, Group1!C27)*Group1!H27*Group1!L27
+_xlfn.BITLSHIFT(1, Group1!C28)*Group1!H28*Group1!L28
+_xlfn.BITLSHIFT(1, Group1!C29)*Group1!H29*Group1!L29
+_xlfn.BITLSHIFT(1, Group1!C30)*Group1!H30*Group1!L30
+_xlfn.BITLSHIFT(1, Group1!C31)*Group1!H31*Group1!L31
+_xlfn.BITLSHIFT(1, Group1!C32)*Group1!H32*Group1!L32
+_xlfn.BITLSHIFT(1, Group1!C33)*Group1!H33*Group1!L33
+_xlfn.BITLSHIFT(1, Group1!C34)*Group1!H34*Group1!L34
+_xlfn.BITLSHIFT(1, Group1!C35)*Group1!H35*Group1!L35, 8))</f>
        <v>0x02033083</v>
      </c>
      <c r="J13" s="119" t="s">
        <v>455</v>
      </c>
      <c r="K13" s="123" t="s">
        <v>32</v>
      </c>
      <c r="L13" s="138" t="s">
        <v>521</v>
      </c>
      <c r="M13" s="150">
        <f>4*32/32+E17/32+E18/32+E19/32+E20/32+E21/32+E22/32</f>
        <v>8</v>
      </c>
    </row>
    <row r="14" spans="1:13" x14ac:dyDescent="0.25">
      <c r="A14" s="129"/>
      <c r="B14" s="53" t="s">
        <v>33</v>
      </c>
      <c r="C14" s="132"/>
      <c r="D14" s="68" t="s">
        <v>29</v>
      </c>
      <c r="E14" s="62">
        <v>32</v>
      </c>
      <c r="F14" s="38" t="str">
        <f>CONCATENATE("0x",DEC2HEX(HEX2DEC(SUBSTITUTE(F13,"0x",""))+E13/8))</f>
        <v>0x2004</v>
      </c>
      <c r="G14" s="17" t="str">
        <f>CONCATENATE("0x",DEC2HEX(HEX2DEC(SUBSTITUTE(G13,"0x",""))+E13/8))</f>
        <v>0xF00B0204</v>
      </c>
      <c r="H14" s="17" t="str">
        <f>CONCATENATE("0x",DEC2HEX(
_xlfn.BITLSHIFT(1,Group1!C36)*Group1!G36*Group1!L36
+_xlfn.BITLSHIFT(1,Group1!C37)*Group1!G37*Group1!L37
+_xlfn.BITLSHIFT(1,Group1!C38)*Group1!G38*Group1!L38
+_xlfn.BITLSHIFT(1,Group1!C39)*Group1!G39*Group1!L39
+_xlfn.BITLSHIFT(1,Group1!C40)*Group1!G40*Group1!L40
+_xlfn.BITLSHIFT(1,Group1!C41)*Group1!G41*Group1!L41
+_xlfn.BITLSHIFT(1,Group1!C42)*Group1!G42*Group1!L42
+_xlfn.BITLSHIFT(1,Group1!C43)*Group1!G43*Group1!L43
+_xlfn.BITLSHIFT(1,Group1!C44)*Group1!G44*Group1!L44
+_xlfn.BITLSHIFT(1,Group1!C45)*Group1!G45*Group1!L45
+_xlfn.BITLSHIFT(1,Group1!C46)*Group1!G46*Group1!L46
+_xlfn.BITLSHIFT(1,Group1!C47)*Group1!G47*Group1!L47
+_xlfn.BITLSHIFT(1,Group1!C48)*Group1!G48*Group1!L48
+_xlfn.BITLSHIFT(1,Group1!C49)*Group1!G49*Group1!L49
+_xlfn.BITLSHIFT(1,Group1!C50)*Group1!G50*Group1!L50
+_xlfn.BITLSHIFT(1,Group1!C51)*Group1!G51*Group1!L51
+_xlfn.BITLSHIFT(1,Group1!C52)*Group1!G52*Group1!L52
+_xlfn.BITLSHIFT(1,Group1!C53)*Group1!G53*Group1!L53
+_xlfn.BITLSHIFT(1,Group1!C54)*Group1!G54*Group1!L54
+_xlfn.BITLSHIFT(1,Group1!C55)*Group1!G55*Group1!L55
+_xlfn.BITLSHIFT(1,Group1!C56)*Group1!G56*Group1!L56
+_xlfn.BITLSHIFT(1,Group1!C57)*Group1!G57*Group1!L57,8))</f>
        <v>0x00810814</v>
      </c>
      <c r="I14" s="17" t="str">
        <f>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J14" s="133"/>
      <c r="K14" s="120"/>
      <c r="L14" s="139"/>
      <c r="M14" s="151"/>
    </row>
    <row r="15" spans="1:13" x14ac:dyDescent="0.25">
      <c r="A15" s="129"/>
      <c r="B15" s="53" t="s">
        <v>34</v>
      </c>
      <c r="C15" s="132"/>
      <c r="D15" s="68" t="s">
        <v>29</v>
      </c>
      <c r="E15" s="62">
        <v>32</v>
      </c>
      <c r="F15" s="38" t="str">
        <f>CONCATENATE("0x",DEC2HEX(HEX2DEC(SUBSTITUTE(F14,"0x",""))+E14/8))</f>
        <v>0x2008</v>
      </c>
      <c r="G15" s="17" t="str">
        <f>CONCATENATE("0x",DEC2HEX(HEX2DEC(SUBSTITUTE(G14,"0x",""))+E14/8))</f>
        <v>0xF00B0208</v>
      </c>
      <c r="H15" s="17" t="str">
        <f>CONCATENATE("0x", DEC2HEX(
 _xlfn.BITLSHIFT(1, Group1!C58)*Group1!G58*Group1!L58
+_xlfn.BITLSHIFT(1, Group1!C59)*Group1!G59*Group1!L59
+_xlfn.BITLSHIFT(1, Group1!C60)*Group1!G60*Group1!L60
+_xlfn.BITLSHIFT(1, Group1!C61)*Group1!G61*Group1!L61
+_xlfn.BITLSHIFT(1, Group1!C62)*Group1!G62*Group1!L62
+_xlfn.BITLSHIFT(1, Group1!C63)*Group1!G63*Group1!L63
+_xlfn.BITLSHIFT(1, Group1!C64)*Group1!G64*Group1!L64
+_xlfn.BITLSHIFT(1, Group1!C65)*Group1!G65*Group1!L65, 8))</f>
        <v>0x00000000</v>
      </c>
      <c r="I15" s="17" t="str">
        <f>CONCATENATE("0x", DEC2HEX(
 _xlfn.BITLSHIFT(1, Group1!C58)*Group1!H58*Group1!L58
+_xlfn.BITLSHIFT(1, Group1!C59)*Group1!H59*Group1!L59
+_xlfn.BITLSHIFT(1, Group1!C60)*Group1!H60*Group1!L60
+_xlfn.BITLSHIFT(1, Group1!C61)*Group1!H61*Group1!L61
+_xlfn.BITLSHIFT(1, Group1!C62)*Group1!H62*Group1!L62
+_xlfn.BITLSHIFT(1, Group1!C63)*Group1!H63*Group1!L63
+_xlfn.BITLSHIFT(1, Group1!C64)*Group1!H64*Group1!L64
+_xlfn.BITLSHIFT(1, Group1!C65)*Group1!H65*Group1!L65, 8))</f>
        <v>0x00040000</v>
      </c>
      <c r="J15" s="133"/>
      <c r="K15" s="120"/>
      <c r="L15" s="139"/>
      <c r="M15" s="151"/>
    </row>
    <row r="16" spans="1:13" x14ac:dyDescent="0.25">
      <c r="A16" s="129"/>
      <c r="B16" s="53" t="s">
        <v>35</v>
      </c>
      <c r="C16" s="132"/>
      <c r="D16" s="68" t="s">
        <v>29</v>
      </c>
      <c r="E16" s="62">
        <v>32</v>
      </c>
      <c r="F16" s="38" t="str">
        <f>CONCATENATE("0x",DEC2HEX(HEX2DEC(SUBSTITUTE(F15,"0x",""))+E15/8))</f>
        <v>0x200C</v>
      </c>
      <c r="G16" s="17" t="s">
        <v>36</v>
      </c>
      <c r="H16" s="17" t="str">
        <f>CONCATENATE("0x", DEC2HEX(
 _xlfn.BITLSHIFT(1, Group1!C66)*Group1!G66*Group1!L66
+_xlfn.BITLSHIFT(1, Group1!C67)*Group1!G67*Group1!L67
+_xlfn.BITLSHIFT(1, Group1!C68)*Group1!G68*Group1!L68
+_xlfn.BITLSHIFT(1, Group1!C69)*Group1!G69*Group1!L69
+_xlfn.BITLSHIFT(1, Group1!C70)*Group1!G70*Group1!L70
+_xlfn.BITLSHIFT(1, Group1!C71)*Group1!G71*Group1!L71
+_xlfn.BITLSHIFT(1, Group1!C72)*Group1!G72*Group1!L72
+_xlfn.BITLSHIFT(1, Group1!C73)*Group1!G73*Group1!L73
+_xlfn.BITLSHIFT(1, Group1!C74)*Group1!G74*Group1!L74
+_xlfn.BITLSHIFT(1, Group1!C75)*Group1!G75*Group1!L75
+_xlfn.BITLSHIFT(1, Group1!C76)*Group1!G76*Group1!L76
+_xlfn.BITLSHIFT(1, Group1!C77)*Group1!G77*Group1!L77
+_xlfn.BITLSHIFT(1, Group1!C78)*Group1!G78*Group1!L78
+_xlfn.BITLSHIFT(1, Group1!C79)*Group1!G79*Group1!L79
+_xlfn.BITLSHIFT(1, Group1!C80)*Group1!G80*Group1!L80
+_xlfn.BITLSHIFT(1, Group1!C81)*Group1!G81*Group1!L81
+_xlfn.BITLSHIFT(1, Group1!C82)*Group1!G82*Group1!L82
+_xlfn.BITLSHIFT(1, Group1!C83)*Group1!G83*Group1!L83
+_xlfn.BITLSHIFT(1, Group1!C84)*Group1!G84*Group1!L84
+_xlfn.BITLSHIFT(1, Group1!C85)*Group1!G85*Group1!L85
+_xlfn.BITLSHIFT(1, Group1!C86)*Group1!G86*Group1!L86
+_xlfn.BITLSHIFT(1, Group1!C87)*Group1!G87*Group1!L87
+_xlfn.BITLSHIFT(1, Group1!C88)*Group1!G88*Group1!L88
+_xlfn.BITLSHIFT(1, Group1!C89)*Group1!G89*Group1!L89
+_xlfn.BITLSHIFT(1, Group1!C90)*Group1!G90*Group1!L90, 8))</f>
        <v>0x00000000</v>
      </c>
      <c r="I16" s="17" t="str">
        <f>CONCATENATE("0x", DEC2HEX(
 _xlfn.BITLSHIFT(1, Group1!C66)*Group1!H66*Group1!L66
+_xlfn.BITLSHIFT(1, Group1!C67)*Group1!H67*Group1!L67
+_xlfn.BITLSHIFT(1, Group1!C68)*Group1!H68*Group1!L68
+_xlfn.BITLSHIFT(1, Group1!C69)*Group1!H69*Group1!L69
+_xlfn.BITLSHIFT(1, Group1!C70)*Group1!H70*Group1!L70
+_xlfn.BITLSHIFT(1, Group1!C71)*Group1!H71*Group1!L71
+_xlfn.BITLSHIFT(1, Group1!C72)*Group1!H72*Group1!L72
+_xlfn.BITLSHIFT(1, Group1!C73)*Group1!H73*Group1!L73
+_xlfn.BITLSHIFT(1, Group1!C74)*Group1!H74*Group1!L74
+_xlfn.BITLSHIFT(1, Group1!C75)*Group1!H75*Group1!L75
+_xlfn.BITLSHIFT(1, Group1!C76)*Group1!H76*Group1!L76
+_xlfn.BITLSHIFT(1, Group1!C77)*Group1!H77*Group1!L77
+_xlfn.BITLSHIFT(1, Group1!C78)*Group1!H78*Group1!L78
+_xlfn.BITLSHIFT(1, Group1!C79)*Group1!H79*Group1!L79
+_xlfn.BITLSHIFT(1, Group1!C80)*Group1!H80*Group1!L80
+_xlfn.BITLSHIFT(1, Group1!C81)*Group1!H81*Group1!L81
+_xlfn.BITLSHIFT(1, Group1!C82)*Group1!H82*Group1!L82
+_xlfn.BITLSHIFT(1, Group1!C83)*Group1!H83*Group1!L83
+_xlfn.BITLSHIFT(1, Group1!C84)*Group1!H84*Group1!L84
+_xlfn.BITLSHIFT(1, Group1!C85)*Group1!H85*Group1!L85
+_xlfn.BITLSHIFT(1, Group1!C86)*Group1!H86*Group1!L86
+_xlfn.BITLSHIFT(1, Group1!C87)*Group1!H87*Group1!L87
+_xlfn.BITLSHIFT(1, Group1!C88)*Group1!H88*Group1!L88
+_xlfn.BITLSHIFT(1, Group1!C89)*Group1!H89*Group1!L89
+_xlfn.BITLSHIFT(1, Group1!C90)*Group1!H90*Group1!L90, 8))</f>
        <v>0x00000000</v>
      </c>
      <c r="J16" s="133"/>
      <c r="K16" s="120"/>
      <c r="L16" s="139"/>
      <c r="M16" s="151"/>
    </row>
    <row r="17" spans="1:13" x14ac:dyDescent="0.25">
      <c r="A17" s="129"/>
      <c r="B17" s="53" t="s">
        <v>37</v>
      </c>
      <c r="C17" s="132"/>
      <c r="D17" s="68" t="s">
        <v>29</v>
      </c>
      <c r="E17" s="60">
        <f>VLOOKUP("TRC_PRESENT", Config!$A$4:$E$50, HLOOKUP(C$1, Config!$C$2:$AA$3, 2, FALSE)+2,FALSE)*32</f>
        <v>0</v>
      </c>
      <c r="F17" s="38" t="str">
        <f>CONCATENATE("0x",DEC2HEX(HEX2DEC(SUBSTITUTE(F16,"0x",""))+E16/8))</f>
        <v>0x2010</v>
      </c>
      <c r="G17" s="17" t="s">
        <v>38</v>
      </c>
      <c r="H17" s="17" t="str">
        <f>CONCATENATE("0x", DEC2HEX(
 _xlfn.BITLSHIFT(1, Group1!C97)*Group1!G97*Group1!L97
+_xlfn.BITLSHIFT(1, Group1!C98)*Group1!G98*Group1!L98
+_xlfn.BITLSHIFT(1, Group1!C99)*Group1!G99*Group1!L99
+_xlfn.BITLSHIFT(1, Group1!C100)*Group1!G100*Group1!L100, 8))</f>
        <v>0x00000000</v>
      </c>
      <c r="I17" s="17" t="str">
        <f>CONCATENATE("0x", DEC2HEX(
 _xlfn.BITLSHIFT(1, Group1!C97)*Group1!H97*Group1!L97
+_xlfn.BITLSHIFT(1, Group1!C98)*Group1!H98*Group1!L98
+_xlfn.BITLSHIFT(1, Group1!C99)*Group1!H99*Group1!L99
+_xlfn.BITLSHIFT(1, Group1!C100)*Group1!H100*Group1!L100, 8))</f>
        <v>0x00000000</v>
      </c>
      <c r="J17" s="133"/>
      <c r="K17" s="120"/>
      <c r="L17" s="139"/>
      <c r="M17" s="151"/>
    </row>
    <row r="18" spans="1:13" x14ac:dyDescent="0.25">
      <c r="A18" s="129"/>
      <c r="B18" s="53" t="s">
        <v>39</v>
      </c>
      <c r="C18" s="132"/>
      <c r="D18" s="68" t="s">
        <v>29</v>
      </c>
      <c r="E18" s="60">
        <f>VLOOKUP("INCLUDE_MROM", Config!$A$4:$E$50, HLOOKUP(C$1, Config!$C$2:$AA$3, 2, FALSE)+2,FALSE)*32</f>
        <v>0</v>
      </c>
      <c r="F18" s="38" t="str">
        <f>CONCATENATE("0x",DEC2HEX(HEX2DEC(SUBSTITUTE(F17,"0x",""))+E17/8))</f>
        <v>0x2010</v>
      </c>
      <c r="G18" s="17" t="s">
        <v>40</v>
      </c>
      <c r="H18" s="17" t="str">
        <f>CONCATENATE("0x", DEC2HEX(
 _xlfn.BITLSHIFT(1, Group1!C101)*Group1!G101*Group1!L101
+_xlfn.BITLSHIFT(1, Group1!C102)*Group1!G102*Group1!L102
+_xlfn.BITLSHIFT(1, Group1!C103)*Group1!G103*Group1!L103
+_xlfn.BITLSHIFT(1, Group1!C104)*Group1!G104*Group1!L104, 8))</f>
        <v>0x00000000</v>
      </c>
      <c r="I18" s="17" t="str">
        <f>CONCATENATE("0x", DEC2HEX(
 _xlfn.BITLSHIFT(1, Group1!C101)*Group1!H101*Group1!L101
+_xlfn.BITLSHIFT(1, Group1!C102)*Group1!H102*Group1!L102
+_xlfn.BITLSHIFT(1, Group1!C103)*Group1!H103*Group1!L103
+_xlfn.BITLSHIFT(1, Group1!C104)*Group1!H104*Group1!L104, 8))</f>
        <v>0x00000000</v>
      </c>
      <c r="J18" s="133"/>
      <c r="K18" s="120"/>
      <c r="L18" s="139"/>
      <c r="M18" s="151"/>
    </row>
    <row r="19" spans="1:13" x14ac:dyDescent="0.25">
      <c r="A19" s="129"/>
      <c r="B19" s="56" t="s">
        <v>296</v>
      </c>
      <c r="C19" s="132"/>
      <c r="D19" s="68" t="s">
        <v>29</v>
      </c>
      <c r="E19" s="60">
        <f>VLOOKUP("ROM_INT_FUSE_PULL", Config!$A$4:$E$50, HLOOKUP(C$1, Config!$C$2:$AA$3, 2, FALSE)+2,FALSE)*32</f>
        <v>32</v>
      </c>
      <c r="F19" s="38" t="s">
        <v>467</v>
      </c>
      <c r="G19" s="7" t="s">
        <v>471</v>
      </c>
      <c r="H19" s="7" t="str">
        <f>CONCATENATE("0x", DEC2HEX(
 _xlfn.BITLSHIFT(1, Group1!C91)*Group1!G91*Group1!L91
+_xlfn.BITLSHIFT(1, Group1!C92)*Group1!G92*Group1!L92
+_xlfn.BITLSHIFT(1, Group1!C93)*Group1!G93*Group1!L93, 8))</f>
        <v>0x00000000</v>
      </c>
      <c r="I19" s="7" t="str">
        <f>CONCATENATE("0x", DEC2HEX(
 _xlfn.BITLSHIFT(1, Group1!C91)*Group1!H91*Group1!L91
+_xlfn.BITLSHIFT(1, Group1!C92)*Group1!H92*Group1!L92
+_xlfn.BITLSHIFT(1, Group1!C93)*Group1!H93*Group1!L93, 8))</f>
        <v>0x00000000</v>
      </c>
      <c r="J19" s="133"/>
      <c r="K19" s="120"/>
      <c r="L19" s="139"/>
      <c r="M19" s="151"/>
    </row>
    <row r="20" spans="1:13" x14ac:dyDescent="0.25">
      <c r="A20" s="129"/>
      <c r="B20" s="56" t="s">
        <v>300</v>
      </c>
      <c r="C20" s="132"/>
      <c r="D20" s="68" t="s">
        <v>29</v>
      </c>
      <c r="E20" s="60">
        <f>VLOOKUP("RF_FUSE_INT_PULL", Config!$A$4:$E$50, HLOOKUP(C$1, Config!$C$2:$AA$3, 2, FALSE)+2,FALSE)*32</f>
        <v>32</v>
      </c>
      <c r="F20" s="38" t="s">
        <v>468</v>
      </c>
      <c r="G20" s="7" t="s">
        <v>472</v>
      </c>
      <c r="H20" s="7" t="str">
        <f>CONCATENATE("0x", DEC2HEX(
 _xlfn.BITLSHIFT(1, Group1!C94)*Group1!G94*Group1!L94, 8))</f>
        <v>0x00000000</v>
      </c>
      <c r="I20" s="7" t="str">
        <f>CONCATENATE("0x", DEC2HEX(
 _xlfn.BITLSHIFT(1, Group1!C94)*Group1!H94*Group1!L94, 8))</f>
        <v>0x00000000</v>
      </c>
      <c r="J20" s="133"/>
      <c r="K20" s="120"/>
      <c r="L20" s="139"/>
      <c r="M20" s="151"/>
    </row>
    <row r="21" spans="1:13" x14ac:dyDescent="0.25">
      <c r="A21" s="129"/>
      <c r="B21" s="56" t="s">
        <v>301</v>
      </c>
      <c r="C21" s="132"/>
      <c r="D21" s="68" t="s">
        <v>29</v>
      </c>
      <c r="E21" s="60">
        <f>VLOOKUP("RF_FUSE_INT_PULL", Config!$A$4:$E$50, HLOOKUP(C$1, Config!$C$2:$AA$3, 2, FALSE)+2,FALSE)*32</f>
        <v>32</v>
      </c>
      <c r="F21" s="38" t="s">
        <v>469</v>
      </c>
      <c r="G21" s="7" t="s">
        <v>473</v>
      </c>
      <c r="H21" s="7" t="str">
        <f>CONCATENATE("0x", DEC2HEX(
 _xlfn.BITLSHIFT(1, Group1!C95)*Group1!G95*Group1!L95, 8))</f>
        <v>0x00000000</v>
      </c>
      <c r="I21" s="7" t="str">
        <f>CONCATENATE("0x", DEC2HEX(
 _xlfn.BITLSHIFT(1, Group1!C95)*Group1!H95*Group1!L95, 8))</f>
        <v>0x00000000</v>
      </c>
      <c r="J21" s="133"/>
      <c r="K21" s="120"/>
      <c r="L21" s="139"/>
      <c r="M21" s="151"/>
    </row>
    <row r="22" spans="1:13" x14ac:dyDescent="0.25">
      <c r="A22" s="129"/>
      <c r="B22" s="56" t="s">
        <v>302</v>
      </c>
      <c r="C22" s="132"/>
      <c r="D22" s="68" t="s">
        <v>29</v>
      </c>
      <c r="E22" s="60">
        <f>VLOOKUP("RF_FUSE_INT_PULL", Config!$A$4:$E$50, HLOOKUP(C$1, Config!$C$2:$AA$3, 2, FALSE)+2,FALSE)*32</f>
        <v>32</v>
      </c>
      <c r="F22" s="38" t="s">
        <v>470</v>
      </c>
      <c r="G22" s="7" t="s">
        <v>474</v>
      </c>
      <c r="H22" s="7" t="str">
        <f>CONCATENATE("0x", DEC2HEX(
 _xlfn.BITLSHIFT(1, Group1!C96)*Group1!G96*Group1!L96, 8))</f>
        <v>0x00000000</v>
      </c>
      <c r="I22" s="7" t="str">
        <f>CONCATENATE("0x", DEC2HEX(
 _xlfn.BITLSHIFT(1, Group1!C96)*Group1!H96*Group1!L96, 8))</f>
        <v>0x00000000</v>
      </c>
      <c r="J22" s="133"/>
      <c r="K22" s="120"/>
      <c r="L22" s="139"/>
      <c r="M22" s="151"/>
    </row>
    <row r="23" spans="1:13" x14ac:dyDescent="0.25">
      <c r="A23" s="129"/>
      <c r="B23" s="53" t="s">
        <v>41</v>
      </c>
      <c r="C23" s="132"/>
      <c r="D23" s="68" t="s">
        <v>29</v>
      </c>
      <c r="E23" s="62">
        <v>32</v>
      </c>
      <c r="F23" s="38" t="s">
        <v>42</v>
      </c>
      <c r="G23" s="17" t="s">
        <v>43</v>
      </c>
      <c r="H23" s="17" t="str">
        <f>CONCATENATE("0x", DEC2HEX(
 _xlfn.BITLSHIFT(1, Group1!C105)*Group1!G105*Group1!L105
+_xlfn.BITLSHIFT(1, Group1!C106)*Group1!G106*Group1!L106
+_xlfn.BITLSHIFT(1, Group1!C107)*Group1!G107*Group1!L107
+_xlfn.BITLSHIFT(1, Group1!C108)*Group1!G108*Group1!L108, 8))</f>
        <v>0x00000000</v>
      </c>
      <c r="I23" s="17" t="str">
        <f>CONCATENATE("0x", DEC2HEX(
 _xlfn.BITLSHIFT(1, Group1!C105)*Group1!H105*Group1!L105
+_xlfn.BITLSHIFT(1, Group1!C106)*Group1!H106*Group1!L106
+_xlfn.BITLSHIFT(1, Group1!C107)*Group1!H107*Group1!L107
+_xlfn.BITLSHIFT(1, Group1!C108)*Group1!H108*Group1!L108, 8))</f>
        <v>0x0A000000</v>
      </c>
      <c r="J23" s="133"/>
      <c r="K23" s="120"/>
      <c r="L23" s="140"/>
      <c r="M23" s="152"/>
    </row>
    <row r="24" spans="1:13" x14ac:dyDescent="0.25">
      <c r="A24" s="128" t="s">
        <v>44</v>
      </c>
      <c r="B24" s="53" t="s">
        <v>45</v>
      </c>
      <c r="C24" s="132" t="s">
        <v>46</v>
      </c>
      <c r="D24" s="68" t="s">
        <v>47</v>
      </c>
      <c r="E24" s="62">
        <v>32</v>
      </c>
      <c r="F24" s="38" t="s">
        <v>48</v>
      </c>
      <c r="G24" s="17" t="s">
        <v>49</v>
      </c>
      <c r="H24" s="17" t="s">
        <v>57</v>
      </c>
      <c r="I24" s="17" t="s">
        <v>57</v>
      </c>
      <c r="J24" s="133" t="s">
        <v>456</v>
      </c>
      <c r="K24" s="120"/>
      <c r="L24" s="126" t="s">
        <v>522</v>
      </c>
      <c r="M24" s="116">
        <f>2</f>
        <v>2</v>
      </c>
    </row>
    <row r="25" spans="1:13" x14ac:dyDescent="0.25">
      <c r="A25" s="130"/>
      <c r="B25" s="53" t="s">
        <v>50</v>
      </c>
      <c r="C25" s="132"/>
      <c r="D25" s="68" t="s">
        <v>47</v>
      </c>
      <c r="E25" s="62">
        <v>32</v>
      </c>
      <c r="F25" s="38" t="s">
        <v>51</v>
      </c>
      <c r="G25" s="17" t="s">
        <v>52</v>
      </c>
      <c r="H25" s="17" t="s">
        <v>57</v>
      </c>
      <c r="I25" s="17" t="s">
        <v>57</v>
      </c>
      <c r="J25" s="120"/>
      <c r="K25" s="120"/>
      <c r="L25" s="140"/>
      <c r="M25" s="152"/>
    </row>
    <row r="26" spans="1:13" x14ac:dyDescent="0.25">
      <c r="A26" s="128" t="s">
        <v>53</v>
      </c>
      <c r="B26" s="53" t="s">
        <v>54</v>
      </c>
      <c r="C26" s="132" t="s">
        <v>55</v>
      </c>
      <c r="D26" s="68" t="s">
        <v>56</v>
      </c>
      <c r="E26" s="62">
        <v>32</v>
      </c>
      <c r="F26" s="38" t="s">
        <v>57</v>
      </c>
      <c r="G26" s="17" t="s">
        <v>58</v>
      </c>
      <c r="H26" s="17" t="s">
        <v>57</v>
      </c>
      <c r="I26" s="17" t="s">
        <v>57</v>
      </c>
      <c r="J26" s="120" t="s">
        <v>457</v>
      </c>
      <c r="K26" s="148" t="s">
        <v>57</v>
      </c>
      <c r="L26" s="126" t="s">
        <v>57</v>
      </c>
      <c r="M26" s="116" t="s">
        <v>57</v>
      </c>
    </row>
    <row r="27" spans="1:13" x14ac:dyDescent="0.25">
      <c r="A27" s="129"/>
      <c r="B27" s="53" t="s">
        <v>59</v>
      </c>
      <c r="C27" s="132"/>
      <c r="D27" s="68" t="s">
        <v>56</v>
      </c>
      <c r="E27" s="62">
        <v>32</v>
      </c>
      <c r="F27" s="38" t="s">
        <v>57</v>
      </c>
      <c r="G27" s="17" t="s">
        <v>60</v>
      </c>
      <c r="H27" s="17" t="s">
        <v>57</v>
      </c>
      <c r="I27" s="17" t="s">
        <v>57</v>
      </c>
      <c r="J27" s="120"/>
      <c r="K27" s="148"/>
      <c r="L27" s="139"/>
      <c r="M27" s="151"/>
    </row>
    <row r="28" spans="1:13" ht="15.75" thickBot="1" x14ac:dyDescent="0.3">
      <c r="A28" s="130"/>
      <c r="B28" s="57" t="s">
        <v>61</v>
      </c>
      <c r="C28" s="141"/>
      <c r="D28" s="69" t="s">
        <v>56</v>
      </c>
      <c r="E28" s="63">
        <v>32</v>
      </c>
      <c r="F28" s="41" t="s">
        <v>57</v>
      </c>
      <c r="G28" s="39" t="s">
        <v>62</v>
      </c>
      <c r="H28" s="39" t="s">
        <v>57</v>
      </c>
      <c r="I28" s="39" t="s">
        <v>57</v>
      </c>
      <c r="J28" s="122"/>
      <c r="K28" s="149"/>
      <c r="L28" s="154"/>
      <c r="M28" s="153"/>
    </row>
    <row r="29" spans="1:13" ht="15.75" thickBot="1" x14ac:dyDescent="0.3">
      <c r="A29" s="19"/>
    </row>
    <row r="30" spans="1:13" x14ac:dyDescent="0.25">
      <c r="A30" s="118" t="s">
        <v>63</v>
      </c>
      <c r="B30" s="70" t="s">
        <v>64</v>
      </c>
      <c r="C30" s="70"/>
      <c r="D30" s="71" t="s">
        <v>65</v>
      </c>
      <c r="E30" s="76">
        <v>512</v>
      </c>
      <c r="F30" s="42" t="s">
        <v>66</v>
      </c>
      <c r="G30" s="43" t="s">
        <v>57</v>
      </c>
      <c r="H30" s="43" t="s">
        <v>57</v>
      </c>
      <c r="I30" s="43" t="s">
        <v>57</v>
      </c>
      <c r="J30" s="44" t="s">
        <v>57</v>
      </c>
      <c r="K30" s="123" t="s">
        <v>57</v>
      </c>
      <c r="L30" s="142" t="s">
        <v>57</v>
      </c>
      <c r="M30" s="145" t="s">
        <v>57</v>
      </c>
    </row>
    <row r="31" spans="1:13" ht="15" customHeight="1" x14ac:dyDescent="0.25">
      <c r="A31" s="118"/>
      <c r="B31" s="67" t="s">
        <v>67</v>
      </c>
      <c r="C31" s="67" t="s">
        <v>18</v>
      </c>
      <c r="D31" s="68" t="s">
        <v>65</v>
      </c>
      <c r="E31" s="77">
        <f>VLOOKUP("TRC_PRESENT", Config!$A$4:$E$50, HLOOKUP(C$1, Config!$C$2:$AA$3, 2, FALSE)+2,FALSE)*32</f>
        <v>0</v>
      </c>
      <c r="F31" s="38" t="s">
        <v>68</v>
      </c>
      <c r="G31" s="17" t="s">
        <v>69</v>
      </c>
      <c r="H31" s="17" t="s">
        <v>480</v>
      </c>
      <c r="I31" s="17" t="s">
        <v>480</v>
      </c>
      <c r="J31" s="133" t="s">
        <v>455</v>
      </c>
      <c r="K31" s="120"/>
      <c r="L31" s="143"/>
      <c r="M31" s="146"/>
    </row>
    <row r="32" spans="1:13" x14ac:dyDescent="0.25">
      <c r="A32" s="118"/>
      <c r="B32" s="67" t="s">
        <v>70</v>
      </c>
      <c r="C32" s="67" t="s">
        <v>18</v>
      </c>
      <c r="D32" s="68" t="s">
        <v>65</v>
      </c>
      <c r="E32" s="77">
        <f>VLOOKUP("TRC_PRESENT", Config!$A$4:$E$50, HLOOKUP(C$1, Config!$C$2:$AA$3, 2, FALSE)+2,FALSE)*32</f>
        <v>0</v>
      </c>
      <c r="F32" s="38" t="s">
        <v>71</v>
      </c>
      <c r="G32" s="17" t="s">
        <v>72</v>
      </c>
      <c r="H32" s="17" t="s">
        <v>480</v>
      </c>
      <c r="I32" s="17" t="s">
        <v>480</v>
      </c>
      <c r="J32" s="133"/>
      <c r="K32" s="120"/>
      <c r="L32" s="143"/>
      <c r="M32" s="146"/>
    </row>
    <row r="33" spans="1:13" x14ac:dyDescent="0.25">
      <c r="A33" s="118"/>
      <c r="B33" s="67" t="s">
        <v>445</v>
      </c>
      <c r="C33" s="67" t="s">
        <v>661</v>
      </c>
      <c r="D33" s="68" t="s">
        <v>65</v>
      </c>
      <c r="E33" s="77">
        <f>IF(VLOOKUP("PARAM_INT_IFP_TRIPLE_RDD_DIS", Config!$A$4:$E$61, HLOOKUP(C$1, Config!$C$2:$AA$3, 2, FALSE)+2,FALSE)=0, VLOOKUP("OEM_SECRET_KEY_FUSES_LIMIT", Config!$A$4:$E$61, HLOOKUP(C$1, Config!$C$2:$AA$3, 2, FALSE)+2,FALSE)*32, 0)</f>
        <v>0</v>
      </c>
      <c r="F33" s="38" t="s">
        <v>499</v>
      </c>
      <c r="G33" s="17" t="s">
        <v>500</v>
      </c>
      <c r="H33" s="17" t="s">
        <v>480</v>
      </c>
      <c r="I33" s="17" t="s">
        <v>480</v>
      </c>
      <c r="J33" s="133"/>
      <c r="K33" s="120"/>
      <c r="L33" s="143"/>
      <c r="M33" s="146"/>
    </row>
    <row r="34" spans="1:13" x14ac:dyDescent="0.25">
      <c r="A34" s="118"/>
      <c r="B34" s="72" t="s">
        <v>73</v>
      </c>
      <c r="C34" s="72"/>
      <c r="D34" s="73" t="s">
        <v>65</v>
      </c>
      <c r="E34" s="78">
        <v>2048</v>
      </c>
      <c r="F34" s="45" t="s">
        <v>74</v>
      </c>
      <c r="G34" s="2" t="s">
        <v>57</v>
      </c>
      <c r="H34" s="35" t="s">
        <v>57</v>
      </c>
      <c r="I34" s="2" t="s">
        <v>57</v>
      </c>
      <c r="J34" s="35" t="s">
        <v>57</v>
      </c>
      <c r="K34" s="120"/>
      <c r="L34" s="143"/>
      <c r="M34" s="146"/>
    </row>
    <row r="35" spans="1:13" x14ac:dyDescent="0.25">
      <c r="A35" s="118"/>
      <c r="B35" s="72" t="s">
        <v>64</v>
      </c>
      <c r="C35" s="72"/>
      <c r="D35" s="73" t="s">
        <v>497</v>
      </c>
      <c r="E35" s="78">
        <v>512</v>
      </c>
      <c r="F35" s="45" t="s">
        <v>514</v>
      </c>
      <c r="G35" s="2" t="s">
        <v>57</v>
      </c>
      <c r="H35" s="2" t="s">
        <v>57</v>
      </c>
      <c r="I35" s="2" t="s">
        <v>57</v>
      </c>
      <c r="J35" s="35" t="s">
        <v>57</v>
      </c>
      <c r="K35" s="120"/>
      <c r="L35" s="143"/>
      <c r="M35" s="146"/>
    </row>
    <row r="36" spans="1:13" ht="15" customHeight="1" x14ac:dyDescent="0.25">
      <c r="A36" s="118"/>
      <c r="B36" s="67" t="s">
        <v>440</v>
      </c>
      <c r="C36" s="67" t="s">
        <v>18</v>
      </c>
      <c r="D36" s="68" t="s">
        <v>497</v>
      </c>
      <c r="E36" s="77">
        <f>IF(VLOOKUP("PARAM_INT_IFP_TRIPLE_RDD_DIS", Config!$A$4:$E$61, HLOOKUP(C$1, Config!$C$2:$AA$3, 2, FALSE)+2,FALSE)=0, VLOOKUP("TRC_PRESENT", Config!$A$4:$E$61, HLOOKUP(C$1, Config!$C$2:$AA$3, 2, FALSE)+2,FALSE)*32, 0)</f>
        <v>0</v>
      </c>
      <c r="F36" s="38" t="s">
        <v>509</v>
      </c>
      <c r="G36" s="17" t="s">
        <v>501</v>
      </c>
      <c r="H36" s="17" t="s">
        <v>480</v>
      </c>
      <c r="I36" s="17" t="s">
        <v>480</v>
      </c>
      <c r="J36" s="133" t="s">
        <v>455</v>
      </c>
      <c r="K36" s="120"/>
      <c r="L36" s="143"/>
      <c r="M36" s="146"/>
    </row>
    <row r="37" spans="1:13" x14ac:dyDescent="0.25">
      <c r="A37" s="118"/>
      <c r="B37" s="67" t="s">
        <v>495</v>
      </c>
      <c r="C37" s="67" t="s">
        <v>18</v>
      </c>
      <c r="D37" s="68" t="s">
        <v>497</v>
      </c>
      <c r="E37" s="77">
        <f>IF(VLOOKUP("PARAM_INT_IFP_TRIPLE_RDD_DIS", Config!$A$4:$E$61, HLOOKUP(C$1, Config!$C$2:$AA$3, 2, FALSE)+2,FALSE)=0, VLOOKUP("TRC_PRESENT", Config!$A$4:$E$61, HLOOKUP(C$1, Config!$C$2:$AA$3, 2, FALSE)+2,FALSE)*32, 0)</f>
        <v>0</v>
      </c>
      <c r="F37" s="38" t="s">
        <v>512</v>
      </c>
      <c r="G37" s="17" t="s">
        <v>502</v>
      </c>
      <c r="H37" s="17" t="s">
        <v>480</v>
      </c>
      <c r="I37" s="17" t="s">
        <v>480</v>
      </c>
      <c r="J37" s="133"/>
      <c r="K37" s="120"/>
      <c r="L37" s="143"/>
      <c r="M37" s="146"/>
    </row>
    <row r="38" spans="1:13" x14ac:dyDescent="0.25">
      <c r="A38" s="118"/>
      <c r="B38" s="67" t="s">
        <v>448</v>
      </c>
      <c r="C38" s="67" t="s">
        <v>661</v>
      </c>
      <c r="D38" s="68" t="s">
        <v>497</v>
      </c>
      <c r="E38" s="77">
        <f>IF(VLOOKUP("PARAM_INT_IFP_TRIPLE_RDD_DIS", Config!$A$4:$E$61, HLOOKUP(C$1, Config!$C$2:$AA$3, 2, FALSE)+2,FALSE)=0, VLOOKUP("OEM_SECRET_KEY_FUSES_LIMIT", Config!$A$4:$E$61, HLOOKUP(C$1, Config!$C$2:$AA$3, 2, FALSE)+2,FALSE)*32, 0)</f>
        <v>0</v>
      </c>
      <c r="F38" s="38" t="s">
        <v>507</v>
      </c>
      <c r="G38" s="17" t="s">
        <v>505</v>
      </c>
      <c r="H38" s="17" t="s">
        <v>480</v>
      </c>
      <c r="I38" s="17" t="s">
        <v>480</v>
      </c>
      <c r="J38" s="133"/>
      <c r="K38" s="120"/>
      <c r="L38" s="143"/>
      <c r="M38" s="146"/>
    </row>
    <row r="39" spans="1:13" x14ac:dyDescent="0.25">
      <c r="A39" s="118"/>
      <c r="B39" s="72" t="s">
        <v>73</v>
      </c>
      <c r="C39" s="72"/>
      <c r="D39" s="73" t="s">
        <v>497</v>
      </c>
      <c r="E39" s="78">
        <v>2048</v>
      </c>
      <c r="F39" s="45" t="s">
        <v>513</v>
      </c>
      <c r="G39" s="2" t="s">
        <v>57</v>
      </c>
      <c r="H39" s="35" t="s">
        <v>57</v>
      </c>
      <c r="I39" s="2" t="s">
        <v>57</v>
      </c>
      <c r="J39" s="35" t="s">
        <v>57</v>
      </c>
      <c r="K39" s="120"/>
      <c r="L39" s="143"/>
      <c r="M39" s="146"/>
    </row>
    <row r="40" spans="1:13" x14ac:dyDescent="0.25">
      <c r="A40" s="118"/>
      <c r="B40" s="72" t="s">
        <v>64</v>
      </c>
      <c r="C40" s="72"/>
      <c r="D40" s="73" t="s">
        <v>498</v>
      </c>
      <c r="E40" s="78">
        <v>512</v>
      </c>
      <c r="F40" s="45" t="s">
        <v>515</v>
      </c>
      <c r="G40" s="2" t="s">
        <v>57</v>
      </c>
      <c r="H40" s="2" t="s">
        <v>57</v>
      </c>
      <c r="I40" s="2" t="s">
        <v>57</v>
      </c>
      <c r="J40" s="35" t="s">
        <v>57</v>
      </c>
      <c r="K40" s="120"/>
      <c r="L40" s="143"/>
      <c r="M40" s="146"/>
    </row>
    <row r="41" spans="1:13" ht="15" customHeight="1" x14ac:dyDescent="0.25">
      <c r="A41" s="118"/>
      <c r="B41" s="67" t="s">
        <v>443</v>
      </c>
      <c r="C41" s="67" t="s">
        <v>18</v>
      </c>
      <c r="D41" s="68" t="s">
        <v>498</v>
      </c>
      <c r="E41" s="77">
        <f>IF(VLOOKUP("PARAM_INT_IFP_TRIPLE_RDD_DIS", Config!$A$4:$E$61, HLOOKUP(C$1, Config!$C$2:$AA$3, 2, FALSE)+2,FALSE)=0, VLOOKUP("TRC_PRESENT", Config!$A$4:$E$61, HLOOKUP(C$1, Config!$C$2:$AA$3, 2, FALSE)+2,FALSE)*32, 0)</f>
        <v>0</v>
      </c>
      <c r="F41" s="38" t="s">
        <v>511</v>
      </c>
      <c r="G41" s="17" t="s">
        <v>503</v>
      </c>
      <c r="H41" s="17" t="s">
        <v>480</v>
      </c>
      <c r="I41" s="17" t="s">
        <v>480</v>
      </c>
      <c r="J41" s="133" t="s">
        <v>455</v>
      </c>
      <c r="K41" s="120"/>
      <c r="L41" s="143"/>
      <c r="M41" s="146"/>
    </row>
    <row r="42" spans="1:13" x14ac:dyDescent="0.25">
      <c r="A42" s="118"/>
      <c r="B42" s="67" t="s">
        <v>496</v>
      </c>
      <c r="C42" s="67" t="s">
        <v>18</v>
      </c>
      <c r="D42" s="68" t="s">
        <v>498</v>
      </c>
      <c r="E42" s="77">
        <f>IF(VLOOKUP("PARAM_INT_IFP_TRIPLE_RDD_DIS", Config!$A$4:$E$61, HLOOKUP(C$1, Config!$C$2:$AA$3, 2, FALSE)+2,FALSE)=0, VLOOKUP("TRC_PRESENT", Config!$A$4:$E$61, HLOOKUP(C$1, Config!$C$2:$AA$3, 2, FALSE)+2,FALSE)*32, 0)</f>
        <v>0</v>
      </c>
      <c r="F42" s="38" t="s">
        <v>510</v>
      </c>
      <c r="G42" s="17" t="s">
        <v>504</v>
      </c>
      <c r="H42" s="17" t="s">
        <v>480</v>
      </c>
      <c r="I42" s="17" t="s">
        <v>480</v>
      </c>
      <c r="J42" s="133"/>
      <c r="K42" s="120"/>
      <c r="L42" s="143"/>
      <c r="M42" s="146"/>
    </row>
    <row r="43" spans="1:13" x14ac:dyDescent="0.25">
      <c r="A43" s="118"/>
      <c r="B43" s="67" t="s">
        <v>451</v>
      </c>
      <c r="C43" s="67" t="s">
        <v>661</v>
      </c>
      <c r="D43" s="68" t="s">
        <v>498</v>
      </c>
      <c r="E43" s="77">
        <f>IF(VLOOKUP("PARAM_INT_IFP_TRIPLE_RDD_DIS", Config!$A$4:$E$61, HLOOKUP(C$1, Config!$C$2:$AA$3, 2, FALSE)+2,FALSE)=0, VLOOKUP("OEM_SECRET_KEY_FUSES_LIMIT", Config!$A$4:$E$61, HLOOKUP(C$1, Config!$C$2:$AA$3, 2, FALSE)+2,FALSE)*32, 0)</f>
        <v>0</v>
      </c>
      <c r="F43" s="38" t="s">
        <v>508</v>
      </c>
      <c r="G43" s="17" t="s">
        <v>506</v>
      </c>
      <c r="H43" s="17" t="s">
        <v>480</v>
      </c>
      <c r="I43" s="17" t="s">
        <v>480</v>
      </c>
      <c r="J43" s="133"/>
      <c r="K43" s="120"/>
      <c r="L43" s="143"/>
      <c r="M43" s="146"/>
    </row>
    <row r="44" spans="1:13" ht="15.75" thickBot="1" x14ac:dyDescent="0.3">
      <c r="A44" s="118"/>
      <c r="B44" s="74" t="s">
        <v>73</v>
      </c>
      <c r="C44" s="74"/>
      <c r="D44" s="75" t="s">
        <v>498</v>
      </c>
      <c r="E44" s="79">
        <v>2048</v>
      </c>
      <c r="F44" s="50" t="s">
        <v>516</v>
      </c>
      <c r="G44" s="80" t="s">
        <v>57</v>
      </c>
      <c r="H44" s="81" t="s">
        <v>57</v>
      </c>
      <c r="I44" s="80" t="s">
        <v>57</v>
      </c>
      <c r="J44" s="81" t="s">
        <v>57</v>
      </c>
      <c r="K44" s="122"/>
      <c r="L44" s="144"/>
      <c r="M44" s="147"/>
    </row>
    <row r="45" spans="1:13" ht="15" customHeight="1" x14ac:dyDescent="0.25">
      <c r="C45" s="16" t="s">
        <v>81</v>
      </c>
    </row>
    <row r="46" spans="1:13" ht="15" customHeight="1" x14ac:dyDescent="0.25">
      <c r="C46" s="16" t="s">
        <v>82</v>
      </c>
    </row>
    <row r="47" spans="1:13" ht="15" customHeight="1" x14ac:dyDescent="0.25">
      <c r="C47" s="16" t="s">
        <v>83</v>
      </c>
    </row>
    <row r="48" spans="1:13" ht="15" customHeight="1" x14ac:dyDescent="0.25"/>
  </sheetData>
  <mergeCells count="34">
    <mergeCell ref="M13:M23"/>
    <mergeCell ref="M24:M25"/>
    <mergeCell ref="M26:M28"/>
    <mergeCell ref="M30:M44"/>
    <mergeCell ref="J31:J33"/>
    <mergeCell ref="J36:J38"/>
    <mergeCell ref="J41:J43"/>
    <mergeCell ref="L30:L44"/>
    <mergeCell ref="L13:L23"/>
    <mergeCell ref="L24:L25"/>
    <mergeCell ref="L26:L28"/>
    <mergeCell ref="C26:C28"/>
    <mergeCell ref="J26:J28"/>
    <mergeCell ref="K26:K28"/>
    <mergeCell ref="A30:A44"/>
    <mergeCell ref="K30:K44"/>
    <mergeCell ref="A26:A28"/>
    <mergeCell ref="A13:A23"/>
    <mergeCell ref="C13:C23"/>
    <mergeCell ref="J13:J23"/>
    <mergeCell ref="K13:K25"/>
    <mergeCell ref="A24:A25"/>
    <mergeCell ref="C24:C25"/>
    <mergeCell ref="J24:J25"/>
    <mergeCell ref="A3:A7"/>
    <mergeCell ref="J3:J7"/>
    <mergeCell ref="K3:K7"/>
    <mergeCell ref="L3:L7"/>
    <mergeCell ref="M3:M7"/>
    <mergeCell ref="J8:J12"/>
    <mergeCell ref="K8:K12"/>
    <mergeCell ref="L8:L12"/>
    <mergeCell ref="M8:M12"/>
    <mergeCell ref="A9:A12"/>
  </mergeCells>
  <conditionalFormatting sqref="I3:I5 I7:I10 I12">
    <cfRule type="cellIs" dxfId="79" priority="35" operator="equal">
      <formula>0</formula>
    </cfRule>
  </conditionalFormatting>
  <conditionalFormatting sqref="F19:I19">
    <cfRule type="cellIs" dxfId="78" priority="75" operator="equal">
      <formula>0</formula>
    </cfRule>
  </conditionalFormatting>
  <conditionalFormatting sqref="H24:H28 H30">
    <cfRule type="cellIs" dxfId="77" priority="73" operator="equal">
      <formula>0</formula>
    </cfRule>
  </conditionalFormatting>
  <conditionalFormatting sqref="I24:I28 I30">
    <cfRule type="cellIs" dxfId="76" priority="72" operator="equal">
      <formula>0</formula>
    </cfRule>
  </conditionalFormatting>
  <conditionalFormatting sqref="H6">
    <cfRule type="cellIs" dxfId="75" priority="27" operator="equal">
      <formula>0</formula>
    </cfRule>
  </conditionalFormatting>
  <conditionalFormatting sqref="I6">
    <cfRule type="cellIs" dxfId="74" priority="25" operator="equal">
      <formula>0</formula>
    </cfRule>
  </conditionalFormatting>
  <conditionalFormatting sqref="H11">
    <cfRule type="cellIs" dxfId="73" priority="22" operator="equal">
      <formula>0</formula>
    </cfRule>
  </conditionalFormatting>
  <conditionalFormatting sqref="E17">
    <cfRule type="cellIs" dxfId="72" priority="64" operator="equal">
      <formula>0</formula>
    </cfRule>
  </conditionalFormatting>
  <conditionalFormatting sqref="E18">
    <cfRule type="cellIs" dxfId="71" priority="63" operator="equal">
      <formula>0</formula>
    </cfRule>
  </conditionalFormatting>
  <conditionalFormatting sqref="E19">
    <cfRule type="cellIs" dxfId="70" priority="62" operator="equal">
      <formula>0</formula>
    </cfRule>
  </conditionalFormatting>
  <conditionalFormatting sqref="E20">
    <cfRule type="cellIs" dxfId="69" priority="61" operator="equal">
      <formula>0</formula>
    </cfRule>
  </conditionalFormatting>
  <conditionalFormatting sqref="E31">
    <cfRule type="cellIs" dxfId="68" priority="58" operator="equal">
      <formula>0</formula>
    </cfRule>
  </conditionalFormatting>
  <conditionalFormatting sqref="E41">
    <cfRule type="cellIs" dxfId="67" priority="50" operator="equal">
      <formula>0</formula>
    </cfRule>
  </conditionalFormatting>
  <conditionalFormatting sqref="E21">
    <cfRule type="cellIs" dxfId="66" priority="60" operator="equal">
      <formula>0</formula>
    </cfRule>
  </conditionalFormatting>
  <conditionalFormatting sqref="E22">
    <cfRule type="cellIs" dxfId="65" priority="59" operator="equal">
      <formula>0</formula>
    </cfRule>
  </conditionalFormatting>
  <conditionalFormatting sqref="E32 E34">
    <cfRule type="cellIs" dxfId="64" priority="57" operator="equal">
      <formula>0</formula>
    </cfRule>
  </conditionalFormatting>
  <conditionalFormatting sqref="E36">
    <cfRule type="cellIs" dxfId="63" priority="52" operator="equal">
      <formula>0</formula>
    </cfRule>
  </conditionalFormatting>
  <conditionalFormatting sqref="E39">
    <cfRule type="cellIs" dxfId="62" priority="47" operator="equal">
      <formula>0</formula>
    </cfRule>
  </conditionalFormatting>
  <conditionalFormatting sqref="E42">
    <cfRule type="cellIs" dxfId="61" priority="49" operator="equal">
      <formula>0</formula>
    </cfRule>
  </conditionalFormatting>
  <conditionalFormatting sqref="H35">
    <cfRule type="cellIs" dxfId="60" priority="56" operator="equal">
      <formula>0</formula>
    </cfRule>
  </conditionalFormatting>
  <conditionalFormatting sqref="I35">
    <cfRule type="cellIs" dxfId="59" priority="55" operator="equal">
      <formula>0</formula>
    </cfRule>
  </conditionalFormatting>
  <conditionalFormatting sqref="H40">
    <cfRule type="cellIs" dxfId="58" priority="54" operator="equal">
      <formula>0</formula>
    </cfRule>
  </conditionalFormatting>
  <conditionalFormatting sqref="I40">
    <cfRule type="cellIs" dxfId="57" priority="53" operator="equal">
      <formula>0</formula>
    </cfRule>
  </conditionalFormatting>
  <conditionalFormatting sqref="E37">
    <cfRule type="cellIs" dxfId="56" priority="51" operator="equal">
      <formula>0</formula>
    </cfRule>
  </conditionalFormatting>
  <conditionalFormatting sqref="E44">
    <cfRule type="cellIs" dxfId="55" priority="48" operator="equal">
      <formula>0</formula>
    </cfRule>
  </conditionalFormatting>
  <conditionalFormatting sqref="E33">
    <cfRule type="cellIs" dxfId="54" priority="46" operator="equal">
      <formula>0</formula>
    </cfRule>
  </conditionalFormatting>
  <conditionalFormatting sqref="E38">
    <cfRule type="cellIs" dxfId="53" priority="45" operator="equal">
      <formula>0</formula>
    </cfRule>
  </conditionalFormatting>
  <conditionalFormatting sqref="E43">
    <cfRule type="cellIs" dxfId="52" priority="44" operator="equal">
      <formula>0</formula>
    </cfRule>
  </conditionalFormatting>
  <conditionalFormatting sqref="H3:H5 H7:H10 H12">
    <cfRule type="cellIs" dxfId="51" priority="43" operator="equal">
      <formula>0</formula>
    </cfRule>
  </conditionalFormatting>
  <conditionalFormatting sqref="I11">
    <cfRule type="cellIs" dxfId="50" priority="21" operator="equal">
      <formula>0</formula>
    </cfRule>
  </conditionalFormatting>
  <conditionalFormatting sqref="B3:G3">
    <cfRule type="cellIs" dxfId="49" priority="19" operator="equal">
      <formula>0</formula>
    </cfRule>
  </conditionalFormatting>
  <conditionalFormatting sqref="B9:D9 F9:G9">
    <cfRule type="cellIs" dxfId="48" priority="14" operator="equal">
      <formula>0</formula>
    </cfRule>
  </conditionalFormatting>
  <conditionalFormatting sqref="E4">
    <cfRule type="cellIs" dxfId="47" priority="11" operator="equal">
      <formula>0</formula>
    </cfRule>
  </conditionalFormatting>
  <conditionalFormatting sqref="E5">
    <cfRule type="cellIs" dxfId="46" priority="10" operator="equal">
      <formula>0</formula>
    </cfRule>
  </conditionalFormatting>
  <conditionalFormatting sqref="E7">
    <cfRule type="cellIs" dxfId="45" priority="9" operator="equal">
      <formula>0</formula>
    </cfRule>
  </conditionalFormatting>
  <conditionalFormatting sqref="E9">
    <cfRule type="cellIs" dxfId="44" priority="7" operator="equal">
      <formula>0</formula>
    </cfRule>
  </conditionalFormatting>
  <conditionalFormatting sqref="E12">
    <cfRule type="cellIs" dxfId="43" priority="5" operator="equal">
      <formula>0</formula>
    </cfRule>
  </conditionalFormatting>
  <conditionalFormatting sqref="B6:D6 F6:G6">
    <cfRule type="cellIs" dxfId="42" priority="4" operator="equal">
      <formula>0</formula>
    </cfRule>
  </conditionalFormatting>
  <conditionalFormatting sqref="E11">
    <cfRule type="cellIs" dxfId="41" priority="1" operator="equal">
      <formula>0</formula>
    </cfRule>
  </conditionalFormatting>
  <conditionalFormatting sqref="B4:D4 F4:G4">
    <cfRule type="cellIs" dxfId="40" priority="18" operator="equal">
      <formula>0</formula>
    </cfRule>
  </conditionalFormatting>
  <conditionalFormatting sqref="B5:D5 F5:G5">
    <cfRule type="cellIs" dxfId="39" priority="17" operator="equal">
      <formula>0</formula>
    </cfRule>
  </conditionalFormatting>
  <conditionalFormatting sqref="B7 F7:G7 D7">
    <cfRule type="cellIs" dxfId="38" priority="16" operator="equal">
      <formula>0</formula>
    </cfRule>
  </conditionalFormatting>
  <conditionalFormatting sqref="B8:D8 F8:G8">
    <cfRule type="cellIs" priority="15" operator="equal">
      <formula>0</formula>
    </cfRule>
  </conditionalFormatting>
  <conditionalFormatting sqref="B10:D10 F10:G10">
    <cfRule type="cellIs" dxfId="37" priority="12" operator="equal">
      <formula>0</formula>
    </cfRule>
    <cfRule type="cellIs" dxfId="36" priority="13" operator="equal">
      <formula>0</formula>
    </cfRule>
  </conditionalFormatting>
  <conditionalFormatting sqref="E8">
    <cfRule type="cellIs" dxfId="35" priority="8" operator="equal">
      <formula>0</formula>
    </cfRule>
  </conditionalFormatting>
  <conditionalFormatting sqref="E10">
    <cfRule type="cellIs" dxfId="34" priority="6" operator="equal">
      <formula>0</formula>
    </cfRule>
  </conditionalFormatting>
  <conditionalFormatting sqref="E6">
    <cfRule type="cellIs" dxfId="33" priority="3" operator="equal">
      <formula>0</formula>
    </cfRule>
  </conditionalFormatting>
  <conditionalFormatting sqref="C7">
    <cfRule type="cellIs" dxfId="32"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dimension ref="A1:N120"/>
  <sheetViews>
    <sheetView zoomScaleNormal="100" workbookViewId="0"/>
  </sheetViews>
  <sheetFormatPr defaultColWidth="9.140625" defaultRowHeight="15" x14ac:dyDescent="0.25"/>
  <cols>
    <col min="1" max="1" width="34.85546875" style="6" bestFit="1" customWidth="1"/>
    <col min="2" max="2" width="63" style="6" bestFit="1" customWidth="1"/>
    <col min="3" max="3" width="11.28515625" style="16" bestFit="1" customWidth="1"/>
    <col min="4" max="4" width="12.5703125" style="16" bestFit="1" customWidth="1"/>
    <col min="5" max="5" width="41" style="6" bestFit="1" customWidth="1"/>
    <col min="6" max="6" width="20" style="6" bestFit="1" customWidth="1"/>
    <col min="7" max="8" width="10.42578125" style="16" customWidth="1"/>
    <col min="9" max="9" width="30.42578125" style="6" bestFit="1" customWidth="1"/>
    <col min="10" max="10" width="12.5703125" style="6" bestFit="1" customWidth="1"/>
    <col min="11" max="11" width="36.85546875" style="16" customWidth="1"/>
    <col min="12" max="14" width="9" style="6" bestFit="1" customWidth="1"/>
    <col min="15" max="15" width="20" style="6" customWidth="1"/>
    <col min="16" max="16384" width="9.140625" style="6"/>
  </cols>
  <sheetData>
    <row r="1" spans="1:14" ht="20.25" customHeight="1" x14ac:dyDescent="0.25">
      <c r="A1" s="1" t="s">
        <v>75</v>
      </c>
      <c r="B1" s="1" t="s">
        <v>76</v>
      </c>
      <c r="C1" s="1" t="s">
        <v>475</v>
      </c>
      <c r="D1" s="1" t="s">
        <v>476</v>
      </c>
      <c r="E1" s="1" t="s">
        <v>77</v>
      </c>
      <c r="F1" s="1" t="s">
        <v>78</v>
      </c>
      <c r="G1" s="1" t="s">
        <v>462</v>
      </c>
      <c r="H1" s="1" t="s">
        <v>461</v>
      </c>
      <c r="I1" s="1" t="s">
        <v>79</v>
      </c>
      <c r="J1" s="1" t="s">
        <v>80</v>
      </c>
      <c r="K1" s="1" t="s">
        <v>525</v>
      </c>
      <c r="L1" s="1" t="s">
        <v>81</v>
      </c>
      <c r="M1" s="1" t="s">
        <v>82</v>
      </c>
      <c r="N1" s="1" t="s">
        <v>83</v>
      </c>
    </row>
    <row r="2" spans="1:14" x14ac:dyDescent="0.25">
      <c r="A2" s="156" t="s">
        <v>84</v>
      </c>
      <c r="B2" s="4" t="s">
        <v>85</v>
      </c>
      <c r="C2" s="7">
        <v>0</v>
      </c>
      <c r="D2" s="7">
        <v>1</v>
      </c>
      <c r="E2" s="17" t="s">
        <v>86</v>
      </c>
      <c r="F2" s="2" t="s">
        <v>87</v>
      </c>
      <c r="G2" s="2">
        <v>0</v>
      </c>
      <c r="H2" s="20">
        <v>1</v>
      </c>
      <c r="I2" s="3" t="s">
        <v>18</v>
      </c>
      <c r="J2" s="17" t="s">
        <v>88</v>
      </c>
      <c r="K2" s="17" t="s">
        <v>526</v>
      </c>
      <c r="L2" s="4">
        <f>VLOOKUP($B2, Config!$A$4:$E$50, HLOOKUP(L$1, Config!$C$2:$AA$3, 2, FALSE)+2,FALSE)</f>
        <v>1</v>
      </c>
      <c r="M2" s="4">
        <f>VLOOKUP($B2, Config!$A$4:$E$50, HLOOKUP(M$1, Config!$C$2:$AA$3, 2, FALSE)+2,FALSE)</f>
        <v>1</v>
      </c>
      <c r="N2" s="4">
        <f>VLOOKUP($B2, Config!$A$4:$E$50, HLOOKUP(N$1, Config!$C$2:$AA$3, 2, FALSE)+2,FALSE)</f>
        <v>1</v>
      </c>
    </row>
    <row r="3" spans="1:14" x14ac:dyDescent="0.25">
      <c r="A3" s="156"/>
      <c r="B3" s="4" t="s">
        <v>85</v>
      </c>
      <c r="C3" s="7">
        <v>1</v>
      </c>
      <c r="D3" s="7">
        <v>1</v>
      </c>
      <c r="E3" s="17" t="s">
        <v>89</v>
      </c>
      <c r="F3" s="2" t="s">
        <v>90</v>
      </c>
      <c r="G3" s="2">
        <v>0</v>
      </c>
      <c r="H3" s="20">
        <v>1</v>
      </c>
      <c r="I3" s="3" t="s">
        <v>18</v>
      </c>
      <c r="J3" s="17" t="s">
        <v>91</v>
      </c>
      <c r="K3" s="17" t="s">
        <v>527</v>
      </c>
      <c r="L3" s="4">
        <f>VLOOKUP($B3, Config!$A$4:$E$50, HLOOKUP(L$1, Config!$C$2:$AA$3, 2, FALSE)+2,FALSE)</f>
        <v>1</v>
      </c>
      <c r="M3" s="4">
        <f>VLOOKUP($B3, Config!$A$4:$E$50, HLOOKUP(M$1, Config!$C$2:$AA$3, 2, FALSE)+2,FALSE)</f>
        <v>1</v>
      </c>
      <c r="N3" s="4">
        <f>VLOOKUP($B3, Config!$A$4:$E$50, HLOOKUP(N$1, Config!$C$2:$AA$3, 2, FALSE)+2,FALSE)</f>
        <v>1</v>
      </c>
    </row>
    <row r="4" spans="1:14" x14ac:dyDescent="0.25">
      <c r="A4" s="156"/>
      <c r="B4" s="17" t="s">
        <v>92</v>
      </c>
      <c r="C4" s="7">
        <v>2</v>
      </c>
      <c r="D4" s="7">
        <v>1</v>
      </c>
      <c r="E4" s="17" t="s">
        <v>93</v>
      </c>
      <c r="F4" s="17" t="s">
        <v>94</v>
      </c>
      <c r="G4" s="17">
        <v>0</v>
      </c>
      <c r="H4" s="21">
        <v>0</v>
      </c>
      <c r="I4" s="3" t="s">
        <v>18</v>
      </c>
      <c r="J4" s="17" t="s">
        <v>88</v>
      </c>
      <c r="K4" s="17" t="s">
        <v>528</v>
      </c>
      <c r="L4" s="7">
        <f>VLOOKUP($B4, Config!$A$4:$E$50, HLOOKUP(L$1, Config!$C$2:$AA$3, 2, FALSE)+2,FALSE)</f>
        <v>1</v>
      </c>
      <c r="M4" s="7">
        <f>VLOOKUP($B4, Config!$A$4:$E$50, HLOOKUP(M$1, Config!$C$2:$AA$3, 2, FALSE)+2,FALSE)</f>
        <v>0</v>
      </c>
      <c r="N4" s="7">
        <f>VLOOKUP($B4, Config!$A$4:$E$50, HLOOKUP(N$1, Config!$C$2:$AA$3, 2, FALSE)+2,FALSE)</f>
        <v>1</v>
      </c>
    </row>
    <row r="5" spans="1:14" x14ac:dyDescent="0.25">
      <c r="A5" s="156"/>
      <c r="B5" s="4" t="s">
        <v>85</v>
      </c>
      <c r="C5" s="7">
        <v>3</v>
      </c>
      <c r="D5" s="7">
        <v>1</v>
      </c>
      <c r="E5" s="17" t="s">
        <v>95</v>
      </c>
      <c r="F5" s="2" t="s">
        <v>96</v>
      </c>
      <c r="G5" s="2">
        <v>0</v>
      </c>
      <c r="H5" s="20">
        <v>0</v>
      </c>
      <c r="I5" s="3" t="s">
        <v>18</v>
      </c>
      <c r="J5" s="17" t="s">
        <v>88</v>
      </c>
      <c r="K5" s="17" t="s">
        <v>529</v>
      </c>
      <c r="L5" s="4">
        <f>VLOOKUP($B5, Config!$A$4:$E$50, HLOOKUP(L$1, Config!$C$2:$AA$3, 2, FALSE)+2,FALSE)</f>
        <v>1</v>
      </c>
      <c r="M5" s="4">
        <f>VLOOKUP($B5, Config!$A$4:$E$50, HLOOKUP(M$1, Config!$C$2:$AA$3, 2, FALSE)+2,FALSE)</f>
        <v>1</v>
      </c>
      <c r="N5" s="4">
        <f>VLOOKUP($B5, Config!$A$4:$E$50, HLOOKUP(N$1, Config!$C$2:$AA$3, 2, FALSE)+2,FALSE)</f>
        <v>1</v>
      </c>
    </row>
    <row r="6" spans="1:14" x14ac:dyDescent="0.25">
      <c r="A6" s="156"/>
      <c r="B6" s="7" t="s">
        <v>97</v>
      </c>
      <c r="C6" s="7">
        <v>4</v>
      </c>
      <c r="D6" s="7">
        <v>1</v>
      </c>
      <c r="E6" s="7" t="s">
        <v>98</v>
      </c>
      <c r="F6" s="17" t="s">
        <v>99</v>
      </c>
      <c r="G6" s="17">
        <v>0</v>
      </c>
      <c r="H6" s="21">
        <v>0</v>
      </c>
      <c r="I6" s="3" t="s">
        <v>18</v>
      </c>
      <c r="J6" s="17" t="s">
        <v>100</v>
      </c>
      <c r="K6" s="17" t="s">
        <v>530</v>
      </c>
      <c r="L6" s="7">
        <f>VLOOKUP($B6, Config!$A$4:$E$50, HLOOKUP(L$1, Config!$C$2:$AA$3, 2, FALSE)+2,FALSE)</f>
        <v>1</v>
      </c>
      <c r="M6" s="7">
        <f>VLOOKUP($B6, Config!$A$4:$E$50, HLOOKUP(M$1, Config!$C$2:$AA$3, 2, FALSE)+2,FALSE)</f>
        <v>0</v>
      </c>
      <c r="N6" s="7">
        <f>VLOOKUP($B6, Config!$A$4:$E$50, HLOOKUP(N$1, Config!$C$2:$AA$3, 2, FALSE)+2,FALSE)</f>
        <v>0</v>
      </c>
    </row>
    <row r="7" spans="1:14" x14ac:dyDescent="0.25">
      <c r="A7" s="156"/>
      <c r="B7" s="7" t="s">
        <v>97</v>
      </c>
      <c r="C7" s="7">
        <v>5</v>
      </c>
      <c r="D7" s="7">
        <v>1</v>
      </c>
      <c r="E7" s="7" t="s">
        <v>101</v>
      </c>
      <c r="F7" s="17" t="s">
        <v>102</v>
      </c>
      <c r="G7" s="17">
        <v>0</v>
      </c>
      <c r="H7" s="21">
        <v>0</v>
      </c>
      <c r="I7" s="3" t="s">
        <v>18</v>
      </c>
      <c r="J7" s="17" t="s">
        <v>100</v>
      </c>
      <c r="K7" s="17" t="s">
        <v>531</v>
      </c>
      <c r="L7" s="7">
        <f>VLOOKUP($B7, Config!$A$4:$E$50, HLOOKUP(L$1, Config!$C$2:$AA$3, 2, FALSE)+2,FALSE)</f>
        <v>1</v>
      </c>
      <c r="M7" s="7">
        <f>VLOOKUP($B7, Config!$A$4:$E$50, HLOOKUP(M$1, Config!$C$2:$AA$3, 2, FALSE)+2,FALSE)</f>
        <v>0</v>
      </c>
      <c r="N7" s="7">
        <f>VLOOKUP($B7, Config!$A$4:$E$50, HLOOKUP(N$1, Config!$C$2:$AA$3, 2, FALSE)+2,FALSE)</f>
        <v>0</v>
      </c>
    </row>
    <row r="8" spans="1:14" x14ac:dyDescent="0.25">
      <c r="A8" s="156"/>
      <c r="B8" s="4" t="s">
        <v>85</v>
      </c>
      <c r="C8" s="7">
        <v>6</v>
      </c>
      <c r="D8" s="7">
        <v>1</v>
      </c>
      <c r="E8" s="17" t="s">
        <v>103</v>
      </c>
      <c r="F8" s="2" t="s">
        <v>104</v>
      </c>
      <c r="G8" s="2">
        <v>0</v>
      </c>
      <c r="H8" s="20">
        <v>0</v>
      </c>
      <c r="I8" s="3" t="s">
        <v>18</v>
      </c>
      <c r="J8" s="17" t="s">
        <v>88</v>
      </c>
      <c r="K8" s="17" t="s">
        <v>532</v>
      </c>
      <c r="L8" s="4">
        <f>VLOOKUP($B8, Config!$A$4:$E$50, HLOOKUP(L$1, Config!$C$2:$AA$3, 2, FALSE)+2,FALSE)</f>
        <v>1</v>
      </c>
      <c r="M8" s="4">
        <f>VLOOKUP($B8, Config!$A$4:$E$50, HLOOKUP(M$1, Config!$C$2:$AA$3, 2, FALSE)+2,FALSE)</f>
        <v>1</v>
      </c>
      <c r="N8" s="4">
        <f>VLOOKUP($B8, Config!$A$4:$E$50, HLOOKUP(N$1, Config!$C$2:$AA$3, 2, FALSE)+2,FALSE)</f>
        <v>1</v>
      </c>
    </row>
    <row r="9" spans="1:14" x14ac:dyDescent="0.25">
      <c r="A9" s="156"/>
      <c r="B9" s="4" t="s">
        <v>85</v>
      </c>
      <c r="C9" s="7">
        <v>7</v>
      </c>
      <c r="D9" s="7">
        <v>1</v>
      </c>
      <c r="E9" s="17" t="s">
        <v>105</v>
      </c>
      <c r="F9" s="2" t="s">
        <v>106</v>
      </c>
      <c r="G9" s="2">
        <v>1</v>
      </c>
      <c r="H9" s="20">
        <v>1</v>
      </c>
      <c r="I9" s="3" t="s">
        <v>18</v>
      </c>
      <c r="J9" s="17" t="s">
        <v>88</v>
      </c>
      <c r="K9" s="17" t="s">
        <v>533</v>
      </c>
      <c r="L9" s="4">
        <f>VLOOKUP($B9, Config!$A$4:$E$50, HLOOKUP(L$1, Config!$C$2:$AA$3, 2, FALSE)+2,FALSE)</f>
        <v>1</v>
      </c>
      <c r="M9" s="4">
        <f>VLOOKUP($B9, Config!$A$4:$E$50, HLOOKUP(M$1, Config!$C$2:$AA$3, 2, FALSE)+2,FALSE)</f>
        <v>1</v>
      </c>
      <c r="N9" s="4">
        <f>VLOOKUP($B9, Config!$A$4:$E$50, HLOOKUP(N$1, Config!$C$2:$AA$3, 2, FALSE)+2,FALSE)</f>
        <v>1</v>
      </c>
    </row>
    <row r="10" spans="1:14" x14ac:dyDescent="0.25">
      <c r="A10" s="156"/>
      <c r="B10" s="4" t="s">
        <v>85</v>
      </c>
      <c r="C10" s="7">
        <v>8</v>
      </c>
      <c r="D10" s="7">
        <v>1</v>
      </c>
      <c r="E10" s="17" t="s">
        <v>107</v>
      </c>
      <c r="F10" s="2" t="s">
        <v>108</v>
      </c>
      <c r="G10" s="2">
        <v>0</v>
      </c>
      <c r="H10" s="20">
        <v>0</v>
      </c>
      <c r="I10" s="3" t="s">
        <v>18</v>
      </c>
      <c r="J10" s="17" t="s">
        <v>109</v>
      </c>
      <c r="K10" s="17" t="s">
        <v>534</v>
      </c>
      <c r="L10" s="4">
        <f>VLOOKUP($B10, Config!$A$4:$E$50, HLOOKUP(L$1, Config!$C$2:$AA$3, 2, FALSE)+2,FALSE)</f>
        <v>1</v>
      </c>
      <c r="M10" s="4">
        <f>VLOOKUP($B10, Config!$A$4:$E$50, HLOOKUP(M$1, Config!$C$2:$AA$3, 2, FALSE)+2,FALSE)</f>
        <v>1</v>
      </c>
      <c r="N10" s="4">
        <f>VLOOKUP($B10, Config!$A$4:$E$50, HLOOKUP(N$1, Config!$C$2:$AA$3, 2, FALSE)+2,FALSE)</f>
        <v>1</v>
      </c>
    </row>
    <row r="11" spans="1:14" x14ac:dyDescent="0.25">
      <c r="A11" s="156"/>
      <c r="B11" s="2" t="s">
        <v>57</v>
      </c>
      <c r="C11" s="2">
        <v>9</v>
      </c>
      <c r="D11" s="2">
        <v>1</v>
      </c>
      <c r="E11" s="2"/>
      <c r="F11" s="7" t="s">
        <v>110</v>
      </c>
      <c r="G11" s="7">
        <v>0</v>
      </c>
      <c r="H11" s="22">
        <v>0</v>
      </c>
      <c r="I11" s="3" t="s">
        <v>18</v>
      </c>
      <c r="J11" s="7"/>
      <c r="K11" s="7" t="s">
        <v>561</v>
      </c>
      <c r="L11" s="2">
        <v>0</v>
      </c>
      <c r="M11" s="2">
        <v>0</v>
      </c>
      <c r="N11" s="2">
        <v>0</v>
      </c>
    </row>
    <row r="12" spans="1:14" x14ac:dyDescent="0.25">
      <c r="A12" s="156"/>
      <c r="B12" s="17" t="s">
        <v>111</v>
      </c>
      <c r="C12" s="7">
        <v>10</v>
      </c>
      <c r="D12" s="7">
        <v>1</v>
      </c>
      <c r="E12" s="17" t="s">
        <v>112</v>
      </c>
      <c r="F12" s="17" t="s">
        <v>113</v>
      </c>
      <c r="G12" s="17">
        <v>1</v>
      </c>
      <c r="H12" s="21">
        <v>0</v>
      </c>
      <c r="I12" s="3" t="s">
        <v>18</v>
      </c>
      <c r="J12" s="17" t="s">
        <v>109</v>
      </c>
      <c r="K12" s="17" t="s">
        <v>535</v>
      </c>
      <c r="L12" s="7">
        <f>VLOOKUP($B12, Config!$A$4:$E$50, HLOOKUP(L$1, Config!$C$2:$AA$3, 2, FALSE)+2,FALSE)</f>
        <v>1</v>
      </c>
      <c r="M12" s="7">
        <f>VLOOKUP($B12, Config!$A$4:$E$50, HLOOKUP(M$1, Config!$C$2:$AA$3, 2, FALSE)+2,FALSE)</f>
        <v>0</v>
      </c>
      <c r="N12" s="7">
        <f>VLOOKUP($B12, Config!$A$4:$E$50, HLOOKUP(N$1, Config!$C$2:$AA$3, 2, FALSE)+2,FALSE)</f>
        <v>0</v>
      </c>
    </row>
    <row r="13" spans="1:14" x14ac:dyDescent="0.25">
      <c r="A13" s="156"/>
      <c r="B13" s="17" t="s">
        <v>114</v>
      </c>
      <c r="C13" s="7">
        <v>11</v>
      </c>
      <c r="D13" s="7">
        <v>1</v>
      </c>
      <c r="E13" s="17" t="s">
        <v>115</v>
      </c>
      <c r="F13" s="17" t="s">
        <v>116</v>
      </c>
      <c r="G13" s="17">
        <v>0</v>
      </c>
      <c r="H13" s="21">
        <v>1</v>
      </c>
      <c r="I13" s="3" t="s">
        <v>18</v>
      </c>
      <c r="J13" s="17" t="s">
        <v>109</v>
      </c>
      <c r="K13" s="17" t="s">
        <v>536</v>
      </c>
      <c r="L13" s="7">
        <f>VLOOKUP($B13, Config!$A$4:$E$50, HLOOKUP(L$1, Config!$C$2:$AA$3, 2, FALSE)+2,FALSE)</f>
        <v>0</v>
      </c>
      <c r="M13" s="7">
        <f>VLOOKUP($B13, Config!$A$4:$E$50, HLOOKUP(M$1, Config!$C$2:$AA$3, 2, FALSE)+2,FALSE)</f>
        <v>0</v>
      </c>
      <c r="N13" s="7">
        <f>VLOOKUP($B13, Config!$A$4:$E$50, HLOOKUP(N$1, Config!$C$2:$AA$3, 2, FALSE)+2,FALSE)</f>
        <v>0</v>
      </c>
    </row>
    <row r="14" spans="1:14" x14ac:dyDescent="0.25">
      <c r="A14" s="156"/>
      <c r="B14" s="17" t="s">
        <v>117</v>
      </c>
      <c r="C14" s="7">
        <v>12</v>
      </c>
      <c r="D14" s="7">
        <v>1</v>
      </c>
      <c r="E14" s="17" t="s">
        <v>118</v>
      </c>
      <c r="F14" s="17" t="s">
        <v>119</v>
      </c>
      <c r="G14" s="17">
        <v>1</v>
      </c>
      <c r="H14" s="21">
        <v>1</v>
      </c>
      <c r="I14" s="3" t="s">
        <v>18</v>
      </c>
      <c r="J14" s="17" t="s">
        <v>109</v>
      </c>
      <c r="K14" s="17" t="s">
        <v>537</v>
      </c>
      <c r="L14" s="7">
        <f>VLOOKUP($B14, Config!$A$4:$E$50, HLOOKUP(L$1, Config!$C$2:$AA$3, 2, FALSE)+2,FALSE)</f>
        <v>1</v>
      </c>
      <c r="M14" s="7">
        <f>VLOOKUP($B14, Config!$A$4:$E$50, HLOOKUP(M$1, Config!$C$2:$AA$3, 2, FALSE)+2,FALSE)</f>
        <v>0</v>
      </c>
      <c r="N14" s="7">
        <f>VLOOKUP($B14, Config!$A$4:$E$50, HLOOKUP(N$1, Config!$C$2:$AA$3, 2, FALSE)+2,FALSE)</f>
        <v>0</v>
      </c>
    </row>
    <row r="15" spans="1:14" x14ac:dyDescent="0.25">
      <c r="A15" s="156"/>
      <c r="B15" s="17" t="s">
        <v>120</v>
      </c>
      <c r="C15" s="7">
        <v>13</v>
      </c>
      <c r="D15" s="7">
        <v>1</v>
      </c>
      <c r="E15" s="17" t="s">
        <v>121</v>
      </c>
      <c r="F15" s="17" t="s">
        <v>122</v>
      </c>
      <c r="G15" s="17">
        <v>0</v>
      </c>
      <c r="H15" s="21">
        <v>1</v>
      </c>
      <c r="I15" s="3" t="s">
        <v>18</v>
      </c>
      <c r="J15" s="17" t="s">
        <v>109</v>
      </c>
      <c r="K15" s="17" t="s">
        <v>538</v>
      </c>
      <c r="L15" s="7">
        <f>VLOOKUP($B15, Config!$A$4:$E$50, HLOOKUP(L$1, Config!$C$2:$AA$3, 2, FALSE)+2,FALSE)</f>
        <v>1</v>
      </c>
      <c r="M15" s="7">
        <f>VLOOKUP($B15, Config!$A$4:$E$50, HLOOKUP(M$1, Config!$C$2:$AA$3, 2, FALSE)+2,FALSE)</f>
        <v>0</v>
      </c>
      <c r="N15" s="7">
        <f>VLOOKUP($B15, Config!$A$4:$E$50, HLOOKUP(N$1, Config!$C$2:$AA$3, 2, FALSE)+2,FALSE)</f>
        <v>0</v>
      </c>
    </row>
    <row r="16" spans="1:14" x14ac:dyDescent="0.25">
      <c r="A16" s="156"/>
      <c r="B16" s="4" t="s">
        <v>85</v>
      </c>
      <c r="C16" s="7">
        <v>14</v>
      </c>
      <c r="D16" s="7">
        <v>1</v>
      </c>
      <c r="E16" s="17" t="s">
        <v>123</v>
      </c>
      <c r="F16" s="2" t="s">
        <v>124</v>
      </c>
      <c r="G16" s="2">
        <v>1</v>
      </c>
      <c r="H16" s="20">
        <v>0</v>
      </c>
      <c r="I16" s="3" t="s">
        <v>18</v>
      </c>
      <c r="J16" s="7" t="s">
        <v>91</v>
      </c>
      <c r="K16" s="7" t="s">
        <v>539</v>
      </c>
      <c r="L16" s="4">
        <f>VLOOKUP($B16, Config!$A$4:$E$50, HLOOKUP(L$1, Config!$C$2:$AA$3, 2, FALSE)+2,FALSE)</f>
        <v>1</v>
      </c>
      <c r="M16" s="4">
        <f>VLOOKUP($B16, Config!$A$4:$E$50, HLOOKUP(M$1, Config!$C$2:$AA$3, 2, FALSE)+2,FALSE)</f>
        <v>1</v>
      </c>
      <c r="N16" s="4">
        <f>VLOOKUP($B16, Config!$A$4:$E$50, HLOOKUP(N$1, Config!$C$2:$AA$3, 2, FALSE)+2,FALSE)</f>
        <v>1</v>
      </c>
    </row>
    <row r="17" spans="1:14" x14ac:dyDescent="0.25">
      <c r="A17" s="156"/>
      <c r="B17" s="2" t="s">
        <v>125</v>
      </c>
      <c r="C17" s="2">
        <v>15</v>
      </c>
      <c r="D17" s="2">
        <v>1</v>
      </c>
      <c r="E17" s="2" t="s">
        <v>126</v>
      </c>
      <c r="F17" s="17" t="s">
        <v>127</v>
      </c>
      <c r="G17" s="17">
        <v>0</v>
      </c>
      <c r="H17" s="21">
        <v>0</v>
      </c>
      <c r="I17" s="3" t="s">
        <v>18</v>
      </c>
      <c r="J17" s="7" t="s">
        <v>88</v>
      </c>
      <c r="K17" s="7" t="s">
        <v>540</v>
      </c>
      <c r="L17" s="7">
        <f>VLOOKUP($B17, Config!$A$4:$E$50, HLOOKUP(L$1, Config!$C$2:$AA$3, 2, FALSE)+2,FALSE)</f>
        <v>0</v>
      </c>
      <c r="M17" s="7">
        <f>VLOOKUP($B17, Config!$A$4:$E$50, HLOOKUP(M$1, Config!$C$2:$AA$3, 2, FALSE)+2,FALSE)</f>
        <v>0</v>
      </c>
      <c r="N17" s="7">
        <f>VLOOKUP($B17, Config!$A$4:$E$50, HLOOKUP(N$1, Config!$C$2:$AA$3, 2, FALSE)+2,FALSE)</f>
        <v>0</v>
      </c>
    </row>
    <row r="18" spans="1:14" x14ac:dyDescent="0.25">
      <c r="A18" s="156"/>
      <c r="B18" s="4" t="s">
        <v>85</v>
      </c>
      <c r="C18" s="7">
        <v>16</v>
      </c>
      <c r="D18" s="7">
        <v>1</v>
      </c>
      <c r="E18" s="17" t="s">
        <v>128</v>
      </c>
      <c r="F18" s="2" t="s">
        <v>129</v>
      </c>
      <c r="G18" s="2">
        <v>1</v>
      </c>
      <c r="H18" s="20">
        <v>1</v>
      </c>
      <c r="I18" s="3" t="s">
        <v>18</v>
      </c>
      <c r="J18" s="7" t="s">
        <v>109</v>
      </c>
      <c r="K18" s="7" t="s">
        <v>541</v>
      </c>
      <c r="L18" s="4">
        <f>VLOOKUP($B18, Config!$A$4:$E$50, HLOOKUP(L$1, Config!$C$2:$AA$3, 2, FALSE)+2,FALSE)</f>
        <v>1</v>
      </c>
      <c r="M18" s="4">
        <f>VLOOKUP($B18, Config!$A$4:$E$50, HLOOKUP(M$1, Config!$C$2:$AA$3, 2, FALSE)+2,FALSE)</f>
        <v>1</v>
      </c>
      <c r="N18" s="4">
        <f>VLOOKUP($B18, Config!$A$4:$E$50, HLOOKUP(N$1, Config!$C$2:$AA$3, 2, FALSE)+2,FALSE)</f>
        <v>1</v>
      </c>
    </row>
    <row r="19" spans="1:14" x14ac:dyDescent="0.25">
      <c r="A19" s="156"/>
      <c r="B19" s="4" t="s">
        <v>85</v>
      </c>
      <c r="C19" s="7">
        <v>17</v>
      </c>
      <c r="D19" s="7">
        <v>1</v>
      </c>
      <c r="E19" s="17" t="s">
        <v>130</v>
      </c>
      <c r="F19" s="2" t="s">
        <v>131</v>
      </c>
      <c r="G19" s="2">
        <v>1</v>
      </c>
      <c r="H19" s="20">
        <v>1</v>
      </c>
      <c r="I19" s="3" t="s">
        <v>18</v>
      </c>
      <c r="J19" s="7" t="s">
        <v>109</v>
      </c>
      <c r="K19" s="7" t="s">
        <v>542</v>
      </c>
      <c r="L19" s="4">
        <f>VLOOKUP($B19, Config!$A$4:$E$50, HLOOKUP(L$1, Config!$C$2:$AA$3, 2, FALSE)+2,FALSE)</f>
        <v>1</v>
      </c>
      <c r="M19" s="4">
        <f>VLOOKUP($B19, Config!$A$4:$E$50, HLOOKUP(M$1, Config!$C$2:$AA$3, 2, FALSE)+2,FALSE)</f>
        <v>1</v>
      </c>
      <c r="N19" s="4">
        <f>VLOOKUP($B19, Config!$A$4:$E$50, HLOOKUP(N$1, Config!$C$2:$AA$3, 2, FALSE)+2,FALSE)</f>
        <v>1</v>
      </c>
    </row>
    <row r="20" spans="1:14" x14ac:dyDescent="0.25">
      <c r="A20" s="156"/>
      <c r="B20" s="2" t="s">
        <v>125</v>
      </c>
      <c r="C20" s="2">
        <v>18</v>
      </c>
      <c r="D20" s="2">
        <v>5</v>
      </c>
      <c r="E20" s="2" t="s">
        <v>132</v>
      </c>
      <c r="F20" s="17" t="s">
        <v>133</v>
      </c>
      <c r="G20" s="17">
        <v>0</v>
      </c>
      <c r="H20" s="21">
        <v>0</v>
      </c>
      <c r="I20" s="3" t="s">
        <v>18</v>
      </c>
      <c r="J20" s="7" t="s">
        <v>88</v>
      </c>
      <c r="K20" s="7" t="s">
        <v>543</v>
      </c>
      <c r="L20" s="7">
        <f>VLOOKUP($B20, Config!$A$4:$E$50, HLOOKUP(L$1, Config!$C$2:$AA$3, 2, FALSE)+2,FALSE)</f>
        <v>0</v>
      </c>
      <c r="M20" s="7">
        <f>VLOOKUP($B20, Config!$A$4:$E$50, HLOOKUP(M$1, Config!$C$2:$AA$3, 2, FALSE)+2,FALSE)</f>
        <v>0</v>
      </c>
      <c r="N20" s="7">
        <f>VLOOKUP($B20, Config!$A$4:$E$50, HLOOKUP(N$1, Config!$C$2:$AA$3, 2, FALSE)+2,FALSE)</f>
        <v>0</v>
      </c>
    </row>
    <row r="21" spans="1:14" x14ac:dyDescent="0.25">
      <c r="A21" s="156"/>
      <c r="B21" s="2" t="s">
        <v>134</v>
      </c>
      <c r="C21" s="2">
        <v>18</v>
      </c>
      <c r="D21" s="2">
        <v>1</v>
      </c>
      <c r="E21" s="2" t="s">
        <v>135</v>
      </c>
      <c r="F21" s="17" t="s">
        <v>136</v>
      </c>
      <c r="G21" s="17">
        <v>1</v>
      </c>
      <c r="H21" s="21">
        <v>0</v>
      </c>
      <c r="I21" s="3" t="s">
        <v>18</v>
      </c>
      <c r="J21" s="7" t="s">
        <v>109</v>
      </c>
      <c r="K21" s="7" t="s">
        <v>623</v>
      </c>
      <c r="L21" s="7">
        <f>IF(VLOOKUP("SAMSUNG_PUF_CONFIG_EN", Config!$A$4:$E$50, HLOOKUP(L$1, Config!$C$2:$AA$3, 2, FALSE)+2,FALSE)=0, VLOOKUP("IFWI_LAYOUT_1_5_EN", Config!$A$4:$E$50, HLOOKUP(L$1, Config!$C$2:$AA$3, 2, FALSE)+2,FALSE), 0)</f>
        <v>0</v>
      </c>
      <c r="M21" s="7">
        <f>IF(VLOOKUP("SAMSUNG_PUF_CONFIG_EN", Config!$A$4:$E$50, HLOOKUP(M$1, Config!$C$2:$AA$3, 2, FALSE)+2,FALSE)=0, VLOOKUP("IFWI_LAYOUT_1_5_EN", Config!$A$4:$E$50, HLOOKUP(M$1, Config!$C$2:$AA$3, 2, FALSE)+2,FALSE), 0)</f>
        <v>0</v>
      </c>
      <c r="N21" s="7">
        <f>IF(VLOOKUP("SAMSUNG_PUF_CONFIG_EN", Config!$A$4:$E$50, HLOOKUP(N$1, Config!$C$2:$AA$3, 2, FALSE)+2,FALSE)=0, VLOOKUP("IFWI_LAYOUT_1_5_EN", Config!$A$4:$E$50, HLOOKUP(N$1, Config!$C$2:$AA$3, 2, FALSE)+2,FALSE), 0)</f>
        <v>0</v>
      </c>
    </row>
    <row r="22" spans="1:14" x14ac:dyDescent="0.25">
      <c r="A22" s="156"/>
      <c r="B22" s="2" t="s">
        <v>134</v>
      </c>
      <c r="C22" s="2">
        <v>19</v>
      </c>
      <c r="D22" s="2">
        <v>1</v>
      </c>
      <c r="E22" s="2" t="s">
        <v>137</v>
      </c>
      <c r="F22" s="17" t="s">
        <v>138</v>
      </c>
      <c r="G22" s="17">
        <v>1</v>
      </c>
      <c r="H22" s="21">
        <v>0</v>
      </c>
      <c r="I22" s="3" t="s">
        <v>18</v>
      </c>
      <c r="J22" s="7" t="s">
        <v>109</v>
      </c>
      <c r="K22" s="7" t="s">
        <v>623</v>
      </c>
      <c r="L22" s="7">
        <f>IF(VLOOKUP("SAMSUNG_PUF_CONFIG_EN", Config!$A$4:$E$50, HLOOKUP(L$1, Config!$C$2:$AA$3, 2, FALSE)+2,FALSE)=0, VLOOKUP("IFWI_LAYOUT_1_5_EN", Config!$A$4:$E$50, HLOOKUP(L$1, Config!$C$2:$AA$3, 2, FALSE)+2,FALSE), 0)</f>
        <v>0</v>
      </c>
      <c r="M22" s="7">
        <f>IF(VLOOKUP("SAMSUNG_PUF_CONFIG_EN", Config!$A$4:$E$50, HLOOKUP(M$1, Config!$C$2:$AA$3, 2, FALSE)+2,FALSE)=0, VLOOKUP("IFWI_LAYOUT_1_5_EN", Config!$A$4:$E$50, HLOOKUP(M$1, Config!$C$2:$AA$3, 2, FALSE)+2,FALSE), 0)</f>
        <v>0</v>
      </c>
      <c r="N22" s="7">
        <f>IF(VLOOKUP("SAMSUNG_PUF_CONFIG_EN", Config!$A$4:$E$50, HLOOKUP(N$1, Config!$C$2:$AA$3, 2, FALSE)+2,FALSE)=0, VLOOKUP("IFWI_LAYOUT_1_5_EN", Config!$A$4:$E$50, HLOOKUP(N$1, Config!$C$2:$AA$3, 2, FALSE)+2,FALSE), 0)</f>
        <v>0</v>
      </c>
    </row>
    <row r="23" spans="1:14" x14ac:dyDescent="0.25">
      <c r="A23" s="156"/>
      <c r="B23" s="2" t="s">
        <v>134</v>
      </c>
      <c r="C23" s="2">
        <v>20</v>
      </c>
      <c r="D23" s="2">
        <v>1</v>
      </c>
      <c r="E23" s="2" t="s">
        <v>139</v>
      </c>
      <c r="F23" s="17" t="s">
        <v>140</v>
      </c>
      <c r="G23" s="17">
        <v>0</v>
      </c>
      <c r="H23" s="21">
        <v>0</v>
      </c>
      <c r="I23" s="3" t="s">
        <v>18</v>
      </c>
      <c r="J23" s="7" t="s">
        <v>109</v>
      </c>
      <c r="K23" s="7" t="s">
        <v>623</v>
      </c>
      <c r="L23" s="7">
        <f>IF(VLOOKUP("SAMSUNG_PUF_CONFIG_EN", Config!$A$4:$E$50, HLOOKUP(L$1, Config!$C$2:$AA$3, 2, FALSE)+2,FALSE)=0, VLOOKUP("IFWI_LAYOUT_1_5_EN", Config!$A$4:$E$50, HLOOKUP(L$1, Config!$C$2:$AA$3, 2, FALSE)+2,FALSE), 0)</f>
        <v>0</v>
      </c>
      <c r="M23" s="7">
        <f>IF(VLOOKUP("SAMSUNG_PUF_CONFIG_EN", Config!$A$4:$E$50, HLOOKUP(M$1, Config!$C$2:$AA$3, 2, FALSE)+2,FALSE)=0, VLOOKUP("IFWI_LAYOUT_1_5_EN", Config!$A$4:$E$50, HLOOKUP(M$1, Config!$C$2:$AA$3, 2, FALSE)+2,FALSE), 0)</f>
        <v>0</v>
      </c>
      <c r="N23" s="7">
        <f>IF(VLOOKUP("SAMSUNG_PUF_CONFIG_EN", Config!$A$4:$E$50, HLOOKUP(N$1, Config!$C$2:$AA$3, 2, FALSE)+2,FALSE)=0, VLOOKUP("IFWI_LAYOUT_1_5_EN", Config!$A$4:$E$50, HLOOKUP(N$1, Config!$C$2:$AA$3, 2, FALSE)+2,FALSE), 0)</f>
        <v>0</v>
      </c>
    </row>
    <row r="24" spans="1:14" x14ac:dyDescent="0.25">
      <c r="A24" s="156"/>
      <c r="B24" s="2" t="s">
        <v>134</v>
      </c>
      <c r="C24" s="2">
        <v>21</v>
      </c>
      <c r="D24" s="2">
        <v>1</v>
      </c>
      <c r="E24" s="2" t="s">
        <v>141</v>
      </c>
      <c r="F24" s="17" t="s">
        <v>142</v>
      </c>
      <c r="G24" s="17">
        <v>0</v>
      </c>
      <c r="H24" s="21">
        <v>0</v>
      </c>
      <c r="I24" s="3" t="s">
        <v>18</v>
      </c>
      <c r="J24" s="7" t="s">
        <v>109</v>
      </c>
      <c r="K24" s="7" t="s">
        <v>623</v>
      </c>
      <c r="L24" s="7">
        <f>IF(VLOOKUP("SAMSUNG_PUF_CONFIG_EN", Config!$A$4:$E$50, HLOOKUP(L$1, Config!$C$2:$AA$3, 2, FALSE)+2,FALSE)=0, VLOOKUP("IFWI_LAYOUT_1_5_EN", Config!$A$4:$E$50, HLOOKUP(L$1, Config!$C$2:$AA$3, 2, FALSE)+2,FALSE), 0)</f>
        <v>0</v>
      </c>
      <c r="M24" s="7">
        <f>IF(VLOOKUP("SAMSUNG_PUF_CONFIG_EN", Config!$A$4:$E$50, HLOOKUP(M$1, Config!$C$2:$AA$3, 2, FALSE)+2,FALSE)=0, VLOOKUP("IFWI_LAYOUT_1_5_EN", Config!$A$4:$E$50, HLOOKUP(M$1, Config!$C$2:$AA$3, 2, FALSE)+2,FALSE), 0)</f>
        <v>0</v>
      </c>
      <c r="N24" s="7">
        <f>IF(VLOOKUP("SAMSUNG_PUF_CONFIG_EN", Config!$A$4:$E$50, HLOOKUP(N$1, Config!$C$2:$AA$3, 2, FALSE)+2,FALSE)=0, VLOOKUP("IFWI_LAYOUT_1_5_EN", Config!$A$4:$E$50, HLOOKUP(N$1, Config!$C$2:$AA$3, 2, FALSE)+2,FALSE), 0)</f>
        <v>0</v>
      </c>
    </row>
    <row r="25" spans="1:14" x14ac:dyDescent="0.25">
      <c r="A25" s="156"/>
      <c r="B25" s="2" t="s">
        <v>134</v>
      </c>
      <c r="C25" s="2">
        <v>22</v>
      </c>
      <c r="D25" s="2">
        <v>1</v>
      </c>
      <c r="E25" s="2" t="s">
        <v>143</v>
      </c>
      <c r="F25" s="17" t="s">
        <v>144</v>
      </c>
      <c r="G25" s="17">
        <v>0</v>
      </c>
      <c r="H25" s="21">
        <v>0</v>
      </c>
      <c r="I25" s="3" t="s">
        <v>18</v>
      </c>
      <c r="J25" s="7" t="s">
        <v>109</v>
      </c>
      <c r="K25" s="7" t="s">
        <v>623</v>
      </c>
      <c r="L25" s="7">
        <f>IF(VLOOKUP("SAMSUNG_PUF_CONFIG_EN", Config!$A$4:$E$50, HLOOKUP(L$1, Config!$C$2:$AA$3, 2, FALSE)+2,FALSE)=0, VLOOKUP("IFWI_LAYOUT_1_5_EN", Config!$A$4:$E$50, HLOOKUP(L$1, Config!$C$2:$AA$3, 2, FALSE)+2,FALSE), 0)</f>
        <v>0</v>
      </c>
      <c r="M25" s="7">
        <f>IF(VLOOKUP("SAMSUNG_PUF_CONFIG_EN", Config!$A$4:$E$50, HLOOKUP(M$1, Config!$C$2:$AA$3, 2, FALSE)+2,FALSE)=0, VLOOKUP("IFWI_LAYOUT_1_5_EN", Config!$A$4:$E$50, HLOOKUP(M$1, Config!$C$2:$AA$3, 2, FALSE)+2,FALSE), 0)</f>
        <v>0</v>
      </c>
      <c r="N25" s="7">
        <f>IF(VLOOKUP("SAMSUNG_PUF_CONFIG_EN", Config!$A$4:$E$50, HLOOKUP(N$1, Config!$C$2:$AA$3, 2, FALSE)+2,FALSE)=0, VLOOKUP("IFWI_LAYOUT_1_5_EN", Config!$A$4:$E$50, HLOOKUP(N$1, Config!$C$2:$AA$3, 2, FALSE)+2,FALSE), 0)</f>
        <v>0</v>
      </c>
    </row>
    <row r="26" spans="1:14" x14ac:dyDescent="0.25">
      <c r="A26" s="156"/>
      <c r="B26" s="7" t="s">
        <v>145</v>
      </c>
      <c r="C26" s="7">
        <v>23</v>
      </c>
      <c r="D26" s="7">
        <v>1</v>
      </c>
      <c r="E26" s="7" t="s">
        <v>146</v>
      </c>
      <c r="F26" s="17" t="s">
        <v>147</v>
      </c>
      <c r="G26" s="17">
        <v>0</v>
      </c>
      <c r="H26" s="21">
        <v>0</v>
      </c>
      <c r="I26" s="3" t="s">
        <v>18</v>
      </c>
      <c r="J26" s="7" t="s">
        <v>109</v>
      </c>
      <c r="K26" s="7" t="s">
        <v>623</v>
      </c>
      <c r="L26" s="7">
        <f>VLOOKUP($B26, Config!$A$4:$E$50, HLOOKUP(L$1, Config!$C$2:$AA$3, 2, FALSE)+2,FALSE)</f>
        <v>1</v>
      </c>
      <c r="M26" s="7">
        <f>VLOOKUP($B26, Config!$A$4:$E$50, HLOOKUP(M$1, Config!$C$2:$AA$3, 2, FALSE)+2,FALSE)</f>
        <v>1</v>
      </c>
      <c r="N26" s="7">
        <f>VLOOKUP($B26, Config!$A$4:$E$50, HLOOKUP(N$1, Config!$C$2:$AA$3, 2, FALSE)+2,FALSE)</f>
        <v>0</v>
      </c>
    </row>
    <row r="27" spans="1:14" x14ac:dyDescent="0.25">
      <c r="A27" s="156"/>
      <c r="B27" s="7" t="s">
        <v>148</v>
      </c>
      <c r="C27" s="7">
        <v>24</v>
      </c>
      <c r="D27" s="7">
        <v>1</v>
      </c>
      <c r="E27" s="7" t="s">
        <v>149</v>
      </c>
      <c r="F27" s="17" t="s">
        <v>150</v>
      </c>
      <c r="G27" s="17">
        <v>1</v>
      </c>
      <c r="H27" s="21">
        <v>0</v>
      </c>
      <c r="I27" s="3" t="s">
        <v>18</v>
      </c>
      <c r="J27" s="7" t="s">
        <v>109</v>
      </c>
      <c r="K27" s="7" t="s">
        <v>623</v>
      </c>
      <c r="L27" s="7">
        <f>VLOOKUP($B27, Config!$A$4:$E$50, HLOOKUP(L$1, Config!$C$2:$AA$3, 2, FALSE)+2,FALSE)</f>
        <v>1</v>
      </c>
      <c r="M27" s="7">
        <f>VLOOKUP($B27, Config!$A$4:$E$50, HLOOKUP(M$1, Config!$C$2:$AA$3, 2, FALSE)+2,FALSE)</f>
        <v>1</v>
      </c>
      <c r="N27" s="7">
        <f>VLOOKUP($B27, Config!$A$4:$E$50, HLOOKUP(N$1, Config!$C$2:$AA$3, 2, FALSE)+2,FALSE)</f>
        <v>0</v>
      </c>
    </row>
    <row r="28" spans="1:14" x14ac:dyDescent="0.25">
      <c r="A28" s="156"/>
      <c r="B28" s="17" t="s">
        <v>151</v>
      </c>
      <c r="C28" s="7">
        <v>25</v>
      </c>
      <c r="D28" s="7">
        <v>1</v>
      </c>
      <c r="E28" s="17" t="s">
        <v>152</v>
      </c>
      <c r="F28" s="17" t="s">
        <v>153</v>
      </c>
      <c r="G28" s="17">
        <v>1</v>
      </c>
      <c r="H28" s="21">
        <v>1</v>
      </c>
      <c r="I28" s="3" t="s">
        <v>18</v>
      </c>
      <c r="J28" s="7" t="s">
        <v>154</v>
      </c>
      <c r="K28" s="7" t="s">
        <v>623</v>
      </c>
      <c r="L28" s="7">
        <f>VLOOKUP($B28, Config!$A$4:$E$50, HLOOKUP(L$1, Config!$C$2:$AA$3, 2, FALSE)+2,FALSE)</f>
        <v>1</v>
      </c>
      <c r="M28" s="7">
        <f>VLOOKUP($B28, Config!$A$4:$E$50, HLOOKUP(M$1, Config!$C$2:$AA$3, 2, FALSE)+2,FALSE)</f>
        <v>0</v>
      </c>
      <c r="N28" s="7">
        <f>VLOOKUP($B28, Config!$A$4:$E$50, HLOOKUP(N$1, Config!$C$2:$AA$3, 2, FALSE)+2,FALSE)</f>
        <v>0</v>
      </c>
    </row>
    <row r="29" spans="1:14" x14ac:dyDescent="0.25">
      <c r="A29" s="156"/>
      <c r="B29" s="2" t="s">
        <v>125</v>
      </c>
      <c r="C29" s="2">
        <v>26</v>
      </c>
      <c r="D29" s="2">
        <v>3</v>
      </c>
      <c r="E29" s="2" t="s">
        <v>155</v>
      </c>
      <c r="F29" s="17" t="s">
        <v>156</v>
      </c>
      <c r="G29" s="17">
        <v>0</v>
      </c>
      <c r="H29" s="21">
        <v>0</v>
      </c>
      <c r="I29" s="3" t="s">
        <v>18</v>
      </c>
      <c r="J29" s="7" t="s">
        <v>88</v>
      </c>
      <c r="K29" s="7" t="s">
        <v>623</v>
      </c>
      <c r="L29" s="7">
        <f>VLOOKUP($B29, Config!$A$4:$E$50, HLOOKUP(L$1, Config!$C$2:$AA$3, 2, FALSE)+2,FALSE)</f>
        <v>0</v>
      </c>
      <c r="M29" s="7">
        <f>VLOOKUP($B29, Config!$A$4:$E$50, HLOOKUP(M$1, Config!$C$2:$AA$3, 2, FALSE)+2,FALSE)</f>
        <v>0</v>
      </c>
      <c r="N29" s="7">
        <f>VLOOKUP($B29, Config!$A$4:$E$50, HLOOKUP(N$1, Config!$C$2:$AA$3, 2, FALSE)+2,FALSE)</f>
        <v>0</v>
      </c>
    </row>
    <row r="30" spans="1:14" x14ac:dyDescent="0.25">
      <c r="A30" s="156"/>
      <c r="B30" s="2" t="s">
        <v>134</v>
      </c>
      <c r="C30" s="2">
        <v>26</v>
      </c>
      <c r="D30" s="2">
        <v>1</v>
      </c>
      <c r="E30" s="2" t="s">
        <v>157</v>
      </c>
      <c r="F30" s="17" t="s">
        <v>158</v>
      </c>
      <c r="G30" s="17">
        <v>0</v>
      </c>
      <c r="H30" s="21">
        <v>0</v>
      </c>
      <c r="I30" s="3" t="s">
        <v>18</v>
      </c>
      <c r="J30" s="7" t="s">
        <v>154</v>
      </c>
      <c r="K30" s="7" t="s">
        <v>624</v>
      </c>
      <c r="L30" s="7">
        <f>IF(VLOOKUP("SAMSUNG_PUF_CONFIG_EN", Config!$A$4:$E$50, HLOOKUP(L$1, Config!$C$2:$AA$3, 2, FALSE)+2,FALSE)=0, VLOOKUP("IFWI_LAYOUT_1_5_EN", Config!$A$4:$E$50, HLOOKUP(L$1, Config!$C$2:$AA$3, 2, FALSE)+2,FALSE), 0)</f>
        <v>0</v>
      </c>
      <c r="M30" s="7">
        <f>IF(VLOOKUP("SAMSUNG_PUF_CONFIG_EN", Config!$A$4:$E$50, HLOOKUP(M$1, Config!$C$2:$AA$3, 2, FALSE)+2,FALSE)=0, VLOOKUP("IFWI_LAYOUT_1_5_EN", Config!$A$4:$E$50, HLOOKUP(M$1, Config!$C$2:$AA$3, 2, FALSE)+2,FALSE), 0)</f>
        <v>0</v>
      </c>
      <c r="N30" s="7">
        <f>IF(VLOOKUP("SAMSUNG_PUF_CONFIG_EN", Config!$A$4:$E$50, HLOOKUP(N$1, Config!$C$2:$AA$3, 2, FALSE)+2,FALSE)=0, VLOOKUP("IFWI_LAYOUT_1_5_EN", Config!$A$4:$E$50, HLOOKUP(N$1, Config!$C$2:$AA$3, 2, FALSE)+2,FALSE), 0)</f>
        <v>0</v>
      </c>
    </row>
    <row r="31" spans="1:14" s="16" customFormat="1" x14ac:dyDescent="0.25">
      <c r="A31" s="156"/>
      <c r="B31" s="2" t="s">
        <v>57</v>
      </c>
      <c r="C31" s="2">
        <v>27</v>
      </c>
      <c r="D31" s="2">
        <v>1</v>
      </c>
      <c r="E31" s="2"/>
      <c r="F31" s="7" t="s">
        <v>463</v>
      </c>
      <c r="G31" s="7">
        <v>0</v>
      </c>
      <c r="H31" s="22">
        <v>0</v>
      </c>
      <c r="I31" s="3" t="s">
        <v>18</v>
      </c>
      <c r="J31" s="7"/>
      <c r="K31" s="7" t="s">
        <v>561</v>
      </c>
      <c r="L31" s="2">
        <v>0</v>
      </c>
      <c r="M31" s="2">
        <v>0</v>
      </c>
      <c r="N31" s="2">
        <v>0</v>
      </c>
    </row>
    <row r="32" spans="1:14" x14ac:dyDescent="0.25">
      <c r="A32" s="156"/>
      <c r="B32" s="2" t="s">
        <v>466</v>
      </c>
      <c r="C32" s="2">
        <v>28</v>
      </c>
      <c r="D32" s="2">
        <v>1</v>
      </c>
      <c r="E32" s="2" t="s">
        <v>465</v>
      </c>
      <c r="F32" s="7" t="s">
        <v>464</v>
      </c>
      <c r="G32" s="7">
        <v>0</v>
      </c>
      <c r="H32" s="22">
        <v>0</v>
      </c>
      <c r="I32" s="3" t="s">
        <v>18</v>
      </c>
      <c r="J32" s="7" t="s">
        <v>154</v>
      </c>
      <c r="K32" s="7" t="s">
        <v>627</v>
      </c>
      <c r="L32" s="7">
        <f>VLOOKUP($B32, Config!$A$4:$E$50, HLOOKUP(L$1, Config!$C$2:$AA$3, 2, FALSE)+2,FALSE)</f>
        <v>0</v>
      </c>
      <c r="M32" s="7">
        <f>VLOOKUP($B32, Config!$A$4:$E$50, HLOOKUP(M$1, Config!$C$2:$AA$3, 2, FALSE)+2,FALSE)</f>
        <v>0</v>
      </c>
      <c r="N32" s="7">
        <f>VLOOKUP($B32, Config!$A$4:$E$50, HLOOKUP(N$1, Config!$C$2:$AA$3, 2, FALSE)+2,FALSE)</f>
        <v>0</v>
      </c>
    </row>
    <row r="33" spans="1:14" x14ac:dyDescent="0.25">
      <c r="A33" s="156"/>
      <c r="B33" s="3" t="s">
        <v>159</v>
      </c>
      <c r="C33" s="7">
        <v>29</v>
      </c>
      <c r="D33" s="7">
        <v>1</v>
      </c>
      <c r="E33" s="3" t="s">
        <v>160</v>
      </c>
      <c r="F33" s="17" t="s">
        <v>161</v>
      </c>
      <c r="G33" s="17">
        <v>1</v>
      </c>
      <c r="H33" s="21">
        <v>0</v>
      </c>
      <c r="I33" s="3" t="s">
        <v>18</v>
      </c>
      <c r="J33" s="7" t="s">
        <v>109</v>
      </c>
      <c r="K33" s="7" t="s">
        <v>628</v>
      </c>
      <c r="L33" s="7">
        <f>VLOOKUP($B33, Config!$A$4:$E$50, HLOOKUP(L$1, Config!$C$2:$AA$3, 2, FALSE)+2,FALSE)</f>
        <v>0</v>
      </c>
      <c r="M33" s="7">
        <f>VLOOKUP($B33, Config!$A$4:$E$50, HLOOKUP(M$1, Config!$C$2:$AA$3, 2, FALSE)+2,FALSE)</f>
        <v>0</v>
      </c>
      <c r="N33" s="7">
        <f>VLOOKUP($B33, Config!$A$4:$E$50, HLOOKUP(N$1, Config!$C$2:$AA$3, 2, FALSE)+2,FALSE)</f>
        <v>0</v>
      </c>
    </row>
    <row r="34" spans="1:14" x14ac:dyDescent="0.25">
      <c r="A34" s="156"/>
      <c r="B34" s="17" t="s">
        <v>151</v>
      </c>
      <c r="C34" s="7">
        <v>30</v>
      </c>
      <c r="D34" s="7">
        <v>1</v>
      </c>
      <c r="E34" s="7" t="s">
        <v>162</v>
      </c>
      <c r="F34" s="17" t="s">
        <v>163</v>
      </c>
      <c r="G34" s="17">
        <v>1</v>
      </c>
      <c r="H34" s="21">
        <v>0</v>
      </c>
      <c r="I34" s="3" t="s">
        <v>18</v>
      </c>
      <c r="J34" s="7" t="s">
        <v>154</v>
      </c>
      <c r="K34" s="7" t="s">
        <v>624</v>
      </c>
      <c r="L34" s="7">
        <f>VLOOKUP($B34, Config!$A$4:$E$50, HLOOKUP(L$1, Config!$C$2:$AA$3, 2, FALSE)+2,FALSE)</f>
        <v>1</v>
      </c>
      <c r="M34" s="7">
        <f>VLOOKUP($B34, Config!$A$4:$E$50, HLOOKUP(M$1, Config!$C$2:$AA$3, 2, FALSE)+2,FALSE)</f>
        <v>0</v>
      </c>
      <c r="N34" s="7">
        <f>VLOOKUP($B34, Config!$A$4:$E$50, HLOOKUP(N$1, Config!$C$2:$AA$3, 2, FALSE)+2,FALSE)</f>
        <v>0</v>
      </c>
    </row>
    <row r="35" spans="1:14" x14ac:dyDescent="0.25">
      <c r="A35" s="156"/>
      <c r="B35" s="4" t="s">
        <v>85</v>
      </c>
      <c r="C35" s="7">
        <v>31</v>
      </c>
      <c r="D35" s="7">
        <v>1</v>
      </c>
      <c r="E35" s="17" t="s">
        <v>164</v>
      </c>
      <c r="F35" s="2" t="s">
        <v>165</v>
      </c>
      <c r="G35" s="2">
        <v>0</v>
      </c>
      <c r="H35" s="20">
        <v>0</v>
      </c>
      <c r="I35" s="3" t="s">
        <v>18</v>
      </c>
      <c r="J35" s="7" t="s">
        <v>166</v>
      </c>
      <c r="K35" s="7" t="s">
        <v>648</v>
      </c>
      <c r="L35" s="4">
        <f>VLOOKUP($B35, Config!$A$4:$E$50, HLOOKUP(L$1, Config!$C$2:$AA$3, 2, FALSE)+2,FALSE)</f>
        <v>1</v>
      </c>
      <c r="M35" s="4">
        <f>VLOOKUP($B35, Config!$A$4:$E$50, HLOOKUP(M$1, Config!$C$2:$AA$3, 2, FALSE)+2,FALSE)</f>
        <v>1</v>
      </c>
      <c r="N35" s="4">
        <f>VLOOKUP($B35, Config!$A$4:$E$50, HLOOKUP(N$1, Config!$C$2:$AA$3, 2, FALSE)+2,FALSE)</f>
        <v>1</v>
      </c>
    </row>
    <row r="36" spans="1:14" x14ac:dyDescent="0.25">
      <c r="A36" s="120" t="s">
        <v>167</v>
      </c>
      <c r="B36" s="17" t="s">
        <v>168</v>
      </c>
      <c r="C36" s="7">
        <v>0</v>
      </c>
      <c r="D36" s="7">
        <v>1</v>
      </c>
      <c r="E36" s="17" t="s">
        <v>169</v>
      </c>
      <c r="F36" s="17" t="s">
        <v>170</v>
      </c>
      <c r="G36" s="17">
        <v>0</v>
      </c>
      <c r="H36" s="21">
        <v>1</v>
      </c>
      <c r="I36" s="3"/>
      <c r="J36" s="7" t="s">
        <v>109</v>
      </c>
      <c r="K36" s="7" t="s">
        <v>624</v>
      </c>
      <c r="L36" s="4">
        <f>VLOOKUP($B36, Config!$A$4:$E$50, HLOOKUP(L$1, Config!$C$2:$AA$3, 2, FALSE)+2,FALSE)</f>
        <v>0</v>
      </c>
      <c r="M36" s="4">
        <f>VLOOKUP($B36, Config!$A$4:$E$50, HLOOKUP(M$1, Config!$C$2:$AA$3, 2, FALSE)+2,FALSE)</f>
        <v>0</v>
      </c>
      <c r="N36" s="4">
        <f>VLOOKUP($B36, Config!$A$4:$E$50, HLOOKUP(N$1, Config!$C$2:$AA$3, 2, FALSE)+2,FALSE)</f>
        <v>0</v>
      </c>
    </row>
    <row r="37" spans="1:14" x14ac:dyDescent="0.25">
      <c r="A37" s="120"/>
      <c r="B37" s="17" t="s">
        <v>171</v>
      </c>
      <c r="C37" s="7">
        <v>1</v>
      </c>
      <c r="D37" s="7">
        <v>1</v>
      </c>
      <c r="E37" s="17" t="s">
        <v>172</v>
      </c>
      <c r="F37" s="17" t="s">
        <v>173</v>
      </c>
      <c r="G37" s="17">
        <v>0</v>
      </c>
      <c r="H37" s="21">
        <v>0</v>
      </c>
      <c r="I37" s="3"/>
      <c r="J37" s="7" t="s">
        <v>109</v>
      </c>
      <c r="K37" s="7" t="s">
        <v>544</v>
      </c>
      <c r="L37" s="4">
        <f>VLOOKUP($B37, Config!$A$4:$E$50, HLOOKUP(L$1, Config!$C$2:$AA$3, 2, FALSE)+2,FALSE)</f>
        <v>1</v>
      </c>
      <c r="M37" s="4">
        <f>VLOOKUP($B37, Config!$A$4:$E$50, HLOOKUP(M$1, Config!$C$2:$AA$3, 2, FALSE)+2,FALSE)</f>
        <v>0</v>
      </c>
      <c r="N37" s="4">
        <f>VLOOKUP($B37, Config!$A$4:$E$50, HLOOKUP(N$1, Config!$C$2:$AA$3, 2, FALSE)+2,FALSE)</f>
        <v>0</v>
      </c>
    </row>
    <row r="38" spans="1:14" x14ac:dyDescent="0.25">
      <c r="A38" s="120"/>
      <c r="B38" s="17" t="s">
        <v>174</v>
      </c>
      <c r="C38" s="7">
        <v>2</v>
      </c>
      <c r="D38" s="7">
        <v>1</v>
      </c>
      <c r="E38" s="17" t="s">
        <v>175</v>
      </c>
      <c r="F38" s="17" t="s">
        <v>176</v>
      </c>
      <c r="G38" s="17">
        <v>1</v>
      </c>
      <c r="H38" s="21">
        <v>0</v>
      </c>
      <c r="I38" s="3"/>
      <c r="J38" s="7" t="s">
        <v>109</v>
      </c>
      <c r="K38" s="7" t="s">
        <v>545</v>
      </c>
      <c r="L38" s="4">
        <f>VLOOKUP($B38, Config!$A$4:$E$50, HLOOKUP(L$1, Config!$C$2:$AA$3, 2, FALSE)+2,FALSE)</f>
        <v>1</v>
      </c>
      <c r="M38" s="4">
        <f>VLOOKUP($B38, Config!$A$4:$E$50, HLOOKUP(M$1, Config!$C$2:$AA$3, 2, FALSE)+2,FALSE)</f>
        <v>0</v>
      </c>
      <c r="N38" s="4">
        <f>VLOOKUP($B38, Config!$A$4:$E$50, HLOOKUP(N$1, Config!$C$2:$AA$3, 2, FALSE)+2,FALSE)</f>
        <v>0</v>
      </c>
    </row>
    <row r="39" spans="1:14" x14ac:dyDescent="0.25">
      <c r="A39" s="120"/>
      <c r="B39" s="4" t="s">
        <v>85</v>
      </c>
      <c r="C39" s="7">
        <v>3</v>
      </c>
      <c r="D39" s="7">
        <v>1</v>
      </c>
      <c r="E39" s="17" t="s">
        <v>177</v>
      </c>
      <c r="F39" s="2" t="s">
        <v>178</v>
      </c>
      <c r="G39" s="2">
        <v>0</v>
      </c>
      <c r="H39" s="20">
        <v>0</v>
      </c>
      <c r="I39" s="3"/>
      <c r="J39" s="7" t="s">
        <v>179</v>
      </c>
      <c r="K39" s="7" t="s">
        <v>624</v>
      </c>
      <c r="L39" s="4">
        <f>VLOOKUP($B39, Config!$A$4:$E$50, HLOOKUP(L$1, Config!$C$2:$AA$3, 2, FALSE)+2,FALSE)</f>
        <v>1</v>
      </c>
      <c r="M39" s="4">
        <f>VLOOKUP($B39, Config!$A$4:$E$50, HLOOKUP(M$1, Config!$C$2:$AA$3, 2, FALSE)+2,FALSE)</f>
        <v>1</v>
      </c>
      <c r="N39" s="4">
        <f>VLOOKUP($B39, Config!$A$4:$E$50, HLOOKUP(N$1, Config!$C$2:$AA$3, 2, FALSE)+2,FALSE)</f>
        <v>1</v>
      </c>
    </row>
    <row r="40" spans="1:14" x14ac:dyDescent="0.25">
      <c r="A40" s="120"/>
      <c r="B40" s="17" t="s">
        <v>180</v>
      </c>
      <c r="C40" s="7">
        <v>4</v>
      </c>
      <c r="D40" s="7">
        <v>1</v>
      </c>
      <c r="E40" s="17" t="s">
        <v>181</v>
      </c>
      <c r="F40" s="17" t="s">
        <v>182</v>
      </c>
      <c r="G40" s="17">
        <v>1</v>
      </c>
      <c r="H40" s="21">
        <v>1</v>
      </c>
      <c r="I40" s="3"/>
      <c r="J40" s="7" t="s">
        <v>109</v>
      </c>
      <c r="K40" s="7" t="s">
        <v>624</v>
      </c>
      <c r="L40" s="4">
        <f>VLOOKUP($B40, Config!$A$4:$E$50, HLOOKUP(L$1, Config!$C$2:$AA$3, 2, FALSE)+2,FALSE)</f>
        <v>1</v>
      </c>
      <c r="M40" s="4">
        <f>VLOOKUP($B40, Config!$A$4:$E$50, HLOOKUP(M$1, Config!$C$2:$AA$3, 2, FALSE)+2,FALSE)</f>
        <v>0</v>
      </c>
      <c r="N40" s="4">
        <f>VLOOKUP($B40, Config!$A$4:$E$50, HLOOKUP(N$1, Config!$C$2:$AA$3, 2, FALSE)+2,FALSE)</f>
        <v>0</v>
      </c>
    </row>
    <row r="41" spans="1:14" x14ac:dyDescent="0.25">
      <c r="A41" s="120"/>
      <c r="B41" s="2" t="s">
        <v>183</v>
      </c>
      <c r="C41" s="2">
        <v>5</v>
      </c>
      <c r="D41" s="2">
        <v>1</v>
      </c>
      <c r="E41" s="2" t="s">
        <v>184</v>
      </c>
      <c r="F41" s="17" t="s">
        <v>185</v>
      </c>
      <c r="G41" s="17">
        <v>1</v>
      </c>
      <c r="H41" s="21">
        <v>0</v>
      </c>
      <c r="I41" s="3"/>
      <c r="J41" s="7" t="s">
        <v>109</v>
      </c>
      <c r="K41" s="7" t="s">
        <v>624</v>
      </c>
      <c r="L41" s="4">
        <f>VLOOKUP($B41, Config!$A$4:$E$50, HLOOKUP(L$1, Config!$C$2:$AA$3, 2, FALSE)+2,FALSE)</f>
        <v>0</v>
      </c>
      <c r="M41" s="4">
        <f>VLOOKUP($B41, Config!$A$4:$E$50, HLOOKUP(M$1, Config!$C$2:$AA$3, 2, FALSE)+2,FALSE)</f>
        <v>0</v>
      </c>
      <c r="N41" s="4">
        <f>VLOOKUP($B41, Config!$A$4:$E$50, HLOOKUP(N$1, Config!$C$2:$AA$3, 2, FALSE)+2,FALSE)</f>
        <v>0</v>
      </c>
    </row>
    <row r="42" spans="1:14" x14ac:dyDescent="0.25">
      <c r="A42" s="120"/>
      <c r="B42" s="4" t="s">
        <v>85</v>
      </c>
      <c r="C42" s="7">
        <v>6</v>
      </c>
      <c r="D42" s="7">
        <v>1</v>
      </c>
      <c r="E42" s="17" t="s">
        <v>186</v>
      </c>
      <c r="F42" s="2" t="s">
        <v>187</v>
      </c>
      <c r="G42" s="2">
        <v>0</v>
      </c>
      <c r="H42" s="20">
        <v>0</v>
      </c>
      <c r="I42" s="3"/>
      <c r="J42" s="7" t="s">
        <v>109</v>
      </c>
      <c r="K42" s="7" t="s">
        <v>624</v>
      </c>
      <c r="L42" s="4">
        <f>VLOOKUP($B42, Config!$A$4:$E$50, HLOOKUP(L$1, Config!$C$2:$AA$3, 2, FALSE)+2,FALSE)</f>
        <v>1</v>
      </c>
      <c r="M42" s="4">
        <f>VLOOKUP($B42, Config!$A$4:$E$50, HLOOKUP(M$1, Config!$C$2:$AA$3, 2, FALSE)+2,FALSE)</f>
        <v>1</v>
      </c>
      <c r="N42" s="4">
        <f>VLOOKUP($B42, Config!$A$4:$E$50, HLOOKUP(N$1, Config!$C$2:$AA$3, 2, FALSE)+2,FALSE)</f>
        <v>1</v>
      </c>
    </row>
    <row r="43" spans="1:14" x14ac:dyDescent="0.25">
      <c r="A43" s="120"/>
      <c r="B43" s="17" t="s">
        <v>188</v>
      </c>
      <c r="C43" s="7">
        <v>7</v>
      </c>
      <c r="D43" s="7">
        <v>1</v>
      </c>
      <c r="E43" s="17" t="s">
        <v>189</v>
      </c>
      <c r="F43" s="17" t="s">
        <v>190</v>
      </c>
      <c r="G43" s="17">
        <v>0</v>
      </c>
      <c r="H43" s="21">
        <v>1</v>
      </c>
      <c r="I43" s="3"/>
      <c r="J43" s="7" t="s">
        <v>109</v>
      </c>
      <c r="K43" s="7" t="s">
        <v>624</v>
      </c>
      <c r="L43" s="4">
        <f>VLOOKUP($B43, Config!$A$4:$E$50, HLOOKUP(L$1, Config!$C$2:$AA$3, 2, FALSE)+2,FALSE)</f>
        <v>1</v>
      </c>
      <c r="M43" s="4">
        <f>VLOOKUP($B43, Config!$A$4:$E$50, HLOOKUP(M$1, Config!$C$2:$AA$3, 2, FALSE)+2,FALSE)</f>
        <v>0</v>
      </c>
      <c r="N43" s="4">
        <f>VLOOKUP($B43, Config!$A$4:$E$50, HLOOKUP(N$1, Config!$C$2:$AA$3, 2, FALSE)+2,FALSE)</f>
        <v>1</v>
      </c>
    </row>
    <row r="44" spans="1:14" x14ac:dyDescent="0.25">
      <c r="A44" s="120"/>
      <c r="B44" s="2" t="s">
        <v>191</v>
      </c>
      <c r="C44" s="2">
        <v>8</v>
      </c>
      <c r="D44" s="2">
        <v>1</v>
      </c>
      <c r="E44" s="2" t="s">
        <v>192</v>
      </c>
      <c r="F44" s="17" t="s">
        <v>193</v>
      </c>
      <c r="G44" s="17">
        <v>0</v>
      </c>
      <c r="H44" s="21">
        <v>0</v>
      </c>
      <c r="I44" s="3"/>
      <c r="J44" s="7" t="s">
        <v>109</v>
      </c>
      <c r="K44" s="7" t="s">
        <v>624</v>
      </c>
      <c r="L44" s="4">
        <f>VLOOKUP($B44, Config!$A$4:$E$50, HLOOKUP(L$1, Config!$C$2:$AA$3, 2, FALSE)+2,FALSE)</f>
        <v>1</v>
      </c>
      <c r="M44" s="4">
        <f>VLOOKUP($B44, Config!$A$4:$E$50, HLOOKUP(M$1, Config!$C$2:$AA$3, 2, FALSE)+2,FALSE)</f>
        <v>0</v>
      </c>
      <c r="N44" s="4">
        <f>VLOOKUP($B44, Config!$A$4:$E$50, HLOOKUP(N$1, Config!$C$2:$AA$3, 2, FALSE)+2,FALSE)</f>
        <v>0</v>
      </c>
    </row>
    <row r="45" spans="1:14" x14ac:dyDescent="0.25">
      <c r="A45" s="120"/>
      <c r="B45" s="4" t="s">
        <v>85</v>
      </c>
      <c r="C45" s="7">
        <v>9</v>
      </c>
      <c r="D45" s="7">
        <v>3</v>
      </c>
      <c r="E45" s="17" t="s">
        <v>194</v>
      </c>
      <c r="F45" s="2" t="s">
        <v>195</v>
      </c>
      <c r="G45" s="2">
        <v>4</v>
      </c>
      <c r="H45" s="20">
        <v>0</v>
      </c>
      <c r="I45" s="3"/>
      <c r="J45" s="7" t="s">
        <v>154</v>
      </c>
      <c r="K45" s="7" t="s">
        <v>624</v>
      </c>
      <c r="L45" s="4">
        <f>VLOOKUP($B45, Config!$A$4:$E$50, HLOOKUP(L$1, Config!$C$2:$AA$3, 2, FALSE)+2,FALSE)</f>
        <v>1</v>
      </c>
      <c r="M45" s="4">
        <f>VLOOKUP($B45, Config!$A$4:$E$50, HLOOKUP(M$1, Config!$C$2:$AA$3, 2, FALSE)+2,FALSE)</f>
        <v>1</v>
      </c>
      <c r="N45" s="4">
        <f>VLOOKUP($B45, Config!$A$4:$E$50, HLOOKUP(N$1, Config!$C$2:$AA$3, 2, FALSE)+2,FALSE)</f>
        <v>1</v>
      </c>
    </row>
    <row r="46" spans="1:14" x14ac:dyDescent="0.25">
      <c r="A46" s="120"/>
      <c r="B46" s="2" t="s">
        <v>196</v>
      </c>
      <c r="C46" s="2">
        <v>12</v>
      </c>
      <c r="D46" s="2">
        <v>1</v>
      </c>
      <c r="E46" s="2" t="s">
        <v>197</v>
      </c>
      <c r="F46" s="17" t="s">
        <v>198</v>
      </c>
      <c r="G46" s="17">
        <v>0</v>
      </c>
      <c r="H46" s="21">
        <v>0</v>
      </c>
      <c r="I46" s="3"/>
      <c r="J46" s="7" t="s">
        <v>109</v>
      </c>
      <c r="K46" s="7" t="s">
        <v>624</v>
      </c>
      <c r="L46" s="4">
        <f>VLOOKUP($B46, Config!$A$4:$E$50, HLOOKUP(L$1, Config!$C$2:$AA$3, 2, FALSE)+2,FALSE)</f>
        <v>0</v>
      </c>
      <c r="M46" s="4">
        <f>VLOOKUP($B46, Config!$A$4:$E$50, HLOOKUP(M$1, Config!$C$2:$AA$3, 2, FALSE)+2,FALSE)</f>
        <v>0</v>
      </c>
      <c r="N46" s="4">
        <f>VLOOKUP($B46, Config!$A$4:$E$50, HLOOKUP(N$1, Config!$C$2:$AA$3, 2, FALSE)+2,FALSE)</f>
        <v>0</v>
      </c>
    </row>
    <row r="47" spans="1:14" x14ac:dyDescent="0.25">
      <c r="A47" s="120"/>
      <c r="B47" s="17" t="s">
        <v>199</v>
      </c>
      <c r="C47" s="7">
        <v>13</v>
      </c>
      <c r="D47" s="7">
        <v>1</v>
      </c>
      <c r="E47" s="17" t="s">
        <v>200</v>
      </c>
      <c r="F47" s="17" t="s">
        <v>201</v>
      </c>
      <c r="G47" s="17">
        <v>0</v>
      </c>
      <c r="H47" s="21">
        <v>1</v>
      </c>
      <c r="I47" s="3"/>
      <c r="J47" s="7" t="s">
        <v>154</v>
      </c>
      <c r="K47" s="7" t="s">
        <v>624</v>
      </c>
      <c r="L47" s="4">
        <f>VLOOKUP($B47, Config!$A$4:$E$50, HLOOKUP(L$1, Config!$C$2:$AA$3, 2, FALSE)+2,FALSE)</f>
        <v>1</v>
      </c>
      <c r="M47" s="4">
        <f>VLOOKUP($B47, Config!$A$4:$E$50, HLOOKUP(M$1, Config!$C$2:$AA$3, 2, FALSE)+2,FALSE)</f>
        <v>0</v>
      </c>
      <c r="N47" s="4">
        <f>VLOOKUP($B47, Config!$A$4:$E$50, HLOOKUP(N$1, Config!$C$2:$AA$3, 2, FALSE)+2,FALSE)</f>
        <v>1</v>
      </c>
    </row>
    <row r="48" spans="1:14" x14ac:dyDescent="0.25">
      <c r="A48" s="120"/>
      <c r="B48" s="2" t="s">
        <v>202</v>
      </c>
      <c r="C48" s="2">
        <v>14</v>
      </c>
      <c r="D48" s="2">
        <v>1</v>
      </c>
      <c r="E48" s="2" t="s">
        <v>203</v>
      </c>
      <c r="F48" s="17" t="s">
        <v>204</v>
      </c>
      <c r="G48" s="17">
        <v>1</v>
      </c>
      <c r="H48" s="21">
        <v>0</v>
      </c>
      <c r="I48" s="3"/>
      <c r="J48" s="7" t="s">
        <v>109</v>
      </c>
      <c r="K48" s="7" t="s">
        <v>624</v>
      </c>
      <c r="L48" s="4">
        <f>VLOOKUP($B48, Config!$A$4:$E$50, HLOOKUP(L$1, Config!$C$2:$AA$3, 2, FALSE)+2,FALSE)</f>
        <v>0</v>
      </c>
      <c r="M48" s="4">
        <f>VLOOKUP($B48, Config!$A$4:$E$50, HLOOKUP(M$1, Config!$C$2:$AA$3, 2, FALSE)+2,FALSE)</f>
        <v>0</v>
      </c>
      <c r="N48" s="4">
        <f>VLOOKUP($B48, Config!$A$4:$E$50, HLOOKUP(N$1, Config!$C$2:$AA$3, 2, FALSE)+2,FALSE)</f>
        <v>0</v>
      </c>
    </row>
    <row r="49" spans="1:14" x14ac:dyDescent="0.25">
      <c r="A49" s="120"/>
      <c r="B49" s="17" t="s">
        <v>205</v>
      </c>
      <c r="C49" s="7">
        <v>15</v>
      </c>
      <c r="D49" s="7">
        <v>1</v>
      </c>
      <c r="E49" s="17" t="s">
        <v>206</v>
      </c>
      <c r="F49" s="17" t="s">
        <v>207</v>
      </c>
      <c r="G49" s="17">
        <v>0</v>
      </c>
      <c r="H49" s="21">
        <v>1</v>
      </c>
      <c r="I49" s="3"/>
      <c r="J49" s="7" t="s">
        <v>154</v>
      </c>
      <c r="K49" s="7" t="s">
        <v>624</v>
      </c>
      <c r="L49" s="4">
        <f>VLOOKUP($B49, Config!$A$4:$E$50, HLOOKUP(L$1, Config!$C$2:$AA$3, 2, FALSE)+2,FALSE)</f>
        <v>1</v>
      </c>
      <c r="M49" s="4">
        <f>VLOOKUP($B49, Config!$A$4:$E$50, HLOOKUP(M$1, Config!$C$2:$AA$3, 2, FALSE)+2,FALSE)</f>
        <v>0</v>
      </c>
      <c r="N49" s="4">
        <f>VLOOKUP($B49, Config!$A$4:$E$50, HLOOKUP(N$1, Config!$C$2:$AA$3, 2, FALSE)+2,FALSE)</f>
        <v>1</v>
      </c>
    </row>
    <row r="50" spans="1:14" x14ac:dyDescent="0.25">
      <c r="A50" s="120"/>
      <c r="B50" s="17" t="s">
        <v>208</v>
      </c>
      <c r="C50" s="7">
        <v>16</v>
      </c>
      <c r="D50" s="7">
        <v>1</v>
      </c>
      <c r="E50" s="17" t="s">
        <v>209</v>
      </c>
      <c r="F50" s="17" t="s">
        <v>210</v>
      </c>
      <c r="G50" s="17">
        <v>1</v>
      </c>
      <c r="H50" s="21">
        <v>1</v>
      </c>
      <c r="I50" s="3"/>
      <c r="J50" s="7" t="s">
        <v>211</v>
      </c>
      <c r="K50" s="7" t="s">
        <v>546</v>
      </c>
      <c r="L50" s="4">
        <f>VLOOKUP($B50, Config!$A$4:$E$50, HLOOKUP(L$1, Config!$C$2:$AA$3, 2, FALSE)+2,FALSE)</f>
        <v>1</v>
      </c>
      <c r="M50" s="4">
        <f>VLOOKUP($B50, Config!$A$4:$E$50, HLOOKUP(M$1, Config!$C$2:$AA$3, 2, FALSE)+2,FALSE)</f>
        <v>0</v>
      </c>
      <c r="N50" s="4">
        <f>VLOOKUP($B50, Config!$A$4:$E$50, HLOOKUP(N$1, Config!$C$2:$AA$3, 2, FALSE)+2,FALSE)</f>
        <v>0</v>
      </c>
    </row>
    <row r="51" spans="1:14" x14ac:dyDescent="0.25">
      <c r="A51" s="120"/>
      <c r="B51" s="17" t="s">
        <v>208</v>
      </c>
      <c r="C51" s="7">
        <v>17</v>
      </c>
      <c r="D51" s="7">
        <v>1</v>
      </c>
      <c r="E51" s="17" t="s">
        <v>212</v>
      </c>
      <c r="F51" s="17" t="s">
        <v>213</v>
      </c>
      <c r="G51" s="17">
        <v>0</v>
      </c>
      <c r="H51" s="21">
        <v>0</v>
      </c>
      <c r="I51" s="3"/>
      <c r="J51" s="7" t="s">
        <v>211</v>
      </c>
      <c r="K51" s="7" t="s">
        <v>547</v>
      </c>
      <c r="L51" s="4">
        <f>VLOOKUP($B51, Config!$A$4:$E$50, HLOOKUP(L$1, Config!$C$2:$AA$3, 2, FALSE)+2,FALSE)</f>
        <v>1</v>
      </c>
      <c r="M51" s="4">
        <f>VLOOKUP($B51, Config!$A$4:$E$50, HLOOKUP(M$1, Config!$C$2:$AA$3, 2, FALSE)+2,FALSE)</f>
        <v>0</v>
      </c>
      <c r="N51" s="4">
        <f>VLOOKUP($B51, Config!$A$4:$E$50, HLOOKUP(N$1, Config!$C$2:$AA$3, 2, FALSE)+2,FALSE)</f>
        <v>0</v>
      </c>
    </row>
    <row r="52" spans="1:14" x14ac:dyDescent="0.25">
      <c r="A52" s="120"/>
      <c r="B52" s="17" t="s">
        <v>208</v>
      </c>
      <c r="C52" s="7">
        <v>18</v>
      </c>
      <c r="D52" s="7">
        <v>1</v>
      </c>
      <c r="E52" s="17" t="s">
        <v>214</v>
      </c>
      <c r="F52" s="17" t="s">
        <v>215</v>
      </c>
      <c r="G52" s="17">
        <v>0</v>
      </c>
      <c r="H52" s="21">
        <v>0</v>
      </c>
      <c r="I52" s="3"/>
      <c r="J52" s="7" t="s">
        <v>211</v>
      </c>
      <c r="K52" s="7" t="s">
        <v>548</v>
      </c>
      <c r="L52" s="4">
        <f>VLOOKUP($B52, Config!$A$4:$E$50, HLOOKUP(L$1, Config!$C$2:$AA$3, 2, FALSE)+2,FALSE)</f>
        <v>1</v>
      </c>
      <c r="M52" s="4">
        <f>VLOOKUP($B52, Config!$A$4:$E$50, HLOOKUP(M$1, Config!$C$2:$AA$3, 2, FALSE)+2,FALSE)</f>
        <v>0</v>
      </c>
      <c r="N52" s="4">
        <f>VLOOKUP($B52, Config!$A$4:$E$50, HLOOKUP(N$1, Config!$C$2:$AA$3, 2, FALSE)+2,FALSE)</f>
        <v>0</v>
      </c>
    </row>
    <row r="53" spans="1:14" x14ac:dyDescent="0.25">
      <c r="A53" s="120"/>
      <c r="B53" s="17" t="s">
        <v>216</v>
      </c>
      <c r="C53" s="7">
        <v>19</v>
      </c>
      <c r="D53" s="7">
        <v>1</v>
      </c>
      <c r="E53" s="17" t="s">
        <v>217</v>
      </c>
      <c r="F53" s="17" t="s">
        <v>218</v>
      </c>
      <c r="G53" s="17">
        <v>0</v>
      </c>
      <c r="H53" s="21">
        <v>1</v>
      </c>
      <c r="I53" s="3"/>
      <c r="J53" s="7" t="s">
        <v>109</v>
      </c>
      <c r="K53" s="7" t="s">
        <v>625</v>
      </c>
      <c r="L53" s="4">
        <f>VLOOKUP($B53, Config!$A$4:$E$50, HLOOKUP(L$1, Config!$C$2:$AA$3, 2, FALSE)+2,FALSE)</f>
        <v>1</v>
      </c>
      <c r="M53" s="4">
        <f>VLOOKUP($B53, Config!$A$4:$E$50, HLOOKUP(M$1, Config!$C$2:$AA$3, 2, FALSE)+2,FALSE)</f>
        <v>0</v>
      </c>
      <c r="N53" s="4">
        <f>VLOOKUP($B53, Config!$A$4:$E$50, HLOOKUP(N$1, Config!$C$2:$AA$3, 2, FALSE)+2,FALSE)</f>
        <v>0</v>
      </c>
    </row>
    <row r="54" spans="1:14" x14ac:dyDescent="0.25">
      <c r="A54" s="120"/>
      <c r="B54" s="17" t="s">
        <v>219</v>
      </c>
      <c r="C54" s="7">
        <v>20</v>
      </c>
      <c r="D54" s="7">
        <v>1</v>
      </c>
      <c r="E54" s="17" t="s">
        <v>220</v>
      </c>
      <c r="F54" s="17" t="s">
        <v>221</v>
      </c>
      <c r="G54" s="17">
        <v>0</v>
      </c>
      <c r="H54" s="21">
        <v>1</v>
      </c>
      <c r="I54" s="3"/>
      <c r="J54" s="7" t="s">
        <v>109</v>
      </c>
      <c r="K54" s="7" t="s">
        <v>626</v>
      </c>
      <c r="L54" s="4">
        <f>VLOOKUP($B54, Config!$A$4:$E$50, HLOOKUP(L$1, Config!$C$2:$AA$3, 2, FALSE)+2,FALSE)</f>
        <v>1</v>
      </c>
      <c r="M54" s="4">
        <f>VLOOKUP($B54, Config!$A$4:$E$50, HLOOKUP(M$1, Config!$C$2:$AA$3, 2, FALSE)+2,FALSE)</f>
        <v>0</v>
      </c>
      <c r="N54" s="4">
        <f>VLOOKUP($B54, Config!$A$4:$E$50, HLOOKUP(N$1, Config!$C$2:$AA$3, 2, FALSE)+2,FALSE)</f>
        <v>0</v>
      </c>
    </row>
    <row r="55" spans="1:14" x14ac:dyDescent="0.25">
      <c r="A55" s="120"/>
      <c r="B55" s="17" t="s">
        <v>222</v>
      </c>
      <c r="C55" s="7">
        <v>21</v>
      </c>
      <c r="D55" s="7">
        <v>1</v>
      </c>
      <c r="E55" s="17" t="s">
        <v>223</v>
      </c>
      <c r="F55" s="17" t="s">
        <v>224</v>
      </c>
      <c r="G55" s="17">
        <v>0</v>
      </c>
      <c r="H55" s="21">
        <v>1</v>
      </c>
      <c r="I55" s="3"/>
      <c r="J55" s="7" t="s">
        <v>109</v>
      </c>
      <c r="K55" s="7" t="s">
        <v>549</v>
      </c>
      <c r="L55" s="4">
        <f>VLOOKUP($B55, Config!$A$4:$E$50, HLOOKUP(L$1, Config!$C$2:$AA$3, 2, FALSE)+2,FALSE)</f>
        <v>1</v>
      </c>
      <c r="M55" s="4">
        <f>VLOOKUP($B55, Config!$A$4:$E$50, HLOOKUP(M$1, Config!$C$2:$AA$3, 2, FALSE)+2,FALSE)</f>
        <v>0</v>
      </c>
      <c r="N55" s="4">
        <f>VLOOKUP($B55, Config!$A$4:$E$50, HLOOKUP(N$1, Config!$C$2:$AA$3, 2, FALSE)+2,FALSE)</f>
        <v>0</v>
      </c>
    </row>
    <row r="56" spans="1:14" x14ac:dyDescent="0.25">
      <c r="A56" s="120"/>
      <c r="B56" s="17" t="s">
        <v>225</v>
      </c>
      <c r="C56" s="7">
        <v>22</v>
      </c>
      <c r="D56" s="7">
        <v>2</v>
      </c>
      <c r="E56" s="17" t="s">
        <v>226</v>
      </c>
      <c r="F56" s="17" t="s">
        <v>227</v>
      </c>
      <c r="G56" s="17">
        <v>2</v>
      </c>
      <c r="H56" s="21">
        <v>1</v>
      </c>
      <c r="I56" s="3"/>
      <c r="J56" s="7" t="s">
        <v>109</v>
      </c>
      <c r="K56" s="7" t="s">
        <v>550</v>
      </c>
      <c r="L56" s="4">
        <f>VLOOKUP($B56, Config!$A$4:$E$50, HLOOKUP(L$1, Config!$C$2:$AA$3, 2, FALSE)+2,FALSE)</f>
        <v>1</v>
      </c>
      <c r="M56" s="4">
        <f>VLOOKUP($B56, Config!$A$4:$E$50, HLOOKUP(M$1, Config!$C$2:$AA$3, 2, FALSE)+2,FALSE)</f>
        <v>0</v>
      </c>
      <c r="N56" s="4">
        <f>VLOOKUP($B56, Config!$A$4:$E$50, HLOOKUP(N$1, Config!$C$2:$AA$3, 2, FALSE)+2,FALSE)</f>
        <v>0</v>
      </c>
    </row>
    <row r="57" spans="1:14" x14ac:dyDescent="0.25">
      <c r="A57" s="120"/>
      <c r="B57" s="4" t="s">
        <v>85</v>
      </c>
      <c r="C57" s="7">
        <v>24</v>
      </c>
      <c r="D57" s="7">
        <v>8</v>
      </c>
      <c r="E57" s="17" t="s">
        <v>228</v>
      </c>
      <c r="F57" s="2" t="s">
        <v>229</v>
      </c>
      <c r="G57" s="2">
        <v>0</v>
      </c>
      <c r="H57" s="20">
        <v>1</v>
      </c>
      <c r="I57" s="3" t="s">
        <v>18</v>
      </c>
      <c r="J57" s="7" t="s">
        <v>109</v>
      </c>
      <c r="K57" s="7" t="s">
        <v>551</v>
      </c>
      <c r="L57" s="4">
        <f>VLOOKUP($B57, Config!$A$4:$E$50, HLOOKUP(L$1, Config!$C$2:$AA$3, 2, FALSE)+2,FALSE)</f>
        <v>1</v>
      </c>
      <c r="M57" s="4">
        <f>VLOOKUP($B57, Config!$A$4:$E$50, HLOOKUP(M$1, Config!$C$2:$AA$3, 2, FALSE)+2,FALSE)</f>
        <v>1</v>
      </c>
      <c r="N57" s="4">
        <f>VLOOKUP($B57, Config!$A$4:$E$50, HLOOKUP(N$1, Config!$C$2:$AA$3, 2, FALSE)+2,FALSE)</f>
        <v>1</v>
      </c>
    </row>
    <row r="58" spans="1:14" x14ac:dyDescent="0.25">
      <c r="A58" s="120" t="s">
        <v>230</v>
      </c>
      <c r="B58" s="17" t="s">
        <v>488</v>
      </c>
      <c r="C58" s="7">
        <v>0</v>
      </c>
      <c r="D58" s="7">
        <v>15</v>
      </c>
      <c r="E58" s="17" t="s">
        <v>231</v>
      </c>
      <c r="F58" s="2" t="s">
        <v>232</v>
      </c>
      <c r="G58" s="2">
        <v>0</v>
      </c>
      <c r="H58" s="20">
        <v>0</v>
      </c>
      <c r="I58" s="3" t="s">
        <v>18</v>
      </c>
      <c r="J58" s="7" t="s">
        <v>109</v>
      </c>
      <c r="K58" s="7" t="s">
        <v>552</v>
      </c>
      <c r="L58" s="4">
        <f>VLOOKUP($B58, Config!$A$4:$E$50, HLOOKUP(L$1, Config!$C$2:$AA$3, 2, FALSE)+2,FALSE)</f>
        <v>13</v>
      </c>
      <c r="M58" s="4">
        <f>VLOOKUP($B58, Config!$A$4:$E$50, HLOOKUP(M$1, Config!$C$2:$AA$3, 2, FALSE)+2,FALSE)</f>
        <v>5</v>
      </c>
      <c r="N58" s="4">
        <f>VLOOKUP($B58, Config!$A$4:$E$50, HLOOKUP(N$1, Config!$C$2:$AA$3, 2, FALSE)+2,FALSE)</f>
        <v>5</v>
      </c>
    </row>
    <row r="59" spans="1:14" x14ac:dyDescent="0.25">
      <c r="A59" s="120"/>
      <c r="B59" s="17" t="s">
        <v>233</v>
      </c>
      <c r="C59" s="7">
        <v>15</v>
      </c>
      <c r="D59" s="7">
        <v>1</v>
      </c>
      <c r="E59" s="17" t="s">
        <v>234</v>
      </c>
      <c r="F59" s="17" t="s">
        <v>235</v>
      </c>
      <c r="G59" s="17">
        <v>0</v>
      </c>
      <c r="H59" s="21">
        <v>0</v>
      </c>
      <c r="I59" s="3" t="s">
        <v>18</v>
      </c>
      <c r="J59" s="7" t="s">
        <v>109</v>
      </c>
      <c r="K59" s="7" t="s">
        <v>553</v>
      </c>
      <c r="L59" s="4">
        <f>VLOOKUP($B59, Config!$A$4:$E$50, HLOOKUP(L$1, Config!$C$2:$AA$3, 2, FALSE)+2,FALSE)</f>
        <v>1</v>
      </c>
      <c r="M59" s="4">
        <f>VLOOKUP($B59, Config!$A$4:$E$50, HLOOKUP(M$1, Config!$C$2:$AA$3, 2, FALSE)+2,FALSE)</f>
        <v>0</v>
      </c>
      <c r="N59" s="4">
        <f>VLOOKUP($B59, Config!$A$4:$E$50, HLOOKUP(N$1, Config!$C$2:$AA$3, 2, FALSE)+2,FALSE)</f>
        <v>0</v>
      </c>
    </row>
    <row r="60" spans="1:14" x14ac:dyDescent="0.25">
      <c r="A60" s="120"/>
      <c r="B60" s="17" t="s">
        <v>236</v>
      </c>
      <c r="C60" s="7">
        <v>16</v>
      </c>
      <c r="D60" s="7">
        <v>1</v>
      </c>
      <c r="E60" s="17" t="s">
        <v>237</v>
      </c>
      <c r="F60" s="17" t="s">
        <v>238</v>
      </c>
      <c r="G60" s="17">
        <v>0</v>
      </c>
      <c r="H60" s="21">
        <v>0</v>
      </c>
      <c r="I60" s="3"/>
      <c r="J60" s="7" t="s">
        <v>109</v>
      </c>
      <c r="K60" s="7" t="s">
        <v>554</v>
      </c>
      <c r="L60" s="4">
        <f>VLOOKUP($B60, Config!$A$4:$E$50, HLOOKUP(L$1, Config!$C$2:$AA$3, 2, FALSE)+2,FALSE)</f>
        <v>1</v>
      </c>
      <c r="M60" s="4">
        <f>VLOOKUP($B60, Config!$A$4:$E$50, HLOOKUP(M$1, Config!$C$2:$AA$3, 2, FALSE)+2,FALSE)</f>
        <v>0</v>
      </c>
      <c r="N60" s="4">
        <f>VLOOKUP($B60, Config!$A$4:$E$50, HLOOKUP(N$1, Config!$C$2:$AA$3, 2, FALSE)+2,FALSE)</f>
        <v>0</v>
      </c>
    </row>
    <row r="61" spans="1:14" x14ac:dyDescent="0.25">
      <c r="A61" s="120"/>
      <c r="B61" s="2" t="s">
        <v>57</v>
      </c>
      <c r="C61" s="2">
        <v>17</v>
      </c>
      <c r="D61" s="2">
        <v>1</v>
      </c>
      <c r="E61" s="2"/>
      <c r="F61" s="7" t="s">
        <v>239</v>
      </c>
      <c r="G61" s="7">
        <v>0</v>
      </c>
      <c r="H61" s="22">
        <v>0</v>
      </c>
      <c r="I61" s="3"/>
      <c r="J61" s="7"/>
      <c r="K61" s="7" t="s">
        <v>561</v>
      </c>
      <c r="L61" s="2">
        <v>0</v>
      </c>
      <c r="M61" s="2">
        <v>0</v>
      </c>
      <c r="N61" s="2">
        <v>0</v>
      </c>
    </row>
    <row r="62" spans="1:14" x14ac:dyDescent="0.25">
      <c r="A62" s="120"/>
      <c r="B62" s="4" t="s">
        <v>85</v>
      </c>
      <c r="C62" s="7">
        <v>18</v>
      </c>
      <c r="D62" s="7">
        <v>3</v>
      </c>
      <c r="E62" s="17" t="s">
        <v>240</v>
      </c>
      <c r="F62" s="2" t="s">
        <v>241</v>
      </c>
      <c r="G62" s="2">
        <v>0</v>
      </c>
      <c r="H62" s="20">
        <v>1</v>
      </c>
      <c r="I62" s="3"/>
      <c r="J62" s="7" t="s">
        <v>109</v>
      </c>
      <c r="K62" s="7" t="s">
        <v>555</v>
      </c>
      <c r="L62" s="4">
        <f>VLOOKUP($B62, Config!$A$4:$E$50, HLOOKUP(L$1, Config!$C$2:$AA$3, 2, FALSE)+2,FALSE)</f>
        <v>1</v>
      </c>
      <c r="M62" s="4">
        <f>VLOOKUP($B62, Config!$A$4:$E$50, HLOOKUP(M$1, Config!$C$2:$AA$3, 2, FALSE)+2,FALSE)</f>
        <v>1</v>
      </c>
      <c r="N62" s="4">
        <f>VLOOKUP($B62, Config!$A$4:$E$50, HLOOKUP(N$1, Config!$C$2:$AA$3, 2, FALSE)+2,FALSE)</f>
        <v>1</v>
      </c>
    </row>
    <row r="63" spans="1:14" x14ac:dyDescent="0.25">
      <c r="A63" s="120"/>
      <c r="B63" s="2" t="s">
        <v>57</v>
      </c>
      <c r="C63" s="2">
        <v>21</v>
      </c>
      <c r="D63" s="2">
        <v>3</v>
      </c>
      <c r="E63" s="2"/>
      <c r="F63" s="7" t="s">
        <v>242</v>
      </c>
      <c r="G63" s="7">
        <v>0</v>
      </c>
      <c r="H63" s="22">
        <v>0</v>
      </c>
      <c r="I63" s="3"/>
      <c r="J63" s="7"/>
      <c r="K63" s="7" t="s">
        <v>561</v>
      </c>
      <c r="L63" s="2">
        <v>0</v>
      </c>
      <c r="M63" s="2">
        <v>0</v>
      </c>
      <c r="N63" s="2">
        <v>0</v>
      </c>
    </row>
    <row r="64" spans="1:14" x14ac:dyDescent="0.25">
      <c r="A64" s="120"/>
      <c r="B64" s="4" t="s">
        <v>85</v>
      </c>
      <c r="C64" s="7">
        <v>24</v>
      </c>
      <c r="D64" s="7">
        <v>4</v>
      </c>
      <c r="E64" s="17" t="s">
        <v>243</v>
      </c>
      <c r="F64" s="2" t="s">
        <v>244</v>
      </c>
      <c r="G64" s="2">
        <v>0</v>
      </c>
      <c r="H64" s="20">
        <v>0</v>
      </c>
      <c r="I64" s="3"/>
      <c r="J64" s="7" t="s">
        <v>109</v>
      </c>
      <c r="K64" s="7" t="s">
        <v>555</v>
      </c>
      <c r="L64" s="4">
        <f>VLOOKUP($B64, Config!$A$4:$E$50, HLOOKUP(L$1, Config!$C$2:$AA$3, 2, FALSE)+2,FALSE)</f>
        <v>1</v>
      </c>
      <c r="M64" s="4">
        <f>VLOOKUP($B64, Config!$A$4:$E$50, HLOOKUP(M$1, Config!$C$2:$AA$3, 2, FALSE)+2,FALSE)</f>
        <v>1</v>
      </c>
      <c r="N64" s="4">
        <f>VLOOKUP($B64, Config!$A$4:$E$50, HLOOKUP(N$1, Config!$C$2:$AA$3, 2, FALSE)+2,FALSE)</f>
        <v>1</v>
      </c>
    </row>
    <row r="65" spans="1:14" x14ac:dyDescent="0.25">
      <c r="A65" s="120"/>
      <c r="B65" s="4" t="s">
        <v>85</v>
      </c>
      <c r="C65" s="7">
        <v>28</v>
      </c>
      <c r="D65" s="7">
        <v>4</v>
      </c>
      <c r="E65" s="17" t="s">
        <v>245</v>
      </c>
      <c r="F65" s="2" t="s">
        <v>246</v>
      </c>
      <c r="G65" s="2">
        <v>0</v>
      </c>
      <c r="H65" s="20">
        <v>0</v>
      </c>
      <c r="I65" s="3"/>
      <c r="J65" s="7" t="s">
        <v>109</v>
      </c>
      <c r="K65" s="7" t="s">
        <v>555</v>
      </c>
      <c r="L65" s="4">
        <f>VLOOKUP($B65, Config!$A$4:$E$50, HLOOKUP(L$1, Config!$C$2:$AA$3, 2, FALSE)+2,FALSE)</f>
        <v>1</v>
      </c>
      <c r="M65" s="4">
        <f>VLOOKUP($B65, Config!$A$4:$E$50, HLOOKUP(M$1, Config!$C$2:$AA$3, 2, FALSE)+2,FALSE)</f>
        <v>1</v>
      </c>
      <c r="N65" s="4">
        <f>VLOOKUP($B65, Config!$A$4:$E$50, HLOOKUP(N$1, Config!$C$2:$AA$3, 2, FALSE)+2,FALSE)</f>
        <v>1</v>
      </c>
    </row>
    <row r="66" spans="1:14" x14ac:dyDescent="0.25">
      <c r="A66" s="120" t="s">
        <v>35</v>
      </c>
      <c r="B66" s="17" t="s">
        <v>247</v>
      </c>
      <c r="C66" s="7">
        <v>0</v>
      </c>
      <c r="D66" s="7">
        <v>1</v>
      </c>
      <c r="E66" s="17" t="s">
        <v>248</v>
      </c>
      <c r="F66" s="17" t="s">
        <v>249</v>
      </c>
      <c r="G66" s="17">
        <v>0</v>
      </c>
      <c r="H66" s="21">
        <v>1</v>
      </c>
      <c r="I66" s="3" t="s">
        <v>18</v>
      </c>
      <c r="J66" s="7" t="s">
        <v>88</v>
      </c>
      <c r="K66" s="7" t="s">
        <v>556</v>
      </c>
      <c r="L66" s="4">
        <f>VLOOKUP($B66, Config!$A$4:$E$50, HLOOKUP(L$1, Config!$C$2:$AA$3, 2, FALSE)+2,FALSE)</f>
        <v>0</v>
      </c>
      <c r="M66" s="4">
        <f>VLOOKUP($B66, Config!$A$4:$E$50, HLOOKUP(M$1, Config!$C$2:$AA$3, 2, FALSE)+2,FALSE)</f>
        <v>0</v>
      </c>
      <c r="N66" s="4">
        <f>VLOOKUP($B66, Config!$A$4:$E$50, HLOOKUP(N$1, Config!$C$2:$AA$3, 2, FALSE)+2,FALSE)</f>
        <v>1</v>
      </c>
    </row>
    <row r="67" spans="1:14" x14ac:dyDescent="0.25">
      <c r="A67" s="120"/>
      <c r="B67" s="17" t="s">
        <v>484</v>
      </c>
      <c r="C67" s="7">
        <v>1</v>
      </c>
      <c r="D67" s="7">
        <v>1</v>
      </c>
      <c r="E67" s="17" t="s">
        <v>250</v>
      </c>
      <c r="F67" s="17" t="s">
        <v>251</v>
      </c>
      <c r="G67" s="17">
        <v>0</v>
      </c>
      <c r="H67" s="21">
        <v>1</v>
      </c>
      <c r="I67" s="3" t="s">
        <v>18</v>
      </c>
      <c r="J67" s="7" t="s">
        <v>88</v>
      </c>
      <c r="K67" s="7" t="s">
        <v>557</v>
      </c>
      <c r="L67" s="4">
        <f>VLOOKUP($B67, Config!$A$4:$E$50, HLOOKUP(L$1, Config!$C$2:$AA$3, 2, FALSE)+2,FALSE)</f>
        <v>0</v>
      </c>
      <c r="M67" s="4">
        <f>VLOOKUP($B67, Config!$A$4:$E$50, HLOOKUP(M$1, Config!$C$2:$AA$3, 2, FALSE)+2,FALSE)</f>
        <v>0</v>
      </c>
      <c r="N67" s="4">
        <f>VLOOKUP($B67, Config!$A$4:$E$50, HLOOKUP(N$1, Config!$C$2:$AA$3, 2, FALSE)+2,FALSE)</f>
        <v>1</v>
      </c>
    </row>
    <row r="68" spans="1:14" x14ac:dyDescent="0.25">
      <c r="A68" s="120"/>
      <c r="B68" s="17" t="s">
        <v>484</v>
      </c>
      <c r="C68" s="7">
        <v>2</v>
      </c>
      <c r="D68" s="7">
        <v>1</v>
      </c>
      <c r="E68" s="17" t="s">
        <v>252</v>
      </c>
      <c r="F68" s="17" t="s">
        <v>253</v>
      </c>
      <c r="G68" s="17">
        <v>0</v>
      </c>
      <c r="H68" s="21">
        <v>0</v>
      </c>
      <c r="I68" s="3" t="s">
        <v>18</v>
      </c>
      <c r="J68" s="7" t="s">
        <v>88</v>
      </c>
      <c r="K68" s="7" t="s">
        <v>558</v>
      </c>
      <c r="L68" s="4">
        <f>VLOOKUP($B68, Config!$A$4:$E$50, HLOOKUP(L$1, Config!$C$2:$AA$3, 2, FALSE)+2,FALSE)</f>
        <v>0</v>
      </c>
      <c r="M68" s="4">
        <f>VLOOKUP($B68, Config!$A$4:$E$50, HLOOKUP(M$1, Config!$C$2:$AA$3, 2, FALSE)+2,FALSE)</f>
        <v>0</v>
      </c>
      <c r="N68" s="4">
        <f>VLOOKUP($B68, Config!$A$4:$E$50, HLOOKUP(N$1, Config!$C$2:$AA$3, 2, FALSE)+2,FALSE)</f>
        <v>1</v>
      </c>
    </row>
    <row r="69" spans="1:14" x14ac:dyDescent="0.25">
      <c r="A69" s="120"/>
      <c r="B69" s="4" t="s">
        <v>85</v>
      </c>
      <c r="C69" s="7">
        <v>3</v>
      </c>
      <c r="D69" s="7">
        <v>1</v>
      </c>
      <c r="E69" s="17" t="s">
        <v>254</v>
      </c>
      <c r="F69" s="2" t="s">
        <v>255</v>
      </c>
      <c r="G69" s="2">
        <v>0</v>
      </c>
      <c r="H69" s="20">
        <v>0</v>
      </c>
      <c r="I69" s="3" t="s">
        <v>18</v>
      </c>
      <c r="J69" s="7" t="s">
        <v>91</v>
      </c>
      <c r="K69" s="7" t="s">
        <v>629</v>
      </c>
      <c r="L69" s="4">
        <f>VLOOKUP($B69, Config!$A$4:$E$50, HLOOKUP(L$1, Config!$C$2:$AA$3, 2, FALSE)+2,FALSE)</f>
        <v>1</v>
      </c>
      <c r="M69" s="4">
        <f>VLOOKUP($B69, Config!$A$4:$E$50, HLOOKUP(M$1, Config!$C$2:$AA$3, 2, FALSE)+2,FALSE)</f>
        <v>1</v>
      </c>
      <c r="N69" s="4">
        <f>VLOOKUP($B69, Config!$A$4:$E$50, HLOOKUP(N$1, Config!$C$2:$AA$3, 2, FALSE)+2,FALSE)</f>
        <v>1</v>
      </c>
    </row>
    <row r="70" spans="1:14" x14ac:dyDescent="0.25">
      <c r="A70" s="120"/>
      <c r="B70" s="4" t="s">
        <v>85</v>
      </c>
      <c r="C70" s="7">
        <v>4</v>
      </c>
      <c r="D70" s="7">
        <v>1</v>
      </c>
      <c r="E70" s="17" t="s">
        <v>256</v>
      </c>
      <c r="F70" s="2" t="s">
        <v>257</v>
      </c>
      <c r="G70" s="2">
        <v>0</v>
      </c>
      <c r="H70" s="20">
        <v>0</v>
      </c>
      <c r="I70" s="3" t="s">
        <v>18</v>
      </c>
      <c r="J70" s="7" t="s">
        <v>91</v>
      </c>
      <c r="K70" s="7" t="s">
        <v>630</v>
      </c>
      <c r="L70" s="4">
        <f>VLOOKUP($B70, Config!$A$4:$E$50, HLOOKUP(L$1, Config!$C$2:$AA$3, 2, FALSE)+2,FALSE)</f>
        <v>1</v>
      </c>
      <c r="M70" s="4">
        <f>VLOOKUP($B70, Config!$A$4:$E$50, HLOOKUP(M$1, Config!$C$2:$AA$3, 2, FALSE)+2,FALSE)</f>
        <v>1</v>
      </c>
      <c r="N70" s="4">
        <f>VLOOKUP($B70, Config!$A$4:$E$50, HLOOKUP(N$1, Config!$C$2:$AA$3, 2, FALSE)+2,FALSE)</f>
        <v>1</v>
      </c>
    </row>
    <row r="71" spans="1:14" x14ac:dyDescent="0.25">
      <c r="A71" s="120"/>
      <c r="B71" s="2" t="s">
        <v>57</v>
      </c>
      <c r="C71" s="2">
        <v>5</v>
      </c>
      <c r="D71" s="2">
        <v>1</v>
      </c>
      <c r="E71" s="2"/>
      <c r="F71" s="7" t="s">
        <v>258</v>
      </c>
      <c r="G71" s="7">
        <v>0</v>
      </c>
      <c r="H71" s="22">
        <v>0</v>
      </c>
      <c r="I71" s="3" t="s">
        <v>18</v>
      </c>
      <c r="J71" s="7"/>
      <c r="K71" s="7" t="s">
        <v>561</v>
      </c>
      <c r="L71" s="2">
        <v>0</v>
      </c>
      <c r="M71" s="2">
        <v>0</v>
      </c>
      <c r="N71" s="2">
        <v>0</v>
      </c>
    </row>
    <row r="72" spans="1:14" x14ac:dyDescent="0.25">
      <c r="A72" s="120"/>
      <c r="B72" s="2" t="s">
        <v>259</v>
      </c>
      <c r="C72" s="2">
        <v>6</v>
      </c>
      <c r="D72" s="2">
        <v>1</v>
      </c>
      <c r="E72" s="2" t="s">
        <v>260</v>
      </c>
      <c r="F72" s="17" t="s">
        <v>261</v>
      </c>
      <c r="G72" s="17">
        <v>1</v>
      </c>
      <c r="H72" s="21">
        <v>0</v>
      </c>
      <c r="I72" s="3" t="s">
        <v>18</v>
      </c>
      <c r="J72" s="7" t="s">
        <v>88</v>
      </c>
      <c r="K72" s="7" t="s">
        <v>631</v>
      </c>
      <c r="L72" s="4">
        <f>VLOOKUP($B72, Config!$A$4:$E$50, HLOOKUP(L$1, Config!$C$2:$AA$3, 2, FALSE)+2,FALSE)</f>
        <v>0</v>
      </c>
      <c r="M72" s="4">
        <f>VLOOKUP($B72, Config!$A$4:$E$50, HLOOKUP(M$1, Config!$C$2:$AA$3, 2, FALSE)+2,FALSE)</f>
        <v>0</v>
      </c>
      <c r="N72" s="4">
        <f>VLOOKUP($B72, Config!$A$4:$E$50, HLOOKUP(N$1, Config!$C$2:$AA$3, 2, FALSE)+2,FALSE)</f>
        <v>0</v>
      </c>
    </row>
    <row r="73" spans="1:14" x14ac:dyDescent="0.25">
      <c r="A73" s="120"/>
      <c r="B73" s="2" t="s">
        <v>259</v>
      </c>
      <c r="C73" s="2">
        <v>7</v>
      </c>
      <c r="D73" s="2">
        <v>1</v>
      </c>
      <c r="E73" s="2" t="s">
        <v>262</v>
      </c>
      <c r="F73" s="7" t="s">
        <v>263</v>
      </c>
      <c r="G73" s="7">
        <v>1</v>
      </c>
      <c r="H73" s="22">
        <v>0</v>
      </c>
      <c r="I73" s="3" t="s">
        <v>18</v>
      </c>
      <c r="J73" s="7" t="s">
        <v>88</v>
      </c>
      <c r="K73" s="7" t="s">
        <v>632</v>
      </c>
      <c r="L73" s="4">
        <f>VLOOKUP($B73, Config!$A$4:$E$50, HLOOKUP(L$1, Config!$C$2:$AA$3, 2, FALSE)+2,FALSE)</f>
        <v>0</v>
      </c>
      <c r="M73" s="4">
        <f>VLOOKUP($B73, Config!$A$4:$E$50, HLOOKUP(M$1, Config!$C$2:$AA$3, 2, FALSE)+2,FALSE)</f>
        <v>0</v>
      </c>
      <c r="N73" s="4">
        <f>VLOOKUP($B73, Config!$A$4:$E$50, HLOOKUP(N$1, Config!$C$2:$AA$3, 2, FALSE)+2,FALSE)</f>
        <v>0</v>
      </c>
    </row>
    <row r="74" spans="1:14" x14ac:dyDescent="0.25">
      <c r="A74" s="120"/>
      <c r="B74" s="4" t="s">
        <v>85</v>
      </c>
      <c r="C74" s="7">
        <v>8</v>
      </c>
      <c r="D74" s="7">
        <v>1</v>
      </c>
      <c r="E74" s="17" t="s">
        <v>264</v>
      </c>
      <c r="F74" s="2" t="s">
        <v>265</v>
      </c>
      <c r="G74" s="2">
        <v>0</v>
      </c>
      <c r="H74" s="20">
        <v>0</v>
      </c>
      <c r="I74" s="3"/>
      <c r="J74" s="7" t="s">
        <v>91</v>
      </c>
      <c r="K74" s="7" t="s">
        <v>633</v>
      </c>
      <c r="L74" s="4">
        <f>VLOOKUP($B74, Config!$A$4:$E$50, HLOOKUP(L$1, Config!$C$2:$AA$3, 2, FALSE)+2,FALSE)</f>
        <v>1</v>
      </c>
      <c r="M74" s="4">
        <f>VLOOKUP($B74, Config!$A$4:$E$50, HLOOKUP(M$1, Config!$C$2:$AA$3, 2, FALSE)+2,FALSE)</f>
        <v>1</v>
      </c>
      <c r="N74" s="4">
        <f>VLOOKUP($B74, Config!$A$4:$E$50, HLOOKUP(N$1, Config!$C$2:$AA$3, 2, FALSE)+2,FALSE)</f>
        <v>1</v>
      </c>
    </row>
    <row r="75" spans="1:14" x14ac:dyDescent="0.25">
      <c r="A75" s="120"/>
      <c r="B75" s="17" t="s">
        <v>266</v>
      </c>
      <c r="C75" s="7">
        <v>9</v>
      </c>
      <c r="D75" s="7">
        <v>7</v>
      </c>
      <c r="E75" s="17" t="s">
        <v>267</v>
      </c>
      <c r="F75" s="17" t="s">
        <v>268</v>
      </c>
      <c r="G75" s="17">
        <v>0</v>
      </c>
      <c r="H75" s="21">
        <v>0</v>
      </c>
      <c r="I75" s="3"/>
      <c r="J75" s="7" t="s">
        <v>109</v>
      </c>
      <c r="K75" s="7" t="s">
        <v>634</v>
      </c>
      <c r="L75" s="4">
        <f>VLOOKUP($B75, Config!$A$4:$E$50, HLOOKUP(L$1, Config!$C$2:$AA$3, 2, FALSE)+2,FALSE)</f>
        <v>0</v>
      </c>
      <c r="M75" s="4">
        <f>VLOOKUP($B75, Config!$A$4:$E$50, HLOOKUP(M$1, Config!$C$2:$AA$3, 2, FALSE)+2,FALSE)</f>
        <v>0</v>
      </c>
      <c r="N75" s="4">
        <f>VLOOKUP($B75, Config!$A$4:$E$50, HLOOKUP(N$1, Config!$C$2:$AA$3, 2, FALSE)+2,FALSE)</f>
        <v>0</v>
      </c>
    </row>
    <row r="76" spans="1:14" x14ac:dyDescent="0.25">
      <c r="A76" s="120"/>
      <c r="B76" s="17" t="s">
        <v>269</v>
      </c>
      <c r="C76" s="7">
        <v>16</v>
      </c>
      <c r="D76" s="7">
        <v>1</v>
      </c>
      <c r="E76" s="17" t="s">
        <v>270</v>
      </c>
      <c r="F76" s="17" t="s">
        <v>271</v>
      </c>
      <c r="G76" s="17">
        <v>0</v>
      </c>
      <c r="H76" s="21">
        <v>0</v>
      </c>
      <c r="I76" s="3" t="s">
        <v>18</v>
      </c>
      <c r="J76" s="7" t="s">
        <v>109</v>
      </c>
      <c r="K76" s="7" t="s">
        <v>635</v>
      </c>
      <c r="L76" s="4">
        <f>VLOOKUP($B76, Config!$A$4:$E$50, HLOOKUP(L$1, Config!$C$2:$AA$3, 2, FALSE)+2,FALSE)</f>
        <v>1</v>
      </c>
      <c r="M76" s="4">
        <f>VLOOKUP($B76, Config!$A$4:$E$50, HLOOKUP(M$1, Config!$C$2:$AA$3, 2, FALSE)+2,FALSE)</f>
        <v>0</v>
      </c>
      <c r="N76" s="4">
        <f>VLOOKUP($B76, Config!$A$4:$E$50, HLOOKUP(N$1, Config!$C$2:$AA$3, 2, FALSE)+2,FALSE)</f>
        <v>0</v>
      </c>
    </row>
    <row r="77" spans="1:14" x14ac:dyDescent="0.25">
      <c r="A77" s="120"/>
      <c r="B77" s="4" t="s">
        <v>85</v>
      </c>
      <c r="C77" s="7">
        <v>17</v>
      </c>
      <c r="D77" s="7">
        <v>1</v>
      </c>
      <c r="E77" s="17" t="s">
        <v>272</v>
      </c>
      <c r="F77" s="2" t="s">
        <v>273</v>
      </c>
      <c r="G77" s="2">
        <v>0</v>
      </c>
      <c r="H77" s="20">
        <v>0</v>
      </c>
      <c r="I77" s="3" t="s">
        <v>18</v>
      </c>
      <c r="J77" s="7" t="s">
        <v>109</v>
      </c>
      <c r="K77" s="7" t="s">
        <v>636</v>
      </c>
      <c r="L77" s="4">
        <f>VLOOKUP($B77, Config!$A$4:$E$50, HLOOKUP(L$1, Config!$C$2:$AA$3, 2, FALSE)+2,FALSE)</f>
        <v>1</v>
      </c>
      <c r="M77" s="4">
        <f>VLOOKUP($B77, Config!$A$4:$E$50, HLOOKUP(M$1, Config!$C$2:$AA$3, 2, FALSE)+2,FALSE)</f>
        <v>1</v>
      </c>
      <c r="N77" s="4">
        <f>VLOOKUP($B77, Config!$A$4:$E$50, HLOOKUP(N$1, Config!$C$2:$AA$3, 2, FALSE)+2,FALSE)</f>
        <v>1</v>
      </c>
    </row>
    <row r="78" spans="1:14" x14ac:dyDescent="0.25">
      <c r="A78" s="120"/>
      <c r="B78" s="2" t="s">
        <v>125</v>
      </c>
      <c r="C78" s="2">
        <v>18</v>
      </c>
      <c r="D78" s="2">
        <v>1</v>
      </c>
      <c r="E78" s="2" t="s">
        <v>274</v>
      </c>
      <c r="F78" s="17" t="s">
        <v>275</v>
      </c>
      <c r="G78" s="17">
        <v>0</v>
      </c>
      <c r="H78" s="21">
        <v>0</v>
      </c>
      <c r="I78" s="3" t="s">
        <v>18</v>
      </c>
      <c r="J78" s="7" t="s">
        <v>88</v>
      </c>
      <c r="K78" s="7" t="s">
        <v>640</v>
      </c>
      <c r="L78" s="4">
        <f>VLOOKUP($B78, Config!$A$4:$E$50, HLOOKUP(L$1, Config!$C$2:$AA$3, 2, FALSE)+2,FALSE)</f>
        <v>0</v>
      </c>
      <c r="M78" s="4">
        <f>VLOOKUP($B78, Config!$A$4:$E$50, HLOOKUP(M$1, Config!$C$2:$AA$3, 2, FALSE)+2,FALSE)</f>
        <v>0</v>
      </c>
      <c r="N78" s="4">
        <f>VLOOKUP($B78, Config!$A$4:$E$50, HLOOKUP(N$1, Config!$C$2:$AA$3, 2, FALSE)+2,FALSE)</f>
        <v>0</v>
      </c>
    </row>
    <row r="79" spans="1:14" x14ac:dyDescent="0.25">
      <c r="A79" s="120"/>
      <c r="B79" s="2" t="s">
        <v>125</v>
      </c>
      <c r="C79" s="2">
        <v>19</v>
      </c>
      <c r="D79" s="2">
        <v>1</v>
      </c>
      <c r="E79" s="2" t="s">
        <v>276</v>
      </c>
      <c r="F79" s="17" t="s">
        <v>277</v>
      </c>
      <c r="G79" s="17">
        <v>0</v>
      </c>
      <c r="H79" s="21">
        <v>0</v>
      </c>
      <c r="I79" s="3" t="s">
        <v>18</v>
      </c>
      <c r="J79" s="7" t="s">
        <v>88</v>
      </c>
      <c r="K79" s="7" t="s">
        <v>641</v>
      </c>
      <c r="L79" s="4">
        <f>VLOOKUP($B79, Config!$A$4:$E$50, HLOOKUP(L$1, Config!$C$2:$AA$3, 2, FALSE)+2,FALSE)</f>
        <v>0</v>
      </c>
      <c r="M79" s="4">
        <f>VLOOKUP($B79, Config!$A$4:$E$50, HLOOKUP(M$1, Config!$C$2:$AA$3, 2, FALSE)+2,FALSE)</f>
        <v>0</v>
      </c>
      <c r="N79" s="4">
        <f>VLOOKUP($B79, Config!$A$4:$E$50, HLOOKUP(N$1, Config!$C$2:$AA$3, 2, FALSE)+2,FALSE)</f>
        <v>0</v>
      </c>
    </row>
    <row r="80" spans="1:14" x14ac:dyDescent="0.25">
      <c r="A80" s="120"/>
      <c r="B80" s="2" t="s">
        <v>125</v>
      </c>
      <c r="C80" s="2">
        <v>20</v>
      </c>
      <c r="D80" s="2">
        <v>1</v>
      </c>
      <c r="E80" s="2" t="s">
        <v>278</v>
      </c>
      <c r="F80" s="17" t="s">
        <v>279</v>
      </c>
      <c r="G80" s="17">
        <v>0</v>
      </c>
      <c r="H80" s="21">
        <v>0</v>
      </c>
      <c r="I80" s="3" t="s">
        <v>18</v>
      </c>
      <c r="J80" s="7" t="s">
        <v>88</v>
      </c>
      <c r="K80" s="7" t="s">
        <v>642</v>
      </c>
      <c r="L80" s="4">
        <f>VLOOKUP($B80, Config!$A$4:$E$50, HLOOKUP(L$1, Config!$C$2:$AA$3, 2, FALSE)+2,FALSE)</f>
        <v>0</v>
      </c>
      <c r="M80" s="4">
        <f>VLOOKUP($B80, Config!$A$4:$E$50, HLOOKUP(M$1, Config!$C$2:$AA$3, 2, FALSE)+2,FALSE)</f>
        <v>0</v>
      </c>
      <c r="N80" s="4">
        <f>VLOOKUP($B80, Config!$A$4:$E$50, HLOOKUP(N$1, Config!$C$2:$AA$3, 2, FALSE)+2,FALSE)</f>
        <v>0</v>
      </c>
    </row>
    <row r="81" spans="1:14" x14ac:dyDescent="0.25">
      <c r="A81" s="120"/>
      <c r="B81" s="2" t="s">
        <v>280</v>
      </c>
      <c r="C81" s="2">
        <v>18</v>
      </c>
      <c r="D81" s="2">
        <v>1</v>
      </c>
      <c r="E81" s="2" t="s">
        <v>274</v>
      </c>
      <c r="F81" s="17" t="s">
        <v>275</v>
      </c>
      <c r="G81" s="17">
        <v>0</v>
      </c>
      <c r="H81" s="21">
        <v>0</v>
      </c>
      <c r="I81" s="3" t="s">
        <v>18</v>
      </c>
      <c r="J81" s="7" t="s">
        <v>88</v>
      </c>
      <c r="K81" s="7" t="s">
        <v>643</v>
      </c>
      <c r="L81" s="4">
        <f>IF(VLOOKUP("SAMSUNG_PUF_CONFIG_EN", Config!$A$4:$E$50, HLOOKUP(L$1, Config!$C$2:$AA$3, 2, FALSE)+2,FALSE)=0, VLOOKUP("OCS_HNL_PUF_EN", Config!$A$4:$E$50, HLOOKUP(L$1, Config!$C$2:$AA$3, 2, FALSE)+2,FALSE), 0)</f>
        <v>0</v>
      </c>
      <c r="M81" s="4">
        <f>IF(VLOOKUP("SAMSUNG_PUF_CONFIG_EN", Config!$A$4:$E$50, HLOOKUP(M$1, Config!$C$2:$AA$3, 2, FALSE)+2,FALSE)=0, VLOOKUP("OCS_HNL_PUF_EN", Config!$A$4:$E$50, HLOOKUP(M$1, Config!$C$2:$AA$3, 2, FALSE)+2,FALSE), 0)</f>
        <v>0</v>
      </c>
      <c r="N81" s="4">
        <f>IF(VLOOKUP("SAMSUNG_PUF_CONFIG_EN", Config!$A$4:$E$50, HLOOKUP(N$1, Config!$C$2:$AA$3, 2, FALSE)+2,FALSE)=0, VLOOKUP("OCS_HNL_PUF_EN", Config!$A$4:$E$50, HLOOKUP(N$1, Config!$C$2:$AA$3, 2, FALSE)+2,FALSE), 0)</f>
        <v>0</v>
      </c>
    </row>
    <row r="82" spans="1:14" x14ac:dyDescent="0.25">
      <c r="A82" s="120"/>
      <c r="B82" s="2" t="s">
        <v>280</v>
      </c>
      <c r="C82" s="2">
        <v>19</v>
      </c>
      <c r="D82" s="2">
        <v>1</v>
      </c>
      <c r="E82" s="2" t="s">
        <v>276</v>
      </c>
      <c r="F82" s="17" t="s">
        <v>277</v>
      </c>
      <c r="G82" s="17">
        <v>0</v>
      </c>
      <c r="H82" s="21">
        <v>0</v>
      </c>
      <c r="I82" s="3" t="s">
        <v>18</v>
      </c>
      <c r="J82" s="7" t="s">
        <v>88</v>
      </c>
      <c r="K82" s="7" t="s">
        <v>641</v>
      </c>
      <c r="L82" s="4">
        <f>IF(VLOOKUP("SAMSUNG_PUF_CONFIG_EN", Config!$A$4:$E$50, HLOOKUP(L$1, Config!$C$2:$AA$3, 2, FALSE)+2,FALSE)=0, VLOOKUP("OCS_HNL_PUF_EN", Config!$A$4:$E$50, HLOOKUP(L$1, Config!$C$2:$AA$3, 2, FALSE)+2,FALSE), 0)</f>
        <v>0</v>
      </c>
      <c r="M82" s="4">
        <f>IF(VLOOKUP("SAMSUNG_PUF_CONFIG_EN", Config!$A$4:$E$50, HLOOKUP(M$1, Config!$C$2:$AA$3, 2, FALSE)+2,FALSE)=0, VLOOKUP("OCS_HNL_PUF_EN", Config!$A$4:$E$50, HLOOKUP(M$1, Config!$C$2:$AA$3, 2, FALSE)+2,FALSE), 0)</f>
        <v>0</v>
      </c>
      <c r="N82" s="4">
        <f>IF(VLOOKUP("SAMSUNG_PUF_CONFIG_EN", Config!$A$4:$E$50, HLOOKUP(N$1, Config!$C$2:$AA$3, 2, FALSE)+2,FALSE)=0, VLOOKUP("OCS_HNL_PUF_EN", Config!$A$4:$E$50, HLOOKUP(N$1, Config!$C$2:$AA$3, 2, FALSE)+2,FALSE), 0)</f>
        <v>0</v>
      </c>
    </row>
    <row r="83" spans="1:14" x14ac:dyDescent="0.25">
      <c r="A83" s="120"/>
      <c r="B83" s="2" t="s">
        <v>280</v>
      </c>
      <c r="C83" s="2">
        <v>20</v>
      </c>
      <c r="D83" s="2">
        <v>1</v>
      </c>
      <c r="E83" s="2" t="s">
        <v>278</v>
      </c>
      <c r="F83" s="17" t="s">
        <v>279</v>
      </c>
      <c r="G83" s="17">
        <v>0</v>
      </c>
      <c r="H83" s="21">
        <v>0</v>
      </c>
      <c r="I83" s="3" t="s">
        <v>18</v>
      </c>
      <c r="J83" s="7" t="s">
        <v>88</v>
      </c>
      <c r="K83" s="7" t="s">
        <v>642</v>
      </c>
      <c r="L83" s="4">
        <f>IF(VLOOKUP("SAMSUNG_PUF_CONFIG_EN", Config!$A$4:$E$50, HLOOKUP(L$1, Config!$C$2:$AA$3, 2, FALSE)+2,FALSE)=0, VLOOKUP("OCS_HNL_PUF_EN", Config!$A$4:$E$50, HLOOKUP(L$1, Config!$C$2:$AA$3, 2, FALSE)+2,FALSE), 0)</f>
        <v>0</v>
      </c>
      <c r="M83" s="4">
        <f>IF(VLOOKUP("SAMSUNG_PUF_CONFIG_EN", Config!$A$4:$E$50, HLOOKUP(M$1, Config!$C$2:$AA$3, 2, FALSE)+2,FALSE)=0, VLOOKUP("OCS_HNL_PUF_EN", Config!$A$4:$E$50, HLOOKUP(M$1, Config!$C$2:$AA$3, 2, FALSE)+2,FALSE), 0)</f>
        <v>0</v>
      </c>
      <c r="N83" s="4">
        <f>IF(VLOOKUP("SAMSUNG_PUF_CONFIG_EN", Config!$A$4:$E$50, HLOOKUP(N$1, Config!$C$2:$AA$3, 2, FALSE)+2,FALSE)=0, VLOOKUP("OCS_HNL_PUF_EN", Config!$A$4:$E$50, HLOOKUP(N$1, Config!$C$2:$AA$3, 2, FALSE)+2,FALSE), 0)</f>
        <v>0</v>
      </c>
    </row>
    <row r="84" spans="1:14" x14ac:dyDescent="0.25">
      <c r="A84" s="120"/>
      <c r="B84" s="3" t="s">
        <v>281</v>
      </c>
      <c r="C84" s="7">
        <v>21</v>
      </c>
      <c r="D84" s="7">
        <v>1</v>
      </c>
      <c r="E84" s="3" t="s">
        <v>282</v>
      </c>
      <c r="F84" s="3" t="s">
        <v>283</v>
      </c>
      <c r="G84" s="3">
        <v>0</v>
      </c>
      <c r="H84" s="23">
        <v>0</v>
      </c>
      <c r="I84" s="3" t="s">
        <v>18</v>
      </c>
      <c r="J84" s="7" t="s">
        <v>109</v>
      </c>
      <c r="K84" s="7" t="s">
        <v>643</v>
      </c>
      <c r="L84" s="4">
        <f>VLOOKUP($B84, Config!$A$4:$E$50, HLOOKUP(L$1, Config!$C$2:$AA$3, 2, FALSE)+2,FALSE)</f>
        <v>1</v>
      </c>
      <c r="M84" s="4">
        <f>VLOOKUP($B84, Config!$A$4:$E$50, HLOOKUP(M$1, Config!$C$2:$AA$3, 2, FALSE)+2,FALSE)</f>
        <v>1</v>
      </c>
      <c r="N84" s="4">
        <f>VLOOKUP($B84, Config!$A$4:$E$50, HLOOKUP(N$1, Config!$C$2:$AA$3, 2, FALSE)+2,FALSE)</f>
        <v>0</v>
      </c>
    </row>
    <row r="85" spans="1:14" x14ac:dyDescent="0.25">
      <c r="A85" s="120"/>
      <c r="B85" s="3" t="s">
        <v>639</v>
      </c>
      <c r="C85" s="7">
        <v>22</v>
      </c>
      <c r="D85" s="7">
        <v>1</v>
      </c>
      <c r="E85" s="3" t="s">
        <v>284</v>
      </c>
      <c r="F85" s="3" t="s">
        <v>285</v>
      </c>
      <c r="G85" s="3">
        <v>0</v>
      </c>
      <c r="H85" s="23">
        <v>0</v>
      </c>
      <c r="I85" s="3" t="s">
        <v>18</v>
      </c>
      <c r="J85" s="7" t="s">
        <v>109</v>
      </c>
      <c r="K85" s="7" t="s">
        <v>647</v>
      </c>
      <c r="L85" s="4">
        <f>VLOOKUP($B85, Config!$A$4:$E$50, HLOOKUP(L$1, Config!$C$2:$AA$3, 2, FALSE)+2,FALSE)</f>
        <v>0</v>
      </c>
      <c r="M85" s="4">
        <f>VLOOKUP($B85, Config!$A$4:$E$50, HLOOKUP(M$1, Config!$C$2:$AA$3, 2, FALSE)+2,FALSE)</f>
        <v>0</v>
      </c>
      <c r="N85" s="4">
        <f>VLOOKUP($B85, Config!$A$4:$E$50, HLOOKUP(N$1, Config!$C$2:$AA$3, 2, FALSE)+2,FALSE)</f>
        <v>1</v>
      </c>
    </row>
    <row r="86" spans="1:14" x14ac:dyDescent="0.25">
      <c r="A86" s="120"/>
      <c r="B86" s="2" t="s">
        <v>57</v>
      </c>
      <c r="C86" s="2">
        <v>23</v>
      </c>
      <c r="D86" s="2">
        <v>1</v>
      </c>
      <c r="E86" s="2"/>
      <c r="F86" s="7" t="s">
        <v>286</v>
      </c>
      <c r="G86" s="7">
        <v>0</v>
      </c>
      <c r="H86" s="22">
        <v>0</v>
      </c>
      <c r="I86" s="3" t="s">
        <v>18</v>
      </c>
      <c r="J86" s="7"/>
      <c r="K86" s="7" t="s">
        <v>561</v>
      </c>
      <c r="L86" s="2">
        <v>0</v>
      </c>
      <c r="M86" s="2">
        <v>0</v>
      </c>
      <c r="N86" s="2">
        <v>0</v>
      </c>
    </row>
    <row r="87" spans="1:14" x14ac:dyDescent="0.25">
      <c r="A87" s="120"/>
      <c r="B87" s="4" t="s">
        <v>85</v>
      </c>
      <c r="C87" s="7">
        <v>24</v>
      </c>
      <c r="D87" s="7">
        <v>1</v>
      </c>
      <c r="E87" s="17" t="s">
        <v>287</v>
      </c>
      <c r="F87" s="2" t="s">
        <v>288</v>
      </c>
      <c r="G87" s="2">
        <v>0</v>
      </c>
      <c r="H87" s="20">
        <v>0</v>
      </c>
      <c r="I87" s="3"/>
      <c r="J87" s="17" t="s">
        <v>109</v>
      </c>
      <c r="K87" s="17" t="s">
        <v>644</v>
      </c>
      <c r="L87" s="4">
        <f>VLOOKUP($B87, Config!$A$4:$E$50, HLOOKUP(L$1, Config!$C$2:$AA$3, 2, FALSE)+2,FALSE)</f>
        <v>1</v>
      </c>
      <c r="M87" s="4">
        <f>VLOOKUP($B87, Config!$A$4:$E$50, HLOOKUP(M$1, Config!$C$2:$AA$3, 2, FALSE)+2,FALSE)</f>
        <v>1</v>
      </c>
      <c r="N87" s="4">
        <f>VLOOKUP($B87, Config!$A$4:$E$50, HLOOKUP(N$1, Config!$C$2:$AA$3, 2, FALSE)+2,FALSE)</f>
        <v>1</v>
      </c>
    </row>
    <row r="88" spans="1:14" x14ac:dyDescent="0.25">
      <c r="A88" s="120"/>
      <c r="B88" s="4" t="s">
        <v>85</v>
      </c>
      <c r="C88" s="7">
        <v>25</v>
      </c>
      <c r="D88" s="7">
        <v>1</v>
      </c>
      <c r="E88" s="17" t="s">
        <v>289</v>
      </c>
      <c r="F88" s="2" t="s">
        <v>290</v>
      </c>
      <c r="G88" s="2">
        <v>0</v>
      </c>
      <c r="H88" s="20">
        <v>0</v>
      </c>
      <c r="I88" s="3"/>
      <c r="J88" s="17" t="s">
        <v>109</v>
      </c>
      <c r="K88" s="17" t="s">
        <v>645</v>
      </c>
      <c r="L88" s="4">
        <f>VLOOKUP($B88, Config!$A$4:$E$50, HLOOKUP(L$1, Config!$C$2:$AA$3, 2, FALSE)+2,FALSE)</f>
        <v>1</v>
      </c>
      <c r="M88" s="4">
        <f>VLOOKUP($B88, Config!$A$4:$E$50, HLOOKUP(M$1, Config!$C$2:$AA$3, 2, FALSE)+2,FALSE)</f>
        <v>1</v>
      </c>
      <c r="N88" s="4">
        <f>VLOOKUP($B88, Config!$A$4:$E$50, HLOOKUP(N$1, Config!$C$2:$AA$3, 2, FALSE)+2,FALSE)</f>
        <v>1</v>
      </c>
    </row>
    <row r="89" spans="1:14" x14ac:dyDescent="0.25">
      <c r="A89" s="120"/>
      <c r="B89" s="17" t="s">
        <v>291</v>
      </c>
      <c r="C89" s="7">
        <v>26</v>
      </c>
      <c r="D89" s="7">
        <v>5</v>
      </c>
      <c r="E89" s="17" t="s">
        <v>292</v>
      </c>
      <c r="F89" s="17" t="s">
        <v>293</v>
      </c>
      <c r="G89" s="17">
        <v>0</v>
      </c>
      <c r="H89" s="21">
        <v>0</v>
      </c>
      <c r="I89" s="3"/>
      <c r="J89" s="17" t="s">
        <v>109</v>
      </c>
      <c r="K89" s="17" t="s">
        <v>646</v>
      </c>
      <c r="L89" s="4">
        <f>VLOOKUP($B89, Config!$A$4:$E$50, HLOOKUP(L$1, Config!$C$2:$AA$3, 2, FALSE)+2,FALSE)</f>
        <v>0</v>
      </c>
      <c r="M89" s="4">
        <f>VLOOKUP($B89, Config!$A$4:$E$50, HLOOKUP(M$1, Config!$C$2:$AA$3, 2, FALSE)+2,FALSE)</f>
        <v>0</v>
      </c>
      <c r="N89" s="4">
        <f>VLOOKUP($B89, Config!$A$4:$E$50, HLOOKUP(N$1, Config!$C$2:$AA$3, 2, FALSE)+2,FALSE)</f>
        <v>0</v>
      </c>
    </row>
    <row r="90" spans="1:14" x14ac:dyDescent="0.25">
      <c r="A90" s="120"/>
      <c r="B90" s="4" t="s">
        <v>85</v>
      </c>
      <c r="C90" s="7">
        <v>31</v>
      </c>
      <c r="D90" s="7">
        <v>1</v>
      </c>
      <c r="E90" s="17" t="s">
        <v>294</v>
      </c>
      <c r="F90" s="2" t="s">
        <v>295</v>
      </c>
      <c r="G90" s="2">
        <v>0</v>
      </c>
      <c r="H90" s="20">
        <v>0</v>
      </c>
      <c r="I90" s="3"/>
      <c r="J90" s="17" t="s">
        <v>109</v>
      </c>
      <c r="K90" s="17" t="s">
        <v>649</v>
      </c>
      <c r="L90" s="4">
        <f>VLOOKUP($B90, Config!$A$4:$E$50, HLOOKUP(L$1, Config!$C$2:$AA$3, 2, FALSE)+2,FALSE)</f>
        <v>1</v>
      </c>
      <c r="M90" s="4">
        <f>VLOOKUP($B90, Config!$A$4:$E$50, HLOOKUP(M$1, Config!$C$2:$AA$3, 2, FALSE)+2,FALSE)</f>
        <v>1</v>
      </c>
      <c r="N90" s="4">
        <f>VLOOKUP($B90, Config!$A$4:$E$50, HLOOKUP(N$1, Config!$C$2:$AA$3, 2, FALSE)+2,FALSE)</f>
        <v>1</v>
      </c>
    </row>
    <row r="91" spans="1:14" x14ac:dyDescent="0.25">
      <c r="A91" s="121" t="s">
        <v>296</v>
      </c>
      <c r="B91" s="7" t="s">
        <v>484</v>
      </c>
      <c r="C91" s="7">
        <v>0</v>
      </c>
      <c r="D91" s="7">
        <v>16</v>
      </c>
      <c r="E91" s="7" t="s">
        <v>297</v>
      </c>
      <c r="F91" s="158" t="s">
        <v>477</v>
      </c>
      <c r="G91" s="7">
        <v>0</v>
      </c>
      <c r="H91" s="22">
        <v>0</v>
      </c>
      <c r="I91" s="3"/>
      <c r="J91" s="7" t="s">
        <v>88</v>
      </c>
      <c r="K91" s="7" t="s">
        <v>568</v>
      </c>
      <c r="L91" s="4">
        <f>VLOOKUP($B91, Config!$A$4:$E$50, HLOOKUP(L$1, Config!$C$2:$AA$3, 2, FALSE)+2,FALSE)</f>
        <v>0</v>
      </c>
      <c r="M91" s="4">
        <f>VLOOKUP($B91, Config!$A$4:$E$50, HLOOKUP(M$1, Config!$C$2:$AA$3, 2, FALSE)+2,FALSE)</f>
        <v>0</v>
      </c>
      <c r="N91" s="4">
        <f>VLOOKUP($B91, Config!$A$4:$E$50, HLOOKUP(N$1, Config!$C$2:$AA$3, 2, FALSE)+2,FALSE)</f>
        <v>1</v>
      </c>
    </row>
    <row r="92" spans="1:14" x14ac:dyDescent="0.25">
      <c r="A92" s="143"/>
      <c r="B92" s="7" t="s">
        <v>484</v>
      </c>
      <c r="C92" s="7">
        <v>16</v>
      </c>
      <c r="D92" s="7">
        <v>8</v>
      </c>
      <c r="E92" s="7" t="s">
        <v>298</v>
      </c>
      <c r="F92" s="159"/>
      <c r="G92" s="7">
        <v>0</v>
      </c>
      <c r="H92" s="22">
        <v>0</v>
      </c>
      <c r="I92" s="3"/>
      <c r="J92" s="7" t="s">
        <v>88</v>
      </c>
      <c r="K92" s="7" t="s">
        <v>568</v>
      </c>
      <c r="L92" s="4">
        <f>VLOOKUP($B92, Config!$A$4:$E$50, HLOOKUP(L$1, Config!$C$2:$AA$3, 2, FALSE)+2,FALSE)</f>
        <v>0</v>
      </c>
      <c r="M92" s="4">
        <f>VLOOKUP($B92, Config!$A$4:$E$50, HLOOKUP(M$1, Config!$C$2:$AA$3, 2, FALSE)+2,FALSE)</f>
        <v>0</v>
      </c>
      <c r="N92" s="4">
        <f>VLOOKUP($B92, Config!$A$4:$E$50, HLOOKUP(N$1, Config!$C$2:$AA$3, 2, FALSE)+2,FALSE)</f>
        <v>1</v>
      </c>
    </row>
    <row r="93" spans="1:14" x14ac:dyDescent="0.25">
      <c r="A93" s="155"/>
      <c r="B93" s="16" t="s">
        <v>247</v>
      </c>
      <c r="C93" s="7">
        <v>24</v>
      </c>
      <c r="D93" s="7">
        <v>8</v>
      </c>
      <c r="E93" s="7" t="s">
        <v>299</v>
      </c>
      <c r="F93" s="160"/>
      <c r="G93" s="7">
        <v>0</v>
      </c>
      <c r="H93" s="22">
        <v>0</v>
      </c>
      <c r="I93" s="3"/>
      <c r="J93" s="7" t="s">
        <v>88</v>
      </c>
      <c r="K93" s="7" t="s">
        <v>569</v>
      </c>
      <c r="L93" s="4">
        <f>VLOOKUP($B93, Config!$A$4:$E$50, HLOOKUP(L$1, Config!$C$2:$AA$3, 2, FALSE)+2,FALSE)</f>
        <v>0</v>
      </c>
      <c r="M93" s="4">
        <f>VLOOKUP($B93, Config!$A$4:$E$50, HLOOKUP(M$1, Config!$C$2:$AA$3, 2, FALSE)+2,FALSE)</f>
        <v>0</v>
      </c>
      <c r="N93" s="4">
        <f>VLOOKUP($B93, Config!$A$4:$E$50, HLOOKUP(N$1, Config!$C$2:$AA$3, 2, FALSE)+2,FALSE)</f>
        <v>1</v>
      </c>
    </row>
    <row r="94" spans="1:14" x14ac:dyDescent="0.25">
      <c r="A94" s="18" t="s">
        <v>300</v>
      </c>
      <c r="B94" s="7" t="s">
        <v>484</v>
      </c>
      <c r="C94" s="7">
        <v>0</v>
      </c>
      <c r="D94" s="7">
        <v>32</v>
      </c>
      <c r="E94" s="7" t="s">
        <v>300</v>
      </c>
      <c r="F94" s="26" t="s">
        <v>477</v>
      </c>
      <c r="G94" s="7">
        <v>0</v>
      </c>
      <c r="H94" s="22">
        <v>0</v>
      </c>
      <c r="I94" s="3"/>
      <c r="J94" s="7" t="s">
        <v>88</v>
      </c>
      <c r="K94" s="7" t="s">
        <v>570</v>
      </c>
      <c r="L94" s="4">
        <f>VLOOKUP($B94, Config!$A$4:$E$50, HLOOKUP(L$1, Config!$C$2:$AA$3, 2, FALSE)+2,FALSE)</f>
        <v>0</v>
      </c>
      <c r="M94" s="4">
        <f>VLOOKUP($B94, Config!$A$4:$E$50, HLOOKUP(M$1, Config!$C$2:$AA$3, 2, FALSE)+2,FALSE)</f>
        <v>0</v>
      </c>
      <c r="N94" s="4">
        <f>VLOOKUP($B94, Config!$A$4:$E$50, HLOOKUP(N$1, Config!$C$2:$AA$3, 2, FALSE)+2,FALSE)</f>
        <v>1</v>
      </c>
    </row>
    <row r="95" spans="1:14" x14ac:dyDescent="0.25">
      <c r="A95" s="18" t="s">
        <v>301</v>
      </c>
      <c r="B95" s="7" t="s">
        <v>484</v>
      </c>
      <c r="C95" s="7">
        <v>0</v>
      </c>
      <c r="D95" s="7">
        <v>32</v>
      </c>
      <c r="E95" s="7" t="s">
        <v>301</v>
      </c>
      <c r="F95" s="26" t="s">
        <v>477</v>
      </c>
      <c r="G95" s="7">
        <v>0</v>
      </c>
      <c r="H95" s="22">
        <v>0</v>
      </c>
      <c r="I95" s="3"/>
      <c r="J95" s="7" t="s">
        <v>88</v>
      </c>
      <c r="K95" s="7" t="s">
        <v>571</v>
      </c>
      <c r="L95" s="4">
        <f>VLOOKUP($B95, Config!$A$4:$E$50, HLOOKUP(L$1, Config!$C$2:$AA$3, 2, FALSE)+2,FALSE)</f>
        <v>0</v>
      </c>
      <c r="M95" s="4">
        <f>VLOOKUP($B95, Config!$A$4:$E$50, HLOOKUP(M$1, Config!$C$2:$AA$3, 2, FALSE)+2,FALSE)</f>
        <v>0</v>
      </c>
      <c r="N95" s="4">
        <f>VLOOKUP($B95, Config!$A$4:$E$50, HLOOKUP(N$1, Config!$C$2:$AA$3, 2, FALSE)+2,FALSE)</f>
        <v>1</v>
      </c>
    </row>
    <row r="96" spans="1:14" x14ac:dyDescent="0.25">
      <c r="A96" s="18" t="s">
        <v>302</v>
      </c>
      <c r="B96" s="7" t="s">
        <v>484</v>
      </c>
      <c r="C96" s="7">
        <v>0</v>
      </c>
      <c r="D96" s="7">
        <v>32</v>
      </c>
      <c r="E96" s="7" t="s">
        <v>302</v>
      </c>
      <c r="F96" s="26" t="s">
        <v>477</v>
      </c>
      <c r="G96" s="7">
        <v>0</v>
      </c>
      <c r="H96" s="22">
        <v>0</v>
      </c>
      <c r="I96" s="3"/>
      <c r="J96" s="7" t="s">
        <v>88</v>
      </c>
      <c r="K96" s="7" t="s">
        <v>572</v>
      </c>
      <c r="L96" s="4">
        <f>VLOOKUP($B96, Config!$A$4:$E$50, HLOOKUP(L$1, Config!$C$2:$AA$3, 2, FALSE)+2,FALSE)</f>
        <v>0</v>
      </c>
      <c r="M96" s="4">
        <f>VLOOKUP($B96, Config!$A$4:$E$50, HLOOKUP(M$1, Config!$C$2:$AA$3, 2, FALSE)+2,FALSE)</f>
        <v>0</v>
      </c>
      <c r="N96" s="4">
        <f>VLOOKUP($B96, Config!$A$4:$E$50, HLOOKUP(N$1, Config!$C$2:$AA$3, 2, FALSE)+2,FALSE)</f>
        <v>1</v>
      </c>
    </row>
    <row r="97" spans="1:14" x14ac:dyDescent="0.25">
      <c r="A97" s="121" t="s">
        <v>37</v>
      </c>
      <c r="B97" s="7" t="s">
        <v>303</v>
      </c>
      <c r="C97" s="7">
        <v>0</v>
      </c>
      <c r="D97" s="7">
        <v>24</v>
      </c>
      <c r="E97" s="7" t="s">
        <v>304</v>
      </c>
      <c r="F97" s="158" t="s">
        <v>477</v>
      </c>
      <c r="G97" s="7">
        <v>0</v>
      </c>
      <c r="H97" s="22">
        <v>0</v>
      </c>
      <c r="I97" s="3" t="s">
        <v>18</v>
      </c>
      <c r="J97" s="7" t="s">
        <v>88</v>
      </c>
      <c r="K97" s="7" t="s">
        <v>559</v>
      </c>
      <c r="L97" s="4">
        <f>VLOOKUP($B97, Config!$A$4:$E$50, HLOOKUP(L$1, Config!$C$2:$AA$3, 2, FALSE)+2,FALSE)</f>
        <v>1</v>
      </c>
      <c r="M97" s="4">
        <f>VLOOKUP($B97, Config!$A$4:$E$50, HLOOKUP(M$1, Config!$C$2:$AA$3, 2, FALSE)+2,FALSE)</f>
        <v>1</v>
      </c>
      <c r="N97" s="4">
        <f>VLOOKUP($B97, Config!$A$4:$E$50, HLOOKUP(N$1, Config!$C$2:$AA$3, 2, FALSE)+2,FALSE)</f>
        <v>0</v>
      </c>
    </row>
    <row r="98" spans="1:14" x14ac:dyDescent="0.25">
      <c r="A98" s="143"/>
      <c r="B98" s="7" t="s">
        <v>303</v>
      </c>
      <c r="C98" s="7">
        <v>24</v>
      </c>
      <c r="D98" s="7">
        <v>5</v>
      </c>
      <c r="E98" s="7" t="s">
        <v>305</v>
      </c>
      <c r="F98" s="159"/>
      <c r="G98" s="7">
        <v>0</v>
      </c>
      <c r="H98" s="22">
        <v>0</v>
      </c>
      <c r="I98" s="3" t="s">
        <v>18</v>
      </c>
      <c r="J98" s="7" t="s">
        <v>88</v>
      </c>
      <c r="K98" s="7" t="s">
        <v>560</v>
      </c>
      <c r="L98" s="4">
        <f>VLOOKUP($B98, Config!$A$4:$E$50, HLOOKUP(L$1, Config!$C$2:$AA$3, 2, FALSE)+2,FALSE)</f>
        <v>1</v>
      </c>
      <c r="M98" s="4">
        <f>VLOOKUP($B98, Config!$A$4:$E$50, HLOOKUP(M$1, Config!$C$2:$AA$3, 2, FALSE)+2,FALSE)</f>
        <v>1</v>
      </c>
      <c r="N98" s="4">
        <f>VLOOKUP($B98, Config!$A$4:$E$50, HLOOKUP(N$1, Config!$C$2:$AA$3, 2, FALSE)+2,FALSE)</f>
        <v>0</v>
      </c>
    </row>
    <row r="99" spans="1:14" x14ac:dyDescent="0.25">
      <c r="A99" s="143"/>
      <c r="B99" s="7" t="s">
        <v>303</v>
      </c>
      <c r="C99" s="7">
        <v>29</v>
      </c>
      <c r="D99" s="7">
        <v>2</v>
      </c>
      <c r="E99" s="7" t="s">
        <v>306</v>
      </c>
      <c r="F99" s="159"/>
      <c r="G99" s="7">
        <v>0</v>
      </c>
      <c r="H99" s="22">
        <v>0</v>
      </c>
      <c r="I99" s="3" t="s">
        <v>18</v>
      </c>
      <c r="J99" s="7" t="s">
        <v>88</v>
      </c>
      <c r="K99" s="7" t="s">
        <v>563</v>
      </c>
      <c r="L99" s="4">
        <f>VLOOKUP($B99, Config!$A$4:$E$50, HLOOKUP(L$1, Config!$C$2:$AA$3, 2, FALSE)+2,FALSE)</f>
        <v>1</v>
      </c>
      <c r="M99" s="4">
        <f>VLOOKUP($B99, Config!$A$4:$E$50, HLOOKUP(M$1, Config!$C$2:$AA$3, 2, FALSE)+2,FALSE)</f>
        <v>1</v>
      </c>
      <c r="N99" s="4">
        <f>VLOOKUP($B99, Config!$A$4:$E$50, HLOOKUP(N$1, Config!$C$2:$AA$3, 2, FALSE)+2,FALSE)</f>
        <v>0</v>
      </c>
    </row>
    <row r="100" spans="1:14" x14ac:dyDescent="0.25">
      <c r="A100" s="155"/>
      <c r="B100" s="7" t="s">
        <v>303</v>
      </c>
      <c r="C100" s="7">
        <v>31</v>
      </c>
      <c r="D100" s="7">
        <v>1</v>
      </c>
      <c r="E100" s="7" t="s">
        <v>307</v>
      </c>
      <c r="F100" s="160"/>
      <c r="G100" s="7">
        <v>0</v>
      </c>
      <c r="H100" s="22">
        <v>0</v>
      </c>
      <c r="I100" s="3" t="s">
        <v>18</v>
      </c>
      <c r="J100" s="7" t="s">
        <v>88</v>
      </c>
      <c r="K100" s="7" t="s">
        <v>562</v>
      </c>
      <c r="L100" s="4">
        <f>VLOOKUP($B100, Config!$A$4:$E$50, HLOOKUP(L$1, Config!$C$2:$AA$3, 2, FALSE)+2,FALSE)</f>
        <v>1</v>
      </c>
      <c r="M100" s="4">
        <f>VLOOKUP($B100, Config!$A$4:$E$50, HLOOKUP(M$1, Config!$C$2:$AA$3, 2, FALSE)+2,FALSE)</f>
        <v>1</v>
      </c>
      <c r="N100" s="4">
        <f>VLOOKUP($B100, Config!$A$4:$E$50, HLOOKUP(N$1, Config!$C$2:$AA$3, 2, FALSE)+2,FALSE)</f>
        <v>0</v>
      </c>
    </row>
    <row r="101" spans="1:14" x14ac:dyDescent="0.25">
      <c r="A101" s="120" t="s">
        <v>39</v>
      </c>
      <c r="B101" s="7" t="s">
        <v>259</v>
      </c>
      <c r="C101" s="7">
        <v>0</v>
      </c>
      <c r="D101" s="7">
        <v>8</v>
      </c>
      <c r="E101" s="7" t="s">
        <v>308</v>
      </c>
      <c r="F101" s="158" t="s">
        <v>477</v>
      </c>
      <c r="G101" s="7">
        <v>0</v>
      </c>
      <c r="H101" s="22">
        <v>0</v>
      </c>
      <c r="I101" s="3"/>
      <c r="J101" s="7" t="s">
        <v>154</v>
      </c>
      <c r="K101" s="7" t="s">
        <v>564</v>
      </c>
      <c r="L101" s="4">
        <f>VLOOKUP($B101, Config!$A$4:$E$50, HLOOKUP(L$1, Config!$C$2:$AA$3, 2, FALSE)+2,FALSE)</f>
        <v>0</v>
      </c>
      <c r="M101" s="4">
        <f>VLOOKUP($B101, Config!$A$4:$E$50, HLOOKUP(M$1, Config!$C$2:$AA$3, 2, FALSE)+2,FALSE)</f>
        <v>0</v>
      </c>
      <c r="N101" s="4">
        <f>VLOOKUP($B101, Config!$A$4:$E$50, HLOOKUP(N$1, Config!$C$2:$AA$3, 2, FALSE)+2,FALSE)</f>
        <v>0</v>
      </c>
    </row>
    <row r="102" spans="1:14" x14ac:dyDescent="0.25">
      <c r="A102" s="120"/>
      <c r="B102" s="7" t="s">
        <v>259</v>
      </c>
      <c r="C102" s="7">
        <v>8</v>
      </c>
      <c r="D102" s="7">
        <v>8</v>
      </c>
      <c r="E102" s="7" t="s">
        <v>309</v>
      </c>
      <c r="F102" s="159"/>
      <c r="G102" s="7">
        <v>0</v>
      </c>
      <c r="H102" s="22">
        <v>0</v>
      </c>
      <c r="I102" s="3"/>
      <c r="J102" s="7" t="s">
        <v>154</v>
      </c>
      <c r="K102" s="7" t="s">
        <v>565</v>
      </c>
      <c r="L102" s="4">
        <f>VLOOKUP($B102, Config!$A$4:$E$50, HLOOKUP(L$1, Config!$C$2:$AA$3, 2, FALSE)+2,FALSE)</f>
        <v>0</v>
      </c>
      <c r="M102" s="4">
        <f>VLOOKUP($B102, Config!$A$4:$E$50, HLOOKUP(M$1, Config!$C$2:$AA$3, 2, FALSE)+2,FALSE)</f>
        <v>0</v>
      </c>
      <c r="N102" s="4">
        <f>VLOOKUP($B102, Config!$A$4:$E$50, HLOOKUP(N$1, Config!$C$2:$AA$3, 2, FALSE)+2,FALSE)</f>
        <v>0</v>
      </c>
    </row>
    <row r="103" spans="1:14" x14ac:dyDescent="0.25">
      <c r="A103" s="143"/>
      <c r="B103" s="5" t="s">
        <v>259</v>
      </c>
      <c r="C103" s="5">
        <v>16</v>
      </c>
      <c r="D103" s="5">
        <v>8</v>
      </c>
      <c r="E103" s="5" t="s">
        <v>310</v>
      </c>
      <c r="F103" s="159"/>
      <c r="G103" s="5">
        <v>0</v>
      </c>
      <c r="H103" s="24">
        <v>0</v>
      </c>
      <c r="I103" s="15"/>
      <c r="J103" s="5" t="s">
        <v>88</v>
      </c>
      <c r="K103" s="5" t="s">
        <v>566</v>
      </c>
      <c r="L103" s="4">
        <f>VLOOKUP($B103, Config!$A$4:$E$50, HLOOKUP(L$1, Config!$C$2:$AA$3, 2, FALSE)+2,FALSE)</f>
        <v>0</v>
      </c>
      <c r="M103" s="4">
        <f>VLOOKUP($B103, Config!$A$4:$E$50, HLOOKUP(M$1, Config!$C$2:$AA$3, 2, FALSE)+2,FALSE)</f>
        <v>0</v>
      </c>
      <c r="N103" s="4">
        <f>VLOOKUP($B103, Config!$A$4:$E$50, HLOOKUP(N$1, Config!$C$2:$AA$3, 2, FALSE)+2,FALSE)</f>
        <v>0</v>
      </c>
    </row>
    <row r="104" spans="1:14" x14ac:dyDescent="0.25">
      <c r="A104" s="155"/>
      <c r="B104" s="7" t="s">
        <v>259</v>
      </c>
      <c r="C104" s="7">
        <v>24</v>
      </c>
      <c r="D104" s="7">
        <v>8</v>
      </c>
      <c r="E104" s="7" t="s">
        <v>311</v>
      </c>
      <c r="F104" s="160"/>
      <c r="G104" s="7">
        <v>0</v>
      </c>
      <c r="H104" s="22">
        <v>0</v>
      </c>
      <c r="I104" s="3"/>
      <c r="J104" s="7" t="s">
        <v>88</v>
      </c>
      <c r="K104" s="7" t="s">
        <v>567</v>
      </c>
      <c r="L104" s="4">
        <f>VLOOKUP($B104, Config!$A$4:$E$50, HLOOKUP(L$1, Config!$C$2:$AA$3, 2, FALSE)+2,FALSE)</f>
        <v>0</v>
      </c>
      <c r="M104" s="4">
        <f>VLOOKUP($B104, Config!$A$4:$E$50, HLOOKUP(M$1, Config!$C$2:$AA$3, 2, FALSE)+2,FALSE)</f>
        <v>0</v>
      </c>
      <c r="N104" s="4">
        <f>VLOOKUP($B104, Config!$A$4:$E$50, HLOOKUP(N$1, Config!$C$2:$AA$3, 2, FALSE)+2,FALSE)</f>
        <v>0</v>
      </c>
    </row>
    <row r="105" spans="1:14" x14ac:dyDescent="0.25">
      <c r="A105" s="121" t="s">
        <v>41</v>
      </c>
      <c r="B105" s="4" t="s">
        <v>85</v>
      </c>
      <c r="C105" s="7">
        <v>0</v>
      </c>
      <c r="D105" s="7">
        <v>16</v>
      </c>
      <c r="E105" s="7" t="s">
        <v>312</v>
      </c>
      <c r="F105" s="161"/>
      <c r="G105" s="2">
        <v>0</v>
      </c>
      <c r="H105" s="20">
        <v>0</v>
      </c>
      <c r="I105" s="3" t="s">
        <v>18</v>
      </c>
      <c r="J105" s="7" t="s">
        <v>88</v>
      </c>
      <c r="K105" s="7" t="s">
        <v>573</v>
      </c>
      <c r="L105" s="4">
        <f>VLOOKUP($B105, Config!$A$4:$E$50, HLOOKUP(L$1, Config!$C$2:$AA$3, 2, FALSE)+2,FALSE)</f>
        <v>1</v>
      </c>
      <c r="M105" s="4">
        <f>VLOOKUP($B105, Config!$A$4:$E$50, HLOOKUP(M$1, Config!$C$2:$AA$3, 2, FALSE)+2,FALSE)</f>
        <v>1</v>
      </c>
      <c r="N105" s="4">
        <f>VLOOKUP($B105, Config!$A$4:$E$50, HLOOKUP(N$1, Config!$C$2:$AA$3, 2, FALSE)+2,FALSE)</f>
        <v>1</v>
      </c>
    </row>
    <row r="106" spans="1:14" x14ac:dyDescent="0.25">
      <c r="A106" s="143"/>
      <c r="B106" s="4" t="s">
        <v>85</v>
      </c>
      <c r="C106" s="7">
        <v>16</v>
      </c>
      <c r="D106" s="7">
        <v>8</v>
      </c>
      <c r="E106" s="7" t="s">
        <v>313</v>
      </c>
      <c r="F106" s="162"/>
      <c r="G106" s="2">
        <v>0</v>
      </c>
      <c r="H106" s="20">
        <v>0</v>
      </c>
      <c r="I106" s="3" t="s">
        <v>18</v>
      </c>
      <c r="J106" s="7" t="s">
        <v>88</v>
      </c>
      <c r="K106" s="7" t="s">
        <v>574</v>
      </c>
      <c r="L106" s="4">
        <f>VLOOKUP($B106, Config!$A$4:$E$50, HLOOKUP(L$1, Config!$C$2:$AA$3, 2, FALSE)+2,FALSE)</f>
        <v>1</v>
      </c>
      <c r="M106" s="4">
        <f>VLOOKUP($B106, Config!$A$4:$E$50, HLOOKUP(M$1, Config!$C$2:$AA$3, 2, FALSE)+2,FALSE)</f>
        <v>1</v>
      </c>
      <c r="N106" s="4">
        <f>VLOOKUP($B106, Config!$A$4:$E$50, HLOOKUP(N$1, Config!$C$2:$AA$3, 2, FALSE)+2,FALSE)</f>
        <v>1</v>
      </c>
    </row>
    <row r="107" spans="1:14" x14ac:dyDescent="0.25">
      <c r="A107" s="143"/>
      <c r="B107" s="4" t="s">
        <v>85</v>
      </c>
      <c r="C107" s="7">
        <v>24</v>
      </c>
      <c r="D107" s="7">
        <v>4</v>
      </c>
      <c r="E107" s="7" t="s">
        <v>314</v>
      </c>
      <c r="F107" s="162"/>
      <c r="G107" s="2">
        <v>0</v>
      </c>
      <c r="H107" s="20">
        <f>10</f>
        <v>10</v>
      </c>
      <c r="I107" s="3" t="s">
        <v>18</v>
      </c>
      <c r="J107" s="7" t="s">
        <v>88</v>
      </c>
      <c r="K107" s="7" t="s">
        <v>575</v>
      </c>
      <c r="L107" s="4">
        <f>VLOOKUP($B107, Config!$A$4:$E$50, HLOOKUP(L$1, Config!$C$2:$AA$3, 2, FALSE)+2,FALSE)</f>
        <v>1</v>
      </c>
      <c r="M107" s="4">
        <f>VLOOKUP($B107, Config!$A$4:$E$50, HLOOKUP(M$1, Config!$C$2:$AA$3, 2, FALSE)+2,FALSE)</f>
        <v>1</v>
      </c>
      <c r="N107" s="4">
        <f>VLOOKUP($B107, Config!$A$4:$E$50, HLOOKUP(N$1, Config!$C$2:$AA$3, 2, FALSE)+2,FALSE)</f>
        <v>1</v>
      </c>
    </row>
    <row r="108" spans="1:14" x14ac:dyDescent="0.25">
      <c r="A108" s="155"/>
      <c r="B108" s="4" t="s">
        <v>85</v>
      </c>
      <c r="C108" s="7">
        <v>28</v>
      </c>
      <c r="D108" s="7">
        <v>4</v>
      </c>
      <c r="E108" s="7" t="s">
        <v>315</v>
      </c>
      <c r="F108" s="163"/>
      <c r="G108" s="2">
        <v>0</v>
      </c>
      <c r="H108" s="20">
        <v>0</v>
      </c>
      <c r="I108" s="3" t="s">
        <v>18</v>
      </c>
      <c r="J108" s="7" t="s">
        <v>88</v>
      </c>
      <c r="K108" s="7" t="s">
        <v>574</v>
      </c>
      <c r="L108" s="4">
        <f>VLOOKUP($B108, Config!$A$4:$E$50, HLOOKUP(L$1, Config!$C$2:$AA$3, 2, FALSE)+2,FALSE)</f>
        <v>1</v>
      </c>
      <c r="M108" s="4">
        <f>VLOOKUP($B108, Config!$A$4:$E$50, HLOOKUP(M$1, Config!$C$2:$AA$3, 2, FALSE)+2,FALSE)</f>
        <v>1</v>
      </c>
      <c r="N108" s="4">
        <f>VLOOKUP($B108, Config!$A$4:$E$50, HLOOKUP(N$1, Config!$C$2:$AA$3, 2, FALSE)+2,FALSE)</f>
        <v>1</v>
      </c>
    </row>
    <row r="109" spans="1:14" x14ac:dyDescent="0.25">
      <c r="A109" s="121" t="s">
        <v>67</v>
      </c>
      <c r="B109" s="17" t="s">
        <v>303</v>
      </c>
      <c r="C109" s="17">
        <v>0</v>
      </c>
      <c r="D109" s="17">
        <v>1</v>
      </c>
      <c r="E109" s="17" t="s">
        <v>651</v>
      </c>
      <c r="F109" s="157" t="s">
        <v>477</v>
      </c>
      <c r="G109" s="17">
        <v>0</v>
      </c>
      <c r="H109" s="17">
        <v>0</v>
      </c>
      <c r="I109" s="3" t="s">
        <v>18</v>
      </c>
      <c r="J109" s="7" t="s">
        <v>88</v>
      </c>
      <c r="K109" s="7" t="s">
        <v>637</v>
      </c>
      <c r="L109" s="4">
        <f>VLOOKUP($B109, Config!$A$4:$E$50, HLOOKUP(L$1, Config!$C$2:$AA$3, 2, FALSE)+2,FALSE)</f>
        <v>1</v>
      </c>
      <c r="M109" s="4">
        <f>VLOOKUP($B109, Config!$A$4:$E$50, HLOOKUP(M$1, Config!$C$2:$AA$3, 2, FALSE)+2,FALSE)</f>
        <v>1</v>
      </c>
      <c r="N109" s="4">
        <f>VLOOKUP($B109, Config!$A$4:$E$50, HLOOKUP(N$1, Config!$C$2:$AA$3, 2, FALSE)+2,FALSE)</f>
        <v>0</v>
      </c>
    </row>
    <row r="110" spans="1:14" s="16" customFormat="1" x14ac:dyDescent="0.25">
      <c r="A110" s="155"/>
      <c r="B110" s="17" t="s">
        <v>303</v>
      </c>
      <c r="C110" s="17">
        <v>1</v>
      </c>
      <c r="D110" s="17">
        <v>1</v>
      </c>
      <c r="E110" s="17" t="s">
        <v>652</v>
      </c>
      <c r="F110" s="157"/>
      <c r="G110" s="17">
        <v>0</v>
      </c>
      <c r="H110" s="17">
        <v>0</v>
      </c>
      <c r="I110" s="3" t="s">
        <v>18</v>
      </c>
      <c r="J110" s="7" t="s">
        <v>88</v>
      </c>
      <c r="K110" s="7" t="s">
        <v>638</v>
      </c>
      <c r="L110" s="4"/>
      <c r="M110" s="4"/>
      <c r="N110" s="4"/>
    </row>
    <row r="111" spans="1:14" x14ac:dyDescent="0.25">
      <c r="A111" s="17" t="s">
        <v>439</v>
      </c>
      <c r="B111" s="17" t="s">
        <v>303</v>
      </c>
      <c r="C111" s="17">
        <v>0</v>
      </c>
      <c r="D111" s="17">
        <v>1</v>
      </c>
      <c r="E111" s="17" t="s">
        <v>653</v>
      </c>
      <c r="F111" s="157"/>
      <c r="G111" s="17">
        <v>0</v>
      </c>
      <c r="H111" s="17">
        <v>0</v>
      </c>
      <c r="I111" s="3" t="s">
        <v>18</v>
      </c>
      <c r="J111" s="7" t="s">
        <v>88</v>
      </c>
      <c r="K111" s="7" t="s">
        <v>650</v>
      </c>
      <c r="L111" s="4">
        <f>VLOOKUP($B111, Config!$A$4:$E$50, HLOOKUP(L$1, Config!$C$2:$AA$3, 2, FALSE)+2,FALSE)</f>
        <v>1</v>
      </c>
      <c r="M111" s="4">
        <f>VLOOKUP($B111, Config!$A$4:$E$50, HLOOKUP(M$1, Config!$C$2:$AA$3, 2, FALSE)+2,FALSE)</f>
        <v>1</v>
      </c>
      <c r="N111" s="4">
        <f>VLOOKUP($B111, Config!$A$4:$E$50, HLOOKUP(N$1, Config!$C$2:$AA$3, 2, FALSE)+2,FALSE)</f>
        <v>0</v>
      </c>
    </row>
    <row r="112" spans="1:14" x14ac:dyDescent="0.25">
      <c r="A112" s="121" t="s">
        <v>440</v>
      </c>
      <c r="B112" s="17" t="s">
        <v>441</v>
      </c>
      <c r="C112" s="17">
        <v>0</v>
      </c>
      <c r="D112" s="17">
        <v>1</v>
      </c>
      <c r="E112" s="17" t="s">
        <v>654</v>
      </c>
      <c r="F112" s="157" t="s">
        <v>477</v>
      </c>
      <c r="G112" s="17">
        <v>0</v>
      </c>
      <c r="H112" s="17">
        <v>0</v>
      </c>
      <c r="I112" s="3" t="s">
        <v>18</v>
      </c>
      <c r="J112" s="7" t="s">
        <v>88</v>
      </c>
      <c r="K112" s="7" t="s">
        <v>637</v>
      </c>
      <c r="L112" s="4">
        <f>IF(VLOOKUP("PARAM_INT_IFP_TRIPLE_RDD_DIS", Config!$A$4:$E$50, HLOOKUP(L$1, Config!$C$2:$AA$3, 2, FALSE)+2,FALSE)=0, VLOOKUP("TRC_PRESENT", Config!$A$4:$E$50, HLOOKUP(L$1, Config!$C$2:$AA$3, 2, FALSE)+2,FALSE), 0)</f>
        <v>0</v>
      </c>
      <c r="M112" s="4">
        <f>IF(VLOOKUP("PARAM_INT_IFP_TRIPLE_RDD_DIS", Config!$A$4:$E$50, HLOOKUP(M$1, Config!$C$2:$AA$3, 2, FALSE)+2,FALSE)=0, VLOOKUP("TRC_PRESENT", Config!$A$4:$E$50, HLOOKUP(M$1, Config!$C$2:$AA$3, 2, FALSE)+2,FALSE), 0)</f>
        <v>0</v>
      </c>
      <c r="N112" s="4">
        <f>IF(VLOOKUP("PARAM_INT_IFP_TRIPLE_RDD_DIS", Config!$A$4:$E$50, HLOOKUP(N$1, Config!$C$2:$AA$3, 2, FALSE)+2,FALSE)=0, VLOOKUP("TRC_PRESENT", Config!$A$4:$E$50, HLOOKUP(N$1, Config!$C$2:$AA$3, 2, FALSE)+2,FALSE), 0)</f>
        <v>0</v>
      </c>
    </row>
    <row r="113" spans="1:14" s="16" customFormat="1" x14ac:dyDescent="0.25">
      <c r="A113" s="155"/>
      <c r="B113" s="17" t="s">
        <v>441</v>
      </c>
      <c r="C113" s="17">
        <v>1</v>
      </c>
      <c r="D113" s="17">
        <v>1</v>
      </c>
      <c r="E113" s="17" t="s">
        <v>655</v>
      </c>
      <c r="F113" s="157"/>
      <c r="G113" s="17">
        <v>0</v>
      </c>
      <c r="H113" s="17">
        <v>0</v>
      </c>
      <c r="I113" s="3" t="s">
        <v>18</v>
      </c>
      <c r="J113" s="7" t="s">
        <v>88</v>
      </c>
      <c r="K113" s="7" t="s">
        <v>638</v>
      </c>
      <c r="L113" s="4"/>
      <c r="M113" s="4"/>
      <c r="N113" s="4"/>
    </row>
    <row r="114" spans="1:14" x14ac:dyDescent="0.25">
      <c r="A114" s="17" t="s">
        <v>442</v>
      </c>
      <c r="B114" s="17" t="s">
        <v>441</v>
      </c>
      <c r="C114" s="17">
        <v>0</v>
      </c>
      <c r="D114" s="17">
        <v>1</v>
      </c>
      <c r="E114" s="17" t="s">
        <v>656</v>
      </c>
      <c r="F114" s="157"/>
      <c r="G114" s="17">
        <v>0</v>
      </c>
      <c r="H114" s="17">
        <v>0</v>
      </c>
      <c r="I114" s="3" t="s">
        <v>18</v>
      </c>
      <c r="J114" s="7" t="s">
        <v>88</v>
      </c>
      <c r="K114" s="7" t="s">
        <v>650</v>
      </c>
      <c r="L114" s="4">
        <f>IF(VLOOKUP("PARAM_INT_IFP_TRIPLE_RDD_DIS", Config!$A$4:$E$50, HLOOKUP(L$1, Config!$C$2:$AA$3, 2, FALSE)+2,FALSE)=0, VLOOKUP("TRC_PRESENT", Config!$A$4:$E$50, HLOOKUP(L$1, Config!$C$2:$AA$3, 2, FALSE)+2,FALSE), 0)</f>
        <v>0</v>
      </c>
      <c r="M114" s="4">
        <f>IF(VLOOKUP("PARAM_INT_IFP_TRIPLE_RDD_DIS", Config!$A$4:$E$50, HLOOKUP(M$1, Config!$C$2:$AA$3, 2, FALSE)+2,FALSE)=0, VLOOKUP("TRC_PRESENT", Config!$A$4:$E$50, HLOOKUP(M$1, Config!$C$2:$AA$3, 2, FALSE)+2,FALSE), 0)</f>
        <v>0</v>
      </c>
      <c r="N114" s="4">
        <f>IF(VLOOKUP("PARAM_INT_IFP_TRIPLE_RDD_DIS", Config!$A$4:$E$50, HLOOKUP(N$1, Config!$C$2:$AA$3, 2, FALSE)+2,FALSE)=0, VLOOKUP("TRC_PRESENT", Config!$A$4:$E$50, HLOOKUP(N$1, Config!$C$2:$AA$3, 2, FALSE)+2,FALSE), 0)</f>
        <v>0</v>
      </c>
    </row>
    <row r="115" spans="1:14" x14ac:dyDescent="0.25">
      <c r="A115" s="121" t="s">
        <v>443</v>
      </c>
      <c r="B115" s="17" t="s">
        <v>441</v>
      </c>
      <c r="C115" s="17">
        <v>0</v>
      </c>
      <c r="D115" s="17">
        <v>1</v>
      </c>
      <c r="E115" s="17" t="s">
        <v>657</v>
      </c>
      <c r="F115" s="157"/>
      <c r="G115" s="17">
        <v>0</v>
      </c>
      <c r="H115" s="17">
        <v>0</v>
      </c>
      <c r="I115" s="3" t="s">
        <v>18</v>
      </c>
      <c r="J115" s="7" t="s">
        <v>88</v>
      </c>
      <c r="K115" s="7" t="s">
        <v>637</v>
      </c>
      <c r="L115" s="4">
        <f>IF(VLOOKUP("PARAM_INT_IFP_TRIPLE_RDD_DIS", Config!$A$4:$E$50, HLOOKUP(L$1, Config!$C$2:$AA$3, 2, FALSE)+2,FALSE)=0, VLOOKUP("TRC_PRESENT", Config!$A$4:$E$50, HLOOKUP(L$1, Config!$C$2:$AA$3, 2, FALSE)+2,FALSE), 0)</f>
        <v>0</v>
      </c>
      <c r="M115" s="4">
        <f>IF(VLOOKUP("PARAM_INT_IFP_TRIPLE_RDD_DIS", Config!$A$4:$E$50, HLOOKUP(M$1, Config!$C$2:$AA$3, 2, FALSE)+2,FALSE)=0, VLOOKUP("TRC_PRESENT", Config!$A$4:$E$50, HLOOKUP(M$1, Config!$C$2:$AA$3, 2, FALSE)+2,FALSE), 0)</f>
        <v>0</v>
      </c>
      <c r="N115" s="4">
        <f>IF(VLOOKUP("PARAM_INT_IFP_TRIPLE_RDD_DIS", Config!$A$4:$E$50, HLOOKUP(N$1, Config!$C$2:$AA$3, 2, FALSE)+2,FALSE)=0, VLOOKUP("TRC_PRESENT", Config!$A$4:$E$50, HLOOKUP(N$1, Config!$C$2:$AA$3, 2, FALSE)+2,FALSE), 0)</f>
        <v>0</v>
      </c>
    </row>
    <row r="116" spans="1:14" s="16" customFormat="1" x14ac:dyDescent="0.25">
      <c r="A116" s="155"/>
      <c r="B116" s="17" t="s">
        <v>441</v>
      </c>
      <c r="C116" s="17">
        <v>1</v>
      </c>
      <c r="D116" s="17">
        <v>1</v>
      </c>
      <c r="E116" s="17" t="s">
        <v>658</v>
      </c>
      <c r="F116" s="157"/>
      <c r="G116" s="17">
        <v>0</v>
      </c>
      <c r="H116" s="17">
        <v>0</v>
      </c>
      <c r="I116" s="3" t="s">
        <v>18</v>
      </c>
      <c r="J116" s="7" t="s">
        <v>88</v>
      </c>
      <c r="K116" s="7" t="s">
        <v>638</v>
      </c>
      <c r="L116" s="4"/>
      <c r="M116" s="4"/>
      <c r="N116" s="4"/>
    </row>
    <row r="117" spans="1:14" x14ac:dyDescent="0.25">
      <c r="A117" s="17" t="s">
        <v>444</v>
      </c>
      <c r="B117" s="17" t="s">
        <v>441</v>
      </c>
      <c r="C117" s="17">
        <v>0</v>
      </c>
      <c r="D117" s="17">
        <v>1</v>
      </c>
      <c r="E117" s="17" t="s">
        <v>659</v>
      </c>
      <c r="F117" s="157"/>
      <c r="G117" s="17">
        <v>0</v>
      </c>
      <c r="H117" s="17">
        <v>0</v>
      </c>
      <c r="I117" s="3" t="s">
        <v>18</v>
      </c>
      <c r="J117" s="7" t="s">
        <v>88</v>
      </c>
      <c r="K117" s="7" t="s">
        <v>650</v>
      </c>
      <c r="L117" s="4">
        <f>IF(VLOOKUP("PARAM_INT_IFP_TRIPLE_RDD_DIS", Config!$A$4:$E$50, HLOOKUP(L$1, Config!$C$2:$AA$3, 2, FALSE)+2,FALSE)=0, VLOOKUP("TRC_PRESENT", Config!$A$4:$E$50, HLOOKUP(L$1, Config!$C$2:$AA$3, 2, FALSE)+2,FALSE), 0)</f>
        <v>0</v>
      </c>
      <c r="M117" s="4">
        <f>IF(VLOOKUP("PARAM_INT_IFP_TRIPLE_RDD_DIS", Config!$A$4:$E$50, HLOOKUP(M$1, Config!$C$2:$AA$3, 2, FALSE)+2,FALSE)=0, VLOOKUP("TRC_PRESENT", Config!$A$4:$E$50, HLOOKUP(M$1, Config!$C$2:$AA$3, 2, FALSE)+2,FALSE), 0)</f>
        <v>0</v>
      </c>
      <c r="N117" s="4">
        <f>IF(VLOOKUP("PARAM_INT_IFP_TRIPLE_RDD_DIS", Config!$A$4:$E$50, HLOOKUP(N$1, Config!$C$2:$AA$3, 2, FALSE)+2,FALSE)=0, VLOOKUP("TRC_PRESENT", Config!$A$4:$E$50, HLOOKUP(N$1, Config!$C$2:$AA$3, 2, FALSE)+2,FALSE), 0)</f>
        <v>0</v>
      </c>
    </row>
    <row r="118" spans="1:14" x14ac:dyDescent="0.25">
      <c r="A118" s="17" t="s">
        <v>445</v>
      </c>
      <c r="B118" s="17" t="s">
        <v>446</v>
      </c>
      <c r="C118" s="17">
        <v>0</v>
      </c>
      <c r="D118" s="17">
        <f>32*8</f>
        <v>256</v>
      </c>
      <c r="E118" s="17" t="s">
        <v>447</v>
      </c>
      <c r="F118" s="26" t="s">
        <v>477</v>
      </c>
      <c r="G118" s="17">
        <v>0</v>
      </c>
      <c r="H118" s="17">
        <v>0</v>
      </c>
      <c r="I118" s="17" t="s">
        <v>661</v>
      </c>
      <c r="J118" s="17" t="s">
        <v>154</v>
      </c>
      <c r="K118" s="17" t="s">
        <v>660</v>
      </c>
      <c r="L118" s="4">
        <f>VLOOKUP($B118, Config!$A$4:$E$50, HLOOKUP(L$1, Config!$C$2:$AA$3, 2, FALSE)+2,FALSE)</f>
        <v>0</v>
      </c>
      <c r="M118" s="4">
        <f>VLOOKUP($B118, Config!$A$4:$E$50, HLOOKUP(M$1, Config!$C$2:$AA$3, 2, FALSE)+2,FALSE)</f>
        <v>0</v>
      </c>
      <c r="N118" s="4">
        <f>VLOOKUP($B118, Config!$A$4:$E$50, HLOOKUP(N$1, Config!$C$2:$AA$3, 2, FALSE)+2,FALSE)</f>
        <v>0</v>
      </c>
    </row>
    <row r="119" spans="1:14" x14ac:dyDescent="0.25">
      <c r="A119" s="17" t="s">
        <v>448</v>
      </c>
      <c r="B119" s="17" t="s">
        <v>449</v>
      </c>
      <c r="C119" s="17">
        <v>0</v>
      </c>
      <c r="D119" s="17">
        <f>32*8</f>
        <v>256</v>
      </c>
      <c r="E119" s="17" t="s">
        <v>450</v>
      </c>
      <c r="F119" s="157" t="s">
        <v>477</v>
      </c>
      <c r="G119" s="17">
        <v>0</v>
      </c>
      <c r="H119" s="17">
        <v>0</v>
      </c>
      <c r="I119" s="17" t="s">
        <v>661</v>
      </c>
      <c r="J119" s="17" t="s">
        <v>154</v>
      </c>
      <c r="K119" s="17" t="s">
        <v>660</v>
      </c>
      <c r="L119" s="4">
        <f>IF(VLOOKUP("PARAM_INT_IFP_TRIPLE_RDD_DIS", Config!$A$4:$E$50, HLOOKUP(L$1, Config!$C$2:$AA$3, 2, FALSE)+2,FALSE)=0, VLOOKUP("OEM_SECRET_KEY_FUSES_LIMIT", Config!$A$4:$E$50, HLOOKUP(L$1, Config!$C$2:$AA$3, 2, FALSE)+2,FALSE), 0)</f>
        <v>0</v>
      </c>
      <c r="M119" s="4">
        <f>IF(VLOOKUP("PARAM_INT_IFP_TRIPLE_RDD_DIS", Config!$A$4:$E$50, HLOOKUP(M$1, Config!$C$2:$AA$3, 2, FALSE)+2,FALSE)=0, VLOOKUP("OEM_SECRET_KEY_FUSES_LIMIT", Config!$A$4:$E$50, HLOOKUP(M$1, Config!$C$2:$AA$3, 2, FALSE)+2,FALSE), 0)</f>
        <v>0</v>
      </c>
      <c r="N119" s="4">
        <f>IF(VLOOKUP("PARAM_INT_IFP_TRIPLE_RDD_DIS", Config!$A$4:$E$50, HLOOKUP(N$1, Config!$C$2:$AA$3, 2, FALSE)+2,FALSE)=0, VLOOKUP("OEM_SECRET_KEY_FUSES_LIMIT", Config!$A$4:$E$50, HLOOKUP(N$1, Config!$C$2:$AA$3, 2, FALSE)+2,FALSE), 0)</f>
        <v>0</v>
      </c>
    </row>
    <row r="120" spans="1:14" x14ac:dyDescent="0.25">
      <c r="A120" s="17" t="s">
        <v>451</v>
      </c>
      <c r="B120" s="17" t="s">
        <v>449</v>
      </c>
      <c r="C120" s="17">
        <v>0</v>
      </c>
      <c r="D120" s="17">
        <f>32*8</f>
        <v>256</v>
      </c>
      <c r="E120" s="17" t="s">
        <v>452</v>
      </c>
      <c r="F120" s="157"/>
      <c r="G120" s="17">
        <v>0</v>
      </c>
      <c r="H120" s="17">
        <v>0</v>
      </c>
      <c r="I120" s="17" t="s">
        <v>661</v>
      </c>
      <c r="J120" s="17" t="s">
        <v>154</v>
      </c>
      <c r="K120" s="17" t="s">
        <v>660</v>
      </c>
      <c r="L120" s="4">
        <f>IF(VLOOKUP("PARAM_INT_IFP_TRIPLE_RDD_DIS", Config!$A$4:$E$50, HLOOKUP(L$1, Config!$C$2:$AA$3, 2, FALSE)+2,FALSE)=0, VLOOKUP("OEM_SECRET_KEY_FUSES_LIMIT", Config!$A$4:$E$50, HLOOKUP(L$1, Config!$C$2:$AA$3, 2, FALSE)+2,FALSE), 0)</f>
        <v>0</v>
      </c>
      <c r="M120" s="4">
        <f>IF(VLOOKUP("PARAM_INT_IFP_TRIPLE_RDD_DIS", Config!$A$4:$E$50, HLOOKUP(M$1, Config!$C$2:$AA$3, 2, FALSE)+2,FALSE)=0, VLOOKUP("OEM_SECRET_KEY_FUSES_LIMIT", Config!$A$4:$E$50, HLOOKUP(M$1, Config!$C$2:$AA$3, 2, FALSE)+2,FALSE), 0)</f>
        <v>0</v>
      </c>
      <c r="N120" s="4">
        <f>IF(VLOOKUP("PARAM_INT_IFP_TRIPLE_RDD_DIS", Config!$A$4:$E$50, HLOOKUP(N$1, Config!$C$2:$AA$3, 2, FALSE)+2,FALSE)=0, VLOOKUP("OEM_SECRET_KEY_FUSES_LIMIT", Config!$A$4:$E$50, HLOOKUP(N$1, Config!$C$2:$AA$3, 2, FALSE)+2,FALSE), 0)</f>
        <v>0</v>
      </c>
    </row>
  </sheetData>
  <autoFilter ref="A1:N108" xr:uid="{BD3C40ED-A0C8-4381-ACF6-12E781319295}"/>
  <mergeCells count="18">
    <mergeCell ref="A97:A100"/>
    <mergeCell ref="F109:F111"/>
    <mergeCell ref="F112:F117"/>
    <mergeCell ref="F119:F120"/>
    <mergeCell ref="F91:F93"/>
    <mergeCell ref="F97:F100"/>
    <mergeCell ref="F101:F104"/>
    <mergeCell ref="F105:F108"/>
    <mergeCell ref="A2:A35"/>
    <mergeCell ref="A36:A57"/>
    <mergeCell ref="A58:A65"/>
    <mergeCell ref="A66:A90"/>
    <mergeCell ref="A91:A93"/>
    <mergeCell ref="A109:A110"/>
    <mergeCell ref="A112:A113"/>
    <mergeCell ref="A115:A116"/>
    <mergeCell ref="A101:A104"/>
    <mergeCell ref="A105:A108"/>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dimension ref="A1:L12"/>
  <sheetViews>
    <sheetView workbookViewId="0"/>
  </sheetViews>
  <sheetFormatPr defaultRowHeight="15" x14ac:dyDescent="0.25"/>
  <cols>
    <col min="1" max="1" width="23.28515625" style="16" bestFit="1" customWidth="1"/>
    <col min="2" max="2" width="29.5703125" bestFit="1" customWidth="1"/>
    <col min="3" max="3" width="32.85546875" bestFit="1" customWidth="1"/>
    <col min="4" max="4" width="7.7109375" bestFit="1" customWidth="1"/>
    <col min="5" max="5" width="8.42578125" bestFit="1" customWidth="1"/>
    <col min="6" max="6" width="13.28515625" bestFit="1" customWidth="1"/>
    <col min="7" max="7" width="10.85546875" bestFit="1" customWidth="1"/>
    <col min="8" max="8" width="9.85546875" bestFit="1" customWidth="1"/>
    <col min="9" max="9" width="7.28515625" bestFit="1" customWidth="1"/>
    <col min="10" max="10" width="40.28515625" style="16" customWidth="1"/>
    <col min="11" max="11" width="31.7109375" bestFit="1" customWidth="1"/>
    <col min="12" max="12" width="11" bestFit="1" customWidth="1"/>
  </cols>
  <sheetData>
    <row r="1" spans="1:12" s="16" customFormat="1" ht="24" thickBot="1" x14ac:dyDescent="0.4">
      <c r="B1" s="33" t="s">
        <v>494</v>
      </c>
      <c r="C1" s="34" t="s">
        <v>81</v>
      </c>
    </row>
    <row r="2" spans="1:12" ht="15.75" thickBot="1" x14ac:dyDescent="0.3">
      <c r="A2" s="49" t="s">
        <v>0</v>
      </c>
      <c r="B2" s="51" t="s">
        <v>1</v>
      </c>
      <c r="C2" s="64" t="s">
        <v>2</v>
      </c>
      <c r="D2" s="83" t="s">
        <v>3</v>
      </c>
      <c r="E2" s="83" t="s">
        <v>4</v>
      </c>
      <c r="F2" s="46" t="s">
        <v>5</v>
      </c>
      <c r="G2" s="47" t="s">
        <v>6</v>
      </c>
      <c r="H2" s="47" t="s">
        <v>478</v>
      </c>
      <c r="I2" s="47" t="s">
        <v>479</v>
      </c>
      <c r="J2" s="47" t="s">
        <v>525</v>
      </c>
      <c r="K2" s="47" t="s">
        <v>7</v>
      </c>
      <c r="L2" s="47" t="s">
        <v>8</v>
      </c>
    </row>
    <row r="3" spans="1:12" x14ac:dyDescent="0.25">
      <c r="A3" s="118" t="s">
        <v>9</v>
      </c>
      <c r="B3" s="52" t="s">
        <v>489</v>
      </c>
      <c r="C3" s="65" t="s">
        <v>10</v>
      </c>
      <c r="D3" s="66" t="s">
        <v>11</v>
      </c>
      <c r="E3" s="85">
        <f>VLOOKUP($B3, Config!$A$4:$E$72, HLOOKUP(C$1, Config!$B$2:$AA$3, 2, FALSE)+2,FALSE)</f>
        <v>512</v>
      </c>
      <c r="F3" s="36" t="s">
        <v>12</v>
      </c>
      <c r="G3" s="37" t="s">
        <v>13</v>
      </c>
      <c r="H3" s="37">
        <v>0</v>
      </c>
      <c r="I3" s="37">
        <v>0</v>
      </c>
      <c r="J3" s="102" t="s">
        <v>613</v>
      </c>
      <c r="K3" s="164" t="s">
        <v>453</v>
      </c>
      <c r="L3" s="168" t="s">
        <v>14</v>
      </c>
    </row>
    <row r="4" spans="1:12" x14ac:dyDescent="0.25">
      <c r="A4" s="118"/>
      <c r="B4" s="53" t="s">
        <v>490</v>
      </c>
      <c r="C4" s="67" t="s">
        <v>10</v>
      </c>
      <c r="D4" s="68" t="s">
        <v>11</v>
      </c>
      <c r="E4" s="84">
        <f>VLOOKUP($B4, Config!$A$4:$E$72, HLOOKUP(C$1, Config!$B$2:$AA$3, 2, FALSE)+2,FALSE)</f>
        <v>32</v>
      </c>
      <c r="F4" s="38" t="str">
        <f>CONCATENATE("0x",DEC2HEX(HEX2DEC(SUBSTITUTE(F3,"0x",""))+E3/8))</f>
        <v>0x6040</v>
      </c>
      <c r="G4" s="17" t="str">
        <f>CONCATENATE("0x",DEC2HEX(HEX2DEC(SUBSTITUTE(G3,"0x",""))+E3/8))</f>
        <v>0xF00B0040</v>
      </c>
      <c r="H4" s="17">
        <v>0</v>
      </c>
      <c r="I4" s="17">
        <v>0</v>
      </c>
      <c r="J4" s="7" t="s">
        <v>614</v>
      </c>
      <c r="K4" s="165"/>
      <c r="L4" s="169"/>
    </row>
    <row r="5" spans="1:12" x14ac:dyDescent="0.25">
      <c r="A5" s="118"/>
      <c r="B5" s="53" t="s">
        <v>491</v>
      </c>
      <c r="C5" s="67" t="s">
        <v>15</v>
      </c>
      <c r="D5" s="68" t="s">
        <v>11</v>
      </c>
      <c r="E5" s="84">
        <f>VLOOKUP($B5, Config!$A$4:$E$72, HLOOKUP(C$1, Config!$B$2:$AA$3, 2, FALSE)+2,FALSE)</f>
        <v>256</v>
      </c>
      <c r="F5" s="38" t="str">
        <f>CONCATENATE("0x",DEC2HEX(HEX2DEC(SUBSTITUTE(F4,"0x",""))+E4/8))</f>
        <v>0x6044</v>
      </c>
      <c r="G5" s="17" t="str">
        <f>CONCATENATE("0x",DEC2HEX(HEX2DEC(SUBSTITUTE(G4,"0x",""))+E4/8))</f>
        <v>0xF00B0044</v>
      </c>
      <c r="H5" s="17">
        <v>0</v>
      </c>
      <c r="I5" s="17">
        <v>0</v>
      </c>
      <c r="J5" s="7" t="s">
        <v>615</v>
      </c>
      <c r="K5" s="165"/>
      <c r="L5" s="169"/>
    </row>
    <row r="6" spans="1:12" s="16" customFormat="1" x14ac:dyDescent="0.25">
      <c r="A6" s="118"/>
      <c r="B6" s="92" t="s">
        <v>492</v>
      </c>
      <c r="C6" s="67" t="s">
        <v>15</v>
      </c>
      <c r="D6" s="68" t="s">
        <v>11</v>
      </c>
      <c r="E6" s="84">
        <f>VLOOKUP($B6, Config!$A$4:$E$72, HLOOKUP(C$1, Config!$B$2:$AA$3, 2, FALSE)+2,FALSE)</f>
        <v>256</v>
      </c>
      <c r="F6" s="38" t="str">
        <f>CONCATENATE("0x",DEC2HEX(HEX2DEC(SUBSTITUTE(F5,"0x",""))+E5/8))</f>
        <v>0x6064</v>
      </c>
      <c r="G6" s="17" t="str">
        <f>CONCATENATE("0x",DEC2HEX(HEX2DEC(SUBSTITUTE(G5,"0x",""))+E5/8))</f>
        <v>0xF00B0064</v>
      </c>
      <c r="H6" s="17">
        <v>0</v>
      </c>
      <c r="I6" s="17">
        <v>0</v>
      </c>
      <c r="J6" s="3" t="s">
        <v>619</v>
      </c>
      <c r="K6" s="166"/>
      <c r="L6" s="170"/>
    </row>
    <row r="7" spans="1:12" ht="15.75" thickBot="1" x14ac:dyDescent="0.3">
      <c r="A7" s="118"/>
      <c r="B7" s="97" t="s">
        <v>523</v>
      </c>
      <c r="C7" s="93" t="s">
        <v>10</v>
      </c>
      <c r="D7" s="94" t="s">
        <v>11</v>
      </c>
      <c r="E7" s="90">
        <f>VLOOKUP($B7, Config!$A$4:$E$72, HLOOKUP(C$1, Config!$B$2:$AA$3, 2, FALSE)+2,FALSE)</f>
        <v>0</v>
      </c>
      <c r="F7" s="96" t="str">
        <f>CONCATENATE("0x",DEC2HEX(HEX2DEC(SUBSTITUTE(F6,"0x",""))+E6/8))</f>
        <v>0x6084</v>
      </c>
      <c r="G7" s="91" t="str">
        <f>CONCATENATE("0x",DEC2HEX(HEX2DEC(SUBSTITUTE(G6,"0x",""))+E6/8))</f>
        <v>0xF00B0084</v>
      </c>
      <c r="H7" s="91">
        <v>0</v>
      </c>
      <c r="I7" s="91">
        <v>0</v>
      </c>
      <c r="J7" s="103" t="s">
        <v>620</v>
      </c>
      <c r="K7" s="167"/>
      <c r="L7" s="171"/>
    </row>
    <row r="8" spans="1:12" x14ac:dyDescent="0.25">
      <c r="A8" s="40" t="s">
        <v>16</v>
      </c>
      <c r="B8" s="54" t="s">
        <v>17</v>
      </c>
      <c r="C8" s="65" t="s">
        <v>18</v>
      </c>
      <c r="D8" s="66" t="s">
        <v>19</v>
      </c>
      <c r="E8" s="85">
        <f>VLOOKUP($B8, Config!$A$4:$E$72, HLOOKUP(C$1, Config!$B$2:$AA$3, 2, FALSE)+2,FALSE)</f>
        <v>768</v>
      </c>
      <c r="F8" s="36" t="s">
        <v>20</v>
      </c>
      <c r="G8" s="37" t="s">
        <v>21</v>
      </c>
      <c r="H8" s="37">
        <v>0</v>
      </c>
      <c r="I8" s="37">
        <v>0</v>
      </c>
      <c r="J8" s="102" t="s">
        <v>616</v>
      </c>
      <c r="K8" s="172" t="s">
        <v>454</v>
      </c>
      <c r="L8" s="168" t="s">
        <v>22</v>
      </c>
    </row>
    <row r="9" spans="1:12" x14ac:dyDescent="0.25">
      <c r="A9" s="128" t="s">
        <v>23</v>
      </c>
      <c r="B9" s="55" t="s">
        <v>493</v>
      </c>
      <c r="C9" s="67" t="s">
        <v>18</v>
      </c>
      <c r="D9" s="68" t="s">
        <v>19</v>
      </c>
      <c r="E9" s="84">
        <f>VLOOKUP($B9, Config!$A$4:$E$72, HLOOKUP(C$1, Config!$B$2:$AA$3, 2, FALSE)+2,FALSE)</f>
        <v>160</v>
      </c>
      <c r="F9" s="38" t="str">
        <f>CONCATENATE("0x",DEC2HEX(HEX2DEC(SUBSTITUTE(F8,"0x",""))+E8/8))</f>
        <v>0x6460</v>
      </c>
      <c r="G9" s="17" t="str">
        <f>CONCATENATE("0x",DEC2HEX(HEX2DEC(SUBSTITUTE(G8,"0x",""))+E8/8))</f>
        <v>0xF00B0460</v>
      </c>
      <c r="H9" s="17">
        <v>0</v>
      </c>
      <c r="I9" s="17">
        <v>0</v>
      </c>
      <c r="J9" s="7" t="s">
        <v>622</v>
      </c>
      <c r="K9" s="173"/>
      <c r="L9" s="169"/>
    </row>
    <row r="10" spans="1:12" x14ac:dyDescent="0.25">
      <c r="A10" s="129"/>
      <c r="B10" s="99" t="s">
        <v>25</v>
      </c>
      <c r="C10" s="67" t="s">
        <v>18</v>
      </c>
      <c r="D10" s="68" t="s">
        <v>19</v>
      </c>
      <c r="E10" s="84">
        <f>VLOOKUP($B10, Config!$A$4:$E$72, HLOOKUP(C$1, Config!$B$2:$AA$3, 2, FALSE)+2,FALSE)</f>
        <v>32</v>
      </c>
      <c r="F10" s="38" t="str">
        <f>CONCATENATE("0x",DEC2HEX(HEX2DEC(SUBSTITUTE(F9,"0x",""))+E9/8))</f>
        <v>0x6474</v>
      </c>
      <c r="G10" s="17" t="str">
        <f>CONCATENATE("0x",DEC2HEX(HEX2DEC(SUBSTITUTE(G9,"0x",""))+E9/8))</f>
        <v>0xF00B0474</v>
      </c>
      <c r="H10" s="17">
        <v>0</v>
      </c>
      <c r="I10" s="17">
        <v>0</v>
      </c>
      <c r="J10" s="7" t="s">
        <v>617</v>
      </c>
      <c r="K10" s="173"/>
      <c r="L10" s="169"/>
    </row>
    <row r="11" spans="1:12" s="16" customFormat="1" x14ac:dyDescent="0.25">
      <c r="A11" s="129"/>
      <c r="B11" s="100" t="s">
        <v>524</v>
      </c>
      <c r="C11" s="67" t="s">
        <v>18</v>
      </c>
      <c r="D11" s="68" t="s">
        <v>19</v>
      </c>
      <c r="E11" s="101">
        <f>VLOOKUP($B11, Config!$A$4:$E$72, HLOOKUP(C$1, Config!$B$2:$AA$3, 2, FALSE)+2,FALSE)</f>
        <v>0</v>
      </c>
      <c r="F11" s="38" t="str">
        <f>CONCATENATE("0x",DEC2HEX(HEX2DEC(SUBSTITUTE(F10,"0x",""))+E10/8))</f>
        <v>0x6478</v>
      </c>
      <c r="G11" s="17" t="str">
        <f>CONCATENATE("0x",DEC2HEX(HEX2DEC(SUBSTITUTE(G10,"0x",""))+E10/8))</f>
        <v>0xF00B0478</v>
      </c>
      <c r="H11" s="17">
        <v>0</v>
      </c>
      <c r="I11" s="17">
        <v>0</v>
      </c>
      <c r="J11" s="7" t="s">
        <v>621</v>
      </c>
      <c r="K11" s="174"/>
      <c r="L11" s="170"/>
    </row>
    <row r="12" spans="1:12" ht="15.75" thickBot="1" x14ac:dyDescent="0.3">
      <c r="A12" s="130"/>
      <c r="B12" s="98" t="s">
        <v>24</v>
      </c>
      <c r="C12" s="89" t="s">
        <v>18</v>
      </c>
      <c r="D12" s="94" t="s">
        <v>19</v>
      </c>
      <c r="E12" s="90">
        <f>VLOOKUP($B12, Config!$A$4:$E$72, HLOOKUP(C$1, Config!$B$2:$AA$3, 2, FALSE)+2,FALSE)</f>
        <v>0</v>
      </c>
      <c r="F12" s="96" t="str">
        <f>CONCATENATE("0x",DEC2HEX(HEX2DEC(SUBSTITUTE(F11,"0x",""))+E11/8))</f>
        <v>0x6478</v>
      </c>
      <c r="G12" s="91" t="str">
        <f>CONCATENATE("0x",DEC2HEX(HEX2DEC(SUBSTITUTE(G11,"0x",""))+E11/8))</f>
        <v>0xF00B0478</v>
      </c>
      <c r="H12" s="91">
        <v>0</v>
      </c>
      <c r="I12" s="91">
        <v>0</v>
      </c>
      <c r="J12" s="103" t="s">
        <v>618</v>
      </c>
      <c r="K12" s="175"/>
      <c r="L12" s="171"/>
    </row>
  </sheetData>
  <mergeCells count="6">
    <mergeCell ref="K3:K7"/>
    <mergeCell ref="L3:L7"/>
    <mergeCell ref="K8:K12"/>
    <mergeCell ref="L8:L12"/>
    <mergeCell ref="A3:A7"/>
    <mergeCell ref="A9:A12"/>
  </mergeCells>
  <conditionalFormatting sqref="E3 H7:H10 H12 H3:H5">
    <cfRule type="cellIs" dxfId="31" priority="59" operator="equal">
      <formula>0</formula>
    </cfRule>
  </conditionalFormatting>
  <conditionalFormatting sqref="I3:J5 I7:J10 I12:J12">
    <cfRule type="cellIs" dxfId="30" priority="51" operator="equal">
      <formula>0</formula>
    </cfRule>
  </conditionalFormatting>
  <conditionalFormatting sqref="E4">
    <cfRule type="cellIs" dxfId="29" priority="35" operator="equal">
      <formula>0</formula>
    </cfRule>
  </conditionalFormatting>
  <conditionalFormatting sqref="E5">
    <cfRule type="cellIs" dxfId="28" priority="34" operator="equal">
      <formula>0</formula>
    </cfRule>
  </conditionalFormatting>
  <conditionalFormatting sqref="E7">
    <cfRule type="cellIs" dxfId="27" priority="33" operator="equal">
      <formula>0</formula>
    </cfRule>
  </conditionalFormatting>
  <conditionalFormatting sqref="E8">
    <cfRule type="cellIs" dxfId="26" priority="32" operator="equal">
      <formula>0</formula>
    </cfRule>
  </conditionalFormatting>
  <conditionalFormatting sqref="E9">
    <cfRule type="cellIs" dxfId="25" priority="31" operator="equal">
      <formula>0</formula>
    </cfRule>
  </conditionalFormatting>
  <conditionalFormatting sqref="E10">
    <cfRule type="cellIs" dxfId="24" priority="30" operator="equal">
      <formula>0</formula>
    </cfRule>
  </conditionalFormatting>
  <conditionalFormatting sqref="E12">
    <cfRule type="cellIs" dxfId="23" priority="29" operator="equal">
      <formula>0</formula>
    </cfRule>
  </conditionalFormatting>
  <conditionalFormatting sqref="H6">
    <cfRule type="cellIs" dxfId="22" priority="28" operator="equal">
      <formula>0</formula>
    </cfRule>
  </conditionalFormatting>
  <conditionalFormatting sqref="I6:J6">
    <cfRule type="cellIs" dxfId="21" priority="26" operator="equal">
      <formula>0</formula>
    </cfRule>
  </conditionalFormatting>
  <conditionalFormatting sqref="E6">
    <cfRule type="cellIs" dxfId="20" priority="24" operator="equal">
      <formula>0</formula>
    </cfRule>
  </conditionalFormatting>
  <conditionalFormatting sqref="H11">
    <cfRule type="cellIs" dxfId="19" priority="22" operator="equal">
      <formula>0</formula>
    </cfRule>
  </conditionalFormatting>
  <conditionalFormatting sqref="I11:J11">
    <cfRule type="cellIs" dxfId="18" priority="21" operator="equal">
      <formula>0</formula>
    </cfRule>
  </conditionalFormatting>
  <conditionalFormatting sqref="E11">
    <cfRule type="cellIs" dxfId="17" priority="20" operator="equal">
      <formula>0</formula>
    </cfRule>
  </conditionalFormatting>
  <conditionalFormatting sqref="B3:D3">
    <cfRule type="cellIs" dxfId="16" priority="19" operator="equal">
      <formula>0</formula>
    </cfRule>
  </conditionalFormatting>
  <conditionalFormatting sqref="B9:D9">
    <cfRule type="cellIs" dxfId="15" priority="14" operator="equal">
      <formula>0</formula>
    </cfRule>
  </conditionalFormatting>
  <conditionalFormatting sqref="B6:D6">
    <cfRule type="cellIs" dxfId="14" priority="11" operator="equal">
      <formula>0</formula>
    </cfRule>
  </conditionalFormatting>
  <conditionalFormatting sqref="B4:D4">
    <cfRule type="cellIs" dxfId="13" priority="18" operator="equal">
      <formula>0</formula>
    </cfRule>
  </conditionalFormatting>
  <conditionalFormatting sqref="B5:D5">
    <cfRule type="cellIs" dxfId="12" priority="17" operator="equal">
      <formula>0</formula>
    </cfRule>
  </conditionalFormatting>
  <conditionalFormatting sqref="B7 D7">
    <cfRule type="cellIs" dxfId="11" priority="16" operator="equal">
      <formula>0</formula>
    </cfRule>
  </conditionalFormatting>
  <conditionalFormatting sqref="B8:D8">
    <cfRule type="cellIs" priority="15" operator="equal">
      <formula>0</formula>
    </cfRule>
  </conditionalFormatting>
  <conditionalFormatting sqref="B10:D10">
    <cfRule type="cellIs" dxfId="10" priority="12" operator="equal">
      <formula>0</formula>
    </cfRule>
    <cfRule type="cellIs" dxfId="9" priority="13" operator="equal">
      <formula>0</formula>
    </cfRule>
  </conditionalFormatting>
  <conditionalFormatting sqref="C7">
    <cfRule type="cellIs" dxfId="8" priority="10" operator="equal">
      <formula>0</formula>
    </cfRule>
  </conditionalFormatting>
  <conditionalFormatting sqref="F3:G3">
    <cfRule type="cellIs" dxfId="7" priority="9" operator="equal">
      <formula>0</formula>
    </cfRule>
  </conditionalFormatting>
  <conditionalFormatting sqref="F9:G9">
    <cfRule type="cellIs" dxfId="6" priority="4" operator="equal">
      <formula>0</formula>
    </cfRule>
  </conditionalFormatting>
  <conditionalFormatting sqref="F6:G6">
    <cfRule type="cellIs" dxfId="5" priority="1" operator="equal">
      <formula>0</formula>
    </cfRule>
  </conditionalFormatting>
  <conditionalFormatting sqref="F4:G4">
    <cfRule type="cellIs" dxfId="4" priority="8" operator="equal">
      <formula>0</formula>
    </cfRule>
  </conditionalFormatting>
  <conditionalFormatting sqref="F5:G5">
    <cfRule type="cellIs" dxfId="3" priority="7" operator="equal">
      <formula>0</formula>
    </cfRule>
  </conditionalFormatting>
  <conditionalFormatting sqref="F7:G7">
    <cfRule type="cellIs" dxfId="2" priority="6" operator="equal">
      <formula>0</formula>
    </cfRule>
  </conditionalFormatting>
  <conditionalFormatting sqref="F8:G8">
    <cfRule type="cellIs" priority="5" operator="equal">
      <formula>0</formula>
    </cfRule>
  </conditionalFormatting>
  <conditionalFormatting sqref="F10:G10">
    <cfRule type="cellIs" dxfId="1" priority="2" operator="equal">
      <formula>0</formula>
    </cfRule>
    <cfRule type="cellIs" dxfId="0" priority="3"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41B4-C528-47A0-969E-DB0C1C0C2FCA}">
  <dimension ref="A1:N21"/>
  <sheetViews>
    <sheetView workbookViewId="0">
      <selection activeCell="J20" sqref="J20"/>
    </sheetView>
  </sheetViews>
  <sheetFormatPr defaultColWidth="9.140625" defaultRowHeight="15" x14ac:dyDescent="0.25"/>
  <cols>
    <col min="1" max="1" width="21" style="6" bestFit="1" customWidth="1"/>
    <col min="2" max="2" width="33.85546875" style="6" customWidth="1"/>
    <col min="3" max="3" width="11.28515625" style="16" bestFit="1" customWidth="1"/>
    <col min="4" max="4" width="12.5703125" style="16" bestFit="1" customWidth="1"/>
    <col min="5" max="5" width="34.5703125" style="6" customWidth="1"/>
    <col min="6" max="6" width="14.7109375" style="6" bestFit="1" customWidth="1"/>
    <col min="7" max="7" width="11.7109375" style="16" bestFit="1" customWidth="1"/>
    <col min="8" max="8" width="16.42578125" style="16" bestFit="1" customWidth="1"/>
    <col min="9" max="9" width="13.28515625" style="6" bestFit="1" customWidth="1"/>
    <col min="10" max="10" width="12.5703125" style="6" bestFit="1" customWidth="1"/>
    <col min="11" max="11" width="12.5703125" style="16" customWidth="1"/>
    <col min="12" max="13" width="9" style="6" bestFit="1" customWidth="1"/>
    <col min="14" max="14" width="9.140625" style="6"/>
    <col min="15" max="15" width="20" style="6" customWidth="1"/>
    <col min="16" max="16384" width="9.140625" style="6"/>
  </cols>
  <sheetData>
    <row r="1" spans="1:14" ht="20.25" customHeight="1" x14ac:dyDescent="0.25">
      <c r="A1" s="1" t="s">
        <v>75</v>
      </c>
      <c r="B1" s="1" t="s">
        <v>76</v>
      </c>
      <c r="C1" s="1" t="s">
        <v>475</v>
      </c>
      <c r="D1" s="1" t="s">
        <v>476</v>
      </c>
      <c r="E1" s="1" t="s">
        <v>77</v>
      </c>
      <c r="F1" s="1" t="s">
        <v>78</v>
      </c>
      <c r="G1" s="1" t="s">
        <v>462</v>
      </c>
      <c r="H1" s="1" t="s">
        <v>461</v>
      </c>
      <c r="I1" s="1" t="s">
        <v>79</v>
      </c>
      <c r="J1" s="1" t="s">
        <v>80</v>
      </c>
      <c r="K1" s="1" t="s">
        <v>525</v>
      </c>
      <c r="L1" s="1" t="s">
        <v>81</v>
      </c>
      <c r="M1" s="1" t="s">
        <v>82</v>
      </c>
      <c r="N1" s="1" t="s">
        <v>83</v>
      </c>
    </row>
    <row r="2" spans="1:14" x14ac:dyDescent="0.25">
      <c r="A2" s="120" t="s">
        <v>54</v>
      </c>
      <c r="B2" s="4" t="s">
        <v>85</v>
      </c>
      <c r="C2" s="7">
        <v>0</v>
      </c>
      <c r="D2" s="7">
        <v>1</v>
      </c>
      <c r="E2" s="17" t="s">
        <v>316</v>
      </c>
      <c r="F2" s="17" t="s">
        <v>317</v>
      </c>
      <c r="G2" s="17">
        <v>0</v>
      </c>
      <c r="H2" s="17">
        <v>0</v>
      </c>
      <c r="I2" s="120" t="s">
        <v>57</v>
      </c>
      <c r="J2" s="7" t="s">
        <v>318</v>
      </c>
      <c r="K2" s="17" t="s">
        <v>672</v>
      </c>
      <c r="L2" s="4">
        <f>VLOOKUP($B2, Config!$A$4:$E$50, HLOOKUP(L$1, Config!$C$2:$AA$3, 2, FALSE)+2,FALSE)</f>
        <v>1</v>
      </c>
      <c r="M2" s="4">
        <f>VLOOKUP($B2, Config!$A$4:$E$50, HLOOKUP(M$1, Config!$C$2:$AA$3, 2, FALSE)+2,FALSE)</f>
        <v>1</v>
      </c>
      <c r="N2" s="4">
        <f>VLOOKUP($B2, Config!$A$4:$E$50, HLOOKUP(N$1, Config!$C$2:$AA$3, 2, FALSE)+2,FALSE)</f>
        <v>1</v>
      </c>
    </row>
    <row r="3" spans="1:14" x14ac:dyDescent="0.25">
      <c r="A3" s="120"/>
      <c r="B3" s="4" t="s">
        <v>85</v>
      </c>
      <c r="C3" s="7">
        <v>1</v>
      </c>
      <c r="D3" s="7">
        <v>3</v>
      </c>
      <c r="E3" s="17" t="s">
        <v>319</v>
      </c>
      <c r="F3" s="17" t="s">
        <v>319</v>
      </c>
      <c r="G3" s="17">
        <v>0</v>
      </c>
      <c r="H3" s="17">
        <v>0</v>
      </c>
      <c r="I3" s="120"/>
      <c r="J3" s="7" t="s">
        <v>320</v>
      </c>
      <c r="K3" s="7" t="s">
        <v>57</v>
      </c>
      <c r="L3" s="4">
        <f>VLOOKUP($B3, Config!$A$4:$E$50, HLOOKUP(L$1, Config!$C$2:$AA$3, 2, FALSE)+2,FALSE)</f>
        <v>1</v>
      </c>
      <c r="M3" s="4">
        <f>VLOOKUP($B3, Config!$A$4:$E$50, HLOOKUP(M$1, Config!$C$2:$AA$3, 2, FALSE)+2,FALSE)</f>
        <v>1</v>
      </c>
      <c r="N3" s="4">
        <f>VLOOKUP($B3, Config!$A$4:$E$50, HLOOKUP(N$1, Config!$C$2:$AA$3, 2, FALSE)+2,FALSE)</f>
        <v>1</v>
      </c>
    </row>
    <row r="4" spans="1:14" x14ac:dyDescent="0.25">
      <c r="A4" s="120"/>
      <c r="B4" s="17" t="s">
        <v>120</v>
      </c>
      <c r="C4" s="7">
        <v>4</v>
      </c>
      <c r="D4" s="7">
        <v>1</v>
      </c>
      <c r="E4" s="17" t="s">
        <v>321</v>
      </c>
      <c r="F4" s="17" t="s">
        <v>322</v>
      </c>
      <c r="G4" s="17">
        <v>0</v>
      </c>
      <c r="H4" s="17">
        <v>0</v>
      </c>
      <c r="I4" s="120"/>
      <c r="J4" s="7" t="s">
        <v>91</v>
      </c>
      <c r="K4" s="17" t="s">
        <v>671</v>
      </c>
      <c r="L4" s="7">
        <f>VLOOKUP($B4, Config!$A$4:$E$50, HLOOKUP(L$1, Config!$C$2:$AA$3, 2, FALSE)+2,FALSE)</f>
        <v>1</v>
      </c>
      <c r="M4" s="7">
        <f>VLOOKUP($B4, Config!$A$4:$E$50, HLOOKUP(M$1, Config!$C$2:$AA$3, 2, FALSE)+2,FALSE)</f>
        <v>0</v>
      </c>
      <c r="N4" s="7">
        <f>VLOOKUP($B4, Config!$A$4:$E$50, HLOOKUP(N$1, Config!$C$2:$AA$3, 2, FALSE)+2,FALSE)</f>
        <v>0</v>
      </c>
    </row>
    <row r="5" spans="1:14" x14ac:dyDescent="0.25">
      <c r="A5" s="120"/>
      <c r="B5" s="17" t="s">
        <v>120</v>
      </c>
      <c r="C5" s="7">
        <v>5</v>
      </c>
      <c r="D5" s="7">
        <v>1</v>
      </c>
      <c r="E5" s="17" t="s">
        <v>323</v>
      </c>
      <c r="F5" s="17" t="s">
        <v>324</v>
      </c>
      <c r="G5" s="17">
        <v>0</v>
      </c>
      <c r="H5" s="17">
        <v>0</v>
      </c>
      <c r="I5" s="120"/>
      <c r="J5" s="7" t="s">
        <v>91</v>
      </c>
      <c r="K5" s="17" t="s">
        <v>670</v>
      </c>
      <c r="L5" s="7">
        <f>VLOOKUP($B5, Config!$A$4:$E$50, HLOOKUP(L$1, Config!$C$2:$AA$3, 2, FALSE)+2,FALSE)</f>
        <v>1</v>
      </c>
      <c r="M5" s="7">
        <f>VLOOKUP($B5, Config!$A$4:$E$50, HLOOKUP(M$1, Config!$C$2:$AA$3, 2, FALSE)+2,FALSE)</f>
        <v>0</v>
      </c>
      <c r="N5" s="7">
        <f>VLOOKUP($B5, Config!$A$4:$E$50, HLOOKUP(N$1, Config!$C$2:$AA$3, 2, FALSE)+2,FALSE)</f>
        <v>0</v>
      </c>
    </row>
    <row r="6" spans="1:14" x14ac:dyDescent="0.25">
      <c r="A6" s="120"/>
      <c r="B6" s="17" t="s">
        <v>120</v>
      </c>
      <c r="C6" s="7">
        <v>6</v>
      </c>
      <c r="D6" s="7">
        <v>1</v>
      </c>
      <c r="E6" s="17" t="s">
        <v>325</v>
      </c>
      <c r="F6" s="17" t="s">
        <v>326</v>
      </c>
      <c r="G6" s="17">
        <v>0</v>
      </c>
      <c r="H6" s="17">
        <v>0</v>
      </c>
      <c r="I6" s="120"/>
      <c r="J6" s="7" t="s">
        <v>91</v>
      </c>
      <c r="K6" s="17" t="s">
        <v>669</v>
      </c>
      <c r="L6" s="7">
        <f>VLOOKUP($B6, Config!$A$4:$E$50, HLOOKUP(L$1, Config!$C$2:$AA$3, 2, FALSE)+2,FALSE)</f>
        <v>1</v>
      </c>
      <c r="M6" s="7">
        <f>VLOOKUP($B6, Config!$A$4:$E$50, HLOOKUP(M$1, Config!$C$2:$AA$3, 2, FALSE)+2,FALSE)</f>
        <v>0</v>
      </c>
      <c r="N6" s="7">
        <f>VLOOKUP($B6, Config!$A$4:$E$50, HLOOKUP(N$1, Config!$C$2:$AA$3, 2, FALSE)+2,FALSE)</f>
        <v>0</v>
      </c>
    </row>
    <row r="7" spans="1:14" x14ac:dyDescent="0.25">
      <c r="A7" s="120"/>
      <c r="B7" s="4" t="s">
        <v>85</v>
      </c>
      <c r="C7" s="7">
        <v>7</v>
      </c>
      <c r="D7" s="7">
        <v>1</v>
      </c>
      <c r="E7" s="17" t="s">
        <v>327</v>
      </c>
      <c r="F7" s="17" t="s">
        <v>328</v>
      </c>
      <c r="G7" s="17">
        <v>0</v>
      </c>
      <c r="H7" s="17">
        <v>0</v>
      </c>
      <c r="I7" s="120"/>
      <c r="J7" s="7" t="s">
        <v>91</v>
      </c>
      <c r="K7" s="17" t="s">
        <v>668</v>
      </c>
      <c r="L7" s="4">
        <f>VLOOKUP($B7, Config!$A$4:$E$50, HLOOKUP(L$1, Config!$C$2:$AA$3, 2, FALSE)+2,FALSE)</f>
        <v>1</v>
      </c>
      <c r="M7" s="4">
        <f>VLOOKUP($B7, Config!$A$4:$E$50, HLOOKUP(M$1, Config!$C$2:$AA$3, 2, FALSE)+2,FALSE)</f>
        <v>1</v>
      </c>
      <c r="N7" s="4">
        <f>VLOOKUP($B7, Config!$A$4:$E$50, HLOOKUP(N$1, Config!$C$2:$AA$3, 2, FALSE)+2,FALSE)</f>
        <v>1</v>
      </c>
    </row>
    <row r="8" spans="1:14" x14ac:dyDescent="0.25">
      <c r="A8" s="120"/>
      <c r="B8" s="17" t="s">
        <v>111</v>
      </c>
      <c r="C8" s="7">
        <v>8</v>
      </c>
      <c r="D8" s="7">
        <v>1</v>
      </c>
      <c r="E8" s="17" t="s">
        <v>329</v>
      </c>
      <c r="F8" s="17" t="s">
        <v>330</v>
      </c>
      <c r="G8" s="17">
        <v>0</v>
      </c>
      <c r="H8" s="17">
        <v>0</v>
      </c>
      <c r="I8" s="120"/>
      <c r="J8" s="7" t="s">
        <v>91</v>
      </c>
      <c r="K8" s="17" t="s">
        <v>667</v>
      </c>
      <c r="L8" s="7">
        <f>VLOOKUP($B8, Config!$A$4:$E$50, HLOOKUP(L$1, Config!$C$2:$AA$3, 2, FALSE)+2,FALSE)</f>
        <v>1</v>
      </c>
      <c r="M8" s="7">
        <f>VLOOKUP($B8, Config!$A$4:$E$50, HLOOKUP(M$1, Config!$C$2:$AA$3, 2, FALSE)+2,FALSE)</f>
        <v>0</v>
      </c>
      <c r="N8" s="7">
        <f>VLOOKUP($B8, Config!$A$4:$E$50, HLOOKUP(N$1, Config!$C$2:$AA$3, 2, FALSE)+2,FALSE)</f>
        <v>0</v>
      </c>
    </row>
    <row r="9" spans="1:14" x14ac:dyDescent="0.25">
      <c r="A9" s="120"/>
      <c r="B9" s="4" t="s">
        <v>85</v>
      </c>
      <c r="C9" s="7">
        <v>9</v>
      </c>
      <c r="D9" s="7">
        <v>1</v>
      </c>
      <c r="E9" s="17" t="s">
        <v>331</v>
      </c>
      <c r="F9" s="17" t="s">
        <v>332</v>
      </c>
      <c r="G9" s="17">
        <v>0</v>
      </c>
      <c r="H9" s="17">
        <v>0</v>
      </c>
      <c r="I9" s="120"/>
      <c r="J9" s="7" t="s">
        <v>91</v>
      </c>
      <c r="K9" s="17" t="s">
        <v>666</v>
      </c>
      <c r="L9" s="4">
        <f>VLOOKUP($B9, Config!$A$4:$E$50, HLOOKUP(L$1, Config!$C$2:$AA$3, 2, FALSE)+2,FALSE)</f>
        <v>1</v>
      </c>
      <c r="M9" s="4">
        <f>VLOOKUP($B9, Config!$A$4:$E$50, HLOOKUP(M$1, Config!$C$2:$AA$3, 2, FALSE)+2,FALSE)</f>
        <v>1</v>
      </c>
      <c r="N9" s="4">
        <f>VLOOKUP($B9, Config!$A$4:$E$50, HLOOKUP(N$1, Config!$C$2:$AA$3, 2, FALSE)+2,FALSE)</f>
        <v>1</v>
      </c>
    </row>
    <row r="10" spans="1:14" x14ac:dyDescent="0.25">
      <c r="A10" s="120"/>
      <c r="B10" s="4" t="s">
        <v>85</v>
      </c>
      <c r="C10" s="7">
        <v>10</v>
      </c>
      <c r="D10" s="7">
        <v>1</v>
      </c>
      <c r="E10" s="17" t="s">
        <v>333</v>
      </c>
      <c r="F10" s="17" t="s">
        <v>334</v>
      </c>
      <c r="G10" s="17">
        <v>0</v>
      </c>
      <c r="H10" s="17">
        <v>0</v>
      </c>
      <c r="I10" s="120"/>
      <c r="J10" s="7" t="s">
        <v>91</v>
      </c>
      <c r="K10" s="17" t="s">
        <v>665</v>
      </c>
      <c r="L10" s="4">
        <f>VLOOKUP($B10, Config!$A$4:$E$50, HLOOKUP(L$1, Config!$C$2:$AA$3, 2, FALSE)+2,FALSE)</f>
        <v>1</v>
      </c>
      <c r="M10" s="4">
        <f>VLOOKUP($B10, Config!$A$4:$E$50, HLOOKUP(M$1, Config!$C$2:$AA$3, 2, FALSE)+2,FALSE)</f>
        <v>1</v>
      </c>
      <c r="N10" s="4">
        <f>VLOOKUP($B10, Config!$A$4:$E$50, HLOOKUP(N$1, Config!$C$2:$AA$3, 2, FALSE)+2,FALSE)</f>
        <v>1</v>
      </c>
    </row>
    <row r="11" spans="1:14" x14ac:dyDescent="0.25">
      <c r="A11" s="120"/>
      <c r="B11" s="4" t="s">
        <v>85</v>
      </c>
      <c r="C11" s="7">
        <v>11</v>
      </c>
      <c r="D11" s="7">
        <v>4</v>
      </c>
      <c r="E11" s="17" t="s">
        <v>335</v>
      </c>
      <c r="F11" s="17" t="s">
        <v>335</v>
      </c>
      <c r="G11" s="17">
        <v>0</v>
      </c>
      <c r="H11" s="17">
        <v>0</v>
      </c>
      <c r="I11" s="120"/>
      <c r="J11" s="7" t="s">
        <v>336</v>
      </c>
      <c r="K11" s="7" t="s">
        <v>57</v>
      </c>
      <c r="L11" s="4">
        <f>VLOOKUP($B11, Config!$A$4:$E$50, HLOOKUP(L$1, Config!$C$2:$AA$3, 2, FALSE)+2,FALSE)</f>
        <v>1</v>
      </c>
      <c r="M11" s="4">
        <f>VLOOKUP($B11, Config!$A$4:$E$50, HLOOKUP(M$1, Config!$C$2:$AA$3, 2, FALSE)+2,FALSE)</f>
        <v>1</v>
      </c>
      <c r="N11" s="4">
        <f>VLOOKUP($B11, Config!$A$4:$E$50, HLOOKUP(N$1, Config!$C$2:$AA$3, 2, FALSE)+2,FALSE)</f>
        <v>1</v>
      </c>
    </row>
    <row r="12" spans="1:14" x14ac:dyDescent="0.25">
      <c r="A12" s="120"/>
      <c r="B12" s="4" t="s">
        <v>85</v>
      </c>
      <c r="C12" s="7">
        <v>15</v>
      </c>
      <c r="D12" s="7">
        <v>1</v>
      </c>
      <c r="E12" s="17" t="s">
        <v>337</v>
      </c>
      <c r="F12" s="17" t="s">
        <v>338</v>
      </c>
      <c r="G12" s="17">
        <v>0</v>
      </c>
      <c r="H12" s="17">
        <v>0</v>
      </c>
      <c r="I12" s="120"/>
      <c r="J12" s="17" t="s">
        <v>91</v>
      </c>
      <c r="K12" s="17" t="s">
        <v>664</v>
      </c>
      <c r="L12" s="4">
        <f>VLOOKUP($B12, Config!$A$4:$E$50, HLOOKUP(L$1, Config!$C$2:$AA$3, 2, FALSE)+2,FALSE)</f>
        <v>1</v>
      </c>
      <c r="M12" s="4">
        <f>VLOOKUP($B12, Config!$A$4:$E$50, HLOOKUP(M$1, Config!$C$2:$AA$3, 2, FALSE)+2,FALSE)</f>
        <v>1</v>
      </c>
      <c r="N12" s="4">
        <f>VLOOKUP($B12, Config!$A$4:$E$50, HLOOKUP(N$1, Config!$C$2:$AA$3, 2, FALSE)+2,FALSE)</f>
        <v>1</v>
      </c>
    </row>
    <row r="13" spans="1:14" x14ac:dyDescent="0.25">
      <c r="A13" s="120"/>
      <c r="B13" s="4" t="s">
        <v>85</v>
      </c>
      <c r="C13" s="7">
        <v>16</v>
      </c>
      <c r="D13" s="7">
        <v>1</v>
      </c>
      <c r="E13" s="17" t="s">
        <v>339</v>
      </c>
      <c r="F13" s="17" t="s">
        <v>340</v>
      </c>
      <c r="G13" s="17">
        <v>0</v>
      </c>
      <c r="H13" s="17">
        <v>0</v>
      </c>
      <c r="I13" s="120"/>
      <c r="J13" s="17" t="s">
        <v>91</v>
      </c>
      <c r="K13" s="17" t="s">
        <v>663</v>
      </c>
      <c r="L13" s="4">
        <f>VLOOKUP($B13, Config!$A$4:$E$50, HLOOKUP(L$1, Config!$C$2:$AA$3, 2, FALSE)+2,FALSE)</f>
        <v>1</v>
      </c>
      <c r="M13" s="4">
        <f>VLOOKUP($B13, Config!$A$4:$E$50, HLOOKUP(M$1, Config!$C$2:$AA$3, 2, FALSE)+2,FALSE)</f>
        <v>1</v>
      </c>
      <c r="N13" s="4">
        <f>VLOOKUP($B13, Config!$A$4:$E$50, HLOOKUP(N$1, Config!$C$2:$AA$3, 2, FALSE)+2,FALSE)</f>
        <v>1</v>
      </c>
    </row>
    <row r="14" spans="1:14" x14ac:dyDescent="0.25">
      <c r="A14" s="120"/>
      <c r="B14" s="4" t="s">
        <v>85</v>
      </c>
      <c r="C14" s="7">
        <v>17</v>
      </c>
      <c r="D14" s="7">
        <v>1</v>
      </c>
      <c r="E14" s="17" t="s">
        <v>341</v>
      </c>
      <c r="F14" s="17" t="s">
        <v>342</v>
      </c>
      <c r="G14" s="17">
        <v>0</v>
      </c>
      <c r="H14" s="17">
        <v>0</v>
      </c>
      <c r="I14" s="120"/>
      <c r="J14" s="17" t="s">
        <v>91</v>
      </c>
      <c r="K14" s="17" t="s">
        <v>662</v>
      </c>
      <c r="L14" s="4">
        <f>VLOOKUP($B14, Config!$A$4:$E$50, HLOOKUP(L$1, Config!$C$2:$AA$3, 2, FALSE)+2,FALSE)</f>
        <v>1</v>
      </c>
      <c r="M14" s="4">
        <f>VLOOKUP($B14, Config!$A$4:$E$50, HLOOKUP(M$1, Config!$C$2:$AA$3, 2, FALSE)+2,FALSE)</f>
        <v>1</v>
      </c>
      <c r="N14" s="4">
        <f>VLOOKUP($B14, Config!$A$4:$E$50, HLOOKUP(N$1, Config!$C$2:$AA$3, 2, FALSE)+2,FALSE)</f>
        <v>1</v>
      </c>
    </row>
    <row r="15" spans="1:14" x14ac:dyDescent="0.25">
      <c r="A15" s="120"/>
      <c r="B15" s="4" t="s">
        <v>85</v>
      </c>
      <c r="C15" s="7">
        <v>18</v>
      </c>
      <c r="D15" s="7">
        <v>14</v>
      </c>
      <c r="E15" s="17" t="s">
        <v>343</v>
      </c>
      <c r="F15" s="17" t="s">
        <v>343</v>
      </c>
      <c r="G15" s="17">
        <v>0</v>
      </c>
      <c r="H15" s="17">
        <v>0</v>
      </c>
      <c r="I15" s="120"/>
      <c r="J15" s="7" t="s">
        <v>320</v>
      </c>
      <c r="K15" s="7" t="s">
        <v>57</v>
      </c>
      <c r="L15" s="4">
        <f>VLOOKUP($B15, Config!$A$4:$E$50, HLOOKUP(L$1, Config!$C$2:$AA$3, 2, FALSE)+2,FALSE)</f>
        <v>1</v>
      </c>
      <c r="M15" s="4">
        <f>VLOOKUP($B15, Config!$A$4:$E$50, HLOOKUP(M$1, Config!$C$2:$AA$3, 2, FALSE)+2,FALSE)</f>
        <v>1</v>
      </c>
      <c r="N15" s="4">
        <f>VLOOKUP($B15, Config!$A$4:$E$50, HLOOKUP(N$1, Config!$C$2:$AA$3, 2, FALSE)+2,FALSE)</f>
        <v>1</v>
      </c>
    </row>
    <row r="17" spans="1:14" x14ac:dyDescent="0.25">
      <c r="A17" s="120" t="s">
        <v>59</v>
      </c>
      <c r="B17" s="4" t="s">
        <v>85</v>
      </c>
      <c r="C17" s="7">
        <v>0</v>
      </c>
      <c r="D17" s="7">
        <v>1</v>
      </c>
      <c r="E17" s="17" t="s">
        <v>344</v>
      </c>
      <c r="F17" s="17" t="s">
        <v>345</v>
      </c>
      <c r="G17" s="17">
        <v>1</v>
      </c>
      <c r="H17" s="17">
        <v>0</v>
      </c>
      <c r="I17" s="120" t="s">
        <v>57</v>
      </c>
      <c r="J17" s="7" t="s">
        <v>91</v>
      </c>
      <c r="K17" s="17" t="s">
        <v>673</v>
      </c>
      <c r="L17" s="4">
        <f>VLOOKUP($B17, Config!$A$4:$E$50, HLOOKUP(L$1, Config!$C$2:$AA$3, 2, FALSE)+2,FALSE)</f>
        <v>1</v>
      </c>
      <c r="M17" s="4">
        <v>1</v>
      </c>
      <c r="N17" s="4">
        <v>1</v>
      </c>
    </row>
    <row r="18" spans="1:14" x14ac:dyDescent="0.25">
      <c r="A18" s="120"/>
      <c r="B18" s="2"/>
      <c r="C18" s="2">
        <v>1</v>
      </c>
      <c r="D18" s="2">
        <v>31</v>
      </c>
      <c r="E18" s="2"/>
      <c r="F18" s="17" t="s">
        <v>346</v>
      </c>
      <c r="G18" s="17">
        <v>0</v>
      </c>
      <c r="H18" s="17">
        <v>0</v>
      </c>
      <c r="I18" s="120"/>
      <c r="J18" s="7"/>
      <c r="K18" s="7"/>
      <c r="L18" s="2"/>
      <c r="M18" s="2"/>
      <c r="N18" s="2"/>
    </row>
    <row r="19" spans="1:14" x14ac:dyDescent="0.25">
      <c r="I19" s="25"/>
    </row>
    <row r="20" spans="1:14" x14ac:dyDescent="0.25">
      <c r="A20" s="120" t="s">
        <v>61</v>
      </c>
      <c r="B20" s="4" t="s">
        <v>85</v>
      </c>
      <c r="C20" s="7">
        <v>0</v>
      </c>
      <c r="D20" s="7">
        <v>1</v>
      </c>
      <c r="E20" s="17" t="s">
        <v>347</v>
      </c>
      <c r="F20" s="17" t="s">
        <v>345</v>
      </c>
      <c r="G20" s="17">
        <v>1</v>
      </c>
      <c r="H20" s="17">
        <v>0</v>
      </c>
      <c r="I20" s="120" t="s">
        <v>57</v>
      </c>
      <c r="J20" s="7" t="s">
        <v>91</v>
      </c>
      <c r="K20" s="7" t="s">
        <v>674</v>
      </c>
      <c r="L20" s="4">
        <f>VLOOKUP($B20, Config!$A$4:$E$50, HLOOKUP(L$1, Config!$C$2:$AA$3, 2, FALSE)+2,FALSE)</f>
        <v>1</v>
      </c>
      <c r="M20" s="4">
        <v>1</v>
      </c>
      <c r="N20" s="4">
        <v>1</v>
      </c>
    </row>
    <row r="21" spans="1:14" x14ac:dyDescent="0.25">
      <c r="A21" s="120"/>
      <c r="B21" s="2"/>
      <c r="C21" s="2">
        <v>1</v>
      </c>
      <c r="D21" s="2">
        <v>31</v>
      </c>
      <c r="E21" s="2"/>
      <c r="F21" s="17" t="s">
        <v>346</v>
      </c>
      <c r="G21" s="17">
        <v>0</v>
      </c>
      <c r="H21" s="17">
        <v>0</v>
      </c>
      <c r="I21" s="120"/>
      <c r="J21" s="7"/>
      <c r="K21" s="7"/>
      <c r="L21" s="2"/>
      <c r="M21" s="2"/>
      <c r="N21" s="2"/>
    </row>
  </sheetData>
  <autoFilter ref="A1:N1" xr:uid="{BD3C40ED-A0C8-4381-ACF6-12E781319295}"/>
  <mergeCells count="6">
    <mergeCell ref="A2:A15"/>
    <mergeCell ref="A17:A18"/>
    <mergeCell ref="A20:A21"/>
    <mergeCell ref="I2:I15"/>
    <mergeCell ref="I17:I18"/>
    <mergeCell ref="I20:I21"/>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dimension ref="A1:N55"/>
  <sheetViews>
    <sheetView workbookViewId="0"/>
  </sheetViews>
  <sheetFormatPr defaultColWidth="9.140625" defaultRowHeight="15" x14ac:dyDescent="0.25"/>
  <cols>
    <col min="1" max="1" width="20.28515625" style="6" customWidth="1"/>
    <col min="2" max="2" width="23.85546875" style="6" customWidth="1"/>
    <col min="3" max="3" width="11.28515625" style="16" bestFit="1" customWidth="1"/>
    <col min="4" max="4" width="12.5703125" style="16" bestFit="1" customWidth="1"/>
    <col min="5" max="5" width="53.140625" style="6" customWidth="1"/>
    <col min="6" max="6" width="24" style="6" bestFit="1" customWidth="1"/>
    <col min="7" max="7" width="11.7109375" style="16" bestFit="1" customWidth="1"/>
    <col min="8" max="8" width="16.42578125" style="16" bestFit="1" customWidth="1"/>
    <col min="9" max="9" width="13.28515625" style="6" bestFit="1" customWidth="1"/>
    <col min="10" max="10" width="12.5703125" style="6" bestFit="1" customWidth="1"/>
    <col min="11" max="11" width="12.5703125" style="16"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75</v>
      </c>
      <c r="B1" s="1" t="s">
        <v>76</v>
      </c>
      <c r="C1" s="1" t="s">
        <v>475</v>
      </c>
      <c r="D1" s="1" t="s">
        <v>476</v>
      </c>
      <c r="E1" s="1" t="s">
        <v>77</v>
      </c>
      <c r="F1" s="1" t="s">
        <v>78</v>
      </c>
      <c r="G1" s="1" t="s">
        <v>462</v>
      </c>
      <c r="H1" s="1" t="s">
        <v>461</v>
      </c>
      <c r="I1" s="1" t="s">
        <v>79</v>
      </c>
      <c r="J1" s="1" t="s">
        <v>80</v>
      </c>
      <c r="K1" s="1" t="s">
        <v>525</v>
      </c>
      <c r="L1" s="1" t="s">
        <v>81</v>
      </c>
      <c r="M1" s="1" t="s">
        <v>82</v>
      </c>
      <c r="N1" s="1" t="s">
        <v>83</v>
      </c>
    </row>
    <row r="2" spans="1:14" x14ac:dyDescent="0.25">
      <c r="A2" s="136" t="s">
        <v>45</v>
      </c>
      <c r="B2" s="4" t="s">
        <v>85</v>
      </c>
      <c r="C2" s="7">
        <v>0</v>
      </c>
      <c r="D2" s="7">
        <v>1</v>
      </c>
      <c r="E2" s="9" t="s">
        <v>348</v>
      </c>
      <c r="F2" s="8" t="s">
        <v>349</v>
      </c>
      <c r="G2" s="8">
        <v>0</v>
      </c>
      <c r="H2" s="8">
        <v>0</v>
      </c>
      <c r="I2" s="8"/>
      <c r="J2" s="7" t="s">
        <v>109</v>
      </c>
      <c r="K2" s="7" t="s">
        <v>576</v>
      </c>
      <c r="L2" s="4">
        <v>1</v>
      </c>
      <c r="M2" s="4">
        <v>1</v>
      </c>
      <c r="N2" s="4">
        <v>1</v>
      </c>
    </row>
    <row r="3" spans="1:14" x14ac:dyDescent="0.25">
      <c r="A3" s="176"/>
      <c r="B3" s="4" t="s">
        <v>85</v>
      </c>
      <c r="C3" s="7">
        <v>1</v>
      </c>
      <c r="D3" s="7">
        <v>1</v>
      </c>
      <c r="E3" s="10" t="s">
        <v>350</v>
      </c>
      <c r="F3" s="8" t="s">
        <v>351</v>
      </c>
      <c r="G3" s="8">
        <v>0</v>
      </c>
      <c r="H3" s="8">
        <v>0</v>
      </c>
      <c r="I3" s="8"/>
      <c r="J3" s="7" t="s">
        <v>109</v>
      </c>
      <c r="K3" s="7" t="s">
        <v>577</v>
      </c>
      <c r="L3" s="4">
        <v>1</v>
      </c>
      <c r="M3" s="4">
        <v>1</v>
      </c>
      <c r="N3" s="4">
        <v>1</v>
      </c>
    </row>
    <row r="4" spans="1:14" x14ac:dyDescent="0.25">
      <c r="A4" s="176"/>
      <c r="B4" s="4" t="s">
        <v>85</v>
      </c>
      <c r="C4" s="7">
        <v>2</v>
      </c>
      <c r="D4" s="7">
        <v>1</v>
      </c>
      <c r="E4" s="10" t="s">
        <v>352</v>
      </c>
      <c r="F4" s="8" t="s">
        <v>353</v>
      </c>
      <c r="G4" s="8">
        <v>0</v>
      </c>
      <c r="H4" s="8">
        <v>0</v>
      </c>
      <c r="I4" s="8"/>
      <c r="J4" s="7" t="s">
        <v>109</v>
      </c>
      <c r="K4" s="7" t="s">
        <v>578</v>
      </c>
      <c r="L4" s="4">
        <v>1</v>
      </c>
      <c r="M4" s="4">
        <v>1</v>
      </c>
      <c r="N4" s="4">
        <v>1</v>
      </c>
    </row>
    <row r="5" spans="1:14" x14ac:dyDescent="0.25">
      <c r="A5" s="176"/>
      <c r="B5" s="2" t="s">
        <v>57</v>
      </c>
      <c r="C5" s="2">
        <v>3</v>
      </c>
      <c r="D5" s="2">
        <v>1</v>
      </c>
      <c r="E5" s="2"/>
      <c r="F5" s="8" t="s">
        <v>354</v>
      </c>
      <c r="G5" s="8">
        <v>0</v>
      </c>
      <c r="H5" s="8">
        <v>0</v>
      </c>
      <c r="I5" s="8"/>
      <c r="J5" s="7"/>
      <c r="K5" s="7" t="s">
        <v>561</v>
      </c>
      <c r="L5" s="2"/>
      <c r="M5" s="2"/>
      <c r="N5" s="2"/>
    </row>
    <row r="6" spans="1:14" x14ac:dyDescent="0.25">
      <c r="A6" s="176"/>
      <c r="B6" s="4" t="s">
        <v>208</v>
      </c>
      <c r="C6" s="7">
        <v>4</v>
      </c>
      <c r="D6" s="7">
        <v>1</v>
      </c>
      <c r="E6" s="10" t="s">
        <v>355</v>
      </c>
      <c r="F6" s="8" t="s">
        <v>356</v>
      </c>
      <c r="G6" s="8">
        <v>0</v>
      </c>
      <c r="H6" s="8">
        <v>0</v>
      </c>
      <c r="I6" s="8"/>
      <c r="J6" s="7" t="s">
        <v>109</v>
      </c>
      <c r="K6" s="7" t="s">
        <v>579</v>
      </c>
      <c r="L6" s="7">
        <f>VLOOKUP($B6, Config!$A$4:$E$50, HLOOKUP(L$1, Config!$C$2:$AA$3, 2, FALSE)+2,FALSE)</f>
        <v>1</v>
      </c>
      <c r="M6" s="7">
        <f>VLOOKUP($B6, Config!$A$4:$E$50, HLOOKUP(M$1, Config!$C$2:$AA$3, 2, FALSE)+2,FALSE)</f>
        <v>0</v>
      </c>
      <c r="N6" s="7">
        <f>VLOOKUP($B6, Config!$A$4:$E$50, HLOOKUP(N$1, Config!$C$2:$AA$3, 2, FALSE)+2,FALSE)</f>
        <v>0</v>
      </c>
    </row>
    <row r="7" spans="1:14" x14ac:dyDescent="0.25">
      <c r="A7" s="176"/>
      <c r="B7" s="4" t="s">
        <v>208</v>
      </c>
      <c r="C7" s="7">
        <v>5</v>
      </c>
      <c r="D7" s="7">
        <v>1</v>
      </c>
      <c r="E7" s="11" t="s">
        <v>357</v>
      </c>
      <c r="F7" s="8" t="s">
        <v>358</v>
      </c>
      <c r="G7" s="8">
        <v>0</v>
      </c>
      <c r="H7" s="8">
        <v>0</v>
      </c>
      <c r="I7" s="8"/>
      <c r="J7" s="7" t="s">
        <v>109</v>
      </c>
      <c r="K7" s="7" t="s">
        <v>580</v>
      </c>
      <c r="L7" s="7">
        <f>VLOOKUP($B7, Config!$A$4:$E$50, HLOOKUP(L$1, Config!$C$2:$AA$3, 2, FALSE)+2,FALSE)</f>
        <v>1</v>
      </c>
      <c r="M7" s="7">
        <f>VLOOKUP($B7, Config!$A$4:$E$50, HLOOKUP(M$1, Config!$C$2:$AA$3, 2, FALSE)+2,FALSE)</f>
        <v>0</v>
      </c>
      <c r="N7" s="7">
        <f>VLOOKUP($B7, Config!$A$4:$E$50, HLOOKUP(N$1, Config!$C$2:$AA$3, 2, FALSE)+2,FALSE)</f>
        <v>0</v>
      </c>
    </row>
    <row r="8" spans="1:14" x14ac:dyDescent="0.25">
      <c r="A8" s="176"/>
      <c r="B8" s="4" t="s">
        <v>208</v>
      </c>
      <c r="C8" s="7">
        <v>6</v>
      </c>
      <c r="D8" s="7">
        <v>1</v>
      </c>
      <c r="E8" s="10" t="s">
        <v>359</v>
      </c>
      <c r="F8" s="8" t="s">
        <v>360</v>
      </c>
      <c r="G8" s="8">
        <v>0</v>
      </c>
      <c r="H8" s="8">
        <v>0</v>
      </c>
      <c r="I8" s="8"/>
      <c r="J8" s="7" t="s">
        <v>109</v>
      </c>
      <c r="K8" s="7" t="s">
        <v>581</v>
      </c>
      <c r="L8" s="7">
        <f>VLOOKUP($B8, Config!$A$4:$E$50, HLOOKUP(L$1, Config!$C$2:$AA$3, 2, FALSE)+2,FALSE)</f>
        <v>1</v>
      </c>
      <c r="M8" s="7">
        <f>VLOOKUP($B8, Config!$A$4:$E$50, HLOOKUP(M$1, Config!$C$2:$AA$3, 2, FALSE)+2,FALSE)</f>
        <v>0</v>
      </c>
      <c r="N8" s="7">
        <f>VLOOKUP($B8, Config!$A$4:$E$50, HLOOKUP(N$1, Config!$C$2:$AA$3, 2, FALSE)+2,FALSE)</f>
        <v>0</v>
      </c>
    </row>
    <row r="9" spans="1:14" x14ac:dyDescent="0.25">
      <c r="A9" s="176"/>
      <c r="B9" s="4" t="s">
        <v>111</v>
      </c>
      <c r="C9" s="7">
        <v>7</v>
      </c>
      <c r="D9" s="7">
        <v>1</v>
      </c>
      <c r="E9" s="10" t="s">
        <v>361</v>
      </c>
      <c r="F9" s="8" t="s">
        <v>362</v>
      </c>
      <c r="G9" s="8">
        <v>0</v>
      </c>
      <c r="H9" s="8">
        <v>0</v>
      </c>
      <c r="I9" s="8"/>
      <c r="J9" s="7" t="s">
        <v>109</v>
      </c>
      <c r="K9" s="7" t="s">
        <v>582</v>
      </c>
      <c r="L9" s="7">
        <f>VLOOKUP($B9, Config!$A$4:$E$50, HLOOKUP(L$1, Config!$C$2:$AA$3, 2, FALSE)+2,FALSE)</f>
        <v>1</v>
      </c>
      <c r="M9" s="7">
        <f>VLOOKUP($B9, Config!$A$4:$E$50, HLOOKUP(M$1, Config!$C$2:$AA$3, 2, FALSE)+2,FALSE)</f>
        <v>0</v>
      </c>
      <c r="N9" s="7">
        <f>VLOOKUP($B9, Config!$A$4:$E$50, HLOOKUP(N$1, Config!$C$2:$AA$3, 2, FALSE)+2,FALSE)</f>
        <v>0</v>
      </c>
    </row>
    <row r="10" spans="1:14" x14ac:dyDescent="0.25">
      <c r="A10" s="176"/>
      <c r="B10" s="2" t="s">
        <v>57</v>
      </c>
      <c r="C10" s="2">
        <v>8</v>
      </c>
      <c r="D10" s="2">
        <v>1</v>
      </c>
      <c r="E10" s="14"/>
      <c r="F10" s="17" t="s">
        <v>363</v>
      </c>
      <c r="G10" s="8">
        <v>0</v>
      </c>
      <c r="H10" s="8">
        <v>0</v>
      </c>
      <c r="I10" s="17"/>
      <c r="J10" s="7"/>
      <c r="K10" s="7" t="s">
        <v>561</v>
      </c>
      <c r="L10" s="2"/>
      <c r="M10" s="2"/>
      <c r="N10" s="2"/>
    </row>
    <row r="11" spans="1:14" x14ac:dyDescent="0.25">
      <c r="A11" s="176"/>
      <c r="B11" s="4" t="s">
        <v>85</v>
      </c>
      <c r="C11" s="7">
        <v>9</v>
      </c>
      <c r="D11" s="7">
        <v>1</v>
      </c>
      <c r="E11" s="10" t="s">
        <v>364</v>
      </c>
      <c r="F11" s="17" t="s">
        <v>365</v>
      </c>
      <c r="G11" s="8">
        <v>0</v>
      </c>
      <c r="H11" s="8">
        <v>0</v>
      </c>
      <c r="I11" s="17"/>
      <c r="J11" s="7" t="s">
        <v>109</v>
      </c>
      <c r="K11" s="7" t="s">
        <v>583</v>
      </c>
      <c r="L11" s="4">
        <v>1</v>
      </c>
      <c r="M11" s="4">
        <v>1</v>
      </c>
      <c r="N11" s="4">
        <v>1</v>
      </c>
    </row>
    <row r="12" spans="1:14" x14ac:dyDescent="0.25">
      <c r="A12" s="176"/>
      <c r="B12" s="4" t="s">
        <v>85</v>
      </c>
      <c r="C12" s="7">
        <v>10</v>
      </c>
      <c r="D12" s="7">
        <v>1</v>
      </c>
      <c r="E12" s="10" t="s">
        <v>366</v>
      </c>
      <c r="F12" s="17" t="s">
        <v>367</v>
      </c>
      <c r="G12" s="8">
        <v>0</v>
      </c>
      <c r="H12" s="8">
        <v>0</v>
      </c>
      <c r="I12" s="17"/>
      <c r="J12" s="7" t="s">
        <v>109</v>
      </c>
      <c r="K12" s="7" t="s">
        <v>584</v>
      </c>
      <c r="L12" s="4">
        <v>1</v>
      </c>
      <c r="M12" s="4">
        <v>1</v>
      </c>
      <c r="N12" s="4">
        <v>1</v>
      </c>
    </row>
    <row r="13" spans="1:14" x14ac:dyDescent="0.25">
      <c r="A13" s="176"/>
      <c r="B13" s="4" t="s">
        <v>85</v>
      </c>
      <c r="C13" s="7">
        <v>11</v>
      </c>
      <c r="D13" s="7">
        <v>1</v>
      </c>
      <c r="E13" s="10" t="s">
        <v>368</v>
      </c>
      <c r="F13" s="17" t="s">
        <v>369</v>
      </c>
      <c r="G13" s="8">
        <v>0</v>
      </c>
      <c r="H13" s="8">
        <v>0</v>
      </c>
      <c r="I13" s="17"/>
      <c r="J13" s="7" t="s">
        <v>109</v>
      </c>
      <c r="K13" s="7" t="s">
        <v>585</v>
      </c>
      <c r="L13" s="4">
        <v>1</v>
      </c>
      <c r="M13" s="4">
        <v>1</v>
      </c>
      <c r="N13" s="4">
        <v>1</v>
      </c>
    </row>
    <row r="14" spans="1:14" x14ac:dyDescent="0.25">
      <c r="A14" s="176"/>
      <c r="B14" s="2" t="s">
        <v>57</v>
      </c>
      <c r="C14" s="2">
        <v>12</v>
      </c>
      <c r="D14" s="2">
        <v>4</v>
      </c>
      <c r="E14" s="14"/>
      <c r="F14" s="17" t="s">
        <v>370</v>
      </c>
      <c r="G14" s="8">
        <v>0</v>
      </c>
      <c r="H14" s="8">
        <v>0</v>
      </c>
      <c r="I14" s="17"/>
      <c r="J14" s="7"/>
      <c r="K14" s="7" t="s">
        <v>561</v>
      </c>
      <c r="L14" s="2"/>
      <c r="M14" s="2"/>
      <c r="N14" s="2"/>
    </row>
    <row r="15" spans="1:14" x14ac:dyDescent="0.25">
      <c r="A15" s="176"/>
      <c r="B15" s="4" t="s">
        <v>85</v>
      </c>
      <c r="C15" s="7">
        <v>13</v>
      </c>
      <c r="D15" s="7">
        <v>1</v>
      </c>
      <c r="E15" s="10" t="s">
        <v>371</v>
      </c>
      <c r="F15" s="17" t="s">
        <v>372</v>
      </c>
      <c r="G15" s="8">
        <v>0</v>
      </c>
      <c r="H15" s="8">
        <v>0</v>
      </c>
      <c r="I15" s="17"/>
      <c r="J15" s="7" t="s">
        <v>109</v>
      </c>
      <c r="K15" s="7" t="s">
        <v>586</v>
      </c>
      <c r="L15" s="4">
        <f>VLOOKUP($B15, Config!$A$4:$E$50, HLOOKUP(L$1, Config!$C$2:$AA$3, 2, FALSE)+2,FALSE)</f>
        <v>1</v>
      </c>
      <c r="M15" s="4">
        <f>VLOOKUP($B15, Config!$A$4:$E$50, HLOOKUP(M$1, Config!$C$2:$AA$3, 2, FALSE)+2,FALSE)</f>
        <v>1</v>
      </c>
      <c r="N15" s="4">
        <f>VLOOKUP($B15, Config!$A$4:$E$50, HLOOKUP(N$1, Config!$C$2:$AA$3, 2, FALSE)+2,FALSE)</f>
        <v>1</v>
      </c>
    </row>
    <row r="16" spans="1:14" x14ac:dyDescent="0.25">
      <c r="A16" s="176"/>
      <c r="B16" s="4" t="s">
        <v>85</v>
      </c>
      <c r="C16" s="7">
        <v>14</v>
      </c>
      <c r="D16" s="7">
        <v>1</v>
      </c>
      <c r="E16" s="10" t="s">
        <v>373</v>
      </c>
      <c r="F16" s="17" t="s">
        <v>374</v>
      </c>
      <c r="G16" s="8">
        <v>0</v>
      </c>
      <c r="H16" s="8">
        <v>0</v>
      </c>
      <c r="I16" s="17"/>
      <c r="J16" s="7" t="s">
        <v>109</v>
      </c>
      <c r="K16" s="7" t="s">
        <v>587</v>
      </c>
      <c r="L16" s="4">
        <f>VLOOKUP($B16, Config!$A$4:$E$50, HLOOKUP(L$1, Config!$C$2:$AA$3, 2, FALSE)+2,FALSE)</f>
        <v>1</v>
      </c>
      <c r="M16" s="4">
        <f>VLOOKUP($B16, Config!$A$4:$E$50, HLOOKUP(M$1, Config!$C$2:$AA$3, 2, FALSE)+2,FALSE)</f>
        <v>1</v>
      </c>
      <c r="N16" s="4">
        <f>VLOOKUP($B16, Config!$A$4:$E$50, HLOOKUP(N$1, Config!$C$2:$AA$3, 2, FALSE)+2,FALSE)</f>
        <v>1</v>
      </c>
    </row>
    <row r="17" spans="1:14" x14ac:dyDescent="0.25">
      <c r="A17" s="176"/>
      <c r="B17" s="2" t="s">
        <v>57</v>
      </c>
      <c r="C17" s="2">
        <v>18</v>
      </c>
      <c r="D17" s="2">
        <v>2</v>
      </c>
      <c r="E17" s="14"/>
      <c r="F17" s="17" t="s">
        <v>375</v>
      </c>
      <c r="G17" s="8">
        <v>0</v>
      </c>
      <c r="H17" s="8">
        <v>0</v>
      </c>
      <c r="I17" s="17"/>
      <c r="J17" s="7"/>
      <c r="K17" s="7" t="s">
        <v>561</v>
      </c>
      <c r="L17" s="2"/>
      <c r="M17" s="2"/>
      <c r="N17" s="2"/>
    </row>
    <row r="18" spans="1:14" x14ac:dyDescent="0.25">
      <c r="A18" s="176"/>
      <c r="B18" s="4" t="s">
        <v>85</v>
      </c>
      <c r="C18" s="7">
        <v>20</v>
      </c>
      <c r="D18" s="7">
        <v>1</v>
      </c>
      <c r="E18" s="10" t="s">
        <v>376</v>
      </c>
      <c r="F18" s="17" t="s">
        <v>377</v>
      </c>
      <c r="G18" s="8">
        <v>0</v>
      </c>
      <c r="H18" s="8">
        <v>0</v>
      </c>
      <c r="I18" s="17"/>
      <c r="J18" s="7" t="s">
        <v>109</v>
      </c>
      <c r="K18" s="7" t="s">
        <v>588</v>
      </c>
      <c r="L18" s="4">
        <f>VLOOKUP($B18, Config!$A$4:$E$50, HLOOKUP(L$1, Config!$C$2:$AA$3, 2, FALSE)+2,FALSE)</f>
        <v>1</v>
      </c>
      <c r="M18" s="4">
        <f>VLOOKUP($B18, Config!$A$4:$E$50, HLOOKUP(M$1, Config!$C$2:$AA$3, 2, FALSE)+2,FALSE)</f>
        <v>1</v>
      </c>
      <c r="N18" s="4">
        <f>VLOOKUP($B18, Config!$A$4:$E$50, HLOOKUP(N$1, Config!$C$2:$AA$3, 2, FALSE)+2,FALSE)</f>
        <v>1</v>
      </c>
    </row>
    <row r="19" spans="1:14" x14ac:dyDescent="0.25">
      <c r="A19" s="176"/>
      <c r="B19" s="4" t="s">
        <v>85</v>
      </c>
      <c r="C19" s="7">
        <v>21</v>
      </c>
      <c r="D19" s="7">
        <v>1</v>
      </c>
      <c r="E19" s="10" t="s">
        <v>378</v>
      </c>
      <c r="F19" s="17" t="s">
        <v>379</v>
      </c>
      <c r="G19" s="8">
        <v>0</v>
      </c>
      <c r="H19" s="8">
        <v>0</v>
      </c>
      <c r="I19" s="17"/>
      <c r="J19" s="7" t="s">
        <v>109</v>
      </c>
      <c r="K19" s="7" t="s">
        <v>589</v>
      </c>
      <c r="L19" s="4">
        <v>1</v>
      </c>
      <c r="M19" s="4">
        <v>1</v>
      </c>
      <c r="N19" s="4">
        <v>1</v>
      </c>
    </row>
    <row r="20" spans="1:14" x14ac:dyDescent="0.25">
      <c r="A20" s="176"/>
      <c r="B20" s="2" t="s">
        <v>57</v>
      </c>
      <c r="C20" s="2">
        <v>22</v>
      </c>
      <c r="D20" s="2">
        <v>7</v>
      </c>
      <c r="E20" s="14"/>
      <c r="F20" s="17" t="s">
        <v>380</v>
      </c>
      <c r="G20" s="8">
        <v>0</v>
      </c>
      <c r="H20" s="8">
        <v>0</v>
      </c>
      <c r="I20" s="17"/>
      <c r="J20" s="7"/>
      <c r="K20" s="7" t="s">
        <v>561</v>
      </c>
      <c r="L20" s="2"/>
      <c r="M20" s="2"/>
      <c r="N20" s="2"/>
    </row>
    <row r="21" spans="1:14" x14ac:dyDescent="0.25">
      <c r="A21" s="176"/>
      <c r="B21" s="4" t="s">
        <v>85</v>
      </c>
      <c r="C21" s="7">
        <v>29</v>
      </c>
      <c r="D21" s="7">
        <v>1</v>
      </c>
      <c r="E21" s="10" t="s">
        <v>381</v>
      </c>
      <c r="F21" s="17" t="s">
        <v>382</v>
      </c>
      <c r="G21" s="8">
        <v>0</v>
      </c>
      <c r="H21" s="8">
        <v>0</v>
      </c>
      <c r="I21" s="17"/>
      <c r="J21" s="7" t="s">
        <v>109</v>
      </c>
      <c r="K21" s="7" t="s">
        <v>590</v>
      </c>
      <c r="L21" s="4">
        <v>1</v>
      </c>
      <c r="M21" s="4">
        <v>1</v>
      </c>
      <c r="N21" s="4">
        <v>1</v>
      </c>
    </row>
    <row r="22" spans="1:14" x14ac:dyDescent="0.25">
      <c r="A22" s="176"/>
      <c r="B22" s="7" t="s">
        <v>303</v>
      </c>
      <c r="C22" s="7">
        <v>30</v>
      </c>
      <c r="D22" s="7">
        <v>1</v>
      </c>
      <c r="E22" s="10" t="s">
        <v>383</v>
      </c>
      <c r="F22" s="17" t="s">
        <v>384</v>
      </c>
      <c r="G22" s="8">
        <v>0</v>
      </c>
      <c r="H22" s="8">
        <v>0</v>
      </c>
      <c r="I22" s="17"/>
      <c r="J22" s="7" t="s">
        <v>109</v>
      </c>
      <c r="K22" s="7" t="s">
        <v>591</v>
      </c>
      <c r="L22" s="7">
        <f>VLOOKUP($B22, Config!$A$4:$E$50, HLOOKUP(L$1, Config!$C$2:$AA$3, 2, FALSE)+2,FALSE)</f>
        <v>1</v>
      </c>
      <c r="M22" s="7">
        <f>VLOOKUP($B22, Config!$A$4:$E$50, HLOOKUP(M$1, Config!$C$2:$AA$3, 2, FALSE)+2,FALSE)</f>
        <v>1</v>
      </c>
      <c r="N22" s="7">
        <f>VLOOKUP($B22, Config!$A$4:$E$50, HLOOKUP(N$1, Config!$C$2:$AA$3, 2, FALSE)+2,FALSE)</f>
        <v>0</v>
      </c>
    </row>
    <row r="23" spans="1:14" x14ac:dyDescent="0.25">
      <c r="A23" s="177"/>
      <c r="B23" s="7" t="s">
        <v>259</v>
      </c>
      <c r="C23" s="7">
        <v>31</v>
      </c>
      <c r="D23" s="7">
        <v>1</v>
      </c>
      <c r="E23" s="9" t="s">
        <v>385</v>
      </c>
      <c r="F23" s="17" t="s">
        <v>386</v>
      </c>
      <c r="G23" s="8">
        <v>0</v>
      </c>
      <c r="H23" s="8">
        <v>0</v>
      </c>
      <c r="I23" s="17"/>
      <c r="J23" s="7" t="s">
        <v>109</v>
      </c>
      <c r="K23" s="7" t="s">
        <v>592</v>
      </c>
      <c r="L23" s="7">
        <f>VLOOKUP($B23, Config!$A$4:$E$50, HLOOKUP(L$1, Config!$C$2:$AA$3, 2, FALSE)+2,FALSE)</f>
        <v>0</v>
      </c>
      <c r="M23" s="7">
        <f>VLOOKUP($B23, Config!$A$4:$E$50, HLOOKUP(M$1, Config!$C$2:$AA$3, 2, FALSE)+2,FALSE)</f>
        <v>0</v>
      </c>
      <c r="N23" s="7">
        <f>VLOOKUP($B23, Config!$A$4:$E$50, HLOOKUP(N$1, Config!$C$2:$AA$3, 2, FALSE)+2,FALSE)</f>
        <v>0</v>
      </c>
    </row>
    <row r="24" spans="1:14" x14ac:dyDescent="0.25">
      <c r="A24" s="121" t="s">
        <v>50</v>
      </c>
      <c r="B24" s="17" t="s">
        <v>517</v>
      </c>
      <c r="C24" s="7">
        <v>0</v>
      </c>
      <c r="D24" s="7">
        <v>1</v>
      </c>
      <c r="E24" s="9" t="s">
        <v>387</v>
      </c>
      <c r="F24" s="17" t="s">
        <v>388</v>
      </c>
      <c r="G24" s="8">
        <v>0</v>
      </c>
      <c r="H24" s="8">
        <v>0</v>
      </c>
      <c r="I24" s="17"/>
      <c r="J24" s="7" t="s">
        <v>109</v>
      </c>
      <c r="K24" s="7" t="s">
        <v>593</v>
      </c>
      <c r="L24" s="7">
        <f>VLOOKUP($B24, Config!$A$4:$E$50, HLOOKUP(L$1, Config!$C$2:$AA$3, 2, FALSE)+2,FALSE)</f>
        <v>1</v>
      </c>
      <c r="M24" s="7">
        <f>VLOOKUP($B24, Config!$A$4:$E$50, HLOOKUP(M$1, Config!$C$2:$AA$3, 2, FALSE)+2,FALSE)</f>
        <v>0</v>
      </c>
      <c r="N24" s="7">
        <f>VLOOKUP($B24, Config!$A$4:$E$50, HLOOKUP(N$1, Config!$C$2:$AA$3, 2, FALSE)+2,FALSE)</f>
        <v>0</v>
      </c>
    </row>
    <row r="25" spans="1:14" x14ac:dyDescent="0.25">
      <c r="A25" s="143"/>
      <c r="B25" s="17" t="s">
        <v>517</v>
      </c>
      <c r="C25" s="7">
        <v>1</v>
      </c>
      <c r="D25" s="7">
        <v>1</v>
      </c>
      <c r="E25" s="12" t="s">
        <v>389</v>
      </c>
      <c r="F25" s="17" t="s">
        <v>390</v>
      </c>
      <c r="G25" s="8">
        <v>0</v>
      </c>
      <c r="H25" s="8">
        <v>0</v>
      </c>
      <c r="I25" s="17"/>
      <c r="J25" s="7" t="s">
        <v>109</v>
      </c>
      <c r="K25" s="7" t="s">
        <v>594</v>
      </c>
      <c r="L25" s="7">
        <f>VLOOKUP($B25, Config!$A$4:$E$50, HLOOKUP(L$1, Config!$C$2:$AA$3, 2, FALSE)+2,FALSE)</f>
        <v>1</v>
      </c>
      <c r="M25" s="7">
        <f>VLOOKUP($B25, Config!$A$4:$E$50, HLOOKUP(M$1, Config!$C$2:$AA$3, 2, FALSE)+2,FALSE)</f>
        <v>0</v>
      </c>
      <c r="N25" s="7">
        <f>VLOOKUP($B25, Config!$A$4:$E$50, HLOOKUP(N$1, Config!$C$2:$AA$3, 2, FALSE)+2,FALSE)</f>
        <v>0</v>
      </c>
    </row>
    <row r="26" spans="1:14" x14ac:dyDescent="0.25">
      <c r="A26" s="143"/>
      <c r="B26" s="17" t="s">
        <v>517</v>
      </c>
      <c r="C26" s="7">
        <v>2</v>
      </c>
      <c r="D26" s="7">
        <v>1</v>
      </c>
      <c r="E26" s="12" t="s">
        <v>391</v>
      </c>
      <c r="F26" s="17" t="s">
        <v>392</v>
      </c>
      <c r="G26" s="8">
        <v>0</v>
      </c>
      <c r="H26" s="8">
        <v>0</v>
      </c>
      <c r="I26" s="17"/>
      <c r="J26" s="7" t="s">
        <v>109</v>
      </c>
      <c r="K26" s="7" t="s">
        <v>595</v>
      </c>
      <c r="L26" s="7">
        <f>VLOOKUP($B26, Config!$A$4:$E$50, HLOOKUP(L$1, Config!$C$2:$AA$3, 2, FALSE)+2,FALSE)</f>
        <v>1</v>
      </c>
      <c r="M26" s="7">
        <f>VLOOKUP($B26, Config!$A$4:$E$50, HLOOKUP(M$1, Config!$C$2:$AA$3, 2, FALSE)+2,FALSE)</f>
        <v>0</v>
      </c>
      <c r="N26" s="7">
        <f>VLOOKUP($B26, Config!$A$4:$E$50, HLOOKUP(N$1, Config!$C$2:$AA$3, 2, FALSE)+2,FALSE)</f>
        <v>0</v>
      </c>
    </row>
    <row r="27" spans="1:14" x14ac:dyDescent="0.25">
      <c r="A27" s="143"/>
      <c r="B27" s="17" t="s">
        <v>517</v>
      </c>
      <c r="C27" s="7">
        <v>3</v>
      </c>
      <c r="D27" s="7">
        <v>1</v>
      </c>
      <c r="E27" s="12" t="s">
        <v>393</v>
      </c>
      <c r="F27" s="17" t="s">
        <v>394</v>
      </c>
      <c r="G27" s="8">
        <v>0</v>
      </c>
      <c r="H27" s="8">
        <v>0</v>
      </c>
      <c r="I27" s="17"/>
      <c r="J27" s="7" t="s">
        <v>109</v>
      </c>
      <c r="K27" s="7" t="s">
        <v>596</v>
      </c>
      <c r="L27" s="7">
        <f>VLOOKUP($B27, Config!$A$4:$E$50, HLOOKUP(L$1, Config!$C$2:$AA$3, 2, FALSE)+2,FALSE)</f>
        <v>1</v>
      </c>
      <c r="M27" s="7">
        <f>VLOOKUP($B27, Config!$A$4:$E$50, HLOOKUP(M$1, Config!$C$2:$AA$3, 2, FALSE)+2,FALSE)</f>
        <v>0</v>
      </c>
      <c r="N27" s="7">
        <f>VLOOKUP($B27, Config!$A$4:$E$50, HLOOKUP(N$1, Config!$C$2:$AA$3, 2, FALSE)+2,FALSE)</f>
        <v>0</v>
      </c>
    </row>
    <row r="28" spans="1:14" x14ac:dyDescent="0.25">
      <c r="A28" s="143"/>
      <c r="B28" s="17" t="s">
        <v>517</v>
      </c>
      <c r="C28" s="7">
        <v>4</v>
      </c>
      <c r="D28" s="7">
        <v>1</v>
      </c>
      <c r="E28" s="12" t="s">
        <v>395</v>
      </c>
      <c r="F28" s="17" t="s">
        <v>396</v>
      </c>
      <c r="G28" s="8">
        <v>0</v>
      </c>
      <c r="H28" s="8">
        <v>0</v>
      </c>
      <c r="I28" s="17"/>
      <c r="J28" s="7" t="s">
        <v>109</v>
      </c>
      <c r="K28" s="7" t="s">
        <v>597</v>
      </c>
      <c r="L28" s="7">
        <f>VLOOKUP($B28, Config!$A$4:$E$50, HLOOKUP(L$1, Config!$C$2:$AA$3, 2, FALSE)+2,FALSE)</f>
        <v>1</v>
      </c>
      <c r="M28" s="7">
        <f>VLOOKUP($B28, Config!$A$4:$E$50, HLOOKUP(M$1, Config!$C$2:$AA$3, 2, FALSE)+2,FALSE)</f>
        <v>0</v>
      </c>
      <c r="N28" s="7">
        <f>VLOOKUP($B28, Config!$A$4:$E$50, HLOOKUP(N$1, Config!$C$2:$AA$3, 2, FALSE)+2,FALSE)</f>
        <v>0</v>
      </c>
    </row>
    <row r="29" spans="1:14" x14ac:dyDescent="0.25">
      <c r="A29" s="143"/>
      <c r="B29" s="17" t="s">
        <v>517</v>
      </c>
      <c r="C29" s="7">
        <v>5</v>
      </c>
      <c r="D29" s="7">
        <v>1</v>
      </c>
      <c r="E29" s="12" t="s">
        <v>397</v>
      </c>
      <c r="F29" s="17" t="s">
        <v>398</v>
      </c>
      <c r="G29" s="8">
        <v>0</v>
      </c>
      <c r="H29" s="8">
        <v>0</v>
      </c>
      <c r="I29" s="17"/>
      <c r="J29" s="7" t="s">
        <v>109</v>
      </c>
      <c r="K29" s="7" t="s">
        <v>598</v>
      </c>
      <c r="L29" s="7">
        <f>VLOOKUP($B29, Config!$A$4:$E$50, HLOOKUP(L$1, Config!$C$2:$AA$3, 2, FALSE)+2,FALSE)</f>
        <v>1</v>
      </c>
      <c r="M29" s="7">
        <f>VLOOKUP($B29, Config!$A$4:$E$50, HLOOKUP(M$1, Config!$C$2:$AA$3, 2, FALSE)+2,FALSE)</f>
        <v>0</v>
      </c>
      <c r="N29" s="7">
        <f>VLOOKUP($B29, Config!$A$4:$E$50, HLOOKUP(N$1, Config!$C$2:$AA$3, 2, FALSE)+2,FALSE)</f>
        <v>0</v>
      </c>
    </row>
    <row r="30" spans="1:14" x14ac:dyDescent="0.25">
      <c r="A30" s="143"/>
      <c r="B30" s="17" t="s">
        <v>517</v>
      </c>
      <c r="C30" s="7">
        <v>6</v>
      </c>
      <c r="D30" s="7">
        <v>1</v>
      </c>
      <c r="E30" s="12" t="s">
        <v>399</v>
      </c>
      <c r="F30" s="17" t="s">
        <v>400</v>
      </c>
      <c r="G30" s="8">
        <v>0</v>
      </c>
      <c r="H30" s="8">
        <v>0</v>
      </c>
      <c r="I30" s="17"/>
      <c r="J30" s="7" t="s">
        <v>109</v>
      </c>
      <c r="K30" s="7" t="s">
        <v>599</v>
      </c>
      <c r="L30" s="7">
        <f>VLOOKUP($B30, Config!$A$4:$E$50, HLOOKUP(L$1, Config!$C$2:$AA$3, 2, FALSE)+2,FALSE)</f>
        <v>1</v>
      </c>
      <c r="M30" s="7">
        <f>VLOOKUP($B30, Config!$A$4:$E$50, HLOOKUP(M$1, Config!$C$2:$AA$3, 2, FALSE)+2,FALSE)</f>
        <v>0</v>
      </c>
      <c r="N30" s="7">
        <f>VLOOKUP($B30, Config!$A$4:$E$50, HLOOKUP(N$1, Config!$C$2:$AA$3, 2, FALSE)+2,FALSE)</f>
        <v>0</v>
      </c>
    </row>
    <row r="31" spans="1:14" x14ac:dyDescent="0.25">
      <c r="A31" s="143"/>
      <c r="B31" s="17" t="s">
        <v>517</v>
      </c>
      <c r="C31" s="7">
        <v>7</v>
      </c>
      <c r="D31" s="7">
        <v>1</v>
      </c>
      <c r="E31" s="12" t="s">
        <v>401</v>
      </c>
      <c r="F31" s="17" t="s">
        <v>402</v>
      </c>
      <c r="G31" s="8">
        <v>0</v>
      </c>
      <c r="H31" s="8">
        <v>0</v>
      </c>
      <c r="I31" s="17"/>
      <c r="J31" s="7" t="s">
        <v>109</v>
      </c>
      <c r="K31" s="7" t="s">
        <v>600</v>
      </c>
      <c r="L31" s="7">
        <f>VLOOKUP($B31, Config!$A$4:$E$50, HLOOKUP(L$1, Config!$C$2:$AA$3, 2, FALSE)+2,FALSE)</f>
        <v>1</v>
      </c>
      <c r="M31" s="7">
        <f>VLOOKUP($B31, Config!$A$4:$E$50, HLOOKUP(M$1, Config!$C$2:$AA$3, 2, FALSE)+2,FALSE)</f>
        <v>0</v>
      </c>
      <c r="N31" s="7">
        <f>VLOOKUP($B31, Config!$A$4:$E$50, HLOOKUP(N$1, Config!$C$2:$AA$3, 2, FALSE)+2,FALSE)</f>
        <v>0</v>
      </c>
    </row>
    <row r="32" spans="1:14" x14ac:dyDescent="0.25">
      <c r="A32" s="143"/>
      <c r="B32" s="17" t="s">
        <v>517</v>
      </c>
      <c r="C32" s="7">
        <v>8</v>
      </c>
      <c r="D32" s="7">
        <v>1</v>
      </c>
      <c r="E32" s="12" t="s">
        <v>403</v>
      </c>
      <c r="F32" s="17" t="s">
        <v>404</v>
      </c>
      <c r="G32" s="8">
        <v>0</v>
      </c>
      <c r="H32" s="8">
        <v>0</v>
      </c>
      <c r="I32" s="17"/>
      <c r="J32" s="7" t="s">
        <v>109</v>
      </c>
      <c r="K32" s="7" t="s">
        <v>601</v>
      </c>
      <c r="L32" s="7">
        <f>VLOOKUP($B32, Config!$A$4:$E$50, HLOOKUP(L$1, Config!$C$2:$AA$3, 2, FALSE)+2,FALSE)</f>
        <v>1</v>
      </c>
      <c r="M32" s="7">
        <f>VLOOKUP($B32, Config!$A$4:$E$50, HLOOKUP(M$1, Config!$C$2:$AA$3, 2, FALSE)+2,FALSE)</f>
        <v>0</v>
      </c>
      <c r="N32" s="7">
        <f>VLOOKUP($B32, Config!$A$4:$E$50, HLOOKUP(N$1, Config!$C$2:$AA$3, 2, FALSE)+2,FALSE)</f>
        <v>0</v>
      </c>
    </row>
    <row r="33" spans="1:14" x14ac:dyDescent="0.25">
      <c r="A33" s="143"/>
      <c r="B33" s="17" t="s">
        <v>517</v>
      </c>
      <c r="C33" s="7">
        <v>9</v>
      </c>
      <c r="D33" s="7">
        <v>1</v>
      </c>
      <c r="E33" s="12" t="s">
        <v>405</v>
      </c>
      <c r="F33" s="17" t="s">
        <v>406</v>
      </c>
      <c r="G33" s="8">
        <v>0</v>
      </c>
      <c r="H33" s="8">
        <v>0</v>
      </c>
      <c r="I33" s="17"/>
      <c r="J33" s="7" t="s">
        <v>109</v>
      </c>
      <c r="K33" s="7" t="s">
        <v>602</v>
      </c>
      <c r="L33" s="7">
        <f>VLOOKUP($B33, Config!$A$4:$E$50, HLOOKUP(L$1, Config!$C$2:$AA$3, 2, FALSE)+2,FALSE)</f>
        <v>1</v>
      </c>
      <c r="M33" s="7">
        <f>VLOOKUP($B33, Config!$A$4:$E$50, HLOOKUP(M$1, Config!$C$2:$AA$3, 2, FALSE)+2,FALSE)</f>
        <v>0</v>
      </c>
      <c r="N33" s="7">
        <f>VLOOKUP($B33, Config!$A$4:$E$50, HLOOKUP(N$1, Config!$C$2:$AA$3, 2, FALSE)+2,FALSE)</f>
        <v>0</v>
      </c>
    </row>
    <row r="34" spans="1:14" x14ac:dyDescent="0.25">
      <c r="A34" s="143"/>
      <c r="B34" s="2" t="s">
        <v>57</v>
      </c>
      <c r="C34" s="2">
        <v>10</v>
      </c>
      <c r="D34" s="2">
        <v>1</v>
      </c>
      <c r="E34" s="13"/>
      <c r="F34" s="17" t="s">
        <v>407</v>
      </c>
      <c r="G34" s="8">
        <v>0</v>
      </c>
      <c r="H34" s="8">
        <v>0</v>
      </c>
      <c r="I34" s="17"/>
      <c r="J34" s="7"/>
      <c r="K34" s="7" t="s">
        <v>561</v>
      </c>
      <c r="L34" s="2"/>
      <c r="M34" s="2"/>
      <c r="N34" s="2"/>
    </row>
    <row r="35" spans="1:14" x14ac:dyDescent="0.25">
      <c r="A35" s="143"/>
      <c r="B35" s="2" t="s">
        <v>57</v>
      </c>
      <c r="C35" s="2">
        <v>11</v>
      </c>
      <c r="D35" s="2">
        <v>1</v>
      </c>
      <c r="E35" s="13"/>
      <c r="F35" s="17" t="s">
        <v>408</v>
      </c>
      <c r="G35" s="8">
        <v>0</v>
      </c>
      <c r="H35" s="8">
        <v>0</v>
      </c>
      <c r="I35" s="17"/>
      <c r="J35" s="7"/>
      <c r="K35" s="7" t="s">
        <v>561</v>
      </c>
      <c r="L35" s="2"/>
      <c r="M35" s="2"/>
      <c r="N35" s="2"/>
    </row>
    <row r="36" spans="1:14" x14ac:dyDescent="0.25">
      <c r="A36" s="143"/>
      <c r="B36" s="2" t="s">
        <v>57</v>
      </c>
      <c r="C36" s="2">
        <v>12</v>
      </c>
      <c r="D36" s="2">
        <v>1</v>
      </c>
      <c r="E36" s="13"/>
      <c r="F36" s="17" t="s">
        <v>409</v>
      </c>
      <c r="G36" s="8">
        <v>0</v>
      </c>
      <c r="H36" s="8">
        <v>0</v>
      </c>
      <c r="I36" s="17"/>
      <c r="J36" s="7"/>
      <c r="K36" s="7" t="s">
        <v>561</v>
      </c>
      <c r="L36" s="2"/>
      <c r="M36" s="2"/>
      <c r="N36" s="2"/>
    </row>
    <row r="37" spans="1:14" x14ac:dyDescent="0.25">
      <c r="A37" s="143"/>
      <c r="B37" s="2" t="s">
        <v>57</v>
      </c>
      <c r="C37" s="2">
        <v>13</v>
      </c>
      <c r="D37" s="2">
        <v>1</v>
      </c>
      <c r="E37" s="13"/>
      <c r="F37" s="17" t="s">
        <v>410</v>
      </c>
      <c r="G37" s="8">
        <v>0</v>
      </c>
      <c r="H37" s="8">
        <v>0</v>
      </c>
      <c r="I37" s="17"/>
      <c r="J37" s="7"/>
      <c r="K37" s="7" t="s">
        <v>561</v>
      </c>
      <c r="L37" s="2"/>
      <c r="M37" s="2"/>
      <c r="N37" s="2"/>
    </row>
    <row r="38" spans="1:14" x14ac:dyDescent="0.25">
      <c r="A38" s="143"/>
      <c r="B38" s="2" t="s">
        <v>57</v>
      </c>
      <c r="C38" s="2">
        <v>14</v>
      </c>
      <c r="D38" s="2">
        <v>1</v>
      </c>
      <c r="E38" s="13"/>
      <c r="F38" s="17" t="s">
        <v>411</v>
      </c>
      <c r="G38" s="8">
        <v>0</v>
      </c>
      <c r="H38" s="8">
        <v>0</v>
      </c>
      <c r="I38" s="17"/>
      <c r="J38" s="7"/>
      <c r="K38" s="7" t="s">
        <v>561</v>
      </c>
      <c r="L38" s="2"/>
      <c r="M38" s="2"/>
      <c r="N38" s="2"/>
    </row>
    <row r="39" spans="1:14" x14ac:dyDescent="0.25">
      <c r="A39" s="143"/>
      <c r="B39" s="2" t="s">
        <v>57</v>
      </c>
      <c r="C39" s="2">
        <v>15</v>
      </c>
      <c r="D39" s="2">
        <v>1</v>
      </c>
      <c r="E39" s="13"/>
      <c r="F39" s="17" t="s">
        <v>412</v>
      </c>
      <c r="G39" s="8">
        <v>0</v>
      </c>
      <c r="H39" s="8">
        <v>0</v>
      </c>
      <c r="I39" s="17"/>
      <c r="J39" s="7"/>
      <c r="K39" s="7" t="s">
        <v>561</v>
      </c>
      <c r="L39" s="2"/>
      <c r="M39" s="2"/>
      <c r="N39" s="2"/>
    </row>
    <row r="40" spans="1:14" x14ac:dyDescent="0.25">
      <c r="A40" s="143"/>
      <c r="B40" s="17" t="s">
        <v>517</v>
      </c>
      <c r="C40" s="7">
        <v>16</v>
      </c>
      <c r="D40" s="7">
        <v>1</v>
      </c>
      <c r="E40" s="12" t="s">
        <v>413</v>
      </c>
      <c r="F40" s="17" t="s">
        <v>414</v>
      </c>
      <c r="G40" s="8">
        <v>0</v>
      </c>
      <c r="H40" s="8">
        <v>0</v>
      </c>
      <c r="I40" s="17"/>
      <c r="J40" s="7" t="s">
        <v>109</v>
      </c>
      <c r="K40" s="7" t="s">
        <v>603</v>
      </c>
      <c r="L40" s="7">
        <f>VLOOKUP($B40, Config!$A$4:$E$50, HLOOKUP(L$1, Config!$C$2:$AA$3, 2, FALSE)+2,FALSE)</f>
        <v>1</v>
      </c>
      <c r="M40" s="7">
        <f>VLOOKUP($B40, Config!$A$4:$E$50, HLOOKUP(M$1, Config!$C$2:$AA$3, 2, FALSE)+2,FALSE)</f>
        <v>0</v>
      </c>
      <c r="N40" s="7">
        <f>VLOOKUP($B40, Config!$A$4:$E$50, HLOOKUP(N$1, Config!$C$2:$AA$3, 2, FALSE)+2,FALSE)</f>
        <v>0</v>
      </c>
    </row>
    <row r="41" spans="1:14" x14ac:dyDescent="0.25">
      <c r="A41" s="143"/>
      <c r="B41" s="2" t="s">
        <v>57</v>
      </c>
      <c r="C41" s="2">
        <v>17</v>
      </c>
      <c r="D41" s="2">
        <v>1</v>
      </c>
      <c r="E41" s="13"/>
      <c r="F41" s="17" t="s">
        <v>415</v>
      </c>
      <c r="G41" s="8">
        <v>0</v>
      </c>
      <c r="H41" s="8">
        <v>0</v>
      </c>
      <c r="I41" s="17"/>
      <c r="J41" s="7"/>
      <c r="K41" s="7" t="s">
        <v>561</v>
      </c>
      <c r="L41" s="2"/>
      <c r="M41" s="2"/>
      <c r="N41" s="2"/>
    </row>
    <row r="42" spans="1:14" x14ac:dyDescent="0.25">
      <c r="A42" s="143"/>
      <c r="B42" s="2" t="s">
        <v>57</v>
      </c>
      <c r="C42" s="2">
        <v>18</v>
      </c>
      <c r="D42" s="2">
        <v>1</v>
      </c>
      <c r="E42" s="13"/>
      <c r="F42" s="17" t="s">
        <v>416</v>
      </c>
      <c r="G42" s="8">
        <v>0</v>
      </c>
      <c r="H42" s="8">
        <v>0</v>
      </c>
      <c r="I42" s="17"/>
      <c r="J42" s="7"/>
      <c r="K42" s="7" t="s">
        <v>561</v>
      </c>
      <c r="L42" s="2"/>
      <c r="M42" s="2"/>
      <c r="N42" s="2"/>
    </row>
    <row r="43" spans="1:14" x14ac:dyDescent="0.25">
      <c r="A43" s="143"/>
      <c r="B43" s="17" t="s">
        <v>517</v>
      </c>
      <c r="C43" s="7">
        <v>19</v>
      </c>
      <c r="D43" s="7">
        <v>1</v>
      </c>
      <c r="E43" s="12" t="s">
        <v>417</v>
      </c>
      <c r="F43" s="17" t="s">
        <v>418</v>
      </c>
      <c r="G43" s="8">
        <v>0</v>
      </c>
      <c r="H43" s="8">
        <v>0</v>
      </c>
      <c r="I43" s="17"/>
      <c r="J43" s="7" t="s">
        <v>109</v>
      </c>
      <c r="K43" s="7" t="s">
        <v>604</v>
      </c>
      <c r="L43" s="7">
        <f>VLOOKUP($B43, Config!$A$4:$E$50, HLOOKUP(L$1, Config!$C$2:$AA$3, 2, FALSE)+2,FALSE)</f>
        <v>1</v>
      </c>
      <c r="M43" s="7">
        <f>VLOOKUP($B43, Config!$A$4:$E$50, HLOOKUP(M$1, Config!$C$2:$AA$3, 2, FALSE)+2,FALSE)</f>
        <v>0</v>
      </c>
      <c r="N43" s="7">
        <f>VLOOKUP($B43, Config!$A$4:$E$50, HLOOKUP(N$1, Config!$C$2:$AA$3, 2, FALSE)+2,FALSE)</f>
        <v>0</v>
      </c>
    </row>
    <row r="44" spans="1:14" x14ac:dyDescent="0.25">
      <c r="A44" s="143"/>
      <c r="B44" s="2" t="s">
        <v>57</v>
      </c>
      <c r="C44" s="2">
        <v>20</v>
      </c>
      <c r="D44" s="2">
        <v>1</v>
      </c>
      <c r="E44" s="13"/>
      <c r="F44" s="17" t="s">
        <v>419</v>
      </c>
      <c r="G44" s="8">
        <v>0</v>
      </c>
      <c r="H44" s="8">
        <v>0</v>
      </c>
      <c r="I44" s="17"/>
      <c r="J44" s="7"/>
      <c r="K44" s="7" t="s">
        <v>561</v>
      </c>
      <c r="L44" s="2"/>
      <c r="M44" s="2"/>
      <c r="N44" s="2"/>
    </row>
    <row r="45" spans="1:14" x14ac:dyDescent="0.25">
      <c r="A45" s="143"/>
      <c r="B45" s="2" t="s">
        <v>57</v>
      </c>
      <c r="C45" s="2">
        <v>21</v>
      </c>
      <c r="D45" s="2">
        <v>1</v>
      </c>
      <c r="E45" s="13"/>
      <c r="F45" s="17" t="s">
        <v>420</v>
      </c>
      <c r="G45" s="8">
        <v>0</v>
      </c>
      <c r="H45" s="8">
        <v>0</v>
      </c>
      <c r="I45" s="17"/>
      <c r="J45" s="7"/>
      <c r="K45" s="7" t="s">
        <v>561</v>
      </c>
      <c r="L45" s="2"/>
      <c r="M45" s="2"/>
      <c r="N45" s="2"/>
    </row>
    <row r="46" spans="1:14" x14ac:dyDescent="0.25">
      <c r="A46" s="143"/>
      <c r="B46" s="2" t="s">
        <v>57</v>
      </c>
      <c r="C46" s="2">
        <v>22</v>
      </c>
      <c r="D46" s="2">
        <v>1</v>
      </c>
      <c r="E46" s="13"/>
      <c r="F46" s="17" t="s">
        <v>421</v>
      </c>
      <c r="G46" s="8">
        <v>0</v>
      </c>
      <c r="H46" s="8">
        <v>0</v>
      </c>
      <c r="I46" s="17"/>
      <c r="J46" s="7"/>
      <c r="K46" s="7" t="s">
        <v>561</v>
      </c>
      <c r="L46" s="2"/>
      <c r="M46" s="2"/>
      <c r="N46" s="2"/>
    </row>
    <row r="47" spans="1:14" x14ac:dyDescent="0.25">
      <c r="A47" s="143"/>
      <c r="B47" s="2" t="s">
        <v>57</v>
      </c>
      <c r="C47" s="2">
        <v>23</v>
      </c>
      <c r="D47" s="2">
        <v>1</v>
      </c>
      <c r="E47" s="13"/>
      <c r="F47" s="17" t="s">
        <v>422</v>
      </c>
      <c r="G47" s="8">
        <v>0</v>
      </c>
      <c r="H47" s="8">
        <v>0</v>
      </c>
      <c r="I47" s="17"/>
      <c r="J47" s="7"/>
      <c r="K47" s="7" t="s">
        <v>561</v>
      </c>
      <c r="L47" s="2"/>
      <c r="M47" s="2"/>
      <c r="N47" s="2"/>
    </row>
    <row r="48" spans="1:14" x14ac:dyDescent="0.25">
      <c r="A48" s="143"/>
      <c r="B48" s="4" t="s">
        <v>85</v>
      </c>
      <c r="C48" s="7">
        <v>24</v>
      </c>
      <c r="D48" s="7">
        <v>1</v>
      </c>
      <c r="E48" s="12" t="s">
        <v>423</v>
      </c>
      <c r="F48" s="17" t="s">
        <v>424</v>
      </c>
      <c r="G48" s="8">
        <v>0</v>
      </c>
      <c r="H48" s="8">
        <v>0</v>
      </c>
      <c r="I48" s="17"/>
      <c r="J48" s="7" t="s">
        <v>109</v>
      </c>
      <c r="K48" s="7" t="s">
        <v>605</v>
      </c>
      <c r="L48" s="4">
        <f>VLOOKUP($B48, Config!$A$4:$E$50, HLOOKUP(L$1, Config!$C$2:$AA$3, 2, FALSE)+2,FALSE)</f>
        <v>1</v>
      </c>
      <c r="M48" s="4">
        <f>VLOOKUP($B48, Config!$A$4:$E$50, HLOOKUP(M$1, Config!$C$2:$AA$3, 2, FALSE)+2,FALSE)</f>
        <v>1</v>
      </c>
      <c r="N48" s="4">
        <f>VLOOKUP($B48, Config!$A$4:$E$50, HLOOKUP(N$1, Config!$C$2:$AA$3, 2, FALSE)+2,FALSE)</f>
        <v>1</v>
      </c>
    </row>
    <row r="49" spans="1:14" x14ac:dyDescent="0.25">
      <c r="A49" s="143"/>
      <c r="B49" s="4" t="s">
        <v>85</v>
      </c>
      <c r="C49" s="7">
        <v>25</v>
      </c>
      <c r="D49" s="7">
        <v>1</v>
      </c>
      <c r="E49" s="12" t="s">
        <v>425</v>
      </c>
      <c r="F49" s="17" t="s">
        <v>426</v>
      </c>
      <c r="G49" s="8">
        <v>0</v>
      </c>
      <c r="H49" s="8">
        <v>0</v>
      </c>
      <c r="I49" s="17"/>
      <c r="J49" s="7" t="s">
        <v>109</v>
      </c>
      <c r="K49" s="7" t="s">
        <v>606</v>
      </c>
      <c r="L49" s="4">
        <f>VLOOKUP($B49, Config!$A$4:$E$50, HLOOKUP(L$1, Config!$C$2:$AA$3, 2, FALSE)+2,FALSE)</f>
        <v>1</v>
      </c>
      <c r="M49" s="4">
        <f>VLOOKUP($B49, Config!$A$4:$E$50, HLOOKUP(M$1, Config!$C$2:$AA$3, 2, FALSE)+2,FALSE)</f>
        <v>1</v>
      </c>
      <c r="N49" s="4">
        <f>VLOOKUP($B49, Config!$A$4:$E$50, HLOOKUP(N$1, Config!$C$2:$AA$3, 2, FALSE)+2,FALSE)</f>
        <v>1</v>
      </c>
    </row>
    <row r="50" spans="1:14" x14ac:dyDescent="0.25">
      <c r="A50" s="143"/>
      <c r="B50" s="4" t="s">
        <v>85</v>
      </c>
      <c r="C50" s="7">
        <v>26</v>
      </c>
      <c r="D50" s="7">
        <v>1</v>
      </c>
      <c r="E50" s="12" t="s">
        <v>427</v>
      </c>
      <c r="F50" s="17" t="s">
        <v>428</v>
      </c>
      <c r="G50" s="8">
        <v>0</v>
      </c>
      <c r="H50" s="8">
        <v>0</v>
      </c>
      <c r="I50" s="17"/>
      <c r="J50" s="7" t="s">
        <v>109</v>
      </c>
      <c r="K50" s="7" t="s">
        <v>607</v>
      </c>
      <c r="L50" s="4">
        <f>VLOOKUP($B50, Config!$A$4:$E$50, HLOOKUP(L$1, Config!$C$2:$AA$3, 2, FALSE)+2,FALSE)</f>
        <v>1</v>
      </c>
      <c r="M50" s="4">
        <f>VLOOKUP($B50, Config!$A$4:$E$50, HLOOKUP(M$1, Config!$C$2:$AA$3, 2, FALSE)+2,FALSE)</f>
        <v>1</v>
      </c>
      <c r="N50" s="4">
        <f>VLOOKUP($B50, Config!$A$4:$E$50, HLOOKUP(N$1, Config!$C$2:$AA$3, 2, FALSE)+2,FALSE)</f>
        <v>1</v>
      </c>
    </row>
    <row r="51" spans="1:14" x14ac:dyDescent="0.25">
      <c r="A51" s="143"/>
      <c r="B51" s="4" t="s">
        <v>85</v>
      </c>
      <c r="C51" s="7">
        <v>27</v>
      </c>
      <c r="D51" s="7">
        <v>1</v>
      </c>
      <c r="E51" s="12" t="s">
        <v>429</v>
      </c>
      <c r="F51" s="17" t="s">
        <v>430</v>
      </c>
      <c r="G51" s="8">
        <v>0</v>
      </c>
      <c r="H51" s="8">
        <v>0</v>
      </c>
      <c r="I51" s="17"/>
      <c r="J51" s="7" t="s">
        <v>109</v>
      </c>
      <c r="K51" s="7" t="s">
        <v>608</v>
      </c>
      <c r="L51" s="4">
        <f>VLOOKUP($B51, Config!$A$4:$E$50, HLOOKUP(L$1, Config!$C$2:$AA$3, 2, FALSE)+2,FALSE)</f>
        <v>1</v>
      </c>
      <c r="M51" s="4">
        <f>VLOOKUP($B51, Config!$A$4:$E$50, HLOOKUP(M$1, Config!$C$2:$AA$3, 2, FALSE)+2,FALSE)</f>
        <v>1</v>
      </c>
      <c r="N51" s="4">
        <f>VLOOKUP($B51, Config!$A$4:$E$50, HLOOKUP(N$1, Config!$C$2:$AA$3, 2, FALSE)+2,FALSE)</f>
        <v>1</v>
      </c>
    </row>
    <row r="52" spans="1:14" x14ac:dyDescent="0.25">
      <c r="A52" s="143"/>
      <c r="B52" s="4" t="s">
        <v>85</v>
      </c>
      <c r="C52" s="7">
        <v>28</v>
      </c>
      <c r="D52" s="7">
        <v>1</v>
      </c>
      <c r="E52" s="12" t="s">
        <v>431</v>
      </c>
      <c r="F52" s="17" t="s">
        <v>432</v>
      </c>
      <c r="G52" s="8">
        <v>0</v>
      </c>
      <c r="H52" s="8">
        <v>0</v>
      </c>
      <c r="I52" s="17"/>
      <c r="J52" s="7" t="s">
        <v>109</v>
      </c>
      <c r="K52" s="7" t="s">
        <v>609</v>
      </c>
      <c r="L52" s="4">
        <f>VLOOKUP($B52, Config!$A$4:$E$50, HLOOKUP(L$1, Config!$C$2:$AA$3, 2, FALSE)+2,FALSE)</f>
        <v>1</v>
      </c>
      <c r="M52" s="4">
        <f>VLOOKUP($B52, Config!$A$4:$E$50, HLOOKUP(M$1, Config!$C$2:$AA$3, 2, FALSE)+2,FALSE)</f>
        <v>1</v>
      </c>
      <c r="N52" s="4">
        <f>VLOOKUP($B52, Config!$A$4:$E$50, HLOOKUP(N$1, Config!$C$2:$AA$3, 2, FALSE)+2,FALSE)</f>
        <v>1</v>
      </c>
    </row>
    <row r="53" spans="1:14" x14ac:dyDescent="0.25">
      <c r="A53" s="143"/>
      <c r="B53" s="4" t="s">
        <v>85</v>
      </c>
      <c r="C53" s="7">
        <v>29</v>
      </c>
      <c r="D53" s="7">
        <v>1</v>
      </c>
      <c r="E53" s="12" t="s">
        <v>433</v>
      </c>
      <c r="F53" s="17" t="s">
        <v>434</v>
      </c>
      <c r="G53" s="8">
        <v>0</v>
      </c>
      <c r="H53" s="8">
        <v>0</v>
      </c>
      <c r="I53" s="17"/>
      <c r="J53" s="7" t="s">
        <v>109</v>
      </c>
      <c r="K53" s="7" t="s">
        <v>610</v>
      </c>
      <c r="L53" s="4">
        <f>VLOOKUP($B53, Config!$A$4:$E$50, HLOOKUP(L$1, Config!$C$2:$AA$3, 2, FALSE)+2,FALSE)</f>
        <v>1</v>
      </c>
      <c r="M53" s="4">
        <f>VLOOKUP($B53, Config!$A$4:$E$50, HLOOKUP(M$1, Config!$C$2:$AA$3, 2, FALSE)+2,FALSE)</f>
        <v>1</v>
      </c>
      <c r="N53" s="4">
        <f>VLOOKUP($B53, Config!$A$4:$E$50, HLOOKUP(N$1, Config!$C$2:$AA$3, 2, FALSE)+2,FALSE)</f>
        <v>1</v>
      </c>
    </row>
    <row r="54" spans="1:14" x14ac:dyDescent="0.25">
      <c r="A54" s="143"/>
      <c r="B54" s="4" t="s">
        <v>85</v>
      </c>
      <c r="C54" s="7">
        <v>30</v>
      </c>
      <c r="D54" s="7">
        <v>1</v>
      </c>
      <c r="E54" s="12" t="s">
        <v>435</v>
      </c>
      <c r="F54" s="17" t="s">
        <v>436</v>
      </c>
      <c r="G54" s="8">
        <v>0</v>
      </c>
      <c r="H54" s="8">
        <v>0</v>
      </c>
      <c r="I54" s="17"/>
      <c r="J54" s="7" t="s">
        <v>109</v>
      </c>
      <c r="K54" s="7" t="s">
        <v>611</v>
      </c>
      <c r="L54" s="4">
        <f>VLOOKUP($B54, Config!$A$4:$E$50, HLOOKUP(L$1, Config!$C$2:$AA$3, 2, FALSE)+2,FALSE)</f>
        <v>1</v>
      </c>
      <c r="M54" s="4">
        <f>VLOOKUP($B54, Config!$A$4:$E$50, HLOOKUP(M$1, Config!$C$2:$AA$3, 2, FALSE)+2,FALSE)</f>
        <v>1</v>
      </c>
      <c r="N54" s="4">
        <f>VLOOKUP($B54, Config!$A$4:$E$50, HLOOKUP(N$1, Config!$C$2:$AA$3, 2, FALSE)+2,FALSE)</f>
        <v>1</v>
      </c>
    </row>
    <row r="55" spans="1:14" x14ac:dyDescent="0.25">
      <c r="A55" s="155"/>
      <c r="B55" s="4" t="s">
        <v>85</v>
      </c>
      <c r="C55" s="7">
        <v>31</v>
      </c>
      <c r="D55" s="7">
        <v>1</v>
      </c>
      <c r="E55" s="12" t="s">
        <v>437</v>
      </c>
      <c r="F55" s="17" t="s">
        <v>438</v>
      </c>
      <c r="G55" s="8">
        <v>0</v>
      </c>
      <c r="H55" s="8">
        <v>0</v>
      </c>
      <c r="I55" s="17"/>
      <c r="J55" s="7" t="s">
        <v>109</v>
      </c>
      <c r="K55" s="7" t="s">
        <v>612</v>
      </c>
      <c r="L55" s="4">
        <f>VLOOKUP($B55, Config!$A$4:$E$50, HLOOKUP(L$1, Config!$C$2:$AA$3, 2, FALSE)+2,FALSE)</f>
        <v>1</v>
      </c>
      <c r="M55" s="4">
        <f>VLOOKUP($B55, Config!$A$4:$E$50, HLOOKUP(M$1, Config!$C$2:$AA$3, 2, FALSE)+2,FALSE)</f>
        <v>1</v>
      </c>
      <c r="N55" s="4">
        <f>VLOOKUP($B55, Config!$A$4:$E$50, HLOOKUP(N$1, Config!$C$2:$AA$3, 2, FALSE)+2,FALSE)</f>
        <v>1</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a555451d-518f-4a10-969e-f3a9a0f123ff"/>
    <ds:schemaRef ds:uri="a0881c7e-bde8-497c-bcbe-18a05f14a854"/>
    <ds:schemaRef ds:uri="http://schemas.microsoft.com/office/2006/documentManagement/types"/>
    <ds:schemaRef ds:uri="http://purl.org/dc/terms/"/>
    <ds:schemaRef ds:uri="http://purl.org/dc/dcmitype/"/>
    <ds:schemaRef ds:uri="http://schemas.openxmlformats.org/package/2006/metadata/core-properties"/>
    <ds:schemaRef ds:uri="http://purl.org/dc/elements/1.1/"/>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Revision</vt:lpstr>
      <vt:lpstr>Config</vt:lpstr>
      <vt:lpstr>Summary_CSME</vt:lpstr>
      <vt:lpstr>Summary_ESE</vt:lpstr>
      <vt:lpstr>Summary_GSC</vt:lpstr>
      <vt:lpstr>Group1</vt:lpstr>
      <vt:lpstr>Group2,3</vt:lpstr>
      <vt:lpstr>HardStrap</vt:lpstr>
      <vt:lpstr>Softstrap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2020-02-24T17:16:19Z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935609ec-36bf-496d-9371-6f246ed9ac02</vt:lpwstr>
  </property>
  <property fmtid="{D5CDD505-2E9C-101B-9397-08002B2CF9AE}" pid="3" name="CTP_TimeStamp">
    <vt:lpwstr>2020-02-20 02:55:24Z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